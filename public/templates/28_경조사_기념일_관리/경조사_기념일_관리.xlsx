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대상목록" sheetId="2" state="visible" r:id="rId4"/>
    <sheet name="기념일등록" sheetId="3" state="visible" r:id="rId5"/>
    <sheet name="경조사내역" sheetId="4" state="visible" r:id="rId6"/>
    <sheet name="다가오는일정" sheetId="5" state="visible" r:id="rId7"/>
    <sheet name="월별달력" sheetId="6" state="visible" r:id="rId8"/>
    <sheet name="거래처별이력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<sst xmlns="http://schemas.openxmlformats.org/spreadsheetml/2006/main" count="102" uniqueCount="82">
  <si>
    <t xml:space="preserve">경조사 · 기념일 관리</t>
  </si>
  <si>
    <t xml:space="preserve">핵심</t>
  </si>
  <si>
    <t xml:space="preserve">생일·창립일·계약기념일을 등록해두면 올해 언제인지, 며칠 남았는지 자동으로 나옵니다.</t>
  </si>
  <si>
    <t xml:space="preserve">입력 규칙</t>
  </si>
  <si>
    <t xml:space="preserve">파란색 글씨 칸만 입력하세요. 검은색은 자동 계산입니다.</t>
  </si>
  <si>
    <t xml:space="preserve">① 대상목록</t>
  </si>
  <si>
    <t xml:space="preserve">거래처 담당자·직원 등 챙길 사람을 등록합니다.</t>
  </si>
  <si>
    <t xml:space="preserve">② 기념일등록</t>
  </si>
  <si>
    <t xml:space="preserve">생일·창립일 등 매년 돌아오는 날을 등록합니다.</t>
  </si>
  <si>
    <t xml:space="preserve">③ 경조사내역</t>
  </si>
  <si>
    <t xml:space="preserve">실제로 챙긴 기록입니다. 언제 얼마를 보냈는지 남깁니다.</t>
  </si>
  <si>
    <t xml:space="preserve">④ 다가오는 일정</t>
  </si>
  <si>
    <t xml:space="preserve">앞으로 90일 안에 오는 기념일을 순서대로 보여줍니다.</t>
  </si>
  <si>
    <t xml:space="preserve">⑤ 월별달력</t>
  </si>
  <si>
    <t xml:space="preserve">월을 고르면 그 달의 기념일이 나옵니다.</t>
  </si>
  <si>
    <t xml:space="preserve">⑥ 거래처별 이력</t>
  </si>
  <si>
    <t xml:space="preserve">어느 거래처에 얼마나 썼는지 집계합니다.</t>
  </si>
  <si>
    <t xml:space="preserve">올해 기념일 계산</t>
  </si>
  <si>
    <t xml:space="preserve">등록한 날짜의 월·일만 가져와 올해 날짜로 만듭니다. 지났으면 내년으로 넘깁니다.</t>
  </si>
  <si>
    <t xml:space="preserve">주의</t>
  </si>
  <si>
    <t xml:space="preserve">음력 생일은 지원하지 않습니다. 양력으로 변환해서 넣으세요.</t>
  </si>
  <si>
    <t xml:space="preserve">설정</t>
  </si>
  <si>
    <t xml:space="preserve">값을 바꾸면 모든 계산에 반영됩니다</t>
  </si>
  <si>
    <t xml:space="preserve">알림 기준(일)</t>
  </si>
  <si>
    <t xml:space="preserve">대상목록</t>
  </si>
  <si>
    <t xml:space="preserve">이름</t>
  </si>
  <si>
    <t xml:space="preserve">구분</t>
  </si>
  <si>
    <t xml:space="preserve">거래처/소속</t>
  </si>
  <si>
    <t xml:space="preserve">직위</t>
  </si>
  <si>
    <t xml:space="preserve">연락처</t>
  </si>
  <si>
    <t xml:space="preserve">비고</t>
  </si>
  <si>
    <t xml:space="preserve">김사장</t>
  </si>
  <si>
    <t xml:space="preserve">거래처</t>
  </si>
  <si>
    <t xml:space="preserve">○○상사</t>
  </si>
  <si>
    <t xml:space="preserve">대표</t>
  </si>
  <si>
    <t xml:space="preserve">010-0000-0001</t>
  </si>
  <si>
    <t xml:space="preserve">이과장</t>
  </si>
  <si>
    <t xml:space="preserve">△△유통</t>
  </si>
  <si>
    <t xml:space="preserve">과장</t>
  </si>
  <si>
    <t xml:space="preserve">010-0000-0002</t>
  </si>
  <si>
    <t xml:space="preserve">박직원</t>
  </si>
  <si>
    <t xml:space="preserve">내부</t>
  </si>
  <si>
    <t xml:space="preserve">영업팀</t>
  </si>
  <si>
    <t xml:space="preserve">대리</t>
  </si>
  <si>
    <t xml:space="preserve">010-0000-0003</t>
  </si>
  <si>
    <t xml:space="preserve">기념일등록  (매년 돌아오는 날)</t>
  </si>
  <si>
    <r>
      <rPr>
        <b val="true"/>
        <sz val="10"/>
        <color rgb="FFFFFFFF"/>
        <rFont val="맑은 고딕"/>
        <family val="0"/>
        <charset val="1"/>
      </rPr>
      <t xml:space="preserve">No(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</si>
  <si>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거래처(자동)</t>
  </si>
  <si>
    <t xml:space="preserve">종류</t>
  </si>
  <si>
    <t xml:space="preserve">기준일</t>
  </si>
  <si>
    <t xml:space="preserve">월(자동)</t>
  </si>
  <si>
    <t xml:space="preserve">일(자동)</t>
  </si>
  <si>
    <t xml:space="preserve">올해 날짜(자동)</t>
  </si>
  <si>
    <r>
      <rPr>
        <b val="true"/>
        <sz val="10"/>
        <color rgb="FFFFFFFF"/>
        <rFont val="맑은 고딕"/>
        <family val="0"/>
        <charset val="1"/>
      </rPr>
      <t xml:space="preserve">D-Day(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</si>
  <si>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생일</t>
  </si>
  <si>
    <t xml:space="preserve">창립기념일</t>
  </si>
  <si>
    <t xml:space="preserve">입사기념일</t>
  </si>
  <si>
    <t xml:space="preserve">※ 기준일은 태어난 해·창립한 해를 그대로 넣으세요. 월·일만 사용합니다.</t>
  </si>
  <si>
    <r>
      <rPr>
        <sz val="9"/>
        <color rgb="FF808080"/>
        <rFont val="맑은 고딕"/>
        <family val="0"/>
        <charset val="1"/>
      </rPr>
      <t xml:space="preserve">※ 2</t>
    </r>
    <r>
      <rPr>
        <sz val="9"/>
        <color rgb="FF808080"/>
        <rFont val="Noto Sans CJK SC"/>
        <family val="2"/>
        <charset val="1"/>
      </rPr>
      <t xml:space="preserve">월 </t>
    </r>
    <r>
      <rPr>
        <sz val="9"/>
        <color rgb="FF808080"/>
        <rFont val="맑은 고딕"/>
        <family val="0"/>
        <charset val="1"/>
      </rPr>
      <t xml:space="preserve">29</t>
    </r>
    <r>
      <rPr>
        <sz val="9"/>
        <color rgb="FF808080"/>
        <rFont val="Noto Sans CJK SC"/>
        <family val="2"/>
        <charset val="1"/>
      </rPr>
      <t xml:space="preserve">일은 윤년이 아닌 해에 </t>
    </r>
    <r>
      <rPr>
        <sz val="9"/>
        <color rgb="FF808080"/>
        <rFont val="맑은 고딕"/>
        <family val="0"/>
        <charset val="1"/>
      </rPr>
      <t xml:space="preserve">3</t>
    </r>
    <r>
      <rPr>
        <sz val="9"/>
        <color rgb="FF808080"/>
        <rFont val="Noto Sans CJK SC"/>
        <family val="2"/>
        <charset val="1"/>
      </rPr>
      <t xml:space="preserve">월 </t>
    </r>
    <r>
      <rPr>
        <sz val="9"/>
        <color rgb="FF808080"/>
        <rFont val="맑은 고딕"/>
        <family val="0"/>
        <charset val="1"/>
      </rPr>
      <t xml:space="preserve">1</t>
    </r>
    <r>
      <rPr>
        <sz val="9"/>
        <color rgb="FF808080"/>
        <rFont val="Noto Sans CJK SC"/>
        <family val="2"/>
        <charset val="1"/>
      </rPr>
      <t xml:space="preserve">일로 넘어갑니다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</si>
  <si>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경조사내역  (실제로 챙긴 기록)</t>
  </si>
  <si>
    <t xml:space="preserve">일자</t>
  </si>
  <si>
    <t xml:space="preserve">내용</t>
  </si>
  <si>
    <t xml:space="preserve">금액</t>
  </si>
  <si>
    <t xml:space="preserve">다가오는 일정  (앞으로 90일)</t>
  </si>
  <si>
    <t xml:space="preserve">오늘</t>
  </si>
  <si>
    <t xml:space="preserve">알림 대상</t>
  </si>
  <si>
    <t xml:space="preserve">순위</t>
  </si>
  <si>
    <t xml:space="preserve">날짜</t>
  </si>
  <si>
    <t xml:space="preserve">D-Day</t>
  </si>
  <si>
    <t xml:space="preserve">작년 기록</t>
  </si>
  <si>
    <t xml:space="preserve">월별달력</t>
  </si>
  <si>
    <t xml:space="preserve">대상 월</t>
  </si>
  <si>
    <r>
      <rPr>
        <sz val="9"/>
        <color rgb="FF808080"/>
        <rFont val="맑은 고딕"/>
        <family val="0"/>
        <charset val="1"/>
      </rPr>
      <t xml:space="preserve">← 1~12 </t>
    </r>
    <r>
      <rPr>
        <sz val="9"/>
        <color rgb="FF808080"/>
        <rFont val="Noto Sans CJK SC"/>
        <family val="2"/>
        <charset val="1"/>
      </rPr>
      <t xml:space="preserve">중 하나</t>
    </r>
  </si>
  <si>
    <t xml:space="preserve">순번</t>
  </si>
  <si>
    <t xml:space="preserve">일</t>
  </si>
  <si>
    <t xml:space="preserve">거래처별이력</t>
  </si>
  <si>
    <t xml:space="preserve">대상 연도</t>
  </si>
  <si>
    <t xml:space="preserve">대상 인원</t>
  </si>
  <si>
    <t xml:space="preserve">경조사 건수</t>
  </si>
  <si>
    <t xml:space="preserve">지출 금액</t>
  </si>
  <si>
    <t xml:space="preserve">최근 일자</t>
  </si>
  <si>
    <t xml:space="preserve">거래처 자동수집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</si>
</sst>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General"/>
    <numFmt numFmtId="167" formatCode="yyyy\-mm\-dd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1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6B7A8F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5" customFormat="false" ht="15" hidden="false" customHeight="true" outlineLevel="0" collapsed="false">
      <c r="B15" s="5" t="s">
        <v>21</v>
      </c>
      <c r="C15" s="6" t="s">
        <v>22</v>
      </c>
    </row>
    <row r="16" customFormat="false" ht="15" hidden="false" customHeight="true" outlineLevel="0" collapsed="false">
      <c r="B16" s="4" t="s">
        <v>23</v>
      </c>
      <c r="C16" s="7" t="n">
        <v>14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24"/>
  </cols>
  <sheetData>
    <row r="1" customFormat="false" ht="25.5" hidden="false" customHeight="true" outlineLevel="0" collapsed="false">
      <c r="A1" s="2" t="s">
        <v>24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</row>
    <row r="3" customFormat="false" ht="15" hidden="false" customHeight="true" outlineLevel="0" collapsed="false">
      <c r="A3" s="9" t="s">
        <v>31</v>
      </c>
      <c r="B3" s="9" t="s">
        <v>32</v>
      </c>
      <c r="C3" s="9" t="s">
        <v>33</v>
      </c>
      <c r="D3" s="9" t="s">
        <v>34</v>
      </c>
      <c r="E3" s="10" t="s">
        <v>35</v>
      </c>
      <c r="F3" s="10"/>
    </row>
    <row r="4" customFormat="false" ht="15" hidden="false" customHeight="true" outlineLevel="0" collapsed="false">
      <c r="A4" s="9" t="s">
        <v>36</v>
      </c>
      <c r="B4" s="9" t="s">
        <v>32</v>
      </c>
      <c r="C4" s="9" t="s">
        <v>37</v>
      </c>
      <c r="D4" s="9" t="s">
        <v>38</v>
      </c>
      <c r="E4" s="10" t="s">
        <v>39</v>
      </c>
      <c r="F4" s="10"/>
    </row>
    <row r="5" customFormat="false" ht="15" hidden="false" customHeight="true" outlineLevel="0" collapsed="false">
      <c r="A5" s="9" t="s">
        <v>40</v>
      </c>
      <c r="B5" s="9" t="s">
        <v>41</v>
      </c>
      <c r="C5" s="9" t="s">
        <v>42</v>
      </c>
      <c r="D5" s="9" t="s">
        <v>43</v>
      </c>
      <c r="E5" s="10" t="s">
        <v>44</v>
      </c>
      <c r="F5" s="10"/>
    </row>
    <row r="6" customFormat="false" ht="15" hidden="false" customHeight="true" outlineLevel="0" collapsed="false">
      <c r="A6" s="10"/>
      <c r="B6" s="9"/>
      <c r="C6" s="10"/>
      <c r="D6" s="10"/>
      <c r="E6" s="10"/>
      <c r="F6" s="10"/>
    </row>
    <row r="7" customFormat="false" ht="15" hidden="false" customHeight="true" outlineLevel="0" collapsed="false">
      <c r="A7" s="10"/>
      <c r="B7" s="9"/>
      <c r="C7" s="10"/>
      <c r="D7" s="10"/>
      <c r="E7" s="10"/>
      <c r="F7" s="10"/>
    </row>
    <row r="8" customFormat="false" ht="15" hidden="false" customHeight="true" outlineLevel="0" collapsed="false">
      <c r="A8" s="10"/>
      <c r="B8" s="9"/>
      <c r="C8" s="10"/>
      <c r="D8" s="10"/>
      <c r="E8" s="10"/>
      <c r="F8" s="10"/>
    </row>
    <row r="9" customFormat="false" ht="15" hidden="false" customHeight="true" outlineLevel="0" collapsed="false">
      <c r="A9" s="10"/>
      <c r="B9" s="9"/>
      <c r="C9" s="10"/>
      <c r="D9" s="10"/>
      <c r="E9" s="10"/>
      <c r="F9" s="10"/>
    </row>
    <row r="10" customFormat="false" ht="15" hidden="false" customHeight="true" outlineLevel="0" collapsed="false">
      <c r="A10" s="10"/>
      <c r="B10" s="9"/>
      <c r="C10" s="10"/>
      <c r="D10" s="10"/>
      <c r="E10" s="10"/>
      <c r="F10" s="10"/>
    </row>
    <row r="11" customFormat="false" ht="15" hidden="false" customHeight="true" outlineLevel="0" collapsed="false">
      <c r="A11" s="10"/>
      <c r="B11" s="9"/>
      <c r="C11" s="10"/>
      <c r="D11" s="10"/>
      <c r="E11" s="10"/>
      <c r="F11" s="10"/>
    </row>
    <row r="12" customFormat="false" ht="15" hidden="false" customHeight="true" outlineLevel="0" collapsed="false">
      <c r="A12" s="10"/>
      <c r="B12" s="9"/>
      <c r="C12" s="10"/>
      <c r="D12" s="10"/>
      <c r="E12" s="10"/>
      <c r="F12" s="10"/>
    </row>
    <row r="13" customFormat="false" ht="15" hidden="false" customHeight="true" outlineLevel="0" collapsed="false">
      <c r="A13" s="10"/>
      <c r="B13" s="9"/>
      <c r="C13" s="10"/>
      <c r="D13" s="10"/>
      <c r="E13" s="10"/>
      <c r="F13" s="10"/>
    </row>
    <row r="14" customFormat="false" ht="15" hidden="false" customHeight="true" outlineLevel="0" collapsed="false">
      <c r="A14" s="10"/>
      <c r="B14" s="9"/>
      <c r="C14" s="10"/>
      <c r="D14" s="10"/>
      <c r="E14" s="10"/>
      <c r="F14" s="10"/>
    </row>
    <row r="15" customFormat="false" ht="15" hidden="false" customHeight="true" outlineLevel="0" collapsed="false">
      <c r="A15" s="10"/>
      <c r="B15" s="9"/>
      <c r="C15" s="10"/>
      <c r="D15" s="10"/>
      <c r="E15" s="10"/>
      <c r="F15" s="10"/>
    </row>
    <row r="16" customFormat="false" ht="15" hidden="false" customHeight="true" outlineLevel="0" collapsed="false">
      <c r="A16" s="10"/>
      <c r="B16" s="9"/>
      <c r="C16" s="10"/>
      <c r="D16" s="10"/>
      <c r="E16" s="10"/>
      <c r="F16" s="10"/>
    </row>
    <row r="17" customFormat="false" ht="15" hidden="false" customHeight="true" outlineLevel="0" collapsed="false">
      <c r="A17" s="10"/>
      <c r="B17" s="9"/>
      <c r="C17" s="10"/>
      <c r="D17" s="10"/>
      <c r="E17" s="10"/>
      <c r="F17" s="10"/>
    </row>
    <row r="18" customFormat="false" ht="15" hidden="false" customHeight="true" outlineLevel="0" collapsed="false">
      <c r="A18" s="10"/>
      <c r="B18" s="9"/>
      <c r="C18" s="10"/>
      <c r="D18" s="10"/>
      <c r="E18" s="10"/>
      <c r="F18" s="10"/>
    </row>
    <row r="19" customFormat="false" ht="15" hidden="false" customHeight="true" outlineLevel="0" collapsed="false">
      <c r="A19" s="10"/>
      <c r="B19" s="9"/>
      <c r="C19" s="10"/>
      <c r="D19" s="10"/>
      <c r="E19" s="10"/>
      <c r="F19" s="10"/>
    </row>
    <row r="20" customFormat="false" ht="15" hidden="false" customHeight="true" outlineLevel="0" collapsed="false">
      <c r="A20" s="10"/>
      <c r="B20" s="9"/>
      <c r="C20" s="10"/>
      <c r="D20" s="10"/>
      <c r="E20" s="10"/>
      <c r="F20" s="10"/>
    </row>
    <row r="21" customFormat="false" ht="15" hidden="false" customHeight="true" outlineLevel="0" collapsed="false">
      <c r="A21" s="10"/>
      <c r="B21" s="9"/>
      <c r="C21" s="10"/>
      <c r="D21" s="10"/>
      <c r="E21" s="10"/>
      <c r="F21" s="10"/>
    </row>
    <row r="22" customFormat="false" ht="15" hidden="false" customHeight="true" outlineLevel="0" collapsed="false">
      <c r="A22" s="10"/>
      <c r="B22" s="9"/>
      <c r="C22" s="10"/>
      <c r="D22" s="10"/>
      <c r="E22" s="10"/>
      <c r="F22" s="10"/>
    </row>
    <row r="23" customFormat="false" ht="15" hidden="false" customHeight="true" outlineLevel="0" collapsed="false">
      <c r="A23" s="10"/>
      <c r="B23" s="9"/>
      <c r="C23" s="10"/>
      <c r="D23" s="10"/>
      <c r="E23" s="10"/>
      <c r="F23" s="10"/>
    </row>
    <row r="24" customFormat="false" ht="15" hidden="false" customHeight="true" outlineLevel="0" collapsed="false">
      <c r="A24" s="10"/>
      <c r="B24" s="9"/>
      <c r="C24" s="10"/>
      <c r="D24" s="10"/>
      <c r="E24" s="10"/>
      <c r="F24" s="10"/>
    </row>
    <row r="25" customFormat="false" ht="15" hidden="false" customHeight="true" outlineLevel="0" collapsed="false">
      <c r="A25" s="10"/>
      <c r="B25" s="9"/>
      <c r="C25" s="10"/>
      <c r="D25" s="10"/>
      <c r="E25" s="10"/>
      <c r="F25" s="10"/>
    </row>
    <row r="26" customFormat="false" ht="15" hidden="false" customHeight="true" outlineLevel="0" collapsed="false">
      <c r="A26" s="10"/>
      <c r="B26" s="9"/>
      <c r="C26" s="10"/>
      <c r="D26" s="10"/>
      <c r="E26" s="10"/>
      <c r="F26" s="10"/>
    </row>
    <row r="27" customFormat="false" ht="15" hidden="false" customHeight="true" outlineLevel="0" collapsed="false">
      <c r="A27" s="10"/>
      <c r="B27" s="9"/>
      <c r="C27" s="10"/>
      <c r="D27" s="10"/>
      <c r="E27" s="10"/>
      <c r="F27" s="10"/>
    </row>
    <row r="28" customFormat="false" ht="15" hidden="false" customHeight="true" outlineLevel="0" collapsed="false">
      <c r="A28" s="10"/>
      <c r="B28" s="9"/>
      <c r="C28" s="10"/>
      <c r="D28" s="10"/>
      <c r="E28" s="10"/>
      <c r="F28" s="10"/>
    </row>
    <row r="29" customFormat="false" ht="15" hidden="false" customHeight="true" outlineLevel="0" collapsed="false">
      <c r="A29" s="10"/>
      <c r="B29" s="9"/>
      <c r="C29" s="10"/>
      <c r="D29" s="10"/>
      <c r="E29" s="10"/>
      <c r="F29" s="10"/>
    </row>
    <row r="30" customFormat="false" ht="15" hidden="false" customHeight="true" outlineLevel="0" collapsed="false">
      <c r="A30" s="10"/>
      <c r="B30" s="9"/>
      <c r="C30" s="10"/>
      <c r="D30" s="10"/>
      <c r="E30" s="10"/>
      <c r="F30" s="10"/>
    </row>
    <row r="31" customFormat="false" ht="15" hidden="false" customHeight="true" outlineLevel="0" collapsed="false">
      <c r="A31" s="10"/>
      <c r="B31" s="9"/>
      <c r="C31" s="10"/>
      <c r="D31" s="10"/>
      <c r="E31" s="10"/>
      <c r="F31" s="10"/>
    </row>
    <row r="32" customFormat="false" ht="15" hidden="false" customHeight="true" outlineLevel="0" collapsed="false">
      <c r="A32" s="10"/>
      <c r="B32" s="9"/>
      <c r="C32" s="10"/>
      <c r="D32" s="10"/>
      <c r="E32" s="10"/>
      <c r="F32" s="10"/>
    </row>
    <row r="33" customFormat="false" ht="15" hidden="false" customHeight="true" outlineLevel="0" collapsed="false">
      <c r="A33" s="10"/>
      <c r="B33" s="9"/>
      <c r="C33" s="10"/>
      <c r="D33" s="10"/>
      <c r="E33" s="10"/>
      <c r="F33" s="10"/>
    </row>
    <row r="34" customFormat="false" ht="15" hidden="false" customHeight="true" outlineLevel="0" collapsed="false">
      <c r="A34" s="10"/>
      <c r="B34" s="9"/>
      <c r="C34" s="10"/>
      <c r="D34" s="10"/>
      <c r="E34" s="10"/>
      <c r="F34" s="10"/>
    </row>
    <row r="35" customFormat="false" ht="15" hidden="false" customHeight="true" outlineLevel="0" collapsed="false">
      <c r="A35" s="10"/>
      <c r="B35" s="9"/>
      <c r="C35" s="10"/>
      <c r="D35" s="10"/>
      <c r="E35" s="10"/>
      <c r="F35" s="10"/>
    </row>
    <row r="36" customFormat="false" ht="15" hidden="false" customHeight="true" outlineLevel="0" collapsed="false">
      <c r="A36" s="10"/>
      <c r="B36" s="9"/>
      <c r="C36" s="10"/>
      <c r="D36" s="10"/>
      <c r="E36" s="10"/>
      <c r="F36" s="10"/>
    </row>
    <row r="37" customFormat="false" ht="15" hidden="false" customHeight="true" outlineLevel="0" collapsed="false">
      <c r="A37" s="10"/>
      <c r="B37" s="9"/>
      <c r="C37" s="10"/>
      <c r="D37" s="10"/>
      <c r="E37" s="10"/>
      <c r="F37" s="10"/>
    </row>
    <row r="38" customFormat="false" ht="15" hidden="false" customHeight="true" outlineLevel="0" collapsed="false">
      <c r="A38" s="10"/>
      <c r="B38" s="9"/>
      <c r="C38" s="10"/>
      <c r="D38" s="10"/>
      <c r="E38" s="10"/>
      <c r="F38" s="10"/>
    </row>
    <row r="39" customFormat="false" ht="15" hidden="false" customHeight="true" outlineLevel="0" collapsed="false">
      <c r="A39" s="10"/>
      <c r="B39" s="9"/>
      <c r="C39" s="10"/>
      <c r="D39" s="10"/>
      <c r="E39" s="10"/>
      <c r="F39" s="10"/>
    </row>
    <row r="40" customFormat="false" ht="15" hidden="false" customHeight="true" outlineLevel="0" collapsed="false">
      <c r="A40" s="10"/>
      <c r="B40" s="9"/>
      <c r="C40" s="10"/>
      <c r="D40" s="10"/>
      <c r="E40" s="10"/>
      <c r="F40" s="10"/>
    </row>
    <row r="41" customFormat="false" ht="15" hidden="false" customHeight="true" outlineLevel="0" collapsed="false">
      <c r="A41" s="10"/>
      <c r="B41" s="9"/>
      <c r="C41" s="10"/>
      <c r="D41" s="10"/>
      <c r="E41" s="10"/>
      <c r="F41" s="10"/>
    </row>
    <row r="42" customFormat="false" ht="15" hidden="false" customHeight="true" outlineLevel="0" collapsed="false">
      <c r="A42" s="10"/>
      <c r="B42" s="9"/>
      <c r="C42" s="10"/>
      <c r="D42" s="10"/>
      <c r="E42" s="10"/>
      <c r="F42" s="10"/>
    </row>
    <row r="43" customFormat="false" ht="15" hidden="false" customHeight="true" outlineLevel="0" collapsed="false">
      <c r="A43" s="10"/>
      <c r="B43" s="9"/>
      <c r="C43" s="10"/>
      <c r="D43" s="10"/>
      <c r="E43" s="10"/>
      <c r="F43" s="10"/>
    </row>
    <row r="44" customFormat="false" ht="15" hidden="false" customHeight="true" outlineLevel="0" collapsed="false">
      <c r="A44" s="10"/>
      <c r="B44" s="9"/>
      <c r="C44" s="10"/>
      <c r="D44" s="10"/>
      <c r="E44" s="10"/>
      <c r="F44" s="10"/>
    </row>
    <row r="45" customFormat="false" ht="15" hidden="false" customHeight="true" outlineLevel="0" collapsed="false">
      <c r="A45" s="10"/>
      <c r="B45" s="9"/>
      <c r="C45" s="10"/>
      <c r="D45" s="10"/>
      <c r="E45" s="10"/>
      <c r="F45" s="10"/>
    </row>
    <row r="46" customFormat="false" ht="15" hidden="false" customHeight="true" outlineLevel="0" collapsed="false">
      <c r="A46" s="10"/>
      <c r="B46" s="9"/>
      <c r="C46" s="10"/>
      <c r="D46" s="10"/>
      <c r="E46" s="10"/>
      <c r="F46" s="10"/>
    </row>
    <row r="47" customFormat="false" ht="15" hidden="false" customHeight="true" outlineLevel="0" collapsed="false">
      <c r="A47" s="10"/>
      <c r="B47" s="9"/>
      <c r="C47" s="10"/>
      <c r="D47" s="10"/>
      <c r="E47" s="10"/>
      <c r="F47" s="10"/>
    </row>
    <row r="48" customFormat="false" ht="15" hidden="false" customHeight="true" outlineLevel="0" collapsed="false">
      <c r="A48" s="10"/>
      <c r="B48" s="9"/>
      <c r="C48" s="10"/>
      <c r="D48" s="10"/>
      <c r="E48" s="10"/>
      <c r="F48" s="10"/>
    </row>
    <row r="49" customFormat="false" ht="15" hidden="false" customHeight="true" outlineLevel="0" collapsed="false">
      <c r="A49" s="10"/>
      <c r="B49" s="9"/>
      <c r="C49" s="10"/>
      <c r="D49" s="10"/>
      <c r="E49" s="10"/>
      <c r="F49" s="10"/>
    </row>
    <row r="50" customFormat="false" ht="15" hidden="false" customHeight="true" outlineLevel="0" collapsed="false">
      <c r="A50" s="10"/>
      <c r="B50" s="9"/>
      <c r="C50" s="10"/>
      <c r="D50" s="10"/>
      <c r="E50" s="10"/>
      <c r="F50" s="10"/>
    </row>
    <row r="51" customFormat="false" ht="15" hidden="false" customHeight="true" outlineLevel="0" collapsed="false">
      <c r="A51" s="10"/>
      <c r="B51" s="9"/>
      <c r="C51" s="10"/>
      <c r="D51" s="10"/>
      <c r="E51" s="10"/>
      <c r="F51" s="10"/>
    </row>
    <row r="52" customFormat="false" ht="15" hidden="false" customHeight="true" outlineLevel="0" collapsed="false">
      <c r="A52" s="10"/>
      <c r="B52" s="9"/>
      <c r="C52" s="10"/>
      <c r="D52" s="10"/>
      <c r="E52" s="10"/>
      <c r="F52" s="10"/>
    </row>
    <row r="53" customFormat="false" ht="15" hidden="false" customHeight="true" outlineLevel="0" collapsed="false">
      <c r="A53" s="10"/>
      <c r="B53" s="9"/>
      <c r="C53" s="10"/>
      <c r="D53" s="10"/>
      <c r="E53" s="10"/>
      <c r="F53" s="10"/>
    </row>
    <row r="54" customFormat="false" ht="15" hidden="false" customHeight="true" outlineLevel="0" collapsed="false">
      <c r="A54" s="10"/>
      <c r="B54" s="9"/>
      <c r="C54" s="10"/>
      <c r="D54" s="10"/>
      <c r="E54" s="10"/>
      <c r="F54" s="10"/>
    </row>
    <row r="55" customFormat="false" ht="15" hidden="false" customHeight="true" outlineLevel="0" collapsed="false">
      <c r="A55" s="10"/>
      <c r="B55" s="9"/>
      <c r="C55" s="10"/>
      <c r="D55" s="10"/>
      <c r="E55" s="10"/>
      <c r="F55" s="10"/>
    </row>
    <row r="56" customFormat="false" ht="15" hidden="false" customHeight="true" outlineLevel="0" collapsed="false">
      <c r="A56" s="10"/>
      <c r="B56" s="9"/>
      <c r="C56" s="10"/>
      <c r="D56" s="10"/>
      <c r="E56" s="10"/>
      <c r="F56" s="10"/>
    </row>
    <row r="57" customFormat="false" ht="15" hidden="false" customHeight="true" outlineLevel="0" collapsed="false">
      <c r="A57" s="10"/>
      <c r="B57" s="9"/>
      <c r="C57" s="10"/>
      <c r="D57" s="10"/>
      <c r="E57" s="10"/>
      <c r="F57" s="10"/>
    </row>
    <row r="58" customFormat="false" ht="15" hidden="false" customHeight="true" outlineLevel="0" collapsed="false">
      <c r="A58" s="10"/>
      <c r="B58" s="9"/>
      <c r="C58" s="10"/>
      <c r="D58" s="10"/>
      <c r="E58" s="10"/>
      <c r="F58" s="10"/>
    </row>
    <row r="59" customFormat="false" ht="15" hidden="false" customHeight="true" outlineLevel="0" collapsed="false">
      <c r="A59" s="10"/>
      <c r="B59" s="9"/>
      <c r="C59" s="10"/>
      <c r="D59" s="10"/>
      <c r="E59" s="10"/>
      <c r="F59" s="10"/>
    </row>
    <row r="60" customFormat="false" ht="15" hidden="false" customHeight="true" outlineLevel="0" collapsed="false">
      <c r="A60" s="10"/>
      <c r="B60" s="9"/>
      <c r="C60" s="10"/>
      <c r="D60" s="10"/>
      <c r="E60" s="10"/>
      <c r="F60" s="10"/>
    </row>
    <row r="61" customFormat="false" ht="15" hidden="false" customHeight="true" outlineLevel="0" collapsed="false">
      <c r="A61" s="10"/>
      <c r="B61" s="9"/>
      <c r="C61" s="10"/>
      <c r="D61" s="10"/>
      <c r="E61" s="10"/>
      <c r="F61" s="10"/>
    </row>
    <row r="62" customFormat="false" ht="15" hidden="false" customHeight="true" outlineLevel="0" collapsed="false">
      <c r="A62" s="10"/>
      <c r="B62" s="9"/>
      <c r="C62" s="10"/>
      <c r="D62" s="10"/>
      <c r="E62" s="10"/>
      <c r="F62" s="10"/>
    </row>
    <row r="63" customFormat="false" ht="15" hidden="false" customHeight="true" outlineLevel="0" collapsed="false">
      <c r="A63" s="10"/>
      <c r="B63" s="9"/>
      <c r="C63" s="10"/>
      <c r="D63" s="10"/>
      <c r="E63" s="10"/>
      <c r="F63" s="10"/>
    </row>
    <row r="64" customFormat="false" ht="15" hidden="false" customHeight="true" outlineLevel="0" collapsed="false">
      <c r="A64" s="10"/>
      <c r="B64" s="9"/>
      <c r="C64" s="10"/>
      <c r="D64" s="10"/>
      <c r="E64" s="10"/>
      <c r="F64" s="10"/>
    </row>
    <row r="65" customFormat="false" ht="15" hidden="false" customHeight="true" outlineLevel="0" collapsed="false">
      <c r="A65" s="10"/>
      <c r="B65" s="9"/>
      <c r="C65" s="10"/>
      <c r="D65" s="10"/>
      <c r="E65" s="10"/>
      <c r="F65" s="10"/>
    </row>
    <row r="66" customFormat="false" ht="15" hidden="false" customHeight="true" outlineLevel="0" collapsed="false">
      <c r="A66" s="10"/>
      <c r="B66" s="9"/>
      <c r="C66" s="10"/>
      <c r="D66" s="10"/>
      <c r="E66" s="10"/>
      <c r="F66" s="10"/>
    </row>
    <row r="67" customFormat="false" ht="15" hidden="false" customHeight="true" outlineLevel="0" collapsed="false">
      <c r="A67" s="10"/>
      <c r="B67" s="9"/>
      <c r="C67" s="10"/>
      <c r="D67" s="10"/>
      <c r="E67" s="10"/>
      <c r="F67" s="10"/>
    </row>
    <row r="68" customFormat="false" ht="15" hidden="false" customHeight="true" outlineLevel="0" collapsed="false">
      <c r="A68" s="10"/>
      <c r="B68" s="9"/>
      <c r="C68" s="10"/>
      <c r="D68" s="10"/>
      <c r="E68" s="10"/>
      <c r="F68" s="10"/>
    </row>
    <row r="69" customFormat="false" ht="15" hidden="false" customHeight="true" outlineLevel="0" collapsed="false">
      <c r="A69" s="10"/>
      <c r="B69" s="9"/>
      <c r="C69" s="10"/>
      <c r="D69" s="10"/>
      <c r="E69" s="10"/>
      <c r="F69" s="10"/>
    </row>
    <row r="70" customFormat="false" ht="15" hidden="false" customHeight="true" outlineLevel="0" collapsed="false">
      <c r="A70" s="10"/>
      <c r="B70" s="9"/>
      <c r="C70" s="10"/>
      <c r="D70" s="10"/>
      <c r="E70" s="10"/>
      <c r="F70" s="10"/>
    </row>
    <row r="71" customFormat="false" ht="15" hidden="false" customHeight="true" outlineLevel="0" collapsed="false">
      <c r="A71" s="10"/>
      <c r="B71" s="9"/>
      <c r="C71" s="10"/>
      <c r="D71" s="10"/>
      <c r="E71" s="10"/>
      <c r="F71" s="10"/>
    </row>
    <row r="72" customFormat="false" ht="15" hidden="false" customHeight="true" outlineLevel="0" collapsed="false">
      <c r="A72" s="10"/>
      <c r="B72" s="9"/>
      <c r="C72" s="10"/>
      <c r="D72" s="10"/>
      <c r="E72" s="10"/>
      <c r="F72" s="10"/>
    </row>
    <row r="73" customFormat="false" ht="15" hidden="false" customHeight="true" outlineLevel="0" collapsed="false">
      <c r="A73" s="10"/>
      <c r="B73" s="9"/>
      <c r="C73" s="10"/>
      <c r="D73" s="10"/>
      <c r="E73" s="10"/>
      <c r="F73" s="10"/>
    </row>
    <row r="74" customFormat="false" ht="15" hidden="false" customHeight="true" outlineLevel="0" collapsed="false">
      <c r="A74" s="10"/>
      <c r="B74" s="9"/>
      <c r="C74" s="10"/>
      <c r="D74" s="10"/>
      <c r="E74" s="10"/>
      <c r="F74" s="10"/>
    </row>
    <row r="75" customFormat="false" ht="15" hidden="false" customHeight="true" outlineLevel="0" collapsed="false">
      <c r="A75" s="10"/>
      <c r="B75" s="9"/>
      <c r="C75" s="10"/>
      <c r="D75" s="10"/>
      <c r="E75" s="10"/>
      <c r="F75" s="10"/>
    </row>
    <row r="76" customFormat="false" ht="15" hidden="false" customHeight="true" outlineLevel="0" collapsed="false">
      <c r="A76" s="10"/>
      <c r="B76" s="9"/>
      <c r="C76" s="10"/>
      <c r="D76" s="10"/>
      <c r="E76" s="10"/>
      <c r="F76" s="10"/>
    </row>
    <row r="77" customFormat="false" ht="15" hidden="false" customHeight="true" outlineLevel="0" collapsed="false">
      <c r="A77" s="10"/>
      <c r="B77" s="9"/>
      <c r="C77" s="10"/>
      <c r="D77" s="10"/>
      <c r="E77" s="10"/>
      <c r="F77" s="10"/>
    </row>
    <row r="78" customFormat="false" ht="15" hidden="false" customHeight="true" outlineLevel="0" collapsed="false">
      <c r="A78" s="10"/>
      <c r="B78" s="9"/>
      <c r="C78" s="10"/>
      <c r="D78" s="10"/>
      <c r="E78" s="10"/>
      <c r="F78" s="10"/>
    </row>
    <row r="79" customFormat="false" ht="15" hidden="false" customHeight="true" outlineLevel="0" collapsed="false">
      <c r="A79" s="10"/>
      <c r="B79" s="9"/>
      <c r="C79" s="10"/>
      <c r="D79" s="10"/>
      <c r="E79" s="10"/>
      <c r="F79" s="10"/>
    </row>
    <row r="80" customFormat="false" ht="15" hidden="false" customHeight="true" outlineLevel="0" collapsed="false">
      <c r="A80" s="10"/>
      <c r="B80" s="9"/>
      <c r="C80" s="10"/>
      <c r="D80" s="10"/>
      <c r="E80" s="10"/>
      <c r="F80" s="10"/>
    </row>
    <row r="81" customFormat="false" ht="15" hidden="false" customHeight="true" outlineLevel="0" collapsed="false">
      <c r="A81" s="10"/>
      <c r="B81" s="9"/>
      <c r="C81" s="10"/>
      <c r="D81" s="10"/>
      <c r="E81" s="10"/>
      <c r="F81" s="10"/>
    </row>
    <row r="82" customFormat="false" ht="15" hidden="false" customHeight="true" outlineLevel="0" collapsed="false">
      <c r="A82" s="10"/>
      <c r="B82" s="9"/>
      <c r="C82" s="10"/>
      <c r="D82" s="10"/>
      <c r="E82" s="10"/>
      <c r="F82" s="10"/>
    </row>
    <row r="83" customFormat="false" ht="15" hidden="false" customHeight="true" outlineLevel="0" collapsed="false">
      <c r="A83" s="10"/>
      <c r="B83" s="9"/>
      <c r="C83" s="10"/>
      <c r="D83" s="10"/>
      <c r="E83" s="10"/>
      <c r="F83" s="10"/>
    </row>
    <row r="84" customFormat="false" ht="15" hidden="false" customHeight="true" outlineLevel="0" collapsed="false">
      <c r="A84" s="10"/>
      <c r="B84" s="9"/>
      <c r="C84" s="10"/>
      <c r="D84" s="10"/>
      <c r="E84" s="10"/>
      <c r="F84" s="10"/>
    </row>
    <row r="85" customFormat="false" ht="15" hidden="false" customHeight="true" outlineLevel="0" collapsed="false">
      <c r="A85" s="10"/>
      <c r="B85" s="9"/>
      <c r="C85" s="10"/>
      <c r="D85" s="10"/>
      <c r="E85" s="10"/>
      <c r="F85" s="10"/>
    </row>
    <row r="86" customFormat="false" ht="15" hidden="false" customHeight="true" outlineLevel="0" collapsed="false">
      <c r="A86" s="10"/>
      <c r="B86" s="9"/>
      <c r="C86" s="10"/>
      <c r="D86" s="10"/>
      <c r="E86" s="10"/>
      <c r="F86" s="10"/>
    </row>
    <row r="87" customFormat="false" ht="15" hidden="false" customHeight="true" outlineLevel="0" collapsed="false">
      <c r="A87" s="10"/>
      <c r="B87" s="9"/>
      <c r="C87" s="10"/>
      <c r="D87" s="10"/>
      <c r="E87" s="10"/>
      <c r="F87" s="10"/>
    </row>
    <row r="88" customFormat="false" ht="15" hidden="false" customHeight="true" outlineLevel="0" collapsed="false">
      <c r="A88" s="10"/>
      <c r="B88" s="9"/>
      <c r="C88" s="10"/>
      <c r="D88" s="10"/>
      <c r="E88" s="10"/>
      <c r="F88" s="10"/>
    </row>
    <row r="89" customFormat="false" ht="15" hidden="false" customHeight="true" outlineLevel="0" collapsed="false">
      <c r="A89" s="10"/>
      <c r="B89" s="9"/>
      <c r="C89" s="10"/>
      <c r="D89" s="10"/>
      <c r="E89" s="10"/>
      <c r="F89" s="10"/>
    </row>
    <row r="90" customFormat="false" ht="15" hidden="false" customHeight="true" outlineLevel="0" collapsed="false">
      <c r="A90" s="10"/>
      <c r="B90" s="9"/>
      <c r="C90" s="10"/>
      <c r="D90" s="10"/>
      <c r="E90" s="10"/>
      <c r="F90" s="10"/>
    </row>
    <row r="91" customFormat="false" ht="15" hidden="false" customHeight="true" outlineLevel="0" collapsed="false">
      <c r="A91" s="10"/>
      <c r="B91" s="9"/>
      <c r="C91" s="10"/>
      <c r="D91" s="10"/>
      <c r="E91" s="10"/>
      <c r="F91" s="10"/>
    </row>
    <row r="92" customFormat="false" ht="15" hidden="false" customHeight="true" outlineLevel="0" collapsed="false">
      <c r="A92" s="10"/>
      <c r="B92" s="9"/>
      <c r="C92" s="10"/>
      <c r="D92" s="10"/>
      <c r="E92" s="10"/>
      <c r="F92" s="10"/>
    </row>
    <row r="93" customFormat="false" ht="15" hidden="false" customHeight="true" outlineLevel="0" collapsed="false">
      <c r="A93" s="10"/>
      <c r="B93" s="9"/>
      <c r="C93" s="10"/>
      <c r="D93" s="10"/>
      <c r="E93" s="10"/>
      <c r="F93" s="10"/>
    </row>
    <row r="94" customFormat="false" ht="15" hidden="false" customHeight="true" outlineLevel="0" collapsed="false">
      <c r="A94" s="10"/>
      <c r="B94" s="9"/>
      <c r="C94" s="10"/>
      <c r="D94" s="10"/>
      <c r="E94" s="10"/>
      <c r="F94" s="10"/>
    </row>
    <row r="95" customFormat="false" ht="15" hidden="false" customHeight="true" outlineLevel="0" collapsed="false">
      <c r="A95" s="10"/>
      <c r="B95" s="9"/>
      <c r="C95" s="10"/>
      <c r="D95" s="10"/>
      <c r="E95" s="10"/>
      <c r="F95" s="10"/>
    </row>
    <row r="96" customFormat="false" ht="15" hidden="false" customHeight="true" outlineLevel="0" collapsed="false">
      <c r="A96" s="10"/>
      <c r="B96" s="9"/>
      <c r="C96" s="10"/>
      <c r="D96" s="10"/>
      <c r="E96" s="10"/>
      <c r="F96" s="10"/>
    </row>
    <row r="97" customFormat="false" ht="15" hidden="false" customHeight="true" outlineLevel="0" collapsed="false">
      <c r="A97" s="10"/>
      <c r="B97" s="9"/>
      <c r="C97" s="10"/>
      <c r="D97" s="10"/>
      <c r="E97" s="10"/>
      <c r="F97" s="10"/>
    </row>
    <row r="98" customFormat="false" ht="15" hidden="false" customHeight="true" outlineLevel="0" collapsed="false">
      <c r="A98" s="10"/>
      <c r="B98" s="9"/>
      <c r="C98" s="10"/>
      <c r="D98" s="10"/>
      <c r="E98" s="10"/>
      <c r="F98" s="10"/>
    </row>
    <row r="99" customFormat="false" ht="15" hidden="false" customHeight="true" outlineLevel="0" collapsed="false">
      <c r="A99" s="10"/>
      <c r="B99" s="9"/>
      <c r="C99" s="10"/>
      <c r="D99" s="10"/>
      <c r="E99" s="10"/>
      <c r="F99" s="10"/>
    </row>
    <row r="100" customFormat="false" ht="15" hidden="false" customHeight="true" outlineLevel="0" collapsed="false">
      <c r="A100" s="10"/>
      <c r="B100" s="9"/>
      <c r="C100" s="10"/>
      <c r="D100" s="10"/>
      <c r="E100" s="10"/>
      <c r="F100" s="10"/>
    </row>
    <row r="101" customFormat="false" ht="15" hidden="false" customHeight="true" outlineLevel="0" collapsed="false">
      <c r="A101" s="10"/>
      <c r="B101" s="9"/>
      <c r="C101" s="10"/>
      <c r="D101" s="10"/>
      <c r="E101" s="10"/>
      <c r="F101" s="10"/>
    </row>
    <row r="102" customFormat="false" ht="15" hidden="false" customHeight="true" outlineLevel="0" collapsed="false">
      <c r="A102" s="10"/>
      <c r="B102" s="9"/>
      <c r="C102" s="10"/>
      <c r="D102" s="10"/>
      <c r="E102" s="10"/>
      <c r="F102" s="10"/>
    </row>
    <row r="103" customFormat="false" ht="15" hidden="false" customHeight="true" outlineLevel="0" collapsed="false">
      <c r="A103" s="10"/>
      <c r="B103" s="9"/>
      <c r="C103" s="10"/>
      <c r="D103" s="10"/>
      <c r="E103" s="10"/>
      <c r="F103" s="10"/>
    </row>
    <row r="104" customFormat="false" ht="15" hidden="false" customHeight="true" outlineLevel="0" collapsed="false">
      <c r="A104" s="10"/>
      <c r="B104" s="9"/>
      <c r="C104" s="10"/>
      <c r="D104" s="10"/>
      <c r="E104" s="10"/>
      <c r="F104" s="10"/>
    </row>
    <row r="105" customFormat="false" ht="15" hidden="false" customHeight="true" outlineLevel="0" collapsed="false">
      <c r="A105" s="10"/>
      <c r="B105" s="9"/>
      <c r="C105" s="10"/>
      <c r="D105" s="10"/>
      <c r="E105" s="10"/>
      <c r="F105" s="10"/>
    </row>
    <row r="106" customFormat="false" ht="15" hidden="false" customHeight="true" outlineLevel="0" collapsed="false">
      <c r="A106" s="10"/>
      <c r="B106" s="9"/>
      <c r="C106" s="10"/>
      <c r="D106" s="10"/>
      <c r="E106" s="10"/>
      <c r="F106" s="10"/>
    </row>
    <row r="107" customFormat="false" ht="15" hidden="false" customHeight="true" outlineLevel="0" collapsed="false">
      <c r="A107" s="10"/>
      <c r="B107" s="9"/>
      <c r="C107" s="10"/>
      <c r="D107" s="10"/>
      <c r="E107" s="10"/>
      <c r="F107" s="10"/>
    </row>
    <row r="108" customFormat="false" ht="15" hidden="false" customHeight="true" outlineLevel="0" collapsed="false">
      <c r="A108" s="10"/>
      <c r="B108" s="9"/>
      <c r="C108" s="10"/>
      <c r="D108" s="10"/>
      <c r="E108" s="10"/>
      <c r="F108" s="10"/>
    </row>
    <row r="109" customFormat="false" ht="15" hidden="false" customHeight="true" outlineLevel="0" collapsed="false">
      <c r="A109" s="10"/>
      <c r="B109" s="9"/>
      <c r="C109" s="10"/>
      <c r="D109" s="10"/>
      <c r="E109" s="10"/>
      <c r="F109" s="10"/>
    </row>
    <row r="110" customFormat="false" ht="15" hidden="false" customHeight="true" outlineLevel="0" collapsed="false">
      <c r="A110" s="10"/>
      <c r="B110" s="9"/>
      <c r="C110" s="10"/>
      <c r="D110" s="10"/>
      <c r="E110" s="10"/>
      <c r="F110" s="10"/>
    </row>
    <row r="111" customFormat="false" ht="15" hidden="false" customHeight="true" outlineLevel="0" collapsed="false">
      <c r="A111" s="10"/>
      <c r="B111" s="9"/>
      <c r="C111" s="10"/>
      <c r="D111" s="10"/>
      <c r="E111" s="10"/>
      <c r="F111" s="10"/>
    </row>
    <row r="112" customFormat="false" ht="15" hidden="false" customHeight="true" outlineLevel="0" collapsed="false">
      <c r="A112" s="10"/>
      <c r="B112" s="9"/>
      <c r="C112" s="10"/>
      <c r="D112" s="10"/>
      <c r="E112" s="10"/>
      <c r="F112" s="10"/>
    </row>
    <row r="113" customFormat="false" ht="15" hidden="false" customHeight="true" outlineLevel="0" collapsed="false">
      <c r="A113" s="10"/>
      <c r="B113" s="9"/>
      <c r="C113" s="10"/>
      <c r="D113" s="10"/>
      <c r="E113" s="10"/>
      <c r="F113" s="10"/>
    </row>
    <row r="114" customFormat="false" ht="15" hidden="false" customHeight="true" outlineLevel="0" collapsed="false">
      <c r="A114" s="10"/>
      <c r="B114" s="9"/>
      <c r="C114" s="10"/>
      <c r="D114" s="10"/>
      <c r="E114" s="10"/>
      <c r="F114" s="10"/>
    </row>
    <row r="115" customFormat="false" ht="15" hidden="false" customHeight="true" outlineLevel="0" collapsed="false">
      <c r="A115" s="10"/>
      <c r="B115" s="9"/>
      <c r="C115" s="10"/>
      <c r="D115" s="10"/>
      <c r="E115" s="10"/>
      <c r="F115" s="10"/>
    </row>
    <row r="116" customFormat="false" ht="15" hidden="false" customHeight="true" outlineLevel="0" collapsed="false">
      <c r="A116" s="10"/>
      <c r="B116" s="9"/>
      <c r="C116" s="10"/>
      <c r="D116" s="10"/>
      <c r="E116" s="10"/>
      <c r="F116" s="10"/>
    </row>
    <row r="117" customFormat="false" ht="15" hidden="false" customHeight="true" outlineLevel="0" collapsed="false">
      <c r="A117" s="10"/>
      <c r="B117" s="9"/>
      <c r="C117" s="10"/>
      <c r="D117" s="10"/>
      <c r="E117" s="10"/>
      <c r="F117" s="10"/>
    </row>
    <row r="118" customFormat="false" ht="15" hidden="false" customHeight="true" outlineLevel="0" collapsed="false">
      <c r="A118" s="10"/>
      <c r="B118" s="9"/>
      <c r="C118" s="10"/>
      <c r="D118" s="10"/>
      <c r="E118" s="10"/>
      <c r="F118" s="10"/>
    </row>
    <row r="119" customFormat="false" ht="15" hidden="false" customHeight="true" outlineLevel="0" collapsed="false">
      <c r="A119" s="10"/>
      <c r="B119" s="9"/>
      <c r="C119" s="10"/>
      <c r="D119" s="10"/>
      <c r="E119" s="10"/>
      <c r="F119" s="10"/>
    </row>
    <row r="120" customFormat="false" ht="15" hidden="false" customHeight="true" outlineLevel="0" collapsed="false">
      <c r="A120" s="10"/>
      <c r="B120" s="9"/>
      <c r="C120" s="10"/>
      <c r="D120" s="10"/>
      <c r="E120" s="10"/>
      <c r="F120" s="10"/>
    </row>
    <row r="121" customFormat="false" ht="15" hidden="false" customHeight="true" outlineLevel="0" collapsed="false">
      <c r="A121" s="10"/>
      <c r="B121" s="9"/>
      <c r="C121" s="10"/>
      <c r="D121" s="10"/>
      <c r="E121" s="10"/>
      <c r="F121" s="10"/>
    </row>
    <row r="122" customFormat="false" ht="15" hidden="false" customHeight="true" outlineLevel="0" collapsed="false">
      <c r="A122" s="10"/>
      <c r="B122" s="9"/>
      <c r="C122" s="10"/>
      <c r="D122" s="10"/>
      <c r="E122" s="10"/>
      <c r="F122" s="10"/>
    </row>
    <row r="123" customFormat="false" ht="15" hidden="false" customHeight="true" outlineLevel="0" collapsed="false">
      <c r="A123" s="10"/>
      <c r="B123" s="9"/>
      <c r="C123" s="10"/>
      <c r="D123" s="10"/>
      <c r="E123" s="10"/>
      <c r="F123" s="10"/>
    </row>
    <row r="124" customFormat="false" ht="15" hidden="false" customHeight="true" outlineLevel="0" collapsed="false">
      <c r="A124" s="10"/>
      <c r="B124" s="9"/>
      <c r="C124" s="10"/>
      <c r="D124" s="10"/>
      <c r="E124" s="10"/>
      <c r="F124" s="10"/>
    </row>
    <row r="125" customFormat="false" ht="15" hidden="false" customHeight="true" outlineLevel="0" collapsed="false">
      <c r="A125" s="10"/>
      <c r="B125" s="9"/>
      <c r="C125" s="10"/>
      <c r="D125" s="10"/>
      <c r="E125" s="10"/>
      <c r="F125" s="10"/>
    </row>
    <row r="126" customFormat="false" ht="15" hidden="false" customHeight="true" outlineLevel="0" collapsed="false">
      <c r="A126" s="10"/>
      <c r="B126" s="9"/>
      <c r="C126" s="10"/>
      <c r="D126" s="10"/>
      <c r="E126" s="10"/>
      <c r="F126" s="10"/>
    </row>
    <row r="127" customFormat="false" ht="15" hidden="false" customHeight="true" outlineLevel="0" collapsed="false">
      <c r="A127" s="10"/>
      <c r="B127" s="9"/>
      <c r="C127" s="10"/>
      <c r="D127" s="10"/>
      <c r="E127" s="10"/>
      <c r="F127" s="10"/>
    </row>
    <row r="128" customFormat="false" ht="15" hidden="false" customHeight="true" outlineLevel="0" collapsed="false">
      <c r="A128" s="10"/>
      <c r="B128" s="9"/>
      <c r="C128" s="10"/>
      <c r="D128" s="10"/>
      <c r="E128" s="10"/>
      <c r="F128" s="10"/>
    </row>
    <row r="129" customFormat="false" ht="15" hidden="false" customHeight="true" outlineLevel="0" collapsed="false">
      <c r="A129" s="10"/>
      <c r="B129" s="9"/>
      <c r="C129" s="10"/>
      <c r="D129" s="10"/>
      <c r="E129" s="10"/>
      <c r="F129" s="10"/>
    </row>
    <row r="130" customFormat="false" ht="15" hidden="false" customHeight="true" outlineLevel="0" collapsed="false">
      <c r="A130" s="10"/>
      <c r="B130" s="9"/>
      <c r="C130" s="10"/>
      <c r="D130" s="10"/>
      <c r="E130" s="10"/>
      <c r="F130" s="10"/>
    </row>
    <row r="131" customFormat="false" ht="15" hidden="false" customHeight="true" outlineLevel="0" collapsed="false">
      <c r="A131" s="10"/>
      <c r="B131" s="9"/>
      <c r="C131" s="10"/>
      <c r="D131" s="10"/>
      <c r="E131" s="10"/>
      <c r="F131" s="10"/>
    </row>
    <row r="132" customFormat="false" ht="15" hidden="false" customHeight="true" outlineLevel="0" collapsed="false">
      <c r="A132" s="10"/>
      <c r="B132" s="9"/>
      <c r="C132" s="10"/>
      <c r="D132" s="10"/>
      <c r="E132" s="10"/>
      <c r="F132" s="10"/>
    </row>
    <row r="133" customFormat="false" ht="15" hidden="false" customHeight="true" outlineLevel="0" collapsed="false">
      <c r="A133" s="10"/>
      <c r="B133" s="9"/>
      <c r="C133" s="10"/>
      <c r="D133" s="10"/>
      <c r="E133" s="10"/>
      <c r="F133" s="10"/>
    </row>
    <row r="134" customFormat="false" ht="15" hidden="false" customHeight="true" outlineLevel="0" collapsed="false">
      <c r="A134" s="10"/>
      <c r="B134" s="9"/>
      <c r="C134" s="10"/>
      <c r="D134" s="10"/>
      <c r="E134" s="10"/>
      <c r="F134" s="10"/>
    </row>
    <row r="135" customFormat="false" ht="15" hidden="false" customHeight="true" outlineLevel="0" collapsed="false">
      <c r="A135" s="10"/>
      <c r="B135" s="9"/>
      <c r="C135" s="10"/>
      <c r="D135" s="10"/>
      <c r="E135" s="10"/>
      <c r="F135" s="10"/>
    </row>
    <row r="136" customFormat="false" ht="15" hidden="false" customHeight="true" outlineLevel="0" collapsed="false">
      <c r="A136" s="10"/>
      <c r="B136" s="9"/>
      <c r="C136" s="10"/>
      <c r="D136" s="10"/>
      <c r="E136" s="10"/>
      <c r="F136" s="10"/>
    </row>
    <row r="137" customFormat="false" ht="15" hidden="false" customHeight="true" outlineLevel="0" collapsed="false">
      <c r="A137" s="10"/>
      <c r="B137" s="9"/>
      <c r="C137" s="10"/>
      <c r="D137" s="10"/>
      <c r="E137" s="10"/>
      <c r="F137" s="10"/>
    </row>
    <row r="138" customFormat="false" ht="15" hidden="false" customHeight="true" outlineLevel="0" collapsed="false">
      <c r="A138" s="10"/>
      <c r="B138" s="9"/>
      <c r="C138" s="10"/>
      <c r="D138" s="10"/>
      <c r="E138" s="10"/>
      <c r="F138" s="10"/>
    </row>
    <row r="139" customFormat="false" ht="15" hidden="false" customHeight="true" outlineLevel="0" collapsed="false">
      <c r="A139" s="10"/>
      <c r="B139" s="9"/>
      <c r="C139" s="10"/>
      <c r="D139" s="10"/>
      <c r="E139" s="10"/>
      <c r="F139" s="10"/>
    </row>
    <row r="140" customFormat="false" ht="15" hidden="false" customHeight="true" outlineLevel="0" collapsed="false">
      <c r="A140" s="10"/>
      <c r="B140" s="9"/>
      <c r="C140" s="10"/>
      <c r="D140" s="10"/>
      <c r="E140" s="10"/>
      <c r="F140" s="10"/>
    </row>
    <row r="141" customFormat="false" ht="15" hidden="false" customHeight="true" outlineLevel="0" collapsed="false">
      <c r="A141" s="10"/>
      <c r="B141" s="9"/>
      <c r="C141" s="10"/>
      <c r="D141" s="10"/>
      <c r="E141" s="10"/>
      <c r="F141" s="10"/>
    </row>
    <row r="142" customFormat="false" ht="15" hidden="false" customHeight="true" outlineLevel="0" collapsed="false">
      <c r="A142" s="10"/>
      <c r="B142" s="9"/>
      <c r="C142" s="10"/>
      <c r="D142" s="10"/>
      <c r="E142" s="10"/>
      <c r="F142" s="10"/>
    </row>
    <row r="143" customFormat="false" ht="15" hidden="false" customHeight="true" outlineLevel="0" collapsed="false">
      <c r="A143" s="10"/>
      <c r="B143" s="9"/>
      <c r="C143" s="10"/>
      <c r="D143" s="10"/>
      <c r="E143" s="10"/>
      <c r="F143" s="10"/>
    </row>
    <row r="144" customFormat="false" ht="15" hidden="false" customHeight="true" outlineLevel="0" collapsed="false">
      <c r="A144" s="10"/>
      <c r="B144" s="9"/>
      <c r="C144" s="10"/>
      <c r="D144" s="10"/>
      <c r="E144" s="10"/>
      <c r="F144" s="10"/>
    </row>
    <row r="145" customFormat="false" ht="15" hidden="false" customHeight="true" outlineLevel="0" collapsed="false">
      <c r="A145" s="10"/>
      <c r="B145" s="9"/>
      <c r="C145" s="10"/>
      <c r="D145" s="10"/>
      <c r="E145" s="10"/>
      <c r="F145" s="10"/>
    </row>
    <row r="146" customFormat="false" ht="15" hidden="false" customHeight="true" outlineLevel="0" collapsed="false">
      <c r="A146" s="10"/>
      <c r="B146" s="9"/>
      <c r="C146" s="10"/>
      <c r="D146" s="10"/>
      <c r="E146" s="10"/>
      <c r="F146" s="10"/>
    </row>
    <row r="147" customFormat="false" ht="15" hidden="false" customHeight="true" outlineLevel="0" collapsed="false">
      <c r="A147" s="10"/>
      <c r="B147" s="9"/>
      <c r="C147" s="10"/>
      <c r="D147" s="10"/>
      <c r="E147" s="10"/>
      <c r="F147" s="10"/>
    </row>
    <row r="148" customFormat="false" ht="15" hidden="false" customHeight="true" outlineLevel="0" collapsed="false">
      <c r="A148" s="10"/>
      <c r="B148" s="9"/>
      <c r="C148" s="10"/>
      <c r="D148" s="10"/>
      <c r="E148" s="10"/>
      <c r="F148" s="10"/>
    </row>
    <row r="149" customFormat="false" ht="15" hidden="false" customHeight="true" outlineLevel="0" collapsed="false">
      <c r="A149" s="10"/>
      <c r="B149" s="9"/>
      <c r="C149" s="10"/>
      <c r="D149" s="10"/>
      <c r="E149" s="10"/>
      <c r="F149" s="10"/>
    </row>
    <row r="150" customFormat="false" ht="15" hidden="false" customHeight="true" outlineLevel="0" collapsed="false">
      <c r="A150" s="10"/>
      <c r="B150" s="9"/>
      <c r="C150" s="10"/>
      <c r="D150" s="10"/>
      <c r="E150" s="10"/>
      <c r="F150" s="10"/>
    </row>
    <row r="151" customFormat="false" ht="15" hidden="false" customHeight="true" outlineLevel="0" collapsed="false">
      <c r="A151" s="10"/>
      <c r="B151" s="9"/>
      <c r="C151" s="10"/>
      <c r="D151" s="10"/>
      <c r="E151" s="10"/>
      <c r="F151" s="10"/>
    </row>
    <row r="152" customFormat="false" ht="15" hidden="false" customHeight="true" outlineLevel="0" collapsed="false">
      <c r="A152" s="10"/>
      <c r="B152" s="9"/>
      <c r="C152" s="10"/>
      <c r="D152" s="10"/>
      <c r="E152" s="10"/>
      <c r="F152" s="10"/>
    </row>
    <row r="153" customFormat="false" ht="15" hidden="false" customHeight="true" outlineLevel="0" collapsed="false">
      <c r="A153" s="10"/>
      <c r="B153" s="9"/>
      <c r="C153" s="10"/>
      <c r="D153" s="10"/>
      <c r="E153" s="10"/>
      <c r="F153" s="10"/>
    </row>
    <row r="154" customFormat="false" ht="15" hidden="false" customHeight="true" outlineLevel="0" collapsed="false">
      <c r="A154" s="10"/>
      <c r="B154" s="9"/>
      <c r="C154" s="10"/>
      <c r="D154" s="10"/>
      <c r="E154" s="10"/>
      <c r="F154" s="10"/>
    </row>
    <row r="155" customFormat="false" ht="15" hidden="false" customHeight="true" outlineLevel="0" collapsed="false">
      <c r="A155" s="10"/>
      <c r="B155" s="9"/>
      <c r="C155" s="10"/>
      <c r="D155" s="10"/>
      <c r="E155" s="10"/>
      <c r="F155" s="10"/>
    </row>
    <row r="156" customFormat="false" ht="15" hidden="false" customHeight="true" outlineLevel="0" collapsed="false">
      <c r="A156" s="10"/>
      <c r="B156" s="9"/>
      <c r="C156" s="10"/>
      <c r="D156" s="10"/>
      <c r="E156" s="10"/>
      <c r="F156" s="10"/>
    </row>
    <row r="157" customFormat="false" ht="15" hidden="false" customHeight="true" outlineLevel="0" collapsed="false">
      <c r="A157" s="10"/>
      <c r="B157" s="9"/>
      <c r="C157" s="10"/>
      <c r="D157" s="10"/>
      <c r="E157" s="10"/>
      <c r="F157" s="10"/>
    </row>
    <row r="158" customFormat="false" ht="15" hidden="false" customHeight="true" outlineLevel="0" collapsed="false">
      <c r="A158" s="10"/>
      <c r="B158" s="9"/>
      <c r="C158" s="10"/>
      <c r="D158" s="10"/>
      <c r="E158" s="10"/>
      <c r="F158" s="10"/>
    </row>
    <row r="159" customFormat="false" ht="15" hidden="false" customHeight="true" outlineLevel="0" collapsed="false">
      <c r="A159" s="10"/>
      <c r="B159" s="9"/>
      <c r="C159" s="10"/>
      <c r="D159" s="10"/>
      <c r="E159" s="10"/>
      <c r="F159" s="10"/>
    </row>
    <row r="160" customFormat="false" ht="15" hidden="false" customHeight="true" outlineLevel="0" collapsed="false">
      <c r="A160" s="10"/>
      <c r="B160" s="9"/>
      <c r="C160" s="10"/>
      <c r="D160" s="10"/>
      <c r="E160" s="10"/>
      <c r="F160" s="10"/>
    </row>
    <row r="161" customFormat="false" ht="15" hidden="false" customHeight="true" outlineLevel="0" collapsed="false">
      <c r="A161" s="10"/>
      <c r="B161" s="9"/>
      <c r="C161" s="10"/>
      <c r="D161" s="10"/>
      <c r="E161" s="10"/>
      <c r="F161" s="10"/>
    </row>
    <row r="162" customFormat="false" ht="15" hidden="false" customHeight="true" outlineLevel="0" collapsed="false">
      <c r="A162" s="10"/>
      <c r="B162" s="9"/>
      <c r="C162" s="10"/>
      <c r="D162" s="10"/>
      <c r="E162" s="10"/>
      <c r="F162" s="10"/>
    </row>
    <row r="163" customFormat="false" ht="15" hidden="false" customHeight="true" outlineLevel="0" collapsed="false">
      <c r="A163" s="10"/>
      <c r="B163" s="9"/>
      <c r="C163" s="10"/>
      <c r="D163" s="10"/>
      <c r="E163" s="10"/>
      <c r="F163" s="10"/>
    </row>
    <row r="164" customFormat="false" ht="15" hidden="false" customHeight="true" outlineLevel="0" collapsed="false">
      <c r="A164" s="10"/>
      <c r="B164" s="9"/>
      <c r="C164" s="10"/>
      <c r="D164" s="10"/>
      <c r="E164" s="10"/>
      <c r="F164" s="10"/>
    </row>
    <row r="165" customFormat="false" ht="15" hidden="false" customHeight="true" outlineLevel="0" collapsed="false">
      <c r="A165" s="10"/>
      <c r="B165" s="9"/>
      <c r="C165" s="10"/>
      <c r="D165" s="10"/>
      <c r="E165" s="10"/>
      <c r="F165" s="10"/>
    </row>
    <row r="166" customFormat="false" ht="15" hidden="false" customHeight="true" outlineLevel="0" collapsed="false">
      <c r="A166" s="10"/>
      <c r="B166" s="9"/>
      <c r="C166" s="10"/>
      <c r="D166" s="10"/>
      <c r="E166" s="10"/>
      <c r="F166" s="10"/>
    </row>
    <row r="167" customFormat="false" ht="15" hidden="false" customHeight="true" outlineLevel="0" collapsed="false">
      <c r="A167" s="10"/>
      <c r="B167" s="9"/>
      <c r="C167" s="10"/>
      <c r="D167" s="10"/>
      <c r="E167" s="10"/>
      <c r="F167" s="10"/>
    </row>
    <row r="168" customFormat="false" ht="15" hidden="false" customHeight="true" outlineLevel="0" collapsed="false">
      <c r="A168" s="10"/>
      <c r="B168" s="9"/>
      <c r="C168" s="10"/>
      <c r="D168" s="10"/>
      <c r="E168" s="10"/>
      <c r="F168" s="10"/>
    </row>
    <row r="169" customFormat="false" ht="15" hidden="false" customHeight="true" outlineLevel="0" collapsed="false">
      <c r="A169" s="10"/>
      <c r="B169" s="9"/>
      <c r="C169" s="10"/>
      <c r="D169" s="10"/>
      <c r="E169" s="10"/>
      <c r="F169" s="10"/>
    </row>
    <row r="170" customFormat="false" ht="15" hidden="false" customHeight="true" outlineLevel="0" collapsed="false">
      <c r="A170" s="10"/>
      <c r="B170" s="9"/>
      <c r="C170" s="10"/>
      <c r="D170" s="10"/>
      <c r="E170" s="10"/>
      <c r="F170" s="10"/>
    </row>
    <row r="171" customFormat="false" ht="15" hidden="false" customHeight="true" outlineLevel="0" collapsed="false">
      <c r="A171" s="10"/>
      <c r="B171" s="9"/>
      <c r="C171" s="10"/>
      <c r="D171" s="10"/>
      <c r="E171" s="10"/>
      <c r="F171" s="10"/>
    </row>
    <row r="172" customFormat="false" ht="15" hidden="false" customHeight="true" outlineLevel="0" collapsed="false">
      <c r="A172" s="10"/>
      <c r="B172" s="9"/>
      <c r="C172" s="10"/>
      <c r="D172" s="10"/>
      <c r="E172" s="10"/>
      <c r="F172" s="10"/>
    </row>
    <row r="173" customFormat="false" ht="15" hidden="false" customHeight="true" outlineLevel="0" collapsed="false">
      <c r="A173" s="10"/>
      <c r="B173" s="9"/>
      <c r="C173" s="10"/>
      <c r="D173" s="10"/>
      <c r="E173" s="10"/>
      <c r="F173" s="10"/>
    </row>
    <row r="174" customFormat="false" ht="15" hidden="false" customHeight="true" outlineLevel="0" collapsed="false">
      <c r="A174" s="10"/>
      <c r="B174" s="9"/>
      <c r="C174" s="10"/>
      <c r="D174" s="10"/>
      <c r="E174" s="10"/>
      <c r="F174" s="10"/>
    </row>
    <row r="175" customFormat="false" ht="15" hidden="false" customHeight="true" outlineLevel="0" collapsed="false">
      <c r="A175" s="10"/>
      <c r="B175" s="9"/>
      <c r="C175" s="10"/>
      <c r="D175" s="10"/>
      <c r="E175" s="10"/>
      <c r="F175" s="10"/>
    </row>
    <row r="176" customFormat="false" ht="15" hidden="false" customHeight="true" outlineLevel="0" collapsed="false">
      <c r="A176" s="10"/>
      <c r="B176" s="9"/>
      <c r="C176" s="10"/>
      <c r="D176" s="10"/>
      <c r="E176" s="10"/>
      <c r="F176" s="10"/>
    </row>
    <row r="177" customFormat="false" ht="15" hidden="false" customHeight="true" outlineLevel="0" collapsed="false">
      <c r="A177" s="10"/>
      <c r="B177" s="9"/>
      <c r="C177" s="10"/>
      <c r="D177" s="10"/>
      <c r="E177" s="10"/>
      <c r="F177" s="10"/>
    </row>
    <row r="178" customFormat="false" ht="15" hidden="false" customHeight="true" outlineLevel="0" collapsed="false">
      <c r="A178" s="10"/>
      <c r="B178" s="9"/>
      <c r="C178" s="10"/>
      <c r="D178" s="10"/>
      <c r="E178" s="10"/>
      <c r="F178" s="10"/>
    </row>
    <row r="179" customFormat="false" ht="15" hidden="false" customHeight="true" outlineLevel="0" collapsed="false">
      <c r="A179" s="10"/>
      <c r="B179" s="9"/>
      <c r="C179" s="10"/>
      <c r="D179" s="10"/>
      <c r="E179" s="10"/>
      <c r="F179" s="10"/>
    </row>
    <row r="180" customFormat="false" ht="15" hidden="false" customHeight="true" outlineLevel="0" collapsed="false">
      <c r="A180" s="10"/>
      <c r="B180" s="9"/>
      <c r="C180" s="10"/>
      <c r="D180" s="10"/>
      <c r="E180" s="10"/>
      <c r="F180" s="10"/>
    </row>
    <row r="181" customFormat="false" ht="15" hidden="false" customHeight="true" outlineLevel="0" collapsed="false">
      <c r="A181" s="10"/>
      <c r="B181" s="9"/>
      <c r="C181" s="10"/>
      <c r="D181" s="10"/>
      <c r="E181" s="10"/>
      <c r="F181" s="10"/>
    </row>
    <row r="182" customFormat="false" ht="15" hidden="false" customHeight="true" outlineLevel="0" collapsed="false">
      <c r="A182" s="10"/>
      <c r="B182" s="9"/>
      <c r="C182" s="10"/>
      <c r="D182" s="10"/>
      <c r="E182" s="10"/>
      <c r="F182" s="10"/>
    </row>
    <row r="183" customFormat="false" ht="15" hidden="false" customHeight="true" outlineLevel="0" collapsed="false">
      <c r="A183" s="10"/>
      <c r="B183" s="9"/>
      <c r="C183" s="10"/>
      <c r="D183" s="10"/>
      <c r="E183" s="10"/>
      <c r="F183" s="10"/>
    </row>
    <row r="184" customFormat="false" ht="15" hidden="false" customHeight="true" outlineLevel="0" collapsed="false">
      <c r="A184" s="10"/>
      <c r="B184" s="9"/>
      <c r="C184" s="10"/>
      <c r="D184" s="10"/>
      <c r="E184" s="10"/>
      <c r="F184" s="10"/>
    </row>
    <row r="185" customFormat="false" ht="15" hidden="false" customHeight="true" outlineLevel="0" collapsed="false">
      <c r="A185" s="10"/>
      <c r="B185" s="9"/>
      <c r="C185" s="10"/>
      <c r="D185" s="10"/>
      <c r="E185" s="10"/>
      <c r="F185" s="10"/>
    </row>
    <row r="186" customFormat="false" ht="15" hidden="false" customHeight="true" outlineLevel="0" collapsed="false">
      <c r="A186" s="10"/>
      <c r="B186" s="9"/>
      <c r="C186" s="10"/>
      <c r="D186" s="10"/>
      <c r="E186" s="10"/>
      <c r="F186" s="10"/>
    </row>
    <row r="187" customFormat="false" ht="15" hidden="false" customHeight="true" outlineLevel="0" collapsed="false">
      <c r="A187" s="10"/>
      <c r="B187" s="9"/>
      <c r="C187" s="10"/>
      <c r="D187" s="10"/>
      <c r="E187" s="10"/>
      <c r="F187" s="10"/>
    </row>
    <row r="188" customFormat="false" ht="15" hidden="false" customHeight="true" outlineLevel="0" collapsed="false">
      <c r="A188" s="10"/>
      <c r="B188" s="9"/>
      <c r="C188" s="10"/>
      <c r="D188" s="10"/>
      <c r="E188" s="10"/>
      <c r="F188" s="10"/>
    </row>
    <row r="189" customFormat="false" ht="15" hidden="false" customHeight="true" outlineLevel="0" collapsed="false">
      <c r="A189" s="10"/>
      <c r="B189" s="9"/>
      <c r="C189" s="10"/>
      <c r="D189" s="10"/>
      <c r="E189" s="10"/>
      <c r="F189" s="10"/>
    </row>
    <row r="190" customFormat="false" ht="15" hidden="false" customHeight="true" outlineLevel="0" collapsed="false">
      <c r="A190" s="10"/>
      <c r="B190" s="9"/>
      <c r="C190" s="10"/>
      <c r="D190" s="10"/>
      <c r="E190" s="10"/>
      <c r="F190" s="10"/>
    </row>
    <row r="191" customFormat="false" ht="15" hidden="false" customHeight="true" outlineLevel="0" collapsed="false">
      <c r="A191" s="10"/>
      <c r="B191" s="9"/>
      <c r="C191" s="10"/>
      <c r="D191" s="10"/>
      <c r="E191" s="10"/>
      <c r="F191" s="10"/>
    </row>
    <row r="192" customFormat="false" ht="15" hidden="false" customHeight="true" outlineLevel="0" collapsed="false">
      <c r="A192" s="10"/>
      <c r="B192" s="9"/>
      <c r="C192" s="10"/>
      <c r="D192" s="10"/>
      <c r="E192" s="10"/>
      <c r="F192" s="10"/>
    </row>
    <row r="193" customFormat="false" ht="15" hidden="false" customHeight="true" outlineLevel="0" collapsed="false">
      <c r="A193" s="10"/>
      <c r="B193" s="9"/>
      <c r="C193" s="10"/>
      <c r="D193" s="10"/>
      <c r="E193" s="10"/>
      <c r="F193" s="10"/>
    </row>
    <row r="194" customFormat="false" ht="15" hidden="false" customHeight="true" outlineLevel="0" collapsed="false">
      <c r="A194" s="10"/>
      <c r="B194" s="9"/>
      <c r="C194" s="10"/>
      <c r="D194" s="10"/>
      <c r="E194" s="10"/>
      <c r="F194" s="10"/>
    </row>
    <row r="195" customFormat="false" ht="15" hidden="false" customHeight="true" outlineLevel="0" collapsed="false">
      <c r="A195" s="10"/>
      <c r="B195" s="9"/>
      <c r="C195" s="10"/>
      <c r="D195" s="10"/>
      <c r="E195" s="10"/>
      <c r="F195" s="10"/>
    </row>
    <row r="196" customFormat="false" ht="15" hidden="false" customHeight="true" outlineLevel="0" collapsed="false">
      <c r="A196" s="10"/>
      <c r="B196" s="9"/>
      <c r="C196" s="10"/>
      <c r="D196" s="10"/>
      <c r="E196" s="10"/>
      <c r="F196" s="10"/>
    </row>
    <row r="197" customFormat="false" ht="15" hidden="false" customHeight="true" outlineLevel="0" collapsed="false">
      <c r="A197" s="10"/>
      <c r="B197" s="9"/>
      <c r="C197" s="10"/>
      <c r="D197" s="10"/>
      <c r="E197" s="10"/>
      <c r="F197" s="10"/>
    </row>
    <row r="198" customFormat="false" ht="15" hidden="false" customHeight="true" outlineLevel="0" collapsed="false">
      <c r="A198" s="10"/>
      <c r="B198" s="9"/>
      <c r="C198" s="10"/>
      <c r="D198" s="10"/>
      <c r="E198" s="10"/>
      <c r="F198" s="10"/>
    </row>
    <row r="199" customFormat="false" ht="15" hidden="false" customHeight="true" outlineLevel="0" collapsed="false">
      <c r="A199" s="10"/>
      <c r="B199" s="9"/>
      <c r="C199" s="10"/>
      <c r="D199" s="10"/>
      <c r="E199" s="10"/>
      <c r="F199" s="10"/>
    </row>
    <row r="200" customFormat="false" ht="15" hidden="false" customHeight="true" outlineLevel="0" collapsed="false">
      <c r="A200" s="10"/>
      <c r="B200" s="9"/>
      <c r="C200" s="10"/>
      <c r="D200" s="10"/>
      <c r="E200" s="10"/>
      <c r="F200" s="10"/>
    </row>
    <row r="201" customFormat="false" ht="15" hidden="false" customHeight="true" outlineLevel="0" collapsed="false">
      <c r="A201" s="10"/>
      <c r="B201" s="9"/>
      <c r="C201" s="10"/>
      <c r="D201" s="10"/>
      <c r="E201" s="10"/>
      <c r="F201" s="10"/>
    </row>
    <row r="202" customFormat="false" ht="15" hidden="false" customHeight="true" outlineLevel="0" collapsed="false">
      <c r="A202" s="10"/>
      <c r="B202" s="9"/>
      <c r="C202" s="10"/>
      <c r="D202" s="10"/>
      <c r="E202" s="10"/>
      <c r="F202" s="10"/>
    </row>
    <row r="203" customFormat="false" ht="15" hidden="false" customHeight="true" outlineLevel="0" collapsed="false">
      <c r="A203" s="10"/>
      <c r="B203" s="9"/>
      <c r="C203" s="10"/>
      <c r="D203" s="10"/>
      <c r="E203" s="10"/>
      <c r="F203" s="10"/>
    </row>
    <row r="204" customFormat="false" ht="15" hidden="false" customHeight="true" outlineLevel="0" collapsed="false">
      <c r="A204" s="10"/>
      <c r="B204" s="9"/>
      <c r="C204" s="10"/>
      <c r="D204" s="10"/>
      <c r="E204" s="10"/>
      <c r="F204" s="10"/>
    </row>
    <row r="205" customFormat="false" ht="15" hidden="false" customHeight="true" outlineLevel="0" collapsed="false">
      <c r="A205" s="10"/>
      <c r="B205" s="9"/>
      <c r="C205" s="10"/>
      <c r="D205" s="10"/>
      <c r="E205" s="10"/>
      <c r="F205" s="10"/>
    </row>
    <row r="206" customFormat="false" ht="15" hidden="false" customHeight="true" outlineLevel="0" collapsed="false">
      <c r="A206" s="10"/>
      <c r="B206" s="9"/>
      <c r="C206" s="10"/>
      <c r="D206" s="10"/>
      <c r="E206" s="10"/>
      <c r="F206" s="10"/>
    </row>
    <row r="207" customFormat="false" ht="15" hidden="false" customHeight="true" outlineLevel="0" collapsed="false">
      <c r="A207" s="10"/>
      <c r="B207" s="9"/>
      <c r="C207" s="10"/>
      <c r="D207" s="10"/>
      <c r="E207" s="10"/>
      <c r="F207" s="10"/>
    </row>
    <row r="208" customFormat="false" ht="15" hidden="false" customHeight="true" outlineLevel="0" collapsed="false">
      <c r="A208" s="10"/>
      <c r="B208" s="9"/>
      <c r="C208" s="10"/>
      <c r="D208" s="10"/>
      <c r="E208" s="10"/>
      <c r="F208" s="10"/>
    </row>
    <row r="209" customFormat="false" ht="15" hidden="false" customHeight="true" outlineLevel="0" collapsed="false">
      <c r="A209" s="10"/>
      <c r="B209" s="9"/>
      <c r="C209" s="10"/>
      <c r="D209" s="10"/>
      <c r="E209" s="10"/>
      <c r="F209" s="10"/>
    </row>
    <row r="210" customFormat="false" ht="15" hidden="false" customHeight="true" outlineLevel="0" collapsed="false">
      <c r="A210" s="10"/>
      <c r="B210" s="9"/>
      <c r="C210" s="10"/>
      <c r="D210" s="10"/>
      <c r="E210" s="10"/>
      <c r="F210" s="10"/>
    </row>
    <row r="211" customFormat="false" ht="15" hidden="false" customHeight="true" outlineLevel="0" collapsed="false">
      <c r="A211" s="10"/>
      <c r="B211" s="9"/>
      <c r="C211" s="10"/>
      <c r="D211" s="10"/>
      <c r="E211" s="10"/>
      <c r="F211" s="10"/>
    </row>
    <row r="212" customFormat="false" ht="15" hidden="false" customHeight="true" outlineLevel="0" collapsed="false">
      <c r="A212" s="10"/>
      <c r="B212" s="9"/>
      <c r="C212" s="10"/>
      <c r="D212" s="10"/>
      <c r="E212" s="10"/>
      <c r="F212" s="10"/>
    </row>
    <row r="213" customFormat="false" ht="15" hidden="false" customHeight="true" outlineLevel="0" collapsed="false">
      <c r="A213" s="10"/>
      <c r="B213" s="9"/>
      <c r="C213" s="10"/>
      <c r="D213" s="10"/>
      <c r="E213" s="10"/>
      <c r="F213" s="10"/>
    </row>
    <row r="214" customFormat="false" ht="15" hidden="false" customHeight="true" outlineLevel="0" collapsed="false">
      <c r="A214" s="10"/>
      <c r="B214" s="9"/>
      <c r="C214" s="10"/>
      <c r="D214" s="10"/>
      <c r="E214" s="10"/>
      <c r="F214" s="10"/>
    </row>
    <row r="215" customFormat="false" ht="15" hidden="false" customHeight="true" outlineLevel="0" collapsed="false">
      <c r="A215" s="10"/>
      <c r="B215" s="9"/>
      <c r="C215" s="10"/>
      <c r="D215" s="10"/>
      <c r="E215" s="10"/>
      <c r="F215" s="10"/>
    </row>
    <row r="216" customFormat="false" ht="15" hidden="false" customHeight="true" outlineLevel="0" collapsed="false">
      <c r="A216" s="10"/>
      <c r="B216" s="9"/>
      <c r="C216" s="10"/>
      <c r="D216" s="10"/>
      <c r="E216" s="10"/>
      <c r="F216" s="10"/>
    </row>
    <row r="217" customFormat="false" ht="15" hidden="false" customHeight="true" outlineLevel="0" collapsed="false">
      <c r="A217" s="10"/>
      <c r="B217" s="9"/>
      <c r="C217" s="10"/>
      <c r="D217" s="10"/>
      <c r="E217" s="10"/>
      <c r="F217" s="10"/>
    </row>
    <row r="218" customFormat="false" ht="15" hidden="false" customHeight="true" outlineLevel="0" collapsed="false">
      <c r="A218" s="10"/>
      <c r="B218" s="9"/>
      <c r="C218" s="10"/>
      <c r="D218" s="10"/>
      <c r="E218" s="10"/>
      <c r="F218" s="10"/>
    </row>
    <row r="219" customFormat="false" ht="15" hidden="false" customHeight="true" outlineLevel="0" collapsed="false">
      <c r="A219" s="10"/>
      <c r="B219" s="9"/>
      <c r="C219" s="10"/>
      <c r="D219" s="10"/>
      <c r="E219" s="10"/>
      <c r="F219" s="10"/>
    </row>
    <row r="220" customFormat="false" ht="15" hidden="false" customHeight="true" outlineLevel="0" collapsed="false">
      <c r="A220" s="10"/>
      <c r="B220" s="9"/>
      <c r="C220" s="10"/>
      <c r="D220" s="10"/>
      <c r="E220" s="10"/>
      <c r="F220" s="10"/>
    </row>
    <row r="221" customFormat="false" ht="15" hidden="false" customHeight="true" outlineLevel="0" collapsed="false">
      <c r="A221" s="10"/>
      <c r="B221" s="9"/>
      <c r="C221" s="10"/>
      <c r="D221" s="10"/>
      <c r="E221" s="10"/>
      <c r="F221" s="10"/>
    </row>
    <row r="222" customFormat="false" ht="15" hidden="false" customHeight="true" outlineLevel="0" collapsed="false">
      <c r="A222" s="10"/>
      <c r="B222" s="9"/>
      <c r="C222" s="10"/>
      <c r="D222" s="10"/>
      <c r="E222" s="10"/>
      <c r="F222" s="10"/>
    </row>
    <row r="223" customFormat="false" ht="15" hidden="false" customHeight="true" outlineLevel="0" collapsed="false">
      <c r="A223" s="10"/>
      <c r="B223" s="9"/>
      <c r="C223" s="10"/>
      <c r="D223" s="10"/>
      <c r="E223" s="10"/>
      <c r="F223" s="10"/>
    </row>
    <row r="224" customFormat="false" ht="15" hidden="false" customHeight="true" outlineLevel="0" collapsed="false">
      <c r="A224" s="10"/>
      <c r="B224" s="9"/>
      <c r="C224" s="10"/>
      <c r="D224" s="10"/>
      <c r="E224" s="10"/>
      <c r="F224" s="10"/>
    </row>
    <row r="225" customFormat="false" ht="15" hidden="false" customHeight="true" outlineLevel="0" collapsed="false">
      <c r="A225" s="10"/>
      <c r="B225" s="9"/>
      <c r="C225" s="10"/>
      <c r="D225" s="10"/>
      <c r="E225" s="10"/>
      <c r="F225" s="10"/>
    </row>
    <row r="226" customFormat="false" ht="15" hidden="false" customHeight="true" outlineLevel="0" collapsed="false">
      <c r="A226" s="10"/>
      <c r="B226" s="9"/>
      <c r="C226" s="10"/>
      <c r="D226" s="10"/>
      <c r="E226" s="10"/>
      <c r="F226" s="10"/>
    </row>
    <row r="227" customFormat="false" ht="15" hidden="false" customHeight="true" outlineLevel="0" collapsed="false">
      <c r="A227" s="10"/>
      <c r="B227" s="9"/>
      <c r="C227" s="10"/>
      <c r="D227" s="10"/>
      <c r="E227" s="10"/>
      <c r="F227" s="10"/>
    </row>
    <row r="228" customFormat="false" ht="15" hidden="false" customHeight="true" outlineLevel="0" collapsed="false">
      <c r="A228" s="10"/>
      <c r="B228" s="9"/>
      <c r="C228" s="10"/>
      <c r="D228" s="10"/>
      <c r="E228" s="10"/>
      <c r="F228" s="10"/>
    </row>
    <row r="229" customFormat="false" ht="15" hidden="false" customHeight="true" outlineLevel="0" collapsed="false">
      <c r="A229" s="10"/>
      <c r="B229" s="9"/>
      <c r="C229" s="10"/>
      <c r="D229" s="10"/>
      <c r="E229" s="10"/>
      <c r="F229" s="10"/>
    </row>
    <row r="230" customFormat="false" ht="15" hidden="false" customHeight="true" outlineLevel="0" collapsed="false">
      <c r="A230" s="10"/>
      <c r="B230" s="9"/>
      <c r="C230" s="10"/>
      <c r="D230" s="10"/>
      <c r="E230" s="10"/>
      <c r="F230" s="10"/>
    </row>
    <row r="231" customFormat="false" ht="15" hidden="false" customHeight="true" outlineLevel="0" collapsed="false">
      <c r="A231" s="10"/>
      <c r="B231" s="9"/>
      <c r="C231" s="10"/>
      <c r="D231" s="10"/>
      <c r="E231" s="10"/>
      <c r="F231" s="10"/>
    </row>
    <row r="232" customFormat="false" ht="15" hidden="false" customHeight="true" outlineLevel="0" collapsed="false">
      <c r="A232" s="10"/>
      <c r="B232" s="9"/>
      <c r="C232" s="10"/>
      <c r="D232" s="10"/>
      <c r="E232" s="10"/>
      <c r="F232" s="10"/>
    </row>
    <row r="233" customFormat="false" ht="15" hidden="false" customHeight="true" outlineLevel="0" collapsed="false">
      <c r="A233" s="10"/>
      <c r="B233" s="9"/>
      <c r="C233" s="10"/>
      <c r="D233" s="10"/>
      <c r="E233" s="10"/>
      <c r="F233" s="10"/>
    </row>
    <row r="234" customFormat="false" ht="15" hidden="false" customHeight="true" outlineLevel="0" collapsed="false">
      <c r="A234" s="10"/>
      <c r="B234" s="9"/>
      <c r="C234" s="10"/>
      <c r="D234" s="10"/>
      <c r="E234" s="10"/>
      <c r="F234" s="10"/>
    </row>
    <row r="235" customFormat="false" ht="15" hidden="false" customHeight="true" outlineLevel="0" collapsed="false">
      <c r="A235" s="10"/>
      <c r="B235" s="9"/>
      <c r="C235" s="10"/>
      <c r="D235" s="10"/>
      <c r="E235" s="10"/>
      <c r="F235" s="10"/>
    </row>
    <row r="236" customFormat="false" ht="15" hidden="false" customHeight="true" outlineLevel="0" collapsed="false">
      <c r="A236" s="10"/>
      <c r="B236" s="9"/>
      <c r="C236" s="10"/>
      <c r="D236" s="10"/>
      <c r="E236" s="10"/>
      <c r="F236" s="10"/>
    </row>
    <row r="237" customFormat="false" ht="15" hidden="false" customHeight="true" outlineLevel="0" collapsed="false">
      <c r="A237" s="10"/>
      <c r="B237" s="9"/>
      <c r="C237" s="10"/>
      <c r="D237" s="10"/>
      <c r="E237" s="10"/>
      <c r="F237" s="10"/>
    </row>
    <row r="238" customFormat="false" ht="15" hidden="false" customHeight="true" outlineLevel="0" collapsed="false">
      <c r="A238" s="10"/>
      <c r="B238" s="9"/>
      <c r="C238" s="10"/>
      <c r="D238" s="10"/>
      <c r="E238" s="10"/>
      <c r="F238" s="10"/>
    </row>
    <row r="239" customFormat="false" ht="15" hidden="false" customHeight="true" outlineLevel="0" collapsed="false">
      <c r="A239" s="10"/>
      <c r="B239" s="9"/>
      <c r="C239" s="10"/>
      <c r="D239" s="10"/>
      <c r="E239" s="10"/>
      <c r="F239" s="10"/>
    </row>
    <row r="240" customFormat="false" ht="15" hidden="false" customHeight="true" outlineLevel="0" collapsed="false">
      <c r="A240" s="10"/>
      <c r="B240" s="9"/>
      <c r="C240" s="10"/>
      <c r="D240" s="10"/>
      <c r="E240" s="10"/>
      <c r="F240" s="10"/>
    </row>
    <row r="241" customFormat="false" ht="15" hidden="false" customHeight="true" outlineLevel="0" collapsed="false">
      <c r="A241" s="10"/>
      <c r="B241" s="9"/>
      <c r="C241" s="10"/>
      <c r="D241" s="10"/>
      <c r="E241" s="10"/>
      <c r="F241" s="10"/>
    </row>
    <row r="242" customFormat="false" ht="15" hidden="false" customHeight="true" outlineLevel="0" collapsed="false">
      <c r="A242" s="10"/>
      <c r="B242" s="9"/>
      <c r="C242" s="10"/>
      <c r="D242" s="10"/>
      <c r="E242" s="10"/>
      <c r="F242" s="10"/>
    </row>
    <row r="243" customFormat="false" ht="15" hidden="false" customHeight="true" outlineLevel="0" collapsed="false">
      <c r="A243" s="10"/>
      <c r="B243" s="9"/>
      <c r="C243" s="10"/>
      <c r="D243" s="10"/>
      <c r="E243" s="10"/>
      <c r="F243" s="10"/>
    </row>
    <row r="244" customFormat="false" ht="15" hidden="false" customHeight="true" outlineLevel="0" collapsed="false">
      <c r="A244" s="10"/>
      <c r="B244" s="9"/>
      <c r="C244" s="10"/>
      <c r="D244" s="10"/>
      <c r="E244" s="10"/>
      <c r="F244" s="10"/>
    </row>
    <row r="245" customFormat="false" ht="15" hidden="false" customHeight="true" outlineLevel="0" collapsed="false">
      <c r="A245" s="10"/>
      <c r="B245" s="9"/>
      <c r="C245" s="10"/>
      <c r="D245" s="10"/>
      <c r="E245" s="10"/>
      <c r="F245" s="10"/>
    </row>
    <row r="246" customFormat="false" ht="15" hidden="false" customHeight="true" outlineLevel="0" collapsed="false">
      <c r="A246" s="10"/>
      <c r="B246" s="9"/>
      <c r="C246" s="10"/>
      <c r="D246" s="10"/>
      <c r="E246" s="10"/>
      <c r="F246" s="10"/>
    </row>
    <row r="247" customFormat="false" ht="15" hidden="false" customHeight="true" outlineLevel="0" collapsed="false">
      <c r="A247" s="10"/>
      <c r="B247" s="9"/>
      <c r="C247" s="10"/>
      <c r="D247" s="10"/>
      <c r="E247" s="10"/>
      <c r="F247" s="10"/>
    </row>
    <row r="248" customFormat="false" ht="15" hidden="false" customHeight="true" outlineLevel="0" collapsed="false">
      <c r="A248" s="10"/>
      <c r="B248" s="9"/>
      <c r="C248" s="10"/>
      <c r="D248" s="10"/>
      <c r="E248" s="10"/>
      <c r="F248" s="10"/>
    </row>
    <row r="249" customFormat="false" ht="15" hidden="false" customHeight="true" outlineLevel="0" collapsed="false">
      <c r="A249" s="10"/>
      <c r="B249" s="9"/>
      <c r="C249" s="10"/>
      <c r="D249" s="10"/>
      <c r="E249" s="10"/>
      <c r="F249" s="10"/>
    </row>
    <row r="250" customFormat="false" ht="15" hidden="false" customHeight="true" outlineLevel="0" collapsed="false">
      <c r="A250" s="10"/>
      <c r="B250" s="9"/>
      <c r="C250" s="10"/>
      <c r="D250" s="10"/>
      <c r="E250" s="10"/>
      <c r="F250" s="10"/>
    </row>
    <row r="251" customFormat="false" ht="15" hidden="false" customHeight="true" outlineLevel="0" collapsed="false">
      <c r="A251" s="10"/>
      <c r="B251" s="9"/>
      <c r="C251" s="10"/>
      <c r="D251" s="10"/>
      <c r="E251" s="10"/>
      <c r="F251" s="10"/>
    </row>
    <row r="252" customFormat="false" ht="15" hidden="false" customHeight="true" outlineLevel="0" collapsed="false">
      <c r="A252" s="10"/>
      <c r="B252" s="9"/>
      <c r="C252" s="10"/>
      <c r="D252" s="10"/>
      <c r="E252" s="10"/>
      <c r="F252" s="10"/>
    </row>
    <row r="253" customFormat="false" ht="15" hidden="false" customHeight="true" outlineLevel="0" collapsed="false">
      <c r="A253" s="10"/>
      <c r="B253" s="9"/>
      <c r="C253" s="10"/>
      <c r="D253" s="10"/>
      <c r="E253" s="10"/>
      <c r="F253" s="10"/>
    </row>
    <row r="254" customFormat="false" ht="15" hidden="false" customHeight="true" outlineLevel="0" collapsed="false">
      <c r="A254" s="10"/>
      <c r="B254" s="9"/>
      <c r="C254" s="10"/>
      <c r="D254" s="10"/>
      <c r="E254" s="10"/>
      <c r="F254" s="10"/>
    </row>
    <row r="255" customFormat="false" ht="15" hidden="false" customHeight="true" outlineLevel="0" collapsed="false">
      <c r="A255" s="10"/>
      <c r="B255" s="9"/>
      <c r="C255" s="10"/>
      <c r="D255" s="10"/>
      <c r="E255" s="10"/>
      <c r="F255" s="10"/>
    </row>
    <row r="256" customFormat="false" ht="15" hidden="false" customHeight="true" outlineLevel="0" collapsed="false">
      <c r="A256" s="10"/>
      <c r="B256" s="9"/>
      <c r="C256" s="10"/>
      <c r="D256" s="10"/>
      <c r="E256" s="10"/>
      <c r="F256" s="10"/>
    </row>
    <row r="257" customFormat="false" ht="15" hidden="false" customHeight="true" outlineLevel="0" collapsed="false">
      <c r="A257" s="10"/>
      <c r="B257" s="9"/>
      <c r="C257" s="10"/>
      <c r="D257" s="10"/>
      <c r="E257" s="10"/>
      <c r="F257" s="10"/>
    </row>
    <row r="258" customFormat="false" ht="15" hidden="false" customHeight="true" outlineLevel="0" collapsed="false">
      <c r="A258" s="10"/>
      <c r="B258" s="9"/>
      <c r="C258" s="10"/>
      <c r="D258" s="10"/>
      <c r="E258" s="10"/>
      <c r="F258" s="10"/>
    </row>
    <row r="259" customFormat="false" ht="15" hidden="false" customHeight="true" outlineLevel="0" collapsed="false">
      <c r="A259" s="10"/>
      <c r="B259" s="9"/>
      <c r="C259" s="10"/>
      <c r="D259" s="10"/>
      <c r="E259" s="10"/>
      <c r="F259" s="10"/>
    </row>
    <row r="260" customFormat="false" ht="15" hidden="false" customHeight="true" outlineLevel="0" collapsed="false">
      <c r="A260" s="10"/>
      <c r="B260" s="9"/>
      <c r="C260" s="10"/>
      <c r="D260" s="10"/>
      <c r="E260" s="10"/>
      <c r="F260" s="10"/>
    </row>
    <row r="261" customFormat="false" ht="15" hidden="false" customHeight="true" outlineLevel="0" collapsed="false">
      <c r="A261" s="10"/>
      <c r="B261" s="9"/>
      <c r="C261" s="10"/>
      <c r="D261" s="10"/>
      <c r="E261" s="10"/>
      <c r="F261" s="10"/>
    </row>
    <row r="262" customFormat="false" ht="15" hidden="false" customHeight="true" outlineLevel="0" collapsed="false">
      <c r="A262" s="10"/>
      <c r="B262" s="9"/>
      <c r="C262" s="10"/>
      <c r="D262" s="10"/>
      <c r="E262" s="10"/>
      <c r="F262" s="10"/>
    </row>
    <row r="263" customFormat="false" ht="15" hidden="false" customHeight="true" outlineLevel="0" collapsed="false">
      <c r="A263" s="10"/>
      <c r="B263" s="9"/>
      <c r="C263" s="10"/>
      <c r="D263" s="10"/>
      <c r="E263" s="10"/>
      <c r="F263" s="10"/>
    </row>
    <row r="264" customFormat="false" ht="15" hidden="false" customHeight="true" outlineLevel="0" collapsed="false">
      <c r="A264" s="10"/>
      <c r="B264" s="9"/>
      <c r="C264" s="10"/>
      <c r="D264" s="10"/>
      <c r="E264" s="10"/>
      <c r="F264" s="10"/>
    </row>
    <row r="265" customFormat="false" ht="15" hidden="false" customHeight="true" outlineLevel="0" collapsed="false">
      <c r="A265" s="10"/>
      <c r="B265" s="9"/>
      <c r="C265" s="10"/>
      <c r="D265" s="10"/>
      <c r="E265" s="10"/>
      <c r="F265" s="10"/>
    </row>
    <row r="266" customFormat="false" ht="15" hidden="false" customHeight="true" outlineLevel="0" collapsed="false">
      <c r="A266" s="10"/>
      <c r="B266" s="9"/>
      <c r="C266" s="10"/>
      <c r="D266" s="10"/>
      <c r="E266" s="10"/>
      <c r="F266" s="10"/>
    </row>
    <row r="267" customFormat="false" ht="15" hidden="false" customHeight="true" outlineLevel="0" collapsed="false">
      <c r="A267" s="10"/>
      <c r="B267" s="9"/>
      <c r="C267" s="10"/>
      <c r="D267" s="10"/>
      <c r="E267" s="10"/>
      <c r="F267" s="10"/>
    </row>
    <row r="268" customFormat="false" ht="15" hidden="false" customHeight="true" outlineLevel="0" collapsed="false">
      <c r="A268" s="10"/>
      <c r="B268" s="9"/>
      <c r="C268" s="10"/>
      <c r="D268" s="10"/>
      <c r="E268" s="10"/>
      <c r="F268" s="10"/>
    </row>
    <row r="269" customFormat="false" ht="15" hidden="false" customHeight="true" outlineLevel="0" collapsed="false">
      <c r="A269" s="10"/>
      <c r="B269" s="9"/>
      <c r="C269" s="10"/>
      <c r="D269" s="10"/>
      <c r="E269" s="10"/>
      <c r="F269" s="10"/>
    </row>
    <row r="270" customFormat="false" ht="15" hidden="false" customHeight="true" outlineLevel="0" collapsed="false">
      <c r="A270" s="10"/>
      <c r="B270" s="9"/>
      <c r="C270" s="10"/>
      <c r="D270" s="10"/>
      <c r="E270" s="10"/>
      <c r="F270" s="10"/>
    </row>
    <row r="271" customFormat="false" ht="15" hidden="false" customHeight="true" outlineLevel="0" collapsed="false">
      <c r="A271" s="10"/>
      <c r="B271" s="9"/>
      <c r="C271" s="10"/>
      <c r="D271" s="10"/>
      <c r="E271" s="10"/>
      <c r="F271" s="10"/>
    </row>
    <row r="272" customFormat="false" ht="15" hidden="false" customHeight="true" outlineLevel="0" collapsed="false">
      <c r="A272" s="10"/>
      <c r="B272" s="9"/>
      <c r="C272" s="10"/>
      <c r="D272" s="10"/>
      <c r="E272" s="10"/>
      <c r="F272" s="10"/>
    </row>
    <row r="273" customFormat="false" ht="15" hidden="false" customHeight="true" outlineLevel="0" collapsed="false">
      <c r="A273" s="10"/>
      <c r="B273" s="9"/>
      <c r="C273" s="10"/>
      <c r="D273" s="10"/>
      <c r="E273" s="10"/>
      <c r="F273" s="10"/>
    </row>
    <row r="274" customFormat="false" ht="15" hidden="false" customHeight="true" outlineLevel="0" collapsed="false">
      <c r="A274" s="10"/>
      <c r="B274" s="9"/>
      <c r="C274" s="10"/>
      <c r="D274" s="10"/>
      <c r="E274" s="10"/>
      <c r="F274" s="10"/>
    </row>
    <row r="275" customFormat="false" ht="15" hidden="false" customHeight="true" outlineLevel="0" collapsed="false">
      <c r="A275" s="10"/>
      <c r="B275" s="9"/>
      <c r="C275" s="10"/>
      <c r="D275" s="10"/>
      <c r="E275" s="10"/>
      <c r="F275" s="10"/>
    </row>
    <row r="276" customFormat="false" ht="15" hidden="false" customHeight="true" outlineLevel="0" collapsed="false">
      <c r="A276" s="10"/>
      <c r="B276" s="9"/>
      <c r="C276" s="10"/>
      <c r="D276" s="10"/>
      <c r="E276" s="10"/>
      <c r="F276" s="10"/>
    </row>
    <row r="277" customFormat="false" ht="15" hidden="false" customHeight="true" outlineLevel="0" collapsed="false">
      <c r="A277" s="10"/>
      <c r="B277" s="9"/>
      <c r="C277" s="10"/>
      <c r="D277" s="10"/>
      <c r="E277" s="10"/>
      <c r="F277" s="10"/>
    </row>
    <row r="278" customFormat="false" ht="15" hidden="false" customHeight="true" outlineLevel="0" collapsed="false">
      <c r="A278" s="10"/>
      <c r="B278" s="9"/>
      <c r="C278" s="10"/>
      <c r="D278" s="10"/>
      <c r="E278" s="10"/>
      <c r="F278" s="10"/>
    </row>
    <row r="279" customFormat="false" ht="15" hidden="false" customHeight="true" outlineLevel="0" collapsed="false">
      <c r="A279" s="10"/>
      <c r="B279" s="9"/>
      <c r="C279" s="10"/>
      <c r="D279" s="10"/>
      <c r="E279" s="10"/>
      <c r="F279" s="10"/>
    </row>
    <row r="280" customFormat="false" ht="15" hidden="false" customHeight="true" outlineLevel="0" collapsed="false">
      <c r="A280" s="10"/>
      <c r="B280" s="9"/>
      <c r="C280" s="10"/>
      <c r="D280" s="10"/>
      <c r="E280" s="10"/>
      <c r="F280" s="10"/>
    </row>
    <row r="281" customFormat="false" ht="15" hidden="false" customHeight="true" outlineLevel="0" collapsed="false">
      <c r="A281" s="10"/>
      <c r="B281" s="9"/>
      <c r="C281" s="10"/>
      <c r="D281" s="10"/>
      <c r="E281" s="10"/>
      <c r="F281" s="10"/>
    </row>
    <row r="282" customFormat="false" ht="15" hidden="false" customHeight="true" outlineLevel="0" collapsed="false">
      <c r="A282" s="10"/>
      <c r="B282" s="9"/>
      <c r="C282" s="10"/>
      <c r="D282" s="10"/>
      <c r="E282" s="10"/>
      <c r="F282" s="10"/>
    </row>
    <row r="283" customFormat="false" ht="15" hidden="false" customHeight="true" outlineLevel="0" collapsed="false">
      <c r="A283" s="10"/>
      <c r="B283" s="9"/>
      <c r="C283" s="10"/>
      <c r="D283" s="10"/>
      <c r="E283" s="10"/>
      <c r="F283" s="10"/>
    </row>
    <row r="284" customFormat="false" ht="15" hidden="false" customHeight="true" outlineLevel="0" collapsed="false">
      <c r="A284" s="10"/>
      <c r="B284" s="9"/>
      <c r="C284" s="10"/>
      <c r="D284" s="10"/>
      <c r="E284" s="10"/>
      <c r="F284" s="10"/>
    </row>
    <row r="285" customFormat="false" ht="15" hidden="false" customHeight="true" outlineLevel="0" collapsed="false">
      <c r="A285" s="10"/>
      <c r="B285" s="9"/>
      <c r="C285" s="10"/>
      <c r="D285" s="10"/>
      <c r="E285" s="10"/>
      <c r="F285" s="10"/>
    </row>
    <row r="286" customFormat="false" ht="15" hidden="false" customHeight="true" outlineLevel="0" collapsed="false">
      <c r="A286" s="10"/>
      <c r="B286" s="9"/>
      <c r="C286" s="10"/>
      <c r="D286" s="10"/>
      <c r="E286" s="10"/>
      <c r="F286" s="10"/>
    </row>
    <row r="287" customFormat="false" ht="15" hidden="false" customHeight="true" outlineLevel="0" collapsed="false">
      <c r="A287" s="10"/>
      <c r="B287" s="9"/>
      <c r="C287" s="10"/>
      <c r="D287" s="10"/>
      <c r="E287" s="10"/>
      <c r="F287" s="10"/>
    </row>
    <row r="288" customFormat="false" ht="15" hidden="false" customHeight="true" outlineLevel="0" collapsed="false">
      <c r="A288" s="10"/>
      <c r="B288" s="9"/>
      <c r="C288" s="10"/>
      <c r="D288" s="10"/>
      <c r="E288" s="10"/>
      <c r="F288" s="10"/>
    </row>
    <row r="289" customFormat="false" ht="15" hidden="false" customHeight="true" outlineLevel="0" collapsed="false">
      <c r="A289" s="10"/>
      <c r="B289" s="9"/>
      <c r="C289" s="10"/>
      <c r="D289" s="10"/>
      <c r="E289" s="10"/>
      <c r="F289" s="10"/>
    </row>
    <row r="290" customFormat="false" ht="15" hidden="false" customHeight="true" outlineLevel="0" collapsed="false">
      <c r="A290" s="10"/>
      <c r="B290" s="9"/>
      <c r="C290" s="10"/>
      <c r="D290" s="10"/>
      <c r="E290" s="10"/>
      <c r="F290" s="10"/>
    </row>
    <row r="291" customFormat="false" ht="15" hidden="false" customHeight="true" outlineLevel="0" collapsed="false">
      <c r="A291" s="10"/>
      <c r="B291" s="9"/>
      <c r="C291" s="10"/>
      <c r="D291" s="10"/>
      <c r="E291" s="10"/>
      <c r="F291" s="10"/>
    </row>
    <row r="292" customFormat="false" ht="15" hidden="false" customHeight="true" outlineLevel="0" collapsed="false">
      <c r="A292" s="10"/>
      <c r="B292" s="9"/>
      <c r="C292" s="10"/>
      <c r="D292" s="10"/>
      <c r="E292" s="10"/>
      <c r="F292" s="10"/>
    </row>
    <row r="293" customFormat="false" ht="15" hidden="false" customHeight="true" outlineLevel="0" collapsed="false">
      <c r="A293" s="10"/>
      <c r="B293" s="9"/>
      <c r="C293" s="10"/>
      <c r="D293" s="10"/>
      <c r="E293" s="10"/>
      <c r="F293" s="10"/>
    </row>
    <row r="294" customFormat="false" ht="15" hidden="false" customHeight="true" outlineLevel="0" collapsed="false">
      <c r="A294" s="10"/>
      <c r="B294" s="9"/>
      <c r="C294" s="10"/>
      <c r="D294" s="10"/>
      <c r="E294" s="10"/>
      <c r="F294" s="10"/>
    </row>
    <row r="295" customFormat="false" ht="15" hidden="false" customHeight="true" outlineLevel="0" collapsed="false">
      <c r="A295" s="10"/>
      <c r="B295" s="9"/>
      <c r="C295" s="10"/>
      <c r="D295" s="10"/>
      <c r="E295" s="10"/>
      <c r="F295" s="10"/>
    </row>
    <row r="296" customFormat="false" ht="15" hidden="false" customHeight="true" outlineLevel="0" collapsed="false">
      <c r="A296" s="10"/>
      <c r="B296" s="9"/>
      <c r="C296" s="10"/>
      <c r="D296" s="10"/>
      <c r="E296" s="10"/>
      <c r="F296" s="10"/>
    </row>
    <row r="297" customFormat="false" ht="15" hidden="false" customHeight="true" outlineLevel="0" collapsed="false">
      <c r="A297" s="10"/>
      <c r="B297" s="9"/>
      <c r="C297" s="10"/>
      <c r="D297" s="10"/>
      <c r="E297" s="10"/>
      <c r="F297" s="10"/>
    </row>
    <row r="298" customFormat="false" ht="15" hidden="false" customHeight="true" outlineLevel="0" collapsed="false">
      <c r="A298" s="10"/>
      <c r="B298" s="9"/>
      <c r="C298" s="10"/>
      <c r="D298" s="10"/>
      <c r="E298" s="10"/>
      <c r="F298" s="10"/>
    </row>
    <row r="299" customFormat="false" ht="15" hidden="false" customHeight="true" outlineLevel="0" collapsed="false">
      <c r="A299" s="10"/>
      <c r="B299" s="9"/>
      <c r="C299" s="10"/>
      <c r="D299" s="10"/>
      <c r="E299" s="10"/>
      <c r="F299" s="10"/>
    </row>
    <row r="300" customFormat="false" ht="15" hidden="false" customHeight="true" outlineLevel="0" collapsed="false">
      <c r="A300" s="10"/>
      <c r="B300" s="9"/>
      <c r="C300" s="10"/>
      <c r="D300" s="10"/>
      <c r="E300" s="10"/>
      <c r="F300" s="10"/>
    </row>
    <row r="301" customFormat="false" ht="15" hidden="false" customHeight="true" outlineLevel="0" collapsed="false">
      <c r="A301" s="10"/>
      <c r="B301" s="9"/>
      <c r="C301" s="10"/>
      <c r="D301" s="10"/>
      <c r="E301" s="10"/>
      <c r="F301" s="10"/>
    </row>
    <row r="302" customFormat="false" ht="15" hidden="false" customHeight="true" outlineLevel="0" collapsed="false">
      <c r="A302" s="10"/>
      <c r="B302" s="9"/>
      <c r="C302" s="10"/>
      <c r="D302" s="10"/>
      <c r="E302" s="10"/>
      <c r="F302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B3:B302" type="list">
      <formula1>"거래처,내부,기타"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7" min="6" style="1" width="10"/>
    <col collapsed="false" customWidth="true" hidden="false" outlineLevel="0" max="8" min="8" style="1" width="17"/>
    <col collapsed="false" customWidth="true" hidden="false" outlineLevel="0" max="9" min="9" style="1" width="13"/>
    <col collapsed="false" customWidth="true" hidden="false" outlineLevel="0" max="10" min="10" style="1" width="24"/>
  </cols>
  <sheetData>
    <row r="1" customFormat="false" ht="25.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11" t="s">
        <v>46</v>
      </c>
      <c r="B2" s="8" t="s">
        <v>25</v>
      </c>
      <c r="C2" s="12" t="s">
        <v>47</v>
      </c>
      <c r="D2" s="8" t="s">
        <v>48</v>
      </c>
      <c r="E2" s="8" t="s">
        <v>49</v>
      </c>
      <c r="F2" s="12" t="s">
        <v>50</v>
      </c>
      <c r="G2" s="12" t="s">
        <v>51</v>
      </c>
      <c r="H2" s="12" t="s">
        <v>52</v>
      </c>
      <c r="I2" s="11" t="s">
        <v>53</v>
      </c>
      <c r="J2" s="8" t="s">
        <v>30</v>
      </c>
    </row>
    <row r="3" customFormat="false" ht="15" hidden="false" customHeight="true" outlineLevel="0" collapsed="false">
      <c r="A3" s="13" t="n">
        <f aca="false">IF($B3="","",ROW()-2)</f>
        <v>1</v>
      </c>
      <c r="B3" s="9" t="s">
        <v>31</v>
      </c>
      <c r="C3" s="13" t="str">
        <f aca="false">IF($B3="","",IFERROR(INDEX(대상목록!$C$3:$C$302,MATCH($B3,대상목록!$A$3:$A$302,0)),""))</f>
        <v>○○상사</v>
      </c>
      <c r="D3" s="9" t="s">
        <v>54</v>
      </c>
      <c r="E3" s="14" t="n">
        <v>27662</v>
      </c>
      <c r="F3" s="15" t="n">
        <f aca="false">IF($E3="","",MONTH($E3))</f>
        <v>9</v>
      </c>
      <c r="G3" s="15" t="n">
        <f aca="false">IF($E3="","",DAY($E3))</f>
        <v>25</v>
      </c>
      <c r="H3" s="16" t="n">
        <f aca="true">IF($E3="","",IF(DATE(YEAR(TODAY()),$F3,$G3)&lt;TODAY(),DATE(YEAR(TODAY())+1,$F3,$G3),DATE(YEAR(TODAY()),$F3,$G3)))</f>
        <v>46290</v>
      </c>
      <c r="I3" s="15" t="n">
        <f aca="true">IF($H3="","",$H3-TODAY())</f>
        <v>11</v>
      </c>
      <c r="J3" s="10"/>
    </row>
    <row r="4" customFormat="false" ht="15" hidden="false" customHeight="true" outlineLevel="0" collapsed="false">
      <c r="A4" s="13" t="n">
        <f aca="false">IF($B4="","",ROW()-2)</f>
        <v>2</v>
      </c>
      <c r="B4" s="9" t="s">
        <v>36</v>
      </c>
      <c r="C4" s="13" t="str">
        <f aca="false">IF($B4="","",IFERROR(INDEX(대상목록!$C$3:$C$302,MATCH($B4,대상목록!$A$3:$A$302,0)),""))</f>
        <v>△△유통</v>
      </c>
      <c r="D4" s="9" t="s">
        <v>54</v>
      </c>
      <c r="E4" s="14" t="n">
        <v>30020</v>
      </c>
      <c r="F4" s="15" t="n">
        <f aca="false">IF($E4="","",MONTH($E4))</f>
        <v>3</v>
      </c>
      <c r="G4" s="15" t="n">
        <f aca="false">IF($E4="","",DAY($E4))</f>
        <v>10</v>
      </c>
      <c r="H4" s="16" t="n">
        <f aca="true">IF($E4="","",IF(DATE(YEAR(TODAY()),$F4,$G4)&lt;TODAY(),DATE(YEAR(TODAY())+1,$F4,$G4),DATE(YEAR(TODAY()),$F4,$G4)))</f>
        <v>46456</v>
      </c>
      <c r="I4" s="15" t="n">
        <f aca="true">IF($H4="","",$H4-TODAY())</f>
        <v>177</v>
      </c>
      <c r="J4" s="10"/>
    </row>
    <row r="5" customFormat="false" ht="15" hidden="false" customHeight="true" outlineLevel="0" collapsed="false">
      <c r="A5" s="13" t="n">
        <f aca="false">IF($B5="","",ROW()-2)</f>
        <v>3</v>
      </c>
      <c r="B5" s="9" t="s">
        <v>31</v>
      </c>
      <c r="C5" s="13" t="str">
        <f aca="false">IF($B5="","",IFERROR(INDEX(대상목록!$C$3:$C$302,MATCH($B5,대상목록!$A$3:$A$302,0)),""))</f>
        <v>○○상사</v>
      </c>
      <c r="D5" s="9" t="s">
        <v>55</v>
      </c>
      <c r="E5" s="14" t="n">
        <v>38615</v>
      </c>
      <c r="F5" s="15" t="n">
        <f aca="false">IF($E5="","",MONTH($E5))</f>
        <v>9</v>
      </c>
      <c r="G5" s="15" t="n">
        <f aca="false">IF($E5="","",DAY($E5))</f>
        <v>20</v>
      </c>
      <c r="H5" s="16" t="n">
        <f aca="true">IF($E5="","",IF(DATE(YEAR(TODAY()),$F5,$G5)&lt;TODAY(),DATE(YEAR(TODAY())+1,$F5,$G5),DATE(YEAR(TODAY()),$F5,$G5)))</f>
        <v>46285</v>
      </c>
      <c r="I5" s="15" t="n">
        <f aca="true">IF($H5="","",$H5-TODAY())</f>
        <v>6</v>
      </c>
      <c r="J5" s="10"/>
    </row>
    <row r="6" customFormat="false" ht="15" hidden="false" customHeight="true" outlineLevel="0" collapsed="false">
      <c r="A6" s="13" t="n">
        <f aca="false">IF($B6="","",ROW()-2)</f>
        <v>4</v>
      </c>
      <c r="B6" s="9" t="s">
        <v>40</v>
      </c>
      <c r="C6" s="13" t="str">
        <f aca="false">IF($B6="","",IFERROR(INDEX(대상목록!$C$3:$C$302,MATCH($B6,대상목록!$A$3:$A$302,0)),""))</f>
        <v>영업팀</v>
      </c>
      <c r="D6" s="9" t="s">
        <v>56</v>
      </c>
      <c r="E6" s="14" t="n">
        <v>44501</v>
      </c>
      <c r="F6" s="15" t="n">
        <f aca="false">IF($E6="","",MONTH($E6))</f>
        <v>11</v>
      </c>
      <c r="G6" s="15" t="n">
        <f aca="false">IF($E6="","",DAY($E6))</f>
        <v>1</v>
      </c>
      <c r="H6" s="16" t="n">
        <f aca="true">IF($E6="","",IF(DATE(YEAR(TODAY()),$F6,$G6)&lt;TODAY(),DATE(YEAR(TODAY())+1,$F6,$G6),DATE(YEAR(TODAY()),$F6,$G6)))</f>
        <v>46327</v>
      </c>
      <c r="I6" s="15" t="n">
        <f aca="true">IF($H6="","",$H6-TODAY())</f>
        <v>48</v>
      </c>
      <c r="J6" s="10"/>
    </row>
    <row r="7" customFormat="false" ht="15" hidden="false" customHeight="true" outlineLevel="0" collapsed="false">
      <c r="A7" s="13" t="str">
        <f aca="false">IF($B7="","",ROW()-2)</f>
        <v/>
      </c>
      <c r="B7" s="9"/>
      <c r="C7" s="13" t="str">
        <f aca="false">IF($B7="","",IFERROR(INDEX(대상목록!$C$3:$C$302,MATCH($B7,대상목록!$A$3:$A$302,0)),""))</f>
        <v/>
      </c>
      <c r="D7" s="9"/>
      <c r="E7" s="14"/>
      <c r="F7" s="15" t="str">
        <f aca="false">IF($E7="","",MONTH($E7))</f>
        <v/>
      </c>
      <c r="G7" s="15" t="str">
        <f aca="false">IF($E7="","",DAY($E7))</f>
        <v/>
      </c>
      <c r="H7" s="16" t="str">
        <f aca="true">IF($E7="","",IF(DATE(YEAR(TODAY()),$F7,$G7)&lt;TODAY(),DATE(YEAR(TODAY())+1,$F7,$G7),DATE(YEAR(TODAY()),$F7,$G7)))</f>
        <v/>
      </c>
      <c r="I7" s="15" t="str">
        <f aca="true">IF($H7="","",$H7-TODAY())</f>
        <v/>
      </c>
      <c r="J7" s="10"/>
    </row>
    <row r="8" customFormat="false" ht="15" hidden="false" customHeight="true" outlineLevel="0" collapsed="false">
      <c r="A8" s="13" t="str">
        <f aca="false">IF($B8="","",ROW()-2)</f>
        <v/>
      </c>
      <c r="B8" s="9"/>
      <c r="C8" s="13" t="str">
        <f aca="false">IF($B8="","",IFERROR(INDEX(대상목록!$C$3:$C$302,MATCH($B8,대상목록!$A$3:$A$302,0)),""))</f>
        <v/>
      </c>
      <c r="D8" s="9"/>
      <c r="E8" s="14"/>
      <c r="F8" s="15" t="str">
        <f aca="false">IF($E8="","",MONTH($E8))</f>
        <v/>
      </c>
      <c r="G8" s="15" t="str">
        <f aca="false">IF($E8="","",DAY($E8))</f>
        <v/>
      </c>
      <c r="H8" s="16" t="str">
        <f aca="true">IF($E8="","",IF(DATE(YEAR(TODAY()),$F8,$G8)&lt;TODAY(),DATE(YEAR(TODAY())+1,$F8,$G8),DATE(YEAR(TODAY()),$F8,$G8)))</f>
        <v/>
      </c>
      <c r="I8" s="15" t="str">
        <f aca="true">IF($H8="","",$H8-TODAY())</f>
        <v/>
      </c>
      <c r="J8" s="10"/>
    </row>
    <row r="9" customFormat="false" ht="15" hidden="false" customHeight="true" outlineLevel="0" collapsed="false">
      <c r="A9" s="13" t="str">
        <f aca="false">IF($B9="","",ROW()-2)</f>
        <v/>
      </c>
      <c r="B9" s="9"/>
      <c r="C9" s="13" t="str">
        <f aca="false">IF($B9="","",IFERROR(INDEX(대상목록!$C$3:$C$302,MATCH($B9,대상목록!$A$3:$A$302,0)),""))</f>
        <v/>
      </c>
      <c r="D9" s="9"/>
      <c r="E9" s="14"/>
      <c r="F9" s="15" t="str">
        <f aca="false">IF($E9="","",MONTH($E9))</f>
        <v/>
      </c>
      <c r="G9" s="15" t="str">
        <f aca="false">IF($E9="","",DAY($E9))</f>
        <v/>
      </c>
      <c r="H9" s="16" t="str">
        <f aca="true">IF($E9="","",IF(DATE(YEAR(TODAY()),$F9,$G9)&lt;TODAY(),DATE(YEAR(TODAY())+1,$F9,$G9),DATE(YEAR(TODAY()),$F9,$G9)))</f>
        <v/>
      </c>
      <c r="I9" s="15" t="str">
        <f aca="true">IF($H9="","",$H9-TODAY())</f>
        <v/>
      </c>
      <c r="J9" s="10"/>
    </row>
    <row r="10" customFormat="false" ht="15" hidden="false" customHeight="true" outlineLevel="0" collapsed="false">
      <c r="A10" s="13" t="str">
        <f aca="false">IF($B10="","",ROW()-2)</f>
        <v/>
      </c>
      <c r="B10" s="9"/>
      <c r="C10" s="13" t="str">
        <f aca="false">IF($B10="","",IFERROR(INDEX(대상목록!$C$3:$C$302,MATCH($B10,대상목록!$A$3:$A$302,0)),""))</f>
        <v/>
      </c>
      <c r="D10" s="9"/>
      <c r="E10" s="14"/>
      <c r="F10" s="15" t="str">
        <f aca="false">IF($E10="","",MONTH($E10))</f>
        <v/>
      </c>
      <c r="G10" s="15" t="str">
        <f aca="false">IF($E10="","",DAY($E10))</f>
        <v/>
      </c>
      <c r="H10" s="16" t="str">
        <f aca="true">IF($E10="","",IF(DATE(YEAR(TODAY()),$F10,$G10)&lt;TODAY(),DATE(YEAR(TODAY())+1,$F10,$G10),DATE(YEAR(TODAY()),$F10,$G10)))</f>
        <v/>
      </c>
      <c r="I10" s="15" t="str">
        <f aca="true">IF($H10="","",$H10-TODAY())</f>
        <v/>
      </c>
      <c r="J10" s="10"/>
    </row>
    <row r="11" customFormat="false" ht="15" hidden="false" customHeight="true" outlineLevel="0" collapsed="false">
      <c r="A11" s="13" t="str">
        <f aca="false">IF($B11="","",ROW()-2)</f>
        <v/>
      </c>
      <c r="B11" s="9"/>
      <c r="C11" s="13" t="str">
        <f aca="false">IF($B11="","",IFERROR(INDEX(대상목록!$C$3:$C$302,MATCH($B11,대상목록!$A$3:$A$302,0)),""))</f>
        <v/>
      </c>
      <c r="D11" s="9"/>
      <c r="E11" s="14"/>
      <c r="F11" s="15" t="str">
        <f aca="false">IF($E11="","",MONTH($E11))</f>
        <v/>
      </c>
      <c r="G11" s="15" t="str">
        <f aca="false">IF($E11="","",DAY($E11))</f>
        <v/>
      </c>
      <c r="H11" s="16" t="str">
        <f aca="true">IF($E11="","",IF(DATE(YEAR(TODAY()),$F11,$G11)&lt;TODAY(),DATE(YEAR(TODAY())+1,$F11,$G11),DATE(YEAR(TODAY()),$F11,$G11)))</f>
        <v/>
      </c>
      <c r="I11" s="15" t="str">
        <f aca="true">IF($H11="","",$H11-TODAY())</f>
        <v/>
      </c>
      <c r="J11" s="10"/>
    </row>
    <row r="12" customFormat="false" ht="15" hidden="false" customHeight="true" outlineLevel="0" collapsed="false">
      <c r="A12" s="13" t="str">
        <f aca="false">IF($B12="","",ROW()-2)</f>
        <v/>
      </c>
      <c r="B12" s="9"/>
      <c r="C12" s="13" t="str">
        <f aca="false">IF($B12="","",IFERROR(INDEX(대상목록!$C$3:$C$302,MATCH($B12,대상목록!$A$3:$A$302,0)),""))</f>
        <v/>
      </c>
      <c r="D12" s="9"/>
      <c r="E12" s="14"/>
      <c r="F12" s="15" t="str">
        <f aca="false">IF($E12="","",MONTH($E12))</f>
        <v/>
      </c>
      <c r="G12" s="15" t="str">
        <f aca="false">IF($E12="","",DAY($E12))</f>
        <v/>
      </c>
      <c r="H12" s="16" t="str">
        <f aca="true">IF($E12="","",IF(DATE(YEAR(TODAY()),$F12,$G12)&lt;TODAY(),DATE(YEAR(TODAY())+1,$F12,$G12),DATE(YEAR(TODAY()),$F12,$G12)))</f>
        <v/>
      </c>
      <c r="I12" s="15" t="str">
        <f aca="true">IF($H12="","",$H12-TODAY())</f>
        <v/>
      </c>
      <c r="J12" s="10"/>
    </row>
    <row r="13" customFormat="false" ht="15" hidden="false" customHeight="true" outlineLevel="0" collapsed="false">
      <c r="A13" s="13" t="str">
        <f aca="false">IF($B13="","",ROW()-2)</f>
        <v/>
      </c>
      <c r="B13" s="9"/>
      <c r="C13" s="13" t="str">
        <f aca="false">IF($B13="","",IFERROR(INDEX(대상목록!$C$3:$C$302,MATCH($B13,대상목록!$A$3:$A$302,0)),""))</f>
        <v/>
      </c>
      <c r="D13" s="9"/>
      <c r="E13" s="14"/>
      <c r="F13" s="15" t="str">
        <f aca="false">IF($E13="","",MONTH($E13))</f>
        <v/>
      </c>
      <c r="G13" s="15" t="str">
        <f aca="false">IF($E13="","",DAY($E13))</f>
        <v/>
      </c>
      <c r="H13" s="16" t="str">
        <f aca="true">IF($E13="","",IF(DATE(YEAR(TODAY()),$F13,$G13)&lt;TODAY(),DATE(YEAR(TODAY())+1,$F13,$G13),DATE(YEAR(TODAY()),$F13,$G13)))</f>
        <v/>
      </c>
      <c r="I13" s="15" t="str">
        <f aca="true">IF($H13="","",$H13-TODAY())</f>
        <v/>
      </c>
      <c r="J13" s="10"/>
    </row>
    <row r="14" customFormat="false" ht="15" hidden="false" customHeight="true" outlineLevel="0" collapsed="false">
      <c r="A14" s="13" t="str">
        <f aca="false">IF($B14="","",ROW()-2)</f>
        <v/>
      </c>
      <c r="B14" s="9"/>
      <c r="C14" s="13" t="str">
        <f aca="false">IF($B14="","",IFERROR(INDEX(대상목록!$C$3:$C$302,MATCH($B14,대상목록!$A$3:$A$302,0)),""))</f>
        <v/>
      </c>
      <c r="D14" s="9"/>
      <c r="E14" s="14"/>
      <c r="F14" s="15" t="str">
        <f aca="false">IF($E14="","",MONTH($E14))</f>
        <v/>
      </c>
      <c r="G14" s="15" t="str">
        <f aca="false">IF($E14="","",DAY($E14))</f>
        <v/>
      </c>
      <c r="H14" s="16" t="str">
        <f aca="true">IF($E14="","",IF(DATE(YEAR(TODAY()),$F14,$G14)&lt;TODAY(),DATE(YEAR(TODAY())+1,$F14,$G14),DATE(YEAR(TODAY()),$F14,$G14)))</f>
        <v/>
      </c>
      <c r="I14" s="15" t="str">
        <f aca="true">IF($H14="","",$H14-TODAY())</f>
        <v/>
      </c>
      <c r="J14" s="10"/>
    </row>
    <row r="15" customFormat="false" ht="15" hidden="false" customHeight="true" outlineLevel="0" collapsed="false">
      <c r="A15" s="13" t="str">
        <f aca="false">IF($B15="","",ROW()-2)</f>
        <v/>
      </c>
      <c r="B15" s="9"/>
      <c r="C15" s="13" t="str">
        <f aca="false">IF($B15="","",IFERROR(INDEX(대상목록!$C$3:$C$302,MATCH($B15,대상목록!$A$3:$A$302,0)),""))</f>
        <v/>
      </c>
      <c r="D15" s="9"/>
      <c r="E15" s="14"/>
      <c r="F15" s="15" t="str">
        <f aca="false">IF($E15="","",MONTH($E15))</f>
        <v/>
      </c>
      <c r="G15" s="15" t="str">
        <f aca="false">IF($E15="","",DAY($E15))</f>
        <v/>
      </c>
      <c r="H15" s="16" t="str">
        <f aca="true">IF($E15="","",IF(DATE(YEAR(TODAY()),$F15,$G15)&lt;TODAY(),DATE(YEAR(TODAY())+1,$F15,$G15),DATE(YEAR(TODAY()),$F15,$G15)))</f>
        <v/>
      </c>
      <c r="I15" s="15" t="str">
        <f aca="true">IF($H15="","",$H15-TODAY())</f>
        <v/>
      </c>
      <c r="J15" s="10"/>
    </row>
    <row r="16" customFormat="false" ht="15" hidden="false" customHeight="true" outlineLevel="0" collapsed="false">
      <c r="A16" s="13" t="str">
        <f aca="false">IF($B16="","",ROW()-2)</f>
        <v/>
      </c>
      <c r="B16" s="9"/>
      <c r="C16" s="13" t="str">
        <f aca="false">IF($B16="","",IFERROR(INDEX(대상목록!$C$3:$C$302,MATCH($B16,대상목록!$A$3:$A$302,0)),""))</f>
        <v/>
      </c>
      <c r="D16" s="9"/>
      <c r="E16" s="14"/>
      <c r="F16" s="15" t="str">
        <f aca="false">IF($E16="","",MONTH($E16))</f>
        <v/>
      </c>
      <c r="G16" s="15" t="str">
        <f aca="false">IF($E16="","",DAY($E16))</f>
        <v/>
      </c>
      <c r="H16" s="16" t="str">
        <f aca="true">IF($E16="","",IF(DATE(YEAR(TODAY()),$F16,$G16)&lt;TODAY(),DATE(YEAR(TODAY())+1,$F16,$G16),DATE(YEAR(TODAY()),$F16,$G16)))</f>
        <v/>
      </c>
      <c r="I16" s="15" t="str">
        <f aca="true">IF($H16="","",$H16-TODAY())</f>
        <v/>
      </c>
      <c r="J16" s="10"/>
    </row>
    <row r="17" customFormat="false" ht="15" hidden="false" customHeight="true" outlineLevel="0" collapsed="false">
      <c r="A17" s="13" t="str">
        <f aca="false">IF($B17="","",ROW()-2)</f>
        <v/>
      </c>
      <c r="B17" s="9"/>
      <c r="C17" s="13" t="str">
        <f aca="false">IF($B17="","",IFERROR(INDEX(대상목록!$C$3:$C$302,MATCH($B17,대상목록!$A$3:$A$302,0)),""))</f>
        <v/>
      </c>
      <c r="D17" s="9"/>
      <c r="E17" s="14"/>
      <c r="F17" s="15" t="str">
        <f aca="false">IF($E17="","",MONTH($E17))</f>
        <v/>
      </c>
      <c r="G17" s="15" t="str">
        <f aca="false">IF($E17="","",DAY($E17))</f>
        <v/>
      </c>
      <c r="H17" s="16" t="str">
        <f aca="true">IF($E17="","",IF(DATE(YEAR(TODAY()),$F17,$G17)&lt;TODAY(),DATE(YEAR(TODAY())+1,$F17,$G17),DATE(YEAR(TODAY()),$F17,$G17)))</f>
        <v/>
      </c>
      <c r="I17" s="15" t="str">
        <f aca="true">IF($H17="","",$H17-TODAY())</f>
        <v/>
      </c>
      <c r="J17" s="10"/>
    </row>
    <row r="18" customFormat="false" ht="15" hidden="false" customHeight="true" outlineLevel="0" collapsed="false">
      <c r="A18" s="13" t="str">
        <f aca="false">IF($B18="","",ROW()-2)</f>
        <v/>
      </c>
      <c r="B18" s="9"/>
      <c r="C18" s="13" t="str">
        <f aca="false">IF($B18="","",IFERROR(INDEX(대상목록!$C$3:$C$302,MATCH($B18,대상목록!$A$3:$A$302,0)),""))</f>
        <v/>
      </c>
      <c r="D18" s="9"/>
      <c r="E18" s="14"/>
      <c r="F18" s="15" t="str">
        <f aca="false">IF($E18="","",MONTH($E18))</f>
        <v/>
      </c>
      <c r="G18" s="15" t="str">
        <f aca="false">IF($E18="","",DAY($E18))</f>
        <v/>
      </c>
      <c r="H18" s="16" t="str">
        <f aca="true">IF($E18="","",IF(DATE(YEAR(TODAY()),$F18,$G18)&lt;TODAY(),DATE(YEAR(TODAY())+1,$F18,$G18),DATE(YEAR(TODAY()),$F18,$G18)))</f>
        <v/>
      </c>
      <c r="I18" s="15" t="str">
        <f aca="true">IF($H18="","",$H18-TODAY())</f>
        <v/>
      </c>
      <c r="J18" s="10"/>
    </row>
    <row r="19" customFormat="false" ht="15" hidden="false" customHeight="true" outlineLevel="0" collapsed="false">
      <c r="A19" s="13" t="str">
        <f aca="false">IF($B19="","",ROW()-2)</f>
        <v/>
      </c>
      <c r="B19" s="9"/>
      <c r="C19" s="13" t="str">
        <f aca="false">IF($B19="","",IFERROR(INDEX(대상목록!$C$3:$C$302,MATCH($B19,대상목록!$A$3:$A$302,0)),""))</f>
        <v/>
      </c>
      <c r="D19" s="9"/>
      <c r="E19" s="14"/>
      <c r="F19" s="15" t="str">
        <f aca="false">IF($E19="","",MONTH($E19))</f>
        <v/>
      </c>
      <c r="G19" s="15" t="str">
        <f aca="false">IF($E19="","",DAY($E19))</f>
        <v/>
      </c>
      <c r="H19" s="16" t="str">
        <f aca="true">IF($E19="","",IF(DATE(YEAR(TODAY()),$F19,$G19)&lt;TODAY(),DATE(YEAR(TODAY())+1,$F19,$G19),DATE(YEAR(TODAY()),$F19,$G19)))</f>
        <v/>
      </c>
      <c r="I19" s="15" t="str">
        <f aca="true">IF($H19="","",$H19-TODAY())</f>
        <v/>
      </c>
      <c r="J19" s="10"/>
    </row>
    <row r="20" customFormat="false" ht="15" hidden="false" customHeight="true" outlineLevel="0" collapsed="false">
      <c r="A20" s="13" t="str">
        <f aca="false">IF($B20="","",ROW()-2)</f>
        <v/>
      </c>
      <c r="B20" s="9"/>
      <c r="C20" s="13" t="str">
        <f aca="false">IF($B20="","",IFERROR(INDEX(대상목록!$C$3:$C$302,MATCH($B20,대상목록!$A$3:$A$302,0)),""))</f>
        <v/>
      </c>
      <c r="D20" s="9"/>
      <c r="E20" s="14"/>
      <c r="F20" s="15" t="str">
        <f aca="false">IF($E20="","",MONTH($E20))</f>
        <v/>
      </c>
      <c r="G20" s="15" t="str">
        <f aca="false">IF($E20="","",DAY($E20))</f>
        <v/>
      </c>
      <c r="H20" s="16" t="str">
        <f aca="true">IF($E20="","",IF(DATE(YEAR(TODAY()),$F20,$G20)&lt;TODAY(),DATE(YEAR(TODAY())+1,$F20,$G20),DATE(YEAR(TODAY()),$F20,$G20)))</f>
        <v/>
      </c>
      <c r="I20" s="15" t="str">
        <f aca="true">IF($H20="","",$H20-TODAY())</f>
        <v/>
      </c>
      <c r="J20" s="10"/>
    </row>
    <row r="21" customFormat="false" ht="15" hidden="false" customHeight="true" outlineLevel="0" collapsed="false">
      <c r="A21" s="13" t="str">
        <f aca="false">IF($B21="","",ROW()-2)</f>
        <v/>
      </c>
      <c r="B21" s="9"/>
      <c r="C21" s="13" t="str">
        <f aca="false">IF($B21="","",IFERROR(INDEX(대상목록!$C$3:$C$302,MATCH($B21,대상목록!$A$3:$A$302,0)),""))</f>
        <v/>
      </c>
      <c r="D21" s="9"/>
      <c r="E21" s="14"/>
      <c r="F21" s="15" t="str">
        <f aca="false">IF($E21="","",MONTH($E21))</f>
        <v/>
      </c>
      <c r="G21" s="15" t="str">
        <f aca="false">IF($E21="","",DAY($E21))</f>
        <v/>
      </c>
      <c r="H21" s="16" t="str">
        <f aca="true">IF($E21="","",IF(DATE(YEAR(TODAY()),$F21,$G21)&lt;TODAY(),DATE(YEAR(TODAY())+1,$F21,$G21),DATE(YEAR(TODAY()),$F21,$G21)))</f>
        <v/>
      </c>
      <c r="I21" s="15" t="str">
        <f aca="true">IF($H21="","",$H21-TODAY())</f>
        <v/>
      </c>
      <c r="J21" s="10"/>
    </row>
    <row r="22" customFormat="false" ht="15" hidden="false" customHeight="true" outlineLevel="0" collapsed="false">
      <c r="A22" s="13" t="str">
        <f aca="false">IF($B22="","",ROW()-2)</f>
        <v/>
      </c>
      <c r="B22" s="9"/>
      <c r="C22" s="13" t="str">
        <f aca="false">IF($B22="","",IFERROR(INDEX(대상목록!$C$3:$C$302,MATCH($B22,대상목록!$A$3:$A$302,0)),""))</f>
        <v/>
      </c>
      <c r="D22" s="9"/>
      <c r="E22" s="14"/>
      <c r="F22" s="15" t="str">
        <f aca="false">IF($E22="","",MONTH($E22))</f>
        <v/>
      </c>
      <c r="G22" s="15" t="str">
        <f aca="false">IF($E22="","",DAY($E22))</f>
        <v/>
      </c>
      <c r="H22" s="16" t="str">
        <f aca="true">IF($E22="","",IF(DATE(YEAR(TODAY()),$F22,$G22)&lt;TODAY(),DATE(YEAR(TODAY())+1,$F22,$G22),DATE(YEAR(TODAY()),$F22,$G22)))</f>
        <v/>
      </c>
      <c r="I22" s="15" t="str">
        <f aca="true">IF($H22="","",$H22-TODAY())</f>
        <v/>
      </c>
      <c r="J22" s="10"/>
    </row>
    <row r="23" customFormat="false" ht="15" hidden="false" customHeight="true" outlineLevel="0" collapsed="false">
      <c r="A23" s="13" t="str">
        <f aca="false">IF($B23="","",ROW()-2)</f>
        <v/>
      </c>
      <c r="B23" s="9"/>
      <c r="C23" s="13" t="str">
        <f aca="false">IF($B23="","",IFERROR(INDEX(대상목록!$C$3:$C$302,MATCH($B23,대상목록!$A$3:$A$302,0)),""))</f>
        <v/>
      </c>
      <c r="D23" s="9"/>
      <c r="E23" s="14"/>
      <c r="F23" s="15" t="str">
        <f aca="false">IF($E23="","",MONTH($E23))</f>
        <v/>
      </c>
      <c r="G23" s="15" t="str">
        <f aca="false">IF($E23="","",DAY($E23))</f>
        <v/>
      </c>
      <c r="H23" s="16" t="str">
        <f aca="true">IF($E23="","",IF(DATE(YEAR(TODAY()),$F23,$G23)&lt;TODAY(),DATE(YEAR(TODAY())+1,$F23,$G23),DATE(YEAR(TODAY()),$F23,$G23)))</f>
        <v/>
      </c>
      <c r="I23" s="15" t="str">
        <f aca="true">IF($H23="","",$H23-TODAY())</f>
        <v/>
      </c>
      <c r="J23" s="10"/>
    </row>
    <row r="24" customFormat="false" ht="15" hidden="false" customHeight="true" outlineLevel="0" collapsed="false">
      <c r="A24" s="13" t="str">
        <f aca="false">IF($B24="","",ROW()-2)</f>
        <v/>
      </c>
      <c r="B24" s="9"/>
      <c r="C24" s="13" t="str">
        <f aca="false">IF($B24="","",IFERROR(INDEX(대상목록!$C$3:$C$302,MATCH($B24,대상목록!$A$3:$A$302,0)),""))</f>
        <v/>
      </c>
      <c r="D24" s="9"/>
      <c r="E24" s="14"/>
      <c r="F24" s="15" t="str">
        <f aca="false">IF($E24="","",MONTH($E24))</f>
        <v/>
      </c>
      <c r="G24" s="15" t="str">
        <f aca="false">IF($E24="","",DAY($E24))</f>
        <v/>
      </c>
      <c r="H24" s="16" t="str">
        <f aca="true">IF($E24="","",IF(DATE(YEAR(TODAY()),$F24,$G24)&lt;TODAY(),DATE(YEAR(TODAY())+1,$F24,$G24),DATE(YEAR(TODAY()),$F24,$G24)))</f>
        <v/>
      </c>
      <c r="I24" s="15" t="str">
        <f aca="true">IF($H24="","",$H24-TODAY())</f>
        <v/>
      </c>
      <c r="J24" s="10"/>
    </row>
    <row r="25" customFormat="false" ht="15" hidden="false" customHeight="true" outlineLevel="0" collapsed="false">
      <c r="A25" s="13" t="str">
        <f aca="false">IF($B25="","",ROW()-2)</f>
        <v/>
      </c>
      <c r="B25" s="9"/>
      <c r="C25" s="13" t="str">
        <f aca="false">IF($B25="","",IFERROR(INDEX(대상목록!$C$3:$C$302,MATCH($B25,대상목록!$A$3:$A$302,0)),""))</f>
        <v/>
      </c>
      <c r="D25" s="9"/>
      <c r="E25" s="14"/>
      <c r="F25" s="15" t="str">
        <f aca="false">IF($E25="","",MONTH($E25))</f>
        <v/>
      </c>
      <c r="G25" s="15" t="str">
        <f aca="false">IF($E25="","",DAY($E25))</f>
        <v/>
      </c>
      <c r="H25" s="16" t="str">
        <f aca="true">IF($E25="","",IF(DATE(YEAR(TODAY()),$F25,$G25)&lt;TODAY(),DATE(YEAR(TODAY())+1,$F25,$G25),DATE(YEAR(TODAY()),$F25,$G25)))</f>
        <v/>
      </c>
      <c r="I25" s="15" t="str">
        <f aca="true">IF($H25="","",$H25-TODAY())</f>
        <v/>
      </c>
      <c r="J25" s="10"/>
    </row>
    <row r="26" customFormat="false" ht="15" hidden="false" customHeight="true" outlineLevel="0" collapsed="false">
      <c r="A26" s="13" t="str">
        <f aca="false">IF($B26="","",ROW()-2)</f>
        <v/>
      </c>
      <c r="B26" s="9"/>
      <c r="C26" s="13" t="str">
        <f aca="false">IF($B26="","",IFERROR(INDEX(대상목록!$C$3:$C$302,MATCH($B26,대상목록!$A$3:$A$302,0)),""))</f>
        <v/>
      </c>
      <c r="D26" s="9"/>
      <c r="E26" s="14"/>
      <c r="F26" s="15" t="str">
        <f aca="false">IF($E26="","",MONTH($E26))</f>
        <v/>
      </c>
      <c r="G26" s="15" t="str">
        <f aca="false">IF($E26="","",DAY($E26))</f>
        <v/>
      </c>
      <c r="H26" s="16" t="str">
        <f aca="true">IF($E26="","",IF(DATE(YEAR(TODAY()),$F26,$G26)&lt;TODAY(),DATE(YEAR(TODAY())+1,$F26,$G26),DATE(YEAR(TODAY()),$F26,$G26)))</f>
        <v/>
      </c>
      <c r="I26" s="15" t="str">
        <f aca="true">IF($H26="","",$H26-TODAY())</f>
        <v/>
      </c>
      <c r="J26" s="10"/>
    </row>
    <row r="27" customFormat="false" ht="15" hidden="false" customHeight="true" outlineLevel="0" collapsed="false">
      <c r="A27" s="13" t="str">
        <f aca="false">IF($B27="","",ROW()-2)</f>
        <v/>
      </c>
      <c r="B27" s="9"/>
      <c r="C27" s="13" t="str">
        <f aca="false">IF($B27="","",IFERROR(INDEX(대상목록!$C$3:$C$302,MATCH($B27,대상목록!$A$3:$A$302,0)),""))</f>
        <v/>
      </c>
      <c r="D27" s="9"/>
      <c r="E27" s="14"/>
      <c r="F27" s="15" t="str">
        <f aca="false">IF($E27="","",MONTH($E27))</f>
        <v/>
      </c>
      <c r="G27" s="15" t="str">
        <f aca="false">IF($E27="","",DAY($E27))</f>
        <v/>
      </c>
      <c r="H27" s="16" t="str">
        <f aca="true">IF($E27="","",IF(DATE(YEAR(TODAY()),$F27,$G27)&lt;TODAY(),DATE(YEAR(TODAY())+1,$F27,$G27),DATE(YEAR(TODAY()),$F27,$G27)))</f>
        <v/>
      </c>
      <c r="I27" s="15" t="str">
        <f aca="true">IF($H27="","",$H27-TODAY())</f>
        <v/>
      </c>
      <c r="J27" s="10"/>
    </row>
    <row r="28" customFormat="false" ht="15" hidden="false" customHeight="true" outlineLevel="0" collapsed="false">
      <c r="A28" s="13" t="str">
        <f aca="false">IF($B28="","",ROW()-2)</f>
        <v/>
      </c>
      <c r="B28" s="9"/>
      <c r="C28" s="13" t="str">
        <f aca="false">IF($B28="","",IFERROR(INDEX(대상목록!$C$3:$C$302,MATCH($B28,대상목록!$A$3:$A$302,0)),""))</f>
        <v/>
      </c>
      <c r="D28" s="9"/>
      <c r="E28" s="14"/>
      <c r="F28" s="15" t="str">
        <f aca="false">IF($E28="","",MONTH($E28))</f>
        <v/>
      </c>
      <c r="G28" s="15" t="str">
        <f aca="false">IF($E28="","",DAY($E28))</f>
        <v/>
      </c>
      <c r="H28" s="16" t="str">
        <f aca="true">IF($E28="","",IF(DATE(YEAR(TODAY()),$F28,$G28)&lt;TODAY(),DATE(YEAR(TODAY())+1,$F28,$G28),DATE(YEAR(TODAY()),$F28,$G28)))</f>
        <v/>
      </c>
      <c r="I28" s="15" t="str">
        <f aca="true">IF($H28="","",$H28-TODAY())</f>
        <v/>
      </c>
      <c r="J28" s="10"/>
    </row>
    <row r="29" customFormat="false" ht="15" hidden="false" customHeight="true" outlineLevel="0" collapsed="false">
      <c r="A29" s="13" t="str">
        <f aca="false">IF($B29="","",ROW()-2)</f>
        <v/>
      </c>
      <c r="B29" s="9"/>
      <c r="C29" s="13" t="str">
        <f aca="false">IF($B29="","",IFERROR(INDEX(대상목록!$C$3:$C$302,MATCH($B29,대상목록!$A$3:$A$302,0)),""))</f>
        <v/>
      </c>
      <c r="D29" s="9"/>
      <c r="E29" s="14"/>
      <c r="F29" s="15" t="str">
        <f aca="false">IF($E29="","",MONTH($E29))</f>
        <v/>
      </c>
      <c r="G29" s="15" t="str">
        <f aca="false">IF($E29="","",DAY($E29))</f>
        <v/>
      </c>
      <c r="H29" s="16" t="str">
        <f aca="true">IF($E29="","",IF(DATE(YEAR(TODAY()),$F29,$G29)&lt;TODAY(),DATE(YEAR(TODAY())+1,$F29,$G29),DATE(YEAR(TODAY()),$F29,$G29)))</f>
        <v/>
      </c>
      <c r="I29" s="15" t="str">
        <f aca="true">IF($H29="","",$H29-TODAY())</f>
        <v/>
      </c>
      <c r="J29" s="10"/>
    </row>
    <row r="30" customFormat="false" ht="15" hidden="false" customHeight="true" outlineLevel="0" collapsed="false">
      <c r="A30" s="13" t="str">
        <f aca="false">IF($B30="","",ROW()-2)</f>
        <v/>
      </c>
      <c r="B30" s="9"/>
      <c r="C30" s="13" t="str">
        <f aca="false">IF($B30="","",IFERROR(INDEX(대상목록!$C$3:$C$302,MATCH($B30,대상목록!$A$3:$A$302,0)),""))</f>
        <v/>
      </c>
      <c r="D30" s="9"/>
      <c r="E30" s="14"/>
      <c r="F30" s="15" t="str">
        <f aca="false">IF($E30="","",MONTH($E30))</f>
        <v/>
      </c>
      <c r="G30" s="15" t="str">
        <f aca="false">IF($E30="","",DAY($E30))</f>
        <v/>
      </c>
      <c r="H30" s="16" t="str">
        <f aca="true">IF($E30="","",IF(DATE(YEAR(TODAY()),$F30,$G30)&lt;TODAY(),DATE(YEAR(TODAY())+1,$F30,$G30),DATE(YEAR(TODAY()),$F30,$G30)))</f>
        <v/>
      </c>
      <c r="I30" s="15" t="str">
        <f aca="true">IF($H30="","",$H30-TODAY())</f>
        <v/>
      </c>
      <c r="J30" s="10"/>
    </row>
    <row r="31" customFormat="false" ht="15" hidden="false" customHeight="true" outlineLevel="0" collapsed="false">
      <c r="A31" s="13" t="str">
        <f aca="false">IF($B31="","",ROW()-2)</f>
        <v/>
      </c>
      <c r="B31" s="9"/>
      <c r="C31" s="13" t="str">
        <f aca="false">IF($B31="","",IFERROR(INDEX(대상목록!$C$3:$C$302,MATCH($B31,대상목록!$A$3:$A$302,0)),""))</f>
        <v/>
      </c>
      <c r="D31" s="9"/>
      <c r="E31" s="14"/>
      <c r="F31" s="15" t="str">
        <f aca="false">IF($E31="","",MONTH($E31))</f>
        <v/>
      </c>
      <c r="G31" s="15" t="str">
        <f aca="false">IF($E31="","",DAY($E31))</f>
        <v/>
      </c>
      <c r="H31" s="16" t="str">
        <f aca="true">IF($E31="","",IF(DATE(YEAR(TODAY()),$F31,$G31)&lt;TODAY(),DATE(YEAR(TODAY())+1,$F31,$G31),DATE(YEAR(TODAY()),$F31,$G31)))</f>
        <v/>
      </c>
      <c r="I31" s="15" t="str">
        <f aca="true">IF($H31="","",$H31-TODAY())</f>
        <v/>
      </c>
      <c r="J31" s="10"/>
    </row>
    <row r="32" customFormat="false" ht="15" hidden="false" customHeight="true" outlineLevel="0" collapsed="false">
      <c r="A32" s="13" t="str">
        <f aca="false">IF($B32="","",ROW()-2)</f>
        <v/>
      </c>
      <c r="B32" s="9"/>
      <c r="C32" s="13" t="str">
        <f aca="false">IF($B32="","",IFERROR(INDEX(대상목록!$C$3:$C$302,MATCH($B32,대상목록!$A$3:$A$302,0)),""))</f>
        <v/>
      </c>
      <c r="D32" s="9"/>
      <c r="E32" s="14"/>
      <c r="F32" s="15" t="str">
        <f aca="false">IF($E32="","",MONTH($E32))</f>
        <v/>
      </c>
      <c r="G32" s="15" t="str">
        <f aca="false">IF($E32="","",DAY($E32))</f>
        <v/>
      </c>
      <c r="H32" s="16" t="str">
        <f aca="true">IF($E32="","",IF(DATE(YEAR(TODAY()),$F32,$G32)&lt;TODAY(),DATE(YEAR(TODAY())+1,$F32,$G32),DATE(YEAR(TODAY()),$F32,$G32)))</f>
        <v/>
      </c>
      <c r="I32" s="15" t="str">
        <f aca="true">IF($H32="","",$H32-TODAY())</f>
        <v/>
      </c>
      <c r="J32" s="10"/>
    </row>
    <row r="33" customFormat="false" ht="15" hidden="false" customHeight="true" outlineLevel="0" collapsed="false">
      <c r="A33" s="13" t="str">
        <f aca="false">IF($B33="","",ROW()-2)</f>
        <v/>
      </c>
      <c r="B33" s="9"/>
      <c r="C33" s="13" t="str">
        <f aca="false">IF($B33="","",IFERROR(INDEX(대상목록!$C$3:$C$302,MATCH($B33,대상목록!$A$3:$A$302,0)),""))</f>
        <v/>
      </c>
      <c r="D33" s="9"/>
      <c r="E33" s="14"/>
      <c r="F33" s="15" t="str">
        <f aca="false">IF($E33="","",MONTH($E33))</f>
        <v/>
      </c>
      <c r="G33" s="15" t="str">
        <f aca="false">IF($E33="","",DAY($E33))</f>
        <v/>
      </c>
      <c r="H33" s="16" t="str">
        <f aca="true">IF($E33="","",IF(DATE(YEAR(TODAY()),$F33,$G33)&lt;TODAY(),DATE(YEAR(TODAY())+1,$F33,$G33),DATE(YEAR(TODAY()),$F33,$G33)))</f>
        <v/>
      </c>
      <c r="I33" s="15" t="str">
        <f aca="true">IF($H33="","",$H33-TODAY())</f>
        <v/>
      </c>
      <c r="J33" s="10"/>
    </row>
    <row r="34" customFormat="false" ht="15" hidden="false" customHeight="true" outlineLevel="0" collapsed="false">
      <c r="A34" s="13" t="str">
        <f aca="false">IF($B34="","",ROW()-2)</f>
        <v/>
      </c>
      <c r="B34" s="9"/>
      <c r="C34" s="13" t="str">
        <f aca="false">IF($B34="","",IFERROR(INDEX(대상목록!$C$3:$C$302,MATCH($B34,대상목록!$A$3:$A$302,0)),""))</f>
        <v/>
      </c>
      <c r="D34" s="9"/>
      <c r="E34" s="14"/>
      <c r="F34" s="15" t="str">
        <f aca="false">IF($E34="","",MONTH($E34))</f>
        <v/>
      </c>
      <c r="G34" s="15" t="str">
        <f aca="false">IF($E34="","",DAY($E34))</f>
        <v/>
      </c>
      <c r="H34" s="16" t="str">
        <f aca="true">IF($E34="","",IF(DATE(YEAR(TODAY()),$F34,$G34)&lt;TODAY(),DATE(YEAR(TODAY())+1,$F34,$G34),DATE(YEAR(TODAY()),$F34,$G34)))</f>
        <v/>
      </c>
      <c r="I34" s="15" t="str">
        <f aca="true">IF($H34="","",$H34-TODAY())</f>
        <v/>
      </c>
      <c r="J34" s="10"/>
    </row>
    <row r="35" customFormat="false" ht="15" hidden="false" customHeight="true" outlineLevel="0" collapsed="false">
      <c r="A35" s="13" t="str">
        <f aca="false">IF($B35="","",ROW()-2)</f>
        <v/>
      </c>
      <c r="B35" s="9"/>
      <c r="C35" s="13" t="str">
        <f aca="false">IF($B35="","",IFERROR(INDEX(대상목록!$C$3:$C$302,MATCH($B35,대상목록!$A$3:$A$302,0)),""))</f>
        <v/>
      </c>
      <c r="D35" s="9"/>
      <c r="E35" s="14"/>
      <c r="F35" s="15" t="str">
        <f aca="false">IF($E35="","",MONTH($E35))</f>
        <v/>
      </c>
      <c r="G35" s="15" t="str">
        <f aca="false">IF($E35="","",DAY($E35))</f>
        <v/>
      </c>
      <c r="H35" s="16" t="str">
        <f aca="true">IF($E35="","",IF(DATE(YEAR(TODAY()),$F35,$G35)&lt;TODAY(),DATE(YEAR(TODAY())+1,$F35,$G35),DATE(YEAR(TODAY()),$F35,$G35)))</f>
        <v/>
      </c>
      <c r="I35" s="15" t="str">
        <f aca="true">IF($H35="","",$H35-TODAY())</f>
        <v/>
      </c>
      <c r="J35" s="10"/>
    </row>
    <row r="36" customFormat="false" ht="15" hidden="false" customHeight="true" outlineLevel="0" collapsed="false">
      <c r="A36" s="13" t="str">
        <f aca="false">IF($B36="","",ROW()-2)</f>
        <v/>
      </c>
      <c r="B36" s="9"/>
      <c r="C36" s="13" t="str">
        <f aca="false">IF($B36="","",IFERROR(INDEX(대상목록!$C$3:$C$302,MATCH($B36,대상목록!$A$3:$A$302,0)),""))</f>
        <v/>
      </c>
      <c r="D36" s="9"/>
      <c r="E36" s="14"/>
      <c r="F36" s="15" t="str">
        <f aca="false">IF($E36="","",MONTH($E36))</f>
        <v/>
      </c>
      <c r="G36" s="15" t="str">
        <f aca="false">IF($E36="","",DAY($E36))</f>
        <v/>
      </c>
      <c r="H36" s="16" t="str">
        <f aca="true">IF($E36="","",IF(DATE(YEAR(TODAY()),$F36,$G36)&lt;TODAY(),DATE(YEAR(TODAY())+1,$F36,$G36),DATE(YEAR(TODAY()),$F36,$G36)))</f>
        <v/>
      </c>
      <c r="I36" s="15" t="str">
        <f aca="true">IF($H36="","",$H36-TODAY())</f>
        <v/>
      </c>
      <c r="J36" s="10"/>
    </row>
    <row r="37" customFormat="false" ht="15" hidden="false" customHeight="true" outlineLevel="0" collapsed="false">
      <c r="A37" s="13" t="str">
        <f aca="false">IF($B37="","",ROW()-2)</f>
        <v/>
      </c>
      <c r="B37" s="9"/>
      <c r="C37" s="13" t="str">
        <f aca="false">IF($B37="","",IFERROR(INDEX(대상목록!$C$3:$C$302,MATCH($B37,대상목록!$A$3:$A$302,0)),""))</f>
        <v/>
      </c>
      <c r="D37" s="9"/>
      <c r="E37" s="14"/>
      <c r="F37" s="15" t="str">
        <f aca="false">IF($E37="","",MONTH($E37))</f>
        <v/>
      </c>
      <c r="G37" s="15" t="str">
        <f aca="false">IF($E37="","",DAY($E37))</f>
        <v/>
      </c>
      <c r="H37" s="16" t="str">
        <f aca="true">IF($E37="","",IF(DATE(YEAR(TODAY()),$F37,$G37)&lt;TODAY(),DATE(YEAR(TODAY())+1,$F37,$G37),DATE(YEAR(TODAY()),$F37,$G37)))</f>
        <v/>
      </c>
      <c r="I37" s="15" t="str">
        <f aca="true">IF($H37="","",$H37-TODAY())</f>
        <v/>
      </c>
      <c r="J37" s="10"/>
    </row>
    <row r="38" customFormat="false" ht="15" hidden="false" customHeight="true" outlineLevel="0" collapsed="false">
      <c r="A38" s="13" t="str">
        <f aca="false">IF($B38="","",ROW()-2)</f>
        <v/>
      </c>
      <c r="B38" s="9"/>
      <c r="C38" s="13" t="str">
        <f aca="false">IF($B38="","",IFERROR(INDEX(대상목록!$C$3:$C$302,MATCH($B38,대상목록!$A$3:$A$302,0)),""))</f>
        <v/>
      </c>
      <c r="D38" s="9"/>
      <c r="E38" s="14"/>
      <c r="F38" s="15" t="str">
        <f aca="false">IF($E38="","",MONTH($E38))</f>
        <v/>
      </c>
      <c r="G38" s="15" t="str">
        <f aca="false">IF($E38="","",DAY($E38))</f>
        <v/>
      </c>
      <c r="H38" s="16" t="str">
        <f aca="true">IF($E38="","",IF(DATE(YEAR(TODAY()),$F38,$G38)&lt;TODAY(),DATE(YEAR(TODAY())+1,$F38,$G38),DATE(YEAR(TODAY()),$F38,$G38)))</f>
        <v/>
      </c>
      <c r="I38" s="15" t="str">
        <f aca="true">IF($H38="","",$H38-TODAY())</f>
        <v/>
      </c>
      <c r="J38" s="10"/>
    </row>
    <row r="39" customFormat="false" ht="15" hidden="false" customHeight="true" outlineLevel="0" collapsed="false">
      <c r="A39" s="13" t="str">
        <f aca="false">IF($B39="","",ROW()-2)</f>
        <v/>
      </c>
      <c r="B39" s="9"/>
      <c r="C39" s="13" t="str">
        <f aca="false">IF($B39="","",IFERROR(INDEX(대상목록!$C$3:$C$302,MATCH($B39,대상목록!$A$3:$A$302,0)),""))</f>
        <v/>
      </c>
      <c r="D39" s="9"/>
      <c r="E39" s="14"/>
      <c r="F39" s="15" t="str">
        <f aca="false">IF($E39="","",MONTH($E39))</f>
        <v/>
      </c>
      <c r="G39" s="15" t="str">
        <f aca="false">IF($E39="","",DAY($E39))</f>
        <v/>
      </c>
      <c r="H39" s="16" t="str">
        <f aca="true">IF($E39="","",IF(DATE(YEAR(TODAY()),$F39,$G39)&lt;TODAY(),DATE(YEAR(TODAY())+1,$F39,$G39),DATE(YEAR(TODAY()),$F39,$G39)))</f>
        <v/>
      </c>
      <c r="I39" s="15" t="str">
        <f aca="true">IF($H39="","",$H39-TODAY())</f>
        <v/>
      </c>
      <c r="J39" s="10"/>
    </row>
    <row r="40" customFormat="false" ht="15" hidden="false" customHeight="true" outlineLevel="0" collapsed="false">
      <c r="A40" s="13" t="str">
        <f aca="false">IF($B40="","",ROW()-2)</f>
        <v/>
      </c>
      <c r="B40" s="9"/>
      <c r="C40" s="13" t="str">
        <f aca="false">IF($B40="","",IFERROR(INDEX(대상목록!$C$3:$C$302,MATCH($B40,대상목록!$A$3:$A$302,0)),""))</f>
        <v/>
      </c>
      <c r="D40" s="9"/>
      <c r="E40" s="14"/>
      <c r="F40" s="15" t="str">
        <f aca="false">IF($E40="","",MONTH($E40))</f>
        <v/>
      </c>
      <c r="G40" s="15" t="str">
        <f aca="false">IF($E40="","",DAY($E40))</f>
        <v/>
      </c>
      <c r="H40" s="16" t="str">
        <f aca="true">IF($E40="","",IF(DATE(YEAR(TODAY()),$F40,$G40)&lt;TODAY(),DATE(YEAR(TODAY())+1,$F40,$G40),DATE(YEAR(TODAY()),$F40,$G40)))</f>
        <v/>
      </c>
      <c r="I40" s="15" t="str">
        <f aca="true">IF($H40="","",$H40-TODAY())</f>
        <v/>
      </c>
      <c r="J40" s="10"/>
    </row>
    <row r="41" customFormat="false" ht="15" hidden="false" customHeight="true" outlineLevel="0" collapsed="false">
      <c r="A41" s="13" t="str">
        <f aca="false">IF($B41="","",ROW()-2)</f>
        <v/>
      </c>
      <c r="B41" s="9"/>
      <c r="C41" s="13" t="str">
        <f aca="false">IF($B41="","",IFERROR(INDEX(대상목록!$C$3:$C$302,MATCH($B41,대상목록!$A$3:$A$302,0)),""))</f>
        <v/>
      </c>
      <c r="D41" s="9"/>
      <c r="E41" s="14"/>
      <c r="F41" s="15" t="str">
        <f aca="false">IF($E41="","",MONTH($E41))</f>
        <v/>
      </c>
      <c r="G41" s="15" t="str">
        <f aca="false">IF($E41="","",DAY($E41))</f>
        <v/>
      </c>
      <c r="H41" s="16" t="str">
        <f aca="true">IF($E41="","",IF(DATE(YEAR(TODAY()),$F41,$G41)&lt;TODAY(),DATE(YEAR(TODAY())+1,$F41,$G41),DATE(YEAR(TODAY()),$F41,$G41)))</f>
        <v/>
      </c>
      <c r="I41" s="15" t="str">
        <f aca="true">IF($H41="","",$H41-TODAY())</f>
        <v/>
      </c>
      <c r="J41" s="10"/>
    </row>
    <row r="42" customFormat="false" ht="15" hidden="false" customHeight="true" outlineLevel="0" collapsed="false">
      <c r="A42" s="13" t="str">
        <f aca="false">IF($B42="","",ROW()-2)</f>
        <v/>
      </c>
      <c r="B42" s="9"/>
      <c r="C42" s="13" t="str">
        <f aca="false">IF($B42="","",IFERROR(INDEX(대상목록!$C$3:$C$302,MATCH($B42,대상목록!$A$3:$A$302,0)),""))</f>
        <v/>
      </c>
      <c r="D42" s="9"/>
      <c r="E42" s="14"/>
      <c r="F42" s="15" t="str">
        <f aca="false">IF($E42="","",MONTH($E42))</f>
        <v/>
      </c>
      <c r="G42" s="15" t="str">
        <f aca="false">IF($E42="","",DAY($E42))</f>
        <v/>
      </c>
      <c r="H42" s="16" t="str">
        <f aca="true">IF($E42="","",IF(DATE(YEAR(TODAY()),$F42,$G42)&lt;TODAY(),DATE(YEAR(TODAY())+1,$F42,$G42),DATE(YEAR(TODAY()),$F42,$G42)))</f>
        <v/>
      </c>
      <c r="I42" s="15" t="str">
        <f aca="true">IF($H42="","",$H42-TODAY())</f>
        <v/>
      </c>
      <c r="J42" s="10"/>
    </row>
    <row r="43" customFormat="false" ht="15" hidden="false" customHeight="true" outlineLevel="0" collapsed="false">
      <c r="A43" s="13" t="str">
        <f aca="false">IF($B43="","",ROW()-2)</f>
        <v/>
      </c>
      <c r="B43" s="9"/>
      <c r="C43" s="13" t="str">
        <f aca="false">IF($B43="","",IFERROR(INDEX(대상목록!$C$3:$C$302,MATCH($B43,대상목록!$A$3:$A$302,0)),""))</f>
        <v/>
      </c>
      <c r="D43" s="9"/>
      <c r="E43" s="14"/>
      <c r="F43" s="15" t="str">
        <f aca="false">IF($E43="","",MONTH($E43))</f>
        <v/>
      </c>
      <c r="G43" s="15" t="str">
        <f aca="false">IF($E43="","",DAY($E43))</f>
        <v/>
      </c>
      <c r="H43" s="16" t="str">
        <f aca="true">IF($E43="","",IF(DATE(YEAR(TODAY()),$F43,$G43)&lt;TODAY(),DATE(YEAR(TODAY())+1,$F43,$G43),DATE(YEAR(TODAY()),$F43,$G43)))</f>
        <v/>
      </c>
      <c r="I43" s="15" t="str">
        <f aca="true">IF($H43="","",$H43-TODAY())</f>
        <v/>
      </c>
      <c r="J43" s="10"/>
    </row>
    <row r="44" customFormat="false" ht="15" hidden="false" customHeight="true" outlineLevel="0" collapsed="false">
      <c r="A44" s="13" t="str">
        <f aca="false">IF($B44="","",ROW()-2)</f>
        <v/>
      </c>
      <c r="B44" s="9"/>
      <c r="C44" s="13" t="str">
        <f aca="false">IF($B44="","",IFERROR(INDEX(대상목록!$C$3:$C$302,MATCH($B44,대상목록!$A$3:$A$302,0)),""))</f>
        <v/>
      </c>
      <c r="D44" s="9"/>
      <c r="E44" s="14"/>
      <c r="F44" s="15" t="str">
        <f aca="false">IF($E44="","",MONTH($E44))</f>
        <v/>
      </c>
      <c r="G44" s="15" t="str">
        <f aca="false">IF($E44="","",DAY($E44))</f>
        <v/>
      </c>
      <c r="H44" s="16" t="str">
        <f aca="true">IF($E44="","",IF(DATE(YEAR(TODAY()),$F44,$G44)&lt;TODAY(),DATE(YEAR(TODAY())+1,$F44,$G44),DATE(YEAR(TODAY()),$F44,$G44)))</f>
        <v/>
      </c>
      <c r="I44" s="15" t="str">
        <f aca="true">IF($H44="","",$H44-TODAY())</f>
        <v/>
      </c>
      <c r="J44" s="10"/>
    </row>
    <row r="45" customFormat="false" ht="15" hidden="false" customHeight="true" outlineLevel="0" collapsed="false">
      <c r="A45" s="13" t="str">
        <f aca="false">IF($B45="","",ROW()-2)</f>
        <v/>
      </c>
      <c r="B45" s="9"/>
      <c r="C45" s="13" t="str">
        <f aca="false">IF($B45="","",IFERROR(INDEX(대상목록!$C$3:$C$302,MATCH($B45,대상목록!$A$3:$A$302,0)),""))</f>
        <v/>
      </c>
      <c r="D45" s="9"/>
      <c r="E45" s="14"/>
      <c r="F45" s="15" t="str">
        <f aca="false">IF($E45="","",MONTH($E45))</f>
        <v/>
      </c>
      <c r="G45" s="15" t="str">
        <f aca="false">IF($E45="","",DAY($E45))</f>
        <v/>
      </c>
      <c r="H45" s="16" t="str">
        <f aca="true">IF($E45="","",IF(DATE(YEAR(TODAY()),$F45,$G45)&lt;TODAY(),DATE(YEAR(TODAY())+1,$F45,$G45),DATE(YEAR(TODAY()),$F45,$G45)))</f>
        <v/>
      </c>
      <c r="I45" s="15" t="str">
        <f aca="true">IF($H45="","",$H45-TODAY())</f>
        <v/>
      </c>
      <c r="J45" s="10"/>
    </row>
    <row r="46" customFormat="false" ht="15" hidden="false" customHeight="true" outlineLevel="0" collapsed="false">
      <c r="A46" s="13" t="str">
        <f aca="false">IF($B46="","",ROW()-2)</f>
        <v/>
      </c>
      <c r="B46" s="9"/>
      <c r="C46" s="13" t="str">
        <f aca="false">IF($B46="","",IFERROR(INDEX(대상목록!$C$3:$C$302,MATCH($B46,대상목록!$A$3:$A$302,0)),""))</f>
        <v/>
      </c>
      <c r="D46" s="9"/>
      <c r="E46" s="14"/>
      <c r="F46" s="15" t="str">
        <f aca="false">IF($E46="","",MONTH($E46))</f>
        <v/>
      </c>
      <c r="G46" s="15" t="str">
        <f aca="false">IF($E46="","",DAY($E46))</f>
        <v/>
      </c>
      <c r="H46" s="16" t="str">
        <f aca="true">IF($E46="","",IF(DATE(YEAR(TODAY()),$F46,$G46)&lt;TODAY(),DATE(YEAR(TODAY())+1,$F46,$G46),DATE(YEAR(TODAY()),$F46,$G46)))</f>
        <v/>
      </c>
      <c r="I46" s="15" t="str">
        <f aca="true">IF($H46="","",$H46-TODAY())</f>
        <v/>
      </c>
      <c r="J46" s="10"/>
    </row>
    <row r="47" customFormat="false" ht="15" hidden="false" customHeight="true" outlineLevel="0" collapsed="false">
      <c r="A47" s="13" t="str">
        <f aca="false">IF($B47="","",ROW()-2)</f>
        <v/>
      </c>
      <c r="B47" s="9"/>
      <c r="C47" s="13" t="str">
        <f aca="false">IF($B47="","",IFERROR(INDEX(대상목록!$C$3:$C$302,MATCH($B47,대상목록!$A$3:$A$302,0)),""))</f>
        <v/>
      </c>
      <c r="D47" s="9"/>
      <c r="E47" s="14"/>
      <c r="F47" s="15" t="str">
        <f aca="false">IF($E47="","",MONTH($E47))</f>
        <v/>
      </c>
      <c r="G47" s="15" t="str">
        <f aca="false">IF($E47="","",DAY($E47))</f>
        <v/>
      </c>
      <c r="H47" s="16" t="str">
        <f aca="true">IF($E47="","",IF(DATE(YEAR(TODAY()),$F47,$G47)&lt;TODAY(),DATE(YEAR(TODAY())+1,$F47,$G47),DATE(YEAR(TODAY()),$F47,$G47)))</f>
        <v/>
      </c>
      <c r="I47" s="15" t="str">
        <f aca="true">IF($H47="","",$H47-TODAY())</f>
        <v/>
      </c>
      <c r="J47" s="10"/>
    </row>
    <row r="48" customFormat="false" ht="15" hidden="false" customHeight="true" outlineLevel="0" collapsed="false">
      <c r="A48" s="13" t="str">
        <f aca="false">IF($B48="","",ROW()-2)</f>
        <v/>
      </c>
      <c r="B48" s="9"/>
      <c r="C48" s="13" t="str">
        <f aca="false">IF($B48="","",IFERROR(INDEX(대상목록!$C$3:$C$302,MATCH($B48,대상목록!$A$3:$A$302,0)),""))</f>
        <v/>
      </c>
      <c r="D48" s="9"/>
      <c r="E48" s="14"/>
      <c r="F48" s="15" t="str">
        <f aca="false">IF($E48="","",MONTH($E48))</f>
        <v/>
      </c>
      <c r="G48" s="15" t="str">
        <f aca="false">IF($E48="","",DAY($E48))</f>
        <v/>
      </c>
      <c r="H48" s="16" t="str">
        <f aca="true">IF($E48="","",IF(DATE(YEAR(TODAY()),$F48,$G48)&lt;TODAY(),DATE(YEAR(TODAY())+1,$F48,$G48),DATE(YEAR(TODAY()),$F48,$G48)))</f>
        <v/>
      </c>
      <c r="I48" s="15" t="str">
        <f aca="true">IF($H48="","",$H48-TODAY())</f>
        <v/>
      </c>
      <c r="J48" s="10"/>
    </row>
    <row r="49" customFormat="false" ht="15" hidden="false" customHeight="true" outlineLevel="0" collapsed="false">
      <c r="A49" s="13" t="str">
        <f aca="false">IF($B49="","",ROW()-2)</f>
        <v/>
      </c>
      <c r="B49" s="9"/>
      <c r="C49" s="13" t="str">
        <f aca="false">IF($B49="","",IFERROR(INDEX(대상목록!$C$3:$C$302,MATCH($B49,대상목록!$A$3:$A$302,0)),""))</f>
        <v/>
      </c>
      <c r="D49" s="9"/>
      <c r="E49" s="14"/>
      <c r="F49" s="15" t="str">
        <f aca="false">IF($E49="","",MONTH($E49))</f>
        <v/>
      </c>
      <c r="G49" s="15" t="str">
        <f aca="false">IF($E49="","",DAY($E49))</f>
        <v/>
      </c>
      <c r="H49" s="16" t="str">
        <f aca="true">IF($E49="","",IF(DATE(YEAR(TODAY()),$F49,$G49)&lt;TODAY(),DATE(YEAR(TODAY())+1,$F49,$G49),DATE(YEAR(TODAY()),$F49,$G49)))</f>
        <v/>
      </c>
      <c r="I49" s="15" t="str">
        <f aca="true">IF($H49="","",$H49-TODAY())</f>
        <v/>
      </c>
      <c r="J49" s="10"/>
    </row>
    <row r="50" customFormat="false" ht="15" hidden="false" customHeight="true" outlineLevel="0" collapsed="false">
      <c r="A50" s="13" t="str">
        <f aca="false">IF($B50="","",ROW()-2)</f>
        <v/>
      </c>
      <c r="B50" s="9"/>
      <c r="C50" s="13" t="str">
        <f aca="false">IF($B50="","",IFERROR(INDEX(대상목록!$C$3:$C$302,MATCH($B50,대상목록!$A$3:$A$302,0)),""))</f>
        <v/>
      </c>
      <c r="D50" s="9"/>
      <c r="E50" s="14"/>
      <c r="F50" s="15" t="str">
        <f aca="false">IF($E50="","",MONTH($E50))</f>
        <v/>
      </c>
      <c r="G50" s="15" t="str">
        <f aca="false">IF($E50="","",DAY($E50))</f>
        <v/>
      </c>
      <c r="H50" s="16" t="str">
        <f aca="true">IF($E50="","",IF(DATE(YEAR(TODAY()),$F50,$G50)&lt;TODAY(),DATE(YEAR(TODAY())+1,$F50,$G50),DATE(YEAR(TODAY()),$F50,$G50)))</f>
        <v/>
      </c>
      <c r="I50" s="15" t="str">
        <f aca="true">IF($H50="","",$H50-TODAY())</f>
        <v/>
      </c>
      <c r="J50" s="10"/>
    </row>
    <row r="51" customFormat="false" ht="15" hidden="false" customHeight="true" outlineLevel="0" collapsed="false">
      <c r="A51" s="13" t="str">
        <f aca="false">IF($B51="","",ROW()-2)</f>
        <v/>
      </c>
      <c r="B51" s="9"/>
      <c r="C51" s="13" t="str">
        <f aca="false">IF($B51="","",IFERROR(INDEX(대상목록!$C$3:$C$302,MATCH($B51,대상목록!$A$3:$A$302,0)),""))</f>
        <v/>
      </c>
      <c r="D51" s="9"/>
      <c r="E51" s="14"/>
      <c r="F51" s="15" t="str">
        <f aca="false">IF($E51="","",MONTH($E51))</f>
        <v/>
      </c>
      <c r="G51" s="15" t="str">
        <f aca="false">IF($E51="","",DAY($E51))</f>
        <v/>
      </c>
      <c r="H51" s="16" t="str">
        <f aca="true">IF($E51="","",IF(DATE(YEAR(TODAY()),$F51,$G51)&lt;TODAY(),DATE(YEAR(TODAY())+1,$F51,$G51),DATE(YEAR(TODAY()),$F51,$G51)))</f>
        <v/>
      </c>
      <c r="I51" s="15" t="str">
        <f aca="true">IF($H51="","",$H51-TODAY())</f>
        <v/>
      </c>
      <c r="J51" s="10"/>
    </row>
    <row r="52" customFormat="false" ht="15" hidden="false" customHeight="true" outlineLevel="0" collapsed="false">
      <c r="A52" s="13" t="str">
        <f aca="false">IF($B52="","",ROW()-2)</f>
        <v/>
      </c>
      <c r="B52" s="9"/>
      <c r="C52" s="13" t="str">
        <f aca="false">IF($B52="","",IFERROR(INDEX(대상목록!$C$3:$C$302,MATCH($B52,대상목록!$A$3:$A$302,0)),""))</f>
        <v/>
      </c>
      <c r="D52" s="9"/>
      <c r="E52" s="14"/>
      <c r="F52" s="15" t="str">
        <f aca="false">IF($E52="","",MONTH($E52))</f>
        <v/>
      </c>
      <c r="G52" s="15" t="str">
        <f aca="false">IF($E52="","",DAY($E52))</f>
        <v/>
      </c>
      <c r="H52" s="16" t="str">
        <f aca="true">IF($E52="","",IF(DATE(YEAR(TODAY()),$F52,$G52)&lt;TODAY(),DATE(YEAR(TODAY())+1,$F52,$G52),DATE(YEAR(TODAY()),$F52,$G52)))</f>
        <v/>
      </c>
      <c r="I52" s="15" t="str">
        <f aca="true">IF($H52="","",$H52-TODAY())</f>
        <v/>
      </c>
      <c r="J52" s="10"/>
    </row>
    <row r="53" customFormat="false" ht="15" hidden="false" customHeight="true" outlineLevel="0" collapsed="false">
      <c r="A53" s="13" t="str">
        <f aca="false">IF($B53="","",ROW()-2)</f>
        <v/>
      </c>
      <c r="B53" s="9"/>
      <c r="C53" s="13" t="str">
        <f aca="false">IF($B53="","",IFERROR(INDEX(대상목록!$C$3:$C$302,MATCH($B53,대상목록!$A$3:$A$302,0)),""))</f>
        <v/>
      </c>
      <c r="D53" s="9"/>
      <c r="E53" s="14"/>
      <c r="F53" s="15" t="str">
        <f aca="false">IF($E53="","",MONTH($E53))</f>
        <v/>
      </c>
      <c r="G53" s="15" t="str">
        <f aca="false">IF($E53="","",DAY($E53))</f>
        <v/>
      </c>
      <c r="H53" s="16" t="str">
        <f aca="true">IF($E53="","",IF(DATE(YEAR(TODAY()),$F53,$G53)&lt;TODAY(),DATE(YEAR(TODAY())+1,$F53,$G53),DATE(YEAR(TODAY()),$F53,$G53)))</f>
        <v/>
      </c>
      <c r="I53" s="15" t="str">
        <f aca="true">IF($H53="","",$H53-TODAY())</f>
        <v/>
      </c>
      <c r="J53" s="10"/>
    </row>
    <row r="54" customFormat="false" ht="15" hidden="false" customHeight="true" outlineLevel="0" collapsed="false">
      <c r="A54" s="13" t="str">
        <f aca="false">IF($B54="","",ROW()-2)</f>
        <v/>
      </c>
      <c r="B54" s="9"/>
      <c r="C54" s="13" t="str">
        <f aca="false">IF($B54="","",IFERROR(INDEX(대상목록!$C$3:$C$302,MATCH($B54,대상목록!$A$3:$A$302,0)),""))</f>
        <v/>
      </c>
      <c r="D54" s="9"/>
      <c r="E54" s="14"/>
      <c r="F54" s="15" t="str">
        <f aca="false">IF($E54="","",MONTH($E54))</f>
        <v/>
      </c>
      <c r="G54" s="15" t="str">
        <f aca="false">IF($E54="","",DAY($E54))</f>
        <v/>
      </c>
      <c r="H54" s="16" t="str">
        <f aca="true">IF($E54="","",IF(DATE(YEAR(TODAY()),$F54,$G54)&lt;TODAY(),DATE(YEAR(TODAY())+1,$F54,$G54),DATE(YEAR(TODAY()),$F54,$G54)))</f>
        <v/>
      </c>
      <c r="I54" s="15" t="str">
        <f aca="true">IF($H54="","",$H54-TODAY())</f>
        <v/>
      </c>
      <c r="J54" s="10"/>
    </row>
    <row r="55" customFormat="false" ht="15" hidden="false" customHeight="true" outlineLevel="0" collapsed="false">
      <c r="A55" s="13" t="str">
        <f aca="false">IF($B55="","",ROW()-2)</f>
        <v/>
      </c>
      <c r="B55" s="9"/>
      <c r="C55" s="13" t="str">
        <f aca="false">IF($B55="","",IFERROR(INDEX(대상목록!$C$3:$C$302,MATCH($B55,대상목록!$A$3:$A$302,0)),""))</f>
        <v/>
      </c>
      <c r="D55" s="9"/>
      <c r="E55" s="14"/>
      <c r="F55" s="15" t="str">
        <f aca="false">IF($E55="","",MONTH($E55))</f>
        <v/>
      </c>
      <c r="G55" s="15" t="str">
        <f aca="false">IF($E55="","",DAY($E55))</f>
        <v/>
      </c>
      <c r="H55" s="16" t="str">
        <f aca="true">IF($E55="","",IF(DATE(YEAR(TODAY()),$F55,$G55)&lt;TODAY(),DATE(YEAR(TODAY())+1,$F55,$G55),DATE(YEAR(TODAY()),$F55,$G55)))</f>
        <v/>
      </c>
      <c r="I55" s="15" t="str">
        <f aca="true">IF($H55="","",$H55-TODAY())</f>
        <v/>
      </c>
      <c r="J55" s="10"/>
    </row>
    <row r="56" customFormat="false" ht="15" hidden="false" customHeight="true" outlineLevel="0" collapsed="false">
      <c r="A56" s="13" t="str">
        <f aca="false">IF($B56="","",ROW()-2)</f>
        <v/>
      </c>
      <c r="B56" s="9"/>
      <c r="C56" s="13" t="str">
        <f aca="false">IF($B56="","",IFERROR(INDEX(대상목록!$C$3:$C$302,MATCH($B56,대상목록!$A$3:$A$302,0)),""))</f>
        <v/>
      </c>
      <c r="D56" s="9"/>
      <c r="E56" s="14"/>
      <c r="F56" s="15" t="str">
        <f aca="false">IF($E56="","",MONTH($E56))</f>
        <v/>
      </c>
      <c r="G56" s="15" t="str">
        <f aca="false">IF($E56="","",DAY($E56))</f>
        <v/>
      </c>
      <c r="H56" s="16" t="str">
        <f aca="true">IF($E56="","",IF(DATE(YEAR(TODAY()),$F56,$G56)&lt;TODAY(),DATE(YEAR(TODAY())+1,$F56,$G56),DATE(YEAR(TODAY()),$F56,$G56)))</f>
        <v/>
      </c>
      <c r="I56" s="15" t="str">
        <f aca="true">IF($H56="","",$H56-TODAY())</f>
        <v/>
      </c>
      <c r="J56" s="10"/>
    </row>
    <row r="57" customFormat="false" ht="15" hidden="false" customHeight="true" outlineLevel="0" collapsed="false">
      <c r="A57" s="13" t="str">
        <f aca="false">IF($B57="","",ROW()-2)</f>
        <v/>
      </c>
      <c r="B57" s="9"/>
      <c r="C57" s="13" t="str">
        <f aca="false">IF($B57="","",IFERROR(INDEX(대상목록!$C$3:$C$302,MATCH($B57,대상목록!$A$3:$A$302,0)),""))</f>
        <v/>
      </c>
      <c r="D57" s="9"/>
      <c r="E57" s="14"/>
      <c r="F57" s="15" t="str">
        <f aca="false">IF($E57="","",MONTH($E57))</f>
        <v/>
      </c>
      <c r="G57" s="15" t="str">
        <f aca="false">IF($E57="","",DAY($E57))</f>
        <v/>
      </c>
      <c r="H57" s="16" t="str">
        <f aca="true">IF($E57="","",IF(DATE(YEAR(TODAY()),$F57,$G57)&lt;TODAY(),DATE(YEAR(TODAY())+1,$F57,$G57),DATE(YEAR(TODAY()),$F57,$G57)))</f>
        <v/>
      </c>
      <c r="I57" s="15" t="str">
        <f aca="true">IF($H57="","",$H57-TODAY())</f>
        <v/>
      </c>
      <c r="J57" s="10"/>
    </row>
    <row r="58" customFormat="false" ht="15" hidden="false" customHeight="true" outlineLevel="0" collapsed="false">
      <c r="A58" s="13" t="str">
        <f aca="false">IF($B58="","",ROW()-2)</f>
        <v/>
      </c>
      <c r="B58" s="9"/>
      <c r="C58" s="13" t="str">
        <f aca="false">IF($B58="","",IFERROR(INDEX(대상목록!$C$3:$C$302,MATCH($B58,대상목록!$A$3:$A$302,0)),""))</f>
        <v/>
      </c>
      <c r="D58" s="9"/>
      <c r="E58" s="14"/>
      <c r="F58" s="15" t="str">
        <f aca="false">IF($E58="","",MONTH($E58))</f>
        <v/>
      </c>
      <c r="G58" s="15" t="str">
        <f aca="false">IF($E58="","",DAY($E58))</f>
        <v/>
      </c>
      <c r="H58" s="16" t="str">
        <f aca="true">IF($E58="","",IF(DATE(YEAR(TODAY()),$F58,$G58)&lt;TODAY(),DATE(YEAR(TODAY())+1,$F58,$G58),DATE(YEAR(TODAY()),$F58,$G58)))</f>
        <v/>
      </c>
      <c r="I58" s="15" t="str">
        <f aca="true">IF($H58="","",$H58-TODAY())</f>
        <v/>
      </c>
      <c r="J58" s="10"/>
    </row>
    <row r="59" customFormat="false" ht="15" hidden="false" customHeight="true" outlineLevel="0" collapsed="false">
      <c r="A59" s="13" t="str">
        <f aca="false">IF($B59="","",ROW()-2)</f>
        <v/>
      </c>
      <c r="B59" s="9"/>
      <c r="C59" s="13" t="str">
        <f aca="false">IF($B59="","",IFERROR(INDEX(대상목록!$C$3:$C$302,MATCH($B59,대상목록!$A$3:$A$302,0)),""))</f>
        <v/>
      </c>
      <c r="D59" s="9"/>
      <c r="E59" s="14"/>
      <c r="F59" s="15" t="str">
        <f aca="false">IF($E59="","",MONTH($E59))</f>
        <v/>
      </c>
      <c r="G59" s="15" t="str">
        <f aca="false">IF($E59="","",DAY($E59))</f>
        <v/>
      </c>
      <c r="H59" s="16" t="str">
        <f aca="true">IF($E59="","",IF(DATE(YEAR(TODAY()),$F59,$G59)&lt;TODAY(),DATE(YEAR(TODAY())+1,$F59,$G59),DATE(YEAR(TODAY()),$F59,$G59)))</f>
        <v/>
      </c>
      <c r="I59" s="15" t="str">
        <f aca="true">IF($H59="","",$H59-TODAY())</f>
        <v/>
      </c>
      <c r="J59" s="10"/>
    </row>
    <row r="60" customFormat="false" ht="15" hidden="false" customHeight="true" outlineLevel="0" collapsed="false">
      <c r="A60" s="13" t="str">
        <f aca="false">IF($B60="","",ROW()-2)</f>
        <v/>
      </c>
      <c r="B60" s="9"/>
      <c r="C60" s="13" t="str">
        <f aca="false">IF($B60="","",IFERROR(INDEX(대상목록!$C$3:$C$302,MATCH($B60,대상목록!$A$3:$A$302,0)),""))</f>
        <v/>
      </c>
      <c r="D60" s="9"/>
      <c r="E60" s="14"/>
      <c r="F60" s="15" t="str">
        <f aca="false">IF($E60="","",MONTH($E60))</f>
        <v/>
      </c>
      <c r="G60" s="15" t="str">
        <f aca="false">IF($E60="","",DAY($E60))</f>
        <v/>
      </c>
      <c r="H60" s="16" t="str">
        <f aca="true">IF($E60="","",IF(DATE(YEAR(TODAY()),$F60,$G60)&lt;TODAY(),DATE(YEAR(TODAY())+1,$F60,$G60),DATE(YEAR(TODAY()),$F60,$G60)))</f>
        <v/>
      </c>
      <c r="I60" s="15" t="str">
        <f aca="true">IF($H60="","",$H60-TODAY())</f>
        <v/>
      </c>
      <c r="J60" s="10"/>
    </row>
    <row r="61" customFormat="false" ht="15" hidden="false" customHeight="true" outlineLevel="0" collapsed="false">
      <c r="A61" s="13" t="str">
        <f aca="false">IF($B61="","",ROW()-2)</f>
        <v/>
      </c>
      <c r="B61" s="9"/>
      <c r="C61" s="13" t="str">
        <f aca="false">IF($B61="","",IFERROR(INDEX(대상목록!$C$3:$C$302,MATCH($B61,대상목록!$A$3:$A$302,0)),""))</f>
        <v/>
      </c>
      <c r="D61" s="9"/>
      <c r="E61" s="14"/>
      <c r="F61" s="15" t="str">
        <f aca="false">IF($E61="","",MONTH($E61))</f>
        <v/>
      </c>
      <c r="G61" s="15" t="str">
        <f aca="false">IF($E61="","",DAY($E61))</f>
        <v/>
      </c>
      <c r="H61" s="16" t="str">
        <f aca="true">IF($E61="","",IF(DATE(YEAR(TODAY()),$F61,$G61)&lt;TODAY(),DATE(YEAR(TODAY())+1,$F61,$G61),DATE(YEAR(TODAY()),$F61,$G61)))</f>
        <v/>
      </c>
      <c r="I61" s="15" t="str">
        <f aca="true">IF($H61="","",$H61-TODAY())</f>
        <v/>
      </c>
      <c r="J61" s="10"/>
    </row>
    <row r="62" customFormat="false" ht="15" hidden="false" customHeight="true" outlineLevel="0" collapsed="false">
      <c r="A62" s="13" t="str">
        <f aca="false">IF($B62="","",ROW()-2)</f>
        <v/>
      </c>
      <c r="B62" s="9"/>
      <c r="C62" s="13" t="str">
        <f aca="false">IF($B62="","",IFERROR(INDEX(대상목록!$C$3:$C$302,MATCH($B62,대상목록!$A$3:$A$302,0)),""))</f>
        <v/>
      </c>
      <c r="D62" s="9"/>
      <c r="E62" s="14"/>
      <c r="F62" s="15" t="str">
        <f aca="false">IF($E62="","",MONTH($E62))</f>
        <v/>
      </c>
      <c r="G62" s="15" t="str">
        <f aca="false">IF($E62="","",DAY($E62))</f>
        <v/>
      </c>
      <c r="H62" s="16" t="str">
        <f aca="true">IF($E62="","",IF(DATE(YEAR(TODAY()),$F62,$G62)&lt;TODAY(),DATE(YEAR(TODAY())+1,$F62,$G62),DATE(YEAR(TODAY()),$F62,$G62)))</f>
        <v/>
      </c>
      <c r="I62" s="15" t="str">
        <f aca="true">IF($H62="","",$H62-TODAY())</f>
        <v/>
      </c>
      <c r="J62" s="10"/>
    </row>
    <row r="63" customFormat="false" ht="15" hidden="false" customHeight="true" outlineLevel="0" collapsed="false">
      <c r="A63" s="13" t="str">
        <f aca="false">IF($B63="","",ROW()-2)</f>
        <v/>
      </c>
      <c r="B63" s="9"/>
      <c r="C63" s="13" t="str">
        <f aca="false">IF($B63="","",IFERROR(INDEX(대상목록!$C$3:$C$302,MATCH($B63,대상목록!$A$3:$A$302,0)),""))</f>
        <v/>
      </c>
      <c r="D63" s="9"/>
      <c r="E63" s="14"/>
      <c r="F63" s="15" t="str">
        <f aca="false">IF($E63="","",MONTH($E63))</f>
        <v/>
      </c>
      <c r="G63" s="15" t="str">
        <f aca="false">IF($E63="","",DAY($E63))</f>
        <v/>
      </c>
      <c r="H63" s="16" t="str">
        <f aca="true">IF($E63="","",IF(DATE(YEAR(TODAY()),$F63,$G63)&lt;TODAY(),DATE(YEAR(TODAY())+1,$F63,$G63),DATE(YEAR(TODAY()),$F63,$G63)))</f>
        <v/>
      </c>
      <c r="I63" s="15" t="str">
        <f aca="true">IF($H63="","",$H63-TODAY())</f>
        <v/>
      </c>
      <c r="J63" s="10"/>
    </row>
    <row r="64" customFormat="false" ht="15" hidden="false" customHeight="true" outlineLevel="0" collapsed="false">
      <c r="A64" s="13" t="str">
        <f aca="false">IF($B64="","",ROW()-2)</f>
        <v/>
      </c>
      <c r="B64" s="9"/>
      <c r="C64" s="13" t="str">
        <f aca="false">IF($B64="","",IFERROR(INDEX(대상목록!$C$3:$C$302,MATCH($B64,대상목록!$A$3:$A$302,0)),""))</f>
        <v/>
      </c>
      <c r="D64" s="9"/>
      <c r="E64" s="14"/>
      <c r="F64" s="15" t="str">
        <f aca="false">IF($E64="","",MONTH($E64))</f>
        <v/>
      </c>
      <c r="G64" s="15" t="str">
        <f aca="false">IF($E64="","",DAY($E64))</f>
        <v/>
      </c>
      <c r="H64" s="16" t="str">
        <f aca="true">IF($E64="","",IF(DATE(YEAR(TODAY()),$F64,$G64)&lt;TODAY(),DATE(YEAR(TODAY())+1,$F64,$G64),DATE(YEAR(TODAY()),$F64,$G64)))</f>
        <v/>
      </c>
      <c r="I64" s="15" t="str">
        <f aca="true">IF($H64="","",$H64-TODAY())</f>
        <v/>
      </c>
      <c r="J64" s="10"/>
    </row>
    <row r="65" customFormat="false" ht="15" hidden="false" customHeight="true" outlineLevel="0" collapsed="false">
      <c r="A65" s="13" t="str">
        <f aca="false">IF($B65="","",ROW()-2)</f>
        <v/>
      </c>
      <c r="B65" s="9"/>
      <c r="C65" s="13" t="str">
        <f aca="false">IF($B65="","",IFERROR(INDEX(대상목록!$C$3:$C$302,MATCH($B65,대상목록!$A$3:$A$302,0)),""))</f>
        <v/>
      </c>
      <c r="D65" s="9"/>
      <c r="E65" s="14"/>
      <c r="F65" s="15" t="str">
        <f aca="false">IF($E65="","",MONTH($E65))</f>
        <v/>
      </c>
      <c r="G65" s="15" t="str">
        <f aca="false">IF($E65="","",DAY($E65))</f>
        <v/>
      </c>
      <c r="H65" s="16" t="str">
        <f aca="true">IF($E65="","",IF(DATE(YEAR(TODAY()),$F65,$G65)&lt;TODAY(),DATE(YEAR(TODAY())+1,$F65,$G65),DATE(YEAR(TODAY()),$F65,$G65)))</f>
        <v/>
      </c>
      <c r="I65" s="15" t="str">
        <f aca="true">IF($H65="","",$H65-TODAY())</f>
        <v/>
      </c>
      <c r="J65" s="10"/>
    </row>
    <row r="66" customFormat="false" ht="15" hidden="false" customHeight="true" outlineLevel="0" collapsed="false">
      <c r="A66" s="13" t="str">
        <f aca="false">IF($B66="","",ROW()-2)</f>
        <v/>
      </c>
      <c r="B66" s="9"/>
      <c r="C66" s="13" t="str">
        <f aca="false">IF($B66="","",IFERROR(INDEX(대상목록!$C$3:$C$302,MATCH($B66,대상목록!$A$3:$A$302,0)),""))</f>
        <v/>
      </c>
      <c r="D66" s="9"/>
      <c r="E66" s="14"/>
      <c r="F66" s="15" t="str">
        <f aca="false">IF($E66="","",MONTH($E66))</f>
        <v/>
      </c>
      <c r="G66" s="15" t="str">
        <f aca="false">IF($E66="","",DAY($E66))</f>
        <v/>
      </c>
      <c r="H66" s="16" t="str">
        <f aca="true">IF($E66="","",IF(DATE(YEAR(TODAY()),$F66,$G66)&lt;TODAY(),DATE(YEAR(TODAY())+1,$F66,$G66),DATE(YEAR(TODAY()),$F66,$G66)))</f>
        <v/>
      </c>
      <c r="I66" s="15" t="str">
        <f aca="true">IF($H66="","",$H66-TODAY())</f>
        <v/>
      </c>
      <c r="J66" s="10"/>
    </row>
    <row r="67" customFormat="false" ht="15" hidden="false" customHeight="true" outlineLevel="0" collapsed="false">
      <c r="A67" s="13" t="str">
        <f aca="false">IF($B67="","",ROW()-2)</f>
        <v/>
      </c>
      <c r="B67" s="9"/>
      <c r="C67" s="13" t="str">
        <f aca="false">IF($B67="","",IFERROR(INDEX(대상목록!$C$3:$C$302,MATCH($B67,대상목록!$A$3:$A$302,0)),""))</f>
        <v/>
      </c>
      <c r="D67" s="9"/>
      <c r="E67" s="14"/>
      <c r="F67" s="15" t="str">
        <f aca="false">IF($E67="","",MONTH($E67))</f>
        <v/>
      </c>
      <c r="G67" s="15" t="str">
        <f aca="false">IF($E67="","",DAY($E67))</f>
        <v/>
      </c>
      <c r="H67" s="16" t="str">
        <f aca="true">IF($E67="","",IF(DATE(YEAR(TODAY()),$F67,$G67)&lt;TODAY(),DATE(YEAR(TODAY())+1,$F67,$G67),DATE(YEAR(TODAY()),$F67,$G67)))</f>
        <v/>
      </c>
      <c r="I67" s="15" t="str">
        <f aca="true">IF($H67="","",$H67-TODAY())</f>
        <v/>
      </c>
      <c r="J67" s="10"/>
    </row>
    <row r="68" customFormat="false" ht="15" hidden="false" customHeight="true" outlineLevel="0" collapsed="false">
      <c r="A68" s="13" t="str">
        <f aca="false">IF($B68="","",ROW()-2)</f>
        <v/>
      </c>
      <c r="B68" s="9"/>
      <c r="C68" s="13" t="str">
        <f aca="false">IF($B68="","",IFERROR(INDEX(대상목록!$C$3:$C$302,MATCH($B68,대상목록!$A$3:$A$302,0)),""))</f>
        <v/>
      </c>
      <c r="D68" s="9"/>
      <c r="E68" s="14"/>
      <c r="F68" s="15" t="str">
        <f aca="false">IF($E68="","",MONTH($E68))</f>
        <v/>
      </c>
      <c r="G68" s="15" t="str">
        <f aca="false">IF($E68="","",DAY($E68))</f>
        <v/>
      </c>
      <c r="H68" s="16" t="str">
        <f aca="true">IF($E68="","",IF(DATE(YEAR(TODAY()),$F68,$G68)&lt;TODAY(),DATE(YEAR(TODAY())+1,$F68,$G68),DATE(YEAR(TODAY()),$F68,$G68)))</f>
        <v/>
      </c>
      <c r="I68" s="15" t="str">
        <f aca="true">IF($H68="","",$H68-TODAY())</f>
        <v/>
      </c>
      <c r="J68" s="10"/>
    </row>
    <row r="69" customFormat="false" ht="15" hidden="false" customHeight="true" outlineLevel="0" collapsed="false">
      <c r="A69" s="13" t="str">
        <f aca="false">IF($B69="","",ROW()-2)</f>
        <v/>
      </c>
      <c r="B69" s="9"/>
      <c r="C69" s="13" t="str">
        <f aca="false">IF($B69="","",IFERROR(INDEX(대상목록!$C$3:$C$302,MATCH($B69,대상목록!$A$3:$A$302,0)),""))</f>
        <v/>
      </c>
      <c r="D69" s="9"/>
      <c r="E69" s="14"/>
      <c r="F69" s="15" t="str">
        <f aca="false">IF($E69="","",MONTH($E69))</f>
        <v/>
      </c>
      <c r="G69" s="15" t="str">
        <f aca="false">IF($E69="","",DAY($E69))</f>
        <v/>
      </c>
      <c r="H69" s="16" t="str">
        <f aca="true">IF($E69="","",IF(DATE(YEAR(TODAY()),$F69,$G69)&lt;TODAY(),DATE(YEAR(TODAY())+1,$F69,$G69),DATE(YEAR(TODAY()),$F69,$G69)))</f>
        <v/>
      </c>
      <c r="I69" s="15" t="str">
        <f aca="true">IF($H69="","",$H69-TODAY())</f>
        <v/>
      </c>
      <c r="J69" s="10"/>
    </row>
    <row r="70" customFormat="false" ht="15" hidden="false" customHeight="true" outlineLevel="0" collapsed="false">
      <c r="A70" s="13" t="str">
        <f aca="false">IF($B70="","",ROW()-2)</f>
        <v/>
      </c>
      <c r="B70" s="9"/>
      <c r="C70" s="13" t="str">
        <f aca="false">IF($B70="","",IFERROR(INDEX(대상목록!$C$3:$C$302,MATCH($B70,대상목록!$A$3:$A$302,0)),""))</f>
        <v/>
      </c>
      <c r="D70" s="9"/>
      <c r="E70" s="14"/>
      <c r="F70" s="15" t="str">
        <f aca="false">IF($E70="","",MONTH($E70))</f>
        <v/>
      </c>
      <c r="G70" s="15" t="str">
        <f aca="false">IF($E70="","",DAY($E70))</f>
        <v/>
      </c>
      <c r="H70" s="16" t="str">
        <f aca="true">IF($E70="","",IF(DATE(YEAR(TODAY()),$F70,$G70)&lt;TODAY(),DATE(YEAR(TODAY())+1,$F70,$G70),DATE(YEAR(TODAY()),$F70,$G70)))</f>
        <v/>
      </c>
      <c r="I70" s="15" t="str">
        <f aca="true">IF($H70="","",$H70-TODAY())</f>
        <v/>
      </c>
      <c r="J70" s="10"/>
    </row>
    <row r="71" customFormat="false" ht="15" hidden="false" customHeight="true" outlineLevel="0" collapsed="false">
      <c r="A71" s="13" t="str">
        <f aca="false">IF($B71="","",ROW()-2)</f>
        <v/>
      </c>
      <c r="B71" s="9"/>
      <c r="C71" s="13" t="str">
        <f aca="false">IF($B71="","",IFERROR(INDEX(대상목록!$C$3:$C$302,MATCH($B71,대상목록!$A$3:$A$302,0)),""))</f>
        <v/>
      </c>
      <c r="D71" s="9"/>
      <c r="E71" s="14"/>
      <c r="F71" s="15" t="str">
        <f aca="false">IF($E71="","",MONTH($E71))</f>
        <v/>
      </c>
      <c r="G71" s="15" t="str">
        <f aca="false">IF($E71="","",DAY($E71))</f>
        <v/>
      </c>
      <c r="H71" s="16" t="str">
        <f aca="true">IF($E71="","",IF(DATE(YEAR(TODAY()),$F71,$G71)&lt;TODAY(),DATE(YEAR(TODAY())+1,$F71,$G71),DATE(YEAR(TODAY()),$F71,$G71)))</f>
        <v/>
      </c>
      <c r="I71" s="15" t="str">
        <f aca="true">IF($H71="","",$H71-TODAY())</f>
        <v/>
      </c>
      <c r="J71" s="10"/>
    </row>
    <row r="72" customFormat="false" ht="15" hidden="false" customHeight="true" outlineLevel="0" collapsed="false">
      <c r="A72" s="13" t="str">
        <f aca="false">IF($B72="","",ROW()-2)</f>
        <v/>
      </c>
      <c r="B72" s="9"/>
      <c r="C72" s="13" t="str">
        <f aca="false">IF($B72="","",IFERROR(INDEX(대상목록!$C$3:$C$302,MATCH($B72,대상목록!$A$3:$A$302,0)),""))</f>
        <v/>
      </c>
      <c r="D72" s="9"/>
      <c r="E72" s="14"/>
      <c r="F72" s="15" t="str">
        <f aca="false">IF($E72="","",MONTH($E72))</f>
        <v/>
      </c>
      <c r="G72" s="15" t="str">
        <f aca="false">IF($E72="","",DAY($E72))</f>
        <v/>
      </c>
      <c r="H72" s="16" t="str">
        <f aca="true">IF($E72="","",IF(DATE(YEAR(TODAY()),$F72,$G72)&lt;TODAY(),DATE(YEAR(TODAY())+1,$F72,$G72),DATE(YEAR(TODAY()),$F72,$G72)))</f>
        <v/>
      </c>
      <c r="I72" s="15" t="str">
        <f aca="true">IF($H72="","",$H72-TODAY())</f>
        <v/>
      </c>
      <c r="J72" s="10"/>
    </row>
    <row r="73" customFormat="false" ht="15" hidden="false" customHeight="true" outlineLevel="0" collapsed="false">
      <c r="A73" s="13" t="str">
        <f aca="false">IF($B73="","",ROW()-2)</f>
        <v/>
      </c>
      <c r="B73" s="9"/>
      <c r="C73" s="13" t="str">
        <f aca="false">IF($B73="","",IFERROR(INDEX(대상목록!$C$3:$C$302,MATCH($B73,대상목록!$A$3:$A$302,0)),""))</f>
        <v/>
      </c>
      <c r="D73" s="9"/>
      <c r="E73" s="14"/>
      <c r="F73" s="15" t="str">
        <f aca="false">IF($E73="","",MONTH($E73))</f>
        <v/>
      </c>
      <c r="G73" s="15" t="str">
        <f aca="false">IF($E73="","",DAY($E73))</f>
        <v/>
      </c>
      <c r="H73" s="16" t="str">
        <f aca="true">IF($E73="","",IF(DATE(YEAR(TODAY()),$F73,$G73)&lt;TODAY(),DATE(YEAR(TODAY())+1,$F73,$G73),DATE(YEAR(TODAY()),$F73,$G73)))</f>
        <v/>
      </c>
      <c r="I73" s="15" t="str">
        <f aca="true">IF($H73="","",$H73-TODAY())</f>
        <v/>
      </c>
      <c r="J73" s="10"/>
    </row>
    <row r="74" customFormat="false" ht="15" hidden="false" customHeight="true" outlineLevel="0" collapsed="false">
      <c r="A74" s="13" t="str">
        <f aca="false">IF($B74="","",ROW()-2)</f>
        <v/>
      </c>
      <c r="B74" s="9"/>
      <c r="C74" s="13" t="str">
        <f aca="false">IF($B74="","",IFERROR(INDEX(대상목록!$C$3:$C$302,MATCH($B74,대상목록!$A$3:$A$302,0)),""))</f>
        <v/>
      </c>
      <c r="D74" s="9"/>
      <c r="E74" s="14"/>
      <c r="F74" s="15" t="str">
        <f aca="false">IF($E74="","",MONTH($E74))</f>
        <v/>
      </c>
      <c r="G74" s="15" t="str">
        <f aca="false">IF($E74="","",DAY($E74))</f>
        <v/>
      </c>
      <c r="H74" s="16" t="str">
        <f aca="true">IF($E74="","",IF(DATE(YEAR(TODAY()),$F74,$G74)&lt;TODAY(),DATE(YEAR(TODAY())+1,$F74,$G74),DATE(YEAR(TODAY()),$F74,$G74)))</f>
        <v/>
      </c>
      <c r="I74" s="15" t="str">
        <f aca="true">IF($H74="","",$H74-TODAY())</f>
        <v/>
      </c>
      <c r="J74" s="10"/>
    </row>
    <row r="75" customFormat="false" ht="15" hidden="false" customHeight="true" outlineLevel="0" collapsed="false">
      <c r="A75" s="13" t="str">
        <f aca="false">IF($B75="","",ROW()-2)</f>
        <v/>
      </c>
      <c r="B75" s="9"/>
      <c r="C75" s="13" t="str">
        <f aca="false">IF($B75="","",IFERROR(INDEX(대상목록!$C$3:$C$302,MATCH($B75,대상목록!$A$3:$A$302,0)),""))</f>
        <v/>
      </c>
      <c r="D75" s="9"/>
      <c r="E75" s="14"/>
      <c r="F75" s="15" t="str">
        <f aca="false">IF($E75="","",MONTH($E75))</f>
        <v/>
      </c>
      <c r="G75" s="15" t="str">
        <f aca="false">IF($E75="","",DAY($E75))</f>
        <v/>
      </c>
      <c r="H75" s="16" t="str">
        <f aca="true">IF($E75="","",IF(DATE(YEAR(TODAY()),$F75,$G75)&lt;TODAY(),DATE(YEAR(TODAY())+1,$F75,$G75),DATE(YEAR(TODAY()),$F75,$G75)))</f>
        <v/>
      </c>
      <c r="I75" s="15" t="str">
        <f aca="true">IF($H75="","",$H75-TODAY())</f>
        <v/>
      </c>
      <c r="J75" s="10"/>
    </row>
    <row r="76" customFormat="false" ht="15" hidden="false" customHeight="true" outlineLevel="0" collapsed="false">
      <c r="A76" s="13" t="str">
        <f aca="false">IF($B76="","",ROW()-2)</f>
        <v/>
      </c>
      <c r="B76" s="9"/>
      <c r="C76" s="13" t="str">
        <f aca="false">IF($B76="","",IFERROR(INDEX(대상목록!$C$3:$C$302,MATCH($B76,대상목록!$A$3:$A$302,0)),""))</f>
        <v/>
      </c>
      <c r="D76" s="9"/>
      <c r="E76" s="14"/>
      <c r="F76" s="15" t="str">
        <f aca="false">IF($E76="","",MONTH($E76))</f>
        <v/>
      </c>
      <c r="G76" s="15" t="str">
        <f aca="false">IF($E76="","",DAY($E76))</f>
        <v/>
      </c>
      <c r="H76" s="16" t="str">
        <f aca="true">IF($E76="","",IF(DATE(YEAR(TODAY()),$F76,$G76)&lt;TODAY(),DATE(YEAR(TODAY())+1,$F76,$G76),DATE(YEAR(TODAY()),$F76,$G76)))</f>
        <v/>
      </c>
      <c r="I76" s="15" t="str">
        <f aca="true">IF($H76="","",$H76-TODAY())</f>
        <v/>
      </c>
      <c r="J76" s="10"/>
    </row>
    <row r="77" customFormat="false" ht="15" hidden="false" customHeight="true" outlineLevel="0" collapsed="false">
      <c r="A77" s="13" t="str">
        <f aca="false">IF($B77="","",ROW()-2)</f>
        <v/>
      </c>
      <c r="B77" s="9"/>
      <c r="C77" s="13" t="str">
        <f aca="false">IF($B77="","",IFERROR(INDEX(대상목록!$C$3:$C$302,MATCH($B77,대상목록!$A$3:$A$302,0)),""))</f>
        <v/>
      </c>
      <c r="D77" s="9"/>
      <c r="E77" s="14"/>
      <c r="F77" s="15" t="str">
        <f aca="false">IF($E77="","",MONTH($E77))</f>
        <v/>
      </c>
      <c r="G77" s="15" t="str">
        <f aca="false">IF($E77="","",DAY($E77))</f>
        <v/>
      </c>
      <c r="H77" s="16" t="str">
        <f aca="true">IF($E77="","",IF(DATE(YEAR(TODAY()),$F77,$G77)&lt;TODAY(),DATE(YEAR(TODAY())+1,$F77,$G77),DATE(YEAR(TODAY()),$F77,$G77)))</f>
        <v/>
      </c>
      <c r="I77" s="15" t="str">
        <f aca="true">IF($H77="","",$H77-TODAY())</f>
        <v/>
      </c>
      <c r="J77" s="10"/>
    </row>
    <row r="78" customFormat="false" ht="15" hidden="false" customHeight="true" outlineLevel="0" collapsed="false">
      <c r="A78" s="13" t="str">
        <f aca="false">IF($B78="","",ROW()-2)</f>
        <v/>
      </c>
      <c r="B78" s="9"/>
      <c r="C78" s="13" t="str">
        <f aca="false">IF($B78="","",IFERROR(INDEX(대상목록!$C$3:$C$302,MATCH($B78,대상목록!$A$3:$A$302,0)),""))</f>
        <v/>
      </c>
      <c r="D78" s="9"/>
      <c r="E78" s="14"/>
      <c r="F78" s="15" t="str">
        <f aca="false">IF($E78="","",MONTH($E78))</f>
        <v/>
      </c>
      <c r="G78" s="15" t="str">
        <f aca="false">IF($E78="","",DAY($E78))</f>
        <v/>
      </c>
      <c r="H78" s="16" t="str">
        <f aca="true">IF($E78="","",IF(DATE(YEAR(TODAY()),$F78,$G78)&lt;TODAY(),DATE(YEAR(TODAY())+1,$F78,$G78),DATE(YEAR(TODAY()),$F78,$G78)))</f>
        <v/>
      </c>
      <c r="I78" s="15" t="str">
        <f aca="true">IF($H78="","",$H78-TODAY())</f>
        <v/>
      </c>
      <c r="J78" s="10"/>
    </row>
    <row r="79" customFormat="false" ht="15" hidden="false" customHeight="true" outlineLevel="0" collapsed="false">
      <c r="A79" s="13" t="str">
        <f aca="false">IF($B79="","",ROW()-2)</f>
        <v/>
      </c>
      <c r="B79" s="9"/>
      <c r="C79" s="13" t="str">
        <f aca="false">IF($B79="","",IFERROR(INDEX(대상목록!$C$3:$C$302,MATCH($B79,대상목록!$A$3:$A$302,0)),""))</f>
        <v/>
      </c>
      <c r="D79" s="9"/>
      <c r="E79" s="14"/>
      <c r="F79" s="15" t="str">
        <f aca="false">IF($E79="","",MONTH($E79))</f>
        <v/>
      </c>
      <c r="G79" s="15" t="str">
        <f aca="false">IF($E79="","",DAY($E79))</f>
        <v/>
      </c>
      <c r="H79" s="16" t="str">
        <f aca="true">IF($E79="","",IF(DATE(YEAR(TODAY()),$F79,$G79)&lt;TODAY(),DATE(YEAR(TODAY())+1,$F79,$G79),DATE(YEAR(TODAY()),$F79,$G79)))</f>
        <v/>
      </c>
      <c r="I79" s="15" t="str">
        <f aca="true">IF($H79="","",$H79-TODAY())</f>
        <v/>
      </c>
      <c r="J79" s="10"/>
    </row>
    <row r="80" customFormat="false" ht="15" hidden="false" customHeight="true" outlineLevel="0" collapsed="false">
      <c r="A80" s="13" t="str">
        <f aca="false">IF($B80="","",ROW()-2)</f>
        <v/>
      </c>
      <c r="B80" s="9"/>
      <c r="C80" s="13" t="str">
        <f aca="false">IF($B80="","",IFERROR(INDEX(대상목록!$C$3:$C$302,MATCH($B80,대상목록!$A$3:$A$302,0)),""))</f>
        <v/>
      </c>
      <c r="D80" s="9"/>
      <c r="E80" s="14"/>
      <c r="F80" s="15" t="str">
        <f aca="false">IF($E80="","",MONTH($E80))</f>
        <v/>
      </c>
      <c r="G80" s="15" t="str">
        <f aca="false">IF($E80="","",DAY($E80))</f>
        <v/>
      </c>
      <c r="H80" s="16" t="str">
        <f aca="true">IF($E80="","",IF(DATE(YEAR(TODAY()),$F80,$G80)&lt;TODAY(),DATE(YEAR(TODAY())+1,$F80,$G80),DATE(YEAR(TODAY()),$F80,$G80)))</f>
        <v/>
      </c>
      <c r="I80" s="15" t="str">
        <f aca="true">IF($H80="","",$H80-TODAY())</f>
        <v/>
      </c>
      <c r="J80" s="10"/>
    </row>
    <row r="81" customFormat="false" ht="15" hidden="false" customHeight="true" outlineLevel="0" collapsed="false">
      <c r="A81" s="13" t="str">
        <f aca="false">IF($B81="","",ROW()-2)</f>
        <v/>
      </c>
      <c r="B81" s="9"/>
      <c r="C81" s="13" t="str">
        <f aca="false">IF($B81="","",IFERROR(INDEX(대상목록!$C$3:$C$302,MATCH($B81,대상목록!$A$3:$A$302,0)),""))</f>
        <v/>
      </c>
      <c r="D81" s="9"/>
      <c r="E81" s="14"/>
      <c r="F81" s="15" t="str">
        <f aca="false">IF($E81="","",MONTH($E81))</f>
        <v/>
      </c>
      <c r="G81" s="15" t="str">
        <f aca="false">IF($E81="","",DAY($E81))</f>
        <v/>
      </c>
      <c r="H81" s="16" t="str">
        <f aca="true">IF($E81="","",IF(DATE(YEAR(TODAY()),$F81,$G81)&lt;TODAY(),DATE(YEAR(TODAY())+1,$F81,$G81),DATE(YEAR(TODAY()),$F81,$G81)))</f>
        <v/>
      </c>
      <c r="I81" s="15" t="str">
        <f aca="true">IF($H81="","",$H81-TODAY())</f>
        <v/>
      </c>
      <c r="J81" s="10"/>
    </row>
    <row r="82" customFormat="false" ht="15" hidden="false" customHeight="true" outlineLevel="0" collapsed="false">
      <c r="A82" s="13" t="str">
        <f aca="false">IF($B82="","",ROW()-2)</f>
        <v/>
      </c>
      <c r="B82" s="9"/>
      <c r="C82" s="13" t="str">
        <f aca="false">IF($B82="","",IFERROR(INDEX(대상목록!$C$3:$C$302,MATCH($B82,대상목록!$A$3:$A$302,0)),""))</f>
        <v/>
      </c>
      <c r="D82" s="9"/>
      <c r="E82" s="14"/>
      <c r="F82" s="15" t="str">
        <f aca="false">IF($E82="","",MONTH($E82))</f>
        <v/>
      </c>
      <c r="G82" s="15" t="str">
        <f aca="false">IF($E82="","",DAY($E82))</f>
        <v/>
      </c>
      <c r="H82" s="16" t="str">
        <f aca="true">IF($E82="","",IF(DATE(YEAR(TODAY()),$F82,$G82)&lt;TODAY(),DATE(YEAR(TODAY())+1,$F82,$G82),DATE(YEAR(TODAY()),$F82,$G82)))</f>
        <v/>
      </c>
      <c r="I82" s="15" t="str">
        <f aca="true">IF($H82="","",$H82-TODAY())</f>
        <v/>
      </c>
      <c r="J82" s="10"/>
    </row>
    <row r="83" customFormat="false" ht="15" hidden="false" customHeight="true" outlineLevel="0" collapsed="false">
      <c r="A83" s="13" t="str">
        <f aca="false">IF($B83="","",ROW()-2)</f>
        <v/>
      </c>
      <c r="B83" s="9"/>
      <c r="C83" s="13" t="str">
        <f aca="false">IF($B83="","",IFERROR(INDEX(대상목록!$C$3:$C$302,MATCH($B83,대상목록!$A$3:$A$302,0)),""))</f>
        <v/>
      </c>
      <c r="D83" s="9"/>
      <c r="E83" s="14"/>
      <c r="F83" s="15" t="str">
        <f aca="false">IF($E83="","",MONTH($E83))</f>
        <v/>
      </c>
      <c r="G83" s="15" t="str">
        <f aca="false">IF($E83="","",DAY($E83))</f>
        <v/>
      </c>
      <c r="H83" s="16" t="str">
        <f aca="true">IF($E83="","",IF(DATE(YEAR(TODAY()),$F83,$G83)&lt;TODAY(),DATE(YEAR(TODAY())+1,$F83,$G83),DATE(YEAR(TODAY()),$F83,$G83)))</f>
        <v/>
      </c>
      <c r="I83" s="15" t="str">
        <f aca="true">IF($H83="","",$H83-TODAY())</f>
        <v/>
      </c>
      <c r="J83" s="10"/>
    </row>
    <row r="84" customFormat="false" ht="15" hidden="false" customHeight="true" outlineLevel="0" collapsed="false">
      <c r="A84" s="13" t="str">
        <f aca="false">IF($B84="","",ROW()-2)</f>
        <v/>
      </c>
      <c r="B84" s="9"/>
      <c r="C84" s="13" t="str">
        <f aca="false">IF($B84="","",IFERROR(INDEX(대상목록!$C$3:$C$302,MATCH($B84,대상목록!$A$3:$A$302,0)),""))</f>
        <v/>
      </c>
      <c r="D84" s="9"/>
      <c r="E84" s="14"/>
      <c r="F84" s="15" t="str">
        <f aca="false">IF($E84="","",MONTH($E84))</f>
        <v/>
      </c>
      <c r="G84" s="15" t="str">
        <f aca="false">IF($E84="","",DAY($E84))</f>
        <v/>
      </c>
      <c r="H84" s="16" t="str">
        <f aca="true">IF($E84="","",IF(DATE(YEAR(TODAY()),$F84,$G84)&lt;TODAY(),DATE(YEAR(TODAY())+1,$F84,$G84),DATE(YEAR(TODAY()),$F84,$G84)))</f>
        <v/>
      </c>
      <c r="I84" s="15" t="str">
        <f aca="true">IF($H84="","",$H84-TODAY())</f>
        <v/>
      </c>
      <c r="J84" s="10"/>
    </row>
    <row r="85" customFormat="false" ht="15" hidden="false" customHeight="true" outlineLevel="0" collapsed="false">
      <c r="A85" s="13" t="str">
        <f aca="false">IF($B85="","",ROW()-2)</f>
        <v/>
      </c>
      <c r="B85" s="9"/>
      <c r="C85" s="13" t="str">
        <f aca="false">IF($B85="","",IFERROR(INDEX(대상목록!$C$3:$C$302,MATCH($B85,대상목록!$A$3:$A$302,0)),""))</f>
        <v/>
      </c>
      <c r="D85" s="9"/>
      <c r="E85" s="14"/>
      <c r="F85" s="15" t="str">
        <f aca="false">IF($E85="","",MONTH($E85))</f>
        <v/>
      </c>
      <c r="G85" s="15" t="str">
        <f aca="false">IF($E85="","",DAY($E85))</f>
        <v/>
      </c>
      <c r="H85" s="16" t="str">
        <f aca="true">IF($E85="","",IF(DATE(YEAR(TODAY()),$F85,$G85)&lt;TODAY(),DATE(YEAR(TODAY())+1,$F85,$G85),DATE(YEAR(TODAY()),$F85,$G85)))</f>
        <v/>
      </c>
      <c r="I85" s="15" t="str">
        <f aca="true">IF($H85="","",$H85-TODAY())</f>
        <v/>
      </c>
      <c r="J85" s="10"/>
    </row>
    <row r="86" customFormat="false" ht="15" hidden="false" customHeight="true" outlineLevel="0" collapsed="false">
      <c r="A86" s="13" t="str">
        <f aca="false">IF($B86="","",ROW()-2)</f>
        <v/>
      </c>
      <c r="B86" s="9"/>
      <c r="C86" s="13" t="str">
        <f aca="false">IF($B86="","",IFERROR(INDEX(대상목록!$C$3:$C$302,MATCH($B86,대상목록!$A$3:$A$302,0)),""))</f>
        <v/>
      </c>
      <c r="D86" s="9"/>
      <c r="E86" s="14"/>
      <c r="F86" s="15" t="str">
        <f aca="false">IF($E86="","",MONTH($E86))</f>
        <v/>
      </c>
      <c r="G86" s="15" t="str">
        <f aca="false">IF($E86="","",DAY($E86))</f>
        <v/>
      </c>
      <c r="H86" s="16" t="str">
        <f aca="true">IF($E86="","",IF(DATE(YEAR(TODAY()),$F86,$G86)&lt;TODAY(),DATE(YEAR(TODAY())+1,$F86,$G86),DATE(YEAR(TODAY()),$F86,$G86)))</f>
        <v/>
      </c>
      <c r="I86" s="15" t="str">
        <f aca="true">IF($H86="","",$H86-TODAY())</f>
        <v/>
      </c>
      <c r="J86" s="10"/>
    </row>
    <row r="87" customFormat="false" ht="15" hidden="false" customHeight="true" outlineLevel="0" collapsed="false">
      <c r="A87" s="13" t="str">
        <f aca="false">IF($B87="","",ROW()-2)</f>
        <v/>
      </c>
      <c r="B87" s="9"/>
      <c r="C87" s="13" t="str">
        <f aca="false">IF($B87="","",IFERROR(INDEX(대상목록!$C$3:$C$302,MATCH($B87,대상목록!$A$3:$A$302,0)),""))</f>
        <v/>
      </c>
      <c r="D87" s="9"/>
      <c r="E87" s="14"/>
      <c r="F87" s="15" t="str">
        <f aca="false">IF($E87="","",MONTH($E87))</f>
        <v/>
      </c>
      <c r="G87" s="15" t="str">
        <f aca="false">IF($E87="","",DAY($E87))</f>
        <v/>
      </c>
      <c r="H87" s="16" t="str">
        <f aca="true">IF($E87="","",IF(DATE(YEAR(TODAY()),$F87,$G87)&lt;TODAY(),DATE(YEAR(TODAY())+1,$F87,$G87),DATE(YEAR(TODAY()),$F87,$G87)))</f>
        <v/>
      </c>
      <c r="I87" s="15" t="str">
        <f aca="true">IF($H87="","",$H87-TODAY())</f>
        <v/>
      </c>
      <c r="J87" s="10"/>
    </row>
    <row r="88" customFormat="false" ht="15" hidden="false" customHeight="true" outlineLevel="0" collapsed="false">
      <c r="A88" s="13" t="str">
        <f aca="false">IF($B88="","",ROW()-2)</f>
        <v/>
      </c>
      <c r="B88" s="9"/>
      <c r="C88" s="13" t="str">
        <f aca="false">IF($B88="","",IFERROR(INDEX(대상목록!$C$3:$C$302,MATCH($B88,대상목록!$A$3:$A$302,0)),""))</f>
        <v/>
      </c>
      <c r="D88" s="9"/>
      <c r="E88" s="14"/>
      <c r="F88" s="15" t="str">
        <f aca="false">IF($E88="","",MONTH($E88))</f>
        <v/>
      </c>
      <c r="G88" s="15" t="str">
        <f aca="false">IF($E88="","",DAY($E88))</f>
        <v/>
      </c>
      <c r="H88" s="16" t="str">
        <f aca="true">IF($E88="","",IF(DATE(YEAR(TODAY()),$F88,$G88)&lt;TODAY(),DATE(YEAR(TODAY())+1,$F88,$G88),DATE(YEAR(TODAY()),$F88,$G88)))</f>
        <v/>
      </c>
      <c r="I88" s="15" t="str">
        <f aca="true">IF($H88="","",$H88-TODAY())</f>
        <v/>
      </c>
      <c r="J88" s="10"/>
    </row>
    <row r="89" customFormat="false" ht="15" hidden="false" customHeight="true" outlineLevel="0" collapsed="false">
      <c r="A89" s="13" t="str">
        <f aca="false">IF($B89="","",ROW()-2)</f>
        <v/>
      </c>
      <c r="B89" s="9"/>
      <c r="C89" s="13" t="str">
        <f aca="false">IF($B89="","",IFERROR(INDEX(대상목록!$C$3:$C$302,MATCH($B89,대상목록!$A$3:$A$302,0)),""))</f>
        <v/>
      </c>
      <c r="D89" s="9"/>
      <c r="E89" s="14"/>
      <c r="F89" s="15" t="str">
        <f aca="false">IF($E89="","",MONTH($E89))</f>
        <v/>
      </c>
      <c r="G89" s="15" t="str">
        <f aca="false">IF($E89="","",DAY($E89))</f>
        <v/>
      </c>
      <c r="H89" s="16" t="str">
        <f aca="true">IF($E89="","",IF(DATE(YEAR(TODAY()),$F89,$G89)&lt;TODAY(),DATE(YEAR(TODAY())+1,$F89,$G89),DATE(YEAR(TODAY()),$F89,$G89)))</f>
        <v/>
      </c>
      <c r="I89" s="15" t="str">
        <f aca="true">IF($H89="","",$H89-TODAY())</f>
        <v/>
      </c>
      <c r="J89" s="10"/>
    </row>
    <row r="90" customFormat="false" ht="15" hidden="false" customHeight="true" outlineLevel="0" collapsed="false">
      <c r="A90" s="13" t="str">
        <f aca="false">IF($B90="","",ROW()-2)</f>
        <v/>
      </c>
      <c r="B90" s="9"/>
      <c r="C90" s="13" t="str">
        <f aca="false">IF($B90="","",IFERROR(INDEX(대상목록!$C$3:$C$302,MATCH($B90,대상목록!$A$3:$A$302,0)),""))</f>
        <v/>
      </c>
      <c r="D90" s="9"/>
      <c r="E90" s="14"/>
      <c r="F90" s="15" t="str">
        <f aca="false">IF($E90="","",MONTH($E90))</f>
        <v/>
      </c>
      <c r="G90" s="15" t="str">
        <f aca="false">IF($E90="","",DAY($E90))</f>
        <v/>
      </c>
      <c r="H90" s="16" t="str">
        <f aca="true">IF($E90="","",IF(DATE(YEAR(TODAY()),$F90,$G90)&lt;TODAY(),DATE(YEAR(TODAY())+1,$F90,$G90),DATE(YEAR(TODAY()),$F90,$G90)))</f>
        <v/>
      </c>
      <c r="I90" s="15" t="str">
        <f aca="true">IF($H90="","",$H90-TODAY())</f>
        <v/>
      </c>
      <c r="J90" s="10"/>
    </row>
    <row r="91" customFormat="false" ht="15" hidden="false" customHeight="true" outlineLevel="0" collapsed="false">
      <c r="A91" s="13" t="str">
        <f aca="false">IF($B91="","",ROW()-2)</f>
        <v/>
      </c>
      <c r="B91" s="9"/>
      <c r="C91" s="13" t="str">
        <f aca="false">IF($B91="","",IFERROR(INDEX(대상목록!$C$3:$C$302,MATCH($B91,대상목록!$A$3:$A$302,0)),""))</f>
        <v/>
      </c>
      <c r="D91" s="9"/>
      <c r="E91" s="14"/>
      <c r="F91" s="15" t="str">
        <f aca="false">IF($E91="","",MONTH($E91))</f>
        <v/>
      </c>
      <c r="G91" s="15" t="str">
        <f aca="false">IF($E91="","",DAY($E91))</f>
        <v/>
      </c>
      <c r="H91" s="16" t="str">
        <f aca="true">IF($E91="","",IF(DATE(YEAR(TODAY()),$F91,$G91)&lt;TODAY(),DATE(YEAR(TODAY())+1,$F91,$G91),DATE(YEAR(TODAY()),$F91,$G91)))</f>
        <v/>
      </c>
      <c r="I91" s="15" t="str">
        <f aca="true">IF($H91="","",$H91-TODAY())</f>
        <v/>
      </c>
      <c r="J91" s="10"/>
    </row>
    <row r="92" customFormat="false" ht="15" hidden="false" customHeight="true" outlineLevel="0" collapsed="false">
      <c r="A92" s="13" t="str">
        <f aca="false">IF($B92="","",ROW()-2)</f>
        <v/>
      </c>
      <c r="B92" s="9"/>
      <c r="C92" s="13" t="str">
        <f aca="false">IF($B92="","",IFERROR(INDEX(대상목록!$C$3:$C$302,MATCH($B92,대상목록!$A$3:$A$302,0)),""))</f>
        <v/>
      </c>
      <c r="D92" s="9"/>
      <c r="E92" s="14"/>
      <c r="F92" s="15" t="str">
        <f aca="false">IF($E92="","",MONTH($E92))</f>
        <v/>
      </c>
      <c r="G92" s="15" t="str">
        <f aca="false">IF($E92="","",DAY($E92))</f>
        <v/>
      </c>
      <c r="H92" s="16" t="str">
        <f aca="true">IF($E92="","",IF(DATE(YEAR(TODAY()),$F92,$G92)&lt;TODAY(),DATE(YEAR(TODAY())+1,$F92,$G92),DATE(YEAR(TODAY()),$F92,$G92)))</f>
        <v/>
      </c>
      <c r="I92" s="15" t="str">
        <f aca="true">IF($H92="","",$H92-TODAY())</f>
        <v/>
      </c>
      <c r="J92" s="10"/>
    </row>
    <row r="93" customFormat="false" ht="15" hidden="false" customHeight="true" outlineLevel="0" collapsed="false">
      <c r="A93" s="13" t="str">
        <f aca="false">IF($B93="","",ROW()-2)</f>
        <v/>
      </c>
      <c r="B93" s="9"/>
      <c r="C93" s="13" t="str">
        <f aca="false">IF($B93="","",IFERROR(INDEX(대상목록!$C$3:$C$302,MATCH($B93,대상목록!$A$3:$A$302,0)),""))</f>
        <v/>
      </c>
      <c r="D93" s="9"/>
      <c r="E93" s="14"/>
      <c r="F93" s="15" t="str">
        <f aca="false">IF($E93="","",MONTH($E93))</f>
        <v/>
      </c>
      <c r="G93" s="15" t="str">
        <f aca="false">IF($E93="","",DAY($E93))</f>
        <v/>
      </c>
      <c r="H93" s="16" t="str">
        <f aca="true">IF($E93="","",IF(DATE(YEAR(TODAY()),$F93,$G93)&lt;TODAY(),DATE(YEAR(TODAY())+1,$F93,$G93),DATE(YEAR(TODAY()),$F93,$G93)))</f>
        <v/>
      </c>
      <c r="I93" s="15" t="str">
        <f aca="true">IF($H93="","",$H93-TODAY())</f>
        <v/>
      </c>
      <c r="J93" s="10"/>
    </row>
    <row r="94" customFormat="false" ht="15" hidden="false" customHeight="true" outlineLevel="0" collapsed="false">
      <c r="A94" s="13" t="str">
        <f aca="false">IF($B94="","",ROW()-2)</f>
        <v/>
      </c>
      <c r="B94" s="9"/>
      <c r="C94" s="13" t="str">
        <f aca="false">IF($B94="","",IFERROR(INDEX(대상목록!$C$3:$C$302,MATCH($B94,대상목록!$A$3:$A$302,0)),""))</f>
        <v/>
      </c>
      <c r="D94" s="9"/>
      <c r="E94" s="14"/>
      <c r="F94" s="15" t="str">
        <f aca="false">IF($E94="","",MONTH($E94))</f>
        <v/>
      </c>
      <c r="G94" s="15" t="str">
        <f aca="false">IF($E94="","",DAY($E94))</f>
        <v/>
      </c>
      <c r="H94" s="16" t="str">
        <f aca="true">IF($E94="","",IF(DATE(YEAR(TODAY()),$F94,$G94)&lt;TODAY(),DATE(YEAR(TODAY())+1,$F94,$G94),DATE(YEAR(TODAY()),$F94,$G94)))</f>
        <v/>
      </c>
      <c r="I94" s="15" t="str">
        <f aca="true">IF($H94="","",$H94-TODAY())</f>
        <v/>
      </c>
      <c r="J94" s="10"/>
    </row>
    <row r="95" customFormat="false" ht="15" hidden="false" customHeight="true" outlineLevel="0" collapsed="false">
      <c r="A95" s="13" t="str">
        <f aca="false">IF($B95="","",ROW()-2)</f>
        <v/>
      </c>
      <c r="B95" s="9"/>
      <c r="C95" s="13" t="str">
        <f aca="false">IF($B95="","",IFERROR(INDEX(대상목록!$C$3:$C$302,MATCH($B95,대상목록!$A$3:$A$302,0)),""))</f>
        <v/>
      </c>
      <c r="D95" s="9"/>
      <c r="E95" s="14"/>
      <c r="F95" s="15" t="str">
        <f aca="false">IF($E95="","",MONTH($E95))</f>
        <v/>
      </c>
      <c r="G95" s="15" t="str">
        <f aca="false">IF($E95="","",DAY($E95))</f>
        <v/>
      </c>
      <c r="H95" s="16" t="str">
        <f aca="true">IF($E95="","",IF(DATE(YEAR(TODAY()),$F95,$G95)&lt;TODAY(),DATE(YEAR(TODAY())+1,$F95,$G95),DATE(YEAR(TODAY()),$F95,$G95)))</f>
        <v/>
      </c>
      <c r="I95" s="15" t="str">
        <f aca="true">IF($H95="","",$H95-TODAY())</f>
        <v/>
      </c>
      <c r="J95" s="10"/>
    </row>
    <row r="96" customFormat="false" ht="15" hidden="false" customHeight="true" outlineLevel="0" collapsed="false">
      <c r="A96" s="13" t="str">
        <f aca="false">IF($B96="","",ROW()-2)</f>
        <v/>
      </c>
      <c r="B96" s="9"/>
      <c r="C96" s="13" t="str">
        <f aca="false">IF($B96="","",IFERROR(INDEX(대상목록!$C$3:$C$302,MATCH($B96,대상목록!$A$3:$A$302,0)),""))</f>
        <v/>
      </c>
      <c r="D96" s="9"/>
      <c r="E96" s="14"/>
      <c r="F96" s="15" t="str">
        <f aca="false">IF($E96="","",MONTH($E96))</f>
        <v/>
      </c>
      <c r="G96" s="15" t="str">
        <f aca="false">IF($E96="","",DAY($E96))</f>
        <v/>
      </c>
      <c r="H96" s="16" t="str">
        <f aca="true">IF($E96="","",IF(DATE(YEAR(TODAY()),$F96,$G96)&lt;TODAY(),DATE(YEAR(TODAY())+1,$F96,$G96),DATE(YEAR(TODAY()),$F96,$G96)))</f>
        <v/>
      </c>
      <c r="I96" s="15" t="str">
        <f aca="true">IF($H96="","",$H96-TODAY())</f>
        <v/>
      </c>
      <c r="J96" s="10"/>
    </row>
    <row r="97" customFormat="false" ht="15" hidden="false" customHeight="true" outlineLevel="0" collapsed="false">
      <c r="A97" s="13" t="str">
        <f aca="false">IF($B97="","",ROW()-2)</f>
        <v/>
      </c>
      <c r="B97" s="9"/>
      <c r="C97" s="13" t="str">
        <f aca="false">IF($B97="","",IFERROR(INDEX(대상목록!$C$3:$C$302,MATCH($B97,대상목록!$A$3:$A$302,0)),""))</f>
        <v/>
      </c>
      <c r="D97" s="9"/>
      <c r="E97" s="14"/>
      <c r="F97" s="15" t="str">
        <f aca="false">IF($E97="","",MONTH($E97))</f>
        <v/>
      </c>
      <c r="G97" s="15" t="str">
        <f aca="false">IF($E97="","",DAY($E97))</f>
        <v/>
      </c>
      <c r="H97" s="16" t="str">
        <f aca="true">IF($E97="","",IF(DATE(YEAR(TODAY()),$F97,$G97)&lt;TODAY(),DATE(YEAR(TODAY())+1,$F97,$G97),DATE(YEAR(TODAY()),$F97,$G97)))</f>
        <v/>
      </c>
      <c r="I97" s="15" t="str">
        <f aca="true">IF($H97="","",$H97-TODAY())</f>
        <v/>
      </c>
      <c r="J97" s="10"/>
    </row>
    <row r="98" customFormat="false" ht="15" hidden="false" customHeight="true" outlineLevel="0" collapsed="false">
      <c r="A98" s="13" t="str">
        <f aca="false">IF($B98="","",ROW()-2)</f>
        <v/>
      </c>
      <c r="B98" s="9"/>
      <c r="C98" s="13" t="str">
        <f aca="false">IF($B98="","",IFERROR(INDEX(대상목록!$C$3:$C$302,MATCH($B98,대상목록!$A$3:$A$302,0)),""))</f>
        <v/>
      </c>
      <c r="D98" s="9"/>
      <c r="E98" s="14"/>
      <c r="F98" s="15" t="str">
        <f aca="false">IF($E98="","",MONTH($E98))</f>
        <v/>
      </c>
      <c r="G98" s="15" t="str">
        <f aca="false">IF($E98="","",DAY($E98))</f>
        <v/>
      </c>
      <c r="H98" s="16" t="str">
        <f aca="true">IF($E98="","",IF(DATE(YEAR(TODAY()),$F98,$G98)&lt;TODAY(),DATE(YEAR(TODAY())+1,$F98,$G98),DATE(YEAR(TODAY()),$F98,$G98)))</f>
        <v/>
      </c>
      <c r="I98" s="15" t="str">
        <f aca="true">IF($H98="","",$H98-TODAY())</f>
        <v/>
      </c>
      <c r="J98" s="10"/>
    </row>
    <row r="99" customFormat="false" ht="15" hidden="false" customHeight="true" outlineLevel="0" collapsed="false">
      <c r="A99" s="13" t="str">
        <f aca="false">IF($B99="","",ROW()-2)</f>
        <v/>
      </c>
      <c r="B99" s="9"/>
      <c r="C99" s="13" t="str">
        <f aca="false">IF($B99="","",IFERROR(INDEX(대상목록!$C$3:$C$302,MATCH($B99,대상목록!$A$3:$A$302,0)),""))</f>
        <v/>
      </c>
      <c r="D99" s="9"/>
      <c r="E99" s="14"/>
      <c r="F99" s="15" t="str">
        <f aca="false">IF($E99="","",MONTH($E99))</f>
        <v/>
      </c>
      <c r="G99" s="15" t="str">
        <f aca="false">IF($E99="","",DAY($E99))</f>
        <v/>
      </c>
      <c r="H99" s="16" t="str">
        <f aca="true">IF($E99="","",IF(DATE(YEAR(TODAY()),$F99,$G99)&lt;TODAY(),DATE(YEAR(TODAY())+1,$F99,$G99),DATE(YEAR(TODAY()),$F99,$G99)))</f>
        <v/>
      </c>
      <c r="I99" s="15" t="str">
        <f aca="true">IF($H99="","",$H99-TODAY())</f>
        <v/>
      </c>
      <c r="J99" s="10"/>
    </row>
    <row r="100" customFormat="false" ht="15" hidden="false" customHeight="true" outlineLevel="0" collapsed="false">
      <c r="A100" s="13" t="str">
        <f aca="false">IF($B100="","",ROW()-2)</f>
        <v/>
      </c>
      <c r="B100" s="9"/>
      <c r="C100" s="13" t="str">
        <f aca="false">IF($B100="","",IFERROR(INDEX(대상목록!$C$3:$C$302,MATCH($B100,대상목록!$A$3:$A$302,0)),""))</f>
        <v/>
      </c>
      <c r="D100" s="9"/>
      <c r="E100" s="14"/>
      <c r="F100" s="15" t="str">
        <f aca="false">IF($E100="","",MONTH($E100))</f>
        <v/>
      </c>
      <c r="G100" s="15" t="str">
        <f aca="false">IF($E100="","",DAY($E100))</f>
        <v/>
      </c>
      <c r="H100" s="16" t="str">
        <f aca="true">IF($E100="","",IF(DATE(YEAR(TODAY()),$F100,$G100)&lt;TODAY(),DATE(YEAR(TODAY())+1,$F100,$G100),DATE(YEAR(TODAY()),$F100,$G100)))</f>
        <v/>
      </c>
      <c r="I100" s="15" t="str">
        <f aca="true">IF($H100="","",$H100-TODAY())</f>
        <v/>
      </c>
      <c r="J100" s="10"/>
    </row>
    <row r="101" customFormat="false" ht="15" hidden="false" customHeight="true" outlineLevel="0" collapsed="false">
      <c r="A101" s="13" t="str">
        <f aca="false">IF($B101="","",ROW()-2)</f>
        <v/>
      </c>
      <c r="B101" s="9"/>
      <c r="C101" s="13" t="str">
        <f aca="false">IF($B101="","",IFERROR(INDEX(대상목록!$C$3:$C$302,MATCH($B101,대상목록!$A$3:$A$302,0)),""))</f>
        <v/>
      </c>
      <c r="D101" s="9"/>
      <c r="E101" s="14"/>
      <c r="F101" s="15" t="str">
        <f aca="false">IF($E101="","",MONTH($E101))</f>
        <v/>
      </c>
      <c r="G101" s="15" t="str">
        <f aca="false">IF($E101="","",DAY($E101))</f>
        <v/>
      </c>
      <c r="H101" s="16" t="str">
        <f aca="true">IF($E101="","",IF(DATE(YEAR(TODAY()),$F101,$G101)&lt;TODAY(),DATE(YEAR(TODAY())+1,$F101,$G101),DATE(YEAR(TODAY()),$F101,$G101)))</f>
        <v/>
      </c>
      <c r="I101" s="15" t="str">
        <f aca="true">IF($H101="","",$H101-TODAY())</f>
        <v/>
      </c>
      <c r="J101" s="10"/>
    </row>
    <row r="102" customFormat="false" ht="15" hidden="false" customHeight="true" outlineLevel="0" collapsed="false">
      <c r="A102" s="13" t="str">
        <f aca="false">IF($B102="","",ROW()-2)</f>
        <v/>
      </c>
      <c r="B102" s="9"/>
      <c r="C102" s="13" t="str">
        <f aca="false">IF($B102="","",IFERROR(INDEX(대상목록!$C$3:$C$302,MATCH($B102,대상목록!$A$3:$A$302,0)),""))</f>
        <v/>
      </c>
      <c r="D102" s="9"/>
      <c r="E102" s="14"/>
      <c r="F102" s="15" t="str">
        <f aca="false">IF($E102="","",MONTH($E102))</f>
        <v/>
      </c>
      <c r="G102" s="15" t="str">
        <f aca="false">IF($E102="","",DAY($E102))</f>
        <v/>
      </c>
      <c r="H102" s="16" t="str">
        <f aca="true">IF($E102="","",IF(DATE(YEAR(TODAY()),$F102,$G102)&lt;TODAY(),DATE(YEAR(TODAY())+1,$F102,$G102),DATE(YEAR(TODAY()),$F102,$G102)))</f>
        <v/>
      </c>
      <c r="I102" s="15" t="str">
        <f aca="true">IF($H102="","",$H102-TODAY())</f>
        <v/>
      </c>
      <c r="J102" s="10"/>
    </row>
    <row r="103" customFormat="false" ht="15" hidden="false" customHeight="true" outlineLevel="0" collapsed="false">
      <c r="A103" s="13" t="str">
        <f aca="false">IF($B103="","",ROW()-2)</f>
        <v/>
      </c>
      <c r="B103" s="9"/>
      <c r="C103" s="13" t="str">
        <f aca="false">IF($B103="","",IFERROR(INDEX(대상목록!$C$3:$C$302,MATCH($B103,대상목록!$A$3:$A$302,0)),""))</f>
        <v/>
      </c>
      <c r="D103" s="9"/>
      <c r="E103" s="14"/>
      <c r="F103" s="15" t="str">
        <f aca="false">IF($E103="","",MONTH($E103))</f>
        <v/>
      </c>
      <c r="G103" s="15" t="str">
        <f aca="false">IF($E103="","",DAY($E103))</f>
        <v/>
      </c>
      <c r="H103" s="16" t="str">
        <f aca="true">IF($E103="","",IF(DATE(YEAR(TODAY()),$F103,$G103)&lt;TODAY(),DATE(YEAR(TODAY())+1,$F103,$G103),DATE(YEAR(TODAY()),$F103,$G103)))</f>
        <v/>
      </c>
      <c r="I103" s="15" t="str">
        <f aca="true">IF($H103="","",$H103-TODAY())</f>
        <v/>
      </c>
      <c r="J103" s="10"/>
    </row>
    <row r="104" customFormat="false" ht="15" hidden="false" customHeight="true" outlineLevel="0" collapsed="false">
      <c r="A104" s="13" t="str">
        <f aca="false">IF($B104="","",ROW()-2)</f>
        <v/>
      </c>
      <c r="B104" s="9"/>
      <c r="C104" s="13" t="str">
        <f aca="false">IF($B104="","",IFERROR(INDEX(대상목록!$C$3:$C$302,MATCH($B104,대상목록!$A$3:$A$302,0)),""))</f>
        <v/>
      </c>
      <c r="D104" s="9"/>
      <c r="E104" s="14"/>
      <c r="F104" s="15" t="str">
        <f aca="false">IF($E104="","",MONTH($E104))</f>
        <v/>
      </c>
      <c r="G104" s="15" t="str">
        <f aca="false">IF($E104="","",DAY($E104))</f>
        <v/>
      </c>
      <c r="H104" s="16" t="str">
        <f aca="true">IF($E104="","",IF(DATE(YEAR(TODAY()),$F104,$G104)&lt;TODAY(),DATE(YEAR(TODAY())+1,$F104,$G104),DATE(YEAR(TODAY()),$F104,$G104)))</f>
        <v/>
      </c>
      <c r="I104" s="15" t="str">
        <f aca="true">IF($H104="","",$H104-TODAY())</f>
        <v/>
      </c>
      <c r="J104" s="10"/>
    </row>
    <row r="105" customFormat="false" ht="15" hidden="false" customHeight="true" outlineLevel="0" collapsed="false">
      <c r="A105" s="13" t="str">
        <f aca="false">IF($B105="","",ROW()-2)</f>
        <v/>
      </c>
      <c r="B105" s="9"/>
      <c r="C105" s="13" t="str">
        <f aca="false">IF($B105="","",IFERROR(INDEX(대상목록!$C$3:$C$302,MATCH($B105,대상목록!$A$3:$A$302,0)),""))</f>
        <v/>
      </c>
      <c r="D105" s="9"/>
      <c r="E105" s="14"/>
      <c r="F105" s="15" t="str">
        <f aca="false">IF($E105="","",MONTH($E105))</f>
        <v/>
      </c>
      <c r="G105" s="15" t="str">
        <f aca="false">IF($E105="","",DAY($E105))</f>
        <v/>
      </c>
      <c r="H105" s="16" t="str">
        <f aca="true">IF($E105="","",IF(DATE(YEAR(TODAY()),$F105,$G105)&lt;TODAY(),DATE(YEAR(TODAY())+1,$F105,$G105),DATE(YEAR(TODAY()),$F105,$G105)))</f>
        <v/>
      </c>
      <c r="I105" s="15" t="str">
        <f aca="true">IF($H105="","",$H105-TODAY())</f>
        <v/>
      </c>
      <c r="J105" s="10"/>
    </row>
    <row r="106" customFormat="false" ht="15" hidden="false" customHeight="true" outlineLevel="0" collapsed="false">
      <c r="A106" s="13" t="str">
        <f aca="false">IF($B106="","",ROW()-2)</f>
        <v/>
      </c>
      <c r="B106" s="9"/>
      <c r="C106" s="13" t="str">
        <f aca="false">IF($B106="","",IFERROR(INDEX(대상목록!$C$3:$C$302,MATCH($B106,대상목록!$A$3:$A$302,0)),""))</f>
        <v/>
      </c>
      <c r="D106" s="9"/>
      <c r="E106" s="14"/>
      <c r="F106" s="15" t="str">
        <f aca="false">IF($E106="","",MONTH($E106))</f>
        <v/>
      </c>
      <c r="G106" s="15" t="str">
        <f aca="false">IF($E106="","",DAY($E106))</f>
        <v/>
      </c>
      <c r="H106" s="16" t="str">
        <f aca="true">IF($E106="","",IF(DATE(YEAR(TODAY()),$F106,$G106)&lt;TODAY(),DATE(YEAR(TODAY())+1,$F106,$G106),DATE(YEAR(TODAY()),$F106,$G106)))</f>
        <v/>
      </c>
      <c r="I106" s="15" t="str">
        <f aca="true">IF($H106="","",$H106-TODAY())</f>
        <v/>
      </c>
      <c r="J106" s="10"/>
    </row>
    <row r="107" customFormat="false" ht="15" hidden="false" customHeight="true" outlineLevel="0" collapsed="false">
      <c r="A107" s="13" t="str">
        <f aca="false">IF($B107="","",ROW()-2)</f>
        <v/>
      </c>
      <c r="B107" s="9"/>
      <c r="C107" s="13" t="str">
        <f aca="false">IF($B107="","",IFERROR(INDEX(대상목록!$C$3:$C$302,MATCH($B107,대상목록!$A$3:$A$302,0)),""))</f>
        <v/>
      </c>
      <c r="D107" s="9"/>
      <c r="E107" s="14"/>
      <c r="F107" s="15" t="str">
        <f aca="false">IF($E107="","",MONTH($E107))</f>
        <v/>
      </c>
      <c r="G107" s="15" t="str">
        <f aca="false">IF($E107="","",DAY($E107))</f>
        <v/>
      </c>
      <c r="H107" s="16" t="str">
        <f aca="true">IF($E107="","",IF(DATE(YEAR(TODAY()),$F107,$G107)&lt;TODAY(),DATE(YEAR(TODAY())+1,$F107,$G107),DATE(YEAR(TODAY()),$F107,$G107)))</f>
        <v/>
      </c>
      <c r="I107" s="15" t="str">
        <f aca="true">IF($H107="","",$H107-TODAY())</f>
        <v/>
      </c>
      <c r="J107" s="10"/>
    </row>
    <row r="108" customFormat="false" ht="15" hidden="false" customHeight="true" outlineLevel="0" collapsed="false">
      <c r="A108" s="13" t="str">
        <f aca="false">IF($B108="","",ROW()-2)</f>
        <v/>
      </c>
      <c r="B108" s="9"/>
      <c r="C108" s="13" t="str">
        <f aca="false">IF($B108="","",IFERROR(INDEX(대상목록!$C$3:$C$302,MATCH($B108,대상목록!$A$3:$A$302,0)),""))</f>
        <v/>
      </c>
      <c r="D108" s="9"/>
      <c r="E108" s="14"/>
      <c r="F108" s="15" t="str">
        <f aca="false">IF($E108="","",MONTH($E108))</f>
        <v/>
      </c>
      <c r="G108" s="15" t="str">
        <f aca="false">IF($E108="","",DAY($E108))</f>
        <v/>
      </c>
      <c r="H108" s="16" t="str">
        <f aca="true">IF($E108="","",IF(DATE(YEAR(TODAY()),$F108,$G108)&lt;TODAY(),DATE(YEAR(TODAY())+1,$F108,$G108),DATE(YEAR(TODAY()),$F108,$G108)))</f>
        <v/>
      </c>
      <c r="I108" s="15" t="str">
        <f aca="true">IF($H108="","",$H108-TODAY())</f>
        <v/>
      </c>
      <c r="J108" s="10"/>
    </row>
    <row r="109" customFormat="false" ht="15" hidden="false" customHeight="true" outlineLevel="0" collapsed="false">
      <c r="A109" s="13" t="str">
        <f aca="false">IF($B109="","",ROW()-2)</f>
        <v/>
      </c>
      <c r="B109" s="9"/>
      <c r="C109" s="13" t="str">
        <f aca="false">IF($B109="","",IFERROR(INDEX(대상목록!$C$3:$C$302,MATCH($B109,대상목록!$A$3:$A$302,0)),""))</f>
        <v/>
      </c>
      <c r="D109" s="9"/>
      <c r="E109" s="14"/>
      <c r="F109" s="15" t="str">
        <f aca="false">IF($E109="","",MONTH($E109))</f>
        <v/>
      </c>
      <c r="G109" s="15" t="str">
        <f aca="false">IF($E109="","",DAY($E109))</f>
        <v/>
      </c>
      <c r="H109" s="16" t="str">
        <f aca="true">IF($E109="","",IF(DATE(YEAR(TODAY()),$F109,$G109)&lt;TODAY(),DATE(YEAR(TODAY())+1,$F109,$G109),DATE(YEAR(TODAY()),$F109,$G109)))</f>
        <v/>
      </c>
      <c r="I109" s="15" t="str">
        <f aca="true">IF($H109="","",$H109-TODAY())</f>
        <v/>
      </c>
      <c r="J109" s="10"/>
    </row>
    <row r="110" customFormat="false" ht="15" hidden="false" customHeight="true" outlineLevel="0" collapsed="false">
      <c r="A110" s="13" t="str">
        <f aca="false">IF($B110="","",ROW()-2)</f>
        <v/>
      </c>
      <c r="B110" s="9"/>
      <c r="C110" s="13" t="str">
        <f aca="false">IF($B110="","",IFERROR(INDEX(대상목록!$C$3:$C$302,MATCH($B110,대상목록!$A$3:$A$302,0)),""))</f>
        <v/>
      </c>
      <c r="D110" s="9"/>
      <c r="E110" s="14"/>
      <c r="F110" s="15" t="str">
        <f aca="false">IF($E110="","",MONTH($E110))</f>
        <v/>
      </c>
      <c r="G110" s="15" t="str">
        <f aca="false">IF($E110="","",DAY($E110))</f>
        <v/>
      </c>
      <c r="H110" s="16" t="str">
        <f aca="true">IF($E110="","",IF(DATE(YEAR(TODAY()),$F110,$G110)&lt;TODAY(),DATE(YEAR(TODAY())+1,$F110,$G110),DATE(YEAR(TODAY()),$F110,$G110)))</f>
        <v/>
      </c>
      <c r="I110" s="15" t="str">
        <f aca="true">IF($H110="","",$H110-TODAY())</f>
        <v/>
      </c>
      <c r="J110" s="10"/>
    </row>
    <row r="111" customFormat="false" ht="15" hidden="false" customHeight="true" outlineLevel="0" collapsed="false">
      <c r="A111" s="13" t="str">
        <f aca="false">IF($B111="","",ROW()-2)</f>
        <v/>
      </c>
      <c r="B111" s="9"/>
      <c r="C111" s="13" t="str">
        <f aca="false">IF($B111="","",IFERROR(INDEX(대상목록!$C$3:$C$302,MATCH($B111,대상목록!$A$3:$A$302,0)),""))</f>
        <v/>
      </c>
      <c r="D111" s="9"/>
      <c r="E111" s="14"/>
      <c r="F111" s="15" t="str">
        <f aca="false">IF($E111="","",MONTH($E111))</f>
        <v/>
      </c>
      <c r="G111" s="15" t="str">
        <f aca="false">IF($E111="","",DAY($E111))</f>
        <v/>
      </c>
      <c r="H111" s="16" t="str">
        <f aca="true">IF($E111="","",IF(DATE(YEAR(TODAY()),$F111,$G111)&lt;TODAY(),DATE(YEAR(TODAY())+1,$F111,$G111),DATE(YEAR(TODAY()),$F111,$G111)))</f>
        <v/>
      </c>
      <c r="I111" s="15" t="str">
        <f aca="true">IF($H111="","",$H111-TODAY())</f>
        <v/>
      </c>
      <c r="J111" s="10"/>
    </row>
    <row r="112" customFormat="false" ht="15" hidden="false" customHeight="true" outlineLevel="0" collapsed="false">
      <c r="A112" s="13" t="str">
        <f aca="false">IF($B112="","",ROW()-2)</f>
        <v/>
      </c>
      <c r="B112" s="9"/>
      <c r="C112" s="13" t="str">
        <f aca="false">IF($B112="","",IFERROR(INDEX(대상목록!$C$3:$C$302,MATCH($B112,대상목록!$A$3:$A$302,0)),""))</f>
        <v/>
      </c>
      <c r="D112" s="9"/>
      <c r="E112" s="14"/>
      <c r="F112" s="15" t="str">
        <f aca="false">IF($E112="","",MONTH($E112))</f>
        <v/>
      </c>
      <c r="G112" s="15" t="str">
        <f aca="false">IF($E112="","",DAY($E112))</f>
        <v/>
      </c>
      <c r="H112" s="16" t="str">
        <f aca="true">IF($E112="","",IF(DATE(YEAR(TODAY()),$F112,$G112)&lt;TODAY(),DATE(YEAR(TODAY())+1,$F112,$G112),DATE(YEAR(TODAY()),$F112,$G112)))</f>
        <v/>
      </c>
      <c r="I112" s="15" t="str">
        <f aca="true">IF($H112="","",$H112-TODAY())</f>
        <v/>
      </c>
      <c r="J112" s="10"/>
    </row>
    <row r="113" customFormat="false" ht="15" hidden="false" customHeight="true" outlineLevel="0" collapsed="false">
      <c r="A113" s="13" t="str">
        <f aca="false">IF($B113="","",ROW()-2)</f>
        <v/>
      </c>
      <c r="B113" s="9"/>
      <c r="C113" s="13" t="str">
        <f aca="false">IF($B113="","",IFERROR(INDEX(대상목록!$C$3:$C$302,MATCH($B113,대상목록!$A$3:$A$302,0)),""))</f>
        <v/>
      </c>
      <c r="D113" s="9"/>
      <c r="E113" s="14"/>
      <c r="F113" s="15" t="str">
        <f aca="false">IF($E113="","",MONTH($E113))</f>
        <v/>
      </c>
      <c r="G113" s="15" t="str">
        <f aca="false">IF($E113="","",DAY($E113))</f>
        <v/>
      </c>
      <c r="H113" s="16" t="str">
        <f aca="true">IF($E113="","",IF(DATE(YEAR(TODAY()),$F113,$G113)&lt;TODAY(),DATE(YEAR(TODAY())+1,$F113,$G113),DATE(YEAR(TODAY()),$F113,$G113)))</f>
        <v/>
      </c>
      <c r="I113" s="15" t="str">
        <f aca="true">IF($H113="","",$H113-TODAY())</f>
        <v/>
      </c>
      <c r="J113" s="10"/>
    </row>
    <row r="114" customFormat="false" ht="15" hidden="false" customHeight="true" outlineLevel="0" collapsed="false">
      <c r="A114" s="13" t="str">
        <f aca="false">IF($B114="","",ROW()-2)</f>
        <v/>
      </c>
      <c r="B114" s="9"/>
      <c r="C114" s="13" t="str">
        <f aca="false">IF($B114="","",IFERROR(INDEX(대상목록!$C$3:$C$302,MATCH($B114,대상목록!$A$3:$A$302,0)),""))</f>
        <v/>
      </c>
      <c r="D114" s="9"/>
      <c r="E114" s="14"/>
      <c r="F114" s="15" t="str">
        <f aca="false">IF($E114="","",MONTH($E114))</f>
        <v/>
      </c>
      <c r="G114" s="15" t="str">
        <f aca="false">IF($E114="","",DAY($E114))</f>
        <v/>
      </c>
      <c r="H114" s="16" t="str">
        <f aca="true">IF($E114="","",IF(DATE(YEAR(TODAY()),$F114,$G114)&lt;TODAY(),DATE(YEAR(TODAY())+1,$F114,$G114),DATE(YEAR(TODAY()),$F114,$G114)))</f>
        <v/>
      </c>
      <c r="I114" s="15" t="str">
        <f aca="true">IF($H114="","",$H114-TODAY())</f>
        <v/>
      </c>
      <c r="J114" s="10"/>
    </row>
    <row r="115" customFormat="false" ht="15" hidden="false" customHeight="true" outlineLevel="0" collapsed="false">
      <c r="A115" s="13" t="str">
        <f aca="false">IF($B115="","",ROW()-2)</f>
        <v/>
      </c>
      <c r="B115" s="9"/>
      <c r="C115" s="13" t="str">
        <f aca="false">IF($B115="","",IFERROR(INDEX(대상목록!$C$3:$C$302,MATCH($B115,대상목록!$A$3:$A$302,0)),""))</f>
        <v/>
      </c>
      <c r="D115" s="9"/>
      <c r="E115" s="14"/>
      <c r="F115" s="15" t="str">
        <f aca="false">IF($E115="","",MONTH($E115))</f>
        <v/>
      </c>
      <c r="G115" s="15" t="str">
        <f aca="false">IF($E115="","",DAY($E115))</f>
        <v/>
      </c>
      <c r="H115" s="16" t="str">
        <f aca="true">IF($E115="","",IF(DATE(YEAR(TODAY()),$F115,$G115)&lt;TODAY(),DATE(YEAR(TODAY())+1,$F115,$G115),DATE(YEAR(TODAY()),$F115,$G115)))</f>
        <v/>
      </c>
      <c r="I115" s="15" t="str">
        <f aca="true">IF($H115="","",$H115-TODAY())</f>
        <v/>
      </c>
      <c r="J115" s="10"/>
    </row>
    <row r="116" customFormat="false" ht="15" hidden="false" customHeight="true" outlineLevel="0" collapsed="false">
      <c r="A116" s="13" t="str">
        <f aca="false">IF($B116="","",ROW()-2)</f>
        <v/>
      </c>
      <c r="B116" s="9"/>
      <c r="C116" s="13" t="str">
        <f aca="false">IF($B116="","",IFERROR(INDEX(대상목록!$C$3:$C$302,MATCH($B116,대상목록!$A$3:$A$302,0)),""))</f>
        <v/>
      </c>
      <c r="D116" s="9"/>
      <c r="E116" s="14"/>
      <c r="F116" s="15" t="str">
        <f aca="false">IF($E116="","",MONTH($E116))</f>
        <v/>
      </c>
      <c r="G116" s="15" t="str">
        <f aca="false">IF($E116="","",DAY($E116))</f>
        <v/>
      </c>
      <c r="H116" s="16" t="str">
        <f aca="true">IF($E116="","",IF(DATE(YEAR(TODAY()),$F116,$G116)&lt;TODAY(),DATE(YEAR(TODAY())+1,$F116,$G116),DATE(YEAR(TODAY()),$F116,$G116)))</f>
        <v/>
      </c>
      <c r="I116" s="15" t="str">
        <f aca="true">IF($H116="","",$H116-TODAY())</f>
        <v/>
      </c>
      <c r="J116" s="10"/>
    </row>
    <row r="117" customFormat="false" ht="15" hidden="false" customHeight="true" outlineLevel="0" collapsed="false">
      <c r="A117" s="13" t="str">
        <f aca="false">IF($B117="","",ROW()-2)</f>
        <v/>
      </c>
      <c r="B117" s="9"/>
      <c r="C117" s="13" t="str">
        <f aca="false">IF($B117="","",IFERROR(INDEX(대상목록!$C$3:$C$302,MATCH($B117,대상목록!$A$3:$A$302,0)),""))</f>
        <v/>
      </c>
      <c r="D117" s="9"/>
      <c r="E117" s="14"/>
      <c r="F117" s="15" t="str">
        <f aca="false">IF($E117="","",MONTH($E117))</f>
        <v/>
      </c>
      <c r="G117" s="15" t="str">
        <f aca="false">IF($E117="","",DAY($E117))</f>
        <v/>
      </c>
      <c r="H117" s="16" t="str">
        <f aca="true">IF($E117="","",IF(DATE(YEAR(TODAY()),$F117,$G117)&lt;TODAY(),DATE(YEAR(TODAY())+1,$F117,$G117),DATE(YEAR(TODAY()),$F117,$G117)))</f>
        <v/>
      </c>
      <c r="I117" s="15" t="str">
        <f aca="true">IF($H117="","",$H117-TODAY())</f>
        <v/>
      </c>
      <c r="J117" s="10"/>
    </row>
    <row r="118" customFormat="false" ht="15" hidden="false" customHeight="true" outlineLevel="0" collapsed="false">
      <c r="A118" s="13" t="str">
        <f aca="false">IF($B118="","",ROW()-2)</f>
        <v/>
      </c>
      <c r="B118" s="9"/>
      <c r="C118" s="13" t="str">
        <f aca="false">IF($B118="","",IFERROR(INDEX(대상목록!$C$3:$C$302,MATCH($B118,대상목록!$A$3:$A$302,0)),""))</f>
        <v/>
      </c>
      <c r="D118" s="9"/>
      <c r="E118" s="14"/>
      <c r="F118" s="15" t="str">
        <f aca="false">IF($E118="","",MONTH($E118))</f>
        <v/>
      </c>
      <c r="G118" s="15" t="str">
        <f aca="false">IF($E118="","",DAY($E118))</f>
        <v/>
      </c>
      <c r="H118" s="16" t="str">
        <f aca="true">IF($E118="","",IF(DATE(YEAR(TODAY()),$F118,$G118)&lt;TODAY(),DATE(YEAR(TODAY())+1,$F118,$G118),DATE(YEAR(TODAY()),$F118,$G118)))</f>
        <v/>
      </c>
      <c r="I118" s="15" t="str">
        <f aca="true">IF($H118="","",$H118-TODAY())</f>
        <v/>
      </c>
      <c r="J118" s="10"/>
    </row>
    <row r="119" customFormat="false" ht="15" hidden="false" customHeight="true" outlineLevel="0" collapsed="false">
      <c r="A119" s="13" t="str">
        <f aca="false">IF($B119="","",ROW()-2)</f>
        <v/>
      </c>
      <c r="B119" s="9"/>
      <c r="C119" s="13" t="str">
        <f aca="false">IF($B119="","",IFERROR(INDEX(대상목록!$C$3:$C$302,MATCH($B119,대상목록!$A$3:$A$302,0)),""))</f>
        <v/>
      </c>
      <c r="D119" s="9"/>
      <c r="E119" s="14"/>
      <c r="F119" s="15" t="str">
        <f aca="false">IF($E119="","",MONTH($E119))</f>
        <v/>
      </c>
      <c r="G119" s="15" t="str">
        <f aca="false">IF($E119="","",DAY($E119))</f>
        <v/>
      </c>
      <c r="H119" s="16" t="str">
        <f aca="true">IF($E119="","",IF(DATE(YEAR(TODAY()),$F119,$G119)&lt;TODAY(),DATE(YEAR(TODAY())+1,$F119,$G119),DATE(YEAR(TODAY()),$F119,$G119)))</f>
        <v/>
      </c>
      <c r="I119" s="15" t="str">
        <f aca="true">IF($H119="","",$H119-TODAY())</f>
        <v/>
      </c>
      <c r="J119" s="10"/>
    </row>
    <row r="120" customFormat="false" ht="15" hidden="false" customHeight="true" outlineLevel="0" collapsed="false">
      <c r="A120" s="13" t="str">
        <f aca="false">IF($B120="","",ROW()-2)</f>
        <v/>
      </c>
      <c r="B120" s="9"/>
      <c r="C120" s="13" t="str">
        <f aca="false">IF($B120="","",IFERROR(INDEX(대상목록!$C$3:$C$302,MATCH($B120,대상목록!$A$3:$A$302,0)),""))</f>
        <v/>
      </c>
      <c r="D120" s="9"/>
      <c r="E120" s="14"/>
      <c r="F120" s="15" t="str">
        <f aca="false">IF($E120="","",MONTH($E120))</f>
        <v/>
      </c>
      <c r="G120" s="15" t="str">
        <f aca="false">IF($E120="","",DAY($E120))</f>
        <v/>
      </c>
      <c r="H120" s="16" t="str">
        <f aca="true">IF($E120="","",IF(DATE(YEAR(TODAY()),$F120,$G120)&lt;TODAY(),DATE(YEAR(TODAY())+1,$F120,$G120),DATE(YEAR(TODAY()),$F120,$G120)))</f>
        <v/>
      </c>
      <c r="I120" s="15" t="str">
        <f aca="true">IF($H120="","",$H120-TODAY())</f>
        <v/>
      </c>
      <c r="J120" s="10"/>
    </row>
    <row r="121" customFormat="false" ht="15" hidden="false" customHeight="true" outlineLevel="0" collapsed="false">
      <c r="A121" s="13" t="str">
        <f aca="false">IF($B121="","",ROW()-2)</f>
        <v/>
      </c>
      <c r="B121" s="9"/>
      <c r="C121" s="13" t="str">
        <f aca="false">IF($B121="","",IFERROR(INDEX(대상목록!$C$3:$C$302,MATCH($B121,대상목록!$A$3:$A$302,0)),""))</f>
        <v/>
      </c>
      <c r="D121" s="9"/>
      <c r="E121" s="14"/>
      <c r="F121" s="15" t="str">
        <f aca="false">IF($E121="","",MONTH($E121))</f>
        <v/>
      </c>
      <c r="G121" s="15" t="str">
        <f aca="false">IF($E121="","",DAY($E121))</f>
        <v/>
      </c>
      <c r="H121" s="16" t="str">
        <f aca="true">IF($E121="","",IF(DATE(YEAR(TODAY()),$F121,$G121)&lt;TODAY(),DATE(YEAR(TODAY())+1,$F121,$G121),DATE(YEAR(TODAY()),$F121,$G121)))</f>
        <v/>
      </c>
      <c r="I121" s="15" t="str">
        <f aca="true">IF($H121="","",$H121-TODAY())</f>
        <v/>
      </c>
      <c r="J121" s="10"/>
    </row>
    <row r="122" customFormat="false" ht="15" hidden="false" customHeight="true" outlineLevel="0" collapsed="false">
      <c r="A122" s="13" t="str">
        <f aca="false">IF($B122="","",ROW()-2)</f>
        <v/>
      </c>
      <c r="B122" s="9"/>
      <c r="C122" s="13" t="str">
        <f aca="false">IF($B122="","",IFERROR(INDEX(대상목록!$C$3:$C$302,MATCH($B122,대상목록!$A$3:$A$302,0)),""))</f>
        <v/>
      </c>
      <c r="D122" s="9"/>
      <c r="E122" s="14"/>
      <c r="F122" s="15" t="str">
        <f aca="false">IF($E122="","",MONTH($E122))</f>
        <v/>
      </c>
      <c r="G122" s="15" t="str">
        <f aca="false">IF($E122="","",DAY($E122))</f>
        <v/>
      </c>
      <c r="H122" s="16" t="str">
        <f aca="true">IF($E122="","",IF(DATE(YEAR(TODAY()),$F122,$G122)&lt;TODAY(),DATE(YEAR(TODAY())+1,$F122,$G122),DATE(YEAR(TODAY()),$F122,$G122)))</f>
        <v/>
      </c>
      <c r="I122" s="15" t="str">
        <f aca="true">IF($H122="","",$H122-TODAY())</f>
        <v/>
      </c>
      <c r="J122" s="10"/>
    </row>
    <row r="123" customFormat="false" ht="15" hidden="false" customHeight="true" outlineLevel="0" collapsed="false">
      <c r="A123" s="13" t="str">
        <f aca="false">IF($B123="","",ROW()-2)</f>
        <v/>
      </c>
      <c r="B123" s="9"/>
      <c r="C123" s="13" t="str">
        <f aca="false">IF($B123="","",IFERROR(INDEX(대상목록!$C$3:$C$302,MATCH($B123,대상목록!$A$3:$A$302,0)),""))</f>
        <v/>
      </c>
      <c r="D123" s="9"/>
      <c r="E123" s="14"/>
      <c r="F123" s="15" t="str">
        <f aca="false">IF($E123="","",MONTH($E123))</f>
        <v/>
      </c>
      <c r="G123" s="15" t="str">
        <f aca="false">IF($E123="","",DAY($E123))</f>
        <v/>
      </c>
      <c r="H123" s="16" t="str">
        <f aca="true">IF($E123="","",IF(DATE(YEAR(TODAY()),$F123,$G123)&lt;TODAY(),DATE(YEAR(TODAY())+1,$F123,$G123),DATE(YEAR(TODAY()),$F123,$G123)))</f>
        <v/>
      </c>
      <c r="I123" s="15" t="str">
        <f aca="true">IF($H123="","",$H123-TODAY())</f>
        <v/>
      </c>
      <c r="J123" s="10"/>
    </row>
    <row r="124" customFormat="false" ht="15" hidden="false" customHeight="true" outlineLevel="0" collapsed="false">
      <c r="A124" s="13" t="str">
        <f aca="false">IF($B124="","",ROW()-2)</f>
        <v/>
      </c>
      <c r="B124" s="9"/>
      <c r="C124" s="13" t="str">
        <f aca="false">IF($B124="","",IFERROR(INDEX(대상목록!$C$3:$C$302,MATCH($B124,대상목록!$A$3:$A$302,0)),""))</f>
        <v/>
      </c>
      <c r="D124" s="9"/>
      <c r="E124" s="14"/>
      <c r="F124" s="15" t="str">
        <f aca="false">IF($E124="","",MONTH($E124))</f>
        <v/>
      </c>
      <c r="G124" s="15" t="str">
        <f aca="false">IF($E124="","",DAY($E124))</f>
        <v/>
      </c>
      <c r="H124" s="16" t="str">
        <f aca="true">IF($E124="","",IF(DATE(YEAR(TODAY()),$F124,$G124)&lt;TODAY(),DATE(YEAR(TODAY())+1,$F124,$G124),DATE(YEAR(TODAY()),$F124,$G124)))</f>
        <v/>
      </c>
      <c r="I124" s="15" t="str">
        <f aca="true">IF($H124="","",$H124-TODAY())</f>
        <v/>
      </c>
      <c r="J124" s="10"/>
    </row>
    <row r="125" customFormat="false" ht="15" hidden="false" customHeight="true" outlineLevel="0" collapsed="false">
      <c r="A125" s="13" t="str">
        <f aca="false">IF($B125="","",ROW()-2)</f>
        <v/>
      </c>
      <c r="B125" s="9"/>
      <c r="C125" s="13" t="str">
        <f aca="false">IF($B125="","",IFERROR(INDEX(대상목록!$C$3:$C$302,MATCH($B125,대상목록!$A$3:$A$302,0)),""))</f>
        <v/>
      </c>
      <c r="D125" s="9"/>
      <c r="E125" s="14"/>
      <c r="F125" s="15" t="str">
        <f aca="false">IF($E125="","",MONTH($E125))</f>
        <v/>
      </c>
      <c r="G125" s="15" t="str">
        <f aca="false">IF($E125="","",DAY($E125))</f>
        <v/>
      </c>
      <c r="H125" s="16" t="str">
        <f aca="true">IF($E125="","",IF(DATE(YEAR(TODAY()),$F125,$G125)&lt;TODAY(),DATE(YEAR(TODAY())+1,$F125,$G125),DATE(YEAR(TODAY()),$F125,$G125)))</f>
        <v/>
      </c>
      <c r="I125" s="15" t="str">
        <f aca="true">IF($H125="","",$H125-TODAY())</f>
        <v/>
      </c>
      <c r="J125" s="10"/>
    </row>
    <row r="126" customFormat="false" ht="15" hidden="false" customHeight="true" outlineLevel="0" collapsed="false">
      <c r="A126" s="13" t="str">
        <f aca="false">IF($B126="","",ROW()-2)</f>
        <v/>
      </c>
      <c r="B126" s="9"/>
      <c r="C126" s="13" t="str">
        <f aca="false">IF($B126="","",IFERROR(INDEX(대상목록!$C$3:$C$302,MATCH($B126,대상목록!$A$3:$A$302,0)),""))</f>
        <v/>
      </c>
      <c r="D126" s="9"/>
      <c r="E126" s="14"/>
      <c r="F126" s="15" t="str">
        <f aca="false">IF($E126="","",MONTH($E126))</f>
        <v/>
      </c>
      <c r="G126" s="15" t="str">
        <f aca="false">IF($E126="","",DAY($E126))</f>
        <v/>
      </c>
      <c r="H126" s="16" t="str">
        <f aca="true">IF($E126="","",IF(DATE(YEAR(TODAY()),$F126,$G126)&lt;TODAY(),DATE(YEAR(TODAY())+1,$F126,$G126),DATE(YEAR(TODAY()),$F126,$G126)))</f>
        <v/>
      </c>
      <c r="I126" s="15" t="str">
        <f aca="true">IF($H126="","",$H126-TODAY())</f>
        <v/>
      </c>
      <c r="J126" s="10"/>
    </row>
    <row r="127" customFormat="false" ht="15" hidden="false" customHeight="true" outlineLevel="0" collapsed="false">
      <c r="A127" s="13" t="str">
        <f aca="false">IF($B127="","",ROW()-2)</f>
        <v/>
      </c>
      <c r="B127" s="9"/>
      <c r="C127" s="13" t="str">
        <f aca="false">IF($B127="","",IFERROR(INDEX(대상목록!$C$3:$C$302,MATCH($B127,대상목록!$A$3:$A$302,0)),""))</f>
        <v/>
      </c>
      <c r="D127" s="9"/>
      <c r="E127" s="14"/>
      <c r="F127" s="15" t="str">
        <f aca="false">IF($E127="","",MONTH($E127))</f>
        <v/>
      </c>
      <c r="G127" s="15" t="str">
        <f aca="false">IF($E127="","",DAY($E127))</f>
        <v/>
      </c>
      <c r="H127" s="16" t="str">
        <f aca="true">IF($E127="","",IF(DATE(YEAR(TODAY()),$F127,$G127)&lt;TODAY(),DATE(YEAR(TODAY())+1,$F127,$G127),DATE(YEAR(TODAY()),$F127,$G127)))</f>
        <v/>
      </c>
      <c r="I127" s="15" t="str">
        <f aca="true">IF($H127="","",$H127-TODAY())</f>
        <v/>
      </c>
      <c r="J127" s="10"/>
    </row>
    <row r="128" customFormat="false" ht="15" hidden="false" customHeight="true" outlineLevel="0" collapsed="false">
      <c r="A128" s="13" t="str">
        <f aca="false">IF($B128="","",ROW()-2)</f>
        <v/>
      </c>
      <c r="B128" s="9"/>
      <c r="C128" s="13" t="str">
        <f aca="false">IF($B128="","",IFERROR(INDEX(대상목록!$C$3:$C$302,MATCH($B128,대상목록!$A$3:$A$302,0)),""))</f>
        <v/>
      </c>
      <c r="D128" s="9"/>
      <c r="E128" s="14"/>
      <c r="F128" s="15" t="str">
        <f aca="false">IF($E128="","",MONTH($E128))</f>
        <v/>
      </c>
      <c r="G128" s="15" t="str">
        <f aca="false">IF($E128="","",DAY($E128))</f>
        <v/>
      </c>
      <c r="H128" s="16" t="str">
        <f aca="true">IF($E128="","",IF(DATE(YEAR(TODAY()),$F128,$G128)&lt;TODAY(),DATE(YEAR(TODAY())+1,$F128,$G128),DATE(YEAR(TODAY()),$F128,$G128)))</f>
        <v/>
      </c>
      <c r="I128" s="15" t="str">
        <f aca="true">IF($H128="","",$H128-TODAY())</f>
        <v/>
      </c>
      <c r="J128" s="10"/>
    </row>
    <row r="129" customFormat="false" ht="15" hidden="false" customHeight="true" outlineLevel="0" collapsed="false">
      <c r="A129" s="13" t="str">
        <f aca="false">IF($B129="","",ROW()-2)</f>
        <v/>
      </c>
      <c r="B129" s="9"/>
      <c r="C129" s="13" t="str">
        <f aca="false">IF($B129="","",IFERROR(INDEX(대상목록!$C$3:$C$302,MATCH($B129,대상목록!$A$3:$A$302,0)),""))</f>
        <v/>
      </c>
      <c r="D129" s="9"/>
      <c r="E129" s="14"/>
      <c r="F129" s="15" t="str">
        <f aca="false">IF($E129="","",MONTH($E129))</f>
        <v/>
      </c>
      <c r="G129" s="15" t="str">
        <f aca="false">IF($E129="","",DAY($E129))</f>
        <v/>
      </c>
      <c r="H129" s="16" t="str">
        <f aca="true">IF($E129="","",IF(DATE(YEAR(TODAY()),$F129,$G129)&lt;TODAY(),DATE(YEAR(TODAY())+1,$F129,$G129),DATE(YEAR(TODAY()),$F129,$G129)))</f>
        <v/>
      </c>
      <c r="I129" s="15" t="str">
        <f aca="true">IF($H129="","",$H129-TODAY())</f>
        <v/>
      </c>
      <c r="J129" s="10"/>
    </row>
    <row r="130" customFormat="false" ht="15" hidden="false" customHeight="true" outlineLevel="0" collapsed="false">
      <c r="A130" s="13" t="str">
        <f aca="false">IF($B130="","",ROW()-2)</f>
        <v/>
      </c>
      <c r="B130" s="9"/>
      <c r="C130" s="13" t="str">
        <f aca="false">IF($B130="","",IFERROR(INDEX(대상목록!$C$3:$C$302,MATCH($B130,대상목록!$A$3:$A$302,0)),""))</f>
        <v/>
      </c>
      <c r="D130" s="9"/>
      <c r="E130" s="14"/>
      <c r="F130" s="15" t="str">
        <f aca="false">IF($E130="","",MONTH($E130))</f>
        <v/>
      </c>
      <c r="G130" s="15" t="str">
        <f aca="false">IF($E130="","",DAY($E130))</f>
        <v/>
      </c>
      <c r="H130" s="16" t="str">
        <f aca="true">IF($E130="","",IF(DATE(YEAR(TODAY()),$F130,$G130)&lt;TODAY(),DATE(YEAR(TODAY())+1,$F130,$G130),DATE(YEAR(TODAY()),$F130,$G130)))</f>
        <v/>
      </c>
      <c r="I130" s="15" t="str">
        <f aca="true">IF($H130="","",$H130-TODAY())</f>
        <v/>
      </c>
      <c r="J130" s="10"/>
    </row>
    <row r="131" customFormat="false" ht="15" hidden="false" customHeight="true" outlineLevel="0" collapsed="false">
      <c r="A131" s="13" t="str">
        <f aca="false">IF($B131="","",ROW()-2)</f>
        <v/>
      </c>
      <c r="B131" s="9"/>
      <c r="C131" s="13" t="str">
        <f aca="false">IF($B131="","",IFERROR(INDEX(대상목록!$C$3:$C$302,MATCH($B131,대상목록!$A$3:$A$302,0)),""))</f>
        <v/>
      </c>
      <c r="D131" s="9"/>
      <c r="E131" s="14"/>
      <c r="F131" s="15" t="str">
        <f aca="false">IF($E131="","",MONTH($E131))</f>
        <v/>
      </c>
      <c r="G131" s="15" t="str">
        <f aca="false">IF($E131="","",DAY($E131))</f>
        <v/>
      </c>
      <c r="H131" s="16" t="str">
        <f aca="true">IF($E131="","",IF(DATE(YEAR(TODAY()),$F131,$G131)&lt;TODAY(),DATE(YEAR(TODAY())+1,$F131,$G131),DATE(YEAR(TODAY()),$F131,$G131)))</f>
        <v/>
      </c>
      <c r="I131" s="15" t="str">
        <f aca="true">IF($H131="","",$H131-TODAY())</f>
        <v/>
      </c>
      <c r="J131" s="10"/>
    </row>
    <row r="132" customFormat="false" ht="15" hidden="false" customHeight="true" outlineLevel="0" collapsed="false">
      <c r="A132" s="13" t="str">
        <f aca="false">IF($B132="","",ROW()-2)</f>
        <v/>
      </c>
      <c r="B132" s="9"/>
      <c r="C132" s="13" t="str">
        <f aca="false">IF($B132="","",IFERROR(INDEX(대상목록!$C$3:$C$302,MATCH($B132,대상목록!$A$3:$A$302,0)),""))</f>
        <v/>
      </c>
      <c r="D132" s="9"/>
      <c r="E132" s="14"/>
      <c r="F132" s="15" t="str">
        <f aca="false">IF($E132="","",MONTH($E132))</f>
        <v/>
      </c>
      <c r="G132" s="15" t="str">
        <f aca="false">IF($E132="","",DAY($E132))</f>
        <v/>
      </c>
      <c r="H132" s="16" t="str">
        <f aca="true">IF($E132="","",IF(DATE(YEAR(TODAY()),$F132,$G132)&lt;TODAY(),DATE(YEAR(TODAY())+1,$F132,$G132),DATE(YEAR(TODAY()),$F132,$G132)))</f>
        <v/>
      </c>
      <c r="I132" s="15" t="str">
        <f aca="true">IF($H132="","",$H132-TODAY())</f>
        <v/>
      </c>
      <c r="J132" s="10"/>
    </row>
    <row r="133" customFormat="false" ht="15" hidden="false" customHeight="true" outlineLevel="0" collapsed="false">
      <c r="A133" s="13" t="str">
        <f aca="false">IF($B133="","",ROW()-2)</f>
        <v/>
      </c>
      <c r="B133" s="9"/>
      <c r="C133" s="13" t="str">
        <f aca="false">IF($B133="","",IFERROR(INDEX(대상목록!$C$3:$C$302,MATCH($B133,대상목록!$A$3:$A$302,0)),""))</f>
        <v/>
      </c>
      <c r="D133" s="9"/>
      <c r="E133" s="14"/>
      <c r="F133" s="15" t="str">
        <f aca="false">IF($E133="","",MONTH($E133))</f>
        <v/>
      </c>
      <c r="G133" s="15" t="str">
        <f aca="false">IF($E133="","",DAY($E133))</f>
        <v/>
      </c>
      <c r="H133" s="16" t="str">
        <f aca="true">IF($E133="","",IF(DATE(YEAR(TODAY()),$F133,$G133)&lt;TODAY(),DATE(YEAR(TODAY())+1,$F133,$G133),DATE(YEAR(TODAY()),$F133,$G133)))</f>
        <v/>
      </c>
      <c r="I133" s="15" t="str">
        <f aca="true">IF($H133="","",$H133-TODAY())</f>
        <v/>
      </c>
      <c r="J133" s="10"/>
    </row>
    <row r="134" customFormat="false" ht="15" hidden="false" customHeight="true" outlineLevel="0" collapsed="false">
      <c r="A134" s="13" t="str">
        <f aca="false">IF($B134="","",ROW()-2)</f>
        <v/>
      </c>
      <c r="B134" s="9"/>
      <c r="C134" s="13" t="str">
        <f aca="false">IF($B134="","",IFERROR(INDEX(대상목록!$C$3:$C$302,MATCH($B134,대상목록!$A$3:$A$302,0)),""))</f>
        <v/>
      </c>
      <c r="D134" s="9"/>
      <c r="E134" s="14"/>
      <c r="F134" s="15" t="str">
        <f aca="false">IF($E134="","",MONTH($E134))</f>
        <v/>
      </c>
      <c r="G134" s="15" t="str">
        <f aca="false">IF($E134="","",DAY($E134))</f>
        <v/>
      </c>
      <c r="H134" s="16" t="str">
        <f aca="true">IF($E134="","",IF(DATE(YEAR(TODAY()),$F134,$G134)&lt;TODAY(),DATE(YEAR(TODAY())+1,$F134,$G134),DATE(YEAR(TODAY()),$F134,$G134)))</f>
        <v/>
      </c>
      <c r="I134" s="15" t="str">
        <f aca="true">IF($H134="","",$H134-TODAY())</f>
        <v/>
      </c>
      <c r="J134" s="10"/>
    </row>
    <row r="135" customFormat="false" ht="15" hidden="false" customHeight="true" outlineLevel="0" collapsed="false">
      <c r="A135" s="13" t="str">
        <f aca="false">IF($B135="","",ROW()-2)</f>
        <v/>
      </c>
      <c r="B135" s="9"/>
      <c r="C135" s="13" t="str">
        <f aca="false">IF($B135="","",IFERROR(INDEX(대상목록!$C$3:$C$302,MATCH($B135,대상목록!$A$3:$A$302,0)),""))</f>
        <v/>
      </c>
      <c r="D135" s="9"/>
      <c r="E135" s="14"/>
      <c r="F135" s="15" t="str">
        <f aca="false">IF($E135="","",MONTH($E135))</f>
        <v/>
      </c>
      <c r="G135" s="15" t="str">
        <f aca="false">IF($E135="","",DAY($E135))</f>
        <v/>
      </c>
      <c r="H135" s="16" t="str">
        <f aca="true">IF($E135="","",IF(DATE(YEAR(TODAY()),$F135,$G135)&lt;TODAY(),DATE(YEAR(TODAY())+1,$F135,$G135),DATE(YEAR(TODAY()),$F135,$G135)))</f>
        <v/>
      </c>
      <c r="I135" s="15" t="str">
        <f aca="true">IF($H135="","",$H135-TODAY())</f>
        <v/>
      </c>
      <c r="J135" s="10"/>
    </row>
    <row r="136" customFormat="false" ht="15" hidden="false" customHeight="true" outlineLevel="0" collapsed="false">
      <c r="A136" s="13" t="str">
        <f aca="false">IF($B136="","",ROW()-2)</f>
        <v/>
      </c>
      <c r="B136" s="9"/>
      <c r="C136" s="13" t="str">
        <f aca="false">IF($B136="","",IFERROR(INDEX(대상목록!$C$3:$C$302,MATCH($B136,대상목록!$A$3:$A$302,0)),""))</f>
        <v/>
      </c>
      <c r="D136" s="9"/>
      <c r="E136" s="14"/>
      <c r="F136" s="15" t="str">
        <f aca="false">IF($E136="","",MONTH($E136))</f>
        <v/>
      </c>
      <c r="G136" s="15" t="str">
        <f aca="false">IF($E136="","",DAY($E136))</f>
        <v/>
      </c>
      <c r="H136" s="16" t="str">
        <f aca="true">IF($E136="","",IF(DATE(YEAR(TODAY()),$F136,$G136)&lt;TODAY(),DATE(YEAR(TODAY())+1,$F136,$G136),DATE(YEAR(TODAY()),$F136,$G136)))</f>
        <v/>
      </c>
      <c r="I136" s="15" t="str">
        <f aca="true">IF($H136="","",$H136-TODAY())</f>
        <v/>
      </c>
      <c r="J136" s="10"/>
    </row>
    <row r="137" customFormat="false" ht="15" hidden="false" customHeight="true" outlineLevel="0" collapsed="false">
      <c r="A137" s="13" t="str">
        <f aca="false">IF($B137="","",ROW()-2)</f>
        <v/>
      </c>
      <c r="B137" s="9"/>
      <c r="C137" s="13" t="str">
        <f aca="false">IF($B137="","",IFERROR(INDEX(대상목록!$C$3:$C$302,MATCH($B137,대상목록!$A$3:$A$302,0)),""))</f>
        <v/>
      </c>
      <c r="D137" s="9"/>
      <c r="E137" s="14"/>
      <c r="F137" s="15" t="str">
        <f aca="false">IF($E137="","",MONTH($E137))</f>
        <v/>
      </c>
      <c r="G137" s="15" t="str">
        <f aca="false">IF($E137="","",DAY($E137))</f>
        <v/>
      </c>
      <c r="H137" s="16" t="str">
        <f aca="true">IF($E137="","",IF(DATE(YEAR(TODAY()),$F137,$G137)&lt;TODAY(),DATE(YEAR(TODAY())+1,$F137,$G137),DATE(YEAR(TODAY()),$F137,$G137)))</f>
        <v/>
      </c>
      <c r="I137" s="15" t="str">
        <f aca="true">IF($H137="","",$H137-TODAY())</f>
        <v/>
      </c>
      <c r="J137" s="10"/>
    </row>
    <row r="138" customFormat="false" ht="15" hidden="false" customHeight="true" outlineLevel="0" collapsed="false">
      <c r="A138" s="13" t="str">
        <f aca="false">IF($B138="","",ROW()-2)</f>
        <v/>
      </c>
      <c r="B138" s="9"/>
      <c r="C138" s="13" t="str">
        <f aca="false">IF($B138="","",IFERROR(INDEX(대상목록!$C$3:$C$302,MATCH($B138,대상목록!$A$3:$A$302,0)),""))</f>
        <v/>
      </c>
      <c r="D138" s="9"/>
      <c r="E138" s="14"/>
      <c r="F138" s="15" t="str">
        <f aca="false">IF($E138="","",MONTH($E138))</f>
        <v/>
      </c>
      <c r="G138" s="15" t="str">
        <f aca="false">IF($E138="","",DAY($E138))</f>
        <v/>
      </c>
      <c r="H138" s="16" t="str">
        <f aca="true">IF($E138="","",IF(DATE(YEAR(TODAY()),$F138,$G138)&lt;TODAY(),DATE(YEAR(TODAY())+1,$F138,$G138),DATE(YEAR(TODAY()),$F138,$G138)))</f>
        <v/>
      </c>
      <c r="I138" s="15" t="str">
        <f aca="true">IF($H138="","",$H138-TODAY())</f>
        <v/>
      </c>
      <c r="J138" s="10"/>
    </row>
    <row r="139" customFormat="false" ht="15" hidden="false" customHeight="true" outlineLevel="0" collapsed="false">
      <c r="A139" s="13" t="str">
        <f aca="false">IF($B139="","",ROW()-2)</f>
        <v/>
      </c>
      <c r="B139" s="9"/>
      <c r="C139" s="13" t="str">
        <f aca="false">IF($B139="","",IFERROR(INDEX(대상목록!$C$3:$C$302,MATCH($B139,대상목록!$A$3:$A$302,0)),""))</f>
        <v/>
      </c>
      <c r="D139" s="9"/>
      <c r="E139" s="14"/>
      <c r="F139" s="15" t="str">
        <f aca="false">IF($E139="","",MONTH($E139))</f>
        <v/>
      </c>
      <c r="G139" s="15" t="str">
        <f aca="false">IF($E139="","",DAY($E139))</f>
        <v/>
      </c>
      <c r="H139" s="16" t="str">
        <f aca="true">IF($E139="","",IF(DATE(YEAR(TODAY()),$F139,$G139)&lt;TODAY(),DATE(YEAR(TODAY())+1,$F139,$G139),DATE(YEAR(TODAY()),$F139,$G139)))</f>
        <v/>
      </c>
      <c r="I139" s="15" t="str">
        <f aca="true">IF($H139="","",$H139-TODAY())</f>
        <v/>
      </c>
      <c r="J139" s="10"/>
    </row>
    <row r="140" customFormat="false" ht="15" hidden="false" customHeight="true" outlineLevel="0" collapsed="false">
      <c r="A140" s="13" t="str">
        <f aca="false">IF($B140="","",ROW()-2)</f>
        <v/>
      </c>
      <c r="B140" s="9"/>
      <c r="C140" s="13" t="str">
        <f aca="false">IF($B140="","",IFERROR(INDEX(대상목록!$C$3:$C$302,MATCH($B140,대상목록!$A$3:$A$302,0)),""))</f>
        <v/>
      </c>
      <c r="D140" s="9"/>
      <c r="E140" s="14"/>
      <c r="F140" s="15" t="str">
        <f aca="false">IF($E140="","",MONTH($E140))</f>
        <v/>
      </c>
      <c r="G140" s="15" t="str">
        <f aca="false">IF($E140="","",DAY($E140))</f>
        <v/>
      </c>
      <c r="H140" s="16" t="str">
        <f aca="true">IF($E140="","",IF(DATE(YEAR(TODAY()),$F140,$G140)&lt;TODAY(),DATE(YEAR(TODAY())+1,$F140,$G140),DATE(YEAR(TODAY()),$F140,$G140)))</f>
        <v/>
      </c>
      <c r="I140" s="15" t="str">
        <f aca="true">IF($H140="","",$H140-TODAY())</f>
        <v/>
      </c>
      <c r="J140" s="10"/>
    </row>
    <row r="141" customFormat="false" ht="15" hidden="false" customHeight="true" outlineLevel="0" collapsed="false">
      <c r="A141" s="13" t="str">
        <f aca="false">IF($B141="","",ROW()-2)</f>
        <v/>
      </c>
      <c r="B141" s="9"/>
      <c r="C141" s="13" t="str">
        <f aca="false">IF($B141="","",IFERROR(INDEX(대상목록!$C$3:$C$302,MATCH($B141,대상목록!$A$3:$A$302,0)),""))</f>
        <v/>
      </c>
      <c r="D141" s="9"/>
      <c r="E141" s="14"/>
      <c r="F141" s="15" t="str">
        <f aca="false">IF($E141="","",MONTH($E141))</f>
        <v/>
      </c>
      <c r="G141" s="15" t="str">
        <f aca="false">IF($E141="","",DAY($E141))</f>
        <v/>
      </c>
      <c r="H141" s="16" t="str">
        <f aca="true">IF($E141="","",IF(DATE(YEAR(TODAY()),$F141,$G141)&lt;TODAY(),DATE(YEAR(TODAY())+1,$F141,$G141),DATE(YEAR(TODAY()),$F141,$G141)))</f>
        <v/>
      </c>
      <c r="I141" s="15" t="str">
        <f aca="true">IF($H141="","",$H141-TODAY())</f>
        <v/>
      </c>
      <c r="J141" s="10"/>
    </row>
    <row r="142" customFormat="false" ht="15" hidden="false" customHeight="true" outlineLevel="0" collapsed="false">
      <c r="A142" s="13" t="str">
        <f aca="false">IF($B142="","",ROW()-2)</f>
        <v/>
      </c>
      <c r="B142" s="9"/>
      <c r="C142" s="13" t="str">
        <f aca="false">IF($B142="","",IFERROR(INDEX(대상목록!$C$3:$C$302,MATCH($B142,대상목록!$A$3:$A$302,0)),""))</f>
        <v/>
      </c>
      <c r="D142" s="9"/>
      <c r="E142" s="14"/>
      <c r="F142" s="15" t="str">
        <f aca="false">IF($E142="","",MONTH($E142))</f>
        <v/>
      </c>
      <c r="G142" s="15" t="str">
        <f aca="false">IF($E142="","",DAY($E142))</f>
        <v/>
      </c>
      <c r="H142" s="16" t="str">
        <f aca="true">IF($E142="","",IF(DATE(YEAR(TODAY()),$F142,$G142)&lt;TODAY(),DATE(YEAR(TODAY())+1,$F142,$G142),DATE(YEAR(TODAY()),$F142,$G142)))</f>
        <v/>
      </c>
      <c r="I142" s="15" t="str">
        <f aca="true">IF($H142="","",$H142-TODAY())</f>
        <v/>
      </c>
      <c r="J142" s="10"/>
    </row>
    <row r="143" customFormat="false" ht="15" hidden="false" customHeight="true" outlineLevel="0" collapsed="false">
      <c r="A143" s="13" t="str">
        <f aca="false">IF($B143="","",ROW()-2)</f>
        <v/>
      </c>
      <c r="B143" s="9"/>
      <c r="C143" s="13" t="str">
        <f aca="false">IF($B143="","",IFERROR(INDEX(대상목록!$C$3:$C$302,MATCH($B143,대상목록!$A$3:$A$302,0)),""))</f>
        <v/>
      </c>
      <c r="D143" s="9"/>
      <c r="E143" s="14"/>
      <c r="F143" s="15" t="str">
        <f aca="false">IF($E143="","",MONTH($E143))</f>
        <v/>
      </c>
      <c r="G143" s="15" t="str">
        <f aca="false">IF($E143="","",DAY($E143))</f>
        <v/>
      </c>
      <c r="H143" s="16" t="str">
        <f aca="true">IF($E143="","",IF(DATE(YEAR(TODAY()),$F143,$G143)&lt;TODAY(),DATE(YEAR(TODAY())+1,$F143,$G143),DATE(YEAR(TODAY()),$F143,$G143)))</f>
        <v/>
      </c>
      <c r="I143" s="15" t="str">
        <f aca="true">IF($H143="","",$H143-TODAY())</f>
        <v/>
      </c>
      <c r="J143" s="10"/>
    </row>
    <row r="144" customFormat="false" ht="15" hidden="false" customHeight="true" outlineLevel="0" collapsed="false">
      <c r="A144" s="13" t="str">
        <f aca="false">IF($B144="","",ROW()-2)</f>
        <v/>
      </c>
      <c r="B144" s="9"/>
      <c r="C144" s="13" t="str">
        <f aca="false">IF($B144="","",IFERROR(INDEX(대상목록!$C$3:$C$302,MATCH($B144,대상목록!$A$3:$A$302,0)),""))</f>
        <v/>
      </c>
      <c r="D144" s="9"/>
      <c r="E144" s="14"/>
      <c r="F144" s="15" t="str">
        <f aca="false">IF($E144="","",MONTH($E144))</f>
        <v/>
      </c>
      <c r="G144" s="15" t="str">
        <f aca="false">IF($E144="","",DAY($E144))</f>
        <v/>
      </c>
      <c r="H144" s="16" t="str">
        <f aca="true">IF($E144="","",IF(DATE(YEAR(TODAY()),$F144,$G144)&lt;TODAY(),DATE(YEAR(TODAY())+1,$F144,$G144),DATE(YEAR(TODAY()),$F144,$G144)))</f>
        <v/>
      </c>
      <c r="I144" s="15" t="str">
        <f aca="true">IF($H144="","",$H144-TODAY())</f>
        <v/>
      </c>
      <c r="J144" s="10"/>
    </row>
    <row r="145" customFormat="false" ht="15" hidden="false" customHeight="true" outlineLevel="0" collapsed="false">
      <c r="A145" s="13" t="str">
        <f aca="false">IF($B145="","",ROW()-2)</f>
        <v/>
      </c>
      <c r="B145" s="9"/>
      <c r="C145" s="13" t="str">
        <f aca="false">IF($B145="","",IFERROR(INDEX(대상목록!$C$3:$C$302,MATCH($B145,대상목록!$A$3:$A$302,0)),""))</f>
        <v/>
      </c>
      <c r="D145" s="9"/>
      <c r="E145" s="14"/>
      <c r="F145" s="15" t="str">
        <f aca="false">IF($E145="","",MONTH($E145))</f>
        <v/>
      </c>
      <c r="G145" s="15" t="str">
        <f aca="false">IF($E145="","",DAY($E145))</f>
        <v/>
      </c>
      <c r="H145" s="16" t="str">
        <f aca="true">IF($E145="","",IF(DATE(YEAR(TODAY()),$F145,$G145)&lt;TODAY(),DATE(YEAR(TODAY())+1,$F145,$G145),DATE(YEAR(TODAY()),$F145,$G145)))</f>
        <v/>
      </c>
      <c r="I145" s="15" t="str">
        <f aca="true">IF($H145="","",$H145-TODAY())</f>
        <v/>
      </c>
      <c r="J145" s="10"/>
    </row>
    <row r="146" customFormat="false" ht="15" hidden="false" customHeight="true" outlineLevel="0" collapsed="false">
      <c r="A146" s="13" t="str">
        <f aca="false">IF($B146="","",ROW()-2)</f>
        <v/>
      </c>
      <c r="B146" s="9"/>
      <c r="C146" s="13" t="str">
        <f aca="false">IF($B146="","",IFERROR(INDEX(대상목록!$C$3:$C$302,MATCH($B146,대상목록!$A$3:$A$302,0)),""))</f>
        <v/>
      </c>
      <c r="D146" s="9"/>
      <c r="E146" s="14"/>
      <c r="F146" s="15" t="str">
        <f aca="false">IF($E146="","",MONTH($E146))</f>
        <v/>
      </c>
      <c r="G146" s="15" t="str">
        <f aca="false">IF($E146="","",DAY($E146))</f>
        <v/>
      </c>
      <c r="H146" s="16" t="str">
        <f aca="true">IF($E146="","",IF(DATE(YEAR(TODAY()),$F146,$G146)&lt;TODAY(),DATE(YEAR(TODAY())+1,$F146,$G146),DATE(YEAR(TODAY()),$F146,$G146)))</f>
        <v/>
      </c>
      <c r="I146" s="15" t="str">
        <f aca="true">IF($H146="","",$H146-TODAY())</f>
        <v/>
      </c>
      <c r="J146" s="10"/>
    </row>
    <row r="147" customFormat="false" ht="15" hidden="false" customHeight="true" outlineLevel="0" collapsed="false">
      <c r="A147" s="13" t="str">
        <f aca="false">IF($B147="","",ROW()-2)</f>
        <v/>
      </c>
      <c r="B147" s="9"/>
      <c r="C147" s="13" t="str">
        <f aca="false">IF($B147="","",IFERROR(INDEX(대상목록!$C$3:$C$302,MATCH($B147,대상목록!$A$3:$A$302,0)),""))</f>
        <v/>
      </c>
      <c r="D147" s="9"/>
      <c r="E147" s="14"/>
      <c r="F147" s="15" t="str">
        <f aca="false">IF($E147="","",MONTH($E147))</f>
        <v/>
      </c>
      <c r="G147" s="15" t="str">
        <f aca="false">IF($E147="","",DAY($E147))</f>
        <v/>
      </c>
      <c r="H147" s="16" t="str">
        <f aca="true">IF($E147="","",IF(DATE(YEAR(TODAY()),$F147,$G147)&lt;TODAY(),DATE(YEAR(TODAY())+1,$F147,$G147),DATE(YEAR(TODAY()),$F147,$G147)))</f>
        <v/>
      </c>
      <c r="I147" s="15" t="str">
        <f aca="true">IF($H147="","",$H147-TODAY())</f>
        <v/>
      </c>
      <c r="J147" s="10"/>
    </row>
    <row r="148" customFormat="false" ht="15" hidden="false" customHeight="true" outlineLevel="0" collapsed="false">
      <c r="A148" s="13" t="str">
        <f aca="false">IF($B148="","",ROW()-2)</f>
        <v/>
      </c>
      <c r="B148" s="9"/>
      <c r="C148" s="13" t="str">
        <f aca="false">IF($B148="","",IFERROR(INDEX(대상목록!$C$3:$C$302,MATCH($B148,대상목록!$A$3:$A$302,0)),""))</f>
        <v/>
      </c>
      <c r="D148" s="9"/>
      <c r="E148" s="14"/>
      <c r="F148" s="15" t="str">
        <f aca="false">IF($E148="","",MONTH($E148))</f>
        <v/>
      </c>
      <c r="G148" s="15" t="str">
        <f aca="false">IF($E148="","",DAY($E148))</f>
        <v/>
      </c>
      <c r="H148" s="16" t="str">
        <f aca="true">IF($E148="","",IF(DATE(YEAR(TODAY()),$F148,$G148)&lt;TODAY(),DATE(YEAR(TODAY())+1,$F148,$G148),DATE(YEAR(TODAY()),$F148,$G148)))</f>
        <v/>
      </c>
      <c r="I148" s="15" t="str">
        <f aca="true">IF($H148="","",$H148-TODAY())</f>
        <v/>
      </c>
      <c r="J148" s="10"/>
    </row>
    <row r="149" customFormat="false" ht="15" hidden="false" customHeight="true" outlineLevel="0" collapsed="false">
      <c r="A149" s="13" t="str">
        <f aca="false">IF($B149="","",ROW()-2)</f>
        <v/>
      </c>
      <c r="B149" s="9"/>
      <c r="C149" s="13" t="str">
        <f aca="false">IF($B149="","",IFERROR(INDEX(대상목록!$C$3:$C$302,MATCH($B149,대상목록!$A$3:$A$302,0)),""))</f>
        <v/>
      </c>
      <c r="D149" s="9"/>
      <c r="E149" s="14"/>
      <c r="F149" s="15" t="str">
        <f aca="false">IF($E149="","",MONTH($E149))</f>
        <v/>
      </c>
      <c r="G149" s="15" t="str">
        <f aca="false">IF($E149="","",DAY($E149))</f>
        <v/>
      </c>
      <c r="H149" s="16" t="str">
        <f aca="true">IF($E149="","",IF(DATE(YEAR(TODAY()),$F149,$G149)&lt;TODAY(),DATE(YEAR(TODAY())+1,$F149,$G149),DATE(YEAR(TODAY()),$F149,$G149)))</f>
        <v/>
      </c>
      <c r="I149" s="15" t="str">
        <f aca="true">IF($H149="","",$H149-TODAY())</f>
        <v/>
      </c>
      <c r="J149" s="10"/>
    </row>
    <row r="150" customFormat="false" ht="15" hidden="false" customHeight="true" outlineLevel="0" collapsed="false">
      <c r="A150" s="13" t="str">
        <f aca="false">IF($B150="","",ROW()-2)</f>
        <v/>
      </c>
      <c r="B150" s="9"/>
      <c r="C150" s="13" t="str">
        <f aca="false">IF($B150="","",IFERROR(INDEX(대상목록!$C$3:$C$302,MATCH($B150,대상목록!$A$3:$A$302,0)),""))</f>
        <v/>
      </c>
      <c r="D150" s="9"/>
      <c r="E150" s="14"/>
      <c r="F150" s="15" t="str">
        <f aca="false">IF($E150="","",MONTH($E150))</f>
        <v/>
      </c>
      <c r="G150" s="15" t="str">
        <f aca="false">IF($E150="","",DAY($E150))</f>
        <v/>
      </c>
      <c r="H150" s="16" t="str">
        <f aca="true">IF($E150="","",IF(DATE(YEAR(TODAY()),$F150,$G150)&lt;TODAY(),DATE(YEAR(TODAY())+1,$F150,$G150),DATE(YEAR(TODAY()),$F150,$G150)))</f>
        <v/>
      </c>
      <c r="I150" s="15" t="str">
        <f aca="true">IF($H150="","",$H150-TODAY())</f>
        <v/>
      </c>
      <c r="J150" s="10"/>
    </row>
    <row r="151" customFormat="false" ht="15" hidden="false" customHeight="true" outlineLevel="0" collapsed="false">
      <c r="A151" s="13" t="str">
        <f aca="false">IF($B151="","",ROW()-2)</f>
        <v/>
      </c>
      <c r="B151" s="9"/>
      <c r="C151" s="13" t="str">
        <f aca="false">IF($B151="","",IFERROR(INDEX(대상목록!$C$3:$C$302,MATCH($B151,대상목록!$A$3:$A$302,0)),""))</f>
        <v/>
      </c>
      <c r="D151" s="9"/>
      <c r="E151" s="14"/>
      <c r="F151" s="15" t="str">
        <f aca="false">IF($E151="","",MONTH($E151))</f>
        <v/>
      </c>
      <c r="G151" s="15" t="str">
        <f aca="false">IF($E151="","",DAY($E151))</f>
        <v/>
      </c>
      <c r="H151" s="16" t="str">
        <f aca="true">IF($E151="","",IF(DATE(YEAR(TODAY()),$F151,$G151)&lt;TODAY(),DATE(YEAR(TODAY())+1,$F151,$G151),DATE(YEAR(TODAY()),$F151,$G151)))</f>
        <v/>
      </c>
      <c r="I151" s="15" t="str">
        <f aca="true">IF($H151="","",$H151-TODAY())</f>
        <v/>
      </c>
      <c r="J151" s="10"/>
    </row>
    <row r="152" customFormat="false" ht="15" hidden="false" customHeight="true" outlineLevel="0" collapsed="false">
      <c r="A152" s="13" t="str">
        <f aca="false">IF($B152="","",ROW()-2)</f>
        <v/>
      </c>
      <c r="B152" s="9"/>
      <c r="C152" s="13" t="str">
        <f aca="false">IF($B152="","",IFERROR(INDEX(대상목록!$C$3:$C$302,MATCH($B152,대상목록!$A$3:$A$302,0)),""))</f>
        <v/>
      </c>
      <c r="D152" s="9"/>
      <c r="E152" s="14"/>
      <c r="F152" s="15" t="str">
        <f aca="false">IF($E152="","",MONTH($E152))</f>
        <v/>
      </c>
      <c r="G152" s="15" t="str">
        <f aca="false">IF($E152="","",DAY($E152))</f>
        <v/>
      </c>
      <c r="H152" s="16" t="str">
        <f aca="true">IF($E152="","",IF(DATE(YEAR(TODAY()),$F152,$G152)&lt;TODAY(),DATE(YEAR(TODAY())+1,$F152,$G152),DATE(YEAR(TODAY()),$F152,$G152)))</f>
        <v/>
      </c>
      <c r="I152" s="15" t="str">
        <f aca="true">IF($H152="","",$H152-TODAY())</f>
        <v/>
      </c>
      <c r="J152" s="10"/>
    </row>
    <row r="153" customFormat="false" ht="15" hidden="false" customHeight="true" outlineLevel="0" collapsed="false">
      <c r="A153" s="13" t="str">
        <f aca="false">IF($B153="","",ROW()-2)</f>
        <v/>
      </c>
      <c r="B153" s="9"/>
      <c r="C153" s="13" t="str">
        <f aca="false">IF($B153="","",IFERROR(INDEX(대상목록!$C$3:$C$302,MATCH($B153,대상목록!$A$3:$A$302,0)),""))</f>
        <v/>
      </c>
      <c r="D153" s="9"/>
      <c r="E153" s="14"/>
      <c r="F153" s="15" t="str">
        <f aca="false">IF($E153="","",MONTH($E153))</f>
        <v/>
      </c>
      <c r="G153" s="15" t="str">
        <f aca="false">IF($E153="","",DAY($E153))</f>
        <v/>
      </c>
      <c r="H153" s="16" t="str">
        <f aca="true">IF($E153="","",IF(DATE(YEAR(TODAY()),$F153,$G153)&lt;TODAY(),DATE(YEAR(TODAY())+1,$F153,$G153),DATE(YEAR(TODAY()),$F153,$G153)))</f>
        <v/>
      </c>
      <c r="I153" s="15" t="str">
        <f aca="true">IF($H153="","",$H153-TODAY())</f>
        <v/>
      </c>
      <c r="J153" s="10"/>
    </row>
    <row r="154" customFormat="false" ht="15" hidden="false" customHeight="true" outlineLevel="0" collapsed="false">
      <c r="A154" s="13" t="str">
        <f aca="false">IF($B154="","",ROW()-2)</f>
        <v/>
      </c>
      <c r="B154" s="9"/>
      <c r="C154" s="13" t="str">
        <f aca="false">IF($B154="","",IFERROR(INDEX(대상목록!$C$3:$C$302,MATCH($B154,대상목록!$A$3:$A$302,0)),""))</f>
        <v/>
      </c>
      <c r="D154" s="9"/>
      <c r="E154" s="14"/>
      <c r="F154" s="15" t="str">
        <f aca="false">IF($E154="","",MONTH($E154))</f>
        <v/>
      </c>
      <c r="G154" s="15" t="str">
        <f aca="false">IF($E154="","",DAY($E154))</f>
        <v/>
      </c>
      <c r="H154" s="16" t="str">
        <f aca="true">IF($E154="","",IF(DATE(YEAR(TODAY()),$F154,$G154)&lt;TODAY(),DATE(YEAR(TODAY())+1,$F154,$G154),DATE(YEAR(TODAY()),$F154,$G154)))</f>
        <v/>
      </c>
      <c r="I154" s="15" t="str">
        <f aca="true">IF($H154="","",$H154-TODAY())</f>
        <v/>
      </c>
      <c r="J154" s="10"/>
    </row>
    <row r="155" customFormat="false" ht="15" hidden="false" customHeight="true" outlineLevel="0" collapsed="false">
      <c r="A155" s="13" t="str">
        <f aca="false">IF($B155="","",ROW()-2)</f>
        <v/>
      </c>
      <c r="B155" s="9"/>
      <c r="C155" s="13" t="str">
        <f aca="false">IF($B155="","",IFERROR(INDEX(대상목록!$C$3:$C$302,MATCH($B155,대상목록!$A$3:$A$302,0)),""))</f>
        <v/>
      </c>
      <c r="D155" s="9"/>
      <c r="E155" s="14"/>
      <c r="F155" s="15" t="str">
        <f aca="false">IF($E155="","",MONTH($E155))</f>
        <v/>
      </c>
      <c r="G155" s="15" t="str">
        <f aca="false">IF($E155="","",DAY($E155))</f>
        <v/>
      </c>
      <c r="H155" s="16" t="str">
        <f aca="true">IF($E155="","",IF(DATE(YEAR(TODAY()),$F155,$G155)&lt;TODAY(),DATE(YEAR(TODAY())+1,$F155,$G155),DATE(YEAR(TODAY()),$F155,$G155)))</f>
        <v/>
      </c>
      <c r="I155" s="15" t="str">
        <f aca="true">IF($H155="","",$H155-TODAY())</f>
        <v/>
      </c>
      <c r="J155" s="10"/>
    </row>
    <row r="156" customFormat="false" ht="15" hidden="false" customHeight="true" outlineLevel="0" collapsed="false">
      <c r="A156" s="13" t="str">
        <f aca="false">IF($B156="","",ROW()-2)</f>
        <v/>
      </c>
      <c r="B156" s="9"/>
      <c r="C156" s="13" t="str">
        <f aca="false">IF($B156="","",IFERROR(INDEX(대상목록!$C$3:$C$302,MATCH($B156,대상목록!$A$3:$A$302,0)),""))</f>
        <v/>
      </c>
      <c r="D156" s="9"/>
      <c r="E156" s="14"/>
      <c r="F156" s="15" t="str">
        <f aca="false">IF($E156="","",MONTH($E156))</f>
        <v/>
      </c>
      <c r="G156" s="15" t="str">
        <f aca="false">IF($E156="","",DAY($E156))</f>
        <v/>
      </c>
      <c r="H156" s="16" t="str">
        <f aca="true">IF($E156="","",IF(DATE(YEAR(TODAY()),$F156,$G156)&lt;TODAY(),DATE(YEAR(TODAY())+1,$F156,$G156),DATE(YEAR(TODAY()),$F156,$G156)))</f>
        <v/>
      </c>
      <c r="I156" s="15" t="str">
        <f aca="true">IF($H156="","",$H156-TODAY())</f>
        <v/>
      </c>
      <c r="J156" s="10"/>
    </row>
    <row r="157" customFormat="false" ht="15" hidden="false" customHeight="true" outlineLevel="0" collapsed="false">
      <c r="A157" s="13" t="str">
        <f aca="false">IF($B157="","",ROW()-2)</f>
        <v/>
      </c>
      <c r="B157" s="9"/>
      <c r="C157" s="13" t="str">
        <f aca="false">IF($B157="","",IFERROR(INDEX(대상목록!$C$3:$C$302,MATCH($B157,대상목록!$A$3:$A$302,0)),""))</f>
        <v/>
      </c>
      <c r="D157" s="9"/>
      <c r="E157" s="14"/>
      <c r="F157" s="15" t="str">
        <f aca="false">IF($E157="","",MONTH($E157))</f>
        <v/>
      </c>
      <c r="G157" s="15" t="str">
        <f aca="false">IF($E157="","",DAY($E157))</f>
        <v/>
      </c>
      <c r="H157" s="16" t="str">
        <f aca="true">IF($E157="","",IF(DATE(YEAR(TODAY()),$F157,$G157)&lt;TODAY(),DATE(YEAR(TODAY())+1,$F157,$G157),DATE(YEAR(TODAY()),$F157,$G157)))</f>
        <v/>
      </c>
      <c r="I157" s="15" t="str">
        <f aca="true">IF($H157="","",$H157-TODAY())</f>
        <v/>
      </c>
      <c r="J157" s="10"/>
    </row>
    <row r="158" customFormat="false" ht="15" hidden="false" customHeight="true" outlineLevel="0" collapsed="false">
      <c r="A158" s="13" t="str">
        <f aca="false">IF($B158="","",ROW()-2)</f>
        <v/>
      </c>
      <c r="B158" s="9"/>
      <c r="C158" s="13" t="str">
        <f aca="false">IF($B158="","",IFERROR(INDEX(대상목록!$C$3:$C$302,MATCH($B158,대상목록!$A$3:$A$302,0)),""))</f>
        <v/>
      </c>
      <c r="D158" s="9"/>
      <c r="E158" s="14"/>
      <c r="F158" s="15" t="str">
        <f aca="false">IF($E158="","",MONTH($E158))</f>
        <v/>
      </c>
      <c r="G158" s="15" t="str">
        <f aca="false">IF($E158="","",DAY($E158))</f>
        <v/>
      </c>
      <c r="H158" s="16" t="str">
        <f aca="true">IF($E158="","",IF(DATE(YEAR(TODAY()),$F158,$G158)&lt;TODAY(),DATE(YEAR(TODAY())+1,$F158,$G158),DATE(YEAR(TODAY()),$F158,$G158)))</f>
        <v/>
      </c>
      <c r="I158" s="15" t="str">
        <f aca="true">IF($H158="","",$H158-TODAY())</f>
        <v/>
      </c>
      <c r="J158" s="10"/>
    </row>
    <row r="159" customFormat="false" ht="15" hidden="false" customHeight="true" outlineLevel="0" collapsed="false">
      <c r="A159" s="13" t="str">
        <f aca="false">IF($B159="","",ROW()-2)</f>
        <v/>
      </c>
      <c r="B159" s="9"/>
      <c r="C159" s="13" t="str">
        <f aca="false">IF($B159="","",IFERROR(INDEX(대상목록!$C$3:$C$302,MATCH($B159,대상목록!$A$3:$A$302,0)),""))</f>
        <v/>
      </c>
      <c r="D159" s="9"/>
      <c r="E159" s="14"/>
      <c r="F159" s="15" t="str">
        <f aca="false">IF($E159="","",MONTH($E159))</f>
        <v/>
      </c>
      <c r="G159" s="15" t="str">
        <f aca="false">IF($E159="","",DAY($E159))</f>
        <v/>
      </c>
      <c r="H159" s="16" t="str">
        <f aca="true">IF($E159="","",IF(DATE(YEAR(TODAY()),$F159,$G159)&lt;TODAY(),DATE(YEAR(TODAY())+1,$F159,$G159),DATE(YEAR(TODAY()),$F159,$G159)))</f>
        <v/>
      </c>
      <c r="I159" s="15" t="str">
        <f aca="true">IF($H159="","",$H159-TODAY())</f>
        <v/>
      </c>
      <c r="J159" s="10"/>
    </row>
    <row r="160" customFormat="false" ht="15" hidden="false" customHeight="true" outlineLevel="0" collapsed="false">
      <c r="A160" s="13" t="str">
        <f aca="false">IF($B160="","",ROW()-2)</f>
        <v/>
      </c>
      <c r="B160" s="9"/>
      <c r="C160" s="13" t="str">
        <f aca="false">IF($B160="","",IFERROR(INDEX(대상목록!$C$3:$C$302,MATCH($B160,대상목록!$A$3:$A$302,0)),""))</f>
        <v/>
      </c>
      <c r="D160" s="9"/>
      <c r="E160" s="14"/>
      <c r="F160" s="15" t="str">
        <f aca="false">IF($E160="","",MONTH($E160))</f>
        <v/>
      </c>
      <c r="G160" s="15" t="str">
        <f aca="false">IF($E160="","",DAY($E160))</f>
        <v/>
      </c>
      <c r="H160" s="16" t="str">
        <f aca="true">IF($E160="","",IF(DATE(YEAR(TODAY()),$F160,$G160)&lt;TODAY(),DATE(YEAR(TODAY())+1,$F160,$G160),DATE(YEAR(TODAY()),$F160,$G160)))</f>
        <v/>
      </c>
      <c r="I160" s="15" t="str">
        <f aca="true">IF($H160="","",$H160-TODAY())</f>
        <v/>
      </c>
      <c r="J160" s="10"/>
    </row>
    <row r="161" customFormat="false" ht="15" hidden="false" customHeight="true" outlineLevel="0" collapsed="false">
      <c r="A161" s="13" t="str">
        <f aca="false">IF($B161="","",ROW()-2)</f>
        <v/>
      </c>
      <c r="B161" s="9"/>
      <c r="C161" s="13" t="str">
        <f aca="false">IF($B161="","",IFERROR(INDEX(대상목록!$C$3:$C$302,MATCH($B161,대상목록!$A$3:$A$302,0)),""))</f>
        <v/>
      </c>
      <c r="D161" s="9"/>
      <c r="E161" s="14"/>
      <c r="F161" s="15" t="str">
        <f aca="false">IF($E161="","",MONTH($E161))</f>
        <v/>
      </c>
      <c r="G161" s="15" t="str">
        <f aca="false">IF($E161="","",DAY($E161))</f>
        <v/>
      </c>
      <c r="H161" s="16" t="str">
        <f aca="true">IF($E161="","",IF(DATE(YEAR(TODAY()),$F161,$G161)&lt;TODAY(),DATE(YEAR(TODAY())+1,$F161,$G161),DATE(YEAR(TODAY()),$F161,$G161)))</f>
        <v/>
      </c>
      <c r="I161" s="15" t="str">
        <f aca="true">IF($H161="","",$H161-TODAY())</f>
        <v/>
      </c>
      <c r="J161" s="10"/>
    </row>
    <row r="162" customFormat="false" ht="15" hidden="false" customHeight="true" outlineLevel="0" collapsed="false">
      <c r="A162" s="13" t="str">
        <f aca="false">IF($B162="","",ROW()-2)</f>
        <v/>
      </c>
      <c r="B162" s="9"/>
      <c r="C162" s="13" t="str">
        <f aca="false">IF($B162="","",IFERROR(INDEX(대상목록!$C$3:$C$302,MATCH($B162,대상목록!$A$3:$A$302,0)),""))</f>
        <v/>
      </c>
      <c r="D162" s="9"/>
      <c r="E162" s="14"/>
      <c r="F162" s="15" t="str">
        <f aca="false">IF($E162="","",MONTH($E162))</f>
        <v/>
      </c>
      <c r="G162" s="15" t="str">
        <f aca="false">IF($E162="","",DAY($E162))</f>
        <v/>
      </c>
      <c r="H162" s="16" t="str">
        <f aca="true">IF($E162="","",IF(DATE(YEAR(TODAY()),$F162,$G162)&lt;TODAY(),DATE(YEAR(TODAY())+1,$F162,$G162),DATE(YEAR(TODAY()),$F162,$G162)))</f>
        <v/>
      </c>
      <c r="I162" s="15" t="str">
        <f aca="true">IF($H162="","",$H162-TODAY())</f>
        <v/>
      </c>
      <c r="J162" s="10"/>
    </row>
    <row r="163" customFormat="false" ht="15" hidden="false" customHeight="true" outlineLevel="0" collapsed="false">
      <c r="A163" s="13" t="str">
        <f aca="false">IF($B163="","",ROW()-2)</f>
        <v/>
      </c>
      <c r="B163" s="9"/>
      <c r="C163" s="13" t="str">
        <f aca="false">IF($B163="","",IFERROR(INDEX(대상목록!$C$3:$C$302,MATCH($B163,대상목록!$A$3:$A$302,0)),""))</f>
        <v/>
      </c>
      <c r="D163" s="9"/>
      <c r="E163" s="14"/>
      <c r="F163" s="15" t="str">
        <f aca="false">IF($E163="","",MONTH($E163))</f>
        <v/>
      </c>
      <c r="G163" s="15" t="str">
        <f aca="false">IF($E163="","",DAY($E163))</f>
        <v/>
      </c>
      <c r="H163" s="16" t="str">
        <f aca="true">IF($E163="","",IF(DATE(YEAR(TODAY()),$F163,$G163)&lt;TODAY(),DATE(YEAR(TODAY())+1,$F163,$G163),DATE(YEAR(TODAY()),$F163,$G163)))</f>
        <v/>
      </c>
      <c r="I163" s="15" t="str">
        <f aca="true">IF($H163="","",$H163-TODAY())</f>
        <v/>
      </c>
      <c r="J163" s="10"/>
    </row>
    <row r="164" customFormat="false" ht="15" hidden="false" customHeight="true" outlineLevel="0" collapsed="false">
      <c r="A164" s="13" t="str">
        <f aca="false">IF($B164="","",ROW()-2)</f>
        <v/>
      </c>
      <c r="B164" s="9"/>
      <c r="C164" s="13" t="str">
        <f aca="false">IF($B164="","",IFERROR(INDEX(대상목록!$C$3:$C$302,MATCH($B164,대상목록!$A$3:$A$302,0)),""))</f>
        <v/>
      </c>
      <c r="D164" s="9"/>
      <c r="E164" s="14"/>
      <c r="F164" s="15" t="str">
        <f aca="false">IF($E164="","",MONTH($E164))</f>
        <v/>
      </c>
      <c r="G164" s="15" t="str">
        <f aca="false">IF($E164="","",DAY($E164))</f>
        <v/>
      </c>
      <c r="H164" s="16" t="str">
        <f aca="true">IF($E164="","",IF(DATE(YEAR(TODAY()),$F164,$G164)&lt;TODAY(),DATE(YEAR(TODAY())+1,$F164,$G164),DATE(YEAR(TODAY()),$F164,$G164)))</f>
        <v/>
      </c>
      <c r="I164" s="15" t="str">
        <f aca="true">IF($H164="","",$H164-TODAY())</f>
        <v/>
      </c>
      <c r="J164" s="10"/>
    </row>
    <row r="165" customFormat="false" ht="15" hidden="false" customHeight="true" outlineLevel="0" collapsed="false">
      <c r="A165" s="13" t="str">
        <f aca="false">IF($B165="","",ROW()-2)</f>
        <v/>
      </c>
      <c r="B165" s="9"/>
      <c r="C165" s="13" t="str">
        <f aca="false">IF($B165="","",IFERROR(INDEX(대상목록!$C$3:$C$302,MATCH($B165,대상목록!$A$3:$A$302,0)),""))</f>
        <v/>
      </c>
      <c r="D165" s="9"/>
      <c r="E165" s="14"/>
      <c r="F165" s="15" t="str">
        <f aca="false">IF($E165="","",MONTH($E165))</f>
        <v/>
      </c>
      <c r="G165" s="15" t="str">
        <f aca="false">IF($E165="","",DAY($E165))</f>
        <v/>
      </c>
      <c r="H165" s="16" t="str">
        <f aca="true">IF($E165="","",IF(DATE(YEAR(TODAY()),$F165,$G165)&lt;TODAY(),DATE(YEAR(TODAY())+1,$F165,$G165),DATE(YEAR(TODAY()),$F165,$G165)))</f>
        <v/>
      </c>
      <c r="I165" s="15" t="str">
        <f aca="true">IF($H165="","",$H165-TODAY())</f>
        <v/>
      </c>
      <c r="J165" s="10"/>
    </row>
    <row r="166" customFormat="false" ht="15" hidden="false" customHeight="true" outlineLevel="0" collapsed="false">
      <c r="A166" s="13" t="str">
        <f aca="false">IF($B166="","",ROW()-2)</f>
        <v/>
      </c>
      <c r="B166" s="9"/>
      <c r="C166" s="13" t="str">
        <f aca="false">IF($B166="","",IFERROR(INDEX(대상목록!$C$3:$C$302,MATCH($B166,대상목록!$A$3:$A$302,0)),""))</f>
        <v/>
      </c>
      <c r="D166" s="9"/>
      <c r="E166" s="14"/>
      <c r="F166" s="15" t="str">
        <f aca="false">IF($E166="","",MONTH($E166))</f>
        <v/>
      </c>
      <c r="G166" s="15" t="str">
        <f aca="false">IF($E166="","",DAY($E166))</f>
        <v/>
      </c>
      <c r="H166" s="16" t="str">
        <f aca="true">IF($E166="","",IF(DATE(YEAR(TODAY()),$F166,$G166)&lt;TODAY(),DATE(YEAR(TODAY())+1,$F166,$G166),DATE(YEAR(TODAY()),$F166,$G166)))</f>
        <v/>
      </c>
      <c r="I166" s="15" t="str">
        <f aca="true">IF($H166="","",$H166-TODAY())</f>
        <v/>
      </c>
      <c r="J166" s="10"/>
    </row>
    <row r="167" customFormat="false" ht="15" hidden="false" customHeight="true" outlineLevel="0" collapsed="false">
      <c r="A167" s="13" t="str">
        <f aca="false">IF($B167="","",ROW()-2)</f>
        <v/>
      </c>
      <c r="B167" s="9"/>
      <c r="C167" s="13" t="str">
        <f aca="false">IF($B167="","",IFERROR(INDEX(대상목록!$C$3:$C$302,MATCH($B167,대상목록!$A$3:$A$302,0)),""))</f>
        <v/>
      </c>
      <c r="D167" s="9"/>
      <c r="E167" s="14"/>
      <c r="F167" s="15" t="str">
        <f aca="false">IF($E167="","",MONTH($E167))</f>
        <v/>
      </c>
      <c r="G167" s="15" t="str">
        <f aca="false">IF($E167="","",DAY($E167))</f>
        <v/>
      </c>
      <c r="H167" s="16" t="str">
        <f aca="true">IF($E167="","",IF(DATE(YEAR(TODAY()),$F167,$G167)&lt;TODAY(),DATE(YEAR(TODAY())+1,$F167,$G167),DATE(YEAR(TODAY()),$F167,$G167)))</f>
        <v/>
      </c>
      <c r="I167" s="15" t="str">
        <f aca="true">IF($H167="","",$H167-TODAY())</f>
        <v/>
      </c>
      <c r="J167" s="10"/>
    </row>
    <row r="168" customFormat="false" ht="15" hidden="false" customHeight="true" outlineLevel="0" collapsed="false">
      <c r="A168" s="13" t="str">
        <f aca="false">IF($B168="","",ROW()-2)</f>
        <v/>
      </c>
      <c r="B168" s="9"/>
      <c r="C168" s="13" t="str">
        <f aca="false">IF($B168="","",IFERROR(INDEX(대상목록!$C$3:$C$302,MATCH($B168,대상목록!$A$3:$A$302,0)),""))</f>
        <v/>
      </c>
      <c r="D168" s="9"/>
      <c r="E168" s="14"/>
      <c r="F168" s="15" t="str">
        <f aca="false">IF($E168="","",MONTH($E168))</f>
        <v/>
      </c>
      <c r="G168" s="15" t="str">
        <f aca="false">IF($E168="","",DAY($E168))</f>
        <v/>
      </c>
      <c r="H168" s="16" t="str">
        <f aca="true">IF($E168="","",IF(DATE(YEAR(TODAY()),$F168,$G168)&lt;TODAY(),DATE(YEAR(TODAY())+1,$F168,$G168),DATE(YEAR(TODAY()),$F168,$G168)))</f>
        <v/>
      </c>
      <c r="I168" s="15" t="str">
        <f aca="true">IF($H168="","",$H168-TODAY())</f>
        <v/>
      </c>
      <c r="J168" s="10"/>
    </row>
    <row r="169" customFormat="false" ht="15" hidden="false" customHeight="true" outlineLevel="0" collapsed="false">
      <c r="A169" s="13" t="str">
        <f aca="false">IF($B169="","",ROW()-2)</f>
        <v/>
      </c>
      <c r="B169" s="9"/>
      <c r="C169" s="13" t="str">
        <f aca="false">IF($B169="","",IFERROR(INDEX(대상목록!$C$3:$C$302,MATCH($B169,대상목록!$A$3:$A$302,0)),""))</f>
        <v/>
      </c>
      <c r="D169" s="9"/>
      <c r="E169" s="14"/>
      <c r="F169" s="15" t="str">
        <f aca="false">IF($E169="","",MONTH($E169))</f>
        <v/>
      </c>
      <c r="G169" s="15" t="str">
        <f aca="false">IF($E169="","",DAY($E169))</f>
        <v/>
      </c>
      <c r="H169" s="16" t="str">
        <f aca="true">IF($E169="","",IF(DATE(YEAR(TODAY()),$F169,$G169)&lt;TODAY(),DATE(YEAR(TODAY())+1,$F169,$G169),DATE(YEAR(TODAY()),$F169,$G169)))</f>
        <v/>
      </c>
      <c r="I169" s="15" t="str">
        <f aca="true">IF($H169="","",$H169-TODAY())</f>
        <v/>
      </c>
      <c r="J169" s="10"/>
    </row>
    <row r="170" customFormat="false" ht="15" hidden="false" customHeight="true" outlineLevel="0" collapsed="false">
      <c r="A170" s="13" t="str">
        <f aca="false">IF($B170="","",ROW()-2)</f>
        <v/>
      </c>
      <c r="B170" s="9"/>
      <c r="C170" s="13" t="str">
        <f aca="false">IF($B170="","",IFERROR(INDEX(대상목록!$C$3:$C$302,MATCH($B170,대상목록!$A$3:$A$302,0)),""))</f>
        <v/>
      </c>
      <c r="D170" s="9"/>
      <c r="E170" s="14"/>
      <c r="F170" s="15" t="str">
        <f aca="false">IF($E170="","",MONTH($E170))</f>
        <v/>
      </c>
      <c r="G170" s="15" t="str">
        <f aca="false">IF($E170="","",DAY($E170))</f>
        <v/>
      </c>
      <c r="H170" s="16" t="str">
        <f aca="true">IF($E170="","",IF(DATE(YEAR(TODAY()),$F170,$G170)&lt;TODAY(),DATE(YEAR(TODAY())+1,$F170,$G170),DATE(YEAR(TODAY()),$F170,$G170)))</f>
        <v/>
      </c>
      <c r="I170" s="15" t="str">
        <f aca="true">IF($H170="","",$H170-TODAY())</f>
        <v/>
      </c>
      <c r="J170" s="10"/>
    </row>
    <row r="171" customFormat="false" ht="15" hidden="false" customHeight="true" outlineLevel="0" collapsed="false">
      <c r="A171" s="13" t="str">
        <f aca="false">IF($B171="","",ROW()-2)</f>
        <v/>
      </c>
      <c r="B171" s="9"/>
      <c r="C171" s="13" t="str">
        <f aca="false">IF($B171="","",IFERROR(INDEX(대상목록!$C$3:$C$302,MATCH($B171,대상목록!$A$3:$A$302,0)),""))</f>
        <v/>
      </c>
      <c r="D171" s="9"/>
      <c r="E171" s="14"/>
      <c r="F171" s="15" t="str">
        <f aca="false">IF($E171="","",MONTH($E171))</f>
        <v/>
      </c>
      <c r="G171" s="15" t="str">
        <f aca="false">IF($E171="","",DAY($E171))</f>
        <v/>
      </c>
      <c r="H171" s="16" t="str">
        <f aca="true">IF($E171="","",IF(DATE(YEAR(TODAY()),$F171,$G171)&lt;TODAY(),DATE(YEAR(TODAY())+1,$F171,$G171),DATE(YEAR(TODAY()),$F171,$G171)))</f>
        <v/>
      </c>
      <c r="I171" s="15" t="str">
        <f aca="true">IF($H171="","",$H171-TODAY())</f>
        <v/>
      </c>
      <c r="J171" s="10"/>
    </row>
    <row r="172" customFormat="false" ht="15" hidden="false" customHeight="true" outlineLevel="0" collapsed="false">
      <c r="A172" s="13" t="str">
        <f aca="false">IF($B172="","",ROW()-2)</f>
        <v/>
      </c>
      <c r="B172" s="9"/>
      <c r="C172" s="13" t="str">
        <f aca="false">IF($B172="","",IFERROR(INDEX(대상목록!$C$3:$C$302,MATCH($B172,대상목록!$A$3:$A$302,0)),""))</f>
        <v/>
      </c>
      <c r="D172" s="9"/>
      <c r="E172" s="14"/>
      <c r="F172" s="15" t="str">
        <f aca="false">IF($E172="","",MONTH($E172))</f>
        <v/>
      </c>
      <c r="G172" s="15" t="str">
        <f aca="false">IF($E172="","",DAY($E172))</f>
        <v/>
      </c>
      <c r="H172" s="16" t="str">
        <f aca="true">IF($E172="","",IF(DATE(YEAR(TODAY()),$F172,$G172)&lt;TODAY(),DATE(YEAR(TODAY())+1,$F172,$G172),DATE(YEAR(TODAY()),$F172,$G172)))</f>
        <v/>
      </c>
      <c r="I172" s="15" t="str">
        <f aca="true">IF($H172="","",$H172-TODAY())</f>
        <v/>
      </c>
      <c r="J172" s="10"/>
    </row>
    <row r="173" customFormat="false" ht="15" hidden="false" customHeight="true" outlineLevel="0" collapsed="false">
      <c r="A173" s="13" t="str">
        <f aca="false">IF($B173="","",ROW()-2)</f>
        <v/>
      </c>
      <c r="B173" s="9"/>
      <c r="C173" s="13" t="str">
        <f aca="false">IF($B173="","",IFERROR(INDEX(대상목록!$C$3:$C$302,MATCH($B173,대상목록!$A$3:$A$302,0)),""))</f>
        <v/>
      </c>
      <c r="D173" s="9"/>
      <c r="E173" s="14"/>
      <c r="F173" s="15" t="str">
        <f aca="false">IF($E173="","",MONTH($E173))</f>
        <v/>
      </c>
      <c r="G173" s="15" t="str">
        <f aca="false">IF($E173="","",DAY($E173))</f>
        <v/>
      </c>
      <c r="H173" s="16" t="str">
        <f aca="true">IF($E173="","",IF(DATE(YEAR(TODAY()),$F173,$G173)&lt;TODAY(),DATE(YEAR(TODAY())+1,$F173,$G173),DATE(YEAR(TODAY()),$F173,$G173)))</f>
        <v/>
      </c>
      <c r="I173" s="15" t="str">
        <f aca="true">IF($H173="","",$H173-TODAY())</f>
        <v/>
      </c>
      <c r="J173" s="10"/>
    </row>
    <row r="174" customFormat="false" ht="15" hidden="false" customHeight="true" outlineLevel="0" collapsed="false">
      <c r="A174" s="13" t="str">
        <f aca="false">IF($B174="","",ROW()-2)</f>
        <v/>
      </c>
      <c r="B174" s="9"/>
      <c r="C174" s="13" t="str">
        <f aca="false">IF($B174="","",IFERROR(INDEX(대상목록!$C$3:$C$302,MATCH($B174,대상목록!$A$3:$A$302,0)),""))</f>
        <v/>
      </c>
      <c r="D174" s="9"/>
      <c r="E174" s="14"/>
      <c r="F174" s="15" t="str">
        <f aca="false">IF($E174="","",MONTH($E174))</f>
        <v/>
      </c>
      <c r="G174" s="15" t="str">
        <f aca="false">IF($E174="","",DAY($E174))</f>
        <v/>
      </c>
      <c r="H174" s="16" t="str">
        <f aca="true">IF($E174="","",IF(DATE(YEAR(TODAY()),$F174,$G174)&lt;TODAY(),DATE(YEAR(TODAY())+1,$F174,$G174),DATE(YEAR(TODAY()),$F174,$G174)))</f>
        <v/>
      </c>
      <c r="I174" s="15" t="str">
        <f aca="true">IF($H174="","",$H174-TODAY())</f>
        <v/>
      </c>
      <c r="J174" s="10"/>
    </row>
    <row r="175" customFormat="false" ht="15" hidden="false" customHeight="true" outlineLevel="0" collapsed="false">
      <c r="A175" s="13" t="str">
        <f aca="false">IF($B175="","",ROW()-2)</f>
        <v/>
      </c>
      <c r="B175" s="9"/>
      <c r="C175" s="13" t="str">
        <f aca="false">IF($B175="","",IFERROR(INDEX(대상목록!$C$3:$C$302,MATCH($B175,대상목록!$A$3:$A$302,0)),""))</f>
        <v/>
      </c>
      <c r="D175" s="9"/>
      <c r="E175" s="14"/>
      <c r="F175" s="15" t="str">
        <f aca="false">IF($E175="","",MONTH($E175))</f>
        <v/>
      </c>
      <c r="G175" s="15" t="str">
        <f aca="false">IF($E175="","",DAY($E175))</f>
        <v/>
      </c>
      <c r="H175" s="16" t="str">
        <f aca="true">IF($E175="","",IF(DATE(YEAR(TODAY()),$F175,$G175)&lt;TODAY(),DATE(YEAR(TODAY())+1,$F175,$G175),DATE(YEAR(TODAY()),$F175,$G175)))</f>
        <v/>
      </c>
      <c r="I175" s="15" t="str">
        <f aca="true">IF($H175="","",$H175-TODAY())</f>
        <v/>
      </c>
      <c r="J175" s="10"/>
    </row>
    <row r="176" customFormat="false" ht="15" hidden="false" customHeight="true" outlineLevel="0" collapsed="false">
      <c r="A176" s="13" t="str">
        <f aca="false">IF($B176="","",ROW()-2)</f>
        <v/>
      </c>
      <c r="B176" s="9"/>
      <c r="C176" s="13" t="str">
        <f aca="false">IF($B176="","",IFERROR(INDEX(대상목록!$C$3:$C$302,MATCH($B176,대상목록!$A$3:$A$302,0)),""))</f>
        <v/>
      </c>
      <c r="D176" s="9"/>
      <c r="E176" s="14"/>
      <c r="F176" s="15" t="str">
        <f aca="false">IF($E176="","",MONTH($E176))</f>
        <v/>
      </c>
      <c r="G176" s="15" t="str">
        <f aca="false">IF($E176="","",DAY($E176))</f>
        <v/>
      </c>
      <c r="H176" s="16" t="str">
        <f aca="true">IF($E176="","",IF(DATE(YEAR(TODAY()),$F176,$G176)&lt;TODAY(),DATE(YEAR(TODAY())+1,$F176,$G176),DATE(YEAR(TODAY()),$F176,$G176)))</f>
        <v/>
      </c>
      <c r="I176" s="15" t="str">
        <f aca="true">IF($H176="","",$H176-TODAY())</f>
        <v/>
      </c>
      <c r="J176" s="10"/>
    </row>
    <row r="177" customFormat="false" ht="15" hidden="false" customHeight="true" outlineLevel="0" collapsed="false">
      <c r="A177" s="13" t="str">
        <f aca="false">IF($B177="","",ROW()-2)</f>
        <v/>
      </c>
      <c r="B177" s="9"/>
      <c r="C177" s="13" t="str">
        <f aca="false">IF($B177="","",IFERROR(INDEX(대상목록!$C$3:$C$302,MATCH($B177,대상목록!$A$3:$A$302,0)),""))</f>
        <v/>
      </c>
      <c r="D177" s="9"/>
      <c r="E177" s="14"/>
      <c r="F177" s="15" t="str">
        <f aca="false">IF($E177="","",MONTH($E177))</f>
        <v/>
      </c>
      <c r="G177" s="15" t="str">
        <f aca="false">IF($E177="","",DAY($E177))</f>
        <v/>
      </c>
      <c r="H177" s="16" t="str">
        <f aca="true">IF($E177="","",IF(DATE(YEAR(TODAY()),$F177,$G177)&lt;TODAY(),DATE(YEAR(TODAY())+1,$F177,$G177),DATE(YEAR(TODAY()),$F177,$G177)))</f>
        <v/>
      </c>
      <c r="I177" s="15" t="str">
        <f aca="true">IF($H177="","",$H177-TODAY())</f>
        <v/>
      </c>
      <c r="J177" s="10"/>
    </row>
    <row r="178" customFormat="false" ht="15" hidden="false" customHeight="true" outlineLevel="0" collapsed="false">
      <c r="A178" s="13" t="str">
        <f aca="false">IF($B178="","",ROW()-2)</f>
        <v/>
      </c>
      <c r="B178" s="9"/>
      <c r="C178" s="13" t="str">
        <f aca="false">IF($B178="","",IFERROR(INDEX(대상목록!$C$3:$C$302,MATCH($B178,대상목록!$A$3:$A$302,0)),""))</f>
        <v/>
      </c>
      <c r="D178" s="9"/>
      <c r="E178" s="14"/>
      <c r="F178" s="15" t="str">
        <f aca="false">IF($E178="","",MONTH($E178))</f>
        <v/>
      </c>
      <c r="G178" s="15" t="str">
        <f aca="false">IF($E178="","",DAY($E178))</f>
        <v/>
      </c>
      <c r="H178" s="16" t="str">
        <f aca="true">IF($E178="","",IF(DATE(YEAR(TODAY()),$F178,$G178)&lt;TODAY(),DATE(YEAR(TODAY())+1,$F178,$G178),DATE(YEAR(TODAY()),$F178,$G178)))</f>
        <v/>
      </c>
      <c r="I178" s="15" t="str">
        <f aca="true">IF($H178="","",$H178-TODAY())</f>
        <v/>
      </c>
      <c r="J178" s="10"/>
    </row>
    <row r="179" customFormat="false" ht="15" hidden="false" customHeight="true" outlineLevel="0" collapsed="false">
      <c r="A179" s="13" t="str">
        <f aca="false">IF($B179="","",ROW()-2)</f>
        <v/>
      </c>
      <c r="B179" s="9"/>
      <c r="C179" s="13" t="str">
        <f aca="false">IF($B179="","",IFERROR(INDEX(대상목록!$C$3:$C$302,MATCH($B179,대상목록!$A$3:$A$302,0)),""))</f>
        <v/>
      </c>
      <c r="D179" s="9"/>
      <c r="E179" s="14"/>
      <c r="F179" s="15" t="str">
        <f aca="false">IF($E179="","",MONTH($E179))</f>
        <v/>
      </c>
      <c r="G179" s="15" t="str">
        <f aca="false">IF($E179="","",DAY($E179))</f>
        <v/>
      </c>
      <c r="H179" s="16" t="str">
        <f aca="true">IF($E179="","",IF(DATE(YEAR(TODAY()),$F179,$G179)&lt;TODAY(),DATE(YEAR(TODAY())+1,$F179,$G179),DATE(YEAR(TODAY()),$F179,$G179)))</f>
        <v/>
      </c>
      <c r="I179" s="15" t="str">
        <f aca="true">IF($H179="","",$H179-TODAY())</f>
        <v/>
      </c>
      <c r="J179" s="10"/>
    </row>
    <row r="180" customFormat="false" ht="15" hidden="false" customHeight="true" outlineLevel="0" collapsed="false">
      <c r="A180" s="13" t="str">
        <f aca="false">IF($B180="","",ROW()-2)</f>
        <v/>
      </c>
      <c r="B180" s="9"/>
      <c r="C180" s="13" t="str">
        <f aca="false">IF($B180="","",IFERROR(INDEX(대상목록!$C$3:$C$302,MATCH($B180,대상목록!$A$3:$A$302,0)),""))</f>
        <v/>
      </c>
      <c r="D180" s="9"/>
      <c r="E180" s="14"/>
      <c r="F180" s="15" t="str">
        <f aca="false">IF($E180="","",MONTH($E180))</f>
        <v/>
      </c>
      <c r="G180" s="15" t="str">
        <f aca="false">IF($E180="","",DAY($E180))</f>
        <v/>
      </c>
      <c r="H180" s="16" t="str">
        <f aca="true">IF($E180="","",IF(DATE(YEAR(TODAY()),$F180,$G180)&lt;TODAY(),DATE(YEAR(TODAY())+1,$F180,$G180),DATE(YEAR(TODAY()),$F180,$G180)))</f>
        <v/>
      </c>
      <c r="I180" s="15" t="str">
        <f aca="true">IF($H180="","",$H180-TODAY())</f>
        <v/>
      </c>
      <c r="J180" s="10"/>
    </row>
    <row r="181" customFormat="false" ht="15" hidden="false" customHeight="true" outlineLevel="0" collapsed="false">
      <c r="A181" s="13" t="str">
        <f aca="false">IF($B181="","",ROW()-2)</f>
        <v/>
      </c>
      <c r="B181" s="9"/>
      <c r="C181" s="13" t="str">
        <f aca="false">IF($B181="","",IFERROR(INDEX(대상목록!$C$3:$C$302,MATCH($B181,대상목록!$A$3:$A$302,0)),""))</f>
        <v/>
      </c>
      <c r="D181" s="9"/>
      <c r="E181" s="14"/>
      <c r="F181" s="15" t="str">
        <f aca="false">IF($E181="","",MONTH($E181))</f>
        <v/>
      </c>
      <c r="G181" s="15" t="str">
        <f aca="false">IF($E181="","",DAY($E181))</f>
        <v/>
      </c>
      <c r="H181" s="16" t="str">
        <f aca="true">IF($E181="","",IF(DATE(YEAR(TODAY()),$F181,$G181)&lt;TODAY(),DATE(YEAR(TODAY())+1,$F181,$G181),DATE(YEAR(TODAY()),$F181,$G181)))</f>
        <v/>
      </c>
      <c r="I181" s="15" t="str">
        <f aca="true">IF($H181="","",$H181-TODAY())</f>
        <v/>
      </c>
      <c r="J181" s="10"/>
    </row>
    <row r="182" customFormat="false" ht="15" hidden="false" customHeight="true" outlineLevel="0" collapsed="false">
      <c r="A182" s="13" t="str">
        <f aca="false">IF($B182="","",ROW()-2)</f>
        <v/>
      </c>
      <c r="B182" s="9"/>
      <c r="C182" s="13" t="str">
        <f aca="false">IF($B182="","",IFERROR(INDEX(대상목록!$C$3:$C$302,MATCH($B182,대상목록!$A$3:$A$302,0)),""))</f>
        <v/>
      </c>
      <c r="D182" s="9"/>
      <c r="E182" s="14"/>
      <c r="F182" s="15" t="str">
        <f aca="false">IF($E182="","",MONTH($E182))</f>
        <v/>
      </c>
      <c r="G182" s="15" t="str">
        <f aca="false">IF($E182="","",DAY($E182))</f>
        <v/>
      </c>
      <c r="H182" s="16" t="str">
        <f aca="true">IF($E182="","",IF(DATE(YEAR(TODAY()),$F182,$G182)&lt;TODAY(),DATE(YEAR(TODAY())+1,$F182,$G182),DATE(YEAR(TODAY()),$F182,$G182)))</f>
        <v/>
      </c>
      <c r="I182" s="15" t="str">
        <f aca="true">IF($H182="","",$H182-TODAY())</f>
        <v/>
      </c>
      <c r="J182" s="10"/>
    </row>
    <row r="183" customFormat="false" ht="15" hidden="false" customHeight="true" outlineLevel="0" collapsed="false">
      <c r="A183" s="13" t="str">
        <f aca="false">IF($B183="","",ROW()-2)</f>
        <v/>
      </c>
      <c r="B183" s="9"/>
      <c r="C183" s="13" t="str">
        <f aca="false">IF($B183="","",IFERROR(INDEX(대상목록!$C$3:$C$302,MATCH($B183,대상목록!$A$3:$A$302,0)),""))</f>
        <v/>
      </c>
      <c r="D183" s="9"/>
      <c r="E183" s="14"/>
      <c r="F183" s="15" t="str">
        <f aca="false">IF($E183="","",MONTH($E183))</f>
        <v/>
      </c>
      <c r="G183" s="15" t="str">
        <f aca="false">IF($E183="","",DAY($E183))</f>
        <v/>
      </c>
      <c r="H183" s="16" t="str">
        <f aca="true">IF($E183="","",IF(DATE(YEAR(TODAY()),$F183,$G183)&lt;TODAY(),DATE(YEAR(TODAY())+1,$F183,$G183),DATE(YEAR(TODAY()),$F183,$G183)))</f>
        <v/>
      </c>
      <c r="I183" s="15" t="str">
        <f aca="true">IF($H183="","",$H183-TODAY())</f>
        <v/>
      </c>
      <c r="J183" s="10"/>
    </row>
    <row r="184" customFormat="false" ht="15" hidden="false" customHeight="true" outlineLevel="0" collapsed="false">
      <c r="A184" s="13" t="str">
        <f aca="false">IF($B184="","",ROW()-2)</f>
        <v/>
      </c>
      <c r="B184" s="9"/>
      <c r="C184" s="13" t="str">
        <f aca="false">IF($B184="","",IFERROR(INDEX(대상목록!$C$3:$C$302,MATCH($B184,대상목록!$A$3:$A$302,0)),""))</f>
        <v/>
      </c>
      <c r="D184" s="9"/>
      <c r="E184" s="14"/>
      <c r="F184" s="15" t="str">
        <f aca="false">IF($E184="","",MONTH($E184))</f>
        <v/>
      </c>
      <c r="G184" s="15" t="str">
        <f aca="false">IF($E184="","",DAY($E184))</f>
        <v/>
      </c>
      <c r="H184" s="16" t="str">
        <f aca="true">IF($E184="","",IF(DATE(YEAR(TODAY()),$F184,$G184)&lt;TODAY(),DATE(YEAR(TODAY())+1,$F184,$G184),DATE(YEAR(TODAY()),$F184,$G184)))</f>
        <v/>
      </c>
      <c r="I184" s="15" t="str">
        <f aca="true">IF($H184="","",$H184-TODAY())</f>
        <v/>
      </c>
      <c r="J184" s="10"/>
    </row>
    <row r="185" customFormat="false" ht="15" hidden="false" customHeight="true" outlineLevel="0" collapsed="false">
      <c r="A185" s="13" t="str">
        <f aca="false">IF($B185="","",ROW()-2)</f>
        <v/>
      </c>
      <c r="B185" s="9"/>
      <c r="C185" s="13" t="str">
        <f aca="false">IF($B185="","",IFERROR(INDEX(대상목록!$C$3:$C$302,MATCH($B185,대상목록!$A$3:$A$302,0)),""))</f>
        <v/>
      </c>
      <c r="D185" s="9"/>
      <c r="E185" s="14"/>
      <c r="F185" s="15" t="str">
        <f aca="false">IF($E185="","",MONTH($E185))</f>
        <v/>
      </c>
      <c r="G185" s="15" t="str">
        <f aca="false">IF($E185="","",DAY($E185))</f>
        <v/>
      </c>
      <c r="H185" s="16" t="str">
        <f aca="true">IF($E185="","",IF(DATE(YEAR(TODAY()),$F185,$G185)&lt;TODAY(),DATE(YEAR(TODAY())+1,$F185,$G185),DATE(YEAR(TODAY()),$F185,$G185)))</f>
        <v/>
      </c>
      <c r="I185" s="15" t="str">
        <f aca="true">IF($H185="","",$H185-TODAY())</f>
        <v/>
      </c>
      <c r="J185" s="10"/>
    </row>
    <row r="186" customFormat="false" ht="15" hidden="false" customHeight="true" outlineLevel="0" collapsed="false">
      <c r="A186" s="13" t="str">
        <f aca="false">IF($B186="","",ROW()-2)</f>
        <v/>
      </c>
      <c r="B186" s="9"/>
      <c r="C186" s="13" t="str">
        <f aca="false">IF($B186="","",IFERROR(INDEX(대상목록!$C$3:$C$302,MATCH($B186,대상목록!$A$3:$A$302,0)),""))</f>
        <v/>
      </c>
      <c r="D186" s="9"/>
      <c r="E186" s="14"/>
      <c r="F186" s="15" t="str">
        <f aca="false">IF($E186="","",MONTH($E186))</f>
        <v/>
      </c>
      <c r="G186" s="15" t="str">
        <f aca="false">IF($E186="","",DAY($E186))</f>
        <v/>
      </c>
      <c r="H186" s="16" t="str">
        <f aca="true">IF($E186="","",IF(DATE(YEAR(TODAY()),$F186,$G186)&lt;TODAY(),DATE(YEAR(TODAY())+1,$F186,$G186),DATE(YEAR(TODAY()),$F186,$G186)))</f>
        <v/>
      </c>
      <c r="I186" s="15" t="str">
        <f aca="true">IF($H186="","",$H186-TODAY())</f>
        <v/>
      </c>
      <c r="J186" s="10"/>
    </row>
    <row r="187" customFormat="false" ht="15" hidden="false" customHeight="true" outlineLevel="0" collapsed="false">
      <c r="A187" s="13" t="str">
        <f aca="false">IF($B187="","",ROW()-2)</f>
        <v/>
      </c>
      <c r="B187" s="9"/>
      <c r="C187" s="13" t="str">
        <f aca="false">IF($B187="","",IFERROR(INDEX(대상목록!$C$3:$C$302,MATCH($B187,대상목록!$A$3:$A$302,0)),""))</f>
        <v/>
      </c>
      <c r="D187" s="9"/>
      <c r="E187" s="14"/>
      <c r="F187" s="15" t="str">
        <f aca="false">IF($E187="","",MONTH($E187))</f>
        <v/>
      </c>
      <c r="G187" s="15" t="str">
        <f aca="false">IF($E187="","",DAY($E187))</f>
        <v/>
      </c>
      <c r="H187" s="16" t="str">
        <f aca="true">IF($E187="","",IF(DATE(YEAR(TODAY()),$F187,$G187)&lt;TODAY(),DATE(YEAR(TODAY())+1,$F187,$G187),DATE(YEAR(TODAY()),$F187,$G187)))</f>
        <v/>
      </c>
      <c r="I187" s="15" t="str">
        <f aca="true">IF($H187="","",$H187-TODAY())</f>
        <v/>
      </c>
      <c r="J187" s="10"/>
    </row>
    <row r="188" customFormat="false" ht="15" hidden="false" customHeight="true" outlineLevel="0" collapsed="false">
      <c r="A188" s="13" t="str">
        <f aca="false">IF($B188="","",ROW()-2)</f>
        <v/>
      </c>
      <c r="B188" s="9"/>
      <c r="C188" s="13" t="str">
        <f aca="false">IF($B188="","",IFERROR(INDEX(대상목록!$C$3:$C$302,MATCH($B188,대상목록!$A$3:$A$302,0)),""))</f>
        <v/>
      </c>
      <c r="D188" s="9"/>
      <c r="E188" s="14"/>
      <c r="F188" s="15" t="str">
        <f aca="false">IF($E188="","",MONTH($E188))</f>
        <v/>
      </c>
      <c r="G188" s="15" t="str">
        <f aca="false">IF($E188="","",DAY($E188))</f>
        <v/>
      </c>
      <c r="H188" s="16" t="str">
        <f aca="true">IF($E188="","",IF(DATE(YEAR(TODAY()),$F188,$G188)&lt;TODAY(),DATE(YEAR(TODAY())+1,$F188,$G188),DATE(YEAR(TODAY()),$F188,$G188)))</f>
        <v/>
      </c>
      <c r="I188" s="15" t="str">
        <f aca="true">IF($H188="","",$H188-TODAY())</f>
        <v/>
      </c>
      <c r="J188" s="10"/>
    </row>
    <row r="189" customFormat="false" ht="15" hidden="false" customHeight="true" outlineLevel="0" collapsed="false">
      <c r="A189" s="13" t="str">
        <f aca="false">IF($B189="","",ROW()-2)</f>
        <v/>
      </c>
      <c r="B189" s="9"/>
      <c r="C189" s="13" t="str">
        <f aca="false">IF($B189="","",IFERROR(INDEX(대상목록!$C$3:$C$302,MATCH($B189,대상목록!$A$3:$A$302,0)),""))</f>
        <v/>
      </c>
      <c r="D189" s="9"/>
      <c r="E189" s="14"/>
      <c r="F189" s="15" t="str">
        <f aca="false">IF($E189="","",MONTH($E189))</f>
        <v/>
      </c>
      <c r="G189" s="15" t="str">
        <f aca="false">IF($E189="","",DAY($E189))</f>
        <v/>
      </c>
      <c r="H189" s="16" t="str">
        <f aca="true">IF($E189="","",IF(DATE(YEAR(TODAY()),$F189,$G189)&lt;TODAY(),DATE(YEAR(TODAY())+1,$F189,$G189),DATE(YEAR(TODAY()),$F189,$G189)))</f>
        <v/>
      </c>
      <c r="I189" s="15" t="str">
        <f aca="true">IF($H189="","",$H189-TODAY())</f>
        <v/>
      </c>
      <c r="J189" s="10"/>
    </row>
    <row r="190" customFormat="false" ht="15" hidden="false" customHeight="true" outlineLevel="0" collapsed="false">
      <c r="A190" s="13" t="str">
        <f aca="false">IF($B190="","",ROW()-2)</f>
        <v/>
      </c>
      <c r="B190" s="9"/>
      <c r="C190" s="13" t="str">
        <f aca="false">IF($B190="","",IFERROR(INDEX(대상목록!$C$3:$C$302,MATCH($B190,대상목록!$A$3:$A$302,0)),""))</f>
        <v/>
      </c>
      <c r="D190" s="9"/>
      <c r="E190" s="14"/>
      <c r="F190" s="15" t="str">
        <f aca="false">IF($E190="","",MONTH($E190))</f>
        <v/>
      </c>
      <c r="G190" s="15" t="str">
        <f aca="false">IF($E190="","",DAY($E190))</f>
        <v/>
      </c>
      <c r="H190" s="16" t="str">
        <f aca="true">IF($E190="","",IF(DATE(YEAR(TODAY()),$F190,$G190)&lt;TODAY(),DATE(YEAR(TODAY())+1,$F190,$G190),DATE(YEAR(TODAY()),$F190,$G190)))</f>
        <v/>
      </c>
      <c r="I190" s="15" t="str">
        <f aca="true">IF($H190="","",$H190-TODAY())</f>
        <v/>
      </c>
      <c r="J190" s="10"/>
    </row>
    <row r="191" customFormat="false" ht="15" hidden="false" customHeight="true" outlineLevel="0" collapsed="false">
      <c r="A191" s="13" t="str">
        <f aca="false">IF($B191="","",ROW()-2)</f>
        <v/>
      </c>
      <c r="B191" s="9"/>
      <c r="C191" s="13" t="str">
        <f aca="false">IF($B191="","",IFERROR(INDEX(대상목록!$C$3:$C$302,MATCH($B191,대상목록!$A$3:$A$302,0)),""))</f>
        <v/>
      </c>
      <c r="D191" s="9"/>
      <c r="E191" s="14"/>
      <c r="F191" s="15" t="str">
        <f aca="false">IF($E191="","",MONTH($E191))</f>
        <v/>
      </c>
      <c r="G191" s="15" t="str">
        <f aca="false">IF($E191="","",DAY($E191))</f>
        <v/>
      </c>
      <c r="H191" s="16" t="str">
        <f aca="true">IF($E191="","",IF(DATE(YEAR(TODAY()),$F191,$G191)&lt;TODAY(),DATE(YEAR(TODAY())+1,$F191,$G191),DATE(YEAR(TODAY()),$F191,$G191)))</f>
        <v/>
      </c>
      <c r="I191" s="15" t="str">
        <f aca="true">IF($H191="","",$H191-TODAY())</f>
        <v/>
      </c>
      <c r="J191" s="10"/>
    </row>
    <row r="192" customFormat="false" ht="15" hidden="false" customHeight="true" outlineLevel="0" collapsed="false">
      <c r="A192" s="13" t="str">
        <f aca="false">IF($B192="","",ROW()-2)</f>
        <v/>
      </c>
      <c r="B192" s="9"/>
      <c r="C192" s="13" t="str">
        <f aca="false">IF($B192="","",IFERROR(INDEX(대상목록!$C$3:$C$302,MATCH($B192,대상목록!$A$3:$A$302,0)),""))</f>
        <v/>
      </c>
      <c r="D192" s="9"/>
      <c r="E192" s="14"/>
      <c r="F192" s="15" t="str">
        <f aca="false">IF($E192="","",MONTH($E192))</f>
        <v/>
      </c>
      <c r="G192" s="15" t="str">
        <f aca="false">IF($E192="","",DAY($E192))</f>
        <v/>
      </c>
      <c r="H192" s="16" t="str">
        <f aca="true">IF($E192="","",IF(DATE(YEAR(TODAY()),$F192,$G192)&lt;TODAY(),DATE(YEAR(TODAY())+1,$F192,$G192),DATE(YEAR(TODAY()),$F192,$G192)))</f>
        <v/>
      </c>
      <c r="I192" s="15" t="str">
        <f aca="true">IF($H192="","",$H192-TODAY())</f>
        <v/>
      </c>
      <c r="J192" s="10"/>
    </row>
    <row r="193" customFormat="false" ht="15" hidden="false" customHeight="true" outlineLevel="0" collapsed="false">
      <c r="A193" s="13" t="str">
        <f aca="false">IF($B193="","",ROW()-2)</f>
        <v/>
      </c>
      <c r="B193" s="9"/>
      <c r="C193" s="13" t="str">
        <f aca="false">IF($B193="","",IFERROR(INDEX(대상목록!$C$3:$C$302,MATCH($B193,대상목록!$A$3:$A$302,0)),""))</f>
        <v/>
      </c>
      <c r="D193" s="9"/>
      <c r="E193" s="14"/>
      <c r="F193" s="15" t="str">
        <f aca="false">IF($E193="","",MONTH($E193))</f>
        <v/>
      </c>
      <c r="G193" s="15" t="str">
        <f aca="false">IF($E193="","",DAY($E193))</f>
        <v/>
      </c>
      <c r="H193" s="16" t="str">
        <f aca="true">IF($E193="","",IF(DATE(YEAR(TODAY()),$F193,$G193)&lt;TODAY(),DATE(YEAR(TODAY())+1,$F193,$G193),DATE(YEAR(TODAY()),$F193,$G193)))</f>
        <v/>
      </c>
      <c r="I193" s="15" t="str">
        <f aca="true">IF($H193="","",$H193-TODAY())</f>
        <v/>
      </c>
      <c r="J193" s="10"/>
    </row>
    <row r="194" customFormat="false" ht="15" hidden="false" customHeight="true" outlineLevel="0" collapsed="false">
      <c r="A194" s="13" t="str">
        <f aca="false">IF($B194="","",ROW()-2)</f>
        <v/>
      </c>
      <c r="B194" s="9"/>
      <c r="C194" s="13" t="str">
        <f aca="false">IF($B194="","",IFERROR(INDEX(대상목록!$C$3:$C$302,MATCH($B194,대상목록!$A$3:$A$302,0)),""))</f>
        <v/>
      </c>
      <c r="D194" s="9"/>
      <c r="E194" s="14"/>
      <c r="F194" s="15" t="str">
        <f aca="false">IF($E194="","",MONTH($E194))</f>
        <v/>
      </c>
      <c r="G194" s="15" t="str">
        <f aca="false">IF($E194="","",DAY($E194))</f>
        <v/>
      </c>
      <c r="H194" s="16" t="str">
        <f aca="true">IF($E194="","",IF(DATE(YEAR(TODAY()),$F194,$G194)&lt;TODAY(),DATE(YEAR(TODAY())+1,$F194,$G194),DATE(YEAR(TODAY()),$F194,$G194)))</f>
        <v/>
      </c>
      <c r="I194" s="15" t="str">
        <f aca="true">IF($H194="","",$H194-TODAY())</f>
        <v/>
      </c>
      <c r="J194" s="10"/>
    </row>
    <row r="195" customFormat="false" ht="15" hidden="false" customHeight="true" outlineLevel="0" collapsed="false">
      <c r="A195" s="13" t="str">
        <f aca="false">IF($B195="","",ROW()-2)</f>
        <v/>
      </c>
      <c r="B195" s="9"/>
      <c r="C195" s="13" t="str">
        <f aca="false">IF($B195="","",IFERROR(INDEX(대상목록!$C$3:$C$302,MATCH($B195,대상목록!$A$3:$A$302,0)),""))</f>
        <v/>
      </c>
      <c r="D195" s="9"/>
      <c r="E195" s="14"/>
      <c r="F195" s="15" t="str">
        <f aca="false">IF($E195="","",MONTH($E195))</f>
        <v/>
      </c>
      <c r="G195" s="15" t="str">
        <f aca="false">IF($E195="","",DAY($E195))</f>
        <v/>
      </c>
      <c r="H195" s="16" t="str">
        <f aca="true">IF($E195="","",IF(DATE(YEAR(TODAY()),$F195,$G195)&lt;TODAY(),DATE(YEAR(TODAY())+1,$F195,$G195),DATE(YEAR(TODAY()),$F195,$G195)))</f>
        <v/>
      </c>
      <c r="I195" s="15" t="str">
        <f aca="true">IF($H195="","",$H195-TODAY())</f>
        <v/>
      </c>
      <c r="J195" s="10"/>
    </row>
    <row r="196" customFormat="false" ht="15" hidden="false" customHeight="true" outlineLevel="0" collapsed="false">
      <c r="A196" s="13" t="str">
        <f aca="false">IF($B196="","",ROW()-2)</f>
        <v/>
      </c>
      <c r="B196" s="9"/>
      <c r="C196" s="13" t="str">
        <f aca="false">IF($B196="","",IFERROR(INDEX(대상목록!$C$3:$C$302,MATCH($B196,대상목록!$A$3:$A$302,0)),""))</f>
        <v/>
      </c>
      <c r="D196" s="9"/>
      <c r="E196" s="14"/>
      <c r="F196" s="15" t="str">
        <f aca="false">IF($E196="","",MONTH($E196))</f>
        <v/>
      </c>
      <c r="G196" s="15" t="str">
        <f aca="false">IF($E196="","",DAY($E196))</f>
        <v/>
      </c>
      <c r="H196" s="16" t="str">
        <f aca="true">IF($E196="","",IF(DATE(YEAR(TODAY()),$F196,$G196)&lt;TODAY(),DATE(YEAR(TODAY())+1,$F196,$G196),DATE(YEAR(TODAY()),$F196,$G196)))</f>
        <v/>
      </c>
      <c r="I196" s="15" t="str">
        <f aca="true">IF($H196="","",$H196-TODAY())</f>
        <v/>
      </c>
      <c r="J196" s="10"/>
    </row>
    <row r="197" customFormat="false" ht="15" hidden="false" customHeight="true" outlineLevel="0" collapsed="false">
      <c r="A197" s="13" t="str">
        <f aca="false">IF($B197="","",ROW()-2)</f>
        <v/>
      </c>
      <c r="B197" s="9"/>
      <c r="C197" s="13" t="str">
        <f aca="false">IF($B197="","",IFERROR(INDEX(대상목록!$C$3:$C$302,MATCH($B197,대상목록!$A$3:$A$302,0)),""))</f>
        <v/>
      </c>
      <c r="D197" s="9"/>
      <c r="E197" s="14"/>
      <c r="F197" s="15" t="str">
        <f aca="false">IF($E197="","",MONTH($E197))</f>
        <v/>
      </c>
      <c r="G197" s="15" t="str">
        <f aca="false">IF($E197="","",DAY($E197))</f>
        <v/>
      </c>
      <c r="H197" s="16" t="str">
        <f aca="true">IF($E197="","",IF(DATE(YEAR(TODAY()),$F197,$G197)&lt;TODAY(),DATE(YEAR(TODAY())+1,$F197,$G197),DATE(YEAR(TODAY()),$F197,$G197)))</f>
        <v/>
      </c>
      <c r="I197" s="15" t="str">
        <f aca="true">IF($H197="","",$H197-TODAY())</f>
        <v/>
      </c>
      <c r="J197" s="10"/>
    </row>
    <row r="198" customFormat="false" ht="15" hidden="false" customHeight="true" outlineLevel="0" collapsed="false">
      <c r="A198" s="13" t="str">
        <f aca="false">IF($B198="","",ROW()-2)</f>
        <v/>
      </c>
      <c r="B198" s="9"/>
      <c r="C198" s="13" t="str">
        <f aca="false">IF($B198="","",IFERROR(INDEX(대상목록!$C$3:$C$302,MATCH($B198,대상목록!$A$3:$A$302,0)),""))</f>
        <v/>
      </c>
      <c r="D198" s="9"/>
      <c r="E198" s="14"/>
      <c r="F198" s="15" t="str">
        <f aca="false">IF($E198="","",MONTH($E198))</f>
        <v/>
      </c>
      <c r="G198" s="15" t="str">
        <f aca="false">IF($E198="","",DAY($E198))</f>
        <v/>
      </c>
      <c r="H198" s="16" t="str">
        <f aca="true">IF($E198="","",IF(DATE(YEAR(TODAY()),$F198,$G198)&lt;TODAY(),DATE(YEAR(TODAY())+1,$F198,$G198),DATE(YEAR(TODAY()),$F198,$G198)))</f>
        <v/>
      </c>
      <c r="I198" s="15" t="str">
        <f aca="true">IF($H198="","",$H198-TODAY())</f>
        <v/>
      </c>
      <c r="J198" s="10"/>
    </row>
    <row r="199" customFormat="false" ht="15" hidden="false" customHeight="true" outlineLevel="0" collapsed="false">
      <c r="A199" s="13" t="str">
        <f aca="false">IF($B199="","",ROW()-2)</f>
        <v/>
      </c>
      <c r="B199" s="9"/>
      <c r="C199" s="13" t="str">
        <f aca="false">IF($B199="","",IFERROR(INDEX(대상목록!$C$3:$C$302,MATCH($B199,대상목록!$A$3:$A$302,0)),""))</f>
        <v/>
      </c>
      <c r="D199" s="9"/>
      <c r="E199" s="14"/>
      <c r="F199" s="15" t="str">
        <f aca="false">IF($E199="","",MONTH($E199))</f>
        <v/>
      </c>
      <c r="G199" s="15" t="str">
        <f aca="false">IF($E199="","",DAY($E199))</f>
        <v/>
      </c>
      <c r="H199" s="16" t="str">
        <f aca="true">IF($E199="","",IF(DATE(YEAR(TODAY()),$F199,$G199)&lt;TODAY(),DATE(YEAR(TODAY())+1,$F199,$G199),DATE(YEAR(TODAY()),$F199,$G199)))</f>
        <v/>
      </c>
      <c r="I199" s="15" t="str">
        <f aca="true">IF($H199="","",$H199-TODAY())</f>
        <v/>
      </c>
      <c r="J199" s="10"/>
    </row>
    <row r="200" customFormat="false" ht="15" hidden="false" customHeight="true" outlineLevel="0" collapsed="false">
      <c r="A200" s="13" t="str">
        <f aca="false">IF($B200="","",ROW()-2)</f>
        <v/>
      </c>
      <c r="B200" s="9"/>
      <c r="C200" s="13" t="str">
        <f aca="false">IF($B200="","",IFERROR(INDEX(대상목록!$C$3:$C$302,MATCH($B200,대상목록!$A$3:$A$302,0)),""))</f>
        <v/>
      </c>
      <c r="D200" s="9"/>
      <c r="E200" s="14"/>
      <c r="F200" s="15" t="str">
        <f aca="false">IF($E200="","",MONTH($E200))</f>
        <v/>
      </c>
      <c r="G200" s="15" t="str">
        <f aca="false">IF($E200="","",DAY($E200))</f>
        <v/>
      </c>
      <c r="H200" s="16" t="str">
        <f aca="true">IF($E200="","",IF(DATE(YEAR(TODAY()),$F200,$G200)&lt;TODAY(),DATE(YEAR(TODAY())+1,$F200,$G200),DATE(YEAR(TODAY()),$F200,$G200)))</f>
        <v/>
      </c>
      <c r="I200" s="15" t="str">
        <f aca="true">IF($H200="","",$H200-TODAY())</f>
        <v/>
      </c>
      <c r="J200" s="10"/>
    </row>
    <row r="201" customFormat="false" ht="15" hidden="false" customHeight="true" outlineLevel="0" collapsed="false">
      <c r="A201" s="13" t="str">
        <f aca="false">IF($B201="","",ROW()-2)</f>
        <v/>
      </c>
      <c r="B201" s="9"/>
      <c r="C201" s="13" t="str">
        <f aca="false">IF($B201="","",IFERROR(INDEX(대상목록!$C$3:$C$302,MATCH($B201,대상목록!$A$3:$A$302,0)),""))</f>
        <v/>
      </c>
      <c r="D201" s="9"/>
      <c r="E201" s="14"/>
      <c r="F201" s="15" t="str">
        <f aca="false">IF($E201="","",MONTH($E201))</f>
        <v/>
      </c>
      <c r="G201" s="15" t="str">
        <f aca="false">IF($E201="","",DAY($E201))</f>
        <v/>
      </c>
      <c r="H201" s="16" t="str">
        <f aca="true">IF($E201="","",IF(DATE(YEAR(TODAY()),$F201,$G201)&lt;TODAY(),DATE(YEAR(TODAY())+1,$F201,$G201),DATE(YEAR(TODAY()),$F201,$G201)))</f>
        <v/>
      </c>
      <c r="I201" s="15" t="str">
        <f aca="true">IF($H201="","",$H201-TODAY())</f>
        <v/>
      </c>
      <c r="J201" s="10"/>
    </row>
    <row r="202" customFormat="false" ht="15" hidden="false" customHeight="true" outlineLevel="0" collapsed="false">
      <c r="A202" s="13" t="str">
        <f aca="false">IF($B202="","",ROW()-2)</f>
        <v/>
      </c>
      <c r="B202" s="9"/>
      <c r="C202" s="13" t="str">
        <f aca="false">IF($B202="","",IFERROR(INDEX(대상목록!$C$3:$C$302,MATCH($B202,대상목록!$A$3:$A$302,0)),""))</f>
        <v/>
      </c>
      <c r="D202" s="9"/>
      <c r="E202" s="14"/>
      <c r="F202" s="15" t="str">
        <f aca="false">IF($E202="","",MONTH($E202))</f>
        <v/>
      </c>
      <c r="G202" s="15" t="str">
        <f aca="false">IF($E202="","",DAY($E202))</f>
        <v/>
      </c>
      <c r="H202" s="16" t="str">
        <f aca="true">IF($E202="","",IF(DATE(YEAR(TODAY()),$F202,$G202)&lt;TODAY(),DATE(YEAR(TODAY())+1,$F202,$G202),DATE(YEAR(TODAY()),$F202,$G202)))</f>
        <v/>
      </c>
      <c r="I202" s="15" t="str">
        <f aca="true">IF($H202="","",$H202-TODAY())</f>
        <v/>
      </c>
      <c r="J202" s="10"/>
    </row>
    <row r="203" customFormat="false" ht="15" hidden="false" customHeight="true" outlineLevel="0" collapsed="false">
      <c r="A203" s="13" t="str">
        <f aca="false">IF($B203="","",ROW()-2)</f>
        <v/>
      </c>
      <c r="B203" s="9"/>
      <c r="C203" s="13" t="str">
        <f aca="false">IF($B203="","",IFERROR(INDEX(대상목록!$C$3:$C$302,MATCH($B203,대상목록!$A$3:$A$302,0)),""))</f>
        <v/>
      </c>
      <c r="D203" s="9"/>
      <c r="E203" s="14"/>
      <c r="F203" s="15" t="str">
        <f aca="false">IF($E203="","",MONTH($E203))</f>
        <v/>
      </c>
      <c r="G203" s="15" t="str">
        <f aca="false">IF($E203="","",DAY($E203))</f>
        <v/>
      </c>
      <c r="H203" s="16" t="str">
        <f aca="true">IF($E203="","",IF(DATE(YEAR(TODAY()),$F203,$G203)&lt;TODAY(),DATE(YEAR(TODAY())+1,$F203,$G203),DATE(YEAR(TODAY()),$F203,$G203)))</f>
        <v/>
      </c>
      <c r="I203" s="15" t="str">
        <f aca="true">IF($H203="","",$H203-TODAY())</f>
        <v/>
      </c>
      <c r="J203" s="10"/>
    </row>
    <row r="204" customFormat="false" ht="15" hidden="false" customHeight="true" outlineLevel="0" collapsed="false">
      <c r="A204" s="13" t="str">
        <f aca="false">IF($B204="","",ROW()-2)</f>
        <v/>
      </c>
      <c r="B204" s="9"/>
      <c r="C204" s="13" t="str">
        <f aca="false">IF($B204="","",IFERROR(INDEX(대상목록!$C$3:$C$302,MATCH($B204,대상목록!$A$3:$A$302,0)),""))</f>
        <v/>
      </c>
      <c r="D204" s="9"/>
      <c r="E204" s="14"/>
      <c r="F204" s="15" t="str">
        <f aca="false">IF($E204="","",MONTH($E204))</f>
        <v/>
      </c>
      <c r="G204" s="15" t="str">
        <f aca="false">IF($E204="","",DAY($E204))</f>
        <v/>
      </c>
      <c r="H204" s="16" t="str">
        <f aca="true">IF($E204="","",IF(DATE(YEAR(TODAY()),$F204,$G204)&lt;TODAY(),DATE(YEAR(TODAY())+1,$F204,$G204),DATE(YEAR(TODAY()),$F204,$G204)))</f>
        <v/>
      </c>
      <c r="I204" s="15" t="str">
        <f aca="true">IF($H204="","",$H204-TODAY())</f>
        <v/>
      </c>
      <c r="J204" s="10"/>
    </row>
    <row r="205" customFormat="false" ht="15" hidden="false" customHeight="true" outlineLevel="0" collapsed="false">
      <c r="A205" s="13" t="str">
        <f aca="false">IF($B205="","",ROW()-2)</f>
        <v/>
      </c>
      <c r="B205" s="9"/>
      <c r="C205" s="13" t="str">
        <f aca="false">IF($B205="","",IFERROR(INDEX(대상목록!$C$3:$C$302,MATCH($B205,대상목록!$A$3:$A$302,0)),""))</f>
        <v/>
      </c>
      <c r="D205" s="9"/>
      <c r="E205" s="14"/>
      <c r="F205" s="15" t="str">
        <f aca="false">IF($E205="","",MONTH($E205))</f>
        <v/>
      </c>
      <c r="G205" s="15" t="str">
        <f aca="false">IF($E205="","",DAY($E205))</f>
        <v/>
      </c>
      <c r="H205" s="16" t="str">
        <f aca="true">IF($E205="","",IF(DATE(YEAR(TODAY()),$F205,$G205)&lt;TODAY(),DATE(YEAR(TODAY())+1,$F205,$G205),DATE(YEAR(TODAY()),$F205,$G205)))</f>
        <v/>
      </c>
      <c r="I205" s="15" t="str">
        <f aca="true">IF($H205="","",$H205-TODAY())</f>
        <v/>
      </c>
      <c r="J205" s="10"/>
    </row>
    <row r="206" customFormat="false" ht="15" hidden="false" customHeight="true" outlineLevel="0" collapsed="false">
      <c r="A206" s="13" t="str">
        <f aca="false">IF($B206="","",ROW()-2)</f>
        <v/>
      </c>
      <c r="B206" s="9"/>
      <c r="C206" s="13" t="str">
        <f aca="false">IF($B206="","",IFERROR(INDEX(대상목록!$C$3:$C$302,MATCH($B206,대상목록!$A$3:$A$302,0)),""))</f>
        <v/>
      </c>
      <c r="D206" s="9"/>
      <c r="E206" s="14"/>
      <c r="F206" s="15" t="str">
        <f aca="false">IF($E206="","",MONTH($E206))</f>
        <v/>
      </c>
      <c r="G206" s="15" t="str">
        <f aca="false">IF($E206="","",DAY($E206))</f>
        <v/>
      </c>
      <c r="H206" s="16" t="str">
        <f aca="true">IF($E206="","",IF(DATE(YEAR(TODAY()),$F206,$G206)&lt;TODAY(),DATE(YEAR(TODAY())+1,$F206,$G206),DATE(YEAR(TODAY()),$F206,$G206)))</f>
        <v/>
      </c>
      <c r="I206" s="15" t="str">
        <f aca="true">IF($H206="","",$H206-TODAY())</f>
        <v/>
      </c>
      <c r="J206" s="10"/>
    </row>
    <row r="207" customFormat="false" ht="15" hidden="false" customHeight="true" outlineLevel="0" collapsed="false">
      <c r="A207" s="13" t="str">
        <f aca="false">IF($B207="","",ROW()-2)</f>
        <v/>
      </c>
      <c r="B207" s="9"/>
      <c r="C207" s="13" t="str">
        <f aca="false">IF($B207="","",IFERROR(INDEX(대상목록!$C$3:$C$302,MATCH($B207,대상목록!$A$3:$A$302,0)),""))</f>
        <v/>
      </c>
      <c r="D207" s="9"/>
      <c r="E207" s="14"/>
      <c r="F207" s="15" t="str">
        <f aca="false">IF($E207="","",MONTH($E207))</f>
        <v/>
      </c>
      <c r="G207" s="15" t="str">
        <f aca="false">IF($E207="","",DAY($E207))</f>
        <v/>
      </c>
      <c r="H207" s="16" t="str">
        <f aca="true">IF($E207="","",IF(DATE(YEAR(TODAY()),$F207,$G207)&lt;TODAY(),DATE(YEAR(TODAY())+1,$F207,$G207),DATE(YEAR(TODAY()),$F207,$G207)))</f>
        <v/>
      </c>
      <c r="I207" s="15" t="str">
        <f aca="true">IF($H207="","",$H207-TODAY())</f>
        <v/>
      </c>
      <c r="J207" s="10"/>
    </row>
    <row r="208" customFormat="false" ht="15" hidden="false" customHeight="true" outlineLevel="0" collapsed="false">
      <c r="A208" s="13" t="str">
        <f aca="false">IF($B208="","",ROW()-2)</f>
        <v/>
      </c>
      <c r="B208" s="9"/>
      <c r="C208" s="13" t="str">
        <f aca="false">IF($B208="","",IFERROR(INDEX(대상목록!$C$3:$C$302,MATCH($B208,대상목록!$A$3:$A$302,0)),""))</f>
        <v/>
      </c>
      <c r="D208" s="9"/>
      <c r="E208" s="14"/>
      <c r="F208" s="15" t="str">
        <f aca="false">IF($E208="","",MONTH($E208))</f>
        <v/>
      </c>
      <c r="G208" s="15" t="str">
        <f aca="false">IF($E208="","",DAY($E208))</f>
        <v/>
      </c>
      <c r="H208" s="16" t="str">
        <f aca="true">IF($E208="","",IF(DATE(YEAR(TODAY()),$F208,$G208)&lt;TODAY(),DATE(YEAR(TODAY())+1,$F208,$G208),DATE(YEAR(TODAY()),$F208,$G208)))</f>
        <v/>
      </c>
      <c r="I208" s="15" t="str">
        <f aca="true">IF($H208="","",$H208-TODAY())</f>
        <v/>
      </c>
      <c r="J208" s="10"/>
    </row>
    <row r="209" customFormat="false" ht="15" hidden="false" customHeight="true" outlineLevel="0" collapsed="false">
      <c r="A209" s="13" t="str">
        <f aca="false">IF($B209="","",ROW()-2)</f>
        <v/>
      </c>
      <c r="B209" s="9"/>
      <c r="C209" s="13" t="str">
        <f aca="false">IF($B209="","",IFERROR(INDEX(대상목록!$C$3:$C$302,MATCH($B209,대상목록!$A$3:$A$302,0)),""))</f>
        <v/>
      </c>
      <c r="D209" s="9"/>
      <c r="E209" s="14"/>
      <c r="F209" s="15" t="str">
        <f aca="false">IF($E209="","",MONTH($E209))</f>
        <v/>
      </c>
      <c r="G209" s="15" t="str">
        <f aca="false">IF($E209="","",DAY($E209))</f>
        <v/>
      </c>
      <c r="H209" s="16" t="str">
        <f aca="true">IF($E209="","",IF(DATE(YEAR(TODAY()),$F209,$G209)&lt;TODAY(),DATE(YEAR(TODAY())+1,$F209,$G209),DATE(YEAR(TODAY()),$F209,$G209)))</f>
        <v/>
      </c>
      <c r="I209" s="15" t="str">
        <f aca="true">IF($H209="","",$H209-TODAY())</f>
        <v/>
      </c>
      <c r="J209" s="10"/>
    </row>
    <row r="210" customFormat="false" ht="15" hidden="false" customHeight="true" outlineLevel="0" collapsed="false">
      <c r="A210" s="13" t="str">
        <f aca="false">IF($B210="","",ROW()-2)</f>
        <v/>
      </c>
      <c r="B210" s="9"/>
      <c r="C210" s="13" t="str">
        <f aca="false">IF($B210="","",IFERROR(INDEX(대상목록!$C$3:$C$302,MATCH($B210,대상목록!$A$3:$A$302,0)),""))</f>
        <v/>
      </c>
      <c r="D210" s="9"/>
      <c r="E210" s="14"/>
      <c r="F210" s="15" t="str">
        <f aca="false">IF($E210="","",MONTH($E210))</f>
        <v/>
      </c>
      <c r="G210" s="15" t="str">
        <f aca="false">IF($E210="","",DAY($E210))</f>
        <v/>
      </c>
      <c r="H210" s="16" t="str">
        <f aca="true">IF($E210="","",IF(DATE(YEAR(TODAY()),$F210,$G210)&lt;TODAY(),DATE(YEAR(TODAY())+1,$F210,$G210),DATE(YEAR(TODAY()),$F210,$G210)))</f>
        <v/>
      </c>
      <c r="I210" s="15" t="str">
        <f aca="true">IF($H210="","",$H210-TODAY())</f>
        <v/>
      </c>
      <c r="J210" s="10"/>
    </row>
    <row r="211" customFormat="false" ht="15" hidden="false" customHeight="true" outlineLevel="0" collapsed="false">
      <c r="A211" s="13" t="str">
        <f aca="false">IF($B211="","",ROW()-2)</f>
        <v/>
      </c>
      <c r="B211" s="9"/>
      <c r="C211" s="13" t="str">
        <f aca="false">IF($B211="","",IFERROR(INDEX(대상목록!$C$3:$C$302,MATCH($B211,대상목록!$A$3:$A$302,0)),""))</f>
        <v/>
      </c>
      <c r="D211" s="9"/>
      <c r="E211" s="14"/>
      <c r="F211" s="15" t="str">
        <f aca="false">IF($E211="","",MONTH($E211))</f>
        <v/>
      </c>
      <c r="G211" s="15" t="str">
        <f aca="false">IF($E211="","",DAY($E211))</f>
        <v/>
      </c>
      <c r="H211" s="16" t="str">
        <f aca="true">IF($E211="","",IF(DATE(YEAR(TODAY()),$F211,$G211)&lt;TODAY(),DATE(YEAR(TODAY())+1,$F211,$G211),DATE(YEAR(TODAY()),$F211,$G211)))</f>
        <v/>
      </c>
      <c r="I211" s="15" t="str">
        <f aca="true">IF($H211="","",$H211-TODAY())</f>
        <v/>
      </c>
      <c r="J211" s="10"/>
    </row>
    <row r="212" customFormat="false" ht="15" hidden="false" customHeight="true" outlineLevel="0" collapsed="false">
      <c r="A212" s="13" t="str">
        <f aca="false">IF($B212="","",ROW()-2)</f>
        <v/>
      </c>
      <c r="B212" s="9"/>
      <c r="C212" s="13" t="str">
        <f aca="false">IF($B212="","",IFERROR(INDEX(대상목록!$C$3:$C$302,MATCH($B212,대상목록!$A$3:$A$302,0)),""))</f>
        <v/>
      </c>
      <c r="D212" s="9"/>
      <c r="E212" s="14"/>
      <c r="F212" s="15" t="str">
        <f aca="false">IF($E212="","",MONTH($E212))</f>
        <v/>
      </c>
      <c r="G212" s="15" t="str">
        <f aca="false">IF($E212="","",DAY($E212))</f>
        <v/>
      </c>
      <c r="H212" s="16" t="str">
        <f aca="true">IF($E212="","",IF(DATE(YEAR(TODAY()),$F212,$G212)&lt;TODAY(),DATE(YEAR(TODAY())+1,$F212,$G212),DATE(YEAR(TODAY()),$F212,$G212)))</f>
        <v/>
      </c>
      <c r="I212" s="15" t="str">
        <f aca="true">IF($H212="","",$H212-TODAY())</f>
        <v/>
      </c>
      <c r="J212" s="10"/>
    </row>
    <row r="213" customFormat="false" ht="15" hidden="false" customHeight="true" outlineLevel="0" collapsed="false">
      <c r="A213" s="13" t="str">
        <f aca="false">IF($B213="","",ROW()-2)</f>
        <v/>
      </c>
      <c r="B213" s="9"/>
      <c r="C213" s="13" t="str">
        <f aca="false">IF($B213="","",IFERROR(INDEX(대상목록!$C$3:$C$302,MATCH($B213,대상목록!$A$3:$A$302,0)),""))</f>
        <v/>
      </c>
      <c r="D213" s="9"/>
      <c r="E213" s="14"/>
      <c r="F213" s="15" t="str">
        <f aca="false">IF($E213="","",MONTH($E213))</f>
        <v/>
      </c>
      <c r="G213" s="15" t="str">
        <f aca="false">IF($E213="","",DAY($E213))</f>
        <v/>
      </c>
      <c r="H213" s="16" t="str">
        <f aca="true">IF($E213="","",IF(DATE(YEAR(TODAY()),$F213,$G213)&lt;TODAY(),DATE(YEAR(TODAY())+1,$F213,$G213),DATE(YEAR(TODAY()),$F213,$G213)))</f>
        <v/>
      </c>
      <c r="I213" s="15" t="str">
        <f aca="true">IF($H213="","",$H213-TODAY())</f>
        <v/>
      </c>
      <c r="J213" s="10"/>
    </row>
    <row r="214" customFormat="false" ht="15" hidden="false" customHeight="true" outlineLevel="0" collapsed="false">
      <c r="A214" s="13" t="str">
        <f aca="false">IF($B214="","",ROW()-2)</f>
        <v/>
      </c>
      <c r="B214" s="9"/>
      <c r="C214" s="13" t="str">
        <f aca="false">IF($B214="","",IFERROR(INDEX(대상목록!$C$3:$C$302,MATCH($B214,대상목록!$A$3:$A$302,0)),""))</f>
        <v/>
      </c>
      <c r="D214" s="9"/>
      <c r="E214" s="14"/>
      <c r="F214" s="15" t="str">
        <f aca="false">IF($E214="","",MONTH($E214))</f>
        <v/>
      </c>
      <c r="G214" s="15" t="str">
        <f aca="false">IF($E214="","",DAY($E214))</f>
        <v/>
      </c>
      <c r="H214" s="16" t="str">
        <f aca="true">IF($E214="","",IF(DATE(YEAR(TODAY()),$F214,$G214)&lt;TODAY(),DATE(YEAR(TODAY())+1,$F214,$G214),DATE(YEAR(TODAY()),$F214,$G214)))</f>
        <v/>
      </c>
      <c r="I214" s="15" t="str">
        <f aca="true">IF($H214="","",$H214-TODAY())</f>
        <v/>
      </c>
      <c r="J214" s="10"/>
    </row>
    <row r="215" customFormat="false" ht="15" hidden="false" customHeight="true" outlineLevel="0" collapsed="false">
      <c r="A215" s="13" t="str">
        <f aca="false">IF($B215="","",ROW()-2)</f>
        <v/>
      </c>
      <c r="B215" s="9"/>
      <c r="C215" s="13" t="str">
        <f aca="false">IF($B215="","",IFERROR(INDEX(대상목록!$C$3:$C$302,MATCH($B215,대상목록!$A$3:$A$302,0)),""))</f>
        <v/>
      </c>
      <c r="D215" s="9"/>
      <c r="E215" s="14"/>
      <c r="F215" s="15" t="str">
        <f aca="false">IF($E215="","",MONTH($E215))</f>
        <v/>
      </c>
      <c r="G215" s="15" t="str">
        <f aca="false">IF($E215="","",DAY($E215))</f>
        <v/>
      </c>
      <c r="H215" s="16" t="str">
        <f aca="true">IF($E215="","",IF(DATE(YEAR(TODAY()),$F215,$G215)&lt;TODAY(),DATE(YEAR(TODAY())+1,$F215,$G215),DATE(YEAR(TODAY()),$F215,$G215)))</f>
        <v/>
      </c>
      <c r="I215" s="15" t="str">
        <f aca="true">IF($H215="","",$H215-TODAY())</f>
        <v/>
      </c>
      <c r="J215" s="10"/>
    </row>
    <row r="216" customFormat="false" ht="15" hidden="false" customHeight="true" outlineLevel="0" collapsed="false">
      <c r="A216" s="13" t="str">
        <f aca="false">IF($B216="","",ROW()-2)</f>
        <v/>
      </c>
      <c r="B216" s="9"/>
      <c r="C216" s="13" t="str">
        <f aca="false">IF($B216="","",IFERROR(INDEX(대상목록!$C$3:$C$302,MATCH($B216,대상목록!$A$3:$A$302,0)),""))</f>
        <v/>
      </c>
      <c r="D216" s="9"/>
      <c r="E216" s="14"/>
      <c r="F216" s="15" t="str">
        <f aca="false">IF($E216="","",MONTH($E216))</f>
        <v/>
      </c>
      <c r="G216" s="15" t="str">
        <f aca="false">IF($E216="","",DAY($E216))</f>
        <v/>
      </c>
      <c r="H216" s="16" t="str">
        <f aca="true">IF($E216="","",IF(DATE(YEAR(TODAY()),$F216,$G216)&lt;TODAY(),DATE(YEAR(TODAY())+1,$F216,$G216),DATE(YEAR(TODAY()),$F216,$G216)))</f>
        <v/>
      </c>
      <c r="I216" s="15" t="str">
        <f aca="true">IF($H216="","",$H216-TODAY())</f>
        <v/>
      </c>
      <c r="J216" s="10"/>
    </row>
    <row r="217" customFormat="false" ht="15" hidden="false" customHeight="true" outlineLevel="0" collapsed="false">
      <c r="A217" s="13" t="str">
        <f aca="false">IF($B217="","",ROW()-2)</f>
        <v/>
      </c>
      <c r="B217" s="9"/>
      <c r="C217" s="13" t="str">
        <f aca="false">IF($B217="","",IFERROR(INDEX(대상목록!$C$3:$C$302,MATCH($B217,대상목록!$A$3:$A$302,0)),""))</f>
        <v/>
      </c>
      <c r="D217" s="9"/>
      <c r="E217" s="14"/>
      <c r="F217" s="15" t="str">
        <f aca="false">IF($E217="","",MONTH($E217))</f>
        <v/>
      </c>
      <c r="G217" s="15" t="str">
        <f aca="false">IF($E217="","",DAY($E217))</f>
        <v/>
      </c>
      <c r="H217" s="16" t="str">
        <f aca="true">IF($E217="","",IF(DATE(YEAR(TODAY()),$F217,$G217)&lt;TODAY(),DATE(YEAR(TODAY())+1,$F217,$G217),DATE(YEAR(TODAY()),$F217,$G217)))</f>
        <v/>
      </c>
      <c r="I217" s="15" t="str">
        <f aca="true">IF($H217="","",$H217-TODAY())</f>
        <v/>
      </c>
      <c r="J217" s="10"/>
    </row>
    <row r="218" customFormat="false" ht="15" hidden="false" customHeight="true" outlineLevel="0" collapsed="false">
      <c r="A218" s="13" t="str">
        <f aca="false">IF($B218="","",ROW()-2)</f>
        <v/>
      </c>
      <c r="B218" s="9"/>
      <c r="C218" s="13" t="str">
        <f aca="false">IF($B218="","",IFERROR(INDEX(대상목록!$C$3:$C$302,MATCH($B218,대상목록!$A$3:$A$302,0)),""))</f>
        <v/>
      </c>
      <c r="D218" s="9"/>
      <c r="E218" s="14"/>
      <c r="F218" s="15" t="str">
        <f aca="false">IF($E218="","",MONTH($E218))</f>
        <v/>
      </c>
      <c r="G218" s="15" t="str">
        <f aca="false">IF($E218="","",DAY($E218))</f>
        <v/>
      </c>
      <c r="H218" s="16" t="str">
        <f aca="true">IF($E218="","",IF(DATE(YEAR(TODAY()),$F218,$G218)&lt;TODAY(),DATE(YEAR(TODAY())+1,$F218,$G218),DATE(YEAR(TODAY()),$F218,$G218)))</f>
        <v/>
      </c>
      <c r="I218" s="15" t="str">
        <f aca="true">IF($H218="","",$H218-TODAY())</f>
        <v/>
      </c>
      <c r="J218" s="10"/>
    </row>
    <row r="219" customFormat="false" ht="15" hidden="false" customHeight="true" outlineLevel="0" collapsed="false">
      <c r="A219" s="13" t="str">
        <f aca="false">IF($B219="","",ROW()-2)</f>
        <v/>
      </c>
      <c r="B219" s="9"/>
      <c r="C219" s="13" t="str">
        <f aca="false">IF($B219="","",IFERROR(INDEX(대상목록!$C$3:$C$302,MATCH($B219,대상목록!$A$3:$A$302,0)),""))</f>
        <v/>
      </c>
      <c r="D219" s="9"/>
      <c r="E219" s="14"/>
      <c r="F219" s="15" t="str">
        <f aca="false">IF($E219="","",MONTH($E219))</f>
        <v/>
      </c>
      <c r="G219" s="15" t="str">
        <f aca="false">IF($E219="","",DAY($E219))</f>
        <v/>
      </c>
      <c r="H219" s="16" t="str">
        <f aca="true">IF($E219="","",IF(DATE(YEAR(TODAY()),$F219,$G219)&lt;TODAY(),DATE(YEAR(TODAY())+1,$F219,$G219),DATE(YEAR(TODAY()),$F219,$G219)))</f>
        <v/>
      </c>
      <c r="I219" s="15" t="str">
        <f aca="true">IF($H219="","",$H219-TODAY())</f>
        <v/>
      </c>
      <c r="J219" s="10"/>
    </row>
    <row r="220" customFormat="false" ht="15" hidden="false" customHeight="true" outlineLevel="0" collapsed="false">
      <c r="A220" s="13" t="str">
        <f aca="false">IF($B220="","",ROW()-2)</f>
        <v/>
      </c>
      <c r="B220" s="9"/>
      <c r="C220" s="13" t="str">
        <f aca="false">IF($B220="","",IFERROR(INDEX(대상목록!$C$3:$C$302,MATCH($B220,대상목록!$A$3:$A$302,0)),""))</f>
        <v/>
      </c>
      <c r="D220" s="9"/>
      <c r="E220" s="14"/>
      <c r="F220" s="15" t="str">
        <f aca="false">IF($E220="","",MONTH($E220))</f>
        <v/>
      </c>
      <c r="G220" s="15" t="str">
        <f aca="false">IF($E220="","",DAY($E220))</f>
        <v/>
      </c>
      <c r="H220" s="16" t="str">
        <f aca="true">IF($E220="","",IF(DATE(YEAR(TODAY()),$F220,$G220)&lt;TODAY(),DATE(YEAR(TODAY())+1,$F220,$G220),DATE(YEAR(TODAY()),$F220,$G220)))</f>
        <v/>
      </c>
      <c r="I220" s="15" t="str">
        <f aca="true">IF($H220="","",$H220-TODAY())</f>
        <v/>
      </c>
      <c r="J220" s="10"/>
    </row>
    <row r="221" customFormat="false" ht="15" hidden="false" customHeight="true" outlineLevel="0" collapsed="false">
      <c r="A221" s="13" t="str">
        <f aca="false">IF($B221="","",ROW()-2)</f>
        <v/>
      </c>
      <c r="B221" s="9"/>
      <c r="C221" s="13" t="str">
        <f aca="false">IF($B221="","",IFERROR(INDEX(대상목록!$C$3:$C$302,MATCH($B221,대상목록!$A$3:$A$302,0)),""))</f>
        <v/>
      </c>
      <c r="D221" s="9"/>
      <c r="E221" s="14"/>
      <c r="F221" s="15" t="str">
        <f aca="false">IF($E221="","",MONTH($E221))</f>
        <v/>
      </c>
      <c r="G221" s="15" t="str">
        <f aca="false">IF($E221="","",DAY($E221))</f>
        <v/>
      </c>
      <c r="H221" s="16" t="str">
        <f aca="true">IF($E221="","",IF(DATE(YEAR(TODAY()),$F221,$G221)&lt;TODAY(),DATE(YEAR(TODAY())+1,$F221,$G221),DATE(YEAR(TODAY()),$F221,$G221)))</f>
        <v/>
      </c>
      <c r="I221" s="15" t="str">
        <f aca="true">IF($H221="","",$H221-TODAY())</f>
        <v/>
      </c>
      <c r="J221" s="10"/>
    </row>
    <row r="222" customFormat="false" ht="15" hidden="false" customHeight="true" outlineLevel="0" collapsed="false">
      <c r="A222" s="13" t="str">
        <f aca="false">IF($B222="","",ROW()-2)</f>
        <v/>
      </c>
      <c r="B222" s="9"/>
      <c r="C222" s="13" t="str">
        <f aca="false">IF($B222="","",IFERROR(INDEX(대상목록!$C$3:$C$302,MATCH($B222,대상목록!$A$3:$A$302,0)),""))</f>
        <v/>
      </c>
      <c r="D222" s="9"/>
      <c r="E222" s="14"/>
      <c r="F222" s="15" t="str">
        <f aca="false">IF($E222="","",MONTH($E222))</f>
        <v/>
      </c>
      <c r="G222" s="15" t="str">
        <f aca="false">IF($E222="","",DAY($E222))</f>
        <v/>
      </c>
      <c r="H222" s="16" t="str">
        <f aca="true">IF($E222="","",IF(DATE(YEAR(TODAY()),$F222,$G222)&lt;TODAY(),DATE(YEAR(TODAY())+1,$F222,$G222),DATE(YEAR(TODAY()),$F222,$G222)))</f>
        <v/>
      </c>
      <c r="I222" s="15" t="str">
        <f aca="true">IF($H222="","",$H222-TODAY())</f>
        <v/>
      </c>
      <c r="J222" s="10"/>
    </row>
    <row r="223" customFormat="false" ht="15" hidden="false" customHeight="true" outlineLevel="0" collapsed="false">
      <c r="A223" s="13" t="str">
        <f aca="false">IF($B223="","",ROW()-2)</f>
        <v/>
      </c>
      <c r="B223" s="9"/>
      <c r="C223" s="13" t="str">
        <f aca="false">IF($B223="","",IFERROR(INDEX(대상목록!$C$3:$C$302,MATCH($B223,대상목록!$A$3:$A$302,0)),""))</f>
        <v/>
      </c>
      <c r="D223" s="9"/>
      <c r="E223" s="14"/>
      <c r="F223" s="15" t="str">
        <f aca="false">IF($E223="","",MONTH($E223))</f>
        <v/>
      </c>
      <c r="G223" s="15" t="str">
        <f aca="false">IF($E223="","",DAY($E223))</f>
        <v/>
      </c>
      <c r="H223" s="16" t="str">
        <f aca="true">IF($E223="","",IF(DATE(YEAR(TODAY()),$F223,$G223)&lt;TODAY(),DATE(YEAR(TODAY())+1,$F223,$G223),DATE(YEAR(TODAY()),$F223,$G223)))</f>
        <v/>
      </c>
      <c r="I223" s="15" t="str">
        <f aca="true">IF($H223="","",$H223-TODAY())</f>
        <v/>
      </c>
      <c r="J223" s="10"/>
    </row>
    <row r="224" customFormat="false" ht="15" hidden="false" customHeight="true" outlineLevel="0" collapsed="false">
      <c r="A224" s="13" t="str">
        <f aca="false">IF($B224="","",ROW()-2)</f>
        <v/>
      </c>
      <c r="B224" s="9"/>
      <c r="C224" s="13" t="str">
        <f aca="false">IF($B224="","",IFERROR(INDEX(대상목록!$C$3:$C$302,MATCH($B224,대상목록!$A$3:$A$302,0)),""))</f>
        <v/>
      </c>
      <c r="D224" s="9"/>
      <c r="E224" s="14"/>
      <c r="F224" s="15" t="str">
        <f aca="false">IF($E224="","",MONTH($E224))</f>
        <v/>
      </c>
      <c r="G224" s="15" t="str">
        <f aca="false">IF($E224="","",DAY($E224))</f>
        <v/>
      </c>
      <c r="H224" s="16" t="str">
        <f aca="true">IF($E224="","",IF(DATE(YEAR(TODAY()),$F224,$G224)&lt;TODAY(),DATE(YEAR(TODAY())+1,$F224,$G224),DATE(YEAR(TODAY()),$F224,$G224)))</f>
        <v/>
      </c>
      <c r="I224" s="15" t="str">
        <f aca="true">IF($H224="","",$H224-TODAY())</f>
        <v/>
      </c>
      <c r="J224" s="10"/>
    </row>
    <row r="225" customFormat="false" ht="15" hidden="false" customHeight="true" outlineLevel="0" collapsed="false">
      <c r="A225" s="13" t="str">
        <f aca="false">IF($B225="","",ROW()-2)</f>
        <v/>
      </c>
      <c r="B225" s="9"/>
      <c r="C225" s="13" t="str">
        <f aca="false">IF($B225="","",IFERROR(INDEX(대상목록!$C$3:$C$302,MATCH($B225,대상목록!$A$3:$A$302,0)),""))</f>
        <v/>
      </c>
      <c r="D225" s="9"/>
      <c r="E225" s="14"/>
      <c r="F225" s="15" t="str">
        <f aca="false">IF($E225="","",MONTH($E225))</f>
        <v/>
      </c>
      <c r="G225" s="15" t="str">
        <f aca="false">IF($E225="","",DAY($E225))</f>
        <v/>
      </c>
      <c r="H225" s="16" t="str">
        <f aca="true">IF($E225="","",IF(DATE(YEAR(TODAY()),$F225,$G225)&lt;TODAY(),DATE(YEAR(TODAY())+1,$F225,$G225),DATE(YEAR(TODAY()),$F225,$G225)))</f>
        <v/>
      </c>
      <c r="I225" s="15" t="str">
        <f aca="true">IF($H225="","",$H225-TODAY())</f>
        <v/>
      </c>
      <c r="J225" s="10"/>
    </row>
    <row r="226" customFormat="false" ht="15" hidden="false" customHeight="true" outlineLevel="0" collapsed="false">
      <c r="A226" s="13" t="str">
        <f aca="false">IF($B226="","",ROW()-2)</f>
        <v/>
      </c>
      <c r="B226" s="9"/>
      <c r="C226" s="13" t="str">
        <f aca="false">IF($B226="","",IFERROR(INDEX(대상목록!$C$3:$C$302,MATCH($B226,대상목록!$A$3:$A$302,0)),""))</f>
        <v/>
      </c>
      <c r="D226" s="9"/>
      <c r="E226" s="14"/>
      <c r="F226" s="15" t="str">
        <f aca="false">IF($E226="","",MONTH($E226))</f>
        <v/>
      </c>
      <c r="G226" s="15" t="str">
        <f aca="false">IF($E226="","",DAY($E226))</f>
        <v/>
      </c>
      <c r="H226" s="16" t="str">
        <f aca="true">IF($E226="","",IF(DATE(YEAR(TODAY()),$F226,$G226)&lt;TODAY(),DATE(YEAR(TODAY())+1,$F226,$G226),DATE(YEAR(TODAY()),$F226,$G226)))</f>
        <v/>
      </c>
      <c r="I226" s="15" t="str">
        <f aca="true">IF($H226="","",$H226-TODAY())</f>
        <v/>
      </c>
      <c r="J226" s="10"/>
    </row>
    <row r="227" customFormat="false" ht="15" hidden="false" customHeight="true" outlineLevel="0" collapsed="false">
      <c r="A227" s="13" t="str">
        <f aca="false">IF($B227="","",ROW()-2)</f>
        <v/>
      </c>
      <c r="B227" s="9"/>
      <c r="C227" s="13" t="str">
        <f aca="false">IF($B227="","",IFERROR(INDEX(대상목록!$C$3:$C$302,MATCH($B227,대상목록!$A$3:$A$302,0)),""))</f>
        <v/>
      </c>
      <c r="D227" s="9"/>
      <c r="E227" s="14"/>
      <c r="F227" s="15" t="str">
        <f aca="false">IF($E227="","",MONTH($E227))</f>
        <v/>
      </c>
      <c r="G227" s="15" t="str">
        <f aca="false">IF($E227="","",DAY($E227))</f>
        <v/>
      </c>
      <c r="H227" s="16" t="str">
        <f aca="true">IF($E227="","",IF(DATE(YEAR(TODAY()),$F227,$G227)&lt;TODAY(),DATE(YEAR(TODAY())+1,$F227,$G227),DATE(YEAR(TODAY()),$F227,$G227)))</f>
        <v/>
      </c>
      <c r="I227" s="15" t="str">
        <f aca="true">IF($H227="","",$H227-TODAY())</f>
        <v/>
      </c>
      <c r="J227" s="10"/>
    </row>
    <row r="228" customFormat="false" ht="15" hidden="false" customHeight="true" outlineLevel="0" collapsed="false">
      <c r="A228" s="13" t="str">
        <f aca="false">IF($B228="","",ROW()-2)</f>
        <v/>
      </c>
      <c r="B228" s="9"/>
      <c r="C228" s="13" t="str">
        <f aca="false">IF($B228="","",IFERROR(INDEX(대상목록!$C$3:$C$302,MATCH($B228,대상목록!$A$3:$A$302,0)),""))</f>
        <v/>
      </c>
      <c r="D228" s="9"/>
      <c r="E228" s="14"/>
      <c r="F228" s="15" t="str">
        <f aca="false">IF($E228="","",MONTH($E228))</f>
        <v/>
      </c>
      <c r="G228" s="15" t="str">
        <f aca="false">IF($E228="","",DAY($E228))</f>
        <v/>
      </c>
      <c r="H228" s="16" t="str">
        <f aca="true">IF($E228="","",IF(DATE(YEAR(TODAY()),$F228,$G228)&lt;TODAY(),DATE(YEAR(TODAY())+1,$F228,$G228),DATE(YEAR(TODAY()),$F228,$G228)))</f>
        <v/>
      </c>
      <c r="I228" s="15" t="str">
        <f aca="true">IF($H228="","",$H228-TODAY())</f>
        <v/>
      </c>
      <c r="J228" s="10"/>
    </row>
    <row r="229" customFormat="false" ht="15" hidden="false" customHeight="true" outlineLevel="0" collapsed="false">
      <c r="A229" s="13" t="str">
        <f aca="false">IF($B229="","",ROW()-2)</f>
        <v/>
      </c>
      <c r="B229" s="9"/>
      <c r="C229" s="13" t="str">
        <f aca="false">IF($B229="","",IFERROR(INDEX(대상목록!$C$3:$C$302,MATCH($B229,대상목록!$A$3:$A$302,0)),""))</f>
        <v/>
      </c>
      <c r="D229" s="9"/>
      <c r="E229" s="14"/>
      <c r="F229" s="15" t="str">
        <f aca="false">IF($E229="","",MONTH($E229))</f>
        <v/>
      </c>
      <c r="G229" s="15" t="str">
        <f aca="false">IF($E229="","",DAY($E229))</f>
        <v/>
      </c>
      <c r="H229" s="16" t="str">
        <f aca="true">IF($E229="","",IF(DATE(YEAR(TODAY()),$F229,$G229)&lt;TODAY(),DATE(YEAR(TODAY())+1,$F229,$G229),DATE(YEAR(TODAY()),$F229,$G229)))</f>
        <v/>
      </c>
      <c r="I229" s="15" t="str">
        <f aca="true">IF($H229="","",$H229-TODAY())</f>
        <v/>
      </c>
      <c r="J229" s="10"/>
    </row>
    <row r="230" customFormat="false" ht="15" hidden="false" customHeight="true" outlineLevel="0" collapsed="false">
      <c r="A230" s="13" t="str">
        <f aca="false">IF($B230="","",ROW()-2)</f>
        <v/>
      </c>
      <c r="B230" s="9"/>
      <c r="C230" s="13" t="str">
        <f aca="false">IF($B230="","",IFERROR(INDEX(대상목록!$C$3:$C$302,MATCH($B230,대상목록!$A$3:$A$302,0)),""))</f>
        <v/>
      </c>
      <c r="D230" s="9"/>
      <c r="E230" s="14"/>
      <c r="F230" s="15" t="str">
        <f aca="false">IF($E230="","",MONTH($E230))</f>
        <v/>
      </c>
      <c r="G230" s="15" t="str">
        <f aca="false">IF($E230="","",DAY($E230))</f>
        <v/>
      </c>
      <c r="H230" s="16" t="str">
        <f aca="true">IF($E230="","",IF(DATE(YEAR(TODAY()),$F230,$G230)&lt;TODAY(),DATE(YEAR(TODAY())+1,$F230,$G230),DATE(YEAR(TODAY()),$F230,$G230)))</f>
        <v/>
      </c>
      <c r="I230" s="15" t="str">
        <f aca="true">IF($H230="","",$H230-TODAY())</f>
        <v/>
      </c>
      <c r="J230" s="10"/>
    </row>
    <row r="231" customFormat="false" ht="15" hidden="false" customHeight="true" outlineLevel="0" collapsed="false">
      <c r="A231" s="13" t="str">
        <f aca="false">IF($B231="","",ROW()-2)</f>
        <v/>
      </c>
      <c r="B231" s="9"/>
      <c r="C231" s="13" t="str">
        <f aca="false">IF($B231="","",IFERROR(INDEX(대상목록!$C$3:$C$302,MATCH($B231,대상목록!$A$3:$A$302,0)),""))</f>
        <v/>
      </c>
      <c r="D231" s="9"/>
      <c r="E231" s="14"/>
      <c r="F231" s="15" t="str">
        <f aca="false">IF($E231="","",MONTH($E231))</f>
        <v/>
      </c>
      <c r="G231" s="15" t="str">
        <f aca="false">IF($E231="","",DAY($E231))</f>
        <v/>
      </c>
      <c r="H231" s="16" t="str">
        <f aca="true">IF($E231="","",IF(DATE(YEAR(TODAY()),$F231,$G231)&lt;TODAY(),DATE(YEAR(TODAY())+1,$F231,$G231),DATE(YEAR(TODAY()),$F231,$G231)))</f>
        <v/>
      </c>
      <c r="I231" s="15" t="str">
        <f aca="true">IF($H231="","",$H231-TODAY())</f>
        <v/>
      </c>
      <c r="J231" s="10"/>
    </row>
    <row r="232" customFormat="false" ht="15" hidden="false" customHeight="true" outlineLevel="0" collapsed="false">
      <c r="A232" s="13" t="str">
        <f aca="false">IF($B232="","",ROW()-2)</f>
        <v/>
      </c>
      <c r="B232" s="9"/>
      <c r="C232" s="13" t="str">
        <f aca="false">IF($B232="","",IFERROR(INDEX(대상목록!$C$3:$C$302,MATCH($B232,대상목록!$A$3:$A$302,0)),""))</f>
        <v/>
      </c>
      <c r="D232" s="9"/>
      <c r="E232" s="14"/>
      <c r="F232" s="15" t="str">
        <f aca="false">IF($E232="","",MONTH($E232))</f>
        <v/>
      </c>
      <c r="G232" s="15" t="str">
        <f aca="false">IF($E232="","",DAY($E232))</f>
        <v/>
      </c>
      <c r="H232" s="16" t="str">
        <f aca="true">IF($E232="","",IF(DATE(YEAR(TODAY()),$F232,$G232)&lt;TODAY(),DATE(YEAR(TODAY())+1,$F232,$G232),DATE(YEAR(TODAY()),$F232,$G232)))</f>
        <v/>
      </c>
      <c r="I232" s="15" t="str">
        <f aca="true">IF($H232="","",$H232-TODAY())</f>
        <v/>
      </c>
      <c r="J232" s="10"/>
    </row>
    <row r="233" customFormat="false" ht="15" hidden="false" customHeight="true" outlineLevel="0" collapsed="false">
      <c r="A233" s="13" t="str">
        <f aca="false">IF($B233="","",ROW()-2)</f>
        <v/>
      </c>
      <c r="B233" s="9"/>
      <c r="C233" s="13" t="str">
        <f aca="false">IF($B233="","",IFERROR(INDEX(대상목록!$C$3:$C$302,MATCH($B233,대상목록!$A$3:$A$302,0)),""))</f>
        <v/>
      </c>
      <c r="D233" s="9"/>
      <c r="E233" s="14"/>
      <c r="F233" s="15" t="str">
        <f aca="false">IF($E233="","",MONTH($E233))</f>
        <v/>
      </c>
      <c r="G233" s="15" t="str">
        <f aca="false">IF($E233="","",DAY($E233))</f>
        <v/>
      </c>
      <c r="H233" s="16" t="str">
        <f aca="true">IF($E233="","",IF(DATE(YEAR(TODAY()),$F233,$G233)&lt;TODAY(),DATE(YEAR(TODAY())+1,$F233,$G233),DATE(YEAR(TODAY()),$F233,$G233)))</f>
        <v/>
      </c>
      <c r="I233" s="15" t="str">
        <f aca="true">IF($H233="","",$H233-TODAY())</f>
        <v/>
      </c>
      <c r="J233" s="10"/>
    </row>
    <row r="234" customFormat="false" ht="15" hidden="false" customHeight="true" outlineLevel="0" collapsed="false">
      <c r="A234" s="13" t="str">
        <f aca="false">IF($B234="","",ROW()-2)</f>
        <v/>
      </c>
      <c r="B234" s="9"/>
      <c r="C234" s="13" t="str">
        <f aca="false">IF($B234="","",IFERROR(INDEX(대상목록!$C$3:$C$302,MATCH($B234,대상목록!$A$3:$A$302,0)),""))</f>
        <v/>
      </c>
      <c r="D234" s="9"/>
      <c r="E234" s="14"/>
      <c r="F234" s="15" t="str">
        <f aca="false">IF($E234="","",MONTH($E234))</f>
        <v/>
      </c>
      <c r="G234" s="15" t="str">
        <f aca="false">IF($E234="","",DAY($E234))</f>
        <v/>
      </c>
      <c r="H234" s="16" t="str">
        <f aca="true">IF($E234="","",IF(DATE(YEAR(TODAY()),$F234,$G234)&lt;TODAY(),DATE(YEAR(TODAY())+1,$F234,$G234),DATE(YEAR(TODAY()),$F234,$G234)))</f>
        <v/>
      </c>
      <c r="I234" s="15" t="str">
        <f aca="true">IF($H234="","",$H234-TODAY())</f>
        <v/>
      </c>
      <c r="J234" s="10"/>
    </row>
    <row r="235" customFormat="false" ht="15" hidden="false" customHeight="true" outlineLevel="0" collapsed="false">
      <c r="A235" s="13" t="str">
        <f aca="false">IF($B235="","",ROW()-2)</f>
        <v/>
      </c>
      <c r="B235" s="9"/>
      <c r="C235" s="13" t="str">
        <f aca="false">IF($B235="","",IFERROR(INDEX(대상목록!$C$3:$C$302,MATCH($B235,대상목록!$A$3:$A$302,0)),""))</f>
        <v/>
      </c>
      <c r="D235" s="9"/>
      <c r="E235" s="14"/>
      <c r="F235" s="15" t="str">
        <f aca="false">IF($E235="","",MONTH($E235))</f>
        <v/>
      </c>
      <c r="G235" s="15" t="str">
        <f aca="false">IF($E235="","",DAY($E235))</f>
        <v/>
      </c>
      <c r="H235" s="16" t="str">
        <f aca="true">IF($E235="","",IF(DATE(YEAR(TODAY()),$F235,$G235)&lt;TODAY(),DATE(YEAR(TODAY())+1,$F235,$G235),DATE(YEAR(TODAY()),$F235,$G235)))</f>
        <v/>
      </c>
      <c r="I235" s="15" t="str">
        <f aca="true">IF($H235="","",$H235-TODAY())</f>
        <v/>
      </c>
      <c r="J235" s="10"/>
    </row>
    <row r="236" customFormat="false" ht="15" hidden="false" customHeight="true" outlineLevel="0" collapsed="false">
      <c r="A236" s="13" t="str">
        <f aca="false">IF($B236="","",ROW()-2)</f>
        <v/>
      </c>
      <c r="B236" s="9"/>
      <c r="C236" s="13" t="str">
        <f aca="false">IF($B236="","",IFERROR(INDEX(대상목록!$C$3:$C$302,MATCH($B236,대상목록!$A$3:$A$302,0)),""))</f>
        <v/>
      </c>
      <c r="D236" s="9"/>
      <c r="E236" s="14"/>
      <c r="F236" s="15" t="str">
        <f aca="false">IF($E236="","",MONTH($E236))</f>
        <v/>
      </c>
      <c r="G236" s="15" t="str">
        <f aca="false">IF($E236="","",DAY($E236))</f>
        <v/>
      </c>
      <c r="H236" s="16" t="str">
        <f aca="true">IF($E236="","",IF(DATE(YEAR(TODAY()),$F236,$G236)&lt;TODAY(),DATE(YEAR(TODAY())+1,$F236,$G236),DATE(YEAR(TODAY()),$F236,$G236)))</f>
        <v/>
      </c>
      <c r="I236" s="15" t="str">
        <f aca="true">IF($H236="","",$H236-TODAY())</f>
        <v/>
      </c>
      <c r="J236" s="10"/>
    </row>
    <row r="237" customFormat="false" ht="15" hidden="false" customHeight="true" outlineLevel="0" collapsed="false">
      <c r="A237" s="13" t="str">
        <f aca="false">IF($B237="","",ROW()-2)</f>
        <v/>
      </c>
      <c r="B237" s="9"/>
      <c r="C237" s="13" t="str">
        <f aca="false">IF($B237="","",IFERROR(INDEX(대상목록!$C$3:$C$302,MATCH($B237,대상목록!$A$3:$A$302,0)),""))</f>
        <v/>
      </c>
      <c r="D237" s="9"/>
      <c r="E237" s="14"/>
      <c r="F237" s="15" t="str">
        <f aca="false">IF($E237="","",MONTH($E237))</f>
        <v/>
      </c>
      <c r="G237" s="15" t="str">
        <f aca="false">IF($E237="","",DAY($E237))</f>
        <v/>
      </c>
      <c r="H237" s="16" t="str">
        <f aca="true">IF($E237="","",IF(DATE(YEAR(TODAY()),$F237,$G237)&lt;TODAY(),DATE(YEAR(TODAY())+1,$F237,$G237),DATE(YEAR(TODAY()),$F237,$G237)))</f>
        <v/>
      </c>
      <c r="I237" s="15" t="str">
        <f aca="true">IF($H237="","",$H237-TODAY())</f>
        <v/>
      </c>
      <c r="J237" s="10"/>
    </row>
    <row r="238" customFormat="false" ht="15" hidden="false" customHeight="true" outlineLevel="0" collapsed="false">
      <c r="A238" s="13" t="str">
        <f aca="false">IF($B238="","",ROW()-2)</f>
        <v/>
      </c>
      <c r="B238" s="9"/>
      <c r="C238" s="13" t="str">
        <f aca="false">IF($B238="","",IFERROR(INDEX(대상목록!$C$3:$C$302,MATCH($B238,대상목록!$A$3:$A$302,0)),""))</f>
        <v/>
      </c>
      <c r="D238" s="9"/>
      <c r="E238" s="14"/>
      <c r="F238" s="15" t="str">
        <f aca="false">IF($E238="","",MONTH($E238))</f>
        <v/>
      </c>
      <c r="G238" s="15" t="str">
        <f aca="false">IF($E238="","",DAY($E238))</f>
        <v/>
      </c>
      <c r="H238" s="16" t="str">
        <f aca="true">IF($E238="","",IF(DATE(YEAR(TODAY()),$F238,$G238)&lt;TODAY(),DATE(YEAR(TODAY())+1,$F238,$G238),DATE(YEAR(TODAY()),$F238,$G238)))</f>
        <v/>
      </c>
      <c r="I238" s="15" t="str">
        <f aca="true">IF($H238="","",$H238-TODAY())</f>
        <v/>
      </c>
      <c r="J238" s="10"/>
    </row>
    <row r="239" customFormat="false" ht="15" hidden="false" customHeight="true" outlineLevel="0" collapsed="false">
      <c r="A239" s="13" t="str">
        <f aca="false">IF($B239="","",ROW()-2)</f>
        <v/>
      </c>
      <c r="B239" s="9"/>
      <c r="C239" s="13" t="str">
        <f aca="false">IF($B239="","",IFERROR(INDEX(대상목록!$C$3:$C$302,MATCH($B239,대상목록!$A$3:$A$302,0)),""))</f>
        <v/>
      </c>
      <c r="D239" s="9"/>
      <c r="E239" s="14"/>
      <c r="F239" s="15" t="str">
        <f aca="false">IF($E239="","",MONTH($E239))</f>
        <v/>
      </c>
      <c r="G239" s="15" t="str">
        <f aca="false">IF($E239="","",DAY($E239))</f>
        <v/>
      </c>
      <c r="H239" s="16" t="str">
        <f aca="true">IF($E239="","",IF(DATE(YEAR(TODAY()),$F239,$G239)&lt;TODAY(),DATE(YEAR(TODAY())+1,$F239,$G239),DATE(YEAR(TODAY()),$F239,$G239)))</f>
        <v/>
      </c>
      <c r="I239" s="15" t="str">
        <f aca="true">IF($H239="","",$H239-TODAY())</f>
        <v/>
      </c>
      <c r="J239" s="10"/>
    </row>
    <row r="240" customFormat="false" ht="15" hidden="false" customHeight="true" outlineLevel="0" collapsed="false">
      <c r="A240" s="13" t="str">
        <f aca="false">IF($B240="","",ROW()-2)</f>
        <v/>
      </c>
      <c r="B240" s="9"/>
      <c r="C240" s="13" t="str">
        <f aca="false">IF($B240="","",IFERROR(INDEX(대상목록!$C$3:$C$302,MATCH($B240,대상목록!$A$3:$A$302,0)),""))</f>
        <v/>
      </c>
      <c r="D240" s="9"/>
      <c r="E240" s="14"/>
      <c r="F240" s="15" t="str">
        <f aca="false">IF($E240="","",MONTH($E240))</f>
        <v/>
      </c>
      <c r="G240" s="15" t="str">
        <f aca="false">IF($E240="","",DAY($E240))</f>
        <v/>
      </c>
      <c r="H240" s="16" t="str">
        <f aca="true">IF($E240="","",IF(DATE(YEAR(TODAY()),$F240,$G240)&lt;TODAY(),DATE(YEAR(TODAY())+1,$F240,$G240),DATE(YEAR(TODAY()),$F240,$G240)))</f>
        <v/>
      </c>
      <c r="I240" s="15" t="str">
        <f aca="true">IF($H240="","",$H240-TODAY())</f>
        <v/>
      </c>
      <c r="J240" s="10"/>
    </row>
    <row r="241" customFormat="false" ht="15" hidden="false" customHeight="true" outlineLevel="0" collapsed="false">
      <c r="A241" s="13" t="str">
        <f aca="false">IF($B241="","",ROW()-2)</f>
        <v/>
      </c>
      <c r="B241" s="9"/>
      <c r="C241" s="13" t="str">
        <f aca="false">IF($B241="","",IFERROR(INDEX(대상목록!$C$3:$C$302,MATCH($B241,대상목록!$A$3:$A$302,0)),""))</f>
        <v/>
      </c>
      <c r="D241" s="9"/>
      <c r="E241" s="14"/>
      <c r="F241" s="15" t="str">
        <f aca="false">IF($E241="","",MONTH($E241))</f>
        <v/>
      </c>
      <c r="G241" s="15" t="str">
        <f aca="false">IF($E241="","",DAY($E241))</f>
        <v/>
      </c>
      <c r="H241" s="16" t="str">
        <f aca="true">IF($E241="","",IF(DATE(YEAR(TODAY()),$F241,$G241)&lt;TODAY(),DATE(YEAR(TODAY())+1,$F241,$G241),DATE(YEAR(TODAY()),$F241,$G241)))</f>
        <v/>
      </c>
      <c r="I241" s="15" t="str">
        <f aca="true">IF($H241="","",$H241-TODAY())</f>
        <v/>
      </c>
      <c r="J241" s="10"/>
    </row>
    <row r="242" customFormat="false" ht="15" hidden="false" customHeight="true" outlineLevel="0" collapsed="false">
      <c r="A242" s="13" t="str">
        <f aca="false">IF($B242="","",ROW()-2)</f>
        <v/>
      </c>
      <c r="B242" s="9"/>
      <c r="C242" s="13" t="str">
        <f aca="false">IF($B242="","",IFERROR(INDEX(대상목록!$C$3:$C$302,MATCH($B242,대상목록!$A$3:$A$302,0)),""))</f>
        <v/>
      </c>
      <c r="D242" s="9"/>
      <c r="E242" s="14"/>
      <c r="F242" s="15" t="str">
        <f aca="false">IF($E242="","",MONTH($E242))</f>
        <v/>
      </c>
      <c r="G242" s="15" t="str">
        <f aca="false">IF($E242="","",DAY($E242))</f>
        <v/>
      </c>
      <c r="H242" s="16" t="str">
        <f aca="true">IF($E242="","",IF(DATE(YEAR(TODAY()),$F242,$G242)&lt;TODAY(),DATE(YEAR(TODAY())+1,$F242,$G242),DATE(YEAR(TODAY()),$F242,$G242)))</f>
        <v/>
      </c>
      <c r="I242" s="15" t="str">
        <f aca="true">IF($H242="","",$H242-TODAY())</f>
        <v/>
      </c>
      <c r="J242" s="10"/>
    </row>
    <row r="243" customFormat="false" ht="15" hidden="false" customHeight="true" outlineLevel="0" collapsed="false">
      <c r="A243" s="13" t="str">
        <f aca="false">IF($B243="","",ROW()-2)</f>
        <v/>
      </c>
      <c r="B243" s="9"/>
      <c r="C243" s="13" t="str">
        <f aca="false">IF($B243="","",IFERROR(INDEX(대상목록!$C$3:$C$302,MATCH($B243,대상목록!$A$3:$A$302,0)),""))</f>
        <v/>
      </c>
      <c r="D243" s="9"/>
      <c r="E243" s="14"/>
      <c r="F243" s="15" t="str">
        <f aca="false">IF($E243="","",MONTH($E243))</f>
        <v/>
      </c>
      <c r="G243" s="15" t="str">
        <f aca="false">IF($E243="","",DAY($E243))</f>
        <v/>
      </c>
      <c r="H243" s="16" t="str">
        <f aca="true">IF($E243="","",IF(DATE(YEAR(TODAY()),$F243,$G243)&lt;TODAY(),DATE(YEAR(TODAY())+1,$F243,$G243),DATE(YEAR(TODAY()),$F243,$G243)))</f>
        <v/>
      </c>
      <c r="I243" s="15" t="str">
        <f aca="true">IF($H243="","",$H243-TODAY())</f>
        <v/>
      </c>
      <c r="J243" s="10"/>
    </row>
    <row r="244" customFormat="false" ht="15" hidden="false" customHeight="true" outlineLevel="0" collapsed="false">
      <c r="A244" s="13" t="str">
        <f aca="false">IF($B244="","",ROW()-2)</f>
        <v/>
      </c>
      <c r="B244" s="9"/>
      <c r="C244" s="13" t="str">
        <f aca="false">IF($B244="","",IFERROR(INDEX(대상목록!$C$3:$C$302,MATCH($B244,대상목록!$A$3:$A$302,0)),""))</f>
        <v/>
      </c>
      <c r="D244" s="9"/>
      <c r="E244" s="14"/>
      <c r="F244" s="15" t="str">
        <f aca="false">IF($E244="","",MONTH($E244))</f>
        <v/>
      </c>
      <c r="G244" s="15" t="str">
        <f aca="false">IF($E244="","",DAY($E244))</f>
        <v/>
      </c>
      <c r="H244" s="16" t="str">
        <f aca="true">IF($E244="","",IF(DATE(YEAR(TODAY()),$F244,$G244)&lt;TODAY(),DATE(YEAR(TODAY())+1,$F244,$G244),DATE(YEAR(TODAY()),$F244,$G244)))</f>
        <v/>
      </c>
      <c r="I244" s="15" t="str">
        <f aca="true">IF($H244="","",$H244-TODAY())</f>
        <v/>
      </c>
      <c r="J244" s="10"/>
    </row>
    <row r="245" customFormat="false" ht="15" hidden="false" customHeight="true" outlineLevel="0" collapsed="false">
      <c r="A245" s="13" t="str">
        <f aca="false">IF($B245="","",ROW()-2)</f>
        <v/>
      </c>
      <c r="B245" s="9"/>
      <c r="C245" s="13" t="str">
        <f aca="false">IF($B245="","",IFERROR(INDEX(대상목록!$C$3:$C$302,MATCH($B245,대상목록!$A$3:$A$302,0)),""))</f>
        <v/>
      </c>
      <c r="D245" s="9"/>
      <c r="E245" s="14"/>
      <c r="F245" s="15" t="str">
        <f aca="false">IF($E245="","",MONTH($E245))</f>
        <v/>
      </c>
      <c r="G245" s="15" t="str">
        <f aca="false">IF($E245="","",DAY($E245))</f>
        <v/>
      </c>
      <c r="H245" s="16" t="str">
        <f aca="true">IF($E245="","",IF(DATE(YEAR(TODAY()),$F245,$G245)&lt;TODAY(),DATE(YEAR(TODAY())+1,$F245,$G245),DATE(YEAR(TODAY()),$F245,$G245)))</f>
        <v/>
      </c>
      <c r="I245" s="15" t="str">
        <f aca="true">IF($H245="","",$H245-TODAY())</f>
        <v/>
      </c>
      <c r="J245" s="10"/>
    </row>
    <row r="246" customFormat="false" ht="15" hidden="false" customHeight="true" outlineLevel="0" collapsed="false">
      <c r="A246" s="13" t="str">
        <f aca="false">IF($B246="","",ROW()-2)</f>
        <v/>
      </c>
      <c r="B246" s="9"/>
      <c r="C246" s="13" t="str">
        <f aca="false">IF($B246="","",IFERROR(INDEX(대상목록!$C$3:$C$302,MATCH($B246,대상목록!$A$3:$A$302,0)),""))</f>
        <v/>
      </c>
      <c r="D246" s="9"/>
      <c r="E246" s="14"/>
      <c r="F246" s="15" t="str">
        <f aca="false">IF($E246="","",MONTH($E246))</f>
        <v/>
      </c>
      <c r="G246" s="15" t="str">
        <f aca="false">IF($E246="","",DAY($E246))</f>
        <v/>
      </c>
      <c r="H246" s="16" t="str">
        <f aca="true">IF($E246="","",IF(DATE(YEAR(TODAY()),$F246,$G246)&lt;TODAY(),DATE(YEAR(TODAY())+1,$F246,$G246),DATE(YEAR(TODAY()),$F246,$G246)))</f>
        <v/>
      </c>
      <c r="I246" s="15" t="str">
        <f aca="true">IF($H246="","",$H246-TODAY())</f>
        <v/>
      </c>
      <c r="J246" s="10"/>
    </row>
    <row r="247" customFormat="false" ht="15" hidden="false" customHeight="true" outlineLevel="0" collapsed="false">
      <c r="A247" s="13" t="str">
        <f aca="false">IF($B247="","",ROW()-2)</f>
        <v/>
      </c>
      <c r="B247" s="9"/>
      <c r="C247" s="13" t="str">
        <f aca="false">IF($B247="","",IFERROR(INDEX(대상목록!$C$3:$C$302,MATCH($B247,대상목록!$A$3:$A$302,0)),""))</f>
        <v/>
      </c>
      <c r="D247" s="9"/>
      <c r="E247" s="14"/>
      <c r="F247" s="15" t="str">
        <f aca="false">IF($E247="","",MONTH($E247))</f>
        <v/>
      </c>
      <c r="G247" s="15" t="str">
        <f aca="false">IF($E247="","",DAY($E247))</f>
        <v/>
      </c>
      <c r="H247" s="16" t="str">
        <f aca="true">IF($E247="","",IF(DATE(YEAR(TODAY()),$F247,$G247)&lt;TODAY(),DATE(YEAR(TODAY())+1,$F247,$G247),DATE(YEAR(TODAY()),$F247,$G247)))</f>
        <v/>
      </c>
      <c r="I247" s="15" t="str">
        <f aca="true">IF($H247="","",$H247-TODAY())</f>
        <v/>
      </c>
      <c r="J247" s="10"/>
    </row>
    <row r="248" customFormat="false" ht="15" hidden="false" customHeight="true" outlineLevel="0" collapsed="false">
      <c r="A248" s="13" t="str">
        <f aca="false">IF($B248="","",ROW()-2)</f>
        <v/>
      </c>
      <c r="B248" s="9"/>
      <c r="C248" s="13" t="str">
        <f aca="false">IF($B248="","",IFERROR(INDEX(대상목록!$C$3:$C$302,MATCH($B248,대상목록!$A$3:$A$302,0)),""))</f>
        <v/>
      </c>
      <c r="D248" s="9"/>
      <c r="E248" s="14"/>
      <c r="F248" s="15" t="str">
        <f aca="false">IF($E248="","",MONTH($E248))</f>
        <v/>
      </c>
      <c r="G248" s="15" t="str">
        <f aca="false">IF($E248="","",DAY($E248))</f>
        <v/>
      </c>
      <c r="H248" s="16" t="str">
        <f aca="true">IF($E248="","",IF(DATE(YEAR(TODAY()),$F248,$G248)&lt;TODAY(),DATE(YEAR(TODAY())+1,$F248,$G248),DATE(YEAR(TODAY()),$F248,$G248)))</f>
        <v/>
      </c>
      <c r="I248" s="15" t="str">
        <f aca="true">IF($H248="","",$H248-TODAY())</f>
        <v/>
      </c>
      <c r="J248" s="10"/>
    </row>
    <row r="249" customFormat="false" ht="15" hidden="false" customHeight="true" outlineLevel="0" collapsed="false">
      <c r="A249" s="13" t="str">
        <f aca="false">IF($B249="","",ROW()-2)</f>
        <v/>
      </c>
      <c r="B249" s="9"/>
      <c r="C249" s="13" t="str">
        <f aca="false">IF($B249="","",IFERROR(INDEX(대상목록!$C$3:$C$302,MATCH($B249,대상목록!$A$3:$A$302,0)),""))</f>
        <v/>
      </c>
      <c r="D249" s="9"/>
      <c r="E249" s="14"/>
      <c r="F249" s="15" t="str">
        <f aca="false">IF($E249="","",MONTH($E249))</f>
        <v/>
      </c>
      <c r="G249" s="15" t="str">
        <f aca="false">IF($E249="","",DAY($E249))</f>
        <v/>
      </c>
      <c r="H249" s="16" t="str">
        <f aca="true">IF($E249="","",IF(DATE(YEAR(TODAY()),$F249,$G249)&lt;TODAY(),DATE(YEAR(TODAY())+1,$F249,$G249),DATE(YEAR(TODAY()),$F249,$G249)))</f>
        <v/>
      </c>
      <c r="I249" s="15" t="str">
        <f aca="true">IF($H249="","",$H249-TODAY())</f>
        <v/>
      </c>
      <c r="J249" s="10"/>
    </row>
    <row r="250" customFormat="false" ht="15" hidden="false" customHeight="true" outlineLevel="0" collapsed="false">
      <c r="A250" s="13" t="str">
        <f aca="false">IF($B250="","",ROW()-2)</f>
        <v/>
      </c>
      <c r="B250" s="9"/>
      <c r="C250" s="13" t="str">
        <f aca="false">IF($B250="","",IFERROR(INDEX(대상목록!$C$3:$C$302,MATCH($B250,대상목록!$A$3:$A$302,0)),""))</f>
        <v/>
      </c>
      <c r="D250" s="9"/>
      <c r="E250" s="14"/>
      <c r="F250" s="15" t="str">
        <f aca="false">IF($E250="","",MONTH($E250))</f>
        <v/>
      </c>
      <c r="G250" s="15" t="str">
        <f aca="false">IF($E250="","",DAY($E250))</f>
        <v/>
      </c>
      <c r="H250" s="16" t="str">
        <f aca="true">IF($E250="","",IF(DATE(YEAR(TODAY()),$F250,$G250)&lt;TODAY(),DATE(YEAR(TODAY())+1,$F250,$G250),DATE(YEAR(TODAY()),$F250,$G250)))</f>
        <v/>
      </c>
      <c r="I250" s="15" t="str">
        <f aca="true">IF($H250="","",$H250-TODAY())</f>
        <v/>
      </c>
      <c r="J250" s="10"/>
    </row>
    <row r="251" customFormat="false" ht="15" hidden="false" customHeight="true" outlineLevel="0" collapsed="false">
      <c r="A251" s="13" t="str">
        <f aca="false">IF($B251="","",ROW()-2)</f>
        <v/>
      </c>
      <c r="B251" s="9"/>
      <c r="C251" s="13" t="str">
        <f aca="false">IF($B251="","",IFERROR(INDEX(대상목록!$C$3:$C$302,MATCH($B251,대상목록!$A$3:$A$302,0)),""))</f>
        <v/>
      </c>
      <c r="D251" s="9"/>
      <c r="E251" s="14"/>
      <c r="F251" s="15" t="str">
        <f aca="false">IF($E251="","",MONTH($E251))</f>
        <v/>
      </c>
      <c r="G251" s="15" t="str">
        <f aca="false">IF($E251="","",DAY($E251))</f>
        <v/>
      </c>
      <c r="H251" s="16" t="str">
        <f aca="true">IF($E251="","",IF(DATE(YEAR(TODAY()),$F251,$G251)&lt;TODAY(),DATE(YEAR(TODAY())+1,$F251,$G251),DATE(YEAR(TODAY()),$F251,$G251)))</f>
        <v/>
      </c>
      <c r="I251" s="15" t="str">
        <f aca="true">IF($H251="","",$H251-TODAY())</f>
        <v/>
      </c>
      <c r="J251" s="10"/>
    </row>
    <row r="252" customFormat="false" ht="15" hidden="false" customHeight="true" outlineLevel="0" collapsed="false">
      <c r="A252" s="13" t="str">
        <f aca="false">IF($B252="","",ROW()-2)</f>
        <v/>
      </c>
      <c r="B252" s="9"/>
      <c r="C252" s="13" t="str">
        <f aca="false">IF($B252="","",IFERROR(INDEX(대상목록!$C$3:$C$302,MATCH($B252,대상목록!$A$3:$A$302,0)),""))</f>
        <v/>
      </c>
      <c r="D252" s="9"/>
      <c r="E252" s="14"/>
      <c r="F252" s="15" t="str">
        <f aca="false">IF($E252="","",MONTH($E252))</f>
        <v/>
      </c>
      <c r="G252" s="15" t="str">
        <f aca="false">IF($E252="","",DAY($E252))</f>
        <v/>
      </c>
      <c r="H252" s="16" t="str">
        <f aca="true">IF($E252="","",IF(DATE(YEAR(TODAY()),$F252,$G252)&lt;TODAY(),DATE(YEAR(TODAY())+1,$F252,$G252),DATE(YEAR(TODAY()),$F252,$G252)))</f>
        <v/>
      </c>
      <c r="I252" s="15" t="str">
        <f aca="true">IF($H252="","",$H252-TODAY())</f>
        <v/>
      </c>
      <c r="J252" s="10"/>
    </row>
    <row r="253" customFormat="false" ht="15" hidden="false" customHeight="true" outlineLevel="0" collapsed="false">
      <c r="A253" s="13" t="str">
        <f aca="false">IF($B253="","",ROW()-2)</f>
        <v/>
      </c>
      <c r="B253" s="9"/>
      <c r="C253" s="13" t="str">
        <f aca="false">IF($B253="","",IFERROR(INDEX(대상목록!$C$3:$C$302,MATCH($B253,대상목록!$A$3:$A$302,0)),""))</f>
        <v/>
      </c>
      <c r="D253" s="9"/>
      <c r="E253" s="14"/>
      <c r="F253" s="15" t="str">
        <f aca="false">IF($E253="","",MONTH($E253))</f>
        <v/>
      </c>
      <c r="G253" s="15" t="str">
        <f aca="false">IF($E253="","",DAY($E253))</f>
        <v/>
      </c>
      <c r="H253" s="16" t="str">
        <f aca="true">IF($E253="","",IF(DATE(YEAR(TODAY()),$F253,$G253)&lt;TODAY(),DATE(YEAR(TODAY())+1,$F253,$G253),DATE(YEAR(TODAY()),$F253,$G253)))</f>
        <v/>
      </c>
      <c r="I253" s="15" t="str">
        <f aca="true">IF($H253="","",$H253-TODAY())</f>
        <v/>
      </c>
      <c r="J253" s="10"/>
    </row>
    <row r="254" customFormat="false" ht="15" hidden="false" customHeight="true" outlineLevel="0" collapsed="false">
      <c r="A254" s="13" t="str">
        <f aca="false">IF($B254="","",ROW()-2)</f>
        <v/>
      </c>
      <c r="B254" s="9"/>
      <c r="C254" s="13" t="str">
        <f aca="false">IF($B254="","",IFERROR(INDEX(대상목록!$C$3:$C$302,MATCH($B254,대상목록!$A$3:$A$302,0)),""))</f>
        <v/>
      </c>
      <c r="D254" s="9"/>
      <c r="E254" s="14"/>
      <c r="F254" s="15" t="str">
        <f aca="false">IF($E254="","",MONTH($E254))</f>
        <v/>
      </c>
      <c r="G254" s="15" t="str">
        <f aca="false">IF($E254="","",DAY($E254))</f>
        <v/>
      </c>
      <c r="H254" s="16" t="str">
        <f aca="true">IF($E254="","",IF(DATE(YEAR(TODAY()),$F254,$G254)&lt;TODAY(),DATE(YEAR(TODAY())+1,$F254,$G254),DATE(YEAR(TODAY()),$F254,$G254)))</f>
        <v/>
      </c>
      <c r="I254" s="15" t="str">
        <f aca="true">IF($H254="","",$H254-TODAY())</f>
        <v/>
      </c>
      <c r="J254" s="10"/>
    </row>
    <row r="255" customFormat="false" ht="15" hidden="false" customHeight="true" outlineLevel="0" collapsed="false">
      <c r="A255" s="13" t="str">
        <f aca="false">IF($B255="","",ROW()-2)</f>
        <v/>
      </c>
      <c r="B255" s="9"/>
      <c r="C255" s="13" t="str">
        <f aca="false">IF($B255="","",IFERROR(INDEX(대상목록!$C$3:$C$302,MATCH($B255,대상목록!$A$3:$A$302,0)),""))</f>
        <v/>
      </c>
      <c r="D255" s="9"/>
      <c r="E255" s="14"/>
      <c r="F255" s="15" t="str">
        <f aca="false">IF($E255="","",MONTH($E255))</f>
        <v/>
      </c>
      <c r="G255" s="15" t="str">
        <f aca="false">IF($E255="","",DAY($E255))</f>
        <v/>
      </c>
      <c r="H255" s="16" t="str">
        <f aca="true">IF($E255="","",IF(DATE(YEAR(TODAY()),$F255,$G255)&lt;TODAY(),DATE(YEAR(TODAY())+1,$F255,$G255),DATE(YEAR(TODAY()),$F255,$G255)))</f>
        <v/>
      </c>
      <c r="I255" s="15" t="str">
        <f aca="true">IF($H255="","",$H255-TODAY())</f>
        <v/>
      </c>
      <c r="J255" s="10"/>
    </row>
    <row r="256" customFormat="false" ht="15" hidden="false" customHeight="true" outlineLevel="0" collapsed="false">
      <c r="A256" s="13" t="str">
        <f aca="false">IF($B256="","",ROW()-2)</f>
        <v/>
      </c>
      <c r="B256" s="9"/>
      <c r="C256" s="13" t="str">
        <f aca="false">IF($B256="","",IFERROR(INDEX(대상목록!$C$3:$C$302,MATCH($B256,대상목록!$A$3:$A$302,0)),""))</f>
        <v/>
      </c>
      <c r="D256" s="9"/>
      <c r="E256" s="14"/>
      <c r="F256" s="15" t="str">
        <f aca="false">IF($E256="","",MONTH($E256))</f>
        <v/>
      </c>
      <c r="G256" s="15" t="str">
        <f aca="false">IF($E256="","",DAY($E256))</f>
        <v/>
      </c>
      <c r="H256" s="16" t="str">
        <f aca="true">IF($E256="","",IF(DATE(YEAR(TODAY()),$F256,$G256)&lt;TODAY(),DATE(YEAR(TODAY())+1,$F256,$G256),DATE(YEAR(TODAY()),$F256,$G256)))</f>
        <v/>
      </c>
      <c r="I256" s="15" t="str">
        <f aca="true">IF($H256="","",$H256-TODAY())</f>
        <v/>
      </c>
      <c r="J256" s="10"/>
    </row>
    <row r="257" customFormat="false" ht="15" hidden="false" customHeight="true" outlineLevel="0" collapsed="false">
      <c r="A257" s="13" t="str">
        <f aca="false">IF($B257="","",ROW()-2)</f>
        <v/>
      </c>
      <c r="B257" s="9"/>
      <c r="C257" s="13" t="str">
        <f aca="false">IF($B257="","",IFERROR(INDEX(대상목록!$C$3:$C$302,MATCH($B257,대상목록!$A$3:$A$302,0)),""))</f>
        <v/>
      </c>
      <c r="D257" s="9"/>
      <c r="E257" s="14"/>
      <c r="F257" s="15" t="str">
        <f aca="false">IF($E257="","",MONTH($E257))</f>
        <v/>
      </c>
      <c r="G257" s="15" t="str">
        <f aca="false">IF($E257="","",DAY($E257))</f>
        <v/>
      </c>
      <c r="H257" s="16" t="str">
        <f aca="true">IF($E257="","",IF(DATE(YEAR(TODAY()),$F257,$G257)&lt;TODAY(),DATE(YEAR(TODAY())+1,$F257,$G257),DATE(YEAR(TODAY()),$F257,$G257)))</f>
        <v/>
      </c>
      <c r="I257" s="15" t="str">
        <f aca="true">IF($H257="","",$H257-TODAY())</f>
        <v/>
      </c>
      <c r="J257" s="10"/>
    </row>
    <row r="258" customFormat="false" ht="15" hidden="false" customHeight="true" outlineLevel="0" collapsed="false">
      <c r="A258" s="13" t="str">
        <f aca="false">IF($B258="","",ROW()-2)</f>
        <v/>
      </c>
      <c r="B258" s="9"/>
      <c r="C258" s="13" t="str">
        <f aca="false">IF($B258="","",IFERROR(INDEX(대상목록!$C$3:$C$302,MATCH($B258,대상목록!$A$3:$A$302,0)),""))</f>
        <v/>
      </c>
      <c r="D258" s="9"/>
      <c r="E258" s="14"/>
      <c r="F258" s="15" t="str">
        <f aca="false">IF($E258="","",MONTH($E258))</f>
        <v/>
      </c>
      <c r="G258" s="15" t="str">
        <f aca="false">IF($E258="","",DAY($E258))</f>
        <v/>
      </c>
      <c r="H258" s="16" t="str">
        <f aca="true">IF($E258="","",IF(DATE(YEAR(TODAY()),$F258,$G258)&lt;TODAY(),DATE(YEAR(TODAY())+1,$F258,$G258),DATE(YEAR(TODAY()),$F258,$G258)))</f>
        <v/>
      </c>
      <c r="I258" s="15" t="str">
        <f aca="true">IF($H258="","",$H258-TODAY())</f>
        <v/>
      </c>
      <c r="J258" s="10"/>
    </row>
    <row r="259" customFormat="false" ht="15" hidden="false" customHeight="true" outlineLevel="0" collapsed="false">
      <c r="A259" s="13" t="str">
        <f aca="false">IF($B259="","",ROW()-2)</f>
        <v/>
      </c>
      <c r="B259" s="9"/>
      <c r="C259" s="13" t="str">
        <f aca="false">IF($B259="","",IFERROR(INDEX(대상목록!$C$3:$C$302,MATCH($B259,대상목록!$A$3:$A$302,0)),""))</f>
        <v/>
      </c>
      <c r="D259" s="9"/>
      <c r="E259" s="14"/>
      <c r="F259" s="15" t="str">
        <f aca="false">IF($E259="","",MONTH($E259))</f>
        <v/>
      </c>
      <c r="G259" s="15" t="str">
        <f aca="false">IF($E259="","",DAY($E259))</f>
        <v/>
      </c>
      <c r="H259" s="16" t="str">
        <f aca="true">IF($E259="","",IF(DATE(YEAR(TODAY()),$F259,$G259)&lt;TODAY(),DATE(YEAR(TODAY())+1,$F259,$G259),DATE(YEAR(TODAY()),$F259,$G259)))</f>
        <v/>
      </c>
      <c r="I259" s="15" t="str">
        <f aca="true">IF($H259="","",$H259-TODAY())</f>
        <v/>
      </c>
      <c r="J259" s="10"/>
    </row>
    <row r="260" customFormat="false" ht="15" hidden="false" customHeight="true" outlineLevel="0" collapsed="false">
      <c r="A260" s="13" t="str">
        <f aca="false">IF($B260="","",ROW()-2)</f>
        <v/>
      </c>
      <c r="B260" s="9"/>
      <c r="C260" s="13" t="str">
        <f aca="false">IF($B260="","",IFERROR(INDEX(대상목록!$C$3:$C$302,MATCH($B260,대상목록!$A$3:$A$302,0)),""))</f>
        <v/>
      </c>
      <c r="D260" s="9"/>
      <c r="E260" s="14"/>
      <c r="F260" s="15" t="str">
        <f aca="false">IF($E260="","",MONTH($E260))</f>
        <v/>
      </c>
      <c r="G260" s="15" t="str">
        <f aca="false">IF($E260="","",DAY($E260))</f>
        <v/>
      </c>
      <c r="H260" s="16" t="str">
        <f aca="true">IF($E260="","",IF(DATE(YEAR(TODAY()),$F260,$G260)&lt;TODAY(),DATE(YEAR(TODAY())+1,$F260,$G260),DATE(YEAR(TODAY()),$F260,$G260)))</f>
        <v/>
      </c>
      <c r="I260" s="15" t="str">
        <f aca="true">IF($H260="","",$H260-TODAY())</f>
        <v/>
      </c>
      <c r="J260" s="10"/>
    </row>
    <row r="261" customFormat="false" ht="15" hidden="false" customHeight="true" outlineLevel="0" collapsed="false">
      <c r="A261" s="13" t="str">
        <f aca="false">IF($B261="","",ROW()-2)</f>
        <v/>
      </c>
      <c r="B261" s="9"/>
      <c r="C261" s="13" t="str">
        <f aca="false">IF($B261="","",IFERROR(INDEX(대상목록!$C$3:$C$302,MATCH($B261,대상목록!$A$3:$A$302,0)),""))</f>
        <v/>
      </c>
      <c r="D261" s="9"/>
      <c r="E261" s="14"/>
      <c r="F261" s="15" t="str">
        <f aca="false">IF($E261="","",MONTH($E261))</f>
        <v/>
      </c>
      <c r="G261" s="15" t="str">
        <f aca="false">IF($E261="","",DAY($E261))</f>
        <v/>
      </c>
      <c r="H261" s="16" t="str">
        <f aca="true">IF($E261="","",IF(DATE(YEAR(TODAY()),$F261,$G261)&lt;TODAY(),DATE(YEAR(TODAY())+1,$F261,$G261),DATE(YEAR(TODAY()),$F261,$G261)))</f>
        <v/>
      </c>
      <c r="I261" s="15" t="str">
        <f aca="true">IF($H261="","",$H261-TODAY())</f>
        <v/>
      </c>
      <c r="J261" s="10"/>
    </row>
    <row r="262" customFormat="false" ht="15" hidden="false" customHeight="true" outlineLevel="0" collapsed="false">
      <c r="A262" s="13" t="str">
        <f aca="false">IF($B262="","",ROW()-2)</f>
        <v/>
      </c>
      <c r="B262" s="9"/>
      <c r="C262" s="13" t="str">
        <f aca="false">IF($B262="","",IFERROR(INDEX(대상목록!$C$3:$C$302,MATCH($B262,대상목록!$A$3:$A$302,0)),""))</f>
        <v/>
      </c>
      <c r="D262" s="9"/>
      <c r="E262" s="14"/>
      <c r="F262" s="15" t="str">
        <f aca="false">IF($E262="","",MONTH($E262))</f>
        <v/>
      </c>
      <c r="G262" s="15" t="str">
        <f aca="false">IF($E262="","",DAY($E262))</f>
        <v/>
      </c>
      <c r="H262" s="16" t="str">
        <f aca="true">IF($E262="","",IF(DATE(YEAR(TODAY()),$F262,$G262)&lt;TODAY(),DATE(YEAR(TODAY())+1,$F262,$G262),DATE(YEAR(TODAY()),$F262,$G262)))</f>
        <v/>
      </c>
      <c r="I262" s="15" t="str">
        <f aca="true">IF($H262="","",$H262-TODAY())</f>
        <v/>
      </c>
      <c r="J262" s="10"/>
    </row>
    <row r="263" customFormat="false" ht="15" hidden="false" customHeight="true" outlineLevel="0" collapsed="false">
      <c r="A263" s="13" t="str">
        <f aca="false">IF($B263="","",ROW()-2)</f>
        <v/>
      </c>
      <c r="B263" s="9"/>
      <c r="C263" s="13" t="str">
        <f aca="false">IF($B263="","",IFERROR(INDEX(대상목록!$C$3:$C$302,MATCH($B263,대상목록!$A$3:$A$302,0)),""))</f>
        <v/>
      </c>
      <c r="D263" s="9"/>
      <c r="E263" s="14"/>
      <c r="F263" s="15" t="str">
        <f aca="false">IF($E263="","",MONTH($E263))</f>
        <v/>
      </c>
      <c r="G263" s="15" t="str">
        <f aca="false">IF($E263="","",DAY($E263))</f>
        <v/>
      </c>
      <c r="H263" s="16" t="str">
        <f aca="true">IF($E263="","",IF(DATE(YEAR(TODAY()),$F263,$G263)&lt;TODAY(),DATE(YEAR(TODAY())+1,$F263,$G263),DATE(YEAR(TODAY()),$F263,$G263)))</f>
        <v/>
      </c>
      <c r="I263" s="15" t="str">
        <f aca="true">IF($H263="","",$H263-TODAY())</f>
        <v/>
      </c>
      <c r="J263" s="10"/>
    </row>
    <row r="264" customFormat="false" ht="15" hidden="false" customHeight="true" outlineLevel="0" collapsed="false">
      <c r="A264" s="13" t="str">
        <f aca="false">IF($B264="","",ROW()-2)</f>
        <v/>
      </c>
      <c r="B264" s="9"/>
      <c r="C264" s="13" t="str">
        <f aca="false">IF($B264="","",IFERROR(INDEX(대상목록!$C$3:$C$302,MATCH($B264,대상목록!$A$3:$A$302,0)),""))</f>
        <v/>
      </c>
      <c r="D264" s="9"/>
      <c r="E264" s="14"/>
      <c r="F264" s="15" t="str">
        <f aca="false">IF($E264="","",MONTH($E264))</f>
        <v/>
      </c>
      <c r="G264" s="15" t="str">
        <f aca="false">IF($E264="","",DAY($E264))</f>
        <v/>
      </c>
      <c r="H264" s="16" t="str">
        <f aca="true">IF($E264="","",IF(DATE(YEAR(TODAY()),$F264,$G264)&lt;TODAY(),DATE(YEAR(TODAY())+1,$F264,$G264),DATE(YEAR(TODAY()),$F264,$G264)))</f>
        <v/>
      </c>
      <c r="I264" s="15" t="str">
        <f aca="true">IF($H264="","",$H264-TODAY())</f>
        <v/>
      </c>
      <c r="J264" s="10"/>
    </row>
    <row r="265" customFormat="false" ht="15" hidden="false" customHeight="true" outlineLevel="0" collapsed="false">
      <c r="A265" s="13" t="str">
        <f aca="false">IF($B265="","",ROW()-2)</f>
        <v/>
      </c>
      <c r="B265" s="9"/>
      <c r="C265" s="13" t="str">
        <f aca="false">IF($B265="","",IFERROR(INDEX(대상목록!$C$3:$C$302,MATCH($B265,대상목록!$A$3:$A$302,0)),""))</f>
        <v/>
      </c>
      <c r="D265" s="9"/>
      <c r="E265" s="14"/>
      <c r="F265" s="15" t="str">
        <f aca="false">IF($E265="","",MONTH($E265))</f>
        <v/>
      </c>
      <c r="G265" s="15" t="str">
        <f aca="false">IF($E265="","",DAY($E265))</f>
        <v/>
      </c>
      <c r="H265" s="16" t="str">
        <f aca="true">IF($E265="","",IF(DATE(YEAR(TODAY()),$F265,$G265)&lt;TODAY(),DATE(YEAR(TODAY())+1,$F265,$G265),DATE(YEAR(TODAY()),$F265,$G265)))</f>
        <v/>
      </c>
      <c r="I265" s="15" t="str">
        <f aca="true">IF($H265="","",$H265-TODAY())</f>
        <v/>
      </c>
      <c r="J265" s="10"/>
    </row>
    <row r="266" customFormat="false" ht="15" hidden="false" customHeight="true" outlineLevel="0" collapsed="false">
      <c r="A266" s="13" t="str">
        <f aca="false">IF($B266="","",ROW()-2)</f>
        <v/>
      </c>
      <c r="B266" s="9"/>
      <c r="C266" s="13" t="str">
        <f aca="false">IF($B266="","",IFERROR(INDEX(대상목록!$C$3:$C$302,MATCH($B266,대상목록!$A$3:$A$302,0)),""))</f>
        <v/>
      </c>
      <c r="D266" s="9"/>
      <c r="E266" s="14"/>
      <c r="F266" s="15" t="str">
        <f aca="false">IF($E266="","",MONTH($E266))</f>
        <v/>
      </c>
      <c r="G266" s="15" t="str">
        <f aca="false">IF($E266="","",DAY($E266))</f>
        <v/>
      </c>
      <c r="H266" s="16" t="str">
        <f aca="true">IF($E266="","",IF(DATE(YEAR(TODAY()),$F266,$G266)&lt;TODAY(),DATE(YEAR(TODAY())+1,$F266,$G266),DATE(YEAR(TODAY()),$F266,$G266)))</f>
        <v/>
      </c>
      <c r="I266" s="15" t="str">
        <f aca="true">IF($H266="","",$H266-TODAY())</f>
        <v/>
      </c>
      <c r="J266" s="10"/>
    </row>
    <row r="267" customFormat="false" ht="15" hidden="false" customHeight="true" outlineLevel="0" collapsed="false">
      <c r="A267" s="13" t="str">
        <f aca="false">IF($B267="","",ROW()-2)</f>
        <v/>
      </c>
      <c r="B267" s="9"/>
      <c r="C267" s="13" t="str">
        <f aca="false">IF($B267="","",IFERROR(INDEX(대상목록!$C$3:$C$302,MATCH($B267,대상목록!$A$3:$A$302,0)),""))</f>
        <v/>
      </c>
      <c r="D267" s="9"/>
      <c r="E267" s="14"/>
      <c r="F267" s="15" t="str">
        <f aca="false">IF($E267="","",MONTH($E267))</f>
        <v/>
      </c>
      <c r="G267" s="15" t="str">
        <f aca="false">IF($E267="","",DAY($E267))</f>
        <v/>
      </c>
      <c r="H267" s="16" t="str">
        <f aca="true">IF($E267="","",IF(DATE(YEAR(TODAY()),$F267,$G267)&lt;TODAY(),DATE(YEAR(TODAY())+1,$F267,$G267),DATE(YEAR(TODAY()),$F267,$G267)))</f>
        <v/>
      </c>
      <c r="I267" s="15" t="str">
        <f aca="true">IF($H267="","",$H267-TODAY())</f>
        <v/>
      </c>
      <c r="J267" s="10"/>
    </row>
    <row r="268" customFormat="false" ht="15" hidden="false" customHeight="true" outlineLevel="0" collapsed="false">
      <c r="A268" s="13" t="str">
        <f aca="false">IF($B268="","",ROW()-2)</f>
        <v/>
      </c>
      <c r="B268" s="9"/>
      <c r="C268" s="13" t="str">
        <f aca="false">IF($B268="","",IFERROR(INDEX(대상목록!$C$3:$C$302,MATCH($B268,대상목록!$A$3:$A$302,0)),""))</f>
        <v/>
      </c>
      <c r="D268" s="9"/>
      <c r="E268" s="14"/>
      <c r="F268" s="15" t="str">
        <f aca="false">IF($E268="","",MONTH($E268))</f>
        <v/>
      </c>
      <c r="G268" s="15" t="str">
        <f aca="false">IF($E268="","",DAY($E268))</f>
        <v/>
      </c>
      <c r="H268" s="16" t="str">
        <f aca="true">IF($E268="","",IF(DATE(YEAR(TODAY()),$F268,$G268)&lt;TODAY(),DATE(YEAR(TODAY())+1,$F268,$G268),DATE(YEAR(TODAY()),$F268,$G268)))</f>
        <v/>
      </c>
      <c r="I268" s="15" t="str">
        <f aca="true">IF($H268="","",$H268-TODAY())</f>
        <v/>
      </c>
      <c r="J268" s="10"/>
    </row>
    <row r="269" customFormat="false" ht="15" hidden="false" customHeight="true" outlineLevel="0" collapsed="false">
      <c r="A269" s="13" t="str">
        <f aca="false">IF($B269="","",ROW()-2)</f>
        <v/>
      </c>
      <c r="B269" s="9"/>
      <c r="C269" s="13" t="str">
        <f aca="false">IF($B269="","",IFERROR(INDEX(대상목록!$C$3:$C$302,MATCH($B269,대상목록!$A$3:$A$302,0)),""))</f>
        <v/>
      </c>
      <c r="D269" s="9"/>
      <c r="E269" s="14"/>
      <c r="F269" s="15" t="str">
        <f aca="false">IF($E269="","",MONTH($E269))</f>
        <v/>
      </c>
      <c r="G269" s="15" t="str">
        <f aca="false">IF($E269="","",DAY($E269))</f>
        <v/>
      </c>
      <c r="H269" s="16" t="str">
        <f aca="true">IF($E269="","",IF(DATE(YEAR(TODAY()),$F269,$G269)&lt;TODAY(),DATE(YEAR(TODAY())+1,$F269,$G269),DATE(YEAR(TODAY()),$F269,$G269)))</f>
        <v/>
      </c>
      <c r="I269" s="15" t="str">
        <f aca="true">IF($H269="","",$H269-TODAY())</f>
        <v/>
      </c>
      <c r="J269" s="10"/>
    </row>
    <row r="270" customFormat="false" ht="15" hidden="false" customHeight="true" outlineLevel="0" collapsed="false">
      <c r="A270" s="13" t="str">
        <f aca="false">IF($B270="","",ROW()-2)</f>
        <v/>
      </c>
      <c r="B270" s="9"/>
      <c r="C270" s="13" t="str">
        <f aca="false">IF($B270="","",IFERROR(INDEX(대상목록!$C$3:$C$302,MATCH($B270,대상목록!$A$3:$A$302,0)),""))</f>
        <v/>
      </c>
      <c r="D270" s="9"/>
      <c r="E270" s="14"/>
      <c r="F270" s="15" t="str">
        <f aca="false">IF($E270="","",MONTH($E270))</f>
        <v/>
      </c>
      <c r="G270" s="15" t="str">
        <f aca="false">IF($E270="","",DAY($E270))</f>
        <v/>
      </c>
      <c r="H270" s="16" t="str">
        <f aca="true">IF($E270="","",IF(DATE(YEAR(TODAY()),$F270,$G270)&lt;TODAY(),DATE(YEAR(TODAY())+1,$F270,$G270),DATE(YEAR(TODAY()),$F270,$G270)))</f>
        <v/>
      </c>
      <c r="I270" s="15" t="str">
        <f aca="true">IF($H270="","",$H270-TODAY())</f>
        <v/>
      </c>
      <c r="J270" s="10"/>
    </row>
    <row r="271" customFormat="false" ht="15" hidden="false" customHeight="true" outlineLevel="0" collapsed="false">
      <c r="A271" s="13" t="str">
        <f aca="false">IF($B271="","",ROW()-2)</f>
        <v/>
      </c>
      <c r="B271" s="9"/>
      <c r="C271" s="13" t="str">
        <f aca="false">IF($B271="","",IFERROR(INDEX(대상목록!$C$3:$C$302,MATCH($B271,대상목록!$A$3:$A$302,0)),""))</f>
        <v/>
      </c>
      <c r="D271" s="9"/>
      <c r="E271" s="14"/>
      <c r="F271" s="15" t="str">
        <f aca="false">IF($E271="","",MONTH($E271))</f>
        <v/>
      </c>
      <c r="G271" s="15" t="str">
        <f aca="false">IF($E271="","",DAY($E271))</f>
        <v/>
      </c>
      <c r="H271" s="16" t="str">
        <f aca="true">IF($E271="","",IF(DATE(YEAR(TODAY()),$F271,$G271)&lt;TODAY(),DATE(YEAR(TODAY())+1,$F271,$G271),DATE(YEAR(TODAY()),$F271,$G271)))</f>
        <v/>
      </c>
      <c r="I271" s="15" t="str">
        <f aca="true">IF($H271="","",$H271-TODAY())</f>
        <v/>
      </c>
      <c r="J271" s="10"/>
    </row>
    <row r="272" customFormat="false" ht="15" hidden="false" customHeight="true" outlineLevel="0" collapsed="false">
      <c r="A272" s="13" t="str">
        <f aca="false">IF($B272="","",ROW()-2)</f>
        <v/>
      </c>
      <c r="B272" s="9"/>
      <c r="C272" s="13" t="str">
        <f aca="false">IF($B272="","",IFERROR(INDEX(대상목록!$C$3:$C$302,MATCH($B272,대상목록!$A$3:$A$302,0)),""))</f>
        <v/>
      </c>
      <c r="D272" s="9"/>
      <c r="E272" s="14"/>
      <c r="F272" s="15" t="str">
        <f aca="false">IF($E272="","",MONTH($E272))</f>
        <v/>
      </c>
      <c r="G272" s="15" t="str">
        <f aca="false">IF($E272="","",DAY($E272))</f>
        <v/>
      </c>
      <c r="H272" s="16" t="str">
        <f aca="true">IF($E272="","",IF(DATE(YEAR(TODAY()),$F272,$G272)&lt;TODAY(),DATE(YEAR(TODAY())+1,$F272,$G272),DATE(YEAR(TODAY()),$F272,$G272)))</f>
        <v/>
      </c>
      <c r="I272" s="15" t="str">
        <f aca="true">IF($H272="","",$H272-TODAY())</f>
        <v/>
      </c>
      <c r="J272" s="10"/>
    </row>
    <row r="273" customFormat="false" ht="15" hidden="false" customHeight="true" outlineLevel="0" collapsed="false">
      <c r="A273" s="13" t="str">
        <f aca="false">IF($B273="","",ROW()-2)</f>
        <v/>
      </c>
      <c r="B273" s="9"/>
      <c r="C273" s="13" t="str">
        <f aca="false">IF($B273="","",IFERROR(INDEX(대상목록!$C$3:$C$302,MATCH($B273,대상목록!$A$3:$A$302,0)),""))</f>
        <v/>
      </c>
      <c r="D273" s="9"/>
      <c r="E273" s="14"/>
      <c r="F273" s="15" t="str">
        <f aca="false">IF($E273="","",MONTH($E273))</f>
        <v/>
      </c>
      <c r="G273" s="15" t="str">
        <f aca="false">IF($E273="","",DAY($E273))</f>
        <v/>
      </c>
      <c r="H273" s="16" t="str">
        <f aca="true">IF($E273="","",IF(DATE(YEAR(TODAY()),$F273,$G273)&lt;TODAY(),DATE(YEAR(TODAY())+1,$F273,$G273),DATE(YEAR(TODAY()),$F273,$G273)))</f>
        <v/>
      </c>
      <c r="I273" s="15" t="str">
        <f aca="true">IF($H273="","",$H273-TODAY())</f>
        <v/>
      </c>
      <c r="J273" s="10"/>
    </row>
    <row r="274" customFormat="false" ht="15" hidden="false" customHeight="true" outlineLevel="0" collapsed="false">
      <c r="A274" s="13" t="str">
        <f aca="false">IF($B274="","",ROW()-2)</f>
        <v/>
      </c>
      <c r="B274" s="9"/>
      <c r="C274" s="13" t="str">
        <f aca="false">IF($B274="","",IFERROR(INDEX(대상목록!$C$3:$C$302,MATCH($B274,대상목록!$A$3:$A$302,0)),""))</f>
        <v/>
      </c>
      <c r="D274" s="9"/>
      <c r="E274" s="14"/>
      <c r="F274" s="15" t="str">
        <f aca="false">IF($E274="","",MONTH($E274))</f>
        <v/>
      </c>
      <c r="G274" s="15" t="str">
        <f aca="false">IF($E274="","",DAY($E274))</f>
        <v/>
      </c>
      <c r="H274" s="16" t="str">
        <f aca="true">IF($E274="","",IF(DATE(YEAR(TODAY()),$F274,$G274)&lt;TODAY(),DATE(YEAR(TODAY())+1,$F274,$G274),DATE(YEAR(TODAY()),$F274,$G274)))</f>
        <v/>
      </c>
      <c r="I274" s="15" t="str">
        <f aca="true">IF($H274="","",$H274-TODAY())</f>
        <v/>
      </c>
      <c r="J274" s="10"/>
    </row>
    <row r="275" customFormat="false" ht="15" hidden="false" customHeight="true" outlineLevel="0" collapsed="false">
      <c r="A275" s="13" t="str">
        <f aca="false">IF($B275="","",ROW()-2)</f>
        <v/>
      </c>
      <c r="B275" s="9"/>
      <c r="C275" s="13" t="str">
        <f aca="false">IF($B275="","",IFERROR(INDEX(대상목록!$C$3:$C$302,MATCH($B275,대상목록!$A$3:$A$302,0)),""))</f>
        <v/>
      </c>
      <c r="D275" s="9"/>
      <c r="E275" s="14"/>
      <c r="F275" s="15" t="str">
        <f aca="false">IF($E275="","",MONTH($E275))</f>
        <v/>
      </c>
      <c r="G275" s="15" t="str">
        <f aca="false">IF($E275="","",DAY($E275))</f>
        <v/>
      </c>
      <c r="H275" s="16" t="str">
        <f aca="true">IF($E275="","",IF(DATE(YEAR(TODAY()),$F275,$G275)&lt;TODAY(),DATE(YEAR(TODAY())+1,$F275,$G275),DATE(YEAR(TODAY()),$F275,$G275)))</f>
        <v/>
      </c>
      <c r="I275" s="15" t="str">
        <f aca="true">IF($H275="","",$H275-TODAY())</f>
        <v/>
      </c>
      <c r="J275" s="10"/>
    </row>
    <row r="276" customFormat="false" ht="15" hidden="false" customHeight="true" outlineLevel="0" collapsed="false">
      <c r="A276" s="13" t="str">
        <f aca="false">IF($B276="","",ROW()-2)</f>
        <v/>
      </c>
      <c r="B276" s="9"/>
      <c r="C276" s="13" t="str">
        <f aca="false">IF($B276="","",IFERROR(INDEX(대상목록!$C$3:$C$302,MATCH($B276,대상목록!$A$3:$A$302,0)),""))</f>
        <v/>
      </c>
      <c r="D276" s="9"/>
      <c r="E276" s="14"/>
      <c r="F276" s="15" t="str">
        <f aca="false">IF($E276="","",MONTH($E276))</f>
        <v/>
      </c>
      <c r="G276" s="15" t="str">
        <f aca="false">IF($E276="","",DAY($E276))</f>
        <v/>
      </c>
      <c r="H276" s="16" t="str">
        <f aca="true">IF($E276="","",IF(DATE(YEAR(TODAY()),$F276,$G276)&lt;TODAY(),DATE(YEAR(TODAY())+1,$F276,$G276),DATE(YEAR(TODAY()),$F276,$G276)))</f>
        <v/>
      </c>
      <c r="I276" s="15" t="str">
        <f aca="true">IF($H276="","",$H276-TODAY())</f>
        <v/>
      </c>
      <c r="J276" s="10"/>
    </row>
    <row r="277" customFormat="false" ht="15" hidden="false" customHeight="true" outlineLevel="0" collapsed="false">
      <c r="A277" s="13" t="str">
        <f aca="false">IF($B277="","",ROW()-2)</f>
        <v/>
      </c>
      <c r="B277" s="9"/>
      <c r="C277" s="13" t="str">
        <f aca="false">IF($B277="","",IFERROR(INDEX(대상목록!$C$3:$C$302,MATCH($B277,대상목록!$A$3:$A$302,0)),""))</f>
        <v/>
      </c>
      <c r="D277" s="9"/>
      <c r="E277" s="14"/>
      <c r="F277" s="15" t="str">
        <f aca="false">IF($E277="","",MONTH($E277))</f>
        <v/>
      </c>
      <c r="G277" s="15" t="str">
        <f aca="false">IF($E277="","",DAY($E277))</f>
        <v/>
      </c>
      <c r="H277" s="16" t="str">
        <f aca="true">IF($E277="","",IF(DATE(YEAR(TODAY()),$F277,$G277)&lt;TODAY(),DATE(YEAR(TODAY())+1,$F277,$G277),DATE(YEAR(TODAY()),$F277,$G277)))</f>
        <v/>
      </c>
      <c r="I277" s="15" t="str">
        <f aca="true">IF($H277="","",$H277-TODAY())</f>
        <v/>
      </c>
      <c r="J277" s="10"/>
    </row>
    <row r="278" customFormat="false" ht="15" hidden="false" customHeight="true" outlineLevel="0" collapsed="false">
      <c r="A278" s="13" t="str">
        <f aca="false">IF($B278="","",ROW()-2)</f>
        <v/>
      </c>
      <c r="B278" s="9"/>
      <c r="C278" s="13" t="str">
        <f aca="false">IF($B278="","",IFERROR(INDEX(대상목록!$C$3:$C$302,MATCH($B278,대상목록!$A$3:$A$302,0)),""))</f>
        <v/>
      </c>
      <c r="D278" s="9"/>
      <c r="E278" s="14"/>
      <c r="F278" s="15" t="str">
        <f aca="false">IF($E278="","",MONTH($E278))</f>
        <v/>
      </c>
      <c r="G278" s="15" t="str">
        <f aca="false">IF($E278="","",DAY($E278))</f>
        <v/>
      </c>
      <c r="H278" s="16" t="str">
        <f aca="true">IF($E278="","",IF(DATE(YEAR(TODAY()),$F278,$G278)&lt;TODAY(),DATE(YEAR(TODAY())+1,$F278,$G278),DATE(YEAR(TODAY()),$F278,$G278)))</f>
        <v/>
      </c>
      <c r="I278" s="15" t="str">
        <f aca="true">IF($H278="","",$H278-TODAY())</f>
        <v/>
      </c>
      <c r="J278" s="10"/>
    </row>
    <row r="279" customFormat="false" ht="15" hidden="false" customHeight="true" outlineLevel="0" collapsed="false">
      <c r="A279" s="13" t="str">
        <f aca="false">IF($B279="","",ROW()-2)</f>
        <v/>
      </c>
      <c r="B279" s="9"/>
      <c r="C279" s="13" t="str">
        <f aca="false">IF($B279="","",IFERROR(INDEX(대상목록!$C$3:$C$302,MATCH($B279,대상목록!$A$3:$A$302,0)),""))</f>
        <v/>
      </c>
      <c r="D279" s="9"/>
      <c r="E279" s="14"/>
      <c r="F279" s="15" t="str">
        <f aca="false">IF($E279="","",MONTH($E279))</f>
        <v/>
      </c>
      <c r="G279" s="15" t="str">
        <f aca="false">IF($E279="","",DAY($E279))</f>
        <v/>
      </c>
      <c r="H279" s="16" t="str">
        <f aca="true">IF($E279="","",IF(DATE(YEAR(TODAY()),$F279,$G279)&lt;TODAY(),DATE(YEAR(TODAY())+1,$F279,$G279),DATE(YEAR(TODAY()),$F279,$G279)))</f>
        <v/>
      </c>
      <c r="I279" s="15" t="str">
        <f aca="true">IF($H279="","",$H279-TODAY())</f>
        <v/>
      </c>
      <c r="J279" s="10"/>
    </row>
    <row r="280" customFormat="false" ht="15" hidden="false" customHeight="true" outlineLevel="0" collapsed="false">
      <c r="A280" s="13" t="str">
        <f aca="false">IF($B280="","",ROW()-2)</f>
        <v/>
      </c>
      <c r="B280" s="9"/>
      <c r="C280" s="13" t="str">
        <f aca="false">IF($B280="","",IFERROR(INDEX(대상목록!$C$3:$C$302,MATCH($B280,대상목록!$A$3:$A$302,0)),""))</f>
        <v/>
      </c>
      <c r="D280" s="9"/>
      <c r="E280" s="14"/>
      <c r="F280" s="15" t="str">
        <f aca="false">IF($E280="","",MONTH($E280))</f>
        <v/>
      </c>
      <c r="G280" s="15" t="str">
        <f aca="false">IF($E280="","",DAY($E280))</f>
        <v/>
      </c>
      <c r="H280" s="16" t="str">
        <f aca="true">IF($E280="","",IF(DATE(YEAR(TODAY()),$F280,$G280)&lt;TODAY(),DATE(YEAR(TODAY())+1,$F280,$G280),DATE(YEAR(TODAY()),$F280,$G280)))</f>
        <v/>
      </c>
      <c r="I280" s="15" t="str">
        <f aca="true">IF($H280="","",$H280-TODAY())</f>
        <v/>
      </c>
      <c r="J280" s="10"/>
    </row>
    <row r="281" customFormat="false" ht="15" hidden="false" customHeight="true" outlineLevel="0" collapsed="false">
      <c r="A281" s="13" t="str">
        <f aca="false">IF($B281="","",ROW()-2)</f>
        <v/>
      </c>
      <c r="B281" s="9"/>
      <c r="C281" s="13" t="str">
        <f aca="false">IF($B281="","",IFERROR(INDEX(대상목록!$C$3:$C$302,MATCH($B281,대상목록!$A$3:$A$302,0)),""))</f>
        <v/>
      </c>
      <c r="D281" s="9"/>
      <c r="E281" s="14"/>
      <c r="F281" s="15" t="str">
        <f aca="false">IF($E281="","",MONTH($E281))</f>
        <v/>
      </c>
      <c r="G281" s="15" t="str">
        <f aca="false">IF($E281="","",DAY($E281))</f>
        <v/>
      </c>
      <c r="H281" s="16" t="str">
        <f aca="true">IF($E281="","",IF(DATE(YEAR(TODAY()),$F281,$G281)&lt;TODAY(),DATE(YEAR(TODAY())+1,$F281,$G281),DATE(YEAR(TODAY()),$F281,$G281)))</f>
        <v/>
      </c>
      <c r="I281" s="15" t="str">
        <f aca="true">IF($H281="","",$H281-TODAY())</f>
        <v/>
      </c>
      <c r="J281" s="10"/>
    </row>
    <row r="282" customFormat="false" ht="15" hidden="false" customHeight="true" outlineLevel="0" collapsed="false">
      <c r="A282" s="13" t="str">
        <f aca="false">IF($B282="","",ROW()-2)</f>
        <v/>
      </c>
      <c r="B282" s="9"/>
      <c r="C282" s="13" t="str">
        <f aca="false">IF($B282="","",IFERROR(INDEX(대상목록!$C$3:$C$302,MATCH($B282,대상목록!$A$3:$A$302,0)),""))</f>
        <v/>
      </c>
      <c r="D282" s="9"/>
      <c r="E282" s="14"/>
      <c r="F282" s="15" t="str">
        <f aca="false">IF($E282="","",MONTH($E282))</f>
        <v/>
      </c>
      <c r="G282" s="15" t="str">
        <f aca="false">IF($E282="","",DAY($E282))</f>
        <v/>
      </c>
      <c r="H282" s="16" t="str">
        <f aca="true">IF($E282="","",IF(DATE(YEAR(TODAY()),$F282,$G282)&lt;TODAY(),DATE(YEAR(TODAY())+1,$F282,$G282),DATE(YEAR(TODAY()),$F282,$G282)))</f>
        <v/>
      </c>
      <c r="I282" s="15" t="str">
        <f aca="true">IF($H282="","",$H282-TODAY())</f>
        <v/>
      </c>
      <c r="J282" s="10"/>
    </row>
    <row r="283" customFormat="false" ht="15" hidden="false" customHeight="true" outlineLevel="0" collapsed="false">
      <c r="A283" s="13" t="str">
        <f aca="false">IF($B283="","",ROW()-2)</f>
        <v/>
      </c>
      <c r="B283" s="9"/>
      <c r="C283" s="13" t="str">
        <f aca="false">IF($B283="","",IFERROR(INDEX(대상목록!$C$3:$C$302,MATCH($B283,대상목록!$A$3:$A$302,0)),""))</f>
        <v/>
      </c>
      <c r="D283" s="9"/>
      <c r="E283" s="14"/>
      <c r="F283" s="15" t="str">
        <f aca="false">IF($E283="","",MONTH($E283))</f>
        <v/>
      </c>
      <c r="G283" s="15" t="str">
        <f aca="false">IF($E283="","",DAY($E283))</f>
        <v/>
      </c>
      <c r="H283" s="16" t="str">
        <f aca="true">IF($E283="","",IF(DATE(YEAR(TODAY()),$F283,$G283)&lt;TODAY(),DATE(YEAR(TODAY())+1,$F283,$G283),DATE(YEAR(TODAY()),$F283,$G283)))</f>
        <v/>
      </c>
      <c r="I283" s="15" t="str">
        <f aca="true">IF($H283="","",$H283-TODAY())</f>
        <v/>
      </c>
      <c r="J283" s="10"/>
    </row>
    <row r="284" customFormat="false" ht="15" hidden="false" customHeight="true" outlineLevel="0" collapsed="false">
      <c r="A284" s="13" t="str">
        <f aca="false">IF($B284="","",ROW()-2)</f>
        <v/>
      </c>
      <c r="B284" s="9"/>
      <c r="C284" s="13" t="str">
        <f aca="false">IF($B284="","",IFERROR(INDEX(대상목록!$C$3:$C$302,MATCH($B284,대상목록!$A$3:$A$302,0)),""))</f>
        <v/>
      </c>
      <c r="D284" s="9"/>
      <c r="E284" s="14"/>
      <c r="F284" s="15" t="str">
        <f aca="false">IF($E284="","",MONTH($E284))</f>
        <v/>
      </c>
      <c r="G284" s="15" t="str">
        <f aca="false">IF($E284="","",DAY($E284))</f>
        <v/>
      </c>
      <c r="H284" s="16" t="str">
        <f aca="true">IF($E284="","",IF(DATE(YEAR(TODAY()),$F284,$G284)&lt;TODAY(),DATE(YEAR(TODAY())+1,$F284,$G284),DATE(YEAR(TODAY()),$F284,$G284)))</f>
        <v/>
      </c>
      <c r="I284" s="15" t="str">
        <f aca="true">IF($H284="","",$H284-TODAY())</f>
        <v/>
      </c>
      <c r="J284" s="10"/>
    </row>
    <row r="285" customFormat="false" ht="15" hidden="false" customHeight="true" outlineLevel="0" collapsed="false">
      <c r="A285" s="13" t="str">
        <f aca="false">IF($B285="","",ROW()-2)</f>
        <v/>
      </c>
      <c r="B285" s="9"/>
      <c r="C285" s="13" t="str">
        <f aca="false">IF($B285="","",IFERROR(INDEX(대상목록!$C$3:$C$302,MATCH($B285,대상목록!$A$3:$A$302,0)),""))</f>
        <v/>
      </c>
      <c r="D285" s="9"/>
      <c r="E285" s="14"/>
      <c r="F285" s="15" t="str">
        <f aca="false">IF($E285="","",MONTH($E285))</f>
        <v/>
      </c>
      <c r="G285" s="15" t="str">
        <f aca="false">IF($E285="","",DAY($E285))</f>
        <v/>
      </c>
      <c r="H285" s="16" t="str">
        <f aca="true">IF($E285="","",IF(DATE(YEAR(TODAY()),$F285,$G285)&lt;TODAY(),DATE(YEAR(TODAY())+1,$F285,$G285),DATE(YEAR(TODAY()),$F285,$G285)))</f>
        <v/>
      </c>
      <c r="I285" s="15" t="str">
        <f aca="true">IF($H285="","",$H285-TODAY())</f>
        <v/>
      </c>
      <c r="J285" s="10"/>
    </row>
    <row r="286" customFormat="false" ht="15" hidden="false" customHeight="true" outlineLevel="0" collapsed="false">
      <c r="A286" s="13" t="str">
        <f aca="false">IF($B286="","",ROW()-2)</f>
        <v/>
      </c>
      <c r="B286" s="9"/>
      <c r="C286" s="13" t="str">
        <f aca="false">IF($B286="","",IFERROR(INDEX(대상목록!$C$3:$C$302,MATCH($B286,대상목록!$A$3:$A$302,0)),""))</f>
        <v/>
      </c>
      <c r="D286" s="9"/>
      <c r="E286" s="14"/>
      <c r="F286" s="15" t="str">
        <f aca="false">IF($E286="","",MONTH($E286))</f>
        <v/>
      </c>
      <c r="G286" s="15" t="str">
        <f aca="false">IF($E286="","",DAY($E286))</f>
        <v/>
      </c>
      <c r="H286" s="16" t="str">
        <f aca="true">IF($E286="","",IF(DATE(YEAR(TODAY()),$F286,$G286)&lt;TODAY(),DATE(YEAR(TODAY())+1,$F286,$G286),DATE(YEAR(TODAY()),$F286,$G286)))</f>
        <v/>
      </c>
      <c r="I286" s="15" t="str">
        <f aca="true">IF($H286="","",$H286-TODAY())</f>
        <v/>
      </c>
      <c r="J286" s="10"/>
    </row>
    <row r="287" customFormat="false" ht="15" hidden="false" customHeight="true" outlineLevel="0" collapsed="false">
      <c r="A287" s="13" t="str">
        <f aca="false">IF($B287="","",ROW()-2)</f>
        <v/>
      </c>
      <c r="B287" s="9"/>
      <c r="C287" s="13" t="str">
        <f aca="false">IF($B287="","",IFERROR(INDEX(대상목록!$C$3:$C$302,MATCH($B287,대상목록!$A$3:$A$302,0)),""))</f>
        <v/>
      </c>
      <c r="D287" s="9"/>
      <c r="E287" s="14"/>
      <c r="F287" s="15" t="str">
        <f aca="false">IF($E287="","",MONTH($E287))</f>
        <v/>
      </c>
      <c r="G287" s="15" t="str">
        <f aca="false">IF($E287="","",DAY($E287))</f>
        <v/>
      </c>
      <c r="H287" s="16" t="str">
        <f aca="true">IF($E287="","",IF(DATE(YEAR(TODAY()),$F287,$G287)&lt;TODAY(),DATE(YEAR(TODAY())+1,$F287,$G287),DATE(YEAR(TODAY()),$F287,$G287)))</f>
        <v/>
      </c>
      <c r="I287" s="15" t="str">
        <f aca="true">IF($H287="","",$H287-TODAY())</f>
        <v/>
      </c>
      <c r="J287" s="10"/>
    </row>
    <row r="288" customFormat="false" ht="15" hidden="false" customHeight="true" outlineLevel="0" collapsed="false">
      <c r="A288" s="13" t="str">
        <f aca="false">IF($B288="","",ROW()-2)</f>
        <v/>
      </c>
      <c r="B288" s="9"/>
      <c r="C288" s="13" t="str">
        <f aca="false">IF($B288="","",IFERROR(INDEX(대상목록!$C$3:$C$302,MATCH($B288,대상목록!$A$3:$A$302,0)),""))</f>
        <v/>
      </c>
      <c r="D288" s="9"/>
      <c r="E288" s="14"/>
      <c r="F288" s="15" t="str">
        <f aca="false">IF($E288="","",MONTH($E288))</f>
        <v/>
      </c>
      <c r="G288" s="15" t="str">
        <f aca="false">IF($E288="","",DAY($E288))</f>
        <v/>
      </c>
      <c r="H288" s="16" t="str">
        <f aca="true">IF($E288="","",IF(DATE(YEAR(TODAY()),$F288,$G288)&lt;TODAY(),DATE(YEAR(TODAY())+1,$F288,$G288),DATE(YEAR(TODAY()),$F288,$G288)))</f>
        <v/>
      </c>
      <c r="I288" s="15" t="str">
        <f aca="true">IF($H288="","",$H288-TODAY())</f>
        <v/>
      </c>
      <c r="J288" s="10"/>
    </row>
    <row r="289" customFormat="false" ht="15" hidden="false" customHeight="true" outlineLevel="0" collapsed="false">
      <c r="A289" s="13" t="str">
        <f aca="false">IF($B289="","",ROW()-2)</f>
        <v/>
      </c>
      <c r="B289" s="9"/>
      <c r="C289" s="13" t="str">
        <f aca="false">IF($B289="","",IFERROR(INDEX(대상목록!$C$3:$C$302,MATCH($B289,대상목록!$A$3:$A$302,0)),""))</f>
        <v/>
      </c>
      <c r="D289" s="9"/>
      <c r="E289" s="14"/>
      <c r="F289" s="15" t="str">
        <f aca="false">IF($E289="","",MONTH($E289))</f>
        <v/>
      </c>
      <c r="G289" s="15" t="str">
        <f aca="false">IF($E289="","",DAY($E289))</f>
        <v/>
      </c>
      <c r="H289" s="16" t="str">
        <f aca="true">IF($E289="","",IF(DATE(YEAR(TODAY()),$F289,$G289)&lt;TODAY(),DATE(YEAR(TODAY())+1,$F289,$G289),DATE(YEAR(TODAY()),$F289,$G289)))</f>
        <v/>
      </c>
      <c r="I289" s="15" t="str">
        <f aca="true">IF($H289="","",$H289-TODAY())</f>
        <v/>
      </c>
      <c r="J289" s="10"/>
    </row>
    <row r="290" customFormat="false" ht="15" hidden="false" customHeight="true" outlineLevel="0" collapsed="false">
      <c r="A290" s="13" t="str">
        <f aca="false">IF($B290="","",ROW()-2)</f>
        <v/>
      </c>
      <c r="B290" s="9"/>
      <c r="C290" s="13" t="str">
        <f aca="false">IF($B290="","",IFERROR(INDEX(대상목록!$C$3:$C$302,MATCH($B290,대상목록!$A$3:$A$302,0)),""))</f>
        <v/>
      </c>
      <c r="D290" s="9"/>
      <c r="E290" s="14"/>
      <c r="F290" s="15" t="str">
        <f aca="false">IF($E290="","",MONTH($E290))</f>
        <v/>
      </c>
      <c r="G290" s="15" t="str">
        <f aca="false">IF($E290="","",DAY($E290))</f>
        <v/>
      </c>
      <c r="H290" s="16" t="str">
        <f aca="true">IF($E290="","",IF(DATE(YEAR(TODAY()),$F290,$G290)&lt;TODAY(),DATE(YEAR(TODAY())+1,$F290,$G290),DATE(YEAR(TODAY()),$F290,$G290)))</f>
        <v/>
      </c>
      <c r="I290" s="15" t="str">
        <f aca="true">IF($H290="","",$H290-TODAY())</f>
        <v/>
      </c>
      <c r="J290" s="10"/>
    </row>
    <row r="291" customFormat="false" ht="15" hidden="false" customHeight="true" outlineLevel="0" collapsed="false">
      <c r="A291" s="13" t="str">
        <f aca="false">IF($B291="","",ROW()-2)</f>
        <v/>
      </c>
      <c r="B291" s="9"/>
      <c r="C291" s="13" t="str">
        <f aca="false">IF($B291="","",IFERROR(INDEX(대상목록!$C$3:$C$302,MATCH($B291,대상목록!$A$3:$A$302,0)),""))</f>
        <v/>
      </c>
      <c r="D291" s="9"/>
      <c r="E291" s="14"/>
      <c r="F291" s="15" t="str">
        <f aca="false">IF($E291="","",MONTH($E291))</f>
        <v/>
      </c>
      <c r="G291" s="15" t="str">
        <f aca="false">IF($E291="","",DAY($E291))</f>
        <v/>
      </c>
      <c r="H291" s="16" t="str">
        <f aca="true">IF($E291="","",IF(DATE(YEAR(TODAY()),$F291,$G291)&lt;TODAY(),DATE(YEAR(TODAY())+1,$F291,$G291),DATE(YEAR(TODAY()),$F291,$G291)))</f>
        <v/>
      </c>
      <c r="I291" s="15" t="str">
        <f aca="true">IF($H291="","",$H291-TODAY())</f>
        <v/>
      </c>
      <c r="J291" s="10"/>
    </row>
    <row r="292" customFormat="false" ht="15" hidden="false" customHeight="true" outlineLevel="0" collapsed="false">
      <c r="A292" s="13" t="str">
        <f aca="false">IF($B292="","",ROW()-2)</f>
        <v/>
      </c>
      <c r="B292" s="9"/>
      <c r="C292" s="13" t="str">
        <f aca="false">IF($B292="","",IFERROR(INDEX(대상목록!$C$3:$C$302,MATCH($B292,대상목록!$A$3:$A$302,0)),""))</f>
        <v/>
      </c>
      <c r="D292" s="9"/>
      <c r="E292" s="14"/>
      <c r="F292" s="15" t="str">
        <f aca="false">IF($E292="","",MONTH($E292))</f>
        <v/>
      </c>
      <c r="G292" s="15" t="str">
        <f aca="false">IF($E292="","",DAY($E292))</f>
        <v/>
      </c>
      <c r="H292" s="16" t="str">
        <f aca="true">IF($E292="","",IF(DATE(YEAR(TODAY()),$F292,$G292)&lt;TODAY(),DATE(YEAR(TODAY())+1,$F292,$G292),DATE(YEAR(TODAY()),$F292,$G292)))</f>
        <v/>
      </c>
      <c r="I292" s="15" t="str">
        <f aca="true">IF($H292="","",$H292-TODAY())</f>
        <v/>
      </c>
      <c r="J292" s="10"/>
    </row>
    <row r="293" customFormat="false" ht="15" hidden="false" customHeight="true" outlineLevel="0" collapsed="false">
      <c r="A293" s="13" t="str">
        <f aca="false">IF($B293="","",ROW()-2)</f>
        <v/>
      </c>
      <c r="B293" s="9"/>
      <c r="C293" s="13" t="str">
        <f aca="false">IF($B293="","",IFERROR(INDEX(대상목록!$C$3:$C$302,MATCH($B293,대상목록!$A$3:$A$302,0)),""))</f>
        <v/>
      </c>
      <c r="D293" s="9"/>
      <c r="E293" s="14"/>
      <c r="F293" s="15" t="str">
        <f aca="false">IF($E293="","",MONTH($E293))</f>
        <v/>
      </c>
      <c r="G293" s="15" t="str">
        <f aca="false">IF($E293="","",DAY($E293))</f>
        <v/>
      </c>
      <c r="H293" s="16" t="str">
        <f aca="true">IF($E293="","",IF(DATE(YEAR(TODAY()),$F293,$G293)&lt;TODAY(),DATE(YEAR(TODAY())+1,$F293,$G293),DATE(YEAR(TODAY()),$F293,$G293)))</f>
        <v/>
      </c>
      <c r="I293" s="15" t="str">
        <f aca="true">IF($H293="","",$H293-TODAY())</f>
        <v/>
      </c>
      <c r="J293" s="10"/>
    </row>
    <row r="294" customFormat="false" ht="15" hidden="false" customHeight="true" outlineLevel="0" collapsed="false">
      <c r="A294" s="13" t="str">
        <f aca="false">IF($B294="","",ROW()-2)</f>
        <v/>
      </c>
      <c r="B294" s="9"/>
      <c r="C294" s="13" t="str">
        <f aca="false">IF($B294="","",IFERROR(INDEX(대상목록!$C$3:$C$302,MATCH($B294,대상목록!$A$3:$A$302,0)),""))</f>
        <v/>
      </c>
      <c r="D294" s="9"/>
      <c r="E294" s="14"/>
      <c r="F294" s="15" t="str">
        <f aca="false">IF($E294="","",MONTH($E294))</f>
        <v/>
      </c>
      <c r="G294" s="15" t="str">
        <f aca="false">IF($E294="","",DAY($E294))</f>
        <v/>
      </c>
      <c r="H294" s="16" t="str">
        <f aca="true">IF($E294="","",IF(DATE(YEAR(TODAY()),$F294,$G294)&lt;TODAY(),DATE(YEAR(TODAY())+1,$F294,$G294),DATE(YEAR(TODAY()),$F294,$G294)))</f>
        <v/>
      </c>
      <c r="I294" s="15" t="str">
        <f aca="true">IF($H294="","",$H294-TODAY())</f>
        <v/>
      </c>
      <c r="J294" s="10"/>
    </row>
    <row r="295" customFormat="false" ht="15" hidden="false" customHeight="true" outlineLevel="0" collapsed="false">
      <c r="A295" s="13" t="str">
        <f aca="false">IF($B295="","",ROW()-2)</f>
        <v/>
      </c>
      <c r="B295" s="9"/>
      <c r="C295" s="13" t="str">
        <f aca="false">IF($B295="","",IFERROR(INDEX(대상목록!$C$3:$C$302,MATCH($B295,대상목록!$A$3:$A$302,0)),""))</f>
        <v/>
      </c>
      <c r="D295" s="9"/>
      <c r="E295" s="14"/>
      <c r="F295" s="15" t="str">
        <f aca="false">IF($E295="","",MONTH($E295))</f>
        <v/>
      </c>
      <c r="G295" s="15" t="str">
        <f aca="false">IF($E295="","",DAY($E295))</f>
        <v/>
      </c>
      <c r="H295" s="16" t="str">
        <f aca="true">IF($E295="","",IF(DATE(YEAR(TODAY()),$F295,$G295)&lt;TODAY(),DATE(YEAR(TODAY())+1,$F295,$G295),DATE(YEAR(TODAY()),$F295,$G295)))</f>
        <v/>
      </c>
      <c r="I295" s="15" t="str">
        <f aca="true">IF($H295="","",$H295-TODAY())</f>
        <v/>
      </c>
      <c r="J295" s="10"/>
    </row>
    <row r="296" customFormat="false" ht="15" hidden="false" customHeight="true" outlineLevel="0" collapsed="false">
      <c r="A296" s="13" t="str">
        <f aca="false">IF($B296="","",ROW()-2)</f>
        <v/>
      </c>
      <c r="B296" s="9"/>
      <c r="C296" s="13" t="str">
        <f aca="false">IF($B296="","",IFERROR(INDEX(대상목록!$C$3:$C$302,MATCH($B296,대상목록!$A$3:$A$302,0)),""))</f>
        <v/>
      </c>
      <c r="D296" s="9"/>
      <c r="E296" s="14"/>
      <c r="F296" s="15" t="str">
        <f aca="false">IF($E296="","",MONTH($E296))</f>
        <v/>
      </c>
      <c r="G296" s="15" t="str">
        <f aca="false">IF($E296="","",DAY($E296))</f>
        <v/>
      </c>
      <c r="H296" s="16" t="str">
        <f aca="true">IF($E296="","",IF(DATE(YEAR(TODAY()),$F296,$G296)&lt;TODAY(),DATE(YEAR(TODAY())+1,$F296,$G296),DATE(YEAR(TODAY()),$F296,$G296)))</f>
        <v/>
      </c>
      <c r="I296" s="15" t="str">
        <f aca="true">IF($H296="","",$H296-TODAY())</f>
        <v/>
      </c>
      <c r="J296" s="10"/>
    </row>
    <row r="297" customFormat="false" ht="15" hidden="false" customHeight="true" outlineLevel="0" collapsed="false">
      <c r="A297" s="13" t="str">
        <f aca="false">IF($B297="","",ROW()-2)</f>
        <v/>
      </c>
      <c r="B297" s="9"/>
      <c r="C297" s="13" t="str">
        <f aca="false">IF($B297="","",IFERROR(INDEX(대상목록!$C$3:$C$302,MATCH($B297,대상목록!$A$3:$A$302,0)),""))</f>
        <v/>
      </c>
      <c r="D297" s="9"/>
      <c r="E297" s="14"/>
      <c r="F297" s="15" t="str">
        <f aca="false">IF($E297="","",MONTH($E297))</f>
        <v/>
      </c>
      <c r="G297" s="15" t="str">
        <f aca="false">IF($E297="","",DAY($E297))</f>
        <v/>
      </c>
      <c r="H297" s="16" t="str">
        <f aca="true">IF($E297="","",IF(DATE(YEAR(TODAY()),$F297,$G297)&lt;TODAY(),DATE(YEAR(TODAY())+1,$F297,$G297),DATE(YEAR(TODAY()),$F297,$G297)))</f>
        <v/>
      </c>
      <c r="I297" s="15" t="str">
        <f aca="true">IF($H297="","",$H297-TODAY())</f>
        <v/>
      </c>
      <c r="J297" s="10"/>
    </row>
    <row r="298" customFormat="false" ht="15" hidden="false" customHeight="true" outlineLevel="0" collapsed="false">
      <c r="A298" s="13" t="str">
        <f aca="false">IF($B298="","",ROW()-2)</f>
        <v/>
      </c>
      <c r="B298" s="9"/>
      <c r="C298" s="13" t="str">
        <f aca="false">IF($B298="","",IFERROR(INDEX(대상목록!$C$3:$C$302,MATCH($B298,대상목록!$A$3:$A$302,0)),""))</f>
        <v/>
      </c>
      <c r="D298" s="9"/>
      <c r="E298" s="14"/>
      <c r="F298" s="15" t="str">
        <f aca="false">IF($E298="","",MONTH($E298))</f>
        <v/>
      </c>
      <c r="G298" s="15" t="str">
        <f aca="false">IF($E298="","",DAY($E298))</f>
        <v/>
      </c>
      <c r="H298" s="16" t="str">
        <f aca="true">IF($E298="","",IF(DATE(YEAR(TODAY()),$F298,$G298)&lt;TODAY(),DATE(YEAR(TODAY())+1,$F298,$G298),DATE(YEAR(TODAY()),$F298,$G298)))</f>
        <v/>
      </c>
      <c r="I298" s="15" t="str">
        <f aca="true">IF($H298="","",$H298-TODAY())</f>
        <v/>
      </c>
      <c r="J298" s="10"/>
    </row>
    <row r="299" customFormat="false" ht="15" hidden="false" customHeight="true" outlineLevel="0" collapsed="false">
      <c r="A299" s="13" t="str">
        <f aca="false">IF($B299="","",ROW()-2)</f>
        <v/>
      </c>
      <c r="B299" s="9"/>
      <c r="C299" s="13" t="str">
        <f aca="false">IF($B299="","",IFERROR(INDEX(대상목록!$C$3:$C$302,MATCH($B299,대상목록!$A$3:$A$302,0)),""))</f>
        <v/>
      </c>
      <c r="D299" s="9"/>
      <c r="E299" s="14"/>
      <c r="F299" s="15" t="str">
        <f aca="false">IF($E299="","",MONTH($E299))</f>
        <v/>
      </c>
      <c r="G299" s="15" t="str">
        <f aca="false">IF($E299="","",DAY($E299))</f>
        <v/>
      </c>
      <c r="H299" s="16" t="str">
        <f aca="true">IF($E299="","",IF(DATE(YEAR(TODAY()),$F299,$G299)&lt;TODAY(),DATE(YEAR(TODAY())+1,$F299,$G299),DATE(YEAR(TODAY()),$F299,$G299)))</f>
        <v/>
      </c>
      <c r="I299" s="15" t="str">
        <f aca="true">IF($H299="","",$H299-TODAY())</f>
        <v/>
      </c>
      <c r="J299" s="10"/>
    </row>
    <row r="300" customFormat="false" ht="15" hidden="false" customHeight="true" outlineLevel="0" collapsed="false">
      <c r="A300" s="13" t="str">
        <f aca="false">IF($B300="","",ROW()-2)</f>
        <v/>
      </c>
      <c r="B300" s="9"/>
      <c r="C300" s="13" t="str">
        <f aca="false">IF($B300="","",IFERROR(INDEX(대상목록!$C$3:$C$302,MATCH($B300,대상목록!$A$3:$A$302,0)),""))</f>
        <v/>
      </c>
      <c r="D300" s="9"/>
      <c r="E300" s="14"/>
      <c r="F300" s="15" t="str">
        <f aca="false">IF($E300="","",MONTH($E300))</f>
        <v/>
      </c>
      <c r="G300" s="15" t="str">
        <f aca="false">IF($E300="","",DAY($E300))</f>
        <v/>
      </c>
      <c r="H300" s="16" t="str">
        <f aca="true">IF($E300="","",IF(DATE(YEAR(TODAY()),$F300,$G300)&lt;TODAY(),DATE(YEAR(TODAY())+1,$F300,$G300),DATE(YEAR(TODAY()),$F300,$G300)))</f>
        <v/>
      </c>
      <c r="I300" s="15" t="str">
        <f aca="true">IF($H300="","",$H300-TODAY())</f>
        <v/>
      </c>
      <c r="J300" s="10"/>
    </row>
    <row r="301" customFormat="false" ht="15" hidden="false" customHeight="true" outlineLevel="0" collapsed="false">
      <c r="A301" s="13" t="str">
        <f aca="false">IF($B301="","",ROW()-2)</f>
        <v/>
      </c>
      <c r="B301" s="9"/>
      <c r="C301" s="13" t="str">
        <f aca="false">IF($B301="","",IFERROR(INDEX(대상목록!$C$3:$C$302,MATCH($B301,대상목록!$A$3:$A$302,0)),""))</f>
        <v/>
      </c>
      <c r="D301" s="9"/>
      <c r="E301" s="14"/>
      <c r="F301" s="15" t="str">
        <f aca="false">IF($E301="","",MONTH($E301))</f>
        <v/>
      </c>
      <c r="G301" s="15" t="str">
        <f aca="false">IF($E301="","",DAY($E301))</f>
        <v/>
      </c>
      <c r="H301" s="16" t="str">
        <f aca="true">IF($E301="","",IF(DATE(YEAR(TODAY()),$F301,$G301)&lt;TODAY(),DATE(YEAR(TODAY())+1,$F301,$G301),DATE(YEAR(TODAY()),$F301,$G301)))</f>
        <v/>
      </c>
      <c r="I301" s="15" t="str">
        <f aca="true">IF($H301="","",$H301-TODAY())</f>
        <v/>
      </c>
      <c r="J301" s="10"/>
    </row>
    <row r="302" customFormat="false" ht="15" hidden="false" customHeight="true" outlineLevel="0" collapsed="false">
      <c r="A302" s="13" t="str">
        <f aca="false">IF($B302="","",ROW()-2)</f>
        <v/>
      </c>
      <c r="B302" s="9"/>
      <c r="C302" s="13" t="str">
        <f aca="false">IF($B302="","",IFERROR(INDEX(대상목록!$C$3:$C$302,MATCH($B302,대상목록!$A$3:$A$302,0)),""))</f>
        <v/>
      </c>
      <c r="D302" s="9"/>
      <c r="E302" s="14"/>
      <c r="F302" s="15" t="str">
        <f aca="false">IF($E302="","",MONTH($E302))</f>
        <v/>
      </c>
      <c r="G302" s="15" t="str">
        <f aca="false">IF($E302="","",DAY($E302))</f>
        <v/>
      </c>
      <c r="H302" s="16" t="str">
        <f aca="true">IF($E302="","",IF(DATE(YEAR(TODAY()),$F302,$G302)&lt;TODAY(),DATE(YEAR(TODAY())+1,$F302,$G302),DATE(YEAR(TODAY()),$F302,$G302)))</f>
        <v/>
      </c>
      <c r="I302" s="15" t="str">
        <f aca="true">IF($H302="","",$H302-TODAY())</f>
        <v/>
      </c>
      <c r="J302" s="10"/>
    </row>
    <row r="303" customFormat="false" ht="15" hidden="false" customHeight="true" outlineLevel="0" collapsed="false">
      <c r="A303" s="13" t="str">
        <f aca="false">IF($B303="","",ROW()-2)</f>
        <v/>
      </c>
      <c r="B303" s="9"/>
      <c r="C303" s="13" t="str">
        <f aca="false">IF($B303="","",IFERROR(INDEX(대상목록!$C$3:$C$302,MATCH($B303,대상목록!$A$3:$A$302,0)),""))</f>
        <v/>
      </c>
      <c r="D303" s="9"/>
      <c r="E303" s="14"/>
      <c r="F303" s="15" t="str">
        <f aca="false">IF($E303="","",MONTH($E303))</f>
        <v/>
      </c>
      <c r="G303" s="15" t="str">
        <f aca="false">IF($E303="","",DAY($E303))</f>
        <v/>
      </c>
      <c r="H303" s="16" t="str">
        <f aca="true">IF($E303="","",IF(DATE(YEAR(TODAY()),$F303,$G303)&lt;TODAY(),DATE(YEAR(TODAY())+1,$F303,$G303),DATE(YEAR(TODAY()),$F303,$G303)))</f>
        <v/>
      </c>
      <c r="I303" s="15" t="str">
        <f aca="true">IF($H303="","",$H303-TODAY())</f>
        <v/>
      </c>
      <c r="J303" s="10"/>
    </row>
    <row r="304" customFormat="false" ht="15" hidden="false" customHeight="true" outlineLevel="0" collapsed="false">
      <c r="A304" s="13" t="str">
        <f aca="false">IF($B304="","",ROW()-2)</f>
        <v/>
      </c>
      <c r="B304" s="9"/>
      <c r="C304" s="13" t="str">
        <f aca="false">IF($B304="","",IFERROR(INDEX(대상목록!$C$3:$C$302,MATCH($B304,대상목록!$A$3:$A$302,0)),""))</f>
        <v/>
      </c>
      <c r="D304" s="9"/>
      <c r="E304" s="14"/>
      <c r="F304" s="15" t="str">
        <f aca="false">IF($E304="","",MONTH($E304))</f>
        <v/>
      </c>
      <c r="G304" s="15" t="str">
        <f aca="false">IF($E304="","",DAY($E304))</f>
        <v/>
      </c>
      <c r="H304" s="16" t="str">
        <f aca="true">IF($E304="","",IF(DATE(YEAR(TODAY()),$F304,$G304)&lt;TODAY(),DATE(YEAR(TODAY())+1,$F304,$G304),DATE(YEAR(TODAY()),$F304,$G304)))</f>
        <v/>
      </c>
      <c r="I304" s="15" t="str">
        <f aca="true">IF($H304="","",$H304-TODAY())</f>
        <v/>
      </c>
      <c r="J304" s="10"/>
    </row>
    <row r="305" customFormat="false" ht="15" hidden="false" customHeight="true" outlineLevel="0" collapsed="false">
      <c r="A305" s="13" t="str">
        <f aca="false">IF($B305="","",ROW()-2)</f>
        <v/>
      </c>
      <c r="B305" s="9"/>
      <c r="C305" s="13" t="str">
        <f aca="false">IF($B305="","",IFERROR(INDEX(대상목록!$C$3:$C$302,MATCH($B305,대상목록!$A$3:$A$302,0)),""))</f>
        <v/>
      </c>
      <c r="D305" s="9"/>
      <c r="E305" s="14"/>
      <c r="F305" s="15" t="str">
        <f aca="false">IF($E305="","",MONTH($E305))</f>
        <v/>
      </c>
      <c r="G305" s="15" t="str">
        <f aca="false">IF($E305="","",DAY($E305))</f>
        <v/>
      </c>
      <c r="H305" s="16" t="str">
        <f aca="true">IF($E305="","",IF(DATE(YEAR(TODAY()),$F305,$G305)&lt;TODAY(),DATE(YEAR(TODAY())+1,$F305,$G305),DATE(YEAR(TODAY()),$F305,$G305)))</f>
        <v/>
      </c>
      <c r="I305" s="15" t="str">
        <f aca="true">IF($H305="","",$H305-TODAY())</f>
        <v/>
      </c>
      <c r="J305" s="10"/>
    </row>
    <row r="306" customFormat="false" ht="15" hidden="false" customHeight="true" outlineLevel="0" collapsed="false">
      <c r="A306" s="13" t="str">
        <f aca="false">IF($B306="","",ROW()-2)</f>
        <v/>
      </c>
      <c r="B306" s="9"/>
      <c r="C306" s="13" t="str">
        <f aca="false">IF($B306="","",IFERROR(INDEX(대상목록!$C$3:$C$302,MATCH($B306,대상목록!$A$3:$A$302,0)),""))</f>
        <v/>
      </c>
      <c r="D306" s="9"/>
      <c r="E306" s="14"/>
      <c r="F306" s="15" t="str">
        <f aca="false">IF($E306="","",MONTH($E306))</f>
        <v/>
      </c>
      <c r="G306" s="15" t="str">
        <f aca="false">IF($E306="","",DAY($E306))</f>
        <v/>
      </c>
      <c r="H306" s="16" t="str">
        <f aca="true">IF($E306="","",IF(DATE(YEAR(TODAY()),$F306,$G306)&lt;TODAY(),DATE(YEAR(TODAY())+1,$F306,$G306),DATE(YEAR(TODAY()),$F306,$G306)))</f>
        <v/>
      </c>
      <c r="I306" s="15" t="str">
        <f aca="true">IF($H306="","",$H306-TODAY())</f>
        <v/>
      </c>
      <c r="J306" s="10"/>
    </row>
    <row r="307" customFormat="false" ht="15" hidden="false" customHeight="true" outlineLevel="0" collapsed="false">
      <c r="A307" s="13" t="str">
        <f aca="false">IF($B307="","",ROW()-2)</f>
        <v/>
      </c>
      <c r="B307" s="9"/>
      <c r="C307" s="13" t="str">
        <f aca="false">IF($B307="","",IFERROR(INDEX(대상목록!$C$3:$C$302,MATCH($B307,대상목록!$A$3:$A$302,0)),""))</f>
        <v/>
      </c>
      <c r="D307" s="9"/>
      <c r="E307" s="14"/>
      <c r="F307" s="15" t="str">
        <f aca="false">IF($E307="","",MONTH($E307))</f>
        <v/>
      </c>
      <c r="G307" s="15" t="str">
        <f aca="false">IF($E307="","",DAY($E307))</f>
        <v/>
      </c>
      <c r="H307" s="16" t="str">
        <f aca="true">IF($E307="","",IF(DATE(YEAR(TODAY()),$F307,$G307)&lt;TODAY(),DATE(YEAR(TODAY())+1,$F307,$G307),DATE(YEAR(TODAY()),$F307,$G307)))</f>
        <v/>
      </c>
      <c r="I307" s="15" t="str">
        <f aca="true">IF($H307="","",$H307-TODAY())</f>
        <v/>
      </c>
      <c r="J307" s="10"/>
    </row>
    <row r="308" customFormat="false" ht="15" hidden="false" customHeight="true" outlineLevel="0" collapsed="false">
      <c r="A308" s="13" t="str">
        <f aca="false">IF($B308="","",ROW()-2)</f>
        <v/>
      </c>
      <c r="B308" s="9"/>
      <c r="C308" s="13" t="str">
        <f aca="false">IF($B308="","",IFERROR(INDEX(대상목록!$C$3:$C$302,MATCH($B308,대상목록!$A$3:$A$302,0)),""))</f>
        <v/>
      </c>
      <c r="D308" s="9"/>
      <c r="E308" s="14"/>
      <c r="F308" s="15" t="str">
        <f aca="false">IF($E308="","",MONTH($E308))</f>
        <v/>
      </c>
      <c r="G308" s="15" t="str">
        <f aca="false">IF($E308="","",DAY($E308))</f>
        <v/>
      </c>
      <c r="H308" s="16" t="str">
        <f aca="true">IF($E308="","",IF(DATE(YEAR(TODAY()),$F308,$G308)&lt;TODAY(),DATE(YEAR(TODAY())+1,$F308,$G308),DATE(YEAR(TODAY()),$F308,$G308)))</f>
        <v/>
      </c>
      <c r="I308" s="15" t="str">
        <f aca="true">IF($H308="","",$H308-TODAY())</f>
        <v/>
      </c>
      <c r="J308" s="10"/>
    </row>
    <row r="309" customFormat="false" ht="15" hidden="false" customHeight="true" outlineLevel="0" collapsed="false">
      <c r="A309" s="13" t="str">
        <f aca="false">IF($B309="","",ROW()-2)</f>
        <v/>
      </c>
      <c r="B309" s="9"/>
      <c r="C309" s="13" t="str">
        <f aca="false">IF($B309="","",IFERROR(INDEX(대상목록!$C$3:$C$302,MATCH($B309,대상목록!$A$3:$A$302,0)),""))</f>
        <v/>
      </c>
      <c r="D309" s="9"/>
      <c r="E309" s="14"/>
      <c r="F309" s="15" t="str">
        <f aca="false">IF($E309="","",MONTH($E309))</f>
        <v/>
      </c>
      <c r="G309" s="15" t="str">
        <f aca="false">IF($E309="","",DAY($E309))</f>
        <v/>
      </c>
      <c r="H309" s="16" t="str">
        <f aca="true">IF($E309="","",IF(DATE(YEAR(TODAY()),$F309,$G309)&lt;TODAY(),DATE(YEAR(TODAY())+1,$F309,$G309),DATE(YEAR(TODAY()),$F309,$G309)))</f>
        <v/>
      </c>
      <c r="I309" s="15" t="str">
        <f aca="true">IF($H309="","",$H309-TODAY())</f>
        <v/>
      </c>
      <c r="J309" s="10"/>
    </row>
    <row r="310" customFormat="false" ht="15" hidden="false" customHeight="true" outlineLevel="0" collapsed="false">
      <c r="A310" s="13" t="str">
        <f aca="false">IF($B310="","",ROW()-2)</f>
        <v/>
      </c>
      <c r="B310" s="9"/>
      <c r="C310" s="13" t="str">
        <f aca="false">IF($B310="","",IFERROR(INDEX(대상목록!$C$3:$C$302,MATCH($B310,대상목록!$A$3:$A$302,0)),""))</f>
        <v/>
      </c>
      <c r="D310" s="9"/>
      <c r="E310" s="14"/>
      <c r="F310" s="15" t="str">
        <f aca="false">IF($E310="","",MONTH($E310))</f>
        <v/>
      </c>
      <c r="G310" s="15" t="str">
        <f aca="false">IF($E310="","",DAY($E310))</f>
        <v/>
      </c>
      <c r="H310" s="16" t="str">
        <f aca="true">IF($E310="","",IF(DATE(YEAR(TODAY()),$F310,$G310)&lt;TODAY(),DATE(YEAR(TODAY())+1,$F310,$G310),DATE(YEAR(TODAY()),$F310,$G310)))</f>
        <v/>
      </c>
      <c r="I310" s="15" t="str">
        <f aca="true">IF($H310="","",$H310-TODAY())</f>
        <v/>
      </c>
      <c r="J310" s="10"/>
    </row>
    <row r="311" customFormat="false" ht="15" hidden="false" customHeight="true" outlineLevel="0" collapsed="false">
      <c r="A311" s="13" t="str">
        <f aca="false">IF($B311="","",ROW()-2)</f>
        <v/>
      </c>
      <c r="B311" s="9"/>
      <c r="C311" s="13" t="str">
        <f aca="false">IF($B311="","",IFERROR(INDEX(대상목록!$C$3:$C$302,MATCH($B311,대상목록!$A$3:$A$302,0)),""))</f>
        <v/>
      </c>
      <c r="D311" s="9"/>
      <c r="E311" s="14"/>
      <c r="F311" s="15" t="str">
        <f aca="false">IF($E311="","",MONTH($E311))</f>
        <v/>
      </c>
      <c r="G311" s="15" t="str">
        <f aca="false">IF($E311="","",DAY($E311))</f>
        <v/>
      </c>
      <c r="H311" s="16" t="str">
        <f aca="true">IF($E311="","",IF(DATE(YEAR(TODAY()),$F311,$G311)&lt;TODAY(),DATE(YEAR(TODAY())+1,$F311,$G311),DATE(YEAR(TODAY()),$F311,$G311)))</f>
        <v/>
      </c>
      <c r="I311" s="15" t="str">
        <f aca="true">IF($H311="","",$H311-TODAY())</f>
        <v/>
      </c>
      <c r="J311" s="10"/>
    </row>
    <row r="312" customFormat="false" ht="15" hidden="false" customHeight="true" outlineLevel="0" collapsed="false">
      <c r="A312" s="13" t="str">
        <f aca="false">IF($B312="","",ROW()-2)</f>
        <v/>
      </c>
      <c r="B312" s="9"/>
      <c r="C312" s="13" t="str">
        <f aca="false">IF($B312="","",IFERROR(INDEX(대상목록!$C$3:$C$302,MATCH($B312,대상목록!$A$3:$A$302,0)),""))</f>
        <v/>
      </c>
      <c r="D312" s="9"/>
      <c r="E312" s="14"/>
      <c r="F312" s="15" t="str">
        <f aca="false">IF($E312="","",MONTH($E312))</f>
        <v/>
      </c>
      <c r="G312" s="15" t="str">
        <f aca="false">IF($E312="","",DAY($E312))</f>
        <v/>
      </c>
      <c r="H312" s="16" t="str">
        <f aca="true">IF($E312="","",IF(DATE(YEAR(TODAY()),$F312,$G312)&lt;TODAY(),DATE(YEAR(TODAY())+1,$F312,$G312),DATE(YEAR(TODAY()),$F312,$G312)))</f>
        <v/>
      </c>
      <c r="I312" s="15" t="str">
        <f aca="true">IF($H312="","",$H312-TODAY())</f>
        <v/>
      </c>
      <c r="J312" s="10"/>
    </row>
    <row r="313" customFormat="false" ht="15" hidden="false" customHeight="true" outlineLevel="0" collapsed="false">
      <c r="A313" s="13" t="str">
        <f aca="false">IF($B313="","",ROW()-2)</f>
        <v/>
      </c>
      <c r="B313" s="9"/>
      <c r="C313" s="13" t="str">
        <f aca="false">IF($B313="","",IFERROR(INDEX(대상목록!$C$3:$C$302,MATCH($B313,대상목록!$A$3:$A$302,0)),""))</f>
        <v/>
      </c>
      <c r="D313" s="9"/>
      <c r="E313" s="14"/>
      <c r="F313" s="15" t="str">
        <f aca="false">IF($E313="","",MONTH($E313))</f>
        <v/>
      </c>
      <c r="G313" s="15" t="str">
        <f aca="false">IF($E313="","",DAY($E313))</f>
        <v/>
      </c>
      <c r="H313" s="16" t="str">
        <f aca="true">IF($E313="","",IF(DATE(YEAR(TODAY()),$F313,$G313)&lt;TODAY(),DATE(YEAR(TODAY())+1,$F313,$G313),DATE(YEAR(TODAY()),$F313,$G313)))</f>
        <v/>
      </c>
      <c r="I313" s="15" t="str">
        <f aca="true">IF($H313="","",$H313-TODAY())</f>
        <v/>
      </c>
      <c r="J313" s="10"/>
    </row>
    <row r="314" customFormat="false" ht="15" hidden="false" customHeight="true" outlineLevel="0" collapsed="false">
      <c r="A314" s="13" t="str">
        <f aca="false">IF($B314="","",ROW()-2)</f>
        <v/>
      </c>
      <c r="B314" s="9"/>
      <c r="C314" s="13" t="str">
        <f aca="false">IF($B314="","",IFERROR(INDEX(대상목록!$C$3:$C$302,MATCH($B314,대상목록!$A$3:$A$302,0)),""))</f>
        <v/>
      </c>
      <c r="D314" s="9"/>
      <c r="E314" s="14"/>
      <c r="F314" s="15" t="str">
        <f aca="false">IF($E314="","",MONTH($E314))</f>
        <v/>
      </c>
      <c r="G314" s="15" t="str">
        <f aca="false">IF($E314="","",DAY($E314))</f>
        <v/>
      </c>
      <c r="H314" s="16" t="str">
        <f aca="true">IF($E314="","",IF(DATE(YEAR(TODAY()),$F314,$G314)&lt;TODAY(),DATE(YEAR(TODAY())+1,$F314,$G314),DATE(YEAR(TODAY()),$F314,$G314)))</f>
        <v/>
      </c>
      <c r="I314" s="15" t="str">
        <f aca="true">IF($H314="","",$H314-TODAY())</f>
        <v/>
      </c>
      <c r="J314" s="10"/>
    </row>
    <row r="315" customFormat="false" ht="15" hidden="false" customHeight="true" outlineLevel="0" collapsed="false">
      <c r="A315" s="13" t="str">
        <f aca="false">IF($B315="","",ROW()-2)</f>
        <v/>
      </c>
      <c r="B315" s="9"/>
      <c r="C315" s="13" t="str">
        <f aca="false">IF($B315="","",IFERROR(INDEX(대상목록!$C$3:$C$302,MATCH($B315,대상목록!$A$3:$A$302,0)),""))</f>
        <v/>
      </c>
      <c r="D315" s="9"/>
      <c r="E315" s="14"/>
      <c r="F315" s="15" t="str">
        <f aca="false">IF($E315="","",MONTH($E315))</f>
        <v/>
      </c>
      <c r="G315" s="15" t="str">
        <f aca="false">IF($E315="","",DAY($E315))</f>
        <v/>
      </c>
      <c r="H315" s="16" t="str">
        <f aca="true">IF($E315="","",IF(DATE(YEAR(TODAY()),$F315,$G315)&lt;TODAY(),DATE(YEAR(TODAY())+1,$F315,$G315),DATE(YEAR(TODAY()),$F315,$G315)))</f>
        <v/>
      </c>
      <c r="I315" s="15" t="str">
        <f aca="true">IF($H315="","",$H315-TODAY())</f>
        <v/>
      </c>
      <c r="J315" s="10"/>
    </row>
    <row r="316" customFormat="false" ht="15" hidden="false" customHeight="true" outlineLevel="0" collapsed="false">
      <c r="A316" s="13" t="str">
        <f aca="false">IF($B316="","",ROW()-2)</f>
        <v/>
      </c>
      <c r="B316" s="9"/>
      <c r="C316" s="13" t="str">
        <f aca="false">IF($B316="","",IFERROR(INDEX(대상목록!$C$3:$C$302,MATCH($B316,대상목록!$A$3:$A$302,0)),""))</f>
        <v/>
      </c>
      <c r="D316" s="9"/>
      <c r="E316" s="14"/>
      <c r="F316" s="15" t="str">
        <f aca="false">IF($E316="","",MONTH($E316))</f>
        <v/>
      </c>
      <c r="G316" s="15" t="str">
        <f aca="false">IF($E316="","",DAY($E316))</f>
        <v/>
      </c>
      <c r="H316" s="16" t="str">
        <f aca="true">IF($E316="","",IF(DATE(YEAR(TODAY()),$F316,$G316)&lt;TODAY(),DATE(YEAR(TODAY())+1,$F316,$G316),DATE(YEAR(TODAY()),$F316,$G316)))</f>
        <v/>
      </c>
      <c r="I316" s="15" t="str">
        <f aca="true">IF($H316="","",$H316-TODAY())</f>
        <v/>
      </c>
      <c r="J316" s="10"/>
    </row>
    <row r="317" customFormat="false" ht="15" hidden="false" customHeight="true" outlineLevel="0" collapsed="false">
      <c r="A317" s="13" t="str">
        <f aca="false">IF($B317="","",ROW()-2)</f>
        <v/>
      </c>
      <c r="B317" s="9"/>
      <c r="C317" s="13" t="str">
        <f aca="false">IF($B317="","",IFERROR(INDEX(대상목록!$C$3:$C$302,MATCH($B317,대상목록!$A$3:$A$302,0)),""))</f>
        <v/>
      </c>
      <c r="D317" s="9"/>
      <c r="E317" s="14"/>
      <c r="F317" s="15" t="str">
        <f aca="false">IF($E317="","",MONTH($E317))</f>
        <v/>
      </c>
      <c r="G317" s="15" t="str">
        <f aca="false">IF($E317="","",DAY($E317))</f>
        <v/>
      </c>
      <c r="H317" s="16" t="str">
        <f aca="true">IF($E317="","",IF(DATE(YEAR(TODAY()),$F317,$G317)&lt;TODAY(),DATE(YEAR(TODAY())+1,$F317,$G317),DATE(YEAR(TODAY()),$F317,$G317)))</f>
        <v/>
      </c>
      <c r="I317" s="15" t="str">
        <f aca="true">IF($H317="","",$H317-TODAY())</f>
        <v/>
      </c>
      <c r="J317" s="10"/>
    </row>
    <row r="318" customFormat="false" ht="15" hidden="false" customHeight="true" outlineLevel="0" collapsed="false">
      <c r="A318" s="13" t="str">
        <f aca="false">IF($B318="","",ROW()-2)</f>
        <v/>
      </c>
      <c r="B318" s="9"/>
      <c r="C318" s="13" t="str">
        <f aca="false">IF($B318="","",IFERROR(INDEX(대상목록!$C$3:$C$302,MATCH($B318,대상목록!$A$3:$A$302,0)),""))</f>
        <v/>
      </c>
      <c r="D318" s="9"/>
      <c r="E318" s="14"/>
      <c r="F318" s="15" t="str">
        <f aca="false">IF($E318="","",MONTH($E318))</f>
        <v/>
      </c>
      <c r="G318" s="15" t="str">
        <f aca="false">IF($E318="","",DAY($E318))</f>
        <v/>
      </c>
      <c r="H318" s="16" t="str">
        <f aca="true">IF($E318="","",IF(DATE(YEAR(TODAY()),$F318,$G318)&lt;TODAY(),DATE(YEAR(TODAY())+1,$F318,$G318),DATE(YEAR(TODAY()),$F318,$G318)))</f>
        <v/>
      </c>
      <c r="I318" s="15" t="str">
        <f aca="true">IF($H318="","",$H318-TODAY())</f>
        <v/>
      </c>
      <c r="J318" s="10"/>
    </row>
    <row r="319" customFormat="false" ht="15" hidden="false" customHeight="true" outlineLevel="0" collapsed="false">
      <c r="A319" s="13" t="str">
        <f aca="false">IF($B319="","",ROW()-2)</f>
        <v/>
      </c>
      <c r="B319" s="9"/>
      <c r="C319" s="13" t="str">
        <f aca="false">IF($B319="","",IFERROR(INDEX(대상목록!$C$3:$C$302,MATCH($B319,대상목록!$A$3:$A$302,0)),""))</f>
        <v/>
      </c>
      <c r="D319" s="9"/>
      <c r="E319" s="14"/>
      <c r="F319" s="15" t="str">
        <f aca="false">IF($E319="","",MONTH($E319))</f>
        <v/>
      </c>
      <c r="G319" s="15" t="str">
        <f aca="false">IF($E319="","",DAY($E319))</f>
        <v/>
      </c>
      <c r="H319" s="16" t="str">
        <f aca="true">IF($E319="","",IF(DATE(YEAR(TODAY()),$F319,$G319)&lt;TODAY(),DATE(YEAR(TODAY())+1,$F319,$G319),DATE(YEAR(TODAY()),$F319,$G319)))</f>
        <v/>
      </c>
      <c r="I319" s="15" t="str">
        <f aca="true">IF($H319="","",$H319-TODAY())</f>
        <v/>
      </c>
      <c r="J319" s="10"/>
    </row>
    <row r="320" customFormat="false" ht="15" hidden="false" customHeight="true" outlineLevel="0" collapsed="false">
      <c r="A320" s="13" t="str">
        <f aca="false">IF($B320="","",ROW()-2)</f>
        <v/>
      </c>
      <c r="B320" s="9"/>
      <c r="C320" s="13" t="str">
        <f aca="false">IF($B320="","",IFERROR(INDEX(대상목록!$C$3:$C$302,MATCH($B320,대상목록!$A$3:$A$302,0)),""))</f>
        <v/>
      </c>
      <c r="D320" s="9"/>
      <c r="E320" s="14"/>
      <c r="F320" s="15" t="str">
        <f aca="false">IF($E320="","",MONTH($E320))</f>
        <v/>
      </c>
      <c r="G320" s="15" t="str">
        <f aca="false">IF($E320="","",DAY($E320))</f>
        <v/>
      </c>
      <c r="H320" s="16" t="str">
        <f aca="true">IF($E320="","",IF(DATE(YEAR(TODAY()),$F320,$G320)&lt;TODAY(),DATE(YEAR(TODAY())+1,$F320,$G320),DATE(YEAR(TODAY()),$F320,$G320)))</f>
        <v/>
      </c>
      <c r="I320" s="15" t="str">
        <f aca="true">IF($H320="","",$H320-TODAY())</f>
        <v/>
      </c>
      <c r="J320" s="10"/>
    </row>
    <row r="321" customFormat="false" ht="15" hidden="false" customHeight="true" outlineLevel="0" collapsed="false">
      <c r="A321" s="13" t="str">
        <f aca="false">IF($B321="","",ROW()-2)</f>
        <v/>
      </c>
      <c r="B321" s="9"/>
      <c r="C321" s="13" t="str">
        <f aca="false">IF($B321="","",IFERROR(INDEX(대상목록!$C$3:$C$302,MATCH($B321,대상목록!$A$3:$A$302,0)),""))</f>
        <v/>
      </c>
      <c r="D321" s="9"/>
      <c r="E321" s="14"/>
      <c r="F321" s="15" t="str">
        <f aca="false">IF($E321="","",MONTH($E321))</f>
        <v/>
      </c>
      <c r="G321" s="15" t="str">
        <f aca="false">IF($E321="","",DAY($E321))</f>
        <v/>
      </c>
      <c r="H321" s="16" t="str">
        <f aca="true">IF($E321="","",IF(DATE(YEAR(TODAY()),$F321,$G321)&lt;TODAY(),DATE(YEAR(TODAY())+1,$F321,$G321),DATE(YEAR(TODAY()),$F321,$G321)))</f>
        <v/>
      </c>
      <c r="I321" s="15" t="str">
        <f aca="true">IF($H321="","",$H321-TODAY())</f>
        <v/>
      </c>
      <c r="J321" s="10"/>
    </row>
    <row r="322" customFormat="false" ht="15" hidden="false" customHeight="true" outlineLevel="0" collapsed="false">
      <c r="A322" s="13" t="str">
        <f aca="false">IF($B322="","",ROW()-2)</f>
        <v/>
      </c>
      <c r="B322" s="9"/>
      <c r="C322" s="13" t="str">
        <f aca="false">IF($B322="","",IFERROR(INDEX(대상목록!$C$3:$C$302,MATCH($B322,대상목록!$A$3:$A$302,0)),""))</f>
        <v/>
      </c>
      <c r="D322" s="9"/>
      <c r="E322" s="14"/>
      <c r="F322" s="15" t="str">
        <f aca="false">IF($E322="","",MONTH($E322))</f>
        <v/>
      </c>
      <c r="G322" s="15" t="str">
        <f aca="false">IF($E322="","",DAY($E322))</f>
        <v/>
      </c>
      <c r="H322" s="16" t="str">
        <f aca="true">IF($E322="","",IF(DATE(YEAR(TODAY()),$F322,$G322)&lt;TODAY(),DATE(YEAR(TODAY())+1,$F322,$G322),DATE(YEAR(TODAY()),$F322,$G322)))</f>
        <v/>
      </c>
      <c r="I322" s="15" t="str">
        <f aca="true">IF($H322="","",$H322-TODAY())</f>
        <v/>
      </c>
      <c r="J322" s="10"/>
    </row>
    <row r="323" customFormat="false" ht="15" hidden="false" customHeight="true" outlineLevel="0" collapsed="false">
      <c r="A323" s="13" t="str">
        <f aca="false">IF($B323="","",ROW()-2)</f>
        <v/>
      </c>
      <c r="B323" s="9"/>
      <c r="C323" s="13" t="str">
        <f aca="false">IF($B323="","",IFERROR(INDEX(대상목록!$C$3:$C$302,MATCH($B323,대상목록!$A$3:$A$302,0)),""))</f>
        <v/>
      </c>
      <c r="D323" s="9"/>
      <c r="E323" s="14"/>
      <c r="F323" s="15" t="str">
        <f aca="false">IF($E323="","",MONTH($E323))</f>
        <v/>
      </c>
      <c r="G323" s="15" t="str">
        <f aca="false">IF($E323="","",DAY($E323))</f>
        <v/>
      </c>
      <c r="H323" s="16" t="str">
        <f aca="true">IF($E323="","",IF(DATE(YEAR(TODAY()),$F323,$G323)&lt;TODAY(),DATE(YEAR(TODAY())+1,$F323,$G323),DATE(YEAR(TODAY()),$F323,$G323)))</f>
        <v/>
      </c>
      <c r="I323" s="15" t="str">
        <f aca="true">IF($H323="","",$H323-TODAY())</f>
        <v/>
      </c>
      <c r="J323" s="10"/>
    </row>
    <row r="324" customFormat="false" ht="15" hidden="false" customHeight="true" outlineLevel="0" collapsed="false">
      <c r="A324" s="13" t="str">
        <f aca="false">IF($B324="","",ROW()-2)</f>
        <v/>
      </c>
      <c r="B324" s="9"/>
      <c r="C324" s="13" t="str">
        <f aca="false">IF($B324="","",IFERROR(INDEX(대상목록!$C$3:$C$302,MATCH($B324,대상목록!$A$3:$A$302,0)),""))</f>
        <v/>
      </c>
      <c r="D324" s="9"/>
      <c r="E324" s="14"/>
      <c r="F324" s="15" t="str">
        <f aca="false">IF($E324="","",MONTH($E324))</f>
        <v/>
      </c>
      <c r="G324" s="15" t="str">
        <f aca="false">IF($E324="","",DAY($E324))</f>
        <v/>
      </c>
      <c r="H324" s="16" t="str">
        <f aca="true">IF($E324="","",IF(DATE(YEAR(TODAY()),$F324,$G324)&lt;TODAY(),DATE(YEAR(TODAY())+1,$F324,$G324),DATE(YEAR(TODAY()),$F324,$G324)))</f>
        <v/>
      </c>
      <c r="I324" s="15" t="str">
        <f aca="true">IF($H324="","",$H324-TODAY())</f>
        <v/>
      </c>
      <c r="J324" s="10"/>
    </row>
    <row r="325" customFormat="false" ht="15" hidden="false" customHeight="true" outlineLevel="0" collapsed="false">
      <c r="A325" s="13" t="str">
        <f aca="false">IF($B325="","",ROW()-2)</f>
        <v/>
      </c>
      <c r="B325" s="9"/>
      <c r="C325" s="13" t="str">
        <f aca="false">IF($B325="","",IFERROR(INDEX(대상목록!$C$3:$C$302,MATCH($B325,대상목록!$A$3:$A$302,0)),""))</f>
        <v/>
      </c>
      <c r="D325" s="9"/>
      <c r="E325" s="14"/>
      <c r="F325" s="15" t="str">
        <f aca="false">IF($E325="","",MONTH($E325))</f>
        <v/>
      </c>
      <c r="G325" s="15" t="str">
        <f aca="false">IF($E325="","",DAY($E325))</f>
        <v/>
      </c>
      <c r="H325" s="16" t="str">
        <f aca="true">IF($E325="","",IF(DATE(YEAR(TODAY()),$F325,$G325)&lt;TODAY(),DATE(YEAR(TODAY())+1,$F325,$G325),DATE(YEAR(TODAY()),$F325,$G325)))</f>
        <v/>
      </c>
      <c r="I325" s="15" t="str">
        <f aca="true">IF($H325="","",$H325-TODAY())</f>
        <v/>
      </c>
      <c r="J325" s="10"/>
    </row>
    <row r="326" customFormat="false" ht="15" hidden="false" customHeight="true" outlineLevel="0" collapsed="false">
      <c r="A326" s="13" t="str">
        <f aca="false">IF($B326="","",ROW()-2)</f>
        <v/>
      </c>
      <c r="B326" s="9"/>
      <c r="C326" s="13" t="str">
        <f aca="false">IF($B326="","",IFERROR(INDEX(대상목록!$C$3:$C$302,MATCH($B326,대상목록!$A$3:$A$302,0)),""))</f>
        <v/>
      </c>
      <c r="D326" s="9"/>
      <c r="E326" s="14"/>
      <c r="F326" s="15" t="str">
        <f aca="false">IF($E326="","",MONTH($E326))</f>
        <v/>
      </c>
      <c r="G326" s="15" t="str">
        <f aca="false">IF($E326="","",DAY($E326))</f>
        <v/>
      </c>
      <c r="H326" s="16" t="str">
        <f aca="true">IF($E326="","",IF(DATE(YEAR(TODAY()),$F326,$G326)&lt;TODAY(),DATE(YEAR(TODAY())+1,$F326,$G326),DATE(YEAR(TODAY()),$F326,$G326)))</f>
        <v/>
      </c>
      <c r="I326" s="15" t="str">
        <f aca="true">IF($H326="","",$H326-TODAY())</f>
        <v/>
      </c>
      <c r="J326" s="10"/>
    </row>
    <row r="327" customFormat="false" ht="15" hidden="false" customHeight="true" outlineLevel="0" collapsed="false">
      <c r="A327" s="13" t="str">
        <f aca="false">IF($B327="","",ROW()-2)</f>
        <v/>
      </c>
      <c r="B327" s="9"/>
      <c r="C327" s="13" t="str">
        <f aca="false">IF($B327="","",IFERROR(INDEX(대상목록!$C$3:$C$302,MATCH($B327,대상목록!$A$3:$A$302,0)),""))</f>
        <v/>
      </c>
      <c r="D327" s="9"/>
      <c r="E327" s="14"/>
      <c r="F327" s="15" t="str">
        <f aca="false">IF($E327="","",MONTH($E327))</f>
        <v/>
      </c>
      <c r="G327" s="15" t="str">
        <f aca="false">IF($E327="","",DAY($E327))</f>
        <v/>
      </c>
      <c r="H327" s="16" t="str">
        <f aca="true">IF($E327="","",IF(DATE(YEAR(TODAY()),$F327,$G327)&lt;TODAY(),DATE(YEAR(TODAY())+1,$F327,$G327),DATE(YEAR(TODAY()),$F327,$G327)))</f>
        <v/>
      </c>
      <c r="I327" s="15" t="str">
        <f aca="true">IF($H327="","",$H327-TODAY())</f>
        <v/>
      </c>
      <c r="J327" s="10"/>
    </row>
    <row r="328" customFormat="false" ht="15" hidden="false" customHeight="true" outlineLevel="0" collapsed="false">
      <c r="A328" s="13" t="str">
        <f aca="false">IF($B328="","",ROW()-2)</f>
        <v/>
      </c>
      <c r="B328" s="9"/>
      <c r="C328" s="13" t="str">
        <f aca="false">IF($B328="","",IFERROR(INDEX(대상목록!$C$3:$C$302,MATCH($B328,대상목록!$A$3:$A$302,0)),""))</f>
        <v/>
      </c>
      <c r="D328" s="9"/>
      <c r="E328" s="14"/>
      <c r="F328" s="15" t="str">
        <f aca="false">IF($E328="","",MONTH($E328))</f>
        <v/>
      </c>
      <c r="G328" s="15" t="str">
        <f aca="false">IF($E328="","",DAY($E328))</f>
        <v/>
      </c>
      <c r="H328" s="16" t="str">
        <f aca="true">IF($E328="","",IF(DATE(YEAR(TODAY()),$F328,$G328)&lt;TODAY(),DATE(YEAR(TODAY())+1,$F328,$G328),DATE(YEAR(TODAY()),$F328,$G328)))</f>
        <v/>
      </c>
      <c r="I328" s="15" t="str">
        <f aca="true">IF($H328="","",$H328-TODAY())</f>
        <v/>
      </c>
      <c r="J328" s="10"/>
    </row>
    <row r="329" customFormat="false" ht="15" hidden="false" customHeight="true" outlineLevel="0" collapsed="false">
      <c r="A329" s="13" t="str">
        <f aca="false">IF($B329="","",ROW()-2)</f>
        <v/>
      </c>
      <c r="B329" s="9"/>
      <c r="C329" s="13" t="str">
        <f aca="false">IF($B329="","",IFERROR(INDEX(대상목록!$C$3:$C$302,MATCH($B329,대상목록!$A$3:$A$302,0)),""))</f>
        <v/>
      </c>
      <c r="D329" s="9"/>
      <c r="E329" s="14"/>
      <c r="F329" s="15" t="str">
        <f aca="false">IF($E329="","",MONTH($E329))</f>
        <v/>
      </c>
      <c r="G329" s="15" t="str">
        <f aca="false">IF($E329="","",DAY($E329))</f>
        <v/>
      </c>
      <c r="H329" s="16" t="str">
        <f aca="true">IF($E329="","",IF(DATE(YEAR(TODAY()),$F329,$G329)&lt;TODAY(),DATE(YEAR(TODAY())+1,$F329,$G329),DATE(YEAR(TODAY()),$F329,$G329)))</f>
        <v/>
      </c>
      <c r="I329" s="15" t="str">
        <f aca="true">IF($H329="","",$H329-TODAY())</f>
        <v/>
      </c>
      <c r="J329" s="10"/>
    </row>
    <row r="330" customFormat="false" ht="15" hidden="false" customHeight="true" outlineLevel="0" collapsed="false">
      <c r="A330" s="13" t="str">
        <f aca="false">IF($B330="","",ROW()-2)</f>
        <v/>
      </c>
      <c r="B330" s="9"/>
      <c r="C330" s="13" t="str">
        <f aca="false">IF($B330="","",IFERROR(INDEX(대상목록!$C$3:$C$302,MATCH($B330,대상목록!$A$3:$A$302,0)),""))</f>
        <v/>
      </c>
      <c r="D330" s="9"/>
      <c r="E330" s="14"/>
      <c r="F330" s="15" t="str">
        <f aca="false">IF($E330="","",MONTH($E330))</f>
        <v/>
      </c>
      <c r="G330" s="15" t="str">
        <f aca="false">IF($E330="","",DAY($E330))</f>
        <v/>
      </c>
      <c r="H330" s="16" t="str">
        <f aca="true">IF($E330="","",IF(DATE(YEAR(TODAY()),$F330,$G330)&lt;TODAY(),DATE(YEAR(TODAY())+1,$F330,$G330),DATE(YEAR(TODAY()),$F330,$G330)))</f>
        <v/>
      </c>
      <c r="I330" s="15" t="str">
        <f aca="true">IF($H330="","",$H330-TODAY())</f>
        <v/>
      </c>
      <c r="J330" s="10"/>
    </row>
    <row r="331" customFormat="false" ht="15" hidden="false" customHeight="true" outlineLevel="0" collapsed="false">
      <c r="A331" s="13" t="str">
        <f aca="false">IF($B331="","",ROW()-2)</f>
        <v/>
      </c>
      <c r="B331" s="9"/>
      <c r="C331" s="13" t="str">
        <f aca="false">IF($B331="","",IFERROR(INDEX(대상목록!$C$3:$C$302,MATCH($B331,대상목록!$A$3:$A$302,0)),""))</f>
        <v/>
      </c>
      <c r="D331" s="9"/>
      <c r="E331" s="14"/>
      <c r="F331" s="15" t="str">
        <f aca="false">IF($E331="","",MONTH($E331))</f>
        <v/>
      </c>
      <c r="G331" s="15" t="str">
        <f aca="false">IF($E331="","",DAY($E331))</f>
        <v/>
      </c>
      <c r="H331" s="16" t="str">
        <f aca="true">IF($E331="","",IF(DATE(YEAR(TODAY()),$F331,$G331)&lt;TODAY(),DATE(YEAR(TODAY())+1,$F331,$G331),DATE(YEAR(TODAY()),$F331,$G331)))</f>
        <v/>
      </c>
      <c r="I331" s="15" t="str">
        <f aca="true">IF($H331="","",$H331-TODAY())</f>
        <v/>
      </c>
      <c r="J331" s="10"/>
    </row>
    <row r="332" customFormat="false" ht="15" hidden="false" customHeight="true" outlineLevel="0" collapsed="false">
      <c r="A332" s="13" t="str">
        <f aca="false">IF($B332="","",ROW()-2)</f>
        <v/>
      </c>
      <c r="B332" s="9"/>
      <c r="C332" s="13" t="str">
        <f aca="false">IF($B332="","",IFERROR(INDEX(대상목록!$C$3:$C$302,MATCH($B332,대상목록!$A$3:$A$302,0)),""))</f>
        <v/>
      </c>
      <c r="D332" s="9"/>
      <c r="E332" s="14"/>
      <c r="F332" s="15" t="str">
        <f aca="false">IF($E332="","",MONTH($E332))</f>
        <v/>
      </c>
      <c r="G332" s="15" t="str">
        <f aca="false">IF($E332="","",DAY($E332))</f>
        <v/>
      </c>
      <c r="H332" s="16" t="str">
        <f aca="true">IF($E332="","",IF(DATE(YEAR(TODAY()),$F332,$G332)&lt;TODAY(),DATE(YEAR(TODAY())+1,$F332,$G332),DATE(YEAR(TODAY()),$F332,$G332)))</f>
        <v/>
      </c>
      <c r="I332" s="15" t="str">
        <f aca="true">IF($H332="","",$H332-TODAY())</f>
        <v/>
      </c>
      <c r="J332" s="10"/>
    </row>
    <row r="333" customFormat="false" ht="15" hidden="false" customHeight="true" outlineLevel="0" collapsed="false">
      <c r="A333" s="13" t="str">
        <f aca="false">IF($B333="","",ROW()-2)</f>
        <v/>
      </c>
      <c r="B333" s="9"/>
      <c r="C333" s="13" t="str">
        <f aca="false">IF($B333="","",IFERROR(INDEX(대상목록!$C$3:$C$302,MATCH($B333,대상목록!$A$3:$A$302,0)),""))</f>
        <v/>
      </c>
      <c r="D333" s="9"/>
      <c r="E333" s="14"/>
      <c r="F333" s="15" t="str">
        <f aca="false">IF($E333="","",MONTH($E333))</f>
        <v/>
      </c>
      <c r="G333" s="15" t="str">
        <f aca="false">IF($E333="","",DAY($E333))</f>
        <v/>
      </c>
      <c r="H333" s="16" t="str">
        <f aca="true">IF($E333="","",IF(DATE(YEAR(TODAY()),$F333,$G333)&lt;TODAY(),DATE(YEAR(TODAY())+1,$F333,$G333),DATE(YEAR(TODAY()),$F333,$G333)))</f>
        <v/>
      </c>
      <c r="I333" s="15" t="str">
        <f aca="true">IF($H333="","",$H333-TODAY())</f>
        <v/>
      </c>
      <c r="J333" s="10"/>
    </row>
    <row r="334" customFormat="false" ht="15" hidden="false" customHeight="true" outlineLevel="0" collapsed="false">
      <c r="A334" s="13" t="str">
        <f aca="false">IF($B334="","",ROW()-2)</f>
        <v/>
      </c>
      <c r="B334" s="9"/>
      <c r="C334" s="13" t="str">
        <f aca="false">IF($B334="","",IFERROR(INDEX(대상목록!$C$3:$C$302,MATCH($B334,대상목록!$A$3:$A$302,0)),""))</f>
        <v/>
      </c>
      <c r="D334" s="9"/>
      <c r="E334" s="14"/>
      <c r="F334" s="15" t="str">
        <f aca="false">IF($E334="","",MONTH($E334))</f>
        <v/>
      </c>
      <c r="G334" s="15" t="str">
        <f aca="false">IF($E334="","",DAY($E334))</f>
        <v/>
      </c>
      <c r="H334" s="16" t="str">
        <f aca="true">IF($E334="","",IF(DATE(YEAR(TODAY()),$F334,$G334)&lt;TODAY(),DATE(YEAR(TODAY())+1,$F334,$G334),DATE(YEAR(TODAY()),$F334,$G334)))</f>
        <v/>
      </c>
      <c r="I334" s="15" t="str">
        <f aca="true">IF($H334="","",$H334-TODAY())</f>
        <v/>
      </c>
      <c r="J334" s="10"/>
    </row>
    <row r="335" customFormat="false" ht="15" hidden="false" customHeight="true" outlineLevel="0" collapsed="false">
      <c r="A335" s="13" t="str">
        <f aca="false">IF($B335="","",ROW()-2)</f>
        <v/>
      </c>
      <c r="B335" s="9"/>
      <c r="C335" s="13" t="str">
        <f aca="false">IF($B335="","",IFERROR(INDEX(대상목록!$C$3:$C$302,MATCH($B335,대상목록!$A$3:$A$302,0)),""))</f>
        <v/>
      </c>
      <c r="D335" s="9"/>
      <c r="E335" s="14"/>
      <c r="F335" s="15" t="str">
        <f aca="false">IF($E335="","",MONTH($E335))</f>
        <v/>
      </c>
      <c r="G335" s="15" t="str">
        <f aca="false">IF($E335="","",DAY($E335))</f>
        <v/>
      </c>
      <c r="H335" s="16" t="str">
        <f aca="true">IF($E335="","",IF(DATE(YEAR(TODAY()),$F335,$G335)&lt;TODAY(),DATE(YEAR(TODAY())+1,$F335,$G335),DATE(YEAR(TODAY()),$F335,$G335)))</f>
        <v/>
      </c>
      <c r="I335" s="15" t="str">
        <f aca="true">IF($H335="","",$H335-TODAY())</f>
        <v/>
      </c>
      <c r="J335" s="10"/>
    </row>
    <row r="336" customFormat="false" ht="15" hidden="false" customHeight="true" outlineLevel="0" collapsed="false">
      <c r="A336" s="13" t="str">
        <f aca="false">IF($B336="","",ROW()-2)</f>
        <v/>
      </c>
      <c r="B336" s="9"/>
      <c r="C336" s="13" t="str">
        <f aca="false">IF($B336="","",IFERROR(INDEX(대상목록!$C$3:$C$302,MATCH($B336,대상목록!$A$3:$A$302,0)),""))</f>
        <v/>
      </c>
      <c r="D336" s="9"/>
      <c r="E336" s="14"/>
      <c r="F336" s="15" t="str">
        <f aca="false">IF($E336="","",MONTH($E336))</f>
        <v/>
      </c>
      <c r="G336" s="15" t="str">
        <f aca="false">IF($E336="","",DAY($E336))</f>
        <v/>
      </c>
      <c r="H336" s="16" t="str">
        <f aca="true">IF($E336="","",IF(DATE(YEAR(TODAY()),$F336,$G336)&lt;TODAY(),DATE(YEAR(TODAY())+1,$F336,$G336),DATE(YEAR(TODAY()),$F336,$G336)))</f>
        <v/>
      </c>
      <c r="I336" s="15" t="str">
        <f aca="true">IF($H336="","",$H336-TODAY())</f>
        <v/>
      </c>
      <c r="J336" s="10"/>
    </row>
    <row r="337" customFormat="false" ht="15" hidden="false" customHeight="true" outlineLevel="0" collapsed="false">
      <c r="A337" s="13" t="str">
        <f aca="false">IF($B337="","",ROW()-2)</f>
        <v/>
      </c>
      <c r="B337" s="9"/>
      <c r="C337" s="13" t="str">
        <f aca="false">IF($B337="","",IFERROR(INDEX(대상목록!$C$3:$C$302,MATCH($B337,대상목록!$A$3:$A$302,0)),""))</f>
        <v/>
      </c>
      <c r="D337" s="9"/>
      <c r="E337" s="14"/>
      <c r="F337" s="15" t="str">
        <f aca="false">IF($E337="","",MONTH($E337))</f>
        <v/>
      </c>
      <c r="G337" s="15" t="str">
        <f aca="false">IF($E337="","",DAY($E337))</f>
        <v/>
      </c>
      <c r="H337" s="16" t="str">
        <f aca="true">IF($E337="","",IF(DATE(YEAR(TODAY()),$F337,$G337)&lt;TODAY(),DATE(YEAR(TODAY())+1,$F337,$G337),DATE(YEAR(TODAY()),$F337,$G337)))</f>
        <v/>
      </c>
      <c r="I337" s="15" t="str">
        <f aca="true">IF($H337="","",$H337-TODAY())</f>
        <v/>
      </c>
      <c r="J337" s="10"/>
    </row>
    <row r="338" customFormat="false" ht="15" hidden="false" customHeight="true" outlineLevel="0" collapsed="false">
      <c r="A338" s="13" t="str">
        <f aca="false">IF($B338="","",ROW()-2)</f>
        <v/>
      </c>
      <c r="B338" s="9"/>
      <c r="C338" s="13" t="str">
        <f aca="false">IF($B338="","",IFERROR(INDEX(대상목록!$C$3:$C$302,MATCH($B338,대상목록!$A$3:$A$302,0)),""))</f>
        <v/>
      </c>
      <c r="D338" s="9"/>
      <c r="E338" s="14"/>
      <c r="F338" s="15" t="str">
        <f aca="false">IF($E338="","",MONTH($E338))</f>
        <v/>
      </c>
      <c r="G338" s="15" t="str">
        <f aca="false">IF($E338="","",DAY($E338))</f>
        <v/>
      </c>
      <c r="H338" s="16" t="str">
        <f aca="true">IF($E338="","",IF(DATE(YEAR(TODAY()),$F338,$G338)&lt;TODAY(),DATE(YEAR(TODAY())+1,$F338,$G338),DATE(YEAR(TODAY()),$F338,$G338)))</f>
        <v/>
      </c>
      <c r="I338" s="15" t="str">
        <f aca="true">IF($H338="","",$H338-TODAY())</f>
        <v/>
      </c>
      <c r="J338" s="10"/>
    </row>
    <row r="339" customFormat="false" ht="15" hidden="false" customHeight="true" outlineLevel="0" collapsed="false">
      <c r="A339" s="13" t="str">
        <f aca="false">IF($B339="","",ROW()-2)</f>
        <v/>
      </c>
      <c r="B339" s="9"/>
      <c r="C339" s="13" t="str">
        <f aca="false">IF($B339="","",IFERROR(INDEX(대상목록!$C$3:$C$302,MATCH($B339,대상목록!$A$3:$A$302,0)),""))</f>
        <v/>
      </c>
      <c r="D339" s="9"/>
      <c r="E339" s="14"/>
      <c r="F339" s="15" t="str">
        <f aca="false">IF($E339="","",MONTH($E339))</f>
        <v/>
      </c>
      <c r="G339" s="15" t="str">
        <f aca="false">IF($E339="","",DAY($E339))</f>
        <v/>
      </c>
      <c r="H339" s="16" t="str">
        <f aca="true">IF($E339="","",IF(DATE(YEAR(TODAY()),$F339,$G339)&lt;TODAY(),DATE(YEAR(TODAY())+1,$F339,$G339),DATE(YEAR(TODAY()),$F339,$G339)))</f>
        <v/>
      </c>
      <c r="I339" s="15" t="str">
        <f aca="true">IF($H339="","",$H339-TODAY())</f>
        <v/>
      </c>
      <c r="J339" s="10"/>
    </row>
    <row r="340" customFormat="false" ht="15" hidden="false" customHeight="true" outlineLevel="0" collapsed="false">
      <c r="A340" s="13" t="str">
        <f aca="false">IF($B340="","",ROW()-2)</f>
        <v/>
      </c>
      <c r="B340" s="9"/>
      <c r="C340" s="13" t="str">
        <f aca="false">IF($B340="","",IFERROR(INDEX(대상목록!$C$3:$C$302,MATCH($B340,대상목록!$A$3:$A$302,0)),""))</f>
        <v/>
      </c>
      <c r="D340" s="9"/>
      <c r="E340" s="14"/>
      <c r="F340" s="15" t="str">
        <f aca="false">IF($E340="","",MONTH($E340))</f>
        <v/>
      </c>
      <c r="G340" s="15" t="str">
        <f aca="false">IF($E340="","",DAY($E340))</f>
        <v/>
      </c>
      <c r="H340" s="16" t="str">
        <f aca="true">IF($E340="","",IF(DATE(YEAR(TODAY()),$F340,$G340)&lt;TODAY(),DATE(YEAR(TODAY())+1,$F340,$G340),DATE(YEAR(TODAY()),$F340,$G340)))</f>
        <v/>
      </c>
      <c r="I340" s="15" t="str">
        <f aca="true">IF($H340="","",$H340-TODAY())</f>
        <v/>
      </c>
      <c r="J340" s="10"/>
    </row>
    <row r="341" customFormat="false" ht="15" hidden="false" customHeight="true" outlineLevel="0" collapsed="false">
      <c r="A341" s="13" t="str">
        <f aca="false">IF($B341="","",ROW()-2)</f>
        <v/>
      </c>
      <c r="B341" s="9"/>
      <c r="C341" s="13" t="str">
        <f aca="false">IF($B341="","",IFERROR(INDEX(대상목록!$C$3:$C$302,MATCH($B341,대상목록!$A$3:$A$302,0)),""))</f>
        <v/>
      </c>
      <c r="D341" s="9"/>
      <c r="E341" s="14"/>
      <c r="F341" s="15" t="str">
        <f aca="false">IF($E341="","",MONTH($E341))</f>
        <v/>
      </c>
      <c r="G341" s="15" t="str">
        <f aca="false">IF($E341="","",DAY($E341))</f>
        <v/>
      </c>
      <c r="H341" s="16" t="str">
        <f aca="true">IF($E341="","",IF(DATE(YEAR(TODAY()),$F341,$G341)&lt;TODAY(),DATE(YEAR(TODAY())+1,$F341,$G341),DATE(YEAR(TODAY()),$F341,$G341)))</f>
        <v/>
      </c>
      <c r="I341" s="15" t="str">
        <f aca="true">IF($H341="","",$H341-TODAY())</f>
        <v/>
      </c>
      <c r="J341" s="10"/>
    </row>
    <row r="342" customFormat="false" ht="15" hidden="false" customHeight="true" outlineLevel="0" collapsed="false">
      <c r="A342" s="13" t="str">
        <f aca="false">IF($B342="","",ROW()-2)</f>
        <v/>
      </c>
      <c r="B342" s="9"/>
      <c r="C342" s="13" t="str">
        <f aca="false">IF($B342="","",IFERROR(INDEX(대상목록!$C$3:$C$302,MATCH($B342,대상목록!$A$3:$A$302,0)),""))</f>
        <v/>
      </c>
      <c r="D342" s="9"/>
      <c r="E342" s="14"/>
      <c r="F342" s="15" t="str">
        <f aca="false">IF($E342="","",MONTH($E342))</f>
        <v/>
      </c>
      <c r="G342" s="15" t="str">
        <f aca="false">IF($E342="","",DAY($E342))</f>
        <v/>
      </c>
      <c r="H342" s="16" t="str">
        <f aca="true">IF($E342="","",IF(DATE(YEAR(TODAY()),$F342,$G342)&lt;TODAY(),DATE(YEAR(TODAY())+1,$F342,$G342),DATE(YEAR(TODAY()),$F342,$G342)))</f>
        <v/>
      </c>
      <c r="I342" s="15" t="str">
        <f aca="true">IF($H342="","",$H342-TODAY())</f>
        <v/>
      </c>
      <c r="J342" s="10"/>
    </row>
    <row r="343" customFormat="false" ht="15" hidden="false" customHeight="true" outlineLevel="0" collapsed="false">
      <c r="A343" s="13" t="str">
        <f aca="false">IF($B343="","",ROW()-2)</f>
        <v/>
      </c>
      <c r="B343" s="9"/>
      <c r="C343" s="13" t="str">
        <f aca="false">IF($B343="","",IFERROR(INDEX(대상목록!$C$3:$C$302,MATCH($B343,대상목록!$A$3:$A$302,0)),""))</f>
        <v/>
      </c>
      <c r="D343" s="9"/>
      <c r="E343" s="14"/>
      <c r="F343" s="15" t="str">
        <f aca="false">IF($E343="","",MONTH($E343))</f>
        <v/>
      </c>
      <c r="G343" s="15" t="str">
        <f aca="false">IF($E343="","",DAY($E343))</f>
        <v/>
      </c>
      <c r="H343" s="16" t="str">
        <f aca="true">IF($E343="","",IF(DATE(YEAR(TODAY()),$F343,$G343)&lt;TODAY(),DATE(YEAR(TODAY())+1,$F343,$G343),DATE(YEAR(TODAY()),$F343,$G343)))</f>
        <v/>
      </c>
      <c r="I343" s="15" t="str">
        <f aca="true">IF($H343="","",$H343-TODAY())</f>
        <v/>
      </c>
      <c r="J343" s="10"/>
    </row>
    <row r="344" customFormat="false" ht="15" hidden="false" customHeight="true" outlineLevel="0" collapsed="false">
      <c r="A344" s="13" t="str">
        <f aca="false">IF($B344="","",ROW()-2)</f>
        <v/>
      </c>
      <c r="B344" s="9"/>
      <c r="C344" s="13" t="str">
        <f aca="false">IF($B344="","",IFERROR(INDEX(대상목록!$C$3:$C$302,MATCH($B344,대상목록!$A$3:$A$302,0)),""))</f>
        <v/>
      </c>
      <c r="D344" s="9"/>
      <c r="E344" s="14"/>
      <c r="F344" s="15" t="str">
        <f aca="false">IF($E344="","",MONTH($E344))</f>
        <v/>
      </c>
      <c r="G344" s="15" t="str">
        <f aca="false">IF($E344="","",DAY($E344))</f>
        <v/>
      </c>
      <c r="H344" s="16" t="str">
        <f aca="true">IF($E344="","",IF(DATE(YEAR(TODAY()),$F344,$G344)&lt;TODAY(),DATE(YEAR(TODAY())+1,$F344,$G344),DATE(YEAR(TODAY()),$F344,$G344)))</f>
        <v/>
      </c>
      <c r="I344" s="15" t="str">
        <f aca="true">IF($H344="","",$H344-TODAY())</f>
        <v/>
      </c>
      <c r="J344" s="10"/>
    </row>
    <row r="345" customFormat="false" ht="15" hidden="false" customHeight="true" outlineLevel="0" collapsed="false">
      <c r="A345" s="13" t="str">
        <f aca="false">IF($B345="","",ROW()-2)</f>
        <v/>
      </c>
      <c r="B345" s="9"/>
      <c r="C345" s="13" t="str">
        <f aca="false">IF($B345="","",IFERROR(INDEX(대상목록!$C$3:$C$302,MATCH($B345,대상목록!$A$3:$A$302,0)),""))</f>
        <v/>
      </c>
      <c r="D345" s="9"/>
      <c r="E345" s="14"/>
      <c r="F345" s="15" t="str">
        <f aca="false">IF($E345="","",MONTH($E345))</f>
        <v/>
      </c>
      <c r="G345" s="15" t="str">
        <f aca="false">IF($E345="","",DAY($E345))</f>
        <v/>
      </c>
      <c r="H345" s="16" t="str">
        <f aca="true">IF($E345="","",IF(DATE(YEAR(TODAY()),$F345,$G345)&lt;TODAY(),DATE(YEAR(TODAY())+1,$F345,$G345),DATE(YEAR(TODAY()),$F345,$G345)))</f>
        <v/>
      </c>
      <c r="I345" s="15" t="str">
        <f aca="true">IF($H345="","",$H345-TODAY())</f>
        <v/>
      </c>
      <c r="J345" s="10"/>
    </row>
    <row r="346" customFormat="false" ht="15" hidden="false" customHeight="true" outlineLevel="0" collapsed="false">
      <c r="A346" s="13" t="str">
        <f aca="false">IF($B346="","",ROW()-2)</f>
        <v/>
      </c>
      <c r="B346" s="9"/>
      <c r="C346" s="13" t="str">
        <f aca="false">IF($B346="","",IFERROR(INDEX(대상목록!$C$3:$C$302,MATCH($B346,대상목록!$A$3:$A$302,0)),""))</f>
        <v/>
      </c>
      <c r="D346" s="9"/>
      <c r="E346" s="14"/>
      <c r="F346" s="15" t="str">
        <f aca="false">IF($E346="","",MONTH($E346))</f>
        <v/>
      </c>
      <c r="G346" s="15" t="str">
        <f aca="false">IF($E346="","",DAY($E346))</f>
        <v/>
      </c>
      <c r="H346" s="16" t="str">
        <f aca="true">IF($E346="","",IF(DATE(YEAR(TODAY()),$F346,$G346)&lt;TODAY(),DATE(YEAR(TODAY())+1,$F346,$G346),DATE(YEAR(TODAY()),$F346,$G346)))</f>
        <v/>
      </c>
      <c r="I346" s="15" t="str">
        <f aca="true">IF($H346="","",$H346-TODAY())</f>
        <v/>
      </c>
      <c r="J346" s="10"/>
    </row>
    <row r="347" customFormat="false" ht="15" hidden="false" customHeight="true" outlineLevel="0" collapsed="false">
      <c r="A347" s="13" t="str">
        <f aca="false">IF($B347="","",ROW()-2)</f>
        <v/>
      </c>
      <c r="B347" s="9"/>
      <c r="C347" s="13" t="str">
        <f aca="false">IF($B347="","",IFERROR(INDEX(대상목록!$C$3:$C$302,MATCH($B347,대상목록!$A$3:$A$302,0)),""))</f>
        <v/>
      </c>
      <c r="D347" s="9"/>
      <c r="E347" s="14"/>
      <c r="F347" s="15" t="str">
        <f aca="false">IF($E347="","",MONTH($E347))</f>
        <v/>
      </c>
      <c r="G347" s="15" t="str">
        <f aca="false">IF($E347="","",DAY($E347))</f>
        <v/>
      </c>
      <c r="H347" s="16" t="str">
        <f aca="true">IF($E347="","",IF(DATE(YEAR(TODAY()),$F347,$G347)&lt;TODAY(),DATE(YEAR(TODAY())+1,$F347,$G347),DATE(YEAR(TODAY()),$F347,$G347)))</f>
        <v/>
      </c>
      <c r="I347" s="15" t="str">
        <f aca="true">IF($H347="","",$H347-TODAY())</f>
        <v/>
      </c>
      <c r="J347" s="10"/>
    </row>
    <row r="348" customFormat="false" ht="15" hidden="false" customHeight="true" outlineLevel="0" collapsed="false">
      <c r="A348" s="13" t="str">
        <f aca="false">IF($B348="","",ROW()-2)</f>
        <v/>
      </c>
      <c r="B348" s="9"/>
      <c r="C348" s="13" t="str">
        <f aca="false">IF($B348="","",IFERROR(INDEX(대상목록!$C$3:$C$302,MATCH($B348,대상목록!$A$3:$A$302,0)),""))</f>
        <v/>
      </c>
      <c r="D348" s="9"/>
      <c r="E348" s="14"/>
      <c r="F348" s="15" t="str">
        <f aca="false">IF($E348="","",MONTH($E348))</f>
        <v/>
      </c>
      <c r="G348" s="15" t="str">
        <f aca="false">IF($E348="","",DAY($E348))</f>
        <v/>
      </c>
      <c r="H348" s="16" t="str">
        <f aca="true">IF($E348="","",IF(DATE(YEAR(TODAY()),$F348,$G348)&lt;TODAY(),DATE(YEAR(TODAY())+1,$F348,$G348),DATE(YEAR(TODAY()),$F348,$G348)))</f>
        <v/>
      </c>
      <c r="I348" s="15" t="str">
        <f aca="true">IF($H348="","",$H348-TODAY())</f>
        <v/>
      </c>
      <c r="J348" s="10"/>
    </row>
    <row r="349" customFormat="false" ht="15" hidden="false" customHeight="true" outlineLevel="0" collapsed="false">
      <c r="A349" s="13" t="str">
        <f aca="false">IF($B349="","",ROW()-2)</f>
        <v/>
      </c>
      <c r="B349" s="9"/>
      <c r="C349" s="13" t="str">
        <f aca="false">IF($B349="","",IFERROR(INDEX(대상목록!$C$3:$C$302,MATCH($B349,대상목록!$A$3:$A$302,0)),""))</f>
        <v/>
      </c>
      <c r="D349" s="9"/>
      <c r="E349" s="14"/>
      <c r="F349" s="15" t="str">
        <f aca="false">IF($E349="","",MONTH($E349))</f>
        <v/>
      </c>
      <c r="G349" s="15" t="str">
        <f aca="false">IF($E349="","",DAY($E349))</f>
        <v/>
      </c>
      <c r="H349" s="16" t="str">
        <f aca="true">IF($E349="","",IF(DATE(YEAR(TODAY()),$F349,$G349)&lt;TODAY(),DATE(YEAR(TODAY())+1,$F349,$G349),DATE(YEAR(TODAY()),$F349,$G349)))</f>
        <v/>
      </c>
      <c r="I349" s="15" t="str">
        <f aca="true">IF($H349="","",$H349-TODAY())</f>
        <v/>
      </c>
      <c r="J349" s="10"/>
    </row>
    <row r="350" customFormat="false" ht="15" hidden="false" customHeight="true" outlineLevel="0" collapsed="false">
      <c r="A350" s="13" t="str">
        <f aca="false">IF($B350="","",ROW()-2)</f>
        <v/>
      </c>
      <c r="B350" s="9"/>
      <c r="C350" s="13" t="str">
        <f aca="false">IF($B350="","",IFERROR(INDEX(대상목록!$C$3:$C$302,MATCH($B350,대상목록!$A$3:$A$302,0)),""))</f>
        <v/>
      </c>
      <c r="D350" s="9"/>
      <c r="E350" s="14"/>
      <c r="F350" s="15" t="str">
        <f aca="false">IF($E350="","",MONTH($E350))</f>
        <v/>
      </c>
      <c r="G350" s="15" t="str">
        <f aca="false">IF($E350="","",DAY($E350))</f>
        <v/>
      </c>
      <c r="H350" s="16" t="str">
        <f aca="true">IF($E350="","",IF(DATE(YEAR(TODAY()),$F350,$G350)&lt;TODAY(),DATE(YEAR(TODAY())+1,$F350,$G350),DATE(YEAR(TODAY()),$F350,$G350)))</f>
        <v/>
      </c>
      <c r="I350" s="15" t="str">
        <f aca="true">IF($H350="","",$H350-TODAY())</f>
        <v/>
      </c>
      <c r="J350" s="10"/>
    </row>
    <row r="351" customFormat="false" ht="15" hidden="false" customHeight="true" outlineLevel="0" collapsed="false">
      <c r="A351" s="13" t="str">
        <f aca="false">IF($B351="","",ROW()-2)</f>
        <v/>
      </c>
      <c r="B351" s="9"/>
      <c r="C351" s="13" t="str">
        <f aca="false">IF($B351="","",IFERROR(INDEX(대상목록!$C$3:$C$302,MATCH($B351,대상목록!$A$3:$A$302,0)),""))</f>
        <v/>
      </c>
      <c r="D351" s="9"/>
      <c r="E351" s="14"/>
      <c r="F351" s="15" t="str">
        <f aca="false">IF($E351="","",MONTH($E351))</f>
        <v/>
      </c>
      <c r="G351" s="15" t="str">
        <f aca="false">IF($E351="","",DAY($E351))</f>
        <v/>
      </c>
      <c r="H351" s="16" t="str">
        <f aca="true">IF($E351="","",IF(DATE(YEAR(TODAY()),$F351,$G351)&lt;TODAY(),DATE(YEAR(TODAY())+1,$F351,$G351),DATE(YEAR(TODAY()),$F351,$G351)))</f>
        <v/>
      </c>
      <c r="I351" s="15" t="str">
        <f aca="true">IF($H351="","",$H351-TODAY())</f>
        <v/>
      </c>
      <c r="J351" s="10"/>
    </row>
    <row r="352" customFormat="false" ht="15" hidden="false" customHeight="true" outlineLevel="0" collapsed="false">
      <c r="A352" s="13" t="str">
        <f aca="false">IF($B352="","",ROW()-2)</f>
        <v/>
      </c>
      <c r="B352" s="9"/>
      <c r="C352" s="13" t="str">
        <f aca="false">IF($B352="","",IFERROR(INDEX(대상목록!$C$3:$C$302,MATCH($B352,대상목록!$A$3:$A$302,0)),""))</f>
        <v/>
      </c>
      <c r="D352" s="9"/>
      <c r="E352" s="14"/>
      <c r="F352" s="15" t="str">
        <f aca="false">IF($E352="","",MONTH($E352))</f>
        <v/>
      </c>
      <c r="G352" s="15" t="str">
        <f aca="false">IF($E352="","",DAY($E352))</f>
        <v/>
      </c>
      <c r="H352" s="16" t="str">
        <f aca="true">IF($E352="","",IF(DATE(YEAR(TODAY()),$F352,$G352)&lt;TODAY(),DATE(YEAR(TODAY())+1,$F352,$G352),DATE(YEAR(TODAY()),$F352,$G352)))</f>
        <v/>
      </c>
      <c r="I352" s="15" t="str">
        <f aca="true">IF($H352="","",$H352-TODAY())</f>
        <v/>
      </c>
      <c r="J352" s="10"/>
    </row>
    <row r="353" customFormat="false" ht="15" hidden="false" customHeight="true" outlineLevel="0" collapsed="false">
      <c r="A353" s="13" t="str">
        <f aca="false">IF($B353="","",ROW()-2)</f>
        <v/>
      </c>
      <c r="B353" s="9"/>
      <c r="C353" s="13" t="str">
        <f aca="false">IF($B353="","",IFERROR(INDEX(대상목록!$C$3:$C$302,MATCH($B353,대상목록!$A$3:$A$302,0)),""))</f>
        <v/>
      </c>
      <c r="D353" s="9"/>
      <c r="E353" s="14"/>
      <c r="F353" s="15" t="str">
        <f aca="false">IF($E353="","",MONTH($E353))</f>
        <v/>
      </c>
      <c r="G353" s="15" t="str">
        <f aca="false">IF($E353="","",DAY($E353))</f>
        <v/>
      </c>
      <c r="H353" s="16" t="str">
        <f aca="true">IF($E353="","",IF(DATE(YEAR(TODAY()),$F353,$G353)&lt;TODAY(),DATE(YEAR(TODAY())+1,$F353,$G353),DATE(YEAR(TODAY()),$F353,$G353)))</f>
        <v/>
      </c>
      <c r="I353" s="15" t="str">
        <f aca="true">IF($H353="","",$H353-TODAY())</f>
        <v/>
      </c>
      <c r="J353" s="10"/>
    </row>
    <row r="354" customFormat="false" ht="15" hidden="false" customHeight="true" outlineLevel="0" collapsed="false">
      <c r="A354" s="13" t="str">
        <f aca="false">IF($B354="","",ROW()-2)</f>
        <v/>
      </c>
      <c r="B354" s="9"/>
      <c r="C354" s="13" t="str">
        <f aca="false">IF($B354="","",IFERROR(INDEX(대상목록!$C$3:$C$302,MATCH($B354,대상목록!$A$3:$A$302,0)),""))</f>
        <v/>
      </c>
      <c r="D354" s="9"/>
      <c r="E354" s="14"/>
      <c r="F354" s="15" t="str">
        <f aca="false">IF($E354="","",MONTH($E354))</f>
        <v/>
      </c>
      <c r="G354" s="15" t="str">
        <f aca="false">IF($E354="","",DAY($E354))</f>
        <v/>
      </c>
      <c r="H354" s="16" t="str">
        <f aca="true">IF($E354="","",IF(DATE(YEAR(TODAY()),$F354,$G354)&lt;TODAY(),DATE(YEAR(TODAY())+1,$F354,$G354),DATE(YEAR(TODAY()),$F354,$G354)))</f>
        <v/>
      </c>
      <c r="I354" s="15" t="str">
        <f aca="true">IF($H354="","",$H354-TODAY())</f>
        <v/>
      </c>
      <c r="J354" s="10"/>
    </row>
    <row r="355" customFormat="false" ht="15" hidden="false" customHeight="true" outlineLevel="0" collapsed="false">
      <c r="A355" s="13" t="str">
        <f aca="false">IF($B355="","",ROW()-2)</f>
        <v/>
      </c>
      <c r="B355" s="9"/>
      <c r="C355" s="13" t="str">
        <f aca="false">IF($B355="","",IFERROR(INDEX(대상목록!$C$3:$C$302,MATCH($B355,대상목록!$A$3:$A$302,0)),""))</f>
        <v/>
      </c>
      <c r="D355" s="9"/>
      <c r="E355" s="14"/>
      <c r="F355" s="15" t="str">
        <f aca="false">IF($E355="","",MONTH($E355))</f>
        <v/>
      </c>
      <c r="G355" s="15" t="str">
        <f aca="false">IF($E355="","",DAY($E355))</f>
        <v/>
      </c>
      <c r="H355" s="16" t="str">
        <f aca="true">IF($E355="","",IF(DATE(YEAR(TODAY()),$F355,$G355)&lt;TODAY(),DATE(YEAR(TODAY())+1,$F355,$G355),DATE(YEAR(TODAY()),$F355,$G355)))</f>
        <v/>
      </c>
      <c r="I355" s="15" t="str">
        <f aca="true">IF($H355="","",$H355-TODAY())</f>
        <v/>
      </c>
      <c r="J355" s="10"/>
    </row>
    <row r="356" customFormat="false" ht="15" hidden="false" customHeight="true" outlineLevel="0" collapsed="false">
      <c r="A356" s="13" t="str">
        <f aca="false">IF($B356="","",ROW()-2)</f>
        <v/>
      </c>
      <c r="B356" s="9"/>
      <c r="C356" s="13" t="str">
        <f aca="false">IF($B356="","",IFERROR(INDEX(대상목록!$C$3:$C$302,MATCH($B356,대상목록!$A$3:$A$302,0)),""))</f>
        <v/>
      </c>
      <c r="D356" s="9"/>
      <c r="E356" s="14"/>
      <c r="F356" s="15" t="str">
        <f aca="false">IF($E356="","",MONTH($E356))</f>
        <v/>
      </c>
      <c r="G356" s="15" t="str">
        <f aca="false">IF($E356="","",DAY($E356))</f>
        <v/>
      </c>
      <c r="H356" s="16" t="str">
        <f aca="true">IF($E356="","",IF(DATE(YEAR(TODAY()),$F356,$G356)&lt;TODAY(),DATE(YEAR(TODAY())+1,$F356,$G356),DATE(YEAR(TODAY()),$F356,$G356)))</f>
        <v/>
      </c>
      <c r="I356" s="15" t="str">
        <f aca="true">IF($H356="","",$H356-TODAY())</f>
        <v/>
      </c>
      <c r="J356" s="10"/>
    </row>
    <row r="357" customFormat="false" ht="15" hidden="false" customHeight="true" outlineLevel="0" collapsed="false">
      <c r="A357" s="13" t="str">
        <f aca="false">IF($B357="","",ROW()-2)</f>
        <v/>
      </c>
      <c r="B357" s="9"/>
      <c r="C357" s="13" t="str">
        <f aca="false">IF($B357="","",IFERROR(INDEX(대상목록!$C$3:$C$302,MATCH($B357,대상목록!$A$3:$A$302,0)),""))</f>
        <v/>
      </c>
      <c r="D357" s="9"/>
      <c r="E357" s="14"/>
      <c r="F357" s="15" t="str">
        <f aca="false">IF($E357="","",MONTH($E357))</f>
        <v/>
      </c>
      <c r="G357" s="15" t="str">
        <f aca="false">IF($E357="","",DAY($E357))</f>
        <v/>
      </c>
      <c r="H357" s="16" t="str">
        <f aca="true">IF($E357="","",IF(DATE(YEAR(TODAY()),$F357,$G357)&lt;TODAY(),DATE(YEAR(TODAY())+1,$F357,$G357),DATE(YEAR(TODAY()),$F357,$G357)))</f>
        <v/>
      </c>
      <c r="I357" s="15" t="str">
        <f aca="true">IF($H357="","",$H357-TODAY())</f>
        <v/>
      </c>
      <c r="J357" s="10"/>
    </row>
    <row r="358" customFormat="false" ht="15" hidden="false" customHeight="true" outlineLevel="0" collapsed="false">
      <c r="A358" s="13" t="str">
        <f aca="false">IF($B358="","",ROW()-2)</f>
        <v/>
      </c>
      <c r="B358" s="9"/>
      <c r="C358" s="13" t="str">
        <f aca="false">IF($B358="","",IFERROR(INDEX(대상목록!$C$3:$C$302,MATCH($B358,대상목록!$A$3:$A$302,0)),""))</f>
        <v/>
      </c>
      <c r="D358" s="9"/>
      <c r="E358" s="14"/>
      <c r="F358" s="15" t="str">
        <f aca="false">IF($E358="","",MONTH($E358))</f>
        <v/>
      </c>
      <c r="G358" s="15" t="str">
        <f aca="false">IF($E358="","",DAY($E358))</f>
        <v/>
      </c>
      <c r="H358" s="16" t="str">
        <f aca="true">IF($E358="","",IF(DATE(YEAR(TODAY()),$F358,$G358)&lt;TODAY(),DATE(YEAR(TODAY())+1,$F358,$G358),DATE(YEAR(TODAY()),$F358,$G358)))</f>
        <v/>
      </c>
      <c r="I358" s="15" t="str">
        <f aca="true">IF($H358="","",$H358-TODAY())</f>
        <v/>
      </c>
      <c r="J358" s="10"/>
    </row>
    <row r="359" customFormat="false" ht="15" hidden="false" customHeight="true" outlineLevel="0" collapsed="false">
      <c r="A359" s="13" t="str">
        <f aca="false">IF($B359="","",ROW()-2)</f>
        <v/>
      </c>
      <c r="B359" s="9"/>
      <c r="C359" s="13" t="str">
        <f aca="false">IF($B359="","",IFERROR(INDEX(대상목록!$C$3:$C$302,MATCH($B359,대상목록!$A$3:$A$302,0)),""))</f>
        <v/>
      </c>
      <c r="D359" s="9"/>
      <c r="E359" s="14"/>
      <c r="F359" s="15" t="str">
        <f aca="false">IF($E359="","",MONTH($E359))</f>
        <v/>
      </c>
      <c r="G359" s="15" t="str">
        <f aca="false">IF($E359="","",DAY($E359))</f>
        <v/>
      </c>
      <c r="H359" s="16" t="str">
        <f aca="true">IF($E359="","",IF(DATE(YEAR(TODAY()),$F359,$G359)&lt;TODAY(),DATE(YEAR(TODAY())+1,$F359,$G359),DATE(YEAR(TODAY()),$F359,$G359)))</f>
        <v/>
      </c>
      <c r="I359" s="15" t="str">
        <f aca="true">IF($H359="","",$H359-TODAY())</f>
        <v/>
      </c>
      <c r="J359" s="10"/>
    </row>
    <row r="360" customFormat="false" ht="15" hidden="false" customHeight="true" outlineLevel="0" collapsed="false">
      <c r="A360" s="13" t="str">
        <f aca="false">IF($B360="","",ROW()-2)</f>
        <v/>
      </c>
      <c r="B360" s="9"/>
      <c r="C360" s="13" t="str">
        <f aca="false">IF($B360="","",IFERROR(INDEX(대상목록!$C$3:$C$302,MATCH($B360,대상목록!$A$3:$A$302,0)),""))</f>
        <v/>
      </c>
      <c r="D360" s="9"/>
      <c r="E360" s="14"/>
      <c r="F360" s="15" t="str">
        <f aca="false">IF($E360="","",MONTH($E360))</f>
        <v/>
      </c>
      <c r="G360" s="15" t="str">
        <f aca="false">IF($E360="","",DAY($E360))</f>
        <v/>
      </c>
      <c r="H360" s="16" t="str">
        <f aca="true">IF($E360="","",IF(DATE(YEAR(TODAY()),$F360,$G360)&lt;TODAY(),DATE(YEAR(TODAY())+1,$F360,$G360),DATE(YEAR(TODAY()),$F360,$G360)))</f>
        <v/>
      </c>
      <c r="I360" s="15" t="str">
        <f aca="true">IF($H360="","",$H360-TODAY())</f>
        <v/>
      </c>
      <c r="J360" s="10"/>
    </row>
    <row r="361" customFormat="false" ht="15" hidden="false" customHeight="true" outlineLevel="0" collapsed="false">
      <c r="A361" s="13" t="str">
        <f aca="false">IF($B361="","",ROW()-2)</f>
        <v/>
      </c>
      <c r="B361" s="9"/>
      <c r="C361" s="13" t="str">
        <f aca="false">IF($B361="","",IFERROR(INDEX(대상목록!$C$3:$C$302,MATCH($B361,대상목록!$A$3:$A$302,0)),""))</f>
        <v/>
      </c>
      <c r="D361" s="9"/>
      <c r="E361" s="14"/>
      <c r="F361" s="15" t="str">
        <f aca="false">IF($E361="","",MONTH($E361))</f>
        <v/>
      </c>
      <c r="G361" s="15" t="str">
        <f aca="false">IF($E361="","",DAY($E361))</f>
        <v/>
      </c>
      <c r="H361" s="16" t="str">
        <f aca="true">IF($E361="","",IF(DATE(YEAR(TODAY()),$F361,$G361)&lt;TODAY(),DATE(YEAR(TODAY())+1,$F361,$G361),DATE(YEAR(TODAY()),$F361,$G361)))</f>
        <v/>
      </c>
      <c r="I361" s="15" t="str">
        <f aca="true">IF($H361="","",$H361-TODAY())</f>
        <v/>
      </c>
      <c r="J361" s="10"/>
    </row>
    <row r="362" customFormat="false" ht="15" hidden="false" customHeight="true" outlineLevel="0" collapsed="false">
      <c r="A362" s="13" t="str">
        <f aca="false">IF($B362="","",ROW()-2)</f>
        <v/>
      </c>
      <c r="B362" s="9"/>
      <c r="C362" s="13" t="str">
        <f aca="false">IF($B362="","",IFERROR(INDEX(대상목록!$C$3:$C$302,MATCH($B362,대상목록!$A$3:$A$302,0)),""))</f>
        <v/>
      </c>
      <c r="D362" s="9"/>
      <c r="E362" s="14"/>
      <c r="F362" s="15" t="str">
        <f aca="false">IF($E362="","",MONTH($E362))</f>
        <v/>
      </c>
      <c r="G362" s="15" t="str">
        <f aca="false">IF($E362="","",DAY($E362))</f>
        <v/>
      </c>
      <c r="H362" s="16" t="str">
        <f aca="true">IF($E362="","",IF(DATE(YEAR(TODAY()),$F362,$G362)&lt;TODAY(),DATE(YEAR(TODAY())+1,$F362,$G362),DATE(YEAR(TODAY()),$F362,$G362)))</f>
        <v/>
      </c>
      <c r="I362" s="15" t="str">
        <f aca="true">IF($H362="","",$H362-TODAY())</f>
        <v/>
      </c>
      <c r="J362" s="10"/>
    </row>
    <row r="363" customFormat="false" ht="15" hidden="false" customHeight="true" outlineLevel="0" collapsed="false">
      <c r="A363" s="13" t="str">
        <f aca="false">IF($B363="","",ROW()-2)</f>
        <v/>
      </c>
      <c r="B363" s="9"/>
      <c r="C363" s="13" t="str">
        <f aca="false">IF($B363="","",IFERROR(INDEX(대상목록!$C$3:$C$302,MATCH($B363,대상목록!$A$3:$A$302,0)),""))</f>
        <v/>
      </c>
      <c r="D363" s="9"/>
      <c r="E363" s="14"/>
      <c r="F363" s="15" t="str">
        <f aca="false">IF($E363="","",MONTH($E363))</f>
        <v/>
      </c>
      <c r="G363" s="15" t="str">
        <f aca="false">IF($E363="","",DAY($E363))</f>
        <v/>
      </c>
      <c r="H363" s="16" t="str">
        <f aca="true">IF($E363="","",IF(DATE(YEAR(TODAY()),$F363,$G363)&lt;TODAY(),DATE(YEAR(TODAY())+1,$F363,$G363),DATE(YEAR(TODAY()),$F363,$G363)))</f>
        <v/>
      </c>
      <c r="I363" s="15" t="str">
        <f aca="true">IF($H363="","",$H363-TODAY())</f>
        <v/>
      </c>
      <c r="J363" s="10"/>
    </row>
    <row r="364" customFormat="false" ht="15" hidden="false" customHeight="true" outlineLevel="0" collapsed="false">
      <c r="A364" s="13" t="str">
        <f aca="false">IF($B364="","",ROW()-2)</f>
        <v/>
      </c>
      <c r="B364" s="9"/>
      <c r="C364" s="13" t="str">
        <f aca="false">IF($B364="","",IFERROR(INDEX(대상목록!$C$3:$C$302,MATCH($B364,대상목록!$A$3:$A$302,0)),""))</f>
        <v/>
      </c>
      <c r="D364" s="9"/>
      <c r="E364" s="14"/>
      <c r="F364" s="15" t="str">
        <f aca="false">IF($E364="","",MONTH($E364))</f>
        <v/>
      </c>
      <c r="G364" s="15" t="str">
        <f aca="false">IF($E364="","",DAY($E364))</f>
        <v/>
      </c>
      <c r="H364" s="16" t="str">
        <f aca="true">IF($E364="","",IF(DATE(YEAR(TODAY()),$F364,$G364)&lt;TODAY(),DATE(YEAR(TODAY())+1,$F364,$G364),DATE(YEAR(TODAY()),$F364,$G364)))</f>
        <v/>
      </c>
      <c r="I364" s="15" t="str">
        <f aca="true">IF($H364="","",$H364-TODAY())</f>
        <v/>
      </c>
      <c r="J364" s="10"/>
    </row>
    <row r="365" customFormat="false" ht="15" hidden="false" customHeight="true" outlineLevel="0" collapsed="false">
      <c r="A365" s="13" t="str">
        <f aca="false">IF($B365="","",ROW()-2)</f>
        <v/>
      </c>
      <c r="B365" s="9"/>
      <c r="C365" s="13" t="str">
        <f aca="false">IF($B365="","",IFERROR(INDEX(대상목록!$C$3:$C$302,MATCH($B365,대상목록!$A$3:$A$302,0)),""))</f>
        <v/>
      </c>
      <c r="D365" s="9"/>
      <c r="E365" s="14"/>
      <c r="F365" s="15" t="str">
        <f aca="false">IF($E365="","",MONTH($E365))</f>
        <v/>
      </c>
      <c r="G365" s="15" t="str">
        <f aca="false">IF($E365="","",DAY($E365))</f>
        <v/>
      </c>
      <c r="H365" s="16" t="str">
        <f aca="true">IF($E365="","",IF(DATE(YEAR(TODAY()),$F365,$G365)&lt;TODAY(),DATE(YEAR(TODAY())+1,$F365,$G365),DATE(YEAR(TODAY()),$F365,$G365)))</f>
        <v/>
      </c>
      <c r="I365" s="15" t="str">
        <f aca="true">IF($H365="","",$H365-TODAY())</f>
        <v/>
      </c>
      <c r="J365" s="10"/>
    </row>
    <row r="366" customFormat="false" ht="15" hidden="false" customHeight="true" outlineLevel="0" collapsed="false">
      <c r="A366" s="13" t="str">
        <f aca="false">IF($B366="","",ROW()-2)</f>
        <v/>
      </c>
      <c r="B366" s="9"/>
      <c r="C366" s="13" t="str">
        <f aca="false">IF($B366="","",IFERROR(INDEX(대상목록!$C$3:$C$302,MATCH($B366,대상목록!$A$3:$A$302,0)),""))</f>
        <v/>
      </c>
      <c r="D366" s="9"/>
      <c r="E366" s="14"/>
      <c r="F366" s="15" t="str">
        <f aca="false">IF($E366="","",MONTH($E366))</f>
        <v/>
      </c>
      <c r="G366" s="15" t="str">
        <f aca="false">IF($E366="","",DAY($E366))</f>
        <v/>
      </c>
      <c r="H366" s="16" t="str">
        <f aca="true">IF($E366="","",IF(DATE(YEAR(TODAY()),$F366,$G366)&lt;TODAY(),DATE(YEAR(TODAY())+1,$F366,$G366),DATE(YEAR(TODAY()),$F366,$G366)))</f>
        <v/>
      </c>
      <c r="I366" s="15" t="str">
        <f aca="true">IF($H366="","",$H366-TODAY())</f>
        <v/>
      </c>
      <c r="J366" s="10"/>
    </row>
    <row r="367" customFormat="false" ht="15" hidden="false" customHeight="true" outlineLevel="0" collapsed="false">
      <c r="A367" s="13" t="str">
        <f aca="false">IF($B367="","",ROW()-2)</f>
        <v/>
      </c>
      <c r="B367" s="9"/>
      <c r="C367" s="13" t="str">
        <f aca="false">IF($B367="","",IFERROR(INDEX(대상목록!$C$3:$C$302,MATCH($B367,대상목록!$A$3:$A$302,0)),""))</f>
        <v/>
      </c>
      <c r="D367" s="9"/>
      <c r="E367" s="14"/>
      <c r="F367" s="15" t="str">
        <f aca="false">IF($E367="","",MONTH($E367))</f>
        <v/>
      </c>
      <c r="G367" s="15" t="str">
        <f aca="false">IF($E367="","",DAY($E367))</f>
        <v/>
      </c>
      <c r="H367" s="16" t="str">
        <f aca="true">IF($E367="","",IF(DATE(YEAR(TODAY()),$F367,$G367)&lt;TODAY(),DATE(YEAR(TODAY())+1,$F367,$G367),DATE(YEAR(TODAY()),$F367,$G367)))</f>
        <v/>
      </c>
      <c r="I367" s="15" t="str">
        <f aca="true">IF($H367="","",$H367-TODAY())</f>
        <v/>
      </c>
      <c r="J367" s="10"/>
    </row>
    <row r="368" customFormat="false" ht="15" hidden="false" customHeight="true" outlineLevel="0" collapsed="false">
      <c r="A368" s="13" t="str">
        <f aca="false">IF($B368="","",ROW()-2)</f>
        <v/>
      </c>
      <c r="B368" s="9"/>
      <c r="C368" s="13" t="str">
        <f aca="false">IF($B368="","",IFERROR(INDEX(대상목록!$C$3:$C$302,MATCH($B368,대상목록!$A$3:$A$302,0)),""))</f>
        <v/>
      </c>
      <c r="D368" s="9"/>
      <c r="E368" s="14"/>
      <c r="F368" s="15" t="str">
        <f aca="false">IF($E368="","",MONTH($E368))</f>
        <v/>
      </c>
      <c r="G368" s="15" t="str">
        <f aca="false">IF($E368="","",DAY($E368))</f>
        <v/>
      </c>
      <c r="H368" s="16" t="str">
        <f aca="true">IF($E368="","",IF(DATE(YEAR(TODAY()),$F368,$G368)&lt;TODAY(),DATE(YEAR(TODAY())+1,$F368,$G368),DATE(YEAR(TODAY()),$F368,$G368)))</f>
        <v/>
      </c>
      <c r="I368" s="15" t="str">
        <f aca="true">IF($H368="","",$H368-TODAY())</f>
        <v/>
      </c>
      <c r="J368" s="10"/>
    </row>
    <row r="369" customFormat="false" ht="15" hidden="false" customHeight="true" outlineLevel="0" collapsed="false">
      <c r="A369" s="13" t="str">
        <f aca="false">IF($B369="","",ROW()-2)</f>
        <v/>
      </c>
      <c r="B369" s="9"/>
      <c r="C369" s="13" t="str">
        <f aca="false">IF($B369="","",IFERROR(INDEX(대상목록!$C$3:$C$302,MATCH($B369,대상목록!$A$3:$A$302,0)),""))</f>
        <v/>
      </c>
      <c r="D369" s="9"/>
      <c r="E369" s="14"/>
      <c r="F369" s="15" t="str">
        <f aca="false">IF($E369="","",MONTH($E369))</f>
        <v/>
      </c>
      <c r="G369" s="15" t="str">
        <f aca="false">IF($E369="","",DAY($E369))</f>
        <v/>
      </c>
      <c r="H369" s="16" t="str">
        <f aca="true">IF($E369="","",IF(DATE(YEAR(TODAY()),$F369,$G369)&lt;TODAY(),DATE(YEAR(TODAY())+1,$F369,$G369),DATE(YEAR(TODAY()),$F369,$G369)))</f>
        <v/>
      </c>
      <c r="I369" s="15" t="str">
        <f aca="true">IF($H369="","",$H369-TODAY())</f>
        <v/>
      </c>
      <c r="J369" s="10"/>
    </row>
    <row r="370" customFormat="false" ht="15" hidden="false" customHeight="true" outlineLevel="0" collapsed="false">
      <c r="A370" s="13" t="str">
        <f aca="false">IF($B370="","",ROW()-2)</f>
        <v/>
      </c>
      <c r="B370" s="9"/>
      <c r="C370" s="13" t="str">
        <f aca="false">IF($B370="","",IFERROR(INDEX(대상목록!$C$3:$C$302,MATCH($B370,대상목록!$A$3:$A$302,0)),""))</f>
        <v/>
      </c>
      <c r="D370" s="9"/>
      <c r="E370" s="14"/>
      <c r="F370" s="15" t="str">
        <f aca="false">IF($E370="","",MONTH($E370))</f>
        <v/>
      </c>
      <c r="G370" s="15" t="str">
        <f aca="false">IF($E370="","",DAY($E370))</f>
        <v/>
      </c>
      <c r="H370" s="16" t="str">
        <f aca="true">IF($E370="","",IF(DATE(YEAR(TODAY()),$F370,$G370)&lt;TODAY(),DATE(YEAR(TODAY())+1,$F370,$G370),DATE(YEAR(TODAY()),$F370,$G370)))</f>
        <v/>
      </c>
      <c r="I370" s="15" t="str">
        <f aca="true">IF($H370="","",$H370-TODAY())</f>
        <v/>
      </c>
      <c r="J370" s="10"/>
    </row>
    <row r="371" customFormat="false" ht="15" hidden="false" customHeight="true" outlineLevel="0" collapsed="false">
      <c r="A371" s="13" t="str">
        <f aca="false">IF($B371="","",ROW()-2)</f>
        <v/>
      </c>
      <c r="B371" s="9"/>
      <c r="C371" s="13" t="str">
        <f aca="false">IF($B371="","",IFERROR(INDEX(대상목록!$C$3:$C$302,MATCH($B371,대상목록!$A$3:$A$302,0)),""))</f>
        <v/>
      </c>
      <c r="D371" s="9"/>
      <c r="E371" s="14"/>
      <c r="F371" s="15" t="str">
        <f aca="false">IF($E371="","",MONTH($E371))</f>
        <v/>
      </c>
      <c r="G371" s="15" t="str">
        <f aca="false">IF($E371="","",DAY($E371))</f>
        <v/>
      </c>
      <c r="H371" s="16" t="str">
        <f aca="true">IF($E371="","",IF(DATE(YEAR(TODAY()),$F371,$G371)&lt;TODAY(),DATE(YEAR(TODAY())+1,$F371,$G371),DATE(YEAR(TODAY()),$F371,$G371)))</f>
        <v/>
      </c>
      <c r="I371" s="15" t="str">
        <f aca="true">IF($H371="","",$H371-TODAY())</f>
        <v/>
      </c>
      <c r="J371" s="10"/>
    </row>
    <row r="372" customFormat="false" ht="15" hidden="false" customHeight="true" outlineLevel="0" collapsed="false">
      <c r="A372" s="13" t="str">
        <f aca="false">IF($B372="","",ROW()-2)</f>
        <v/>
      </c>
      <c r="B372" s="9"/>
      <c r="C372" s="13" t="str">
        <f aca="false">IF($B372="","",IFERROR(INDEX(대상목록!$C$3:$C$302,MATCH($B372,대상목록!$A$3:$A$302,0)),""))</f>
        <v/>
      </c>
      <c r="D372" s="9"/>
      <c r="E372" s="14"/>
      <c r="F372" s="15" t="str">
        <f aca="false">IF($E372="","",MONTH($E372))</f>
        <v/>
      </c>
      <c r="G372" s="15" t="str">
        <f aca="false">IF($E372="","",DAY($E372))</f>
        <v/>
      </c>
      <c r="H372" s="16" t="str">
        <f aca="true">IF($E372="","",IF(DATE(YEAR(TODAY()),$F372,$G372)&lt;TODAY(),DATE(YEAR(TODAY())+1,$F372,$G372),DATE(YEAR(TODAY()),$F372,$G372)))</f>
        <v/>
      </c>
      <c r="I372" s="15" t="str">
        <f aca="true">IF($H372="","",$H372-TODAY())</f>
        <v/>
      </c>
      <c r="J372" s="10"/>
    </row>
    <row r="373" customFormat="false" ht="15" hidden="false" customHeight="true" outlineLevel="0" collapsed="false">
      <c r="A373" s="13" t="str">
        <f aca="false">IF($B373="","",ROW()-2)</f>
        <v/>
      </c>
      <c r="B373" s="9"/>
      <c r="C373" s="13" t="str">
        <f aca="false">IF($B373="","",IFERROR(INDEX(대상목록!$C$3:$C$302,MATCH($B373,대상목록!$A$3:$A$302,0)),""))</f>
        <v/>
      </c>
      <c r="D373" s="9"/>
      <c r="E373" s="14"/>
      <c r="F373" s="15" t="str">
        <f aca="false">IF($E373="","",MONTH($E373))</f>
        <v/>
      </c>
      <c r="G373" s="15" t="str">
        <f aca="false">IF($E373="","",DAY($E373))</f>
        <v/>
      </c>
      <c r="H373" s="16" t="str">
        <f aca="true">IF($E373="","",IF(DATE(YEAR(TODAY()),$F373,$G373)&lt;TODAY(),DATE(YEAR(TODAY())+1,$F373,$G373),DATE(YEAR(TODAY()),$F373,$G373)))</f>
        <v/>
      </c>
      <c r="I373" s="15" t="str">
        <f aca="true">IF($H373="","",$H373-TODAY())</f>
        <v/>
      </c>
      <c r="J373" s="10"/>
    </row>
    <row r="374" customFormat="false" ht="15" hidden="false" customHeight="true" outlineLevel="0" collapsed="false">
      <c r="A374" s="13" t="str">
        <f aca="false">IF($B374="","",ROW()-2)</f>
        <v/>
      </c>
      <c r="B374" s="9"/>
      <c r="C374" s="13" t="str">
        <f aca="false">IF($B374="","",IFERROR(INDEX(대상목록!$C$3:$C$302,MATCH($B374,대상목록!$A$3:$A$302,0)),""))</f>
        <v/>
      </c>
      <c r="D374" s="9"/>
      <c r="E374" s="14"/>
      <c r="F374" s="15" t="str">
        <f aca="false">IF($E374="","",MONTH($E374))</f>
        <v/>
      </c>
      <c r="G374" s="15" t="str">
        <f aca="false">IF($E374="","",DAY($E374))</f>
        <v/>
      </c>
      <c r="H374" s="16" t="str">
        <f aca="true">IF($E374="","",IF(DATE(YEAR(TODAY()),$F374,$G374)&lt;TODAY(),DATE(YEAR(TODAY())+1,$F374,$G374),DATE(YEAR(TODAY()),$F374,$G374)))</f>
        <v/>
      </c>
      <c r="I374" s="15" t="str">
        <f aca="true">IF($H374="","",$H374-TODAY())</f>
        <v/>
      </c>
      <c r="J374" s="10"/>
    </row>
    <row r="375" customFormat="false" ht="15" hidden="false" customHeight="true" outlineLevel="0" collapsed="false">
      <c r="A375" s="13" t="str">
        <f aca="false">IF($B375="","",ROW()-2)</f>
        <v/>
      </c>
      <c r="B375" s="9"/>
      <c r="C375" s="13" t="str">
        <f aca="false">IF($B375="","",IFERROR(INDEX(대상목록!$C$3:$C$302,MATCH($B375,대상목록!$A$3:$A$302,0)),""))</f>
        <v/>
      </c>
      <c r="D375" s="9"/>
      <c r="E375" s="14"/>
      <c r="F375" s="15" t="str">
        <f aca="false">IF($E375="","",MONTH($E375))</f>
        <v/>
      </c>
      <c r="G375" s="15" t="str">
        <f aca="false">IF($E375="","",DAY($E375))</f>
        <v/>
      </c>
      <c r="H375" s="16" t="str">
        <f aca="true">IF($E375="","",IF(DATE(YEAR(TODAY()),$F375,$G375)&lt;TODAY(),DATE(YEAR(TODAY())+1,$F375,$G375),DATE(YEAR(TODAY()),$F375,$G375)))</f>
        <v/>
      </c>
      <c r="I375" s="15" t="str">
        <f aca="true">IF($H375="","",$H375-TODAY())</f>
        <v/>
      </c>
      <c r="J375" s="10"/>
    </row>
    <row r="376" customFormat="false" ht="15" hidden="false" customHeight="true" outlineLevel="0" collapsed="false">
      <c r="A376" s="13" t="str">
        <f aca="false">IF($B376="","",ROW()-2)</f>
        <v/>
      </c>
      <c r="B376" s="9"/>
      <c r="C376" s="13" t="str">
        <f aca="false">IF($B376="","",IFERROR(INDEX(대상목록!$C$3:$C$302,MATCH($B376,대상목록!$A$3:$A$302,0)),""))</f>
        <v/>
      </c>
      <c r="D376" s="9"/>
      <c r="E376" s="14"/>
      <c r="F376" s="15" t="str">
        <f aca="false">IF($E376="","",MONTH($E376))</f>
        <v/>
      </c>
      <c r="G376" s="15" t="str">
        <f aca="false">IF($E376="","",DAY($E376))</f>
        <v/>
      </c>
      <c r="H376" s="16" t="str">
        <f aca="true">IF($E376="","",IF(DATE(YEAR(TODAY()),$F376,$G376)&lt;TODAY(),DATE(YEAR(TODAY())+1,$F376,$G376),DATE(YEAR(TODAY()),$F376,$G376)))</f>
        <v/>
      </c>
      <c r="I376" s="15" t="str">
        <f aca="true">IF($H376="","",$H376-TODAY())</f>
        <v/>
      </c>
      <c r="J376" s="10"/>
    </row>
    <row r="377" customFormat="false" ht="15" hidden="false" customHeight="true" outlineLevel="0" collapsed="false">
      <c r="A377" s="13" t="str">
        <f aca="false">IF($B377="","",ROW()-2)</f>
        <v/>
      </c>
      <c r="B377" s="9"/>
      <c r="C377" s="13" t="str">
        <f aca="false">IF($B377="","",IFERROR(INDEX(대상목록!$C$3:$C$302,MATCH($B377,대상목록!$A$3:$A$302,0)),""))</f>
        <v/>
      </c>
      <c r="D377" s="9"/>
      <c r="E377" s="14"/>
      <c r="F377" s="15" t="str">
        <f aca="false">IF($E377="","",MONTH($E377))</f>
        <v/>
      </c>
      <c r="G377" s="15" t="str">
        <f aca="false">IF($E377="","",DAY($E377))</f>
        <v/>
      </c>
      <c r="H377" s="16" t="str">
        <f aca="true">IF($E377="","",IF(DATE(YEAR(TODAY()),$F377,$G377)&lt;TODAY(),DATE(YEAR(TODAY())+1,$F377,$G377),DATE(YEAR(TODAY()),$F377,$G377)))</f>
        <v/>
      </c>
      <c r="I377" s="15" t="str">
        <f aca="true">IF($H377="","",$H377-TODAY())</f>
        <v/>
      </c>
      <c r="J377" s="10"/>
    </row>
    <row r="378" customFormat="false" ht="15" hidden="false" customHeight="true" outlineLevel="0" collapsed="false">
      <c r="A378" s="13" t="str">
        <f aca="false">IF($B378="","",ROW()-2)</f>
        <v/>
      </c>
      <c r="B378" s="9"/>
      <c r="C378" s="13" t="str">
        <f aca="false">IF($B378="","",IFERROR(INDEX(대상목록!$C$3:$C$302,MATCH($B378,대상목록!$A$3:$A$302,0)),""))</f>
        <v/>
      </c>
      <c r="D378" s="9"/>
      <c r="E378" s="14"/>
      <c r="F378" s="15" t="str">
        <f aca="false">IF($E378="","",MONTH($E378))</f>
        <v/>
      </c>
      <c r="G378" s="15" t="str">
        <f aca="false">IF($E378="","",DAY($E378))</f>
        <v/>
      </c>
      <c r="H378" s="16" t="str">
        <f aca="true">IF($E378="","",IF(DATE(YEAR(TODAY()),$F378,$G378)&lt;TODAY(),DATE(YEAR(TODAY())+1,$F378,$G378),DATE(YEAR(TODAY()),$F378,$G378)))</f>
        <v/>
      </c>
      <c r="I378" s="15" t="str">
        <f aca="true">IF($H378="","",$H378-TODAY())</f>
        <v/>
      </c>
      <c r="J378" s="10"/>
    </row>
    <row r="379" customFormat="false" ht="15" hidden="false" customHeight="true" outlineLevel="0" collapsed="false">
      <c r="A379" s="13" t="str">
        <f aca="false">IF($B379="","",ROW()-2)</f>
        <v/>
      </c>
      <c r="B379" s="9"/>
      <c r="C379" s="13" t="str">
        <f aca="false">IF($B379="","",IFERROR(INDEX(대상목록!$C$3:$C$302,MATCH($B379,대상목록!$A$3:$A$302,0)),""))</f>
        <v/>
      </c>
      <c r="D379" s="9"/>
      <c r="E379" s="14"/>
      <c r="F379" s="15" t="str">
        <f aca="false">IF($E379="","",MONTH($E379))</f>
        <v/>
      </c>
      <c r="G379" s="15" t="str">
        <f aca="false">IF($E379="","",DAY($E379))</f>
        <v/>
      </c>
      <c r="H379" s="16" t="str">
        <f aca="true">IF($E379="","",IF(DATE(YEAR(TODAY()),$F379,$G379)&lt;TODAY(),DATE(YEAR(TODAY())+1,$F379,$G379),DATE(YEAR(TODAY()),$F379,$G379)))</f>
        <v/>
      </c>
      <c r="I379" s="15" t="str">
        <f aca="true">IF($H379="","",$H379-TODAY())</f>
        <v/>
      </c>
      <c r="J379" s="10"/>
    </row>
    <row r="380" customFormat="false" ht="15" hidden="false" customHeight="true" outlineLevel="0" collapsed="false">
      <c r="A380" s="13" t="str">
        <f aca="false">IF($B380="","",ROW()-2)</f>
        <v/>
      </c>
      <c r="B380" s="9"/>
      <c r="C380" s="13" t="str">
        <f aca="false">IF($B380="","",IFERROR(INDEX(대상목록!$C$3:$C$302,MATCH($B380,대상목록!$A$3:$A$302,0)),""))</f>
        <v/>
      </c>
      <c r="D380" s="9"/>
      <c r="E380" s="14"/>
      <c r="F380" s="15" t="str">
        <f aca="false">IF($E380="","",MONTH($E380))</f>
        <v/>
      </c>
      <c r="G380" s="15" t="str">
        <f aca="false">IF($E380="","",DAY($E380))</f>
        <v/>
      </c>
      <c r="H380" s="16" t="str">
        <f aca="true">IF($E380="","",IF(DATE(YEAR(TODAY()),$F380,$G380)&lt;TODAY(),DATE(YEAR(TODAY())+1,$F380,$G380),DATE(YEAR(TODAY()),$F380,$G380)))</f>
        <v/>
      </c>
      <c r="I380" s="15" t="str">
        <f aca="true">IF($H380="","",$H380-TODAY())</f>
        <v/>
      </c>
      <c r="J380" s="10"/>
    </row>
    <row r="381" customFormat="false" ht="15" hidden="false" customHeight="true" outlineLevel="0" collapsed="false">
      <c r="A381" s="13" t="str">
        <f aca="false">IF($B381="","",ROW()-2)</f>
        <v/>
      </c>
      <c r="B381" s="9"/>
      <c r="C381" s="13" t="str">
        <f aca="false">IF($B381="","",IFERROR(INDEX(대상목록!$C$3:$C$302,MATCH($B381,대상목록!$A$3:$A$302,0)),""))</f>
        <v/>
      </c>
      <c r="D381" s="9"/>
      <c r="E381" s="14"/>
      <c r="F381" s="15" t="str">
        <f aca="false">IF($E381="","",MONTH($E381))</f>
        <v/>
      </c>
      <c r="G381" s="15" t="str">
        <f aca="false">IF($E381="","",DAY($E381))</f>
        <v/>
      </c>
      <c r="H381" s="16" t="str">
        <f aca="true">IF($E381="","",IF(DATE(YEAR(TODAY()),$F381,$G381)&lt;TODAY(),DATE(YEAR(TODAY())+1,$F381,$G381),DATE(YEAR(TODAY()),$F381,$G381)))</f>
        <v/>
      </c>
      <c r="I381" s="15" t="str">
        <f aca="true">IF($H381="","",$H381-TODAY())</f>
        <v/>
      </c>
      <c r="J381" s="10"/>
    </row>
    <row r="382" customFormat="false" ht="15" hidden="false" customHeight="true" outlineLevel="0" collapsed="false">
      <c r="A382" s="13" t="str">
        <f aca="false">IF($B382="","",ROW()-2)</f>
        <v/>
      </c>
      <c r="B382" s="9"/>
      <c r="C382" s="13" t="str">
        <f aca="false">IF($B382="","",IFERROR(INDEX(대상목록!$C$3:$C$302,MATCH($B382,대상목록!$A$3:$A$302,0)),""))</f>
        <v/>
      </c>
      <c r="D382" s="9"/>
      <c r="E382" s="14"/>
      <c r="F382" s="15" t="str">
        <f aca="false">IF($E382="","",MONTH($E382))</f>
        <v/>
      </c>
      <c r="G382" s="15" t="str">
        <f aca="false">IF($E382="","",DAY($E382))</f>
        <v/>
      </c>
      <c r="H382" s="16" t="str">
        <f aca="true">IF($E382="","",IF(DATE(YEAR(TODAY()),$F382,$G382)&lt;TODAY(),DATE(YEAR(TODAY())+1,$F382,$G382),DATE(YEAR(TODAY()),$F382,$G382)))</f>
        <v/>
      </c>
      <c r="I382" s="15" t="str">
        <f aca="true">IF($H382="","",$H382-TODAY())</f>
        <v/>
      </c>
      <c r="J382" s="10"/>
    </row>
    <row r="383" customFormat="false" ht="15" hidden="false" customHeight="true" outlineLevel="0" collapsed="false">
      <c r="A383" s="13" t="str">
        <f aca="false">IF($B383="","",ROW()-2)</f>
        <v/>
      </c>
      <c r="B383" s="9"/>
      <c r="C383" s="13" t="str">
        <f aca="false">IF($B383="","",IFERROR(INDEX(대상목록!$C$3:$C$302,MATCH($B383,대상목록!$A$3:$A$302,0)),""))</f>
        <v/>
      </c>
      <c r="D383" s="9"/>
      <c r="E383" s="14"/>
      <c r="F383" s="15" t="str">
        <f aca="false">IF($E383="","",MONTH($E383))</f>
        <v/>
      </c>
      <c r="G383" s="15" t="str">
        <f aca="false">IF($E383="","",DAY($E383))</f>
        <v/>
      </c>
      <c r="H383" s="16" t="str">
        <f aca="true">IF($E383="","",IF(DATE(YEAR(TODAY()),$F383,$G383)&lt;TODAY(),DATE(YEAR(TODAY())+1,$F383,$G383),DATE(YEAR(TODAY()),$F383,$G383)))</f>
        <v/>
      </c>
      <c r="I383" s="15" t="str">
        <f aca="true">IF($H383="","",$H383-TODAY())</f>
        <v/>
      </c>
      <c r="J383" s="10"/>
    </row>
    <row r="384" customFormat="false" ht="15" hidden="false" customHeight="true" outlineLevel="0" collapsed="false">
      <c r="A384" s="13" t="str">
        <f aca="false">IF($B384="","",ROW()-2)</f>
        <v/>
      </c>
      <c r="B384" s="9"/>
      <c r="C384" s="13" t="str">
        <f aca="false">IF($B384="","",IFERROR(INDEX(대상목록!$C$3:$C$302,MATCH($B384,대상목록!$A$3:$A$302,0)),""))</f>
        <v/>
      </c>
      <c r="D384" s="9"/>
      <c r="E384" s="14"/>
      <c r="F384" s="15" t="str">
        <f aca="false">IF($E384="","",MONTH($E384))</f>
        <v/>
      </c>
      <c r="G384" s="15" t="str">
        <f aca="false">IF($E384="","",DAY($E384))</f>
        <v/>
      </c>
      <c r="H384" s="16" t="str">
        <f aca="true">IF($E384="","",IF(DATE(YEAR(TODAY()),$F384,$G384)&lt;TODAY(),DATE(YEAR(TODAY())+1,$F384,$G384),DATE(YEAR(TODAY()),$F384,$G384)))</f>
        <v/>
      </c>
      <c r="I384" s="15" t="str">
        <f aca="true">IF($H384="","",$H384-TODAY())</f>
        <v/>
      </c>
      <c r="J384" s="10"/>
    </row>
    <row r="385" customFormat="false" ht="15" hidden="false" customHeight="true" outlineLevel="0" collapsed="false">
      <c r="A385" s="13" t="str">
        <f aca="false">IF($B385="","",ROW()-2)</f>
        <v/>
      </c>
      <c r="B385" s="9"/>
      <c r="C385" s="13" t="str">
        <f aca="false">IF($B385="","",IFERROR(INDEX(대상목록!$C$3:$C$302,MATCH($B385,대상목록!$A$3:$A$302,0)),""))</f>
        <v/>
      </c>
      <c r="D385" s="9"/>
      <c r="E385" s="14"/>
      <c r="F385" s="15" t="str">
        <f aca="false">IF($E385="","",MONTH($E385))</f>
        <v/>
      </c>
      <c r="G385" s="15" t="str">
        <f aca="false">IF($E385="","",DAY($E385))</f>
        <v/>
      </c>
      <c r="H385" s="16" t="str">
        <f aca="true">IF($E385="","",IF(DATE(YEAR(TODAY()),$F385,$G385)&lt;TODAY(),DATE(YEAR(TODAY())+1,$F385,$G385),DATE(YEAR(TODAY()),$F385,$G385)))</f>
        <v/>
      </c>
      <c r="I385" s="15" t="str">
        <f aca="true">IF($H385="","",$H385-TODAY())</f>
        <v/>
      </c>
      <c r="J385" s="10"/>
    </row>
    <row r="386" customFormat="false" ht="15" hidden="false" customHeight="true" outlineLevel="0" collapsed="false">
      <c r="A386" s="13" t="str">
        <f aca="false">IF($B386="","",ROW()-2)</f>
        <v/>
      </c>
      <c r="B386" s="9"/>
      <c r="C386" s="13" t="str">
        <f aca="false">IF($B386="","",IFERROR(INDEX(대상목록!$C$3:$C$302,MATCH($B386,대상목록!$A$3:$A$302,0)),""))</f>
        <v/>
      </c>
      <c r="D386" s="9"/>
      <c r="E386" s="14"/>
      <c r="F386" s="15" t="str">
        <f aca="false">IF($E386="","",MONTH($E386))</f>
        <v/>
      </c>
      <c r="G386" s="15" t="str">
        <f aca="false">IF($E386="","",DAY($E386))</f>
        <v/>
      </c>
      <c r="H386" s="16" t="str">
        <f aca="true">IF($E386="","",IF(DATE(YEAR(TODAY()),$F386,$G386)&lt;TODAY(),DATE(YEAR(TODAY())+1,$F386,$G386),DATE(YEAR(TODAY()),$F386,$G386)))</f>
        <v/>
      </c>
      <c r="I386" s="15" t="str">
        <f aca="true">IF($H386="","",$H386-TODAY())</f>
        <v/>
      </c>
      <c r="J386" s="10"/>
    </row>
    <row r="387" customFormat="false" ht="15" hidden="false" customHeight="true" outlineLevel="0" collapsed="false">
      <c r="A387" s="13" t="str">
        <f aca="false">IF($B387="","",ROW()-2)</f>
        <v/>
      </c>
      <c r="B387" s="9"/>
      <c r="C387" s="13" t="str">
        <f aca="false">IF($B387="","",IFERROR(INDEX(대상목록!$C$3:$C$302,MATCH($B387,대상목록!$A$3:$A$302,0)),""))</f>
        <v/>
      </c>
      <c r="D387" s="9"/>
      <c r="E387" s="14"/>
      <c r="F387" s="15" t="str">
        <f aca="false">IF($E387="","",MONTH($E387))</f>
        <v/>
      </c>
      <c r="G387" s="15" t="str">
        <f aca="false">IF($E387="","",DAY($E387))</f>
        <v/>
      </c>
      <c r="H387" s="16" t="str">
        <f aca="true">IF($E387="","",IF(DATE(YEAR(TODAY()),$F387,$G387)&lt;TODAY(),DATE(YEAR(TODAY())+1,$F387,$G387),DATE(YEAR(TODAY()),$F387,$G387)))</f>
        <v/>
      </c>
      <c r="I387" s="15" t="str">
        <f aca="true">IF($H387="","",$H387-TODAY())</f>
        <v/>
      </c>
      <c r="J387" s="10"/>
    </row>
    <row r="388" customFormat="false" ht="15" hidden="false" customHeight="true" outlineLevel="0" collapsed="false">
      <c r="A388" s="13" t="str">
        <f aca="false">IF($B388="","",ROW()-2)</f>
        <v/>
      </c>
      <c r="B388" s="9"/>
      <c r="C388" s="13" t="str">
        <f aca="false">IF($B388="","",IFERROR(INDEX(대상목록!$C$3:$C$302,MATCH($B388,대상목록!$A$3:$A$302,0)),""))</f>
        <v/>
      </c>
      <c r="D388" s="9"/>
      <c r="E388" s="14"/>
      <c r="F388" s="15" t="str">
        <f aca="false">IF($E388="","",MONTH($E388))</f>
        <v/>
      </c>
      <c r="G388" s="15" t="str">
        <f aca="false">IF($E388="","",DAY($E388))</f>
        <v/>
      </c>
      <c r="H388" s="16" t="str">
        <f aca="true">IF($E388="","",IF(DATE(YEAR(TODAY()),$F388,$G388)&lt;TODAY(),DATE(YEAR(TODAY())+1,$F388,$G388),DATE(YEAR(TODAY()),$F388,$G388)))</f>
        <v/>
      </c>
      <c r="I388" s="15" t="str">
        <f aca="true">IF($H388="","",$H388-TODAY())</f>
        <v/>
      </c>
      <c r="J388" s="10"/>
    </row>
    <row r="389" customFormat="false" ht="15" hidden="false" customHeight="true" outlineLevel="0" collapsed="false">
      <c r="A389" s="13" t="str">
        <f aca="false">IF($B389="","",ROW()-2)</f>
        <v/>
      </c>
      <c r="B389" s="9"/>
      <c r="C389" s="13" t="str">
        <f aca="false">IF($B389="","",IFERROR(INDEX(대상목록!$C$3:$C$302,MATCH($B389,대상목록!$A$3:$A$302,0)),""))</f>
        <v/>
      </c>
      <c r="D389" s="9"/>
      <c r="E389" s="14"/>
      <c r="F389" s="15" t="str">
        <f aca="false">IF($E389="","",MONTH($E389))</f>
        <v/>
      </c>
      <c r="G389" s="15" t="str">
        <f aca="false">IF($E389="","",DAY($E389))</f>
        <v/>
      </c>
      <c r="H389" s="16" t="str">
        <f aca="true">IF($E389="","",IF(DATE(YEAR(TODAY()),$F389,$G389)&lt;TODAY(),DATE(YEAR(TODAY())+1,$F389,$G389),DATE(YEAR(TODAY()),$F389,$G389)))</f>
        <v/>
      </c>
      <c r="I389" s="15" t="str">
        <f aca="true">IF($H389="","",$H389-TODAY())</f>
        <v/>
      </c>
      <c r="J389" s="10"/>
    </row>
    <row r="390" customFormat="false" ht="15" hidden="false" customHeight="true" outlineLevel="0" collapsed="false">
      <c r="A390" s="13" t="str">
        <f aca="false">IF($B390="","",ROW()-2)</f>
        <v/>
      </c>
      <c r="B390" s="9"/>
      <c r="C390" s="13" t="str">
        <f aca="false">IF($B390="","",IFERROR(INDEX(대상목록!$C$3:$C$302,MATCH($B390,대상목록!$A$3:$A$302,0)),""))</f>
        <v/>
      </c>
      <c r="D390" s="9"/>
      <c r="E390" s="14"/>
      <c r="F390" s="15" t="str">
        <f aca="false">IF($E390="","",MONTH($E390))</f>
        <v/>
      </c>
      <c r="G390" s="15" t="str">
        <f aca="false">IF($E390="","",DAY($E390))</f>
        <v/>
      </c>
      <c r="H390" s="16" t="str">
        <f aca="true">IF($E390="","",IF(DATE(YEAR(TODAY()),$F390,$G390)&lt;TODAY(),DATE(YEAR(TODAY())+1,$F390,$G390),DATE(YEAR(TODAY()),$F390,$G390)))</f>
        <v/>
      </c>
      <c r="I390" s="15" t="str">
        <f aca="true">IF($H390="","",$H390-TODAY())</f>
        <v/>
      </c>
      <c r="J390" s="10"/>
    </row>
    <row r="391" customFormat="false" ht="15" hidden="false" customHeight="true" outlineLevel="0" collapsed="false">
      <c r="A391" s="13" t="str">
        <f aca="false">IF($B391="","",ROW()-2)</f>
        <v/>
      </c>
      <c r="B391" s="9"/>
      <c r="C391" s="13" t="str">
        <f aca="false">IF($B391="","",IFERROR(INDEX(대상목록!$C$3:$C$302,MATCH($B391,대상목록!$A$3:$A$302,0)),""))</f>
        <v/>
      </c>
      <c r="D391" s="9"/>
      <c r="E391" s="14"/>
      <c r="F391" s="15" t="str">
        <f aca="false">IF($E391="","",MONTH($E391))</f>
        <v/>
      </c>
      <c r="G391" s="15" t="str">
        <f aca="false">IF($E391="","",DAY($E391))</f>
        <v/>
      </c>
      <c r="H391" s="16" t="str">
        <f aca="true">IF($E391="","",IF(DATE(YEAR(TODAY()),$F391,$G391)&lt;TODAY(),DATE(YEAR(TODAY())+1,$F391,$G391),DATE(YEAR(TODAY()),$F391,$G391)))</f>
        <v/>
      </c>
      <c r="I391" s="15" t="str">
        <f aca="true">IF($H391="","",$H391-TODAY())</f>
        <v/>
      </c>
      <c r="J391" s="10"/>
    </row>
    <row r="392" customFormat="false" ht="15" hidden="false" customHeight="true" outlineLevel="0" collapsed="false">
      <c r="A392" s="13" t="str">
        <f aca="false">IF($B392="","",ROW()-2)</f>
        <v/>
      </c>
      <c r="B392" s="9"/>
      <c r="C392" s="13" t="str">
        <f aca="false">IF($B392="","",IFERROR(INDEX(대상목록!$C$3:$C$302,MATCH($B392,대상목록!$A$3:$A$302,0)),""))</f>
        <v/>
      </c>
      <c r="D392" s="9"/>
      <c r="E392" s="14"/>
      <c r="F392" s="15" t="str">
        <f aca="false">IF($E392="","",MONTH($E392))</f>
        <v/>
      </c>
      <c r="G392" s="15" t="str">
        <f aca="false">IF($E392="","",DAY($E392))</f>
        <v/>
      </c>
      <c r="H392" s="16" t="str">
        <f aca="true">IF($E392="","",IF(DATE(YEAR(TODAY()),$F392,$G392)&lt;TODAY(),DATE(YEAR(TODAY())+1,$F392,$G392),DATE(YEAR(TODAY()),$F392,$G392)))</f>
        <v/>
      </c>
      <c r="I392" s="15" t="str">
        <f aca="true">IF($H392="","",$H392-TODAY())</f>
        <v/>
      </c>
      <c r="J392" s="10"/>
    </row>
    <row r="393" customFormat="false" ht="15" hidden="false" customHeight="true" outlineLevel="0" collapsed="false">
      <c r="A393" s="13" t="str">
        <f aca="false">IF($B393="","",ROW()-2)</f>
        <v/>
      </c>
      <c r="B393" s="9"/>
      <c r="C393" s="13" t="str">
        <f aca="false">IF($B393="","",IFERROR(INDEX(대상목록!$C$3:$C$302,MATCH($B393,대상목록!$A$3:$A$302,0)),""))</f>
        <v/>
      </c>
      <c r="D393" s="9"/>
      <c r="E393" s="14"/>
      <c r="F393" s="15" t="str">
        <f aca="false">IF($E393="","",MONTH($E393))</f>
        <v/>
      </c>
      <c r="G393" s="15" t="str">
        <f aca="false">IF($E393="","",DAY($E393))</f>
        <v/>
      </c>
      <c r="H393" s="16" t="str">
        <f aca="true">IF($E393="","",IF(DATE(YEAR(TODAY()),$F393,$G393)&lt;TODAY(),DATE(YEAR(TODAY())+1,$F393,$G393),DATE(YEAR(TODAY()),$F393,$G393)))</f>
        <v/>
      </c>
      <c r="I393" s="15" t="str">
        <f aca="true">IF($H393="","",$H393-TODAY())</f>
        <v/>
      </c>
      <c r="J393" s="10"/>
    </row>
    <row r="394" customFormat="false" ht="15" hidden="false" customHeight="true" outlineLevel="0" collapsed="false">
      <c r="A394" s="13" t="str">
        <f aca="false">IF($B394="","",ROW()-2)</f>
        <v/>
      </c>
      <c r="B394" s="9"/>
      <c r="C394" s="13" t="str">
        <f aca="false">IF($B394="","",IFERROR(INDEX(대상목록!$C$3:$C$302,MATCH($B394,대상목록!$A$3:$A$302,0)),""))</f>
        <v/>
      </c>
      <c r="D394" s="9"/>
      <c r="E394" s="14"/>
      <c r="F394" s="15" t="str">
        <f aca="false">IF($E394="","",MONTH($E394))</f>
        <v/>
      </c>
      <c r="G394" s="15" t="str">
        <f aca="false">IF($E394="","",DAY($E394))</f>
        <v/>
      </c>
      <c r="H394" s="16" t="str">
        <f aca="true">IF($E394="","",IF(DATE(YEAR(TODAY()),$F394,$G394)&lt;TODAY(),DATE(YEAR(TODAY())+1,$F394,$G394),DATE(YEAR(TODAY()),$F394,$G394)))</f>
        <v/>
      </c>
      <c r="I394" s="15" t="str">
        <f aca="true">IF($H394="","",$H394-TODAY())</f>
        <v/>
      </c>
      <c r="J394" s="10"/>
    </row>
    <row r="395" customFormat="false" ht="15" hidden="false" customHeight="true" outlineLevel="0" collapsed="false">
      <c r="A395" s="13" t="str">
        <f aca="false">IF($B395="","",ROW()-2)</f>
        <v/>
      </c>
      <c r="B395" s="9"/>
      <c r="C395" s="13" t="str">
        <f aca="false">IF($B395="","",IFERROR(INDEX(대상목록!$C$3:$C$302,MATCH($B395,대상목록!$A$3:$A$302,0)),""))</f>
        <v/>
      </c>
      <c r="D395" s="9"/>
      <c r="E395" s="14"/>
      <c r="F395" s="15" t="str">
        <f aca="false">IF($E395="","",MONTH($E395))</f>
        <v/>
      </c>
      <c r="G395" s="15" t="str">
        <f aca="false">IF($E395="","",DAY($E395))</f>
        <v/>
      </c>
      <c r="H395" s="16" t="str">
        <f aca="true">IF($E395="","",IF(DATE(YEAR(TODAY()),$F395,$G395)&lt;TODAY(),DATE(YEAR(TODAY())+1,$F395,$G395),DATE(YEAR(TODAY()),$F395,$G395)))</f>
        <v/>
      </c>
      <c r="I395" s="15" t="str">
        <f aca="true">IF($H395="","",$H395-TODAY())</f>
        <v/>
      </c>
      <c r="J395" s="10"/>
    </row>
    <row r="396" customFormat="false" ht="15" hidden="false" customHeight="true" outlineLevel="0" collapsed="false">
      <c r="A396" s="13" t="str">
        <f aca="false">IF($B396="","",ROW()-2)</f>
        <v/>
      </c>
      <c r="B396" s="9"/>
      <c r="C396" s="13" t="str">
        <f aca="false">IF($B396="","",IFERROR(INDEX(대상목록!$C$3:$C$302,MATCH($B396,대상목록!$A$3:$A$302,0)),""))</f>
        <v/>
      </c>
      <c r="D396" s="9"/>
      <c r="E396" s="14"/>
      <c r="F396" s="15" t="str">
        <f aca="false">IF($E396="","",MONTH($E396))</f>
        <v/>
      </c>
      <c r="G396" s="15" t="str">
        <f aca="false">IF($E396="","",DAY($E396))</f>
        <v/>
      </c>
      <c r="H396" s="16" t="str">
        <f aca="true">IF($E396="","",IF(DATE(YEAR(TODAY()),$F396,$G396)&lt;TODAY(),DATE(YEAR(TODAY())+1,$F396,$G396),DATE(YEAR(TODAY()),$F396,$G396)))</f>
        <v/>
      </c>
      <c r="I396" s="15" t="str">
        <f aca="true">IF($H396="","",$H396-TODAY())</f>
        <v/>
      </c>
      <c r="J396" s="10"/>
    </row>
    <row r="397" customFormat="false" ht="15" hidden="false" customHeight="true" outlineLevel="0" collapsed="false">
      <c r="A397" s="13" t="str">
        <f aca="false">IF($B397="","",ROW()-2)</f>
        <v/>
      </c>
      <c r="B397" s="9"/>
      <c r="C397" s="13" t="str">
        <f aca="false">IF($B397="","",IFERROR(INDEX(대상목록!$C$3:$C$302,MATCH($B397,대상목록!$A$3:$A$302,0)),""))</f>
        <v/>
      </c>
      <c r="D397" s="9"/>
      <c r="E397" s="14"/>
      <c r="F397" s="15" t="str">
        <f aca="false">IF($E397="","",MONTH($E397))</f>
        <v/>
      </c>
      <c r="G397" s="15" t="str">
        <f aca="false">IF($E397="","",DAY($E397))</f>
        <v/>
      </c>
      <c r="H397" s="16" t="str">
        <f aca="true">IF($E397="","",IF(DATE(YEAR(TODAY()),$F397,$G397)&lt;TODAY(),DATE(YEAR(TODAY())+1,$F397,$G397),DATE(YEAR(TODAY()),$F397,$G397)))</f>
        <v/>
      </c>
      <c r="I397" s="15" t="str">
        <f aca="true">IF($H397="","",$H397-TODAY())</f>
        <v/>
      </c>
      <c r="J397" s="10"/>
    </row>
    <row r="398" customFormat="false" ht="15" hidden="false" customHeight="true" outlineLevel="0" collapsed="false">
      <c r="A398" s="13" t="str">
        <f aca="false">IF($B398="","",ROW()-2)</f>
        <v/>
      </c>
      <c r="B398" s="9"/>
      <c r="C398" s="13" t="str">
        <f aca="false">IF($B398="","",IFERROR(INDEX(대상목록!$C$3:$C$302,MATCH($B398,대상목록!$A$3:$A$302,0)),""))</f>
        <v/>
      </c>
      <c r="D398" s="9"/>
      <c r="E398" s="14"/>
      <c r="F398" s="15" t="str">
        <f aca="false">IF($E398="","",MONTH($E398))</f>
        <v/>
      </c>
      <c r="G398" s="15" t="str">
        <f aca="false">IF($E398="","",DAY($E398))</f>
        <v/>
      </c>
      <c r="H398" s="16" t="str">
        <f aca="true">IF($E398="","",IF(DATE(YEAR(TODAY()),$F398,$G398)&lt;TODAY(),DATE(YEAR(TODAY())+1,$F398,$G398),DATE(YEAR(TODAY()),$F398,$G398)))</f>
        <v/>
      </c>
      <c r="I398" s="15" t="str">
        <f aca="true">IF($H398="","",$H398-TODAY())</f>
        <v/>
      </c>
      <c r="J398" s="10"/>
    </row>
    <row r="399" customFormat="false" ht="15" hidden="false" customHeight="true" outlineLevel="0" collapsed="false">
      <c r="A399" s="13" t="str">
        <f aca="false">IF($B399="","",ROW()-2)</f>
        <v/>
      </c>
      <c r="B399" s="9"/>
      <c r="C399" s="13" t="str">
        <f aca="false">IF($B399="","",IFERROR(INDEX(대상목록!$C$3:$C$302,MATCH($B399,대상목록!$A$3:$A$302,0)),""))</f>
        <v/>
      </c>
      <c r="D399" s="9"/>
      <c r="E399" s="14"/>
      <c r="F399" s="15" t="str">
        <f aca="false">IF($E399="","",MONTH($E399))</f>
        <v/>
      </c>
      <c r="G399" s="15" t="str">
        <f aca="false">IF($E399="","",DAY($E399))</f>
        <v/>
      </c>
      <c r="H399" s="16" t="str">
        <f aca="true">IF($E399="","",IF(DATE(YEAR(TODAY()),$F399,$G399)&lt;TODAY(),DATE(YEAR(TODAY())+1,$F399,$G399),DATE(YEAR(TODAY()),$F399,$G399)))</f>
        <v/>
      </c>
      <c r="I399" s="15" t="str">
        <f aca="true">IF($H399="","",$H399-TODAY())</f>
        <v/>
      </c>
      <c r="J399" s="10"/>
    </row>
    <row r="400" customFormat="false" ht="15" hidden="false" customHeight="true" outlineLevel="0" collapsed="false">
      <c r="A400" s="13" t="str">
        <f aca="false">IF($B400="","",ROW()-2)</f>
        <v/>
      </c>
      <c r="B400" s="9"/>
      <c r="C400" s="13" t="str">
        <f aca="false">IF($B400="","",IFERROR(INDEX(대상목록!$C$3:$C$302,MATCH($B400,대상목록!$A$3:$A$302,0)),""))</f>
        <v/>
      </c>
      <c r="D400" s="9"/>
      <c r="E400" s="14"/>
      <c r="F400" s="15" t="str">
        <f aca="false">IF($E400="","",MONTH($E400))</f>
        <v/>
      </c>
      <c r="G400" s="15" t="str">
        <f aca="false">IF($E400="","",DAY($E400))</f>
        <v/>
      </c>
      <c r="H400" s="16" t="str">
        <f aca="true">IF($E400="","",IF(DATE(YEAR(TODAY()),$F400,$G400)&lt;TODAY(),DATE(YEAR(TODAY())+1,$F400,$G400),DATE(YEAR(TODAY()),$F400,$G400)))</f>
        <v/>
      </c>
      <c r="I400" s="15" t="str">
        <f aca="true">IF($H400="","",$H400-TODAY())</f>
        <v/>
      </c>
      <c r="J400" s="10"/>
    </row>
    <row r="401" customFormat="false" ht="15" hidden="false" customHeight="true" outlineLevel="0" collapsed="false">
      <c r="A401" s="13" t="str">
        <f aca="false">IF($B401="","",ROW()-2)</f>
        <v/>
      </c>
      <c r="B401" s="9"/>
      <c r="C401" s="13" t="str">
        <f aca="false">IF($B401="","",IFERROR(INDEX(대상목록!$C$3:$C$302,MATCH($B401,대상목록!$A$3:$A$302,0)),""))</f>
        <v/>
      </c>
      <c r="D401" s="9"/>
      <c r="E401" s="14"/>
      <c r="F401" s="15" t="str">
        <f aca="false">IF($E401="","",MONTH($E401))</f>
        <v/>
      </c>
      <c r="G401" s="15" t="str">
        <f aca="false">IF($E401="","",DAY($E401))</f>
        <v/>
      </c>
      <c r="H401" s="16" t="str">
        <f aca="true">IF($E401="","",IF(DATE(YEAR(TODAY()),$F401,$G401)&lt;TODAY(),DATE(YEAR(TODAY())+1,$F401,$G401),DATE(YEAR(TODAY()),$F401,$G401)))</f>
        <v/>
      </c>
      <c r="I401" s="15" t="str">
        <f aca="true">IF($H401="","",$H401-TODAY())</f>
        <v/>
      </c>
      <c r="J401" s="10"/>
    </row>
    <row r="402" customFormat="false" ht="15" hidden="false" customHeight="true" outlineLevel="0" collapsed="false">
      <c r="A402" s="13" t="str">
        <f aca="false">IF($B402="","",ROW()-2)</f>
        <v/>
      </c>
      <c r="B402" s="9"/>
      <c r="C402" s="13" t="str">
        <f aca="false">IF($B402="","",IFERROR(INDEX(대상목록!$C$3:$C$302,MATCH($B402,대상목록!$A$3:$A$302,0)),""))</f>
        <v/>
      </c>
      <c r="D402" s="9"/>
      <c r="E402" s="14"/>
      <c r="F402" s="15" t="str">
        <f aca="false">IF($E402="","",MONTH($E402))</f>
        <v/>
      </c>
      <c r="G402" s="15" t="str">
        <f aca="false">IF($E402="","",DAY($E402))</f>
        <v/>
      </c>
      <c r="H402" s="16" t="str">
        <f aca="true">IF($E402="","",IF(DATE(YEAR(TODAY()),$F402,$G402)&lt;TODAY(),DATE(YEAR(TODAY())+1,$F402,$G402),DATE(YEAR(TODAY()),$F402,$G402)))</f>
        <v/>
      </c>
      <c r="I402" s="15" t="str">
        <f aca="true">IF($H402="","",$H402-TODAY())</f>
        <v/>
      </c>
      <c r="J402" s="10"/>
    </row>
    <row r="403" customFormat="false" ht="15" hidden="false" customHeight="true" outlineLevel="0" collapsed="false">
      <c r="A403" s="13" t="str">
        <f aca="false">IF($B403="","",ROW()-2)</f>
        <v/>
      </c>
      <c r="B403" s="9"/>
      <c r="C403" s="13" t="str">
        <f aca="false">IF($B403="","",IFERROR(INDEX(대상목록!$C$3:$C$302,MATCH($B403,대상목록!$A$3:$A$302,0)),""))</f>
        <v/>
      </c>
      <c r="D403" s="9"/>
      <c r="E403" s="14"/>
      <c r="F403" s="15" t="str">
        <f aca="false">IF($E403="","",MONTH($E403))</f>
        <v/>
      </c>
      <c r="G403" s="15" t="str">
        <f aca="false">IF($E403="","",DAY($E403))</f>
        <v/>
      </c>
      <c r="H403" s="16" t="str">
        <f aca="true">IF($E403="","",IF(DATE(YEAR(TODAY()),$F403,$G403)&lt;TODAY(),DATE(YEAR(TODAY())+1,$F403,$G403),DATE(YEAR(TODAY()),$F403,$G403)))</f>
        <v/>
      </c>
      <c r="I403" s="15" t="str">
        <f aca="true">IF($H403="","",$H403-TODAY())</f>
        <v/>
      </c>
      <c r="J403" s="10"/>
    </row>
    <row r="404" customFormat="false" ht="15" hidden="false" customHeight="true" outlineLevel="0" collapsed="false">
      <c r="A404" s="13" t="str">
        <f aca="false">IF($B404="","",ROW()-2)</f>
        <v/>
      </c>
      <c r="B404" s="9"/>
      <c r="C404" s="13" t="str">
        <f aca="false">IF($B404="","",IFERROR(INDEX(대상목록!$C$3:$C$302,MATCH($B404,대상목록!$A$3:$A$302,0)),""))</f>
        <v/>
      </c>
      <c r="D404" s="9"/>
      <c r="E404" s="14"/>
      <c r="F404" s="15" t="str">
        <f aca="false">IF($E404="","",MONTH($E404))</f>
        <v/>
      </c>
      <c r="G404" s="15" t="str">
        <f aca="false">IF($E404="","",DAY($E404))</f>
        <v/>
      </c>
      <c r="H404" s="16" t="str">
        <f aca="true">IF($E404="","",IF(DATE(YEAR(TODAY()),$F404,$G404)&lt;TODAY(),DATE(YEAR(TODAY())+1,$F404,$G404),DATE(YEAR(TODAY()),$F404,$G404)))</f>
        <v/>
      </c>
      <c r="I404" s="15" t="str">
        <f aca="true">IF($H404="","",$H404-TODAY())</f>
        <v/>
      </c>
      <c r="J404" s="10"/>
    </row>
    <row r="405" customFormat="false" ht="15" hidden="false" customHeight="true" outlineLevel="0" collapsed="false">
      <c r="A405" s="13" t="str">
        <f aca="false">IF($B405="","",ROW()-2)</f>
        <v/>
      </c>
      <c r="B405" s="9"/>
      <c r="C405" s="13" t="str">
        <f aca="false">IF($B405="","",IFERROR(INDEX(대상목록!$C$3:$C$302,MATCH($B405,대상목록!$A$3:$A$302,0)),""))</f>
        <v/>
      </c>
      <c r="D405" s="9"/>
      <c r="E405" s="14"/>
      <c r="F405" s="15" t="str">
        <f aca="false">IF($E405="","",MONTH($E405))</f>
        <v/>
      </c>
      <c r="G405" s="15" t="str">
        <f aca="false">IF($E405="","",DAY($E405))</f>
        <v/>
      </c>
      <c r="H405" s="16" t="str">
        <f aca="true">IF($E405="","",IF(DATE(YEAR(TODAY()),$F405,$G405)&lt;TODAY(),DATE(YEAR(TODAY())+1,$F405,$G405),DATE(YEAR(TODAY()),$F405,$G405)))</f>
        <v/>
      </c>
      <c r="I405" s="15" t="str">
        <f aca="true">IF($H405="","",$H405-TODAY())</f>
        <v/>
      </c>
      <c r="J405" s="10"/>
    </row>
    <row r="406" customFormat="false" ht="15" hidden="false" customHeight="true" outlineLevel="0" collapsed="false">
      <c r="A406" s="13" t="str">
        <f aca="false">IF($B406="","",ROW()-2)</f>
        <v/>
      </c>
      <c r="B406" s="9"/>
      <c r="C406" s="13" t="str">
        <f aca="false">IF($B406="","",IFERROR(INDEX(대상목록!$C$3:$C$302,MATCH($B406,대상목록!$A$3:$A$302,0)),""))</f>
        <v/>
      </c>
      <c r="D406" s="9"/>
      <c r="E406" s="14"/>
      <c r="F406" s="15" t="str">
        <f aca="false">IF($E406="","",MONTH($E406))</f>
        <v/>
      </c>
      <c r="G406" s="15" t="str">
        <f aca="false">IF($E406="","",DAY($E406))</f>
        <v/>
      </c>
      <c r="H406" s="16" t="str">
        <f aca="true">IF($E406="","",IF(DATE(YEAR(TODAY()),$F406,$G406)&lt;TODAY(),DATE(YEAR(TODAY())+1,$F406,$G406),DATE(YEAR(TODAY()),$F406,$G406)))</f>
        <v/>
      </c>
      <c r="I406" s="15" t="str">
        <f aca="true">IF($H406="","",$H406-TODAY())</f>
        <v/>
      </c>
      <c r="J406" s="10"/>
    </row>
    <row r="407" customFormat="false" ht="15" hidden="false" customHeight="true" outlineLevel="0" collapsed="false">
      <c r="A407" s="13" t="str">
        <f aca="false">IF($B407="","",ROW()-2)</f>
        <v/>
      </c>
      <c r="B407" s="9"/>
      <c r="C407" s="13" t="str">
        <f aca="false">IF($B407="","",IFERROR(INDEX(대상목록!$C$3:$C$302,MATCH($B407,대상목록!$A$3:$A$302,0)),""))</f>
        <v/>
      </c>
      <c r="D407" s="9"/>
      <c r="E407" s="14"/>
      <c r="F407" s="15" t="str">
        <f aca="false">IF($E407="","",MONTH($E407))</f>
        <v/>
      </c>
      <c r="G407" s="15" t="str">
        <f aca="false">IF($E407="","",DAY($E407))</f>
        <v/>
      </c>
      <c r="H407" s="16" t="str">
        <f aca="true">IF($E407="","",IF(DATE(YEAR(TODAY()),$F407,$G407)&lt;TODAY(),DATE(YEAR(TODAY())+1,$F407,$G407),DATE(YEAR(TODAY()),$F407,$G407)))</f>
        <v/>
      </c>
      <c r="I407" s="15" t="str">
        <f aca="true">IF($H407="","",$H407-TODAY())</f>
        <v/>
      </c>
      <c r="J407" s="10"/>
    </row>
    <row r="408" customFormat="false" ht="15" hidden="false" customHeight="true" outlineLevel="0" collapsed="false">
      <c r="A408" s="13" t="str">
        <f aca="false">IF($B408="","",ROW()-2)</f>
        <v/>
      </c>
      <c r="B408" s="9"/>
      <c r="C408" s="13" t="str">
        <f aca="false">IF($B408="","",IFERROR(INDEX(대상목록!$C$3:$C$302,MATCH($B408,대상목록!$A$3:$A$302,0)),""))</f>
        <v/>
      </c>
      <c r="D408" s="9"/>
      <c r="E408" s="14"/>
      <c r="F408" s="15" t="str">
        <f aca="false">IF($E408="","",MONTH($E408))</f>
        <v/>
      </c>
      <c r="G408" s="15" t="str">
        <f aca="false">IF($E408="","",DAY($E408))</f>
        <v/>
      </c>
      <c r="H408" s="16" t="str">
        <f aca="true">IF($E408="","",IF(DATE(YEAR(TODAY()),$F408,$G408)&lt;TODAY(),DATE(YEAR(TODAY())+1,$F408,$G408),DATE(YEAR(TODAY()),$F408,$G408)))</f>
        <v/>
      </c>
      <c r="I408" s="15" t="str">
        <f aca="true">IF($H408="","",$H408-TODAY())</f>
        <v/>
      </c>
      <c r="J408" s="10"/>
    </row>
    <row r="409" customFormat="false" ht="15" hidden="false" customHeight="true" outlineLevel="0" collapsed="false">
      <c r="A409" s="13" t="str">
        <f aca="false">IF($B409="","",ROW()-2)</f>
        <v/>
      </c>
      <c r="B409" s="9"/>
      <c r="C409" s="13" t="str">
        <f aca="false">IF($B409="","",IFERROR(INDEX(대상목록!$C$3:$C$302,MATCH($B409,대상목록!$A$3:$A$302,0)),""))</f>
        <v/>
      </c>
      <c r="D409" s="9"/>
      <c r="E409" s="14"/>
      <c r="F409" s="15" t="str">
        <f aca="false">IF($E409="","",MONTH($E409))</f>
        <v/>
      </c>
      <c r="G409" s="15" t="str">
        <f aca="false">IF($E409="","",DAY($E409))</f>
        <v/>
      </c>
      <c r="H409" s="16" t="str">
        <f aca="true">IF($E409="","",IF(DATE(YEAR(TODAY()),$F409,$G409)&lt;TODAY(),DATE(YEAR(TODAY())+1,$F409,$G409),DATE(YEAR(TODAY()),$F409,$G409)))</f>
        <v/>
      </c>
      <c r="I409" s="15" t="str">
        <f aca="true">IF($H409="","",$H409-TODAY())</f>
        <v/>
      </c>
      <c r="J409" s="10"/>
    </row>
    <row r="410" customFormat="false" ht="15" hidden="false" customHeight="true" outlineLevel="0" collapsed="false">
      <c r="A410" s="13" t="str">
        <f aca="false">IF($B410="","",ROW()-2)</f>
        <v/>
      </c>
      <c r="B410" s="9"/>
      <c r="C410" s="13" t="str">
        <f aca="false">IF($B410="","",IFERROR(INDEX(대상목록!$C$3:$C$302,MATCH($B410,대상목록!$A$3:$A$302,0)),""))</f>
        <v/>
      </c>
      <c r="D410" s="9"/>
      <c r="E410" s="14"/>
      <c r="F410" s="15" t="str">
        <f aca="false">IF($E410="","",MONTH($E410))</f>
        <v/>
      </c>
      <c r="G410" s="15" t="str">
        <f aca="false">IF($E410="","",DAY($E410))</f>
        <v/>
      </c>
      <c r="H410" s="16" t="str">
        <f aca="true">IF($E410="","",IF(DATE(YEAR(TODAY()),$F410,$G410)&lt;TODAY(),DATE(YEAR(TODAY())+1,$F410,$G410),DATE(YEAR(TODAY()),$F410,$G410)))</f>
        <v/>
      </c>
      <c r="I410" s="15" t="str">
        <f aca="true">IF($H410="","",$H410-TODAY())</f>
        <v/>
      </c>
      <c r="J410" s="10"/>
    </row>
    <row r="411" customFormat="false" ht="15" hidden="false" customHeight="true" outlineLevel="0" collapsed="false">
      <c r="A411" s="13" t="str">
        <f aca="false">IF($B411="","",ROW()-2)</f>
        <v/>
      </c>
      <c r="B411" s="9"/>
      <c r="C411" s="13" t="str">
        <f aca="false">IF($B411="","",IFERROR(INDEX(대상목록!$C$3:$C$302,MATCH($B411,대상목록!$A$3:$A$302,0)),""))</f>
        <v/>
      </c>
      <c r="D411" s="9"/>
      <c r="E411" s="14"/>
      <c r="F411" s="15" t="str">
        <f aca="false">IF($E411="","",MONTH($E411))</f>
        <v/>
      </c>
      <c r="G411" s="15" t="str">
        <f aca="false">IF($E411="","",DAY($E411))</f>
        <v/>
      </c>
      <c r="H411" s="16" t="str">
        <f aca="true">IF($E411="","",IF(DATE(YEAR(TODAY()),$F411,$G411)&lt;TODAY(),DATE(YEAR(TODAY())+1,$F411,$G411),DATE(YEAR(TODAY()),$F411,$G411)))</f>
        <v/>
      </c>
      <c r="I411" s="15" t="str">
        <f aca="true">IF($H411="","",$H411-TODAY())</f>
        <v/>
      </c>
      <c r="J411" s="10"/>
    </row>
    <row r="412" customFormat="false" ht="15" hidden="false" customHeight="true" outlineLevel="0" collapsed="false">
      <c r="A412" s="13" t="str">
        <f aca="false">IF($B412="","",ROW()-2)</f>
        <v/>
      </c>
      <c r="B412" s="9"/>
      <c r="C412" s="13" t="str">
        <f aca="false">IF($B412="","",IFERROR(INDEX(대상목록!$C$3:$C$302,MATCH($B412,대상목록!$A$3:$A$302,0)),""))</f>
        <v/>
      </c>
      <c r="D412" s="9"/>
      <c r="E412" s="14"/>
      <c r="F412" s="15" t="str">
        <f aca="false">IF($E412="","",MONTH($E412))</f>
        <v/>
      </c>
      <c r="G412" s="15" t="str">
        <f aca="false">IF($E412="","",DAY($E412))</f>
        <v/>
      </c>
      <c r="H412" s="16" t="str">
        <f aca="true">IF($E412="","",IF(DATE(YEAR(TODAY()),$F412,$G412)&lt;TODAY(),DATE(YEAR(TODAY())+1,$F412,$G412),DATE(YEAR(TODAY()),$F412,$G412)))</f>
        <v/>
      </c>
      <c r="I412" s="15" t="str">
        <f aca="true">IF($H412="","",$H412-TODAY())</f>
        <v/>
      </c>
      <c r="J412" s="10"/>
    </row>
    <row r="413" customFormat="false" ht="15" hidden="false" customHeight="true" outlineLevel="0" collapsed="false">
      <c r="A413" s="13" t="str">
        <f aca="false">IF($B413="","",ROW()-2)</f>
        <v/>
      </c>
      <c r="B413" s="9"/>
      <c r="C413" s="13" t="str">
        <f aca="false">IF($B413="","",IFERROR(INDEX(대상목록!$C$3:$C$302,MATCH($B413,대상목록!$A$3:$A$302,0)),""))</f>
        <v/>
      </c>
      <c r="D413" s="9"/>
      <c r="E413" s="14"/>
      <c r="F413" s="15" t="str">
        <f aca="false">IF($E413="","",MONTH($E413))</f>
        <v/>
      </c>
      <c r="G413" s="15" t="str">
        <f aca="false">IF($E413="","",DAY($E413))</f>
        <v/>
      </c>
      <c r="H413" s="16" t="str">
        <f aca="true">IF($E413="","",IF(DATE(YEAR(TODAY()),$F413,$G413)&lt;TODAY(),DATE(YEAR(TODAY())+1,$F413,$G413),DATE(YEAR(TODAY()),$F413,$G413)))</f>
        <v/>
      </c>
      <c r="I413" s="15" t="str">
        <f aca="true">IF($H413="","",$H413-TODAY())</f>
        <v/>
      </c>
      <c r="J413" s="10"/>
    </row>
    <row r="414" customFormat="false" ht="15" hidden="false" customHeight="true" outlineLevel="0" collapsed="false">
      <c r="A414" s="13" t="str">
        <f aca="false">IF($B414="","",ROW()-2)</f>
        <v/>
      </c>
      <c r="B414" s="9"/>
      <c r="C414" s="13" t="str">
        <f aca="false">IF($B414="","",IFERROR(INDEX(대상목록!$C$3:$C$302,MATCH($B414,대상목록!$A$3:$A$302,0)),""))</f>
        <v/>
      </c>
      <c r="D414" s="9"/>
      <c r="E414" s="14"/>
      <c r="F414" s="15" t="str">
        <f aca="false">IF($E414="","",MONTH($E414))</f>
        <v/>
      </c>
      <c r="G414" s="15" t="str">
        <f aca="false">IF($E414="","",DAY($E414))</f>
        <v/>
      </c>
      <c r="H414" s="16" t="str">
        <f aca="true">IF($E414="","",IF(DATE(YEAR(TODAY()),$F414,$G414)&lt;TODAY(),DATE(YEAR(TODAY())+1,$F414,$G414),DATE(YEAR(TODAY()),$F414,$G414)))</f>
        <v/>
      </c>
      <c r="I414" s="15" t="str">
        <f aca="true">IF($H414="","",$H414-TODAY())</f>
        <v/>
      </c>
      <c r="J414" s="10"/>
    </row>
    <row r="415" customFormat="false" ht="15" hidden="false" customHeight="true" outlineLevel="0" collapsed="false">
      <c r="A415" s="13" t="str">
        <f aca="false">IF($B415="","",ROW()-2)</f>
        <v/>
      </c>
      <c r="B415" s="9"/>
      <c r="C415" s="13" t="str">
        <f aca="false">IF($B415="","",IFERROR(INDEX(대상목록!$C$3:$C$302,MATCH($B415,대상목록!$A$3:$A$302,0)),""))</f>
        <v/>
      </c>
      <c r="D415" s="9"/>
      <c r="E415" s="14"/>
      <c r="F415" s="15" t="str">
        <f aca="false">IF($E415="","",MONTH($E415))</f>
        <v/>
      </c>
      <c r="G415" s="15" t="str">
        <f aca="false">IF($E415="","",DAY($E415))</f>
        <v/>
      </c>
      <c r="H415" s="16" t="str">
        <f aca="true">IF($E415="","",IF(DATE(YEAR(TODAY()),$F415,$G415)&lt;TODAY(),DATE(YEAR(TODAY())+1,$F415,$G415),DATE(YEAR(TODAY()),$F415,$G415)))</f>
        <v/>
      </c>
      <c r="I415" s="15" t="str">
        <f aca="true">IF($H415="","",$H415-TODAY())</f>
        <v/>
      </c>
      <c r="J415" s="10"/>
    </row>
    <row r="416" customFormat="false" ht="15" hidden="false" customHeight="true" outlineLevel="0" collapsed="false">
      <c r="A416" s="13" t="str">
        <f aca="false">IF($B416="","",ROW()-2)</f>
        <v/>
      </c>
      <c r="B416" s="9"/>
      <c r="C416" s="13" t="str">
        <f aca="false">IF($B416="","",IFERROR(INDEX(대상목록!$C$3:$C$302,MATCH($B416,대상목록!$A$3:$A$302,0)),""))</f>
        <v/>
      </c>
      <c r="D416" s="9"/>
      <c r="E416" s="14"/>
      <c r="F416" s="15" t="str">
        <f aca="false">IF($E416="","",MONTH($E416))</f>
        <v/>
      </c>
      <c r="G416" s="15" t="str">
        <f aca="false">IF($E416="","",DAY($E416))</f>
        <v/>
      </c>
      <c r="H416" s="16" t="str">
        <f aca="true">IF($E416="","",IF(DATE(YEAR(TODAY()),$F416,$G416)&lt;TODAY(),DATE(YEAR(TODAY())+1,$F416,$G416),DATE(YEAR(TODAY()),$F416,$G416)))</f>
        <v/>
      </c>
      <c r="I416" s="15" t="str">
        <f aca="true">IF($H416="","",$H416-TODAY())</f>
        <v/>
      </c>
      <c r="J416" s="10"/>
    </row>
    <row r="417" customFormat="false" ht="15" hidden="false" customHeight="true" outlineLevel="0" collapsed="false">
      <c r="A417" s="13" t="str">
        <f aca="false">IF($B417="","",ROW()-2)</f>
        <v/>
      </c>
      <c r="B417" s="9"/>
      <c r="C417" s="13" t="str">
        <f aca="false">IF($B417="","",IFERROR(INDEX(대상목록!$C$3:$C$302,MATCH($B417,대상목록!$A$3:$A$302,0)),""))</f>
        <v/>
      </c>
      <c r="D417" s="9"/>
      <c r="E417" s="14"/>
      <c r="F417" s="15" t="str">
        <f aca="false">IF($E417="","",MONTH($E417))</f>
        <v/>
      </c>
      <c r="G417" s="15" t="str">
        <f aca="false">IF($E417="","",DAY($E417))</f>
        <v/>
      </c>
      <c r="H417" s="16" t="str">
        <f aca="true">IF($E417="","",IF(DATE(YEAR(TODAY()),$F417,$G417)&lt;TODAY(),DATE(YEAR(TODAY())+1,$F417,$G417),DATE(YEAR(TODAY()),$F417,$G417)))</f>
        <v/>
      </c>
      <c r="I417" s="15" t="str">
        <f aca="true">IF($H417="","",$H417-TODAY())</f>
        <v/>
      </c>
      <c r="J417" s="10"/>
    </row>
    <row r="418" customFormat="false" ht="15" hidden="false" customHeight="true" outlineLevel="0" collapsed="false">
      <c r="A418" s="13" t="str">
        <f aca="false">IF($B418="","",ROW()-2)</f>
        <v/>
      </c>
      <c r="B418" s="9"/>
      <c r="C418" s="13" t="str">
        <f aca="false">IF($B418="","",IFERROR(INDEX(대상목록!$C$3:$C$302,MATCH($B418,대상목록!$A$3:$A$302,0)),""))</f>
        <v/>
      </c>
      <c r="D418" s="9"/>
      <c r="E418" s="14"/>
      <c r="F418" s="15" t="str">
        <f aca="false">IF($E418="","",MONTH($E418))</f>
        <v/>
      </c>
      <c r="G418" s="15" t="str">
        <f aca="false">IF($E418="","",DAY($E418))</f>
        <v/>
      </c>
      <c r="H418" s="16" t="str">
        <f aca="true">IF($E418="","",IF(DATE(YEAR(TODAY()),$F418,$G418)&lt;TODAY(),DATE(YEAR(TODAY())+1,$F418,$G418),DATE(YEAR(TODAY()),$F418,$G418)))</f>
        <v/>
      </c>
      <c r="I418" s="15" t="str">
        <f aca="true">IF($H418="","",$H418-TODAY())</f>
        <v/>
      </c>
      <c r="J418" s="10"/>
    </row>
    <row r="419" customFormat="false" ht="15" hidden="false" customHeight="true" outlineLevel="0" collapsed="false">
      <c r="A419" s="13" t="str">
        <f aca="false">IF($B419="","",ROW()-2)</f>
        <v/>
      </c>
      <c r="B419" s="9"/>
      <c r="C419" s="13" t="str">
        <f aca="false">IF($B419="","",IFERROR(INDEX(대상목록!$C$3:$C$302,MATCH($B419,대상목록!$A$3:$A$302,0)),""))</f>
        <v/>
      </c>
      <c r="D419" s="9"/>
      <c r="E419" s="14"/>
      <c r="F419" s="15" t="str">
        <f aca="false">IF($E419="","",MONTH($E419))</f>
        <v/>
      </c>
      <c r="G419" s="15" t="str">
        <f aca="false">IF($E419="","",DAY($E419))</f>
        <v/>
      </c>
      <c r="H419" s="16" t="str">
        <f aca="true">IF($E419="","",IF(DATE(YEAR(TODAY()),$F419,$G419)&lt;TODAY(),DATE(YEAR(TODAY())+1,$F419,$G419),DATE(YEAR(TODAY()),$F419,$G419)))</f>
        <v/>
      </c>
      <c r="I419" s="15" t="str">
        <f aca="true">IF($H419="","",$H419-TODAY())</f>
        <v/>
      </c>
      <c r="J419" s="10"/>
    </row>
    <row r="420" customFormat="false" ht="15" hidden="false" customHeight="true" outlineLevel="0" collapsed="false">
      <c r="A420" s="13" t="str">
        <f aca="false">IF($B420="","",ROW()-2)</f>
        <v/>
      </c>
      <c r="B420" s="9"/>
      <c r="C420" s="13" t="str">
        <f aca="false">IF($B420="","",IFERROR(INDEX(대상목록!$C$3:$C$302,MATCH($B420,대상목록!$A$3:$A$302,0)),""))</f>
        <v/>
      </c>
      <c r="D420" s="9"/>
      <c r="E420" s="14"/>
      <c r="F420" s="15" t="str">
        <f aca="false">IF($E420="","",MONTH($E420))</f>
        <v/>
      </c>
      <c r="G420" s="15" t="str">
        <f aca="false">IF($E420="","",DAY($E420))</f>
        <v/>
      </c>
      <c r="H420" s="16" t="str">
        <f aca="true">IF($E420="","",IF(DATE(YEAR(TODAY()),$F420,$G420)&lt;TODAY(),DATE(YEAR(TODAY())+1,$F420,$G420),DATE(YEAR(TODAY()),$F420,$G420)))</f>
        <v/>
      </c>
      <c r="I420" s="15" t="str">
        <f aca="true">IF($H420="","",$H420-TODAY())</f>
        <v/>
      </c>
      <c r="J420" s="10"/>
    </row>
    <row r="421" customFormat="false" ht="15" hidden="false" customHeight="true" outlineLevel="0" collapsed="false">
      <c r="A421" s="13" t="str">
        <f aca="false">IF($B421="","",ROW()-2)</f>
        <v/>
      </c>
      <c r="B421" s="9"/>
      <c r="C421" s="13" t="str">
        <f aca="false">IF($B421="","",IFERROR(INDEX(대상목록!$C$3:$C$302,MATCH($B421,대상목록!$A$3:$A$302,0)),""))</f>
        <v/>
      </c>
      <c r="D421" s="9"/>
      <c r="E421" s="14"/>
      <c r="F421" s="15" t="str">
        <f aca="false">IF($E421="","",MONTH($E421))</f>
        <v/>
      </c>
      <c r="G421" s="15" t="str">
        <f aca="false">IF($E421="","",DAY($E421))</f>
        <v/>
      </c>
      <c r="H421" s="16" t="str">
        <f aca="true">IF($E421="","",IF(DATE(YEAR(TODAY()),$F421,$G421)&lt;TODAY(),DATE(YEAR(TODAY())+1,$F421,$G421),DATE(YEAR(TODAY()),$F421,$G421)))</f>
        <v/>
      </c>
      <c r="I421" s="15" t="str">
        <f aca="true">IF($H421="","",$H421-TODAY())</f>
        <v/>
      </c>
      <c r="J421" s="10"/>
    </row>
    <row r="422" customFormat="false" ht="15" hidden="false" customHeight="true" outlineLevel="0" collapsed="false">
      <c r="A422" s="13" t="str">
        <f aca="false">IF($B422="","",ROW()-2)</f>
        <v/>
      </c>
      <c r="B422" s="9"/>
      <c r="C422" s="13" t="str">
        <f aca="false">IF($B422="","",IFERROR(INDEX(대상목록!$C$3:$C$302,MATCH($B422,대상목록!$A$3:$A$302,0)),""))</f>
        <v/>
      </c>
      <c r="D422" s="9"/>
      <c r="E422" s="14"/>
      <c r="F422" s="15" t="str">
        <f aca="false">IF($E422="","",MONTH($E422))</f>
        <v/>
      </c>
      <c r="G422" s="15" t="str">
        <f aca="false">IF($E422="","",DAY($E422))</f>
        <v/>
      </c>
      <c r="H422" s="16" t="str">
        <f aca="true">IF($E422="","",IF(DATE(YEAR(TODAY()),$F422,$G422)&lt;TODAY(),DATE(YEAR(TODAY())+1,$F422,$G422),DATE(YEAR(TODAY()),$F422,$G422)))</f>
        <v/>
      </c>
      <c r="I422" s="15" t="str">
        <f aca="true">IF($H422="","",$H422-TODAY())</f>
        <v/>
      </c>
      <c r="J422" s="10"/>
    </row>
    <row r="423" customFormat="false" ht="15" hidden="false" customHeight="true" outlineLevel="0" collapsed="false">
      <c r="A423" s="13" t="str">
        <f aca="false">IF($B423="","",ROW()-2)</f>
        <v/>
      </c>
      <c r="B423" s="9"/>
      <c r="C423" s="13" t="str">
        <f aca="false">IF($B423="","",IFERROR(INDEX(대상목록!$C$3:$C$302,MATCH($B423,대상목록!$A$3:$A$302,0)),""))</f>
        <v/>
      </c>
      <c r="D423" s="9"/>
      <c r="E423" s="14"/>
      <c r="F423" s="15" t="str">
        <f aca="false">IF($E423="","",MONTH($E423))</f>
        <v/>
      </c>
      <c r="G423" s="15" t="str">
        <f aca="false">IF($E423="","",DAY($E423))</f>
        <v/>
      </c>
      <c r="H423" s="16" t="str">
        <f aca="true">IF($E423="","",IF(DATE(YEAR(TODAY()),$F423,$G423)&lt;TODAY(),DATE(YEAR(TODAY())+1,$F423,$G423),DATE(YEAR(TODAY()),$F423,$G423)))</f>
        <v/>
      </c>
      <c r="I423" s="15" t="str">
        <f aca="true">IF($H423="","",$H423-TODAY())</f>
        <v/>
      </c>
      <c r="J423" s="10"/>
    </row>
    <row r="424" customFormat="false" ht="15" hidden="false" customHeight="true" outlineLevel="0" collapsed="false">
      <c r="A424" s="13" t="str">
        <f aca="false">IF($B424="","",ROW()-2)</f>
        <v/>
      </c>
      <c r="B424" s="9"/>
      <c r="C424" s="13" t="str">
        <f aca="false">IF($B424="","",IFERROR(INDEX(대상목록!$C$3:$C$302,MATCH($B424,대상목록!$A$3:$A$302,0)),""))</f>
        <v/>
      </c>
      <c r="D424" s="9"/>
      <c r="E424" s="14"/>
      <c r="F424" s="15" t="str">
        <f aca="false">IF($E424="","",MONTH($E424))</f>
        <v/>
      </c>
      <c r="G424" s="15" t="str">
        <f aca="false">IF($E424="","",DAY($E424))</f>
        <v/>
      </c>
      <c r="H424" s="16" t="str">
        <f aca="true">IF($E424="","",IF(DATE(YEAR(TODAY()),$F424,$G424)&lt;TODAY(),DATE(YEAR(TODAY())+1,$F424,$G424),DATE(YEAR(TODAY()),$F424,$G424)))</f>
        <v/>
      </c>
      <c r="I424" s="15" t="str">
        <f aca="true">IF($H424="","",$H424-TODAY())</f>
        <v/>
      </c>
      <c r="J424" s="10"/>
    </row>
    <row r="425" customFormat="false" ht="15" hidden="false" customHeight="true" outlineLevel="0" collapsed="false">
      <c r="A425" s="13" t="str">
        <f aca="false">IF($B425="","",ROW()-2)</f>
        <v/>
      </c>
      <c r="B425" s="9"/>
      <c r="C425" s="13" t="str">
        <f aca="false">IF($B425="","",IFERROR(INDEX(대상목록!$C$3:$C$302,MATCH($B425,대상목록!$A$3:$A$302,0)),""))</f>
        <v/>
      </c>
      <c r="D425" s="9"/>
      <c r="E425" s="14"/>
      <c r="F425" s="15" t="str">
        <f aca="false">IF($E425="","",MONTH($E425))</f>
        <v/>
      </c>
      <c r="G425" s="15" t="str">
        <f aca="false">IF($E425="","",DAY($E425))</f>
        <v/>
      </c>
      <c r="H425" s="16" t="str">
        <f aca="true">IF($E425="","",IF(DATE(YEAR(TODAY()),$F425,$G425)&lt;TODAY(),DATE(YEAR(TODAY())+1,$F425,$G425),DATE(YEAR(TODAY()),$F425,$G425)))</f>
        <v/>
      </c>
      <c r="I425" s="15" t="str">
        <f aca="true">IF($H425="","",$H425-TODAY())</f>
        <v/>
      </c>
      <c r="J425" s="10"/>
    </row>
    <row r="426" customFormat="false" ht="15" hidden="false" customHeight="true" outlineLevel="0" collapsed="false">
      <c r="A426" s="13" t="str">
        <f aca="false">IF($B426="","",ROW()-2)</f>
        <v/>
      </c>
      <c r="B426" s="9"/>
      <c r="C426" s="13" t="str">
        <f aca="false">IF($B426="","",IFERROR(INDEX(대상목록!$C$3:$C$302,MATCH($B426,대상목록!$A$3:$A$302,0)),""))</f>
        <v/>
      </c>
      <c r="D426" s="9"/>
      <c r="E426" s="14"/>
      <c r="F426" s="15" t="str">
        <f aca="false">IF($E426="","",MONTH($E426))</f>
        <v/>
      </c>
      <c r="G426" s="15" t="str">
        <f aca="false">IF($E426="","",DAY($E426))</f>
        <v/>
      </c>
      <c r="H426" s="16" t="str">
        <f aca="true">IF($E426="","",IF(DATE(YEAR(TODAY()),$F426,$G426)&lt;TODAY(),DATE(YEAR(TODAY())+1,$F426,$G426),DATE(YEAR(TODAY()),$F426,$G426)))</f>
        <v/>
      </c>
      <c r="I426" s="15" t="str">
        <f aca="true">IF($H426="","",$H426-TODAY())</f>
        <v/>
      </c>
      <c r="J426" s="10"/>
    </row>
    <row r="427" customFormat="false" ht="15" hidden="false" customHeight="true" outlineLevel="0" collapsed="false">
      <c r="A427" s="13" t="str">
        <f aca="false">IF($B427="","",ROW()-2)</f>
        <v/>
      </c>
      <c r="B427" s="9"/>
      <c r="C427" s="13" t="str">
        <f aca="false">IF($B427="","",IFERROR(INDEX(대상목록!$C$3:$C$302,MATCH($B427,대상목록!$A$3:$A$302,0)),""))</f>
        <v/>
      </c>
      <c r="D427" s="9"/>
      <c r="E427" s="14"/>
      <c r="F427" s="15" t="str">
        <f aca="false">IF($E427="","",MONTH($E427))</f>
        <v/>
      </c>
      <c r="G427" s="15" t="str">
        <f aca="false">IF($E427="","",DAY($E427))</f>
        <v/>
      </c>
      <c r="H427" s="16" t="str">
        <f aca="true">IF($E427="","",IF(DATE(YEAR(TODAY()),$F427,$G427)&lt;TODAY(),DATE(YEAR(TODAY())+1,$F427,$G427),DATE(YEAR(TODAY()),$F427,$G427)))</f>
        <v/>
      </c>
      <c r="I427" s="15" t="str">
        <f aca="true">IF($H427="","",$H427-TODAY())</f>
        <v/>
      </c>
      <c r="J427" s="10"/>
    </row>
    <row r="428" customFormat="false" ht="15" hidden="false" customHeight="true" outlineLevel="0" collapsed="false">
      <c r="A428" s="13" t="str">
        <f aca="false">IF($B428="","",ROW()-2)</f>
        <v/>
      </c>
      <c r="B428" s="9"/>
      <c r="C428" s="13" t="str">
        <f aca="false">IF($B428="","",IFERROR(INDEX(대상목록!$C$3:$C$302,MATCH($B428,대상목록!$A$3:$A$302,0)),""))</f>
        <v/>
      </c>
      <c r="D428" s="9"/>
      <c r="E428" s="14"/>
      <c r="F428" s="15" t="str">
        <f aca="false">IF($E428="","",MONTH($E428))</f>
        <v/>
      </c>
      <c r="G428" s="15" t="str">
        <f aca="false">IF($E428="","",DAY($E428))</f>
        <v/>
      </c>
      <c r="H428" s="16" t="str">
        <f aca="true">IF($E428="","",IF(DATE(YEAR(TODAY()),$F428,$G428)&lt;TODAY(),DATE(YEAR(TODAY())+1,$F428,$G428),DATE(YEAR(TODAY()),$F428,$G428)))</f>
        <v/>
      </c>
      <c r="I428" s="15" t="str">
        <f aca="true">IF($H428="","",$H428-TODAY())</f>
        <v/>
      </c>
      <c r="J428" s="10"/>
    </row>
    <row r="429" customFormat="false" ht="15" hidden="false" customHeight="true" outlineLevel="0" collapsed="false">
      <c r="A429" s="13" t="str">
        <f aca="false">IF($B429="","",ROW()-2)</f>
        <v/>
      </c>
      <c r="B429" s="9"/>
      <c r="C429" s="13" t="str">
        <f aca="false">IF($B429="","",IFERROR(INDEX(대상목록!$C$3:$C$302,MATCH($B429,대상목록!$A$3:$A$302,0)),""))</f>
        <v/>
      </c>
      <c r="D429" s="9"/>
      <c r="E429" s="14"/>
      <c r="F429" s="15" t="str">
        <f aca="false">IF($E429="","",MONTH($E429))</f>
        <v/>
      </c>
      <c r="G429" s="15" t="str">
        <f aca="false">IF($E429="","",DAY($E429))</f>
        <v/>
      </c>
      <c r="H429" s="16" t="str">
        <f aca="true">IF($E429="","",IF(DATE(YEAR(TODAY()),$F429,$G429)&lt;TODAY(),DATE(YEAR(TODAY())+1,$F429,$G429),DATE(YEAR(TODAY()),$F429,$G429)))</f>
        <v/>
      </c>
      <c r="I429" s="15" t="str">
        <f aca="true">IF($H429="","",$H429-TODAY())</f>
        <v/>
      </c>
      <c r="J429" s="10"/>
    </row>
    <row r="430" customFormat="false" ht="15" hidden="false" customHeight="true" outlineLevel="0" collapsed="false">
      <c r="A430" s="13" t="str">
        <f aca="false">IF($B430="","",ROW()-2)</f>
        <v/>
      </c>
      <c r="B430" s="9"/>
      <c r="C430" s="13" t="str">
        <f aca="false">IF($B430="","",IFERROR(INDEX(대상목록!$C$3:$C$302,MATCH($B430,대상목록!$A$3:$A$302,0)),""))</f>
        <v/>
      </c>
      <c r="D430" s="9"/>
      <c r="E430" s="14"/>
      <c r="F430" s="15" t="str">
        <f aca="false">IF($E430="","",MONTH($E430))</f>
        <v/>
      </c>
      <c r="G430" s="15" t="str">
        <f aca="false">IF($E430="","",DAY($E430))</f>
        <v/>
      </c>
      <c r="H430" s="16" t="str">
        <f aca="true">IF($E430="","",IF(DATE(YEAR(TODAY()),$F430,$G430)&lt;TODAY(),DATE(YEAR(TODAY())+1,$F430,$G430),DATE(YEAR(TODAY()),$F430,$G430)))</f>
        <v/>
      </c>
      <c r="I430" s="15" t="str">
        <f aca="true">IF($H430="","",$H430-TODAY())</f>
        <v/>
      </c>
      <c r="J430" s="10"/>
    </row>
    <row r="431" customFormat="false" ht="15" hidden="false" customHeight="true" outlineLevel="0" collapsed="false">
      <c r="A431" s="13" t="str">
        <f aca="false">IF($B431="","",ROW()-2)</f>
        <v/>
      </c>
      <c r="B431" s="9"/>
      <c r="C431" s="13" t="str">
        <f aca="false">IF($B431="","",IFERROR(INDEX(대상목록!$C$3:$C$302,MATCH($B431,대상목록!$A$3:$A$302,0)),""))</f>
        <v/>
      </c>
      <c r="D431" s="9"/>
      <c r="E431" s="14"/>
      <c r="F431" s="15" t="str">
        <f aca="false">IF($E431="","",MONTH($E431))</f>
        <v/>
      </c>
      <c r="G431" s="15" t="str">
        <f aca="false">IF($E431="","",DAY($E431))</f>
        <v/>
      </c>
      <c r="H431" s="16" t="str">
        <f aca="true">IF($E431="","",IF(DATE(YEAR(TODAY()),$F431,$G431)&lt;TODAY(),DATE(YEAR(TODAY())+1,$F431,$G431),DATE(YEAR(TODAY()),$F431,$G431)))</f>
        <v/>
      </c>
      <c r="I431" s="15" t="str">
        <f aca="true">IF($H431="","",$H431-TODAY())</f>
        <v/>
      </c>
      <c r="J431" s="10"/>
    </row>
    <row r="432" customFormat="false" ht="15" hidden="false" customHeight="true" outlineLevel="0" collapsed="false">
      <c r="A432" s="13" t="str">
        <f aca="false">IF($B432="","",ROW()-2)</f>
        <v/>
      </c>
      <c r="B432" s="9"/>
      <c r="C432" s="13" t="str">
        <f aca="false">IF($B432="","",IFERROR(INDEX(대상목록!$C$3:$C$302,MATCH($B432,대상목록!$A$3:$A$302,0)),""))</f>
        <v/>
      </c>
      <c r="D432" s="9"/>
      <c r="E432" s="14"/>
      <c r="F432" s="15" t="str">
        <f aca="false">IF($E432="","",MONTH($E432))</f>
        <v/>
      </c>
      <c r="G432" s="15" t="str">
        <f aca="false">IF($E432="","",DAY($E432))</f>
        <v/>
      </c>
      <c r="H432" s="16" t="str">
        <f aca="true">IF($E432="","",IF(DATE(YEAR(TODAY()),$F432,$G432)&lt;TODAY(),DATE(YEAR(TODAY())+1,$F432,$G432),DATE(YEAR(TODAY()),$F432,$G432)))</f>
        <v/>
      </c>
      <c r="I432" s="15" t="str">
        <f aca="true">IF($H432="","",$H432-TODAY())</f>
        <v/>
      </c>
      <c r="J432" s="10"/>
    </row>
    <row r="433" customFormat="false" ht="15" hidden="false" customHeight="true" outlineLevel="0" collapsed="false">
      <c r="A433" s="13" t="str">
        <f aca="false">IF($B433="","",ROW()-2)</f>
        <v/>
      </c>
      <c r="B433" s="9"/>
      <c r="C433" s="13" t="str">
        <f aca="false">IF($B433="","",IFERROR(INDEX(대상목록!$C$3:$C$302,MATCH($B433,대상목록!$A$3:$A$302,0)),""))</f>
        <v/>
      </c>
      <c r="D433" s="9"/>
      <c r="E433" s="14"/>
      <c r="F433" s="15" t="str">
        <f aca="false">IF($E433="","",MONTH($E433))</f>
        <v/>
      </c>
      <c r="G433" s="15" t="str">
        <f aca="false">IF($E433="","",DAY($E433))</f>
        <v/>
      </c>
      <c r="H433" s="16" t="str">
        <f aca="true">IF($E433="","",IF(DATE(YEAR(TODAY()),$F433,$G433)&lt;TODAY(),DATE(YEAR(TODAY())+1,$F433,$G433),DATE(YEAR(TODAY()),$F433,$G433)))</f>
        <v/>
      </c>
      <c r="I433" s="15" t="str">
        <f aca="true">IF($H433="","",$H433-TODAY())</f>
        <v/>
      </c>
      <c r="J433" s="10"/>
    </row>
    <row r="434" customFormat="false" ht="15" hidden="false" customHeight="true" outlineLevel="0" collapsed="false">
      <c r="A434" s="13" t="str">
        <f aca="false">IF($B434="","",ROW()-2)</f>
        <v/>
      </c>
      <c r="B434" s="9"/>
      <c r="C434" s="13" t="str">
        <f aca="false">IF($B434="","",IFERROR(INDEX(대상목록!$C$3:$C$302,MATCH($B434,대상목록!$A$3:$A$302,0)),""))</f>
        <v/>
      </c>
      <c r="D434" s="9"/>
      <c r="E434" s="14"/>
      <c r="F434" s="15" t="str">
        <f aca="false">IF($E434="","",MONTH($E434))</f>
        <v/>
      </c>
      <c r="G434" s="15" t="str">
        <f aca="false">IF($E434="","",DAY($E434))</f>
        <v/>
      </c>
      <c r="H434" s="16" t="str">
        <f aca="true">IF($E434="","",IF(DATE(YEAR(TODAY()),$F434,$G434)&lt;TODAY(),DATE(YEAR(TODAY())+1,$F434,$G434),DATE(YEAR(TODAY()),$F434,$G434)))</f>
        <v/>
      </c>
      <c r="I434" s="15" t="str">
        <f aca="true">IF($H434="","",$H434-TODAY())</f>
        <v/>
      </c>
      <c r="J434" s="10"/>
    </row>
    <row r="435" customFormat="false" ht="15" hidden="false" customHeight="true" outlineLevel="0" collapsed="false">
      <c r="A435" s="13" t="str">
        <f aca="false">IF($B435="","",ROW()-2)</f>
        <v/>
      </c>
      <c r="B435" s="9"/>
      <c r="C435" s="13" t="str">
        <f aca="false">IF($B435="","",IFERROR(INDEX(대상목록!$C$3:$C$302,MATCH($B435,대상목록!$A$3:$A$302,0)),""))</f>
        <v/>
      </c>
      <c r="D435" s="9"/>
      <c r="E435" s="14"/>
      <c r="F435" s="15" t="str">
        <f aca="false">IF($E435="","",MONTH($E435))</f>
        <v/>
      </c>
      <c r="G435" s="15" t="str">
        <f aca="false">IF($E435="","",DAY($E435))</f>
        <v/>
      </c>
      <c r="H435" s="16" t="str">
        <f aca="true">IF($E435="","",IF(DATE(YEAR(TODAY()),$F435,$G435)&lt;TODAY(),DATE(YEAR(TODAY())+1,$F435,$G435),DATE(YEAR(TODAY()),$F435,$G435)))</f>
        <v/>
      </c>
      <c r="I435" s="15" t="str">
        <f aca="true">IF($H435="","",$H435-TODAY())</f>
        <v/>
      </c>
      <c r="J435" s="10"/>
    </row>
    <row r="436" customFormat="false" ht="15" hidden="false" customHeight="true" outlineLevel="0" collapsed="false">
      <c r="A436" s="13" t="str">
        <f aca="false">IF($B436="","",ROW()-2)</f>
        <v/>
      </c>
      <c r="B436" s="9"/>
      <c r="C436" s="13" t="str">
        <f aca="false">IF($B436="","",IFERROR(INDEX(대상목록!$C$3:$C$302,MATCH($B436,대상목록!$A$3:$A$302,0)),""))</f>
        <v/>
      </c>
      <c r="D436" s="9"/>
      <c r="E436" s="14"/>
      <c r="F436" s="15" t="str">
        <f aca="false">IF($E436="","",MONTH($E436))</f>
        <v/>
      </c>
      <c r="G436" s="15" t="str">
        <f aca="false">IF($E436="","",DAY($E436))</f>
        <v/>
      </c>
      <c r="H436" s="16" t="str">
        <f aca="true">IF($E436="","",IF(DATE(YEAR(TODAY()),$F436,$G436)&lt;TODAY(),DATE(YEAR(TODAY())+1,$F436,$G436),DATE(YEAR(TODAY()),$F436,$G436)))</f>
        <v/>
      </c>
      <c r="I436" s="15" t="str">
        <f aca="true">IF($H436="","",$H436-TODAY())</f>
        <v/>
      </c>
      <c r="J436" s="10"/>
    </row>
    <row r="437" customFormat="false" ht="15" hidden="false" customHeight="true" outlineLevel="0" collapsed="false">
      <c r="A437" s="13" t="str">
        <f aca="false">IF($B437="","",ROW()-2)</f>
        <v/>
      </c>
      <c r="B437" s="9"/>
      <c r="C437" s="13" t="str">
        <f aca="false">IF($B437="","",IFERROR(INDEX(대상목록!$C$3:$C$302,MATCH($B437,대상목록!$A$3:$A$302,0)),""))</f>
        <v/>
      </c>
      <c r="D437" s="9"/>
      <c r="E437" s="14"/>
      <c r="F437" s="15" t="str">
        <f aca="false">IF($E437="","",MONTH($E437))</f>
        <v/>
      </c>
      <c r="G437" s="15" t="str">
        <f aca="false">IF($E437="","",DAY($E437))</f>
        <v/>
      </c>
      <c r="H437" s="16" t="str">
        <f aca="true">IF($E437="","",IF(DATE(YEAR(TODAY()),$F437,$G437)&lt;TODAY(),DATE(YEAR(TODAY())+1,$F437,$G437),DATE(YEAR(TODAY()),$F437,$G437)))</f>
        <v/>
      </c>
      <c r="I437" s="15" t="str">
        <f aca="true">IF($H437="","",$H437-TODAY())</f>
        <v/>
      </c>
      <c r="J437" s="10"/>
    </row>
    <row r="438" customFormat="false" ht="15" hidden="false" customHeight="true" outlineLevel="0" collapsed="false">
      <c r="A438" s="13" t="str">
        <f aca="false">IF($B438="","",ROW()-2)</f>
        <v/>
      </c>
      <c r="B438" s="9"/>
      <c r="C438" s="13" t="str">
        <f aca="false">IF($B438="","",IFERROR(INDEX(대상목록!$C$3:$C$302,MATCH($B438,대상목록!$A$3:$A$302,0)),""))</f>
        <v/>
      </c>
      <c r="D438" s="9"/>
      <c r="E438" s="14"/>
      <c r="F438" s="15" t="str">
        <f aca="false">IF($E438="","",MONTH($E438))</f>
        <v/>
      </c>
      <c r="G438" s="15" t="str">
        <f aca="false">IF($E438="","",DAY($E438))</f>
        <v/>
      </c>
      <c r="H438" s="16" t="str">
        <f aca="true">IF($E438="","",IF(DATE(YEAR(TODAY()),$F438,$G438)&lt;TODAY(),DATE(YEAR(TODAY())+1,$F438,$G438),DATE(YEAR(TODAY()),$F438,$G438)))</f>
        <v/>
      </c>
      <c r="I438" s="15" t="str">
        <f aca="true">IF($H438="","",$H438-TODAY())</f>
        <v/>
      </c>
      <c r="J438" s="10"/>
    </row>
    <row r="439" customFormat="false" ht="15" hidden="false" customHeight="true" outlineLevel="0" collapsed="false">
      <c r="A439" s="13" t="str">
        <f aca="false">IF($B439="","",ROW()-2)</f>
        <v/>
      </c>
      <c r="B439" s="9"/>
      <c r="C439" s="13" t="str">
        <f aca="false">IF($B439="","",IFERROR(INDEX(대상목록!$C$3:$C$302,MATCH($B439,대상목록!$A$3:$A$302,0)),""))</f>
        <v/>
      </c>
      <c r="D439" s="9"/>
      <c r="E439" s="14"/>
      <c r="F439" s="15" t="str">
        <f aca="false">IF($E439="","",MONTH($E439))</f>
        <v/>
      </c>
      <c r="G439" s="15" t="str">
        <f aca="false">IF($E439="","",DAY($E439))</f>
        <v/>
      </c>
      <c r="H439" s="16" t="str">
        <f aca="true">IF($E439="","",IF(DATE(YEAR(TODAY()),$F439,$G439)&lt;TODAY(),DATE(YEAR(TODAY())+1,$F439,$G439),DATE(YEAR(TODAY()),$F439,$G439)))</f>
        <v/>
      </c>
      <c r="I439" s="15" t="str">
        <f aca="true">IF($H439="","",$H439-TODAY())</f>
        <v/>
      </c>
      <c r="J439" s="10"/>
    </row>
    <row r="440" customFormat="false" ht="15" hidden="false" customHeight="true" outlineLevel="0" collapsed="false">
      <c r="A440" s="13" t="str">
        <f aca="false">IF($B440="","",ROW()-2)</f>
        <v/>
      </c>
      <c r="B440" s="9"/>
      <c r="C440" s="13" t="str">
        <f aca="false">IF($B440="","",IFERROR(INDEX(대상목록!$C$3:$C$302,MATCH($B440,대상목록!$A$3:$A$302,0)),""))</f>
        <v/>
      </c>
      <c r="D440" s="9"/>
      <c r="E440" s="14"/>
      <c r="F440" s="15" t="str">
        <f aca="false">IF($E440="","",MONTH($E440))</f>
        <v/>
      </c>
      <c r="G440" s="15" t="str">
        <f aca="false">IF($E440="","",DAY($E440))</f>
        <v/>
      </c>
      <c r="H440" s="16" t="str">
        <f aca="true">IF($E440="","",IF(DATE(YEAR(TODAY()),$F440,$G440)&lt;TODAY(),DATE(YEAR(TODAY())+1,$F440,$G440),DATE(YEAR(TODAY()),$F440,$G440)))</f>
        <v/>
      </c>
      <c r="I440" s="15" t="str">
        <f aca="true">IF($H440="","",$H440-TODAY())</f>
        <v/>
      </c>
      <c r="J440" s="10"/>
    </row>
    <row r="441" customFormat="false" ht="15" hidden="false" customHeight="true" outlineLevel="0" collapsed="false">
      <c r="A441" s="13" t="str">
        <f aca="false">IF($B441="","",ROW()-2)</f>
        <v/>
      </c>
      <c r="B441" s="9"/>
      <c r="C441" s="13" t="str">
        <f aca="false">IF($B441="","",IFERROR(INDEX(대상목록!$C$3:$C$302,MATCH($B441,대상목록!$A$3:$A$302,0)),""))</f>
        <v/>
      </c>
      <c r="D441" s="9"/>
      <c r="E441" s="14"/>
      <c r="F441" s="15" t="str">
        <f aca="false">IF($E441="","",MONTH($E441))</f>
        <v/>
      </c>
      <c r="G441" s="15" t="str">
        <f aca="false">IF($E441="","",DAY($E441))</f>
        <v/>
      </c>
      <c r="H441" s="16" t="str">
        <f aca="true">IF($E441="","",IF(DATE(YEAR(TODAY()),$F441,$G441)&lt;TODAY(),DATE(YEAR(TODAY())+1,$F441,$G441),DATE(YEAR(TODAY()),$F441,$G441)))</f>
        <v/>
      </c>
      <c r="I441" s="15" t="str">
        <f aca="true">IF($H441="","",$H441-TODAY())</f>
        <v/>
      </c>
      <c r="J441" s="10"/>
    </row>
    <row r="442" customFormat="false" ht="15" hidden="false" customHeight="true" outlineLevel="0" collapsed="false">
      <c r="A442" s="13" t="str">
        <f aca="false">IF($B442="","",ROW()-2)</f>
        <v/>
      </c>
      <c r="B442" s="9"/>
      <c r="C442" s="13" t="str">
        <f aca="false">IF($B442="","",IFERROR(INDEX(대상목록!$C$3:$C$302,MATCH($B442,대상목록!$A$3:$A$302,0)),""))</f>
        <v/>
      </c>
      <c r="D442" s="9"/>
      <c r="E442" s="14"/>
      <c r="F442" s="15" t="str">
        <f aca="false">IF($E442="","",MONTH($E442))</f>
        <v/>
      </c>
      <c r="G442" s="15" t="str">
        <f aca="false">IF($E442="","",DAY($E442))</f>
        <v/>
      </c>
      <c r="H442" s="16" t="str">
        <f aca="true">IF($E442="","",IF(DATE(YEAR(TODAY()),$F442,$G442)&lt;TODAY(),DATE(YEAR(TODAY())+1,$F442,$G442),DATE(YEAR(TODAY()),$F442,$G442)))</f>
        <v/>
      </c>
      <c r="I442" s="15" t="str">
        <f aca="true">IF($H442="","",$H442-TODAY())</f>
        <v/>
      </c>
      <c r="J442" s="10"/>
    </row>
    <row r="443" customFormat="false" ht="15" hidden="false" customHeight="true" outlineLevel="0" collapsed="false">
      <c r="A443" s="13" t="str">
        <f aca="false">IF($B443="","",ROW()-2)</f>
        <v/>
      </c>
      <c r="B443" s="9"/>
      <c r="C443" s="13" t="str">
        <f aca="false">IF($B443="","",IFERROR(INDEX(대상목록!$C$3:$C$302,MATCH($B443,대상목록!$A$3:$A$302,0)),""))</f>
        <v/>
      </c>
      <c r="D443" s="9"/>
      <c r="E443" s="14"/>
      <c r="F443" s="15" t="str">
        <f aca="false">IF($E443="","",MONTH($E443))</f>
        <v/>
      </c>
      <c r="G443" s="15" t="str">
        <f aca="false">IF($E443="","",DAY($E443))</f>
        <v/>
      </c>
      <c r="H443" s="16" t="str">
        <f aca="true">IF($E443="","",IF(DATE(YEAR(TODAY()),$F443,$G443)&lt;TODAY(),DATE(YEAR(TODAY())+1,$F443,$G443),DATE(YEAR(TODAY()),$F443,$G443)))</f>
        <v/>
      </c>
      <c r="I443" s="15" t="str">
        <f aca="true">IF($H443="","",$H443-TODAY())</f>
        <v/>
      </c>
      <c r="J443" s="10"/>
    </row>
    <row r="444" customFormat="false" ht="15" hidden="false" customHeight="true" outlineLevel="0" collapsed="false">
      <c r="A444" s="13" t="str">
        <f aca="false">IF($B444="","",ROW()-2)</f>
        <v/>
      </c>
      <c r="B444" s="9"/>
      <c r="C444" s="13" t="str">
        <f aca="false">IF($B444="","",IFERROR(INDEX(대상목록!$C$3:$C$302,MATCH($B444,대상목록!$A$3:$A$302,0)),""))</f>
        <v/>
      </c>
      <c r="D444" s="9"/>
      <c r="E444" s="14"/>
      <c r="F444" s="15" t="str">
        <f aca="false">IF($E444="","",MONTH($E444))</f>
        <v/>
      </c>
      <c r="G444" s="15" t="str">
        <f aca="false">IF($E444="","",DAY($E444))</f>
        <v/>
      </c>
      <c r="H444" s="16" t="str">
        <f aca="true">IF($E444="","",IF(DATE(YEAR(TODAY()),$F444,$G444)&lt;TODAY(),DATE(YEAR(TODAY())+1,$F444,$G444),DATE(YEAR(TODAY()),$F444,$G444)))</f>
        <v/>
      </c>
      <c r="I444" s="15" t="str">
        <f aca="true">IF($H444="","",$H444-TODAY())</f>
        <v/>
      </c>
      <c r="J444" s="10"/>
    </row>
    <row r="445" customFormat="false" ht="15" hidden="false" customHeight="true" outlineLevel="0" collapsed="false">
      <c r="A445" s="13" t="str">
        <f aca="false">IF($B445="","",ROW()-2)</f>
        <v/>
      </c>
      <c r="B445" s="9"/>
      <c r="C445" s="13" t="str">
        <f aca="false">IF($B445="","",IFERROR(INDEX(대상목록!$C$3:$C$302,MATCH($B445,대상목록!$A$3:$A$302,0)),""))</f>
        <v/>
      </c>
      <c r="D445" s="9"/>
      <c r="E445" s="14"/>
      <c r="F445" s="15" t="str">
        <f aca="false">IF($E445="","",MONTH($E445))</f>
        <v/>
      </c>
      <c r="G445" s="15" t="str">
        <f aca="false">IF($E445="","",DAY($E445))</f>
        <v/>
      </c>
      <c r="H445" s="16" t="str">
        <f aca="true">IF($E445="","",IF(DATE(YEAR(TODAY()),$F445,$G445)&lt;TODAY(),DATE(YEAR(TODAY())+1,$F445,$G445),DATE(YEAR(TODAY()),$F445,$G445)))</f>
        <v/>
      </c>
      <c r="I445" s="15" t="str">
        <f aca="true">IF($H445="","",$H445-TODAY())</f>
        <v/>
      </c>
      <c r="J445" s="10"/>
    </row>
    <row r="446" customFormat="false" ht="15" hidden="false" customHeight="true" outlineLevel="0" collapsed="false">
      <c r="A446" s="13" t="str">
        <f aca="false">IF($B446="","",ROW()-2)</f>
        <v/>
      </c>
      <c r="B446" s="9"/>
      <c r="C446" s="13" t="str">
        <f aca="false">IF($B446="","",IFERROR(INDEX(대상목록!$C$3:$C$302,MATCH($B446,대상목록!$A$3:$A$302,0)),""))</f>
        <v/>
      </c>
      <c r="D446" s="9"/>
      <c r="E446" s="14"/>
      <c r="F446" s="15" t="str">
        <f aca="false">IF($E446="","",MONTH($E446))</f>
        <v/>
      </c>
      <c r="G446" s="15" t="str">
        <f aca="false">IF($E446="","",DAY($E446))</f>
        <v/>
      </c>
      <c r="H446" s="16" t="str">
        <f aca="true">IF($E446="","",IF(DATE(YEAR(TODAY()),$F446,$G446)&lt;TODAY(),DATE(YEAR(TODAY())+1,$F446,$G446),DATE(YEAR(TODAY()),$F446,$G446)))</f>
        <v/>
      </c>
      <c r="I446" s="15" t="str">
        <f aca="true">IF($H446="","",$H446-TODAY())</f>
        <v/>
      </c>
      <c r="J446" s="10"/>
    </row>
    <row r="447" customFormat="false" ht="15" hidden="false" customHeight="true" outlineLevel="0" collapsed="false">
      <c r="A447" s="13" t="str">
        <f aca="false">IF($B447="","",ROW()-2)</f>
        <v/>
      </c>
      <c r="B447" s="9"/>
      <c r="C447" s="13" t="str">
        <f aca="false">IF($B447="","",IFERROR(INDEX(대상목록!$C$3:$C$302,MATCH($B447,대상목록!$A$3:$A$302,0)),""))</f>
        <v/>
      </c>
      <c r="D447" s="9"/>
      <c r="E447" s="14"/>
      <c r="F447" s="15" t="str">
        <f aca="false">IF($E447="","",MONTH($E447))</f>
        <v/>
      </c>
      <c r="G447" s="15" t="str">
        <f aca="false">IF($E447="","",DAY($E447))</f>
        <v/>
      </c>
      <c r="H447" s="16" t="str">
        <f aca="true">IF($E447="","",IF(DATE(YEAR(TODAY()),$F447,$G447)&lt;TODAY(),DATE(YEAR(TODAY())+1,$F447,$G447),DATE(YEAR(TODAY()),$F447,$G447)))</f>
        <v/>
      </c>
      <c r="I447" s="15" t="str">
        <f aca="true">IF($H447="","",$H447-TODAY())</f>
        <v/>
      </c>
      <c r="J447" s="10"/>
    </row>
    <row r="448" customFormat="false" ht="15" hidden="false" customHeight="true" outlineLevel="0" collapsed="false">
      <c r="A448" s="13" t="str">
        <f aca="false">IF($B448="","",ROW()-2)</f>
        <v/>
      </c>
      <c r="B448" s="9"/>
      <c r="C448" s="13" t="str">
        <f aca="false">IF($B448="","",IFERROR(INDEX(대상목록!$C$3:$C$302,MATCH($B448,대상목록!$A$3:$A$302,0)),""))</f>
        <v/>
      </c>
      <c r="D448" s="9"/>
      <c r="E448" s="14"/>
      <c r="F448" s="15" t="str">
        <f aca="false">IF($E448="","",MONTH($E448))</f>
        <v/>
      </c>
      <c r="G448" s="15" t="str">
        <f aca="false">IF($E448="","",DAY($E448))</f>
        <v/>
      </c>
      <c r="H448" s="16" t="str">
        <f aca="true">IF($E448="","",IF(DATE(YEAR(TODAY()),$F448,$G448)&lt;TODAY(),DATE(YEAR(TODAY())+1,$F448,$G448),DATE(YEAR(TODAY()),$F448,$G448)))</f>
        <v/>
      </c>
      <c r="I448" s="15" t="str">
        <f aca="true">IF($H448="","",$H448-TODAY())</f>
        <v/>
      </c>
      <c r="J448" s="10"/>
    </row>
    <row r="449" customFormat="false" ht="15" hidden="false" customHeight="true" outlineLevel="0" collapsed="false">
      <c r="A449" s="13" t="str">
        <f aca="false">IF($B449="","",ROW()-2)</f>
        <v/>
      </c>
      <c r="B449" s="9"/>
      <c r="C449" s="13" t="str">
        <f aca="false">IF($B449="","",IFERROR(INDEX(대상목록!$C$3:$C$302,MATCH($B449,대상목록!$A$3:$A$302,0)),""))</f>
        <v/>
      </c>
      <c r="D449" s="9"/>
      <c r="E449" s="14"/>
      <c r="F449" s="15" t="str">
        <f aca="false">IF($E449="","",MONTH($E449))</f>
        <v/>
      </c>
      <c r="G449" s="15" t="str">
        <f aca="false">IF($E449="","",DAY($E449))</f>
        <v/>
      </c>
      <c r="H449" s="16" t="str">
        <f aca="true">IF($E449="","",IF(DATE(YEAR(TODAY()),$F449,$G449)&lt;TODAY(),DATE(YEAR(TODAY())+1,$F449,$G449),DATE(YEAR(TODAY()),$F449,$G449)))</f>
        <v/>
      </c>
      <c r="I449" s="15" t="str">
        <f aca="true">IF($H449="","",$H449-TODAY())</f>
        <v/>
      </c>
      <c r="J449" s="10"/>
    </row>
    <row r="450" customFormat="false" ht="15" hidden="false" customHeight="true" outlineLevel="0" collapsed="false">
      <c r="A450" s="13" t="str">
        <f aca="false">IF($B450="","",ROW()-2)</f>
        <v/>
      </c>
      <c r="B450" s="9"/>
      <c r="C450" s="13" t="str">
        <f aca="false">IF($B450="","",IFERROR(INDEX(대상목록!$C$3:$C$302,MATCH($B450,대상목록!$A$3:$A$302,0)),""))</f>
        <v/>
      </c>
      <c r="D450" s="9"/>
      <c r="E450" s="14"/>
      <c r="F450" s="15" t="str">
        <f aca="false">IF($E450="","",MONTH($E450))</f>
        <v/>
      </c>
      <c r="G450" s="15" t="str">
        <f aca="false">IF($E450="","",DAY($E450))</f>
        <v/>
      </c>
      <c r="H450" s="16" t="str">
        <f aca="true">IF($E450="","",IF(DATE(YEAR(TODAY()),$F450,$G450)&lt;TODAY(),DATE(YEAR(TODAY())+1,$F450,$G450),DATE(YEAR(TODAY()),$F450,$G450)))</f>
        <v/>
      </c>
      <c r="I450" s="15" t="str">
        <f aca="true">IF($H450="","",$H450-TODAY())</f>
        <v/>
      </c>
      <c r="J450" s="10"/>
    </row>
    <row r="451" customFormat="false" ht="15" hidden="false" customHeight="true" outlineLevel="0" collapsed="false">
      <c r="A451" s="13" t="str">
        <f aca="false">IF($B451="","",ROW()-2)</f>
        <v/>
      </c>
      <c r="B451" s="9"/>
      <c r="C451" s="13" t="str">
        <f aca="false">IF($B451="","",IFERROR(INDEX(대상목록!$C$3:$C$302,MATCH($B451,대상목록!$A$3:$A$302,0)),""))</f>
        <v/>
      </c>
      <c r="D451" s="9"/>
      <c r="E451" s="14"/>
      <c r="F451" s="15" t="str">
        <f aca="false">IF($E451="","",MONTH($E451))</f>
        <v/>
      </c>
      <c r="G451" s="15" t="str">
        <f aca="false">IF($E451="","",DAY($E451))</f>
        <v/>
      </c>
      <c r="H451" s="16" t="str">
        <f aca="true">IF($E451="","",IF(DATE(YEAR(TODAY()),$F451,$G451)&lt;TODAY(),DATE(YEAR(TODAY())+1,$F451,$G451),DATE(YEAR(TODAY()),$F451,$G451)))</f>
        <v/>
      </c>
      <c r="I451" s="15" t="str">
        <f aca="true">IF($H451="","",$H451-TODAY())</f>
        <v/>
      </c>
      <c r="J451" s="10"/>
    </row>
    <row r="452" customFormat="false" ht="15" hidden="false" customHeight="true" outlineLevel="0" collapsed="false">
      <c r="A452" s="13" t="str">
        <f aca="false">IF($B452="","",ROW()-2)</f>
        <v/>
      </c>
      <c r="B452" s="9"/>
      <c r="C452" s="13" t="str">
        <f aca="false">IF($B452="","",IFERROR(INDEX(대상목록!$C$3:$C$302,MATCH($B452,대상목록!$A$3:$A$302,0)),""))</f>
        <v/>
      </c>
      <c r="D452" s="9"/>
      <c r="E452" s="14"/>
      <c r="F452" s="15" t="str">
        <f aca="false">IF($E452="","",MONTH($E452))</f>
        <v/>
      </c>
      <c r="G452" s="15" t="str">
        <f aca="false">IF($E452="","",DAY($E452))</f>
        <v/>
      </c>
      <c r="H452" s="16" t="str">
        <f aca="true">IF($E452="","",IF(DATE(YEAR(TODAY()),$F452,$G452)&lt;TODAY(),DATE(YEAR(TODAY())+1,$F452,$G452),DATE(YEAR(TODAY()),$F452,$G452)))</f>
        <v/>
      </c>
      <c r="I452" s="15" t="str">
        <f aca="true">IF($H452="","",$H452-TODAY())</f>
        <v/>
      </c>
      <c r="J452" s="10"/>
    </row>
    <row r="453" customFormat="false" ht="15" hidden="false" customHeight="true" outlineLevel="0" collapsed="false">
      <c r="A453" s="13" t="str">
        <f aca="false">IF($B453="","",ROW()-2)</f>
        <v/>
      </c>
      <c r="B453" s="9"/>
      <c r="C453" s="13" t="str">
        <f aca="false">IF($B453="","",IFERROR(INDEX(대상목록!$C$3:$C$302,MATCH($B453,대상목록!$A$3:$A$302,0)),""))</f>
        <v/>
      </c>
      <c r="D453" s="9"/>
      <c r="E453" s="14"/>
      <c r="F453" s="15" t="str">
        <f aca="false">IF($E453="","",MONTH($E453))</f>
        <v/>
      </c>
      <c r="G453" s="15" t="str">
        <f aca="false">IF($E453="","",DAY($E453))</f>
        <v/>
      </c>
      <c r="H453" s="16" t="str">
        <f aca="true">IF($E453="","",IF(DATE(YEAR(TODAY()),$F453,$G453)&lt;TODAY(),DATE(YEAR(TODAY())+1,$F453,$G453),DATE(YEAR(TODAY()),$F453,$G453)))</f>
        <v/>
      </c>
      <c r="I453" s="15" t="str">
        <f aca="true">IF($H453="","",$H453-TODAY())</f>
        <v/>
      </c>
      <c r="J453" s="10"/>
    </row>
    <row r="454" customFormat="false" ht="15" hidden="false" customHeight="true" outlineLevel="0" collapsed="false">
      <c r="A454" s="13" t="str">
        <f aca="false">IF($B454="","",ROW()-2)</f>
        <v/>
      </c>
      <c r="B454" s="9"/>
      <c r="C454" s="13" t="str">
        <f aca="false">IF($B454="","",IFERROR(INDEX(대상목록!$C$3:$C$302,MATCH($B454,대상목록!$A$3:$A$302,0)),""))</f>
        <v/>
      </c>
      <c r="D454" s="9"/>
      <c r="E454" s="14"/>
      <c r="F454" s="15" t="str">
        <f aca="false">IF($E454="","",MONTH($E454))</f>
        <v/>
      </c>
      <c r="G454" s="15" t="str">
        <f aca="false">IF($E454="","",DAY($E454))</f>
        <v/>
      </c>
      <c r="H454" s="16" t="str">
        <f aca="true">IF($E454="","",IF(DATE(YEAR(TODAY()),$F454,$G454)&lt;TODAY(),DATE(YEAR(TODAY())+1,$F454,$G454),DATE(YEAR(TODAY()),$F454,$G454)))</f>
        <v/>
      </c>
      <c r="I454" s="15" t="str">
        <f aca="true">IF($H454="","",$H454-TODAY())</f>
        <v/>
      </c>
      <c r="J454" s="10"/>
    </row>
    <row r="455" customFormat="false" ht="15" hidden="false" customHeight="true" outlineLevel="0" collapsed="false">
      <c r="A455" s="13" t="str">
        <f aca="false">IF($B455="","",ROW()-2)</f>
        <v/>
      </c>
      <c r="B455" s="9"/>
      <c r="C455" s="13" t="str">
        <f aca="false">IF($B455="","",IFERROR(INDEX(대상목록!$C$3:$C$302,MATCH($B455,대상목록!$A$3:$A$302,0)),""))</f>
        <v/>
      </c>
      <c r="D455" s="9"/>
      <c r="E455" s="14"/>
      <c r="F455" s="15" t="str">
        <f aca="false">IF($E455="","",MONTH($E455))</f>
        <v/>
      </c>
      <c r="G455" s="15" t="str">
        <f aca="false">IF($E455="","",DAY($E455))</f>
        <v/>
      </c>
      <c r="H455" s="16" t="str">
        <f aca="true">IF($E455="","",IF(DATE(YEAR(TODAY()),$F455,$G455)&lt;TODAY(),DATE(YEAR(TODAY())+1,$F455,$G455),DATE(YEAR(TODAY()),$F455,$G455)))</f>
        <v/>
      </c>
      <c r="I455" s="15" t="str">
        <f aca="true">IF($H455="","",$H455-TODAY())</f>
        <v/>
      </c>
      <c r="J455" s="10"/>
    </row>
    <row r="456" customFormat="false" ht="15" hidden="false" customHeight="true" outlineLevel="0" collapsed="false">
      <c r="A456" s="13" t="str">
        <f aca="false">IF($B456="","",ROW()-2)</f>
        <v/>
      </c>
      <c r="B456" s="9"/>
      <c r="C456" s="13" t="str">
        <f aca="false">IF($B456="","",IFERROR(INDEX(대상목록!$C$3:$C$302,MATCH($B456,대상목록!$A$3:$A$302,0)),""))</f>
        <v/>
      </c>
      <c r="D456" s="9"/>
      <c r="E456" s="14"/>
      <c r="F456" s="15" t="str">
        <f aca="false">IF($E456="","",MONTH($E456))</f>
        <v/>
      </c>
      <c r="G456" s="15" t="str">
        <f aca="false">IF($E456="","",DAY($E456))</f>
        <v/>
      </c>
      <c r="H456" s="16" t="str">
        <f aca="true">IF($E456="","",IF(DATE(YEAR(TODAY()),$F456,$G456)&lt;TODAY(),DATE(YEAR(TODAY())+1,$F456,$G456),DATE(YEAR(TODAY()),$F456,$G456)))</f>
        <v/>
      </c>
      <c r="I456" s="15" t="str">
        <f aca="true">IF($H456="","",$H456-TODAY())</f>
        <v/>
      </c>
      <c r="J456" s="10"/>
    </row>
    <row r="457" customFormat="false" ht="15" hidden="false" customHeight="true" outlineLevel="0" collapsed="false">
      <c r="A457" s="13" t="str">
        <f aca="false">IF($B457="","",ROW()-2)</f>
        <v/>
      </c>
      <c r="B457" s="9"/>
      <c r="C457" s="13" t="str">
        <f aca="false">IF($B457="","",IFERROR(INDEX(대상목록!$C$3:$C$302,MATCH($B457,대상목록!$A$3:$A$302,0)),""))</f>
        <v/>
      </c>
      <c r="D457" s="9"/>
      <c r="E457" s="14"/>
      <c r="F457" s="15" t="str">
        <f aca="false">IF($E457="","",MONTH($E457))</f>
        <v/>
      </c>
      <c r="G457" s="15" t="str">
        <f aca="false">IF($E457="","",DAY($E457))</f>
        <v/>
      </c>
      <c r="H457" s="16" t="str">
        <f aca="true">IF($E457="","",IF(DATE(YEAR(TODAY()),$F457,$G457)&lt;TODAY(),DATE(YEAR(TODAY())+1,$F457,$G457),DATE(YEAR(TODAY()),$F457,$G457)))</f>
        <v/>
      </c>
      <c r="I457" s="15" t="str">
        <f aca="true">IF($H457="","",$H457-TODAY())</f>
        <v/>
      </c>
      <c r="J457" s="10"/>
    </row>
    <row r="458" customFormat="false" ht="15" hidden="false" customHeight="true" outlineLevel="0" collapsed="false">
      <c r="A458" s="13" t="str">
        <f aca="false">IF($B458="","",ROW()-2)</f>
        <v/>
      </c>
      <c r="B458" s="9"/>
      <c r="C458" s="13" t="str">
        <f aca="false">IF($B458="","",IFERROR(INDEX(대상목록!$C$3:$C$302,MATCH($B458,대상목록!$A$3:$A$302,0)),""))</f>
        <v/>
      </c>
      <c r="D458" s="9"/>
      <c r="E458" s="14"/>
      <c r="F458" s="15" t="str">
        <f aca="false">IF($E458="","",MONTH($E458))</f>
        <v/>
      </c>
      <c r="G458" s="15" t="str">
        <f aca="false">IF($E458="","",DAY($E458))</f>
        <v/>
      </c>
      <c r="H458" s="16" t="str">
        <f aca="true">IF($E458="","",IF(DATE(YEAR(TODAY()),$F458,$G458)&lt;TODAY(),DATE(YEAR(TODAY())+1,$F458,$G458),DATE(YEAR(TODAY()),$F458,$G458)))</f>
        <v/>
      </c>
      <c r="I458" s="15" t="str">
        <f aca="true">IF($H458="","",$H458-TODAY())</f>
        <v/>
      </c>
      <c r="J458" s="10"/>
    </row>
    <row r="459" customFormat="false" ht="15" hidden="false" customHeight="true" outlineLevel="0" collapsed="false">
      <c r="A459" s="13" t="str">
        <f aca="false">IF($B459="","",ROW()-2)</f>
        <v/>
      </c>
      <c r="B459" s="9"/>
      <c r="C459" s="13" t="str">
        <f aca="false">IF($B459="","",IFERROR(INDEX(대상목록!$C$3:$C$302,MATCH($B459,대상목록!$A$3:$A$302,0)),""))</f>
        <v/>
      </c>
      <c r="D459" s="9"/>
      <c r="E459" s="14"/>
      <c r="F459" s="15" t="str">
        <f aca="false">IF($E459="","",MONTH($E459))</f>
        <v/>
      </c>
      <c r="G459" s="15" t="str">
        <f aca="false">IF($E459="","",DAY($E459))</f>
        <v/>
      </c>
      <c r="H459" s="16" t="str">
        <f aca="true">IF($E459="","",IF(DATE(YEAR(TODAY()),$F459,$G459)&lt;TODAY(),DATE(YEAR(TODAY())+1,$F459,$G459),DATE(YEAR(TODAY()),$F459,$G459)))</f>
        <v/>
      </c>
      <c r="I459" s="15" t="str">
        <f aca="true">IF($H459="","",$H459-TODAY())</f>
        <v/>
      </c>
      <c r="J459" s="10"/>
    </row>
    <row r="460" customFormat="false" ht="15" hidden="false" customHeight="true" outlineLevel="0" collapsed="false">
      <c r="A460" s="13" t="str">
        <f aca="false">IF($B460="","",ROW()-2)</f>
        <v/>
      </c>
      <c r="B460" s="9"/>
      <c r="C460" s="13" t="str">
        <f aca="false">IF($B460="","",IFERROR(INDEX(대상목록!$C$3:$C$302,MATCH($B460,대상목록!$A$3:$A$302,0)),""))</f>
        <v/>
      </c>
      <c r="D460" s="9"/>
      <c r="E460" s="14"/>
      <c r="F460" s="15" t="str">
        <f aca="false">IF($E460="","",MONTH($E460))</f>
        <v/>
      </c>
      <c r="G460" s="15" t="str">
        <f aca="false">IF($E460="","",DAY($E460))</f>
        <v/>
      </c>
      <c r="H460" s="16" t="str">
        <f aca="true">IF($E460="","",IF(DATE(YEAR(TODAY()),$F460,$G460)&lt;TODAY(),DATE(YEAR(TODAY())+1,$F460,$G460),DATE(YEAR(TODAY()),$F460,$G460)))</f>
        <v/>
      </c>
      <c r="I460" s="15" t="str">
        <f aca="true">IF($H460="","",$H460-TODAY())</f>
        <v/>
      </c>
      <c r="J460" s="10"/>
    </row>
    <row r="461" customFormat="false" ht="15" hidden="false" customHeight="true" outlineLevel="0" collapsed="false">
      <c r="A461" s="13" t="str">
        <f aca="false">IF($B461="","",ROW()-2)</f>
        <v/>
      </c>
      <c r="B461" s="9"/>
      <c r="C461" s="13" t="str">
        <f aca="false">IF($B461="","",IFERROR(INDEX(대상목록!$C$3:$C$302,MATCH($B461,대상목록!$A$3:$A$302,0)),""))</f>
        <v/>
      </c>
      <c r="D461" s="9"/>
      <c r="E461" s="14"/>
      <c r="F461" s="15" t="str">
        <f aca="false">IF($E461="","",MONTH($E461))</f>
        <v/>
      </c>
      <c r="G461" s="15" t="str">
        <f aca="false">IF($E461="","",DAY($E461))</f>
        <v/>
      </c>
      <c r="H461" s="16" t="str">
        <f aca="true">IF($E461="","",IF(DATE(YEAR(TODAY()),$F461,$G461)&lt;TODAY(),DATE(YEAR(TODAY())+1,$F461,$G461),DATE(YEAR(TODAY()),$F461,$G461)))</f>
        <v/>
      </c>
      <c r="I461" s="15" t="str">
        <f aca="true">IF($H461="","",$H461-TODAY())</f>
        <v/>
      </c>
      <c r="J461" s="10"/>
    </row>
    <row r="462" customFormat="false" ht="15" hidden="false" customHeight="true" outlineLevel="0" collapsed="false">
      <c r="A462" s="13" t="str">
        <f aca="false">IF($B462="","",ROW()-2)</f>
        <v/>
      </c>
      <c r="B462" s="9"/>
      <c r="C462" s="13" t="str">
        <f aca="false">IF($B462="","",IFERROR(INDEX(대상목록!$C$3:$C$302,MATCH($B462,대상목록!$A$3:$A$302,0)),""))</f>
        <v/>
      </c>
      <c r="D462" s="9"/>
      <c r="E462" s="14"/>
      <c r="F462" s="15" t="str">
        <f aca="false">IF($E462="","",MONTH($E462))</f>
        <v/>
      </c>
      <c r="G462" s="15" t="str">
        <f aca="false">IF($E462="","",DAY($E462))</f>
        <v/>
      </c>
      <c r="H462" s="16" t="str">
        <f aca="true">IF($E462="","",IF(DATE(YEAR(TODAY()),$F462,$G462)&lt;TODAY(),DATE(YEAR(TODAY())+1,$F462,$G462),DATE(YEAR(TODAY()),$F462,$G462)))</f>
        <v/>
      </c>
      <c r="I462" s="15" t="str">
        <f aca="true">IF($H462="","",$H462-TODAY())</f>
        <v/>
      </c>
      <c r="J462" s="10"/>
    </row>
    <row r="463" customFormat="false" ht="15" hidden="false" customHeight="true" outlineLevel="0" collapsed="false">
      <c r="A463" s="13" t="str">
        <f aca="false">IF($B463="","",ROW()-2)</f>
        <v/>
      </c>
      <c r="B463" s="9"/>
      <c r="C463" s="13" t="str">
        <f aca="false">IF($B463="","",IFERROR(INDEX(대상목록!$C$3:$C$302,MATCH($B463,대상목록!$A$3:$A$302,0)),""))</f>
        <v/>
      </c>
      <c r="D463" s="9"/>
      <c r="E463" s="14"/>
      <c r="F463" s="15" t="str">
        <f aca="false">IF($E463="","",MONTH($E463))</f>
        <v/>
      </c>
      <c r="G463" s="15" t="str">
        <f aca="false">IF($E463="","",DAY($E463))</f>
        <v/>
      </c>
      <c r="H463" s="16" t="str">
        <f aca="true">IF($E463="","",IF(DATE(YEAR(TODAY()),$F463,$G463)&lt;TODAY(),DATE(YEAR(TODAY())+1,$F463,$G463),DATE(YEAR(TODAY()),$F463,$G463)))</f>
        <v/>
      </c>
      <c r="I463" s="15" t="str">
        <f aca="true">IF($H463="","",$H463-TODAY())</f>
        <v/>
      </c>
      <c r="J463" s="10"/>
    </row>
    <row r="464" customFormat="false" ht="15" hidden="false" customHeight="true" outlineLevel="0" collapsed="false">
      <c r="A464" s="13" t="str">
        <f aca="false">IF($B464="","",ROW()-2)</f>
        <v/>
      </c>
      <c r="B464" s="9"/>
      <c r="C464" s="13" t="str">
        <f aca="false">IF($B464="","",IFERROR(INDEX(대상목록!$C$3:$C$302,MATCH($B464,대상목록!$A$3:$A$302,0)),""))</f>
        <v/>
      </c>
      <c r="D464" s="9"/>
      <c r="E464" s="14"/>
      <c r="F464" s="15" t="str">
        <f aca="false">IF($E464="","",MONTH($E464))</f>
        <v/>
      </c>
      <c r="G464" s="15" t="str">
        <f aca="false">IF($E464="","",DAY($E464))</f>
        <v/>
      </c>
      <c r="H464" s="16" t="str">
        <f aca="true">IF($E464="","",IF(DATE(YEAR(TODAY()),$F464,$G464)&lt;TODAY(),DATE(YEAR(TODAY())+1,$F464,$G464),DATE(YEAR(TODAY()),$F464,$G464)))</f>
        <v/>
      </c>
      <c r="I464" s="15" t="str">
        <f aca="true">IF($H464="","",$H464-TODAY())</f>
        <v/>
      </c>
      <c r="J464" s="10"/>
    </row>
    <row r="465" customFormat="false" ht="15" hidden="false" customHeight="true" outlineLevel="0" collapsed="false">
      <c r="A465" s="13" t="str">
        <f aca="false">IF($B465="","",ROW()-2)</f>
        <v/>
      </c>
      <c r="B465" s="9"/>
      <c r="C465" s="13" t="str">
        <f aca="false">IF($B465="","",IFERROR(INDEX(대상목록!$C$3:$C$302,MATCH($B465,대상목록!$A$3:$A$302,0)),""))</f>
        <v/>
      </c>
      <c r="D465" s="9"/>
      <c r="E465" s="14"/>
      <c r="F465" s="15" t="str">
        <f aca="false">IF($E465="","",MONTH($E465))</f>
        <v/>
      </c>
      <c r="G465" s="15" t="str">
        <f aca="false">IF($E465="","",DAY($E465))</f>
        <v/>
      </c>
      <c r="H465" s="16" t="str">
        <f aca="true">IF($E465="","",IF(DATE(YEAR(TODAY()),$F465,$G465)&lt;TODAY(),DATE(YEAR(TODAY())+1,$F465,$G465),DATE(YEAR(TODAY()),$F465,$G465)))</f>
        <v/>
      </c>
      <c r="I465" s="15" t="str">
        <f aca="true">IF($H465="","",$H465-TODAY())</f>
        <v/>
      </c>
      <c r="J465" s="10"/>
    </row>
    <row r="466" customFormat="false" ht="15" hidden="false" customHeight="true" outlineLevel="0" collapsed="false">
      <c r="A466" s="13" t="str">
        <f aca="false">IF($B466="","",ROW()-2)</f>
        <v/>
      </c>
      <c r="B466" s="9"/>
      <c r="C466" s="13" t="str">
        <f aca="false">IF($B466="","",IFERROR(INDEX(대상목록!$C$3:$C$302,MATCH($B466,대상목록!$A$3:$A$302,0)),""))</f>
        <v/>
      </c>
      <c r="D466" s="9"/>
      <c r="E466" s="14"/>
      <c r="F466" s="15" t="str">
        <f aca="false">IF($E466="","",MONTH($E466))</f>
        <v/>
      </c>
      <c r="G466" s="15" t="str">
        <f aca="false">IF($E466="","",DAY($E466))</f>
        <v/>
      </c>
      <c r="H466" s="16" t="str">
        <f aca="true">IF($E466="","",IF(DATE(YEAR(TODAY()),$F466,$G466)&lt;TODAY(),DATE(YEAR(TODAY())+1,$F466,$G466),DATE(YEAR(TODAY()),$F466,$G466)))</f>
        <v/>
      </c>
      <c r="I466" s="15" t="str">
        <f aca="true">IF($H466="","",$H466-TODAY())</f>
        <v/>
      </c>
      <c r="J466" s="10"/>
    </row>
    <row r="467" customFormat="false" ht="15" hidden="false" customHeight="true" outlineLevel="0" collapsed="false">
      <c r="A467" s="13" t="str">
        <f aca="false">IF($B467="","",ROW()-2)</f>
        <v/>
      </c>
      <c r="B467" s="9"/>
      <c r="C467" s="13" t="str">
        <f aca="false">IF($B467="","",IFERROR(INDEX(대상목록!$C$3:$C$302,MATCH($B467,대상목록!$A$3:$A$302,0)),""))</f>
        <v/>
      </c>
      <c r="D467" s="9"/>
      <c r="E467" s="14"/>
      <c r="F467" s="15" t="str">
        <f aca="false">IF($E467="","",MONTH($E467))</f>
        <v/>
      </c>
      <c r="G467" s="15" t="str">
        <f aca="false">IF($E467="","",DAY($E467))</f>
        <v/>
      </c>
      <c r="H467" s="16" t="str">
        <f aca="true">IF($E467="","",IF(DATE(YEAR(TODAY()),$F467,$G467)&lt;TODAY(),DATE(YEAR(TODAY())+1,$F467,$G467),DATE(YEAR(TODAY()),$F467,$G467)))</f>
        <v/>
      </c>
      <c r="I467" s="15" t="str">
        <f aca="true">IF($H467="","",$H467-TODAY())</f>
        <v/>
      </c>
      <c r="J467" s="10"/>
    </row>
    <row r="468" customFormat="false" ht="15" hidden="false" customHeight="true" outlineLevel="0" collapsed="false">
      <c r="A468" s="13" t="str">
        <f aca="false">IF($B468="","",ROW()-2)</f>
        <v/>
      </c>
      <c r="B468" s="9"/>
      <c r="C468" s="13" t="str">
        <f aca="false">IF($B468="","",IFERROR(INDEX(대상목록!$C$3:$C$302,MATCH($B468,대상목록!$A$3:$A$302,0)),""))</f>
        <v/>
      </c>
      <c r="D468" s="9"/>
      <c r="E468" s="14"/>
      <c r="F468" s="15" t="str">
        <f aca="false">IF($E468="","",MONTH($E468))</f>
        <v/>
      </c>
      <c r="G468" s="15" t="str">
        <f aca="false">IF($E468="","",DAY($E468))</f>
        <v/>
      </c>
      <c r="H468" s="16" t="str">
        <f aca="true">IF($E468="","",IF(DATE(YEAR(TODAY()),$F468,$G468)&lt;TODAY(),DATE(YEAR(TODAY())+1,$F468,$G468),DATE(YEAR(TODAY()),$F468,$G468)))</f>
        <v/>
      </c>
      <c r="I468" s="15" t="str">
        <f aca="true">IF($H468="","",$H468-TODAY())</f>
        <v/>
      </c>
      <c r="J468" s="10"/>
    </row>
    <row r="469" customFormat="false" ht="15" hidden="false" customHeight="true" outlineLevel="0" collapsed="false">
      <c r="A469" s="13" t="str">
        <f aca="false">IF($B469="","",ROW()-2)</f>
        <v/>
      </c>
      <c r="B469" s="9"/>
      <c r="C469" s="13" t="str">
        <f aca="false">IF($B469="","",IFERROR(INDEX(대상목록!$C$3:$C$302,MATCH($B469,대상목록!$A$3:$A$302,0)),""))</f>
        <v/>
      </c>
      <c r="D469" s="9"/>
      <c r="E469" s="14"/>
      <c r="F469" s="15" t="str">
        <f aca="false">IF($E469="","",MONTH($E469))</f>
        <v/>
      </c>
      <c r="G469" s="15" t="str">
        <f aca="false">IF($E469="","",DAY($E469))</f>
        <v/>
      </c>
      <c r="H469" s="16" t="str">
        <f aca="true">IF($E469="","",IF(DATE(YEAR(TODAY()),$F469,$G469)&lt;TODAY(),DATE(YEAR(TODAY())+1,$F469,$G469),DATE(YEAR(TODAY()),$F469,$G469)))</f>
        <v/>
      </c>
      <c r="I469" s="15" t="str">
        <f aca="true">IF($H469="","",$H469-TODAY())</f>
        <v/>
      </c>
      <c r="J469" s="10"/>
    </row>
    <row r="470" customFormat="false" ht="15" hidden="false" customHeight="true" outlineLevel="0" collapsed="false">
      <c r="A470" s="13" t="str">
        <f aca="false">IF($B470="","",ROW()-2)</f>
        <v/>
      </c>
      <c r="B470" s="9"/>
      <c r="C470" s="13" t="str">
        <f aca="false">IF($B470="","",IFERROR(INDEX(대상목록!$C$3:$C$302,MATCH($B470,대상목록!$A$3:$A$302,0)),""))</f>
        <v/>
      </c>
      <c r="D470" s="9"/>
      <c r="E470" s="14"/>
      <c r="F470" s="15" t="str">
        <f aca="false">IF($E470="","",MONTH($E470))</f>
        <v/>
      </c>
      <c r="G470" s="15" t="str">
        <f aca="false">IF($E470="","",DAY($E470))</f>
        <v/>
      </c>
      <c r="H470" s="16" t="str">
        <f aca="true">IF($E470="","",IF(DATE(YEAR(TODAY()),$F470,$G470)&lt;TODAY(),DATE(YEAR(TODAY())+1,$F470,$G470),DATE(YEAR(TODAY()),$F470,$G470)))</f>
        <v/>
      </c>
      <c r="I470" s="15" t="str">
        <f aca="true">IF($H470="","",$H470-TODAY())</f>
        <v/>
      </c>
      <c r="J470" s="10"/>
    </row>
    <row r="471" customFormat="false" ht="15" hidden="false" customHeight="true" outlineLevel="0" collapsed="false">
      <c r="A471" s="13" t="str">
        <f aca="false">IF($B471="","",ROW()-2)</f>
        <v/>
      </c>
      <c r="B471" s="9"/>
      <c r="C471" s="13" t="str">
        <f aca="false">IF($B471="","",IFERROR(INDEX(대상목록!$C$3:$C$302,MATCH($B471,대상목록!$A$3:$A$302,0)),""))</f>
        <v/>
      </c>
      <c r="D471" s="9"/>
      <c r="E471" s="14"/>
      <c r="F471" s="15" t="str">
        <f aca="false">IF($E471="","",MONTH($E471))</f>
        <v/>
      </c>
      <c r="G471" s="15" t="str">
        <f aca="false">IF($E471="","",DAY($E471))</f>
        <v/>
      </c>
      <c r="H471" s="16" t="str">
        <f aca="true">IF($E471="","",IF(DATE(YEAR(TODAY()),$F471,$G471)&lt;TODAY(),DATE(YEAR(TODAY())+1,$F471,$G471),DATE(YEAR(TODAY()),$F471,$G471)))</f>
        <v/>
      </c>
      <c r="I471" s="15" t="str">
        <f aca="true">IF($H471="","",$H471-TODAY())</f>
        <v/>
      </c>
      <c r="J471" s="10"/>
    </row>
    <row r="472" customFormat="false" ht="15" hidden="false" customHeight="true" outlineLevel="0" collapsed="false">
      <c r="A472" s="13" t="str">
        <f aca="false">IF($B472="","",ROW()-2)</f>
        <v/>
      </c>
      <c r="B472" s="9"/>
      <c r="C472" s="13" t="str">
        <f aca="false">IF($B472="","",IFERROR(INDEX(대상목록!$C$3:$C$302,MATCH($B472,대상목록!$A$3:$A$302,0)),""))</f>
        <v/>
      </c>
      <c r="D472" s="9"/>
      <c r="E472" s="14"/>
      <c r="F472" s="15" t="str">
        <f aca="false">IF($E472="","",MONTH($E472))</f>
        <v/>
      </c>
      <c r="G472" s="15" t="str">
        <f aca="false">IF($E472="","",DAY($E472))</f>
        <v/>
      </c>
      <c r="H472" s="16" t="str">
        <f aca="true">IF($E472="","",IF(DATE(YEAR(TODAY()),$F472,$G472)&lt;TODAY(),DATE(YEAR(TODAY())+1,$F472,$G472),DATE(YEAR(TODAY()),$F472,$G472)))</f>
        <v/>
      </c>
      <c r="I472" s="15" t="str">
        <f aca="true">IF($H472="","",$H472-TODAY())</f>
        <v/>
      </c>
      <c r="J472" s="10"/>
    </row>
    <row r="473" customFormat="false" ht="15" hidden="false" customHeight="true" outlineLevel="0" collapsed="false">
      <c r="A473" s="13" t="str">
        <f aca="false">IF($B473="","",ROW()-2)</f>
        <v/>
      </c>
      <c r="B473" s="9"/>
      <c r="C473" s="13" t="str">
        <f aca="false">IF($B473="","",IFERROR(INDEX(대상목록!$C$3:$C$302,MATCH($B473,대상목록!$A$3:$A$302,0)),""))</f>
        <v/>
      </c>
      <c r="D473" s="9"/>
      <c r="E473" s="14"/>
      <c r="F473" s="15" t="str">
        <f aca="false">IF($E473="","",MONTH($E473))</f>
        <v/>
      </c>
      <c r="G473" s="15" t="str">
        <f aca="false">IF($E473="","",DAY($E473))</f>
        <v/>
      </c>
      <c r="H473" s="16" t="str">
        <f aca="true">IF($E473="","",IF(DATE(YEAR(TODAY()),$F473,$G473)&lt;TODAY(),DATE(YEAR(TODAY())+1,$F473,$G473),DATE(YEAR(TODAY()),$F473,$G473)))</f>
        <v/>
      </c>
      <c r="I473" s="15" t="str">
        <f aca="true">IF($H473="","",$H473-TODAY())</f>
        <v/>
      </c>
      <c r="J473" s="10"/>
    </row>
    <row r="474" customFormat="false" ht="15" hidden="false" customHeight="true" outlineLevel="0" collapsed="false">
      <c r="A474" s="13" t="str">
        <f aca="false">IF($B474="","",ROW()-2)</f>
        <v/>
      </c>
      <c r="B474" s="9"/>
      <c r="C474" s="13" t="str">
        <f aca="false">IF($B474="","",IFERROR(INDEX(대상목록!$C$3:$C$302,MATCH($B474,대상목록!$A$3:$A$302,0)),""))</f>
        <v/>
      </c>
      <c r="D474" s="9"/>
      <c r="E474" s="14"/>
      <c r="F474" s="15" t="str">
        <f aca="false">IF($E474="","",MONTH($E474))</f>
        <v/>
      </c>
      <c r="G474" s="15" t="str">
        <f aca="false">IF($E474="","",DAY($E474))</f>
        <v/>
      </c>
      <c r="H474" s="16" t="str">
        <f aca="true">IF($E474="","",IF(DATE(YEAR(TODAY()),$F474,$G474)&lt;TODAY(),DATE(YEAR(TODAY())+1,$F474,$G474),DATE(YEAR(TODAY()),$F474,$G474)))</f>
        <v/>
      </c>
      <c r="I474" s="15" t="str">
        <f aca="true">IF($H474="","",$H474-TODAY())</f>
        <v/>
      </c>
      <c r="J474" s="10"/>
    </row>
    <row r="475" customFormat="false" ht="15" hidden="false" customHeight="true" outlineLevel="0" collapsed="false">
      <c r="A475" s="13" t="str">
        <f aca="false">IF($B475="","",ROW()-2)</f>
        <v/>
      </c>
      <c r="B475" s="9"/>
      <c r="C475" s="13" t="str">
        <f aca="false">IF($B475="","",IFERROR(INDEX(대상목록!$C$3:$C$302,MATCH($B475,대상목록!$A$3:$A$302,0)),""))</f>
        <v/>
      </c>
      <c r="D475" s="9"/>
      <c r="E475" s="14"/>
      <c r="F475" s="15" t="str">
        <f aca="false">IF($E475="","",MONTH($E475))</f>
        <v/>
      </c>
      <c r="G475" s="15" t="str">
        <f aca="false">IF($E475="","",DAY($E475))</f>
        <v/>
      </c>
      <c r="H475" s="16" t="str">
        <f aca="true">IF($E475="","",IF(DATE(YEAR(TODAY()),$F475,$G475)&lt;TODAY(),DATE(YEAR(TODAY())+1,$F475,$G475),DATE(YEAR(TODAY()),$F475,$G475)))</f>
        <v/>
      </c>
      <c r="I475" s="15" t="str">
        <f aca="true">IF($H475="","",$H475-TODAY())</f>
        <v/>
      </c>
      <c r="J475" s="10"/>
    </row>
    <row r="476" customFormat="false" ht="15" hidden="false" customHeight="true" outlineLevel="0" collapsed="false">
      <c r="A476" s="13" t="str">
        <f aca="false">IF($B476="","",ROW()-2)</f>
        <v/>
      </c>
      <c r="B476" s="9"/>
      <c r="C476" s="13" t="str">
        <f aca="false">IF($B476="","",IFERROR(INDEX(대상목록!$C$3:$C$302,MATCH($B476,대상목록!$A$3:$A$302,0)),""))</f>
        <v/>
      </c>
      <c r="D476" s="9"/>
      <c r="E476" s="14"/>
      <c r="F476" s="15" t="str">
        <f aca="false">IF($E476="","",MONTH($E476))</f>
        <v/>
      </c>
      <c r="G476" s="15" t="str">
        <f aca="false">IF($E476="","",DAY($E476))</f>
        <v/>
      </c>
      <c r="H476" s="16" t="str">
        <f aca="true">IF($E476="","",IF(DATE(YEAR(TODAY()),$F476,$G476)&lt;TODAY(),DATE(YEAR(TODAY())+1,$F476,$G476),DATE(YEAR(TODAY()),$F476,$G476)))</f>
        <v/>
      </c>
      <c r="I476" s="15" t="str">
        <f aca="true">IF($H476="","",$H476-TODAY())</f>
        <v/>
      </c>
      <c r="J476" s="10"/>
    </row>
    <row r="477" customFormat="false" ht="15" hidden="false" customHeight="true" outlineLevel="0" collapsed="false">
      <c r="A477" s="13" t="str">
        <f aca="false">IF($B477="","",ROW()-2)</f>
        <v/>
      </c>
      <c r="B477" s="9"/>
      <c r="C477" s="13" t="str">
        <f aca="false">IF($B477="","",IFERROR(INDEX(대상목록!$C$3:$C$302,MATCH($B477,대상목록!$A$3:$A$302,0)),""))</f>
        <v/>
      </c>
      <c r="D477" s="9"/>
      <c r="E477" s="14"/>
      <c r="F477" s="15" t="str">
        <f aca="false">IF($E477="","",MONTH($E477))</f>
        <v/>
      </c>
      <c r="G477" s="15" t="str">
        <f aca="false">IF($E477="","",DAY($E477))</f>
        <v/>
      </c>
      <c r="H477" s="16" t="str">
        <f aca="true">IF($E477="","",IF(DATE(YEAR(TODAY()),$F477,$G477)&lt;TODAY(),DATE(YEAR(TODAY())+1,$F477,$G477),DATE(YEAR(TODAY()),$F477,$G477)))</f>
        <v/>
      </c>
      <c r="I477" s="15" t="str">
        <f aca="true">IF($H477="","",$H477-TODAY())</f>
        <v/>
      </c>
      <c r="J477" s="10"/>
    </row>
    <row r="478" customFormat="false" ht="15" hidden="false" customHeight="true" outlineLevel="0" collapsed="false">
      <c r="A478" s="13" t="str">
        <f aca="false">IF($B478="","",ROW()-2)</f>
        <v/>
      </c>
      <c r="B478" s="9"/>
      <c r="C478" s="13" t="str">
        <f aca="false">IF($B478="","",IFERROR(INDEX(대상목록!$C$3:$C$302,MATCH($B478,대상목록!$A$3:$A$302,0)),""))</f>
        <v/>
      </c>
      <c r="D478" s="9"/>
      <c r="E478" s="14"/>
      <c r="F478" s="15" t="str">
        <f aca="false">IF($E478="","",MONTH($E478))</f>
        <v/>
      </c>
      <c r="G478" s="15" t="str">
        <f aca="false">IF($E478="","",DAY($E478))</f>
        <v/>
      </c>
      <c r="H478" s="16" t="str">
        <f aca="true">IF($E478="","",IF(DATE(YEAR(TODAY()),$F478,$G478)&lt;TODAY(),DATE(YEAR(TODAY())+1,$F478,$G478),DATE(YEAR(TODAY()),$F478,$G478)))</f>
        <v/>
      </c>
      <c r="I478" s="15" t="str">
        <f aca="true">IF($H478="","",$H478-TODAY())</f>
        <v/>
      </c>
      <c r="J478" s="10"/>
    </row>
    <row r="479" customFormat="false" ht="15" hidden="false" customHeight="true" outlineLevel="0" collapsed="false">
      <c r="A479" s="13" t="str">
        <f aca="false">IF($B479="","",ROW()-2)</f>
        <v/>
      </c>
      <c r="B479" s="9"/>
      <c r="C479" s="13" t="str">
        <f aca="false">IF($B479="","",IFERROR(INDEX(대상목록!$C$3:$C$302,MATCH($B479,대상목록!$A$3:$A$302,0)),""))</f>
        <v/>
      </c>
      <c r="D479" s="9"/>
      <c r="E479" s="14"/>
      <c r="F479" s="15" t="str">
        <f aca="false">IF($E479="","",MONTH($E479))</f>
        <v/>
      </c>
      <c r="G479" s="15" t="str">
        <f aca="false">IF($E479="","",DAY($E479))</f>
        <v/>
      </c>
      <c r="H479" s="16" t="str">
        <f aca="true">IF($E479="","",IF(DATE(YEAR(TODAY()),$F479,$G479)&lt;TODAY(),DATE(YEAR(TODAY())+1,$F479,$G479),DATE(YEAR(TODAY()),$F479,$G479)))</f>
        <v/>
      </c>
      <c r="I479" s="15" t="str">
        <f aca="true">IF($H479="","",$H479-TODAY())</f>
        <v/>
      </c>
      <c r="J479" s="10"/>
    </row>
    <row r="480" customFormat="false" ht="15" hidden="false" customHeight="true" outlineLevel="0" collapsed="false">
      <c r="A480" s="13" t="str">
        <f aca="false">IF($B480="","",ROW()-2)</f>
        <v/>
      </c>
      <c r="B480" s="9"/>
      <c r="C480" s="13" t="str">
        <f aca="false">IF($B480="","",IFERROR(INDEX(대상목록!$C$3:$C$302,MATCH($B480,대상목록!$A$3:$A$302,0)),""))</f>
        <v/>
      </c>
      <c r="D480" s="9"/>
      <c r="E480" s="14"/>
      <c r="F480" s="15" t="str">
        <f aca="false">IF($E480="","",MONTH($E480))</f>
        <v/>
      </c>
      <c r="G480" s="15" t="str">
        <f aca="false">IF($E480="","",DAY($E480))</f>
        <v/>
      </c>
      <c r="H480" s="16" t="str">
        <f aca="true">IF($E480="","",IF(DATE(YEAR(TODAY()),$F480,$G480)&lt;TODAY(),DATE(YEAR(TODAY())+1,$F480,$G480),DATE(YEAR(TODAY()),$F480,$G480)))</f>
        <v/>
      </c>
      <c r="I480" s="15" t="str">
        <f aca="true">IF($H480="","",$H480-TODAY())</f>
        <v/>
      </c>
      <c r="J480" s="10"/>
    </row>
    <row r="481" customFormat="false" ht="15" hidden="false" customHeight="true" outlineLevel="0" collapsed="false">
      <c r="A481" s="13" t="str">
        <f aca="false">IF($B481="","",ROW()-2)</f>
        <v/>
      </c>
      <c r="B481" s="9"/>
      <c r="C481" s="13" t="str">
        <f aca="false">IF($B481="","",IFERROR(INDEX(대상목록!$C$3:$C$302,MATCH($B481,대상목록!$A$3:$A$302,0)),""))</f>
        <v/>
      </c>
      <c r="D481" s="9"/>
      <c r="E481" s="14"/>
      <c r="F481" s="15" t="str">
        <f aca="false">IF($E481="","",MONTH($E481))</f>
        <v/>
      </c>
      <c r="G481" s="15" t="str">
        <f aca="false">IF($E481="","",DAY($E481))</f>
        <v/>
      </c>
      <c r="H481" s="16" t="str">
        <f aca="true">IF($E481="","",IF(DATE(YEAR(TODAY()),$F481,$G481)&lt;TODAY(),DATE(YEAR(TODAY())+1,$F481,$G481),DATE(YEAR(TODAY()),$F481,$G481)))</f>
        <v/>
      </c>
      <c r="I481" s="15" t="str">
        <f aca="true">IF($H481="","",$H481-TODAY())</f>
        <v/>
      </c>
      <c r="J481" s="10"/>
    </row>
    <row r="482" customFormat="false" ht="15" hidden="false" customHeight="true" outlineLevel="0" collapsed="false">
      <c r="A482" s="13" t="str">
        <f aca="false">IF($B482="","",ROW()-2)</f>
        <v/>
      </c>
      <c r="B482" s="9"/>
      <c r="C482" s="13" t="str">
        <f aca="false">IF($B482="","",IFERROR(INDEX(대상목록!$C$3:$C$302,MATCH($B482,대상목록!$A$3:$A$302,0)),""))</f>
        <v/>
      </c>
      <c r="D482" s="9"/>
      <c r="E482" s="14"/>
      <c r="F482" s="15" t="str">
        <f aca="false">IF($E482="","",MONTH($E482))</f>
        <v/>
      </c>
      <c r="G482" s="15" t="str">
        <f aca="false">IF($E482="","",DAY($E482))</f>
        <v/>
      </c>
      <c r="H482" s="16" t="str">
        <f aca="true">IF($E482="","",IF(DATE(YEAR(TODAY()),$F482,$G482)&lt;TODAY(),DATE(YEAR(TODAY())+1,$F482,$G482),DATE(YEAR(TODAY()),$F482,$G482)))</f>
        <v/>
      </c>
      <c r="I482" s="15" t="str">
        <f aca="true">IF($H482="","",$H482-TODAY())</f>
        <v/>
      </c>
      <c r="J482" s="10"/>
    </row>
    <row r="483" customFormat="false" ht="15" hidden="false" customHeight="true" outlineLevel="0" collapsed="false">
      <c r="A483" s="13" t="str">
        <f aca="false">IF($B483="","",ROW()-2)</f>
        <v/>
      </c>
      <c r="B483" s="9"/>
      <c r="C483" s="13" t="str">
        <f aca="false">IF($B483="","",IFERROR(INDEX(대상목록!$C$3:$C$302,MATCH($B483,대상목록!$A$3:$A$302,0)),""))</f>
        <v/>
      </c>
      <c r="D483" s="9"/>
      <c r="E483" s="14"/>
      <c r="F483" s="15" t="str">
        <f aca="false">IF($E483="","",MONTH($E483))</f>
        <v/>
      </c>
      <c r="G483" s="15" t="str">
        <f aca="false">IF($E483="","",DAY($E483))</f>
        <v/>
      </c>
      <c r="H483" s="16" t="str">
        <f aca="true">IF($E483="","",IF(DATE(YEAR(TODAY()),$F483,$G483)&lt;TODAY(),DATE(YEAR(TODAY())+1,$F483,$G483),DATE(YEAR(TODAY()),$F483,$G483)))</f>
        <v/>
      </c>
      <c r="I483" s="15" t="str">
        <f aca="true">IF($H483="","",$H483-TODAY())</f>
        <v/>
      </c>
      <c r="J483" s="10"/>
    </row>
    <row r="484" customFormat="false" ht="15" hidden="false" customHeight="true" outlineLevel="0" collapsed="false">
      <c r="A484" s="13" t="str">
        <f aca="false">IF($B484="","",ROW()-2)</f>
        <v/>
      </c>
      <c r="B484" s="9"/>
      <c r="C484" s="13" t="str">
        <f aca="false">IF($B484="","",IFERROR(INDEX(대상목록!$C$3:$C$302,MATCH($B484,대상목록!$A$3:$A$302,0)),""))</f>
        <v/>
      </c>
      <c r="D484" s="9"/>
      <c r="E484" s="14"/>
      <c r="F484" s="15" t="str">
        <f aca="false">IF($E484="","",MONTH($E484))</f>
        <v/>
      </c>
      <c r="G484" s="15" t="str">
        <f aca="false">IF($E484="","",DAY($E484))</f>
        <v/>
      </c>
      <c r="H484" s="16" t="str">
        <f aca="true">IF($E484="","",IF(DATE(YEAR(TODAY()),$F484,$G484)&lt;TODAY(),DATE(YEAR(TODAY())+1,$F484,$G484),DATE(YEAR(TODAY()),$F484,$G484)))</f>
        <v/>
      </c>
      <c r="I484" s="15" t="str">
        <f aca="true">IF($H484="","",$H484-TODAY())</f>
        <v/>
      </c>
      <c r="J484" s="10"/>
    </row>
    <row r="485" customFormat="false" ht="15" hidden="false" customHeight="true" outlineLevel="0" collapsed="false">
      <c r="A485" s="13" t="str">
        <f aca="false">IF($B485="","",ROW()-2)</f>
        <v/>
      </c>
      <c r="B485" s="9"/>
      <c r="C485" s="13" t="str">
        <f aca="false">IF($B485="","",IFERROR(INDEX(대상목록!$C$3:$C$302,MATCH($B485,대상목록!$A$3:$A$302,0)),""))</f>
        <v/>
      </c>
      <c r="D485" s="9"/>
      <c r="E485" s="14"/>
      <c r="F485" s="15" t="str">
        <f aca="false">IF($E485="","",MONTH($E485))</f>
        <v/>
      </c>
      <c r="G485" s="15" t="str">
        <f aca="false">IF($E485="","",DAY($E485))</f>
        <v/>
      </c>
      <c r="H485" s="16" t="str">
        <f aca="true">IF($E485="","",IF(DATE(YEAR(TODAY()),$F485,$G485)&lt;TODAY(),DATE(YEAR(TODAY())+1,$F485,$G485),DATE(YEAR(TODAY()),$F485,$G485)))</f>
        <v/>
      </c>
      <c r="I485" s="15" t="str">
        <f aca="true">IF($H485="","",$H485-TODAY())</f>
        <v/>
      </c>
      <c r="J485" s="10"/>
    </row>
    <row r="486" customFormat="false" ht="15" hidden="false" customHeight="true" outlineLevel="0" collapsed="false">
      <c r="A486" s="13" t="str">
        <f aca="false">IF($B486="","",ROW()-2)</f>
        <v/>
      </c>
      <c r="B486" s="9"/>
      <c r="C486" s="13" t="str">
        <f aca="false">IF($B486="","",IFERROR(INDEX(대상목록!$C$3:$C$302,MATCH($B486,대상목록!$A$3:$A$302,0)),""))</f>
        <v/>
      </c>
      <c r="D486" s="9"/>
      <c r="E486" s="14"/>
      <c r="F486" s="15" t="str">
        <f aca="false">IF($E486="","",MONTH($E486))</f>
        <v/>
      </c>
      <c r="G486" s="15" t="str">
        <f aca="false">IF($E486="","",DAY($E486))</f>
        <v/>
      </c>
      <c r="H486" s="16" t="str">
        <f aca="true">IF($E486="","",IF(DATE(YEAR(TODAY()),$F486,$G486)&lt;TODAY(),DATE(YEAR(TODAY())+1,$F486,$G486),DATE(YEAR(TODAY()),$F486,$G486)))</f>
        <v/>
      </c>
      <c r="I486" s="15" t="str">
        <f aca="true">IF($H486="","",$H486-TODAY())</f>
        <v/>
      </c>
      <c r="J486" s="10"/>
    </row>
    <row r="487" customFormat="false" ht="15" hidden="false" customHeight="true" outlineLevel="0" collapsed="false">
      <c r="A487" s="13" t="str">
        <f aca="false">IF($B487="","",ROW()-2)</f>
        <v/>
      </c>
      <c r="B487" s="9"/>
      <c r="C487" s="13" t="str">
        <f aca="false">IF($B487="","",IFERROR(INDEX(대상목록!$C$3:$C$302,MATCH($B487,대상목록!$A$3:$A$302,0)),""))</f>
        <v/>
      </c>
      <c r="D487" s="9"/>
      <c r="E487" s="14"/>
      <c r="F487" s="15" t="str">
        <f aca="false">IF($E487="","",MONTH($E487))</f>
        <v/>
      </c>
      <c r="G487" s="15" t="str">
        <f aca="false">IF($E487="","",DAY($E487))</f>
        <v/>
      </c>
      <c r="H487" s="16" t="str">
        <f aca="true">IF($E487="","",IF(DATE(YEAR(TODAY()),$F487,$G487)&lt;TODAY(),DATE(YEAR(TODAY())+1,$F487,$G487),DATE(YEAR(TODAY()),$F487,$G487)))</f>
        <v/>
      </c>
      <c r="I487" s="15" t="str">
        <f aca="true">IF($H487="","",$H487-TODAY())</f>
        <v/>
      </c>
      <c r="J487" s="10"/>
    </row>
    <row r="488" customFormat="false" ht="15" hidden="false" customHeight="true" outlineLevel="0" collapsed="false">
      <c r="A488" s="13" t="str">
        <f aca="false">IF($B488="","",ROW()-2)</f>
        <v/>
      </c>
      <c r="B488" s="9"/>
      <c r="C488" s="13" t="str">
        <f aca="false">IF($B488="","",IFERROR(INDEX(대상목록!$C$3:$C$302,MATCH($B488,대상목록!$A$3:$A$302,0)),""))</f>
        <v/>
      </c>
      <c r="D488" s="9"/>
      <c r="E488" s="14"/>
      <c r="F488" s="15" t="str">
        <f aca="false">IF($E488="","",MONTH($E488))</f>
        <v/>
      </c>
      <c r="G488" s="15" t="str">
        <f aca="false">IF($E488="","",DAY($E488))</f>
        <v/>
      </c>
      <c r="H488" s="16" t="str">
        <f aca="true">IF($E488="","",IF(DATE(YEAR(TODAY()),$F488,$G488)&lt;TODAY(),DATE(YEAR(TODAY())+1,$F488,$G488),DATE(YEAR(TODAY()),$F488,$G488)))</f>
        <v/>
      </c>
      <c r="I488" s="15" t="str">
        <f aca="true">IF($H488="","",$H488-TODAY())</f>
        <v/>
      </c>
      <c r="J488" s="10"/>
    </row>
    <row r="489" customFormat="false" ht="15" hidden="false" customHeight="true" outlineLevel="0" collapsed="false">
      <c r="A489" s="13" t="str">
        <f aca="false">IF($B489="","",ROW()-2)</f>
        <v/>
      </c>
      <c r="B489" s="9"/>
      <c r="C489" s="13" t="str">
        <f aca="false">IF($B489="","",IFERROR(INDEX(대상목록!$C$3:$C$302,MATCH($B489,대상목록!$A$3:$A$302,0)),""))</f>
        <v/>
      </c>
      <c r="D489" s="9"/>
      <c r="E489" s="14"/>
      <c r="F489" s="15" t="str">
        <f aca="false">IF($E489="","",MONTH($E489))</f>
        <v/>
      </c>
      <c r="G489" s="15" t="str">
        <f aca="false">IF($E489="","",DAY($E489))</f>
        <v/>
      </c>
      <c r="H489" s="16" t="str">
        <f aca="true">IF($E489="","",IF(DATE(YEAR(TODAY()),$F489,$G489)&lt;TODAY(),DATE(YEAR(TODAY())+1,$F489,$G489),DATE(YEAR(TODAY()),$F489,$G489)))</f>
        <v/>
      </c>
      <c r="I489" s="15" t="str">
        <f aca="true">IF($H489="","",$H489-TODAY())</f>
        <v/>
      </c>
      <c r="J489" s="10"/>
    </row>
    <row r="490" customFormat="false" ht="15" hidden="false" customHeight="true" outlineLevel="0" collapsed="false">
      <c r="A490" s="13" t="str">
        <f aca="false">IF($B490="","",ROW()-2)</f>
        <v/>
      </c>
      <c r="B490" s="9"/>
      <c r="C490" s="13" t="str">
        <f aca="false">IF($B490="","",IFERROR(INDEX(대상목록!$C$3:$C$302,MATCH($B490,대상목록!$A$3:$A$302,0)),""))</f>
        <v/>
      </c>
      <c r="D490" s="9"/>
      <c r="E490" s="14"/>
      <c r="F490" s="15" t="str">
        <f aca="false">IF($E490="","",MONTH($E490))</f>
        <v/>
      </c>
      <c r="G490" s="15" t="str">
        <f aca="false">IF($E490="","",DAY($E490))</f>
        <v/>
      </c>
      <c r="H490" s="16" t="str">
        <f aca="true">IF($E490="","",IF(DATE(YEAR(TODAY()),$F490,$G490)&lt;TODAY(),DATE(YEAR(TODAY())+1,$F490,$G490),DATE(YEAR(TODAY()),$F490,$G490)))</f>
        <v/>
      </c>
      <c r="I490" s="15" t="str">
        <f aca="true">IF($H490="","",$H490-TODAY())</f>
        <v/>
      </c>
      <c r="J490" s="10"/>
    </row>
    <row r="491" customFormat="false" ht="15" hidden="false" customHeight="true" outlineLevel="0" collapsed="false">
      <c r="A491" s="13" t="str">
        <f aca="false">IF($B491="","",ROW()-2)</f>
        <v/>
      </c>
      <c r="B491" s="9"/>
      <c r="C491" s="13" t="str">
        <f aca="false">IF($B491="","",IFERROR(INDEX(대상목록!$C$3:$C$302,MATCH($B491,대상목록!$A$3:$A$302,0)),""))</f>
        <v/>
      </c>
      <c r="D491" s="9"/>
      <c r="E491" s="14"/>
      <c r="F491" s="15" t="str">
        <f aca="false">IF($E491="","",MONTH($E491))</f>
        <v/>
      </c>
      <c r="G491" s="15" t="str">
        <f aca="false">IF($E491="","",DAY($E491))</f>
        <v/>
      </c>
      <c r="H491" s="16" t="str">
        <f aca="true">IF($E491="","",IF(DATE(YEAR(TODAY()),$F491,$G491)&lt;TODAY(),DATE(YEAR(TODAY())+1,$F491,$G491),DATE(YEAR(TODAY()),$F491,$G491)))</f>
        <v/>
      </c>
      <c r="I491" s="15" t="str">
        <f aca="true">IF($H491="","",$H491-TODAY())</f>
        <v/>
      </c>
      <c r="J491" s="10"/>
    </row>
    <row r="492" customFormat="false" ht="15" hidden="false" customHeight="true" outlineLevel="0" collapsed="false">
      <c r="A492" s="13" t="str">
        <f aca="false">IF($B492="","",ROW()-2)</f>
        <v/>
      </c>
      <c r="B492" s="9"/>
      <c r="C492" s="13" t="str">
        <f aca="false">IF($B492="","",IFERROR(INDEX(대상목록!$C$3:$C$302,MATCH($B492,대상목록!$A$3:$A$302,0)),""))</f>
        <v/>
      </c>
      <c r="D492" s="9"/>
      <c r="E492" s="14"/>
      <c r="F492" s="15" t="str">
        <f aca="false">IF($E492="","",MONTH($E492))</f>
        <v/>
      </c>
      <c r="G492" s="15" t="str">
        <f aca="false">IF($E492="","",DAY($E492))</f>
        <v/>
      </c>
      <c r="H492" s="16" t="str">
        <f aca="true">IF($E492="","",IF(DATE(YEAR(TODAY()),$F492,$G492)&lt;TODAY(),DATE(YEAR(TODAY())+1,$F492,$G492),DATE(YEAR(TODAY()),$F492,$G492)))</f>
        <v/>
      </c>
      <c r="I492" s="15" t="str">
        <f aca="true">IF($H492="","",$H492-TODAY())</f>
        <v/>
      </c>
      <c r="J492" s="10"/>
    </row>
    <row r="493" customFormat="false" ht="15" hidden="false" customHeight="true" outlineLevel="0" collapsed="false">
      <c r="A493" s="13" t="str">
        <f aca="false">IF($B493="","",ROW()-2)</f>
        <v/>
      </c>
      <c r="B493" s="9"/>
      <c r="C493" s="13" t="str">
        <f aca="false">IF($B493="","",IFERROR(INDEX(대상목록!$C$3:$C$302,MATCH($B493,대상목록!$A$3:$A$302,0)),""))</f>
        <v/>
      </c>
      <c r="D493" s="9"/>
      <c r="E493" s="14"/>
      <c r="F493" s="15" t="str">
        <f aca="false">IF($E493="","",MONTH($E493))</f>
        <v/>
      </c>
      <c r="G493" s="15" t="str">
        <f aca="false">IF($E493="","",DAY($E493))</f>
        <v/>
      </c>
      <c r="H493" s="16" t="str">
        <f aca="true">IF($E493="","",IF(DATE(YEAR(TODAY()),$F493,$G493)&lt;TODAY(),DATE(YEAR(TODAY())+1,$F493,$G493),DATE(YEAR(TODAY()),$F493,$G493)))</f>
        <v/>
      </c>
      <c r="I493" s="15" t="str">
        <f aca="true">IF($H493="","",$H493-TODAY())</f>
        <v/>
      </c>
      <c r="J493" s="10"/>
    </row>
    <row r="494" customFormat="false" ht="15" hidden="false" customHeight="true" outlineLevel="0" collapsed="false">
      <c r="A494" s="13" t="str">
        <f aca="false">IF($B494="","",ROW()-2)</f>
        <v/>
      </c>
      <c r="B494" s="9"/>
      <c r="C494" s="13" t="str">
        <f aca="false">IF($B494="","",IFERROR(INDEX(대상목록!$C$3:$C$302,MATCH($B494,대상목록!$A$3:$A$302,0)),""))</f>
        <v/>
      </c>
      <c r="D494" s="9"/>
      <c r="E494" s="14"/>
      <c r="F494" s="15" t="str">
        <f aca="false">IF($E494="","",MONTH($E494))</f>
        <v/>
      </c>
      <c r="G494" s="15" t="str">
        <f aca="false">IF($E494="","",DAY($E494))</f>
        <v/>
      </c>
      <c r="H494" s="16" t="str">
        <f aca="true">IF($E494="","",IF(DATE(YEAR(TODAY()),$F494,$G494)&lt;TODAY(),DATE(YEAR(TODAY())+1,$F494,$G494),DATE(YEAR(TODAY()),$F494,$G494)))</f>
        <v/>
      </c>
      <c r="I494" s="15" t="str">
        <f aca="true">IF($H494="","",$H494-TODAY())</f>
        <v/>
      </c>
      <c r="J494" s="10"/>
    </row>
    <row r="495" customFormat="false" ht="15" hidden="false" customHeight="true" outlineLevel="0" collapsed="false">
      <c r="A495" s="13" t="str">
        <f aca="false">IF($B495="","",ROW()-2)</f>
        <v/>
      </c>
      <c r="B495" s="9"/>
      <c r="C495" s="13" t="str">
        <f aca="false">IF($B495="","",IFERROR(INDEX(대상목록!$C$3:$C$302,MATCH($B495,대상목록!$A$3:$A$302,0)),""))</f>
        <v/>
      </c>
      <c r="D495" s="9"/>
      <c r="E495" s="14"/>
      <c r="F495" s="15" t="str">
        <f aca="false">IF($E495="","",MONTH($E495))</f>
        <v/>
      </c>
      <c r="G495" s="15" t="str">
        <f aca="false">IF($E495="","",DAY($E495))</f>
        <v/>
      </c>
      <c r="H495" s="16" t="str">
        <f aca="true">IF($E495="","",IF(DATE(YEAR(TODAY()),$F495,$G495)&lt;TODAY(),DATE(YEAR(TODAY())+1,$F495,$G495),DATE(YEAR(TODAY()),$F495,$G495)))</f>
        <v/>
      </c>
      <c r="I495" s="15" t="str">
        <f aca="true">IF($H495="","",$H495-TODAY())</f>
        <v/>
      </c>
      <c r="J495" s="10"/>
    </row>
    <row r="496" customFormat="false" ht="15" hidden="false" customHeight="true" outlineLevel="0" collapsed="false">
      <c r="A496" s="13" t="str">
        <f aca="false">IF($B496="","",ROW()-2)</f>
        <v/>
      </c>
      <c r="B496" s="9"/>
      <c r="C496" s="13" t="str">
        <f aca="false">IF($B496="","",IFERROR(INDEX(대상목록!$C$3:$C$302,MATCH($B496,대상목록!$A$3:$A$302,0)),""))</f>
        <v/>
      </c>
      <c r="D496" s="9"/>
      <c r="E496" s="14"/>
      <c r="F496" s="15" t="str">
        <f aca="false">IF($E496="","",MONTH($E496))</f>
        <v/>
      </c>
      <c r="G496" s="15" t="str">
        <f aca="false">IF($E496="","",DAY($E496))</f>
        <v/>
      </c>
      <c r="H496" s="16" t="str">
        <f aca="true">IF($E496="","",IF(DATE(YEAR(TODAY()),$F496,$G496)&lt;TODAY(),DATE(YEAR(TODAY())+1,$F496,$G496),DATE(YEAR(TODAY()),$F496,$G496)))</f>
        <v/>
      </c>
      <c r="I496" s="15" t="str">
        <f aca="true">IF($H496="","",$H496-TODAY())</f>
        <v/>
      </c>
      <c r="J496" s="10"/>
    </row>
    <row r="497" customFormat="false" ht="15" hidden="false" customHeight="true" outlineLevel="0" collapsed="false">
      <c r="A497" s="13" t="str">
        <f aca="false">IF($B497="","",ROW()-2)</f>
        <v/>
      </c>
      <c r="B497" s="9"/>
      <c r="C497" s="13" t="str">
        <f aca="false">IF($B497="","",IFERROR(INDEX(대상목록!$C$3:$C$302,MATCH($B497,대상목록!$A$3:$A$302,0)),""))</f>
        <v/>
      </c>
      <c r="D497" s="9"/>
      <c r="E497" s="14"/>
      <c r="F497" s="15" t="str">
        <f aca="false">IF($E497="","",MONTH($E497))</f>
        <v/>
      </c>
      <c r="G497" s="15" t="str">
        <f aca="false">IF($E497="","",DAY($E497))</f>
        <v/>
      </c>
      <c r="H497" s="16" t="str">
        <f aca="true">IF($E497="","",IF(DATE(YEAR(TODAY()),$F497,$G497)&lt;TODAY(),DATE(YEAR(TODAY())+1,$F497,$G497),DATE(YEAR(TODAY()),$F497,$G497)))</f>
        <v/>
      </c>
      <c r="I497" s="15" t="str">
        <f aca="true">IF($H497="","",$H497-TODAY())</f>
        <v/>
      </c>
      <c r="J497" s="10"/>
    </row>
    <row r="498" customFormat="false" ht="15" hidden="false" customHeight="true" outlineLevel="0" collapsed="false">
      <c r="A498" s="13" t="str">
        <f aca="false">IF($B498="","",ROW()-2)</f>
        <v/>
      </c>
      <c r="B498" s="9"/>
      <c r="C498" s="13" t="str">
        <f aca="false">IF($B498="","",IFERROR(INDEX(대상목록!$C$3:$C$302,MATCH($B498,대상목록!$A$3:$A$302,0)),""))</f>
        <v/>
      </c>
      <c r="D498" s="9"/>
      <c r="E498" s="14"/>
      <c r="F498" s="15" t="str">
        <f aca="false">IF($E498="","",MONTH($E498))</f>
        <v/>
      </c>
      <c r="G498" s="15" t="str">
        <f aca="false">IF($E498="","",DAY($E498))</f>
        <v/>
      </c>
      <c r="H498" s="16" t="str">
        <f aca="true">IF($E498="","",IF(DATE(YEAR(TODAY()),$F498,$G498)&lt;TODAY(),DATE(YEAR(TODAY())+1,$F498,$G498),DATE(YEAR(TODAY()),$F498,$G498)))</f>
        <v/>
      </c>
      <c r="I498" s="15" t="str">
        <f aca="true">IF($H498="","",$H498-TODAY())</f>
        <v/>
      </c>
      <c r="J498" s="10"/>
    </row>
    <row r="499" customFormat="false" ht="15" hidden="false" customHeight="true" outlineLevel="0" collapsed="false">
      <c r="A499" s="13" t="str">
        <f aca="false">IF($B499="","",ROW()-2)</f>
        <v/>
      </c>
      <c r="B499" s="9"/>
      <c r="C499" s="13" t="str">
        <f aca="false">IF($B499="","",IFERROR(INDEX(대상목록!$C$3:$C$302,MATCH($B499,대상목록!$A$3:$A$302,0)),""))</f>
        <v/>
      </c>
      <c r="D499" s="9"/>
      <c r="E499" s="14"/>
      <c r="F499" s="15" t="str">
        <f aca="false">IF($E499="","",MONTH($E499))</f>
        <v/>
      </c>
      <c r="G499" s="15" t="str">
        <f aca="false">IF($E499="","",DAY($E499))</f>
        <v/>
      </c>
      <c r="H499" s="16" t="str">
        <f aca="true">IF($E499="","",IF(DATE(YEAR(TODAY()),$F499,$G499)&lt;TODAY(),DATE(YEAR(TODAY())+1,$F499,$G499),DATE(YEAR(TODAY()),$F499,$G499)))</f>
        <v/>
      </c>
      <c r="I499" s="15" t="str">
        <f aca="true">IF($H499="","",$H499-TODAY())</f>
        <v/>
      </c>
      <c r="J499" s="10"/>
    </row>
    <row r="500" customFormat="false" ht="15" hidden="false" customHeight="true" outlineLevel="0" collapsed="false">
      <c r="A500" s="13" t="str">
        <f aca="false">IF($B500="","",ROW()-2)</f>
        <v/>
      </c>
      <c r="B500" s="9"/>
      <c r="C500" s="13" t="str">
        <f aca="false">IF($B500="","",IFERROR(INDEX(대상목록!$C$3:$C$302,MATCH($B500,대상목록!$A$3:$A$302,0)),""))</f>
        <v/>
      </c>
      <c r="D500" s="9"/>
      <c r="E500" s="14"/>
      <c r="F500" s="15" t="str">
        <f aca="false">IF($E500="","",MONTH($E500))</f>
        <v/>
      </c>
      <c r="G500" s="15" t="str">
        <f aca="false">IF($E500="","",DAY($E500))</f>
        <v/>
      </c>
      <c r="H500" s="16" t="str">
        <f aca="true">IF($E500="","",IF(DATE(YEAR(TODAY()),$F500,$G500)&lt;TODAY(),DATE(YEAR(TODAY())+1,$F500,$G500),DATE(YEAR(TODAY()),$F500,$G500)))</f>
        <v/>
      </c>
      <c r="I500" s="15" t="str">
        <f aca="true">IF($H500="","",$H500-TODAY())</f>
        <v/>
      </c>
      <c r="J500" s="10"/>
    </row>
    <row r="501" customFormat="false" ht="15" hidden="false" customHeight="true" outlineLevel="0" collapsed="false">
      <c r="A501" s="13" t="str">
        <f aca="false">IF($B501="","",ROW()-2)</f>
        <v/>
      </c>
      <c r="B501" s="9"/>
      <c r="C501" s="13" t="str">
        <f aca="false">IF($B501="","",IFERROR(INDEX(대상목록!$C$3:$C$302,MATCH($B501,대상목록!$A$3:$A$302,0)),""))</f>
        <v/>
      </c>
      <c r="D501" s="9"/>
      <c r="E501" s="14"/>
      <c r="F501" s="15" t="str">
        <f aca="false">IF($E501="","",MONTH($E501))</f>
        <v/>
      </c>
      <c r="G501" s="15" t="str">
        <f aca="false">IF($E501="","",DAY($E501))</f>
        <v/>
      </c>
      <c r="H501" s="16" t="str">
        <f aca="true">IF($E501="","",IF(DATE(YEAR(TODAY()),$F501,$G501)&lt;TODAY(),DATE(YEAR(TODAY())+1,$F501,$G501),DATE(YEAR(TODAY()),$F501,$G501)))</f>
        <v/>
      </c>
      <c r="I501" s="15" t="str">
        <f aca="true">IF($H501="","",$H501-TODAY())</f>
        <v/>
      </c>
      <c r="J501" s="10"/>
    </row>
    <row r="502" customFormat="false" ht="15" hidden="false" customHeight="true" outlineLevel="0" collapsed="false">
      <c r="A502" s="13" t="str">
        <f aca="false">IF($B502="","",ROW()-2)</f>
        <v/>
      </c>
      <c r="B502" s="9"/>
      <c r="C502" s="13" t="str">
        <f aca="false">IF($B502="","",IFERROR(INDEX(대상목록!$C$3:$C$302,MATCH($B502,대상목록!$A$3:$A$302,0)),""))</f>
        <v/>
      </c>
      <c r="D502" s="9"/>
      <c r="E502" s="14"/>
      <c r="F502" s="15" t="str">
        <f aca="false">IF($E502="","",MONTH($E502))</f>
        <v/>
      </c>
      <c r="G502" s="15" t="str">
        <f aca="false">IF($E502="","",DAY($E502))</f>
        <v/>
      </c>
      <c r="H502" s="16" t="str">
        <f aca="true">IF($E502="","",IF(DATE(YEAR(TODAY()),$F502,$G502)&lt;TODAY(),DATE(YEAR(TODAY())+1,$F502,$G502),DATE(YEAR(TODAY()),$F502,$G502)))</f>
        <v/>
      </c>
      <c r="I502" s="15" t="str">
        <f aca="true">IF($H502="","",$H502-TODAY())</f>
        <v/>
      </c>
      <c r="J502" s="10"/>
    </row>
    <row r="504" customFormat="false" ht="15" hidden="false" customHeight="true" outlineLevel="0" collapsed="false">
      <c r="A504" s="6" t="s">
        <v>57</v>
      </c>
    </row>
    <row r="505" customFormat="false" ht="15" hidden="false" customHeight="true" outlineLevel="0" collapsed="false">
      <c r="A505" s="17" t="s">
        <v>58</v>
      </c>
    </row>
  </sheetData>
  <mergeCells count="1">
    <mergeCell ref="A1:J1"/>
  </mergeCells>
  <conditionalFormatting sqref="A3:J502">
    <cfRule type="expression" priority="2" aboveAverage="0" equalAverage="0" bottom="0" percent="0" rank="0" text="" dxfId="0">
      <formula>AND($I3&lt;&gt;"",$I3&gt;=0,$I3&lt;=사용안내!$C$16)</formula>
    </cfRule>
  </conditionalFormatting>
  <dataValidations count="2">
    <dataValidation allowBlank="true" errorStyle="stop" operator="between" showDropDown="false" showErrorMessage="false" showInputMessage="false" sqref="B3:B502" type="list">
      <formula1>대상목록!$A$3:$A$302</formula1>
      <formula2>0</formula2>
    </dataValidation>
    <dataValidation allowBlank="true" errorStyle="stop" operator="between" showDropDown="false" showErrorMessage="false" showInputMessage="false" sqref="D3:D502" type="list">
      <formula1>"생일,창립기념일,결혼기념일,입사기념일,계약기념일,기타"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5"/>
    <col collapsed="false" customWidth="true" hidden="false" outlineLevel="0" max="7" min="7" style="1" width="24"/>
  </cols>
  <sheetData>
    <row r="1" customFormat="false" ht="25.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60</v>
      </c>
      <c r="B2" s="8" t="s">
        <v>25</v>
      </c>
      <c r="C2" s="12" t="s">
        <v>47</v>
      </c>
      <c r="D2" s="8" t="s">
        <v>48</v>
      </c>
      <c r="E2" s="8" t="s">
        <v>61</v>
      </c>
      <c r="F2" s="8" t="s">
        <v>62</v>
      </c>
      <c r="G2" s="8" t="s">
        <v>30</v>
      </c>
    </row>
    <row r="3" customFormat="false" ht="15" hidden="false" customHeight="true" outlineLevel="0" collapsed="false">
      <c r="A3" s="14" t="n">
        <v>45920</v>
      </c>
      <c r="B3" s="10" t="inlineStr">
        <is>
          <t>김사장</t>
        </is>
      </c>
      <c r="C3" s="18" t="str">
        <f aca="false">IF($B3="","",IFERROR(INDEX(대상목록!$C$3:$C$302,MATCH($B3,대상목록!$A$3:$A$302,0)),""))</f>
        <v>○○상사</v>
      </c>
      <c r="D3" s="10" t="inlineStr">
        <is>
          <t>창립</t>
        </is>
      </c>
      <c r="E3" s="10" t="inlineStr">
        <is>
          <t>창립기념 화환</t>
        </is>
      </c>
      <c r="F3" s="19" t="n">
        <v>100000</v>
      </c>
      <c r="G3" s="10" t="inlineStr">
        <is>
          <t>← 예시 행입니다. 지우고 쓰세요.</t>
        </is>
      </c>
    </row>
    <row r="4" customFormat="false" ht="15" hidden="false" customHeight="true" outlineLevel="0" collapsed="false">
      <c r="A4" s="14" t="n">
        <v>45925</v>
      </c>
      <c r="B4" s="10" t="inlineStr">
        <is>
          <t>김사장</t>
        </is>
      </c>
      <c r="C4" s="18" t="str">
        <f aca="false">IF($B4="","",IFERROR(INDEX(대상목록!$C$3:$C$302,MATCH($B4,대상목록!$A$3:$A$302,0)),""))</f>
        <v>○○상사</v>
      </c>
      <c r="D4" s="10" t="inlineStr">
        <is>
          <t>생일</t>
        </is>
      </c>
      <c r="E4" s="10" t="inlineStr">
        <is>
          <t>생일 선물 (홍삼세트)</t>
        </is>
      </c>
      <c r="F4" s="19" t="n">
        <v>150000</v>
      </c>
      <c r="G4" s="10"/>
    </row>
    <row r="5" customFormat="false" ht="15" hidden="false" customHeight="true" outlineLevel="0" collapsed="false">
      <c r="A5" s="14" t="n">
        <v>46091</v>
      </c>
      <c r="B5" s="10" t="inlineStr">
        <is>
          <t>이과장</t>
        </is>
      </c>
      <c r="C5" s="18" t="str">
        <f aca="false">IF($B5="","",IFERROR(INDEX(대상목록!$C$3:$C$302,MATCH($B5,대상목록!$A$3:$A$302,0)),""))</f>
        <v>△△유통</v>
      </c>
      <c r="D5" s="10" t="inlineStr">
        <is>
          <t>생일</t>
        </is>
      </c>
      <c r="E5" s="10" t="inlineStr">
        <is>
          <t>생일 축하 기프티콘</t>
        </is>
      </c>
      <c r="F5" s="19" t="n">
        <v>50000</v>
      </c>
      <c r="G5" s="10"/>
    </row>
    <row r="6" customFormat="false" ht="15" hidden="false" customHeight="true" outlineLevel="0" collapsed="false">
      <c r="A6" s="14" t="n">
        <v>46160</v>
      </c>
      <c r="B6" s="10" t="inlineStr">
        <is>
          <t>김사장</t>
        </is>
      </c>
      <c r="C6" s="18" t="str">
        <f aca="false">IF($B6="","",IFERROR(INDEX(대상목록!$C$3:$C$302,MATCH($B6,대상목록!$A$3:$A$302,0)),""))</f>
        <v>○○상사</v>
      </c>
      <c r="D6" s="10" t="inlineStr">
        <is>
          <t>결혼</t>
        </is>
      </c>
      <c r="E6" s="10" t="inlineStr">
        <is>
          <t>자녀 결혼 축의금</t>
        </is>
      </c>
      <c r="F6" s="19" t="n">
        <v>200000</v>
      </c>
      <c r="G6" s="10"/>
    </row>
    <row r="7" customFormat="false" ht="15" hidden="false" customHeight="true" outlineLevel="0" collapsed="false">
      <c r="A7" s="14" t="n">
        <v>46195</v>
      </c>
      <c r="B7" s="10" t="inlineStr">
        <is>
          <t>박직원</t>
        </is>
      </c>
      <c r="C7" s="18" t="str">
        <f aca="false">IF($B7="","",IFERROR(INDEX(대상목록!$C$3:$C$302,MATCH($B7,대상목록!$A$3:$A$302,0)),""))</f>
        <v>영업팀</v>
      </c>
      <c r="D7" s="10" t="inlineStr">
        <is>
          <t>출산</t>
        </is>
      </c>
      <c r="E7" s="10" t="inlineStr">
        <is>
          <t>출산 축하금</t>
        </is>
      </c>
      <c r="F7" s="19" t="n">
        <v>300000</v>
      </c>
      <c r="G7" s="10"/>
    </row>
    <row r="8" customFormat="false" ht="15" hidden="false" customHeight="true" outlineLevel="0" collapsed="false">
      <c r="A8" s="14" t="n">
        <v>46248</v>
      </c>
      <c r="B8" s="10" t="inlineStr">
        <is>
          <t>이과장</t>
        </is>
      </c>
      <c r="C8" s="18" t="str">
        <f aca="false">IF($B8="","",IFERROR(INDEX(대상목록!$C$3:$C$302,MATCH($B8,대상목록!$A$3:$A$302,0)),""))</f>
        <v>△△유통</v>
      </c>
      <c r="D8" s="10" t="inlineStr">
        <is>
          <t>부고</t>
        </is>
      </c>
      <c r="E8" s="10" t="inlineStr">
        <is>
          <t>조의금 (모친상)</t>
        </is>
      </c>
      <c r="F8" s="19" t="n">
        <v>100000</v>
      </c>
      <c r="G8" s="10"/>
    </row>
    <row r="9" customFormat="false" ht="15" hidden="false" customHeight="true" outlineLevel="0" collapsed="false">
      <c r="A9" s="14"/>
      <c r="B9" s="10"/>
      <c r="C9" s="18" t="str">
        <f aca="false">IF($B9="","",IFERROR(INDEX(대상목록!$C$3:$C$302,MATCH($B9,대상목록!$A$3:$A$302,0)),""))</f>
        <v/>
      </c>
      <c r="D9" s="10"/>
      <c r="E9" s="10"/>
      <c r="F9" s="19"/>
      <c r="G9" s="10"/>
    </row>
    <row r="10" customFormat="false" ht="15" hidden="false" customHeight="true" outlineLevel="0" collapsed="false">
      <c r="A10" s="14"/>
      <c r="B10" s="10"/>
      <c r="C10" s="18" t="str">
        <f aca="false">IF($B10="","",IFERROR(INDEX(대상목록!$C$3:$C$302,MATCH($B10,대상목록!$A$3:$A$302,0)),""))</f>
        <v/>
      </c>
      <c r="D10" s="10"/>
      <c r="E10" s="10"/>
      <c r="F10" s="19"/>
      <c r="G10" s="10"/>
    </row>
    <row r="11" customFormat="false" ht="15" hidden="false" customHeight="true" outlineLevel="0" collapsed="false">
      <c r="A11" s="14"/>
      <c r="B11" s="10"/>
      <c r="C11" s="18" t="str">
        <f aca="false">IF($B11="","",IFERROR(INDEX(대상목록!$C$3:$C$302,MATCH($B11,대상목록!$A$3:$A$302,0)),""))</f>
        <v/>
      </c>
      <c r="D11" s="10"/>
      <c r="E11" s="10"/>
      <c r="F11" s="19"/>
      <c r="G11" s="10"/>
    </row>
    <row r="12" customFormat="false" ht="15" hidden="false" customHeight="true" outlineLevel="0" collapsed="false">
      <c r="A12" s="14"/>
      <c r="B12" s="10"/>
      <c r="C12" s="18" t="str">
        <f aca="false">IF($B12="","",IFERROR(INDEX(대상목록!$C$3:$C$302,MATCH($B12,대상목록!$A$3:$A$302,0)),""))</f>
        <v/>
      </c>
      <c r="D12" s="10"/>
      <c r="E12" s="10"/>
      <c r="F12" s="19"/>
      <c r="G12" s="10"/>
    </row>
    <row r="13" customFormat="false" ht="15" hidden="false" customHeight="true" outlineLevel="0" collapsed="false">
      <c r="A13" s="14"/>
      <c r="B13" s="10"/>
      <c r="C13" s="18" t="str">
        <f aca="false">IF($B13="","",IFERROR(INDEX(대상목록!$C$3:$C$302,MATCH($B13,대상목록!$A$3:$A$302,0)),""))</f>
        <v/>
      </c>
      <c r="D13" s="10"/>
      <c r="E13" s="10"/>
      <c r="F13" s="19"/>
      <c r="G13" s="10"/>
    </row>
    <row r="14" customFormat="false" ht="15" hidden="false" customHeight="true" outlineLevel="0" collapsed="false">
      <c r="A14" s="14"/>
      <c r="B14" s="10"/>
      <c r="C14" s="18" t="str">
        <f aca="false">IF($B14="","",IFERROR(INDEX(대상목록!$C$3:$C$302,MATCH($B14,대상목록!$A$3:$A$302,0)),""))</f>
        <v/>
      </c>
      <c r="D14" s="10"/>
      <c r="E14" s="10"/>
      <c r="F14" s="19"/>
      <c r="G14" s="10"/>
    </row>
    <row r="15" customFormat="false" ht="15" hidden="false" customHeight="true" outlineLevel="0" collapsed="false">
      <c r="A15" s="14"/>
      <c r="B15" s="10"/>
      <c r="C15" s="18" t="str">
        <f aca="false">IF($B15="","",IFERROR(INDEX(대상목록!$C$3:$C$302,MATCH($B15,대상목록!$A$3:$A$302,0)),""))</f>
        <v/>
      </c>
      <c r="D15" s="10"/>
      <c r="E15" s="10"/>
      <c r="F15" s="19"/>
      <c r="G15" s="10"/>
    </row>
    <row r="16" customFormat="false" ht="15" hidden="false" customHeight="true" outlineLevel="0" collapsed="false">
      <c r="A16" s="14"/>
      <c r="B16" s="10"/>
      <c r="C16" s="18" t="str">
        <f aca="false">IF($B16="","",IFERROR(INDEX(대상목록!$C$3:$C$302,MATCH($B16,대상목록!$A$3:$A$302,0)),""))</f>
        <v/>
      </c>
      <c r="D16" s="10"/>
      <c r="E16" s="10"/>
      <c r="F16" s="19"/>
      <c r="G16" s="10"/>
    </row>
    <row r="17" customFormat="false" ht="15" hidden="false" customHeight="true" outlineLevel="0" collapsed="false">
      <c r="A17" s="14"/>
      <c r="B17" s="10"/>
      <c r="C17" s="18" t="str">
        <f aca="false">IF($B17="","",IFERROR(INDEX(대상목록!$C$3:$C$302,MATCH($B17,대상목록!$A$3:$A$302,0)),""))</f>
        <v/>
      </c>
      <c r="D17" s="10"/>
      <c r="E17" s="10"/>
      <c r="F17" s="19"/>
      <c r="G17" s="10"/>
    </row>
    <row r="18" customFormat="false" ht="15" hidden="false" customHeight="true" outlineLevel="0" collapsed="false">
      <c r="A18" s="14"/>
      <c r="B18" s="10"/>
      <c r="C18" s="18" t="str">
        <f aca="false">IF($B18="","",IFERROR(INDEX(대상목록!$C$3:$C$302,MATCH($B18,대상목록!$A$3:$A$302,0)),""))</f>
        <v/>
      </c>
      <c r="D18" s="10"/>
      <c r="E18" s="10"/>
      <c r="F18" s="19"/>
      <c r="G18" s="10"/>
    </row>
    <row r="19" customFormat="false" ht="15" hidden="false" customHeight="true" outlineLevel="0" collapsed="false">
      <c r="A19" s="14"/>
      <c r="B19" s="10"/>
      <c r="C19" s="18" t="str">
        <f aca="false">IF($B19="","",IFERROR(INDEX(대상목록!$C$3:$C$302,MATCH($B19,대상목록!$A$3:$A$302,0)),""))</f>
        <v/>
      </c>
      <c r="D19" s="10"/>
      <c r="E19" s="10"/>
      <c r="F19" s="19"/>
      <c r="G19" s="10"/>
    </row>
    <row r="20" customFormat="false" ht="15" hidden="false" customHeight="true" outlineLevel="0" collapsed="false">
      <c r="A20" s="14"/>
      <c r="B20" s="10"/>
      <c r="C20" s="18" t="str">
        <f aca="false">IF($B20="","",IFERROR(INDEX(대상목록!$C$3:$C$302,MATCH($B20,대상목록!$A$3:$A$302,0)),""))</f>
        <v/>
      </c>
      <c r="D20" s="10"/>
      <c r="E20" s="10"/>
      <c r="F20" s="19"/>
      <c r="G20" s="10"/>
    </row>
    <row r="21" customFormat="false" ht="15" hidden="false" customHeight="true" outlineLevel="0" collapsed="false">
      <c r="A21" s="14"/>
      <c r="B21" s="10"/>
      <c r="C21" s="18" t="str">
        <f aca="false">IF($B21="","",IFERROR(INDEX(대상목록!$C$3:$C$302,MATCH($B21,대상목록!$A$3:$A$302,0)),""))</f>
        <v/>
      </c>
      <c r="D21" s="10"/>
      <c r="E21" s="10"/>
      <c r="F21" s="19"/>
      <c r="G21" s="10"/>
    </row>
    <row r="22" customFormat="false" ht="15" hidden="false" customHeight="true" outlineLevel="0" collapsed="false">
      <c r="A22" s="14"/>
      <c r="B22" s="10"/>
      <c r="C22" s="18" t="str">
        <f aca="false">IF($B22="","",IFERROR(INDEX(대상목록!$C$3:$C$302,MATCH($B22,대상목록!$A$3:$A$302,0)),""))</f>
        <v/>
      </c>
      <c r="D22" s="10"/>
      <c r="E22" s="10"/>
      <c r="F22" s="19"/>
      <c r="G22" s="10"/>
    </row>
    <row r="23" customFormat="false" ht="15" hidden="false" customHeight="true" outlineLevel="0" collapsed="false">
      <c r="A23" s="14"/>
      <c r="B23" s="10"/>
      <c r="C23" s="18" t="str">
        <f aca="false">IF($B23="","",IFERROR(INDEX(대상목록!$C$3:$C$302,MATCH($B23,대상목록!$A$3:$A$302,0)),""))</f>
        <v/>
      </c>
      <c r="D23" s="10"/>
      <c r="E23" s="10"/>
      <c r="F23" s="19"/>
      <c r="G23" s="10"/>
    </row>
    <row r="24" customFormat="false" ht="15" hidden="false" customHeight="true" outlineLevel="0" collapsed="false">
      <c r="A24" s="14"/>
      <c r="B24" s="10"/>
      <c r="C24" s="18" t="str">
        <f aca="false">IF($B24="","",IFERROR(INDEX(대상목록!$C$3:$C$302,MATCH($B24,대상목록!$A$3:$A$302,0)),""))</f>
        <v/>
      </c>
      <c r="D24" s="10"/>
      <c r="E24" s="10"/>
      <c r="F24" s="19"/>
      <c r="G24" s="10"/>
    </row>
    <row r="25" customFormat="false" ht="15" hidden="false" customHeight="true" outlineLevel="0" collapsed="false">
      <c r="A25" s="14"/>
      <c r="B25" s="10"/>
      <c r="C25" s="18" t="str">
        <f aca="false">IF($B25="","",IFERROR(INDEX(대상목록!$C$3:$C$302,MATCH($B25,대상목록!$A$3:$A$302,0)),""))</f>
        <v/>
      </c>
      <c r="D25" s="10"/>
      <c r="E25" s="10"/>
      <c r="F25" s="19"/>
      <c r="G25" s="10"/>
    </row>
    <row r="26" customFormat="false" ht="15" hidden="false" customHeight="true" outlineLevel="0" collapsed="false">
      <c r="A26" s="14"/>
      <c r="B26" s="10"/>
      <c r="C26" s="18" t="str">
        <f aca="false">IF($B26="","",IFERROR(INDEX(대상목록!$C$3:$C$302,MATCH($B26,대상목록!$A$3:$A$302,0)),""))</f>
        <v/>
      </c>
      <c r="D26" s="10"/>
      <c r="E26" s="10"/>
      <c r="F26" s="19"/>
      <c r="G26" s="10"/>
    </row>
    <row r="27" customFormat="false" ht="15" hidden="false" customHeight="true" outlineLevel="0" collapsed="false">
      <c r="A27" s="14"/>
      <c r="B27" s="10"/>
      <c r="C27" s="18" t="str">
        <f aca="false">IF($B27="","",IFERROR(INDEX(대상목록!$C$3:$C$302,MATCH($B27,대상목록!$A$3:$A$302,0)),""))</f>
        <v/>
      </c>
      <c r="D27" s="10"/>
      <c r="E27" s="10"/>
      <c r="F27" s="19"/>
      <c r="G27" s="10"/>
    </row>
    <row r="28" customFormat="false" ht="15" hidden="false" customHeight="true" outlineLevel="0" collapsed="false">
      <c r="A28" s="14"/>
      <c r="B28" s="10"/>
      <c r="C28" s="18" t="str">
        <f aca="false">IF($B28="","",IFERROR(INDEX(대상목록!$C$3:$C$302,MATCH($B28,대상목록!$A$3:$A$302,0)),""))</f>
        <v/>
      </c>
      <c r="D28" s="10"/>
      <c r="E28" s="10"/>
      <c r="F28" s="19"/>
      <c r="G28" s="10"/>
    </row>
    <row r="29" customFormat="false" ht="15" hidden="false" customHeight="true" outlineLevel="0" collapsed="false">
      <c r="A29" s="14"/>
      <c r="B29" s="10"/>
      <c r="C29" s="18" t="str">
        <f aca="false">IF($B29="","",IFERROR(INDEX(대상목록!$C$3:$C$302,MATCH($B29,대상목록!$A$3:$A$302,0)),""))</f>
        <v/>
      </c>
      <c r="D29" s="10"/>
      <c r="E29" s="10"/>
      <c r="F29" s="19"/>
      <c r="G29" s="10"/>
    </row>
    <row r="30" customFormat="false" ht="15" hidden="false" customHeight="true" outlineLevel="0" collapsed="false">
      <c r="A30" s="14"/>
      <c r="B30" s="10"/>
      <c r="C30" s="18" t="str">
        <f aca="false">IF($B30="","",IFERROR(INDEX(대상목록!$C$3:$C$302,MATCH($B30,대상목록!$A$3:$A$302,0)),""))</f>
        <v/>
      </c>
      <c r="D30" s="10"/>
      <c r="E30" s="10"/>
      <c r="F30" s="19"/>
      <c r="G30" s="10"/>
    </row>
    <row r="31" customFormat="false" ht="15" hidden="false" customHeight="true" outlineLevel="0" collapsed="false">
      <c r="A31" s="14"/>
      <c r="B31" s="10"/>
      <c r="C31" s="18" t="str">
        <f aca="false">IF($B31="","",IFERROR(INDEX(대상목록!$C$3:$C$302,MATCH($B31,대상목록!$A$3:$A$302,0)),""))</f>
        <v/>
      </c>
      <c r="D31" s="10"/>
      <c r="E31" s="10"/>
      <c r="F31" s="19"/>
      <c r="G31" s="10"/>
    </row>
    <row r="32" customFormat="false" ht="15" hidden="false" customHeight="true" outlineLevel="0" collapsed="false">
      <c r="A32" s="14"/>
      <c r="B32" s="10"/>
      <c r="C32" s="18" t="str">
        <f aca="false">IF($B32="","",IFERROR(INDEX(대상목록!$C$3:$C$302,MATCH($B32,대상목록!$A$3:$A$302,0)),""))</f>
        <v/>
      </c>
      <c r="D32" s="10"/>
      <c r="E32" s="10"/>
      <c r="F32" s="19"/>
      <c r="G32" s="10"/>
    </row>
    <row r="33" customFormat="false" ht="15" hidden="false" customHeight="true" outlineLevel="0" collapsed="false">
      <c r="A33" s="14"/>
      <c r="B33" s="10"/>
      <c r="C33" s="18" t="str">
        <f aca="false">IF($B33="","",IFERROR(INDEX(대상목록!$C$3:$C$302,MATCH($B33,대상목록!$A$3:$A$302,0)),""))</f>
        <v/>
      </c>
      <c r="D33" s="10"/>
      <c r="E33" s="10"/>
      <c r="F33" s="19"/>
      <c r="G33" s="10"/>
    </row>
    <row r="34" customFormat="false" ht="15" hidden="false" customHeight="true" outlineLevel="0" collapsed="false">
      <c r="A34" s="14"/>
      <c r="B34" s="10"/>
      <c r="C34" s="18" t="str">
        <f aca="false">IF($B34="","",IFERROR(INDEX(대상목록!$C$3:$C$302,MATCH($B34,대상목록!$A$3:$A$302,0)),""))</f>
        <v/>
      </c>
      <c r="D34" s="10"/>
      <c r="E34" s="10"/>
      <c r="F34" s="19"/>
      <c r="G34" s="10"/>
    </row>
    <row r="35" customFormat="false" ht="15" hidden="false" customHeight="true" outlineLevel="0" collapsed="false">
      <c r="A35" s="14"/>
      <c r="B35" s="10"/>
      <c r="C35" s="18" t="str">
        <f aca="false">IF($B35="","",IFERROR(INDEX(대상목록!$C$3:$C$302,MATCH($B35,대상목록!$A$3:$A$302,0)),""))</f>
        <v/>
      </c>
      <c r="D35" s="10"/>
      <c r="E35" s="10"/>
      <c r="F35" s="19"/>
      <c r="G35" s="10"/>
    </row>
    <row r="36" customFormat="false" ht="15" hidden="false" customHeight="true" outlineLevel="0" collapsed="false">
      <c r="A36" s="14"/>
      <c r="B36" s="10"/>
      <c r="C36" s="18" t="str">
        <f aca="false">IF($B36="","",IFERROR(INDEX(대상목록!$C$3:$C$302,MATCH($B36,대상목록!$A$3:$A$302,0)),""))</f>
        <v/>
      </c>
      <c r="D36" s="10"/>
      <c r="E36" s="10"/>
      <c r="F36" s="19"/>
      <c r="G36" s="10"/>
    </row>
    <row r="37" customFormat="false" ht="15" hidden="false" customHeight="true" outlineLevel="0" collapsed="false">
      <c r="A37" s="14"/>
      <c r="B37" s="10"/>
      <c r="C37" s="18" t="str">
        <f aca="false">IF($B37="","",IFERROR(INDEX(대상목록!$C$3:$C$302,MATCH($B37,대상목록!$A$3:$A$302,0)),""))</f>
        <v/>
      </c>
      <c r="D37" s="10"/>
      <c r="E37" s="10"/>
      <c r="F37" s="19"/>
      <c r="G37" s="10"/>
    </row>
    <row r="38" customFormat="false" ht="15" hidden="false" customHeight="true" outlineLevel="0" collapsed="false">
      <c r="A38" s="14"/>
      <c r="B38" s="10"/>
      <c r="C38" s="18" t="str">
        <f aca="false">IF($B38="","",IFERROR(INDEX(대상목록!$C$3:$C$302,MATCH($B38,대상목록!$A$3:$A$302,0)),""))</f>
        <v/>
      </c>
      <c r="D38" s="10"/>
      <c r="E38" s="10"/>
      <c r="F38" s="19"/>
      <c r="G38" s="10"/>
    </row>
    <row r="39" customFormat="false" ht="15" hidden="false" customHeight="true" outlineLevel="0" collapsed="false">
      <c r="A39" s="14"/>
      <c r="B39" s="10"/>
      <c r="C39" s="18" t="str">
        <f aca="false">IF($B39="","",IFERROR(INDEX(대상목록!$C$3:$C$302,MATCH($B39,대상목록!$A$3:$A$302,0)),""))</f>
        <v/>
      </c>
      <c r="D39" s="10"/>
      <c r="E39" s="10"/>
      <c r="F39" s="19"/>
      <c r="G39" s="10"/>
    </row>
    <row r="40" customFormat="false" ht="15" hidden="false" customHeight="true" outlineLevel="0" collapsed="false">
      <c r="A40" s="14"/>
      <c r="B40" s="10"/>
      <c r="C40" s="18" t="str">
        <f aca="false">IF($B40="","",IFERROR(INDEX(대상목록!$C$3:$C$302,MATCH($B40,대상목록!$A$3:$A$302,0)),""))</f>
        <v/>
      </c>
      <c r="D40" s="10"/>
      <c r="E40" s="10"/>
      <c r="F40" s="19"/>
      <c r="G40" s="10"/>
    </row>
    <row r="41" customFormat="false" ht="15" hidden="false" customHeight="true" outlineLevel="0" collapsed="false">
      <c r="A41" s="14"/>
      <c r="B41" s="10"/>
      <c r="C41" s="18" t="str">
        <f aca="false">IF($B41="","",IFERROR(INDEX(대상목록!$C$3:$C$302,MATCH($B41,대상목록!$A$3:$A$302,0)),""))</f>
        <v/>
      </c>
      <c r="D41" s="10"/>
      <c r="E41" s="10"/>
      <c r="F41" s="19"/>
      <c r="G41" s="10"/>
    </row>
    <row r="42" customFormat="false" ht="15" hidden="false" customHeight="true" outlineLevel="0" collapsed="false">
      <c r="A42" s="14"/>
      <c r="B42" s="10"/>
      <c r="C42" s="18" t="str">
        <f aca="false">IF($B42="","",IFERROR(INDEX(대상목록!$C$3:$C$302,MATCH($B42,대상목록!$A$3:$A$302,0)),""))</f>
        <v/>
      </c>
      <c r="D42" s="10"/>
      <c r="E42" s="10"/>
      <c r="F42" s="19"/>
      <c r="G42" s="10"/>
    </row>
    <row r="43" customFormat="false" ht="15" hidden="false" customHeight="true" outlineLevel="0" collapsed="false">
      <c r="A43" s="14"/>
      <c r="B43" s="10"/>
      <c r="C43" s="18" t="str">
        <f aca="false">IF($B43="","",IFERROR(INDEX(대상목록!$C$3:$C$302,MATCH($B43,대상목록!$A$3:$A$302,0)),""))</f>
        <v/>
      </c>
      <c r="D43" s="10"/>
      <c r="E43" s="10"/>
      <c r="F43" s="19"/>
      <c r="G43" s="10"/>
    </row>
    <row r="44" customFormat="false" ht="15" hidden="false" customHeight="true" outlineLevel="0" collapsed="false">
      <c r="A44" s="14"/>
      <c r="B44" s="10"/>
      <c r="C44" s="18" t="str">
        <f aca="false">IF($B44="","",IFERROR(INDEX(대상목록!$C$3:$C$302,MATCH($B44,대상목록!$A$3:$A$302,0)),""))</f>
        <v/>
      </c>
      <c r="D44" s="10"/>
      <c r="E44" s="10"/>
      <c r="F44" s="19"/>
      <c r="G44" s="10"/>
    </row>
    <row r="45" customFormat="false" ht="15" hidden="false" customHeight="true" outlineLevel="0" collapsed="false">
      <c r="A45" s="14"/>
      <c r="B45" s="10"/>
      <c r="C45" s="18" t="str">
        <f aca="false">IF($B45="","",IFERROR(INDEX(대상목록!$C$3:$C$302,MATCH($B45,대상목록!$A$3:$A$302,0)),""))</f>
        <v/>
      </c>
      <c r="D45" s="10"/>
      <c r="E45" s="10"/>
      <c r="F45" s="19"/>
      <c r="G45" s="10"/>
    </row>
    <row r="46" customFormat="false" ht="15" hidden="false" customHeight="true" outlineLevel="0" collapsed="false">
      <c r="A46" s="14"/>
      <c r="B46" s="10"/>
      <c r="C46" s="18" t="str">
        <f aca="false">IF($B46="","",IFERROR(INDEX(대상목록!$C$3:$C$302,MATCH($B46,대상목록!$A$3:$A$302,0)),""))</f>
        <v/>
      </c>
      <c r="D46" s="10"/>
      <c r="E46" s="10"/>
      <c r="F46" s="19"/>
      <c r="G46" s="10"/>
    </row>
    <row r="47" customFormat="false" ht="15" hidden="false" customHeight="true" outlineLevel="0" collapsed="false">
      <c r="A47" s="14"/>
      <c r="B47" s="10"/>
      <c r="C47" s="18" t="str">
        <f aca="false">IF($B47="","",IFERROR(INDEX(대상목록!$C$3:$C$302,MATCH($B47,대상목록!$A$3:$A$302,0)),""))</f>
        <v/>
      </c>
      <c r="D47" s="10"/>
      <c r="E47" s="10"/>
      <c r="F47" s="19"/>
      <c r="G47" s="10"/>
    </row>
    <row r="48" customFormat="false" ht="15" hidden="false" customHeight="true" outlineLevel="0" collapsed="false">
      <c r="A48" s="14"/>
      <c r="B48" s="10"/>
      <c r="C48" s="18" t="str">
        <f aca="false">IF($B48="","",IFERROR(INDEX(대상목록!$C$3:$C$302,MATCH($B48,대상목록!$A$3:$A$302,0)),""))</f>
        <v/>
      </c>
      <c r="D48" s="10"/>
      <c r="E48" s="10"/>
      <c r="F48" s="19"/>
      <c r="G48" s="10"/>
    </row>
    <row r="49" customFormat="false" ht="15" hidden="false" customHeight="true" outlineLevel="0" collapsed="false">
      <c r="A49" s="14"/>
      <c r="B49" s="10"/>
      <c r="C49" s="18" t="str">
        <f aca="false">IF($B49="","",IFERROR(INDEX(대상목록!$C$3:$C$302,MATCH($B49,대상목록!$A$3:$A$302,0)),""))</f>
        <v/>
      </c>
      <c r="D49" s="10"/>
      <c r="E49" s="10"/>
      <c r="F49" s="19"/>
      <c r="G49" s="10"/>
    </row>
    <row r="50" customFormat="false" ht="15" hidden="false" customHeight="true" outlineLevel="0" collapsed="false">
      <c r="A50" s="14"/>
      <c r="B50" s="10"/>
      <c r="C50" s="18" t="str">
        <f aca="false">IF($B50="","",IFERROR(INDEX(대상목록!$C$3:$C$302,MATCH($B50,대상목록!$A$3:$A$302,0)),""))</f>
        <v/>
      </c>
      <c r="D50" s="10"/>
      <c r="E50" s="10"/>
      <c r="F50" s="19"/>
      <c r="G50" s="10"/>
    </row>
    <row r="51" customFormat="false" ht="15" hidden="false" customHeight="true" outlineLevel="0" collapsed="false">
      <c r="A51" s="14"/>
      <c r="B51" s="10"/>
      <c r="C51" s="18" t="str">
        <f aca="false">IF($B51="","",IFERROR(INDEX(대상목록!$C$3:$C$302,MATCH($B51,대상목록!$A$3:$A$302,0)),""))</f>
        <v/>
      </c>
      <c r="D51" s="10"/>
      <c r="E51" s="10"/>
      <c r="F51" s="19"/>
      <c r="G51" s="10"/>
    </row>
    <row r="52" customFormat="false" ht="15" hidden="false" customHeight="true" outlineLevel="0" collapsed="false">
      <c r="A52" s="14"/>
      <c r="B52" s="10"/>
      <c r="C52" s="18" t="str">
        <f aca="false">IF($B52="","",IFERROR(INDEX(대상목록!$C$3:$C$302,MATCH($B52,대상목록!$A$3:$A$302,0)),""))</f>
        <v/>
      </c>
      <c r="D52" s="10"/>
      <c r="E52" s="10"/>
      <c r="F52" s="19"/>
      <c r="G52" s="10"/>
    </row>
    <row r="53" customFormat="false" ht="15" hidden="false" customHeight="true" outlineLevel="0" collapsed="false">
      <c r="A53" s="14"/>
      <c r="B53" s="10"/>
      <c r="C53" s="18" t="str">
        <f aca="false">IF($B53="","",IFERROR(INDEX(대상목록!$C$3:$C$302,MATCH($B53,대상목록!$A$3:$A$302,0)),""))</f>
        <v/>
      </c>
      <c r="D53" s="10"/>
      <c r="E53" s="10"/>
      <c r="F53" s="19"/>
      <c r="G53" s="10"/>
    </row>
    <row r="54" customFormat="false" ht="15" hidden="false" customHeight="true" outlineLevel="0" collapsed="false">
      <c r="A54" s="14"/>
      <c r="B54" s="10"/>
      <c r="C54" s="18" t="str">
        <f aca="false">IF($B54="","",IFERROR(INDEX(대상목록!$C$3:$C$302,MATCH($B54,대상목록!$A$3:$A$302,0)),""))</f>
        <v/>
      </c>
      <c r="D54" s="10"/>
      <c r="E54" s="10"/>
      <c r="F54" s="19"/>
      <c r="G54" s="10"/>
    </row>
    <row r="55" customFormat="false" ht="15" hidden="false" customHeight="true" outlineLevel="0" collapsed="false">
      <c r="A55" s="14"/>
      <c r="B55" s="10"/>
      <c r="C55" s="18" t="str">
        <f aca="false">IF($B55="","",IFERROR(INDEX(대상목록!$C$3:$C$302,MATCH($B55,대상목록!$A$3:$A$302,0)),""))</f>
        <v/>
      </c>
      <c r="D55" s="10"/>
      <c r="E55" s="10"/>
      <c r="F55" s="19"/>
      <c r="G55" s="10"/>
    </row>
    <row r="56" customFormat="false" ht="15" hidden="false" customHeight="true" outlineLevel="0" collapsed="false">
      <c r="A56" s="14"/>
      <c r="B56" s="10"/>
      <c r="C56" s="18" t="str">
        <f aca="false">IF($B56="","",IFERROR(INDEX(대상목록!$C$3:$C$302,MATCH($B56,대상목록!$A$3:$A$302,0)),""))</f>
        <v/>
      </c>
      <c r="D56" s="10"/>
      <c r="E56" s="10"/>
      <c r="F56" s="19"/>
      <c r="G56" s="10"/>
    </row>
    <row r="57" customFormat="false" ht="15" hidden="false" customHeight="true" outlineLevel="0" collapsed="false">
      <c r="A57" s="14"/>
      <c r="B57" s="10"/>
      <c r="C57" s="18" t="str">
        <f aca="false">IF($B57="","",IFERROR(INDEX(대상목록!$C$3:$C$302,MATCH($B57,대상목록!$A$3:$A$302,0)),""))</f>
        <v/>
      </c>
      <c r="D57" s="10"/>
      <c r="E57" s="10"/>
      <c r="F57" s="19"/>
      <c r="G57" s="10"/>
    </row>
    <row r="58" customFormat="false" ht="15" hidden="false" customHeight="true" outlineLevel="0" collapsed="false">
      <c r="A58" s="14"/>
      <c r="B58" s="10"/>
      <c r="C58" s="18" t="str">
        <f aca="false">IF($B58="","",IFERROR(INDEX(대상목록!$C$3:$C$302,MATCH($B58,대상목록!$A$3:$A$302,0)),""))</f>
        <v/>
      </c>
      <c r="D58" s="10"/>
      <c r="E58" s="10"/>
      <c r="F58" s="19"/>
      <c r="G58" s="10"/>
    </row>
    <row r="59" customFormat="false" ht="15" hidden="false" customHeight="true" outlineLevel="0" collapsed="false">
      <c r="A59" s="14"/>
      <c r="B59" s="10"/>
      <c r="C59" s="18" t="str">
        <f aca="false">IF($B59="","",IFERROR(INDEX(대상목록!$C$3:$C$302,MATCH($B59,대상목록!$A$3:$A$302,0)),""))</f>
        <v/>
      </c>
      <c r="D59" s="10"/>
      <c r="E59" s="10"/>
      <c r="F59" s="19"/>
      <c r="G59" s="10"/>
    </row>
    <row r="60" customFormat="false" ht="15" hidden="false" customHeight="true" outlineLevel="0" collapsed="false">
      <c r="A60" s="14"/>
      <c r="B60" s="10"/>
      <c r="C60" s="18" t="str">
        <f aca="false">IF($B60="","",IFERROR(INDEX(대상목록!$C$3:$C$302,MATCH($B60,대상목록!$A$3:$A$302,0)),""))</f>
        <v/>
      </c>
      <c r="D60" s="10"/>
      <c r="E60" s="10"/>
      <c r="F60" s="19"/>
      <c r="G60" s="10"/>
    </row>
    <row r="61" customFormat="false" ht="15" hidden="false" customHeight="true" outlineLevel="0" collapsed="false">
      <c r="A61" s="14"/>
      <c r="B61" s="10"/>
      <c r="C61" s="18" t="str">
        <f aca="false">IF($B61="","",IFERROR(INDEX(대상목록!$C$3:$C$302,MATCH($B61,대상목록!$A$3:$A$302,0)),""))</f>
        <v/>
      </c>
      <c r="D61" s="10"/>
      <c r="E61" s="10"/>
      <c r="F61" s="19"/>
      <c r="G61" s="10"/>
    </row>
    <row r="62" customFormat="false" ht="15" hidden="false" customHeight="true" outlineLevel="0" collapsed="false">
      <c r="A62" s="14"/>
      <c r="B62" s="10"/>
      <c r="C62" s="18" t="str">
        <f aca="false">IF($B62="","",IFERROR(INDEX(대상목록!$C$3:$C$302,MATCH($B62,대상목록!$A$3:$A$302,0)),""))</f>
        <v/>
      </c>
      <c r="D62" s="10"/>
      <c r="E62" s="10"/>
      <c r="F62" s="19"/>
      <c r="G62" s="10"/>
    </row>
    <row r="63" customFormat="false" ht="15" hidden="false" customHeight="true" outlineLevel="0" collapsed="false">
      <c r="A63" s="14"/>
      <c r="B63" s="10"/>
      <c r="C63" s="18" t="str">
        <f aca="false">IF($B63="","",IFERROR(INDEX(대상목록!$C$3:$C$302,MATCH($B63,대상목록!$A$3:$A$302,0)),""))</f>
        <v/>
      </c>
      <c r="D63" s="10"/>
      <c r="E63" s="10"/>
      <c r="F63" s="19"/>
      <c r="G63" s="10"/>
    </row>
    <row r="64" customFormat="false" ht="15" hidden="false" customHeight="true" outlineLevel="0" collapsed="false">
      <c r="A64" s="14"/>
      <c r="B64" s="10"/>
      <c r="C64" s="18" t="str">
        <f aca="false">IF($B64="","",IFERROR(INDEX(대상목록!$C$3:$C$302,MATCH($B64,대상목록!$A$3:$A$302,0)),""))</f>
        <v/>
      </c>
      <c r="D64" s="10"/>
      <c r="E64" s="10"/>
      <c r="F64" s="19"/>
      <c r="G64" s="10"/>
    </row>
    <row r="65" customFormat="false" ht="15" hidden="false" customHeight="true" outlineLevel="0" collapsed="false">
      <c r="A65" s="14"/>
      <c r="B65" s="10"/>
      <c r="C65" s="18" t="str">
        <f aca="false">IF($B65="","",IFERROR(INDEX(대상목록!$C$3:$C$302,MATCH($B65,대상목록!$A$3:$A$302,0)),""))</f>
        <v/>
      </c>
      <c r="D65" s="10"/>
      <c r="E65" s="10"/>
      <c r="F65" s="19"/>
      <c r="G65" s="10"/>
    </row>
    <row r="66" customFormat="false" ht="15" hidden="false" customHeight="true" outlineLevel="0" collapsed="false">
      <c r="A66" s="14"/>
      <c r="B66" s="10"/>
      <c r="C66" s="18" t="str">
        <f aca="false">IF($B66="","",IFERROR(INDEX(대상목록!$C$3:$C$302,MATCH($B66,대상목록!$A$3:$A$302,0)),""))</f>
        <v/>
      </c>
      <c r="D66" s="10"/>
      <c r="E66" s="10"/>
      <c r="F66" s="19"/>
      <c r="G66" s="10"/>
    </row>
    <row r="67" customFormat="false" ht="15" hidden="false" customHeight="true" outlineLevel="0" collapsed="false">
      <c r="A67" s="14"/>
      <c r="B67" s="10"/>
      <c r="C67" s="18" t="str">
        <f aca="false">IF($B67="","",IFERROR(INDEX(대상목록!$C$3:$C$302,MATCH($B67,대상목록!$A$3:$A$302,0)),""))</f>
        <v/>
      </c>
      <c r="D67" s="10"/>
      <c r="E67" s="10"/>
      <c r="F67" s="19"/>
      <c r="G67" s="10"/>
    </row>
    <row r="68" customFormat="false" ht="15" hidden="false" customHeight="true" outlineLevel="0" collapsed="false">
      <c r="A68" s="14"/>
      <c r="B68" s="10"/>
      <c r="C68" s="18" t="str">
        <f aca="false">IF($B68="","",IFERROR(INDEX(대상목록!$C$3:$C$302,MATCH($B68,대상목록!$A$3:$A$302,0)),""))</f>
        <v/>
      </c>
      <c r="D68" s="10"/>
      <c r="E68" s="10"/>
      <c r="F68" s="19"/>
      <c r="G68" s="10"/>
    </row>
    <row r="69" customFormat="false" ht="15" hidden="false" customHeight="true" outlineLevel="0" collapsed="false">
      <c r="A69" s="14"/>
      <c r="B69" s="10"/>
      <c r="C69" s="18" t="str">
        <f aca="false">IF($B69="","",IFERROR(INDEX(대상목록!$C$3:$C$302,MATCH($B69,대상목록!$A$3:$A$302,0)),""))</f>
        <v/>
      </c>
      <c r="D69" s="10"/>
      <c r="E69" s="10"/>
      <c r="F69" s="19"/>
      <c r="G69" s="10"/>
    </row>
    <row r="70" customFormat="false" ht="15" hidden="false" customHeight="true" outlineLevel="0" collapsed="false">
      <c r="A70" s="14"/>
      <c r="B70" s="10"/>
      <c r="C70" s="18" t="str">
        <f aca="false">IF($B70="","",IFERROR(INDEX(대상목록!$C$3:$C$302,MATCH($B70,대상목록!$A$3:$A$302,0)),""))</f>
        <v/>
      </c>
      <c r="D70" s="10"/>
      <c r="E70" s="10"/>
      <c r="F70" s="19"/>
      <c r="G70" s="10"/>
    </row>
    <row r="71" customFormat="false" ht="15" hidden="false" customHeight="true" outlineLevel="0" collapsed="false">
      <c r="A71" s="14"/>
      <c r="B71" s="10"/>
      <c r="C71" s="18" t="str">
        <f aca="false">IF($B71="","",IFERROR(INDEX(대상목록!$C$3:$C$302,MATCH($B71,대상목록!$A$3:$A$302,0)),""))</f>
        <v/>
      </c>
      <c r="D71" s="10"/>
      <c r="E71" s="10"/>
      <c r="F71" s="19"/>
      <c r="G71" s="10"/>
    </row>
    <row r="72" customFormat="false" ht="15" hidden="false" customHeight="true" outlineLevel="0" collapsed="false">
      <c r="A72" s="14"/>
      <c r="B72" s="10"/>
      <c r="C72" s="18" t="str">
        <f aca="false">IF($B72="","",IFERROR(INDEX(대상목록!$C$3:$C$302,MATCH($B72,대상목록!$A$3:$A$302,0)),""))</f>
        <v/>
      </c>
      <c r="D72" s="10"/>
      <c r="E72" s="10"/>
      <c r="F72" s="19"/>
      <c r="G72" s="10"/>
    </row>
    <row r="73" customFormat="false" ht="15" hidden="false" customHeight="true" outlineLevel="0" collapsed="false">
      <c r="A73" s="14"/>
      <c r="B73" s="10"/>
      <c r="C73" s="18" t="str">
        <f aca="false">IF($B73="","",IFERROR(INDEX(대상목록!$C$3:$C$302,MATCH($B73,대상목록!$A$3:$A$302,0)),""))</f>
        <v/>
      </c>
      <c r="D73" s="10"/>
      <c r="E73" s="10"/>
      <c r="F73" s="19"/>
      <c r="G73" s="10"/>
    </row>
    <row r="74" customFormat="false" ht="15" hidden="false" customHeight="true" outlineLevel="0" collapsed="false">
      <c r="A74" s="14"/>
      <c r="B74" s="10"/>
      <c r="C74" s="18" t="str">
        <f aca="false">IF($B74="","",IFERROR(INDEX(대상목록!$C$3:$C$302,MATCH($B74,대상목록!$A$3:$A$302,0)),""))</f>
        <v/>
      </c>
      <c r="D74" s="10"/>
      <c r="E74" s="10"/>
      <c r="F74" s="19"/>
      <c r="G74" s="10"/>
    </row>
    <row r="75" customFormat="false" ht="15" hidden="false" customHeight="true" outlineLevel="0" collapsed="false">
      <c r="A75" s="14"/>
      <c r="B75" s="10"/>
      <c r="C75" s="18" t="str">
        <f aca="false">IF($B75="","",IFERROR(INDEX(대상목록!$C$3:$C$302,MATCH($B75,대상목록!$A$3:$A$302,0)),""))</f>
        <v/>
      </c>
      <c r="D75" s="10"/>
      <c r="E75" s="10"/>
      <c r="F75" s="19"/>
      <c r="G75" s="10"/>
    </row>
    <row r="76" customFormat="false" ht="15" hidden="false" customHeight="true" outlineLevel="0" collapsed="false">
      <c r="A76" s="14"/>
      <c r="B76" s="10"/>
      <c r="C76" s="18" t="str">
        <f aca="false">IF($B76="","",IFERROR(INDEX(대상목록!$C$3:$C$302,MATCH($B76,대상목록!$A$3:$A$302,0)),""))</f>
        <v/>
      </c>
      <c r="D76" s="10"/>
      <c r="E76" s="10"/>
      <c r="F76" s="19"/>
      <c r="G76" s="10"/>
    </row>
    <row r="77" customFormat="false" ht="15" hidden="false" customHeight="true" outlineLevel="0" collapsed="false">
      <c r="A77" s="14"/>
      <c r="B77" s="10"/>
      <c r="C77" s="18" t="str">
        <f aca="false">IF($B77="","",IFERROR(INDEX(대상목록!$C$3:$C$302,MATCH($B77,대상목록!$A$3:$A$302,0)),""))</f>
        <v/>
      </c>
      <c r="D77" s="10"/>
      <c r="E77" s="10"/>
      <c r="F77" s="19"/>
      <c r="G77" s="10"/>
    </row>
    <row r="78" customFormat="false" ht="15" hidden="false" customHeight="true" outlineLevel="0" collapsed="false">
      <c r="A78" s="14"/>
      <c r="B78" s="10"/>
      <c r="C78" s="18" t="str">
        <f aca="false">IF($B78="","",IFERROR(INDEX(대상목록!$C$3:$C$302,MATCH($B78,대상목록!$A$3:$A$302,0)),""))</f>
        <v/>
      </c>
      <c r="D78" s="10"/>
      <c r="E78" s="10"/>
      <c r="F78" s="19"/>
      <c r="G78" s="10"/>
    </row>
    <row r="79" customFormat="false" ht="15" hidden="false" customHeight="true" outlineLevel="0" collapsed="false">
      <c r="A79" s="14"/>
      <c r="B79" s="10"/>
      <c r="C79" s="18" t="str">
        <f aca="false">IF($B79="","",IFERROR(INDEX(대상목록!$C$3:$C$302,MATCH($B79,대상목록!$A$3:$A$302,0)),""))</f>
        <v/>
      </c>
      <c r="D79" s="10"/>
      <c r="E79" s="10"/>
      <c r="F79" s="19"/>
      <c r="G79" s="10"/>
    </row>
    <row r="80" customFormat="false" ht="15" hidden="false" customHeight="true" outlineLevel="0" collapsed="false">
      <c r="A80" s="14"/>
      <c r="B80" s="10"/>
      <c r="C80" s="18" t="str">
        <f aca="false">IF($B80="","",IFERROR(INDEX(대상목록!$C$3:$C$302,MATCH($B80,대상목록!$A$3:$A$302,0)),""))</f>
        <v/>
      </c>
      <c r="D80" s="10"/>
      <c r="E80" s="10"/>
      <c r="F80" s="19"/>
      <c r="G80" s="10"/>
    </row>
    <row r="81" customFormat="false" ht="15" hidden="false" customHeight="true" outlineLevel="0" collapsed="false">
      <c r="A81" s="14"/>
      <c r="B81" s="10"/>
      <c r="C81" s="18" t="str">
        <f aca="false">IF($B81="","",IFERROR(INDEX(대상목록!$C$3:$C$302,MATCH($B81,대상목록!$A$3:$A$302,0)),""))</f>
        <v/>
      </c>
      <c r="D81" s="10"/>
      <c r="E81" s="10"/>
      <c r="F81" s="19"/>
      <c r="G81" s="10"/>
    </row>
    <row r="82" customFormat="false" ht="15" hidden="false" customHeight="true" outlineLevel="0" collapsed="false">
      <c r="A82" s="14"/>
      <c r="B82" s="10"/>
      <c r="C82" s="18" t="str">
        <f aca="false">IF($B82="","",IFERROR(INDEX(대상목록!$C$3:$C$302,MATCH($B82,대상목록!$A$3:$A$302,0)),""))</f>
        <v/>
      </c>
      <c r="D82" s="10"/>
      <c r="E82" s="10"/>
      <c r="F82" s="19"/>
      <c r="G82" s="10"/>
    </row>
    <row r="83" customFormat="false" ht="15" hidden="false" customHeight="true" outlineLevel="0" collapsed="false">
      <c r="A83" s="14"/>
      <c r="B83" s="10"/>
      <c r="C83" s="18" t="str">
        <f aca="false">IF($B83="","",IFERROR(INDEX(대상목록!$C$3:$C$302,MATCH($B83,대상목록!$A$3:$A$302,0)),""))</f>
        <v/>
      </c>
      <c r="D83" s="10"/>
      <c r="E83" s="10"/>
      <c r="F83" s="19"/>
      <c r="G83" s="10"/>
    </row>
    <row r="84" customFormat="false" ht="15" hidden="false" customHeight="true" outlineLevel="0" collapsed="false">
      <c r="A84" s="14"/>
      <c r="B84" s="10"/>
      <c r="C84" s="18" t="str">
        <f aca="false">IF($B84="","",IFERROR(INDEX(대상목록!$C$3:$C$302,MATCH($B84,대상목록!$A$3:$A$302,0)),""))</f>
        <v/>
      </c>
      <c r="D84" s="10"/>
      <c r="E84" s="10"/>
      <c r="F84" s="19"/>
      <c r="G84" s="10"/>
    </row>
    <row r="85" customFormat="false" ht="15" hidden="false" customHeight="true" outlineLevel="0" collapsed="false">
      <c r="A85" s="14"/>
      <c r="B85" s="10"/>
      <c r="C85" s="18" t="str">
        <f aca="false">IF($B85="","",IFERROR(INDEX(대상목록!$C$3:$C$302,MATCH($B85,대상목록!$A$3:$A$302,0)),""))</f>
        <v/>
      </c>
      <c r="D85" s="10"/>
      <c r="E85" s="10"/>
      <c r="F85" s="19"/>
      <c r="G85" s="10"/>
    </row>
    <row r="86" customFormat="false" ht="15" hidden="false" customHeight="true" outlineLevel="0" collapsed="false">
      <c r="A86" s="14"/>
      <c r="B86" s="10"/>
      <c r="C86" s="18" t="str">
        <f aca="false">IF($B86="","",IFERROR(INDEX(대상목록!$C$3:$C$302,MATCH($B86,대상목록!$A$3:$A$302,0)),""))</f>
        <v/>
      </c>
      <c r="D86" s="10"/>
      <c r="E86" s="10"/>
      <c r="F86" s="19"/>
      <c r="G86" s="10"/>
    </row>
    <row r="87" customFormat="false" ht="15" hidden="false" customHeight="true" outlineLevel="0" collapsed="false">
      <c r="A87" s="14"/>
      <c r="B87" s="10"/>
      <c r="C87" s="18" t="str">
        <f aca="false">IF($B87="","",IFERROR(INDEX(대상목록!$C$3:$C$302,MATCH($B87,대상목록!$A$3:$A$302,0)),""))</f>
        <v/>
      </c>
      <c r="D87" s="10"/>
      <c r="E87" s="10"/>
      <c r="F87" s="19"/>
      <c r="G87" s="10"/>
    </row>
    <row r="88" customFormat="false" ht="15" hidden="false" customHeight="true" outlineLevel="0" collapsed="false">
      <c r="A88" s="14"/>
      <c r="B88" s="10"/>
      <c r="C88" s="18" t="str">
        <f aca="false">IF($B88="","",IFERROR(INDEX(대상목록!$C$3:$C$302,MATCH($B88,대상목록!$A$3:$A$302,0)),""))</f>
        <v/>
      </c>
      <c r="D88" s="10"/>
      <c r="E88" s="10"/>
      <c r="F88" s="19"/>
      <c r="G88" s="10"/>
    </row>
    <row r="89" customFormat="false" ht="15" hidden="false" customHeight="true" outlineLevel="0" collapsed="false">
      <c r="A89" s="14"/>
      <c r="B89" s="10"/>
      <c r="C89" s="18" t="str">
        <f aca="false">IF($B89="","",IFERROR(INDEX(대상목록!$C$3:$C$302,MATCH($B89,대상목록!$A$3:$A$302,0)),""))</f>
        <v/>
      </c>
      <c r="D89" s="10"/>
      <c r="E89" s="10"/>
      <c r="F89" s="19"/>
      <c r="G89" s="10"/>
    </row>
    <row r="90" customFormat="false" ht="15" hidden="false" customHeight="true" outlineLevel="0" collapsed="false">
      <c r="A90" s="14"/>
      <c r="B90" s="10"/>
      <c r="C90" s="18" t="str">
        <f aca="false">IF($B90="","",IFERROR(INDEX(대상목록!$C$3:$C$302,MATCH($B90,대상목록!$A$3:$A$302,0)),""))</f>
        <v/>
      </c>
      <c r="D90" s="10"/>
      <c r="E90" s="10"/>
      <c r="F90" s="19"/>
      <c r="G90" s="10"/>
    </row>
    <row r="91" customFormat="false" ht="15" hidden="false" customHeight="true" outlineLevel="0" collapsed="false">
      <c r="A91" s="14"/>
      <c r="B91" s="10"/>
      <c r="C91" s="18" t="str">
        <f aca="false">IF($B91="","",IFERROR(INDEX(대상목록!$C$3:$C$302,MATCH($B91,대상목록!$A$3:$A$302,0)),""))</f>
        <v/>
      </c>
      <c r="D91" s="10"/>
      <c r="E91" s="10"/>
      <c r="F91" s="19"/>
      <c r="G91" s="10"/>
    </row>
    <row r="92" customFormat="false" ht="15" hidden="false" customHeight="true" outlineLevel="0" collapsed="false">
      <c r="A92" s="14"/>
      <c r="B92" s="10"/>
      <c r="C92" s="18" t="str">
        <f aca="false">IF($B92="","",IFERROR(INDEX(대상목록!$C$3:$C$302,MATCH($B92,대상목록!$A$3:$A$302,0)),""))</f>
        <v/>
      </c>
      <c r="D92" s="10"/>
      <c r="E92" s="10"/>
      <c r="F92" s="19"/>
      <c r="G92" s="10"/>
    </row>
    <row r="93" customFormat="false" ht="15" hidden="false" customHeight="true" outlineLevel="0" collapsed="false">
      <c r="A93" s="14"/>
      <c r="B93" s="10"/>
      <c r="C93" s="18" t="str">
        <f aca="false">IF($B93="","",IFERROR(INDEX(대상목록!$C$3:$C$302,MATCH($B93,대상목록!$A$3:$A$302,0)),""))</f>
        <v/>
      </c>
      <c r="D93" s="10"/>
      <c r="E93" s="10"/>
      <c r="F93" s="19"/>
      <c r="G93" s="10"/>
    </row>
    <row r="94" customFormat="false" ht="15" hidden="false" customHeight="true" outlineLevel="0" collapsed="false">
      <c r="A94" s="14"/>
      <c r="B94" s="10"/>
      <c r="C94" s="18" t="str">
        <f aca="false">IF($B94="","",IFERROR(INDEX(대상목록!$C$3:$C$302,MATCH($B94,대상목록!$A$3:$A$302,0)),""))</f>
        <v/>
      </c>
      <c r="D94" s="10"/>
      <c r="E94" s="10"/>
      <c r="F94" s="19"/>
      <c r="G94" s="10"/>
    </row>
    <row r="95" customFormat="false" ht="15" hidden="false" customHeight="true" outlineLevel="0" collapsed="false">
      <c r="A95" s="14"/>
      <c r="B95" s="10"/>
      <c r="C95" s="18" t="str">
        <f aca="false">IF($B95="","",IFERROR(INDEX(대상목록!$C$3:$C$302,MATCH($B95,대상목록!$A$3:$A$302,0)),""))</f>
        <v/>
      </c>
      <c r="D95" s="10"/>
      <c r="E95" s="10"/>
      <c r="F95" s="19"/>
      <c r="G95" s="10"/>
    </row>
    <row r="96" customFormat="false" ht="15" hidden="false" customHeight="true" outlineLevel="0" collapsed="false">
      <c r="A96" s="14"/>
      <c r="B96" s="10"/>
      <c r="C96" s="18" t="str">
        <f aca="false">IF($B96="","",IFERROR(INDEX(대상목록!$C$3:$C$302,MATCH($B96,대상목록!$A$3:$A$302,0)),""))</f>
        <v/>
      </c>
      <c r="D96" s="10"/>
      <c r="E96" s="10"/>
      <c r="F96" s="19"/>
      <c r="G96" s="10"/>
    </row>
    <row r="97" customFormat="false" ht="15" hidden="false" customHeight="true" outlineLevel="0" collapsed="false">
      <c r="A97" s="14"/>
      <c r="B97" s="10"/>
      <c r="C97" s="18" t="str">
        <f aca="false">IF($B97="","",IFERROR(INDEX(대상목록!$C$3:$C$302,MATCH($B97,대상목록!$A$3:$A$302,0)),""))</f>
        <v/>
      </c>
      <c r="D97" s="10"/>
      <c r="E97" s="10"/>
      <c r="F97" s="19"/>
      <c r="G97" s="10"/>
    </row>
    <row r="98" customFormat="false" ht="15" hidden="false" customHeight="true" outlineLevel="0" collapsed="false">
      <c r="A98" s="14"/>
      <c r="B98" s="10"/>
      <c r="C98" s="18" t="str">
        <f aca="false">IF($B98="","",IFERROR(INDEX(대상목록!$C$3:$C$302,MATCH($B98,대상목록!$A$3:$A$302,0)),""))</f>
        <v/>
      </c>
      <c r="D98" s="10"/>
      <c r="E98" s="10"/>
      <c r="F98" s="19"/>
      <c r="G98" s="10"/>
    </row>
    <row r="99" customFormat="false" ht="15" hidden="false" customHeight="true" outlineLevel="0" collapsed="false">
      <c r="A99" s="14"/>
      <c r="B99" s="10"/>
      <c r="C99" s="18" t="str">
        <f aca="false">IF($B99="","",IFERROR(INDEX(대상목록!$C$3:$C$302,MATCH($B99,대상목록!$A$3:$A$302,0)),""))</f>
        <v/>
      </c>
      <c r="D99" s="10"/>
      <c r="E99" s="10"/>
      <c r="F99" s="19"/>
      <c r="G99" s="10"/>
    </row>
    <row r="100" customFormat="false" ht="15" hidden="false" customHeight="true" outlineLevel="0" collapsed="false">
      <c r="A100" s="14"/>
      <c r="B100" s="10"/>
      <c r="C100" s="18" t="str">
        <f aca="false">IF($B100="","",IFERROR(INDEX(대상목록!$C$3:$C$302,MATCH($B100,대상목록!$A$3:$A$302,0)),""))</f>
        <v/>
      </c>
      <c r="D100" s="10"/>
      <c r="E100" s="10"/>
      <c r="F100" s="19"/>
      <c r="G100" s="10"/>
    </row>
    <row r="101" customFormat="false" ht="15" hidden="false" customHeight="true" outlineLevel="0" collapsed="false">
      <c r="A101" s="14"/>
      <c r="B101" s="10"/>
      <c r="C101" s="18" t="str">
        <f aca="false">IF($B101="","",IFERROR(INDEX(대상목록!$C$3:$C$302,MATCH($B101,대상목록!$A$3:$A$302,0)),""))</f>
        <v/>
      </c>
      <c r="D101" s="10"/>
      <c r="E101" s="10"/>
      <c r="F101" s="19"/>
      <c r="G101" s="10"/>
    </row>
    <row r="102" customFormat="false" ht="15" hidden="false" customHeight="true" outlineLevel="0" collapsed="false">
      <c r="A102" s="14"/>
      <c r="B102" s="10"/>
      <c r="C102" s="18" t="str">
        <f aca="false">IF($B102="","",IFERROR(INDEX(대상목록!$C$3:$C$302,MATCH($B102,대상목록!$A$3:$A$302,0)),""))</f>
        <v/>
      </c>
      <c r="D102" s="10"/>
      <c r="E102" s="10"/>
      <c r="F102" s="19"/>
      <c r="G102" s="10"/>
    </row>
    <row r="103" customFormat="false" ht="15" hidden="false" customHeight="true" outlineLevel="0" collapsed="false">
      <c r="A103" s="14"/>
      <c r="B103" s="10"/>
      <c r="C103" s="18" t="str">
        <f aca="false">IF($B103="","",IFERROR(INDEX(대상목록!$C$3:$C$302,MATCH($B103,대상목록!$A$3:$A$302,0)),""))</f>
        <v/>
      </c>
      <c r="D103" s="10"/>
      <c r="E103" s="10"/>
      <c r="F103" s="19"/>
      <c r="G103" s="10"/>
    </row>
    <row r="104" customFormat="false" ht="15" hidden="false" customHeight="true" outlineLevel="0" collapsed="false">
      <c r="A104" s="14"/>
      <c r="B104" s="10"/>
      <c r="C104" s="18" t="str">
        <f aca="false">IF($B104="","",IFERROR(INDEX(대상목록!$C$3:$C$302,MATCH($B104,대상목록!$A$3:$A$302,0)),""))</f>
        <v/>
      </c>
      <c r="D104" s="10"/>
      <c r="E104" s="10"/>
      <c r="F104" s="19"/>
      <c r="G104" s="10"/>
    </row>
    <row r="105" customFormat="false" ht="15" hidden="false" customHeight="true" outlineLevel="0" collapsed="false">
      <c r="A105" s="14"/>
      <c r="B105" s="10"/>
      <c r="C105" s="18" t="str">
        <f aca="false">IF($B105="","",IFERROR(INDEX(대상목록!$C$3:$C$302,MATCH($B105,대상목록!$A$3:$A$302,0)),""))</f>
        <v/>
      </c>
      <c r="D105" s="10"/>
      <c r="E105" s="10"/>
      <c r="F105" s="19"/>
      <c r="G105" s="10"/>
    </row>
    <row r="106" customFormat="false" ht="15" hidden="false" customHeight="true" outlineLevel="0" collapsed="false">
      <c r="A106" s="14"/>
      <c r="B106" s="10"/>
      <c r="C106" s="18" t="str">
        <f aca="false">IF($B106="","",IFERROR(INDEX(대상목록!$C$3:$C$302,MATCH($B106,대상목록!$A$3:$A$302,0)),""))</f>
        <v/>
      </c>
      <c r="D106" s="10"/>
      <c r="E106" s="10"/>
      <c r="F106" s="19"/>
      <c r="G106" s="10"/>
    </row>
    <row r="107" customFormat="false" ht="15" hidden="false" customHeight="true" outlineLevel="0" collapsed="false">
      <c r="A107" s="14"/>
      <c r="B107" s="10"/>
      <c r="C107" s="18" t="str">
        <f aca="false">IF($B107="","",IFERROR(INDEX(대상목록!$C$3:$C$302,MATCH($B107,대상목록!$A$3:$A$302,0)),""))</f>
        <v/>
      </c>
      <c r="D107" s="10"/>
      <c r="E107" s="10"/>
      <c r="F107" s="19"/>
      <c r="G107" s="10"/>
    </row>
    <row r="108" customFormat="false" ht="15" hidden="false" customHeight="true" outlineLevel="0" collapsed="false">
      <c r="A108" s="14"/>
      <c r="B108" s="10"/>
      <c r="C108" s="18" t="str">
        <f aca="false">IF($B108="","",IFERROR(INDEX(대상목록!$C$3:$C$302,MATCH($B108,대상목록!$A$3:$A$302,0)),""))</f>
        <v/>
      </c>
      <c r="D108" s="10"/>
      <c r="E108" s="10"/>
      <c r="F108" s="19"/>
      <c r="G108" s="10"/>
    </row>
    <row r="109" customFormat="false" ht="15" hidden="false" customHeight="true" outlineLevel="0" collapsed="false">
      <c r="A109" s="14"/>
      <c r="B109" s="10"/>
      <c r="C109" s="18" t="str">
        <f aca="false">IF($B109="","",IFERROR(INDEX(대상목록!$C$3:$C$302,MATCH($B109,대상목록!$A$3:$A$302,0)),""))</f>
        <v/>
      </c>
      <c r="D109" s="10"/>
      <c r="E109" s="10"/>
      <c r="F109" s="19"/>
      <c r="G109" s="10"/>
    </row>
    <row r="110" customFormat="false" ht="15" hidden="false" customHeight="true" outlineLevel="0" collapsed="false">
      <c r="A110" s="14"/>
      <c r="B110" s="10"/>
      <c r="C110" s="18" t="str">
        <f aca="false">IF($B110="","",IFERROR(INDEX(대상목록!$C$3:$C$302,MATCH($B110,대상목록!$A$3:$A$302,0)),""))</f>
        <v/>
      </c>
      <c r="D110" s="10"/>
      <c r="E110" s="10"/>
      <c r="F110" s="19"/>
      <c r="G110" s="10"/>
    </row>
    <row r="111" customFormat="false" ht="15" hidden="false" customHeight="true" outlineLevel="0" collapsed="false">
      <c r="A111" s="14"/>
      <c r="B111" s="10"/>
      <c r="C111" s="18" t="str">
        <f aca="false">IF($B111="","",IFERROR(INDEX(대상목록!$C$3:$C$302,MATCH($B111,대상목록!$A$3:$A$302,0)),""))</f>
        <v/>
      </c>
      <c r="D111" s="10"/>
      <c r="E111" s="10"/>
      <c r="F111" s="19"/>
      <c r="G111" s="10"/>
    </row>
    <row r="112" customFormat="false" ht="15" hidden="false" customHeight="true" outlineLevel="0" collapsed="false">
      <c r="A112" s="14"/>
      <c r="B112" s="10"/>
      <c r="C112" s="18" t="str">
        <f aca="false">IF($B112="","",IFERROR(INDEX(대상목록!$C$3:$C$302,MATCH($B112,대상목록!$A$3:$A$302,0)),""))</f>
        <v/>
      </c>
      <c r="D112" s="10"/>
      <c r="E112" s="10"/>
      <c r="F112" s="19"/>
      <c r="G112" s="10"/>
    </row>
    <row r="113" customFormat="false" ht="15" hidden="false" customHeight="true" outlineLevel="0" collapsed="false">
      <c r="A113" s="14"/>
      <c r="B113" s="10"/>
      <c r="C113" s="18" t="str">
        <f aca="false">IF($B113="","",IFERROR(INDEX(대상목록!$C$3:$C$302,MATCH($B113,대상목록!$A$3:$A$302,0)),""))</f>
        <v/>
      </c>
      <c r="D113" s="10"/>
      <c r="E113" s="10"/>
      <c r="F113" s="19"/>
      <c r="G113" s="10"/>
    </row>
    <row r="114" customFormat="false" ht="15" hidden="false" customHeight="true" outlineLevel="0" collapsed="false">
      <c r="A114" s="14"/>
      <c r="B114" s="10"/>
      <c r="C114" s="18" t="str">
        <f aca="false">IF($B114="","",IFERROR(INDEX(대상목록!$C$3:$C$302,MATCH($B114,대상목록!$A$3:$A$302,0)),""))</f>
        <v/>
      </c>
      <c r="D114" s="10"/>
      <c r="E114" s="10"/>
      <c r="F114" s="19"/>
      <c r="G114" s="10"/>
    </row>
    <row r="115" customFormat="false" ht="15" hidden="false" customHeight="true" outlineLevel="0" collapsed="false">
      <c r="A115" s="14"/>
      <c r="B115" s="10"/>
      <c r="C115" s="18" t="str">
        <f aca="false">IF($B115="","",IFERROR(INDEX(대상목록!$C$3:$C$302,MATCH($B115,대상목록!$A$3:$A$302,0)),""))</f>
        <v/>
      </c>
      <c r="D115" s="10"/>
      <c r="E115" s="10"/>
      <c r="F115" s="19"/>
      <c r="G115" s="10"/>
    </row>
    <row r="116" customFormat="false" ht="15" hidden="false" customHeight="true" outlineLevel="0" collapsed="false">
      <c r="A116" s="14"/>
      <c r="B116" s="10"/>
      <c r="C116" s="18" t="str">
        <f aca="false">IF($B116="","",IFERROR(INDEX(대상목록!$C$3:$C$302,MATCH($B116,대상목록!$A$3:$A$302,0)),""))</f>
        <v/>
      </c>
      <c r="D116" s="10"/>
      <c r="E116" s="10"/>
      <c r="F116" s="19"/>
      <c r="G116" s="10"/>
    </row>
    <row r="117" customFormat="false" ht="15" hidden="false" customHeight="true" outlineLevel="0" collapsed="false">
      <c r="A117" s="14"/>
      <c r="B117" s="10"/>
      <c r="C117" s="18" t="str">
        <f aca="false">IF($B117="","",IFERROR(INDEX(대상목록!$C$3:$C$302,MATCH($B117,대상목록!$A$3:$A$302,0)),""))</f>
        <v/>
      </c>
      <c r="D117" s="10"/>
      <c r="E117" s="10"/>
      <c r="F117" s="19"/>
      <c r="G117" s="10"/>
    </row>
    <row r="118" customFormat="false" ht="15" hidden="false" customHeight="true" outlineLevel="0" collapsed="false">
      <c r="A118" s="14"/>
      <c r="B118" s="10"/>
      <c r="C118" s="18" t="str">
        <f aca="false">IF($B118="","",IFERROR(INDEX(대상목록!$C$3:$C$302,MATCH($B118,대상목록!$A$3:$A$302,0)),""))</f>
        <v/>
      </c>
      <c r="D118" s="10"/>
      <c r="E118" s="10"/>
      <c r="F118" s="19"/>
      <c r="G118" s="10"/>
    </row>
    <row r="119" customFormat="false" ht="15" hidden="false" customHeight="true" outlineLevel="0" collapsed="false">
      <c r="A119" s="14"/>
      <c r="B119" s="10"/>
      <c r="C119" s="18" t="str">
        <f aca="false">IF($B119="","",IFERROR(INDEX(대상목록!$C$3:$C$302,MATCH($B119,대상목록!$A$3:$A$302,0)),""))</f>
        <v/>
      </c>
      <c r="D119" s="10"/>
      <c r="E119" s="10"/>
      <c r="F119" s="19"/>
      <c r="G119" s="10"/>
    </row>
    <row r="120" customFormat="false" ht="15" hidden="false" customHeight="true" outlineLevel="0" collapsed="false">
      <c r="A120" s="14"/>
      <c r="B120" s="10"/>
      <c r="C120" s="18" t="str">
        <f aca="false">IF($B120="","",IFERROR(INDEX(대상목록!$C$3:$C$302,MATCH($B120,대상목록!$A$3:$A$302,0)),""))</f>
        <v/>
      </c>
      <c r="D120" s="10"/>
      <c r="E120" s="10"/>
      <c r="F120" s="19"/>
      <c r="G120" s="10"/>
    </row>
    <row r="121" customFormat="false" ht="15" hidden="false" customHeight="true" outlineLevel="0" collapsed="false">
      <c r="A121" s="14"/>
      <c r="B121" s="10"/>
      <c r="C121" s="18" t="str">
        <f aca="false">IF($B121="","",IFERROR(INDEX(대상목록!$C$3:$C$302,MATCH($B121,대상목록!$A$3:$A$302,0)),""))</f>
        <v/>
      </c>
      <c r="D121" s="10"/>
      <c r="E121" s="10"/>
      <c r="F121" s="19"/>
      <c r="G121" s="10"/>
    </row>
    <row r="122" customFormat="false" ht="15" hidden="false" customHeight="true" outlineLevel="0" collapsed="false">
      <c r="A122" s="14"/>
      <c r="B122" s="10"/>
      <c r="C122" s="18" t="str">
        <f aca="false">IF($B122="","",IFERROR(INDEX(대상목록!$C$3:$C$302,MATCH($B122,대상목록!$A$3:$A$302,0)),""))</f>
        <v/>
      </c>
      <c r="D122" s="10"/>
      <c r="E122" s="10"/>
      <c r="F122" s="19"/>
      <c r="G122" s="10"/>
    </row>
    <row r="123" customFormat="false" ht="15" hidden="false" customHeight="true" outlineLevel="0" collapsed="false">
      <c r="A123" s="14"/>
      <c r="B123" s="10"/>
      <c r="C123" s="18" t="str">
        <f aca="false">IF($B123="","",IFERROR(INDEX(대상목록!$C$3:$C$302,MATCH($B123,대상목록!$A$3:$A$302,0)),""))</f>
        <v/>
      </c>
      <c r="D123" s="10"/>
      <c r="E123" s="10"/>
      <c r="F123" s="19"/>
      <c r="G123" s="10"/>
    </row>
    <row r="124" customFormat="false" ht="15" hidden="false" customHeight="true" outlineLevel="0" collapsed="false">
      <c r="A124" s="14"/>
      <c r="B124" s="10"/>
      <c r="C124" s="18" t="str">
        <f aca="false">IF($B124="","",IFERROR(INDEX(대상목록!$C$3:$C$302,MATCH($B124,대상목록!$A$3:$A$302,0)),""))</f>
        <v/>
      </c>
      <c r="D124" s="10"/>
      <c r="E124" s="10"/>
      <c r="F124" s="19"/>
      <c r="G124" s="10"/>
    </row>
    <row r="125" customFormat="false" ht="15" hidden="false" customHeight="true" outlineLevel="0" collapsed="false">
      <c r="A125" s="14"/>
      <c r="B125" s="10"/>
      <c r="C125" s="18" t="str">
        <f aca="false">IF($B125="","",IFERROR(INDEX(대상목록!$C$3:$C$302,MATCH($B125,대상목록!$A$3:$A$302,0)),""))</f>
        <v/>
      </c>
      <c r="D125" s="10"/>
      <c r="E125" s="10"/>
      <c r="F125" s="19"/>
      <c r="G125" s="10"/>
    </row>
    <row r="126" customFormat="false" ht="15" hidden="false" customHeight="true" outlineLevel="0" collapsed="false">
      <c r="A126" s="14"/>
      <c r="B126" s="10"/>
      <c r="C126" s="18" t="str">
        <f aca="false">IF($B126="","",IFERROR(INDEX(대상목록!$C$3:$C$302,MATCH($B126,대상목록!$A$3:$A$302,0)),""))</f>
        <v/>
      </c>
      <c r="D126" s="10"/>
      <c r="E126" s="10"/>
      <c r="F126" s="19"/>
      <c r="G126" s="10"/>
    </row>
    <row r="127" customFormat="false" ht="15" hidden="false" customHeight="true" outlineLevel="0" collapsed="false">
      <c r="A127" s="14"/>
      <c r="B127" s="10"/>
      <c r="C127" s="18" t="str">
        <f aca="false">IF($B127="","",IFERROR(INDEX(대상목록!$C$3:$C$302,MATCH($B127,대상목록!$A$3:$A$302,0)),""))</f>
        <v/>
      </c>
      <c r="D127" s="10"/>
      <c r="E127" s="10"/>
      <c r="F127" s="19"/>
      <c r="G127" s="10"/>
    </row>
    <row r="128" customFormat="false" ht="15" hidden="false" customHeight="true" outlineLevel="0" collapsed="false">
      <c r="A128" s="14"/>
      <c r="B128" s="10"/>
      <c r="C128" s="18" t="str">
        <f aca="false">IF($B128="","",IFERROR(INDEX(대상목록!$C$3:$C$302,MATCH($B128,대상목록!$A$3:$A$302,0)),""))</f>
        <v/>
      </c>
      <c r="D128" s="10"/>
      <c r="E128" s="10"/>
      <c r="F128" s="19"/>
      <c r="G128" s="10"/>
    </row>
    <row r="129" customFormat="false" ht="15" hidden="false" customHeight="true" outlineLevel="0" collapsed="false">
      <c r="A129" s="14"/>
      <c r="B129" s="10"/>
      <c r="C129" s="18" t="str">
        <f aca="false">IF($B129="","",IFERROR(INDEX(대상목록!$C$3:$C$302,MATCH($B129,대상목록!$A$3:$A$302,0)),""))</f>
        <v/>
      </c>
      <c r="D129" s="10"/>
      <c r="E129" s="10"/>
      <c r="F129" s="19"/>
      <c r="G129" s="10"/>
    </row>
    <row r="130" customFormat="false" ht="15" hidden="false" customHeight="true" outlineLevel="0" collapsed="false">
      <c r="A130" s="14"/>
      <c r="B130" s="10"/>
      <c r="C130" s="18" t="str">
        <f aca="false">IF($B130="","",IFERROR(INDEX(대상목록!$C$3:$C$302,MATCH($B130,대상목록!$A$3:$A$302,0)),""))</f>
        <v/>
      </c>
      <c r="D130" s="10"/>
      <c r="E130" s="10"/>
      <c r="F130" s="19"/>
      <c r="G130" s="10"/>
    </row>
    <row r="131" customFormat="false" ht="15" hidden="false" customHeight="true" outlineLevel="0" collapsed="false">
      <c r="A131" s="14"/>
      <c r="B131" s="10"/>
      <c r="C131" s="18" t="str">
        <f aca="false">IF($B131="","",IFERROR(INDEX(대상목록!$C$3:$C$302,MATCH($B131,대상목록!$A$3:$A$302,0)),""))</f>
        <v/>
      </c>
      <c r="D131" s="10"/>
      <c r="E131" s="10"/>
      <c r="F131" s="19"/>
      <c r="G131" s="10"/>
    </row>
    <row r="132" customFormat="false" ht="15" hidden="false" customHeight="true" outlineLevel="0" collapsed="false">
      <c r="A132" s="14"/>
      <c r="B132" s="10"/>
      <c r="C132" s="18" t="str">
        <f aca="false">IF($B132="","",IFERROR(INDEX(대상목록!$C$3:$C$302,MATCH($B132,대상목록!$A$3:$A$302,0)),""))</f>
        <v/>
      </c>
      <c r="D132" s="10"/>
      <c r="E132" s="10"/>
      <c r="F132" s="19"/>
      <c r="G132" s="10"/>
    </row>
    <row r="133" customFormat="false" ht="15" hidden="false" customHeight="true" outlineLevel="0" collapsed="false">
      <c r="A133" s="14"/>
      <c r="B133" s="10"/>
      <c r="C133" s="18" t="str">
        <f aca="false">IF($B133="","",IFERROR(INDEX(대상목록!$C$3:$C$302,MATCH($B133,대상목록!$A$3:$A$302,0)),""))</f>
        <v/>
      </c>
      <c r="D133" s="10"/>
      <c r="E133" s="10"/>
      <c r="F133" s="19"/>
      <c r="G133" s="10"/>
    </row>
    <row r="134" customFormat="false" ht="15" hidden="false" customHeight="true" outlineLevel="0" collapsed="false">
      <c r="A134" s="14"/>
      <c r="B134" s="10"/>
      <c r="C134" s="18" t="str">
        <f aca="false">IF($B134="","",IFERROR(INDEX(대상목록!$C$3:$C$302,MATCH($B134,대상목록!$A$3:$A$302,0)),""))</f>
        <v/>
      </c>
      <c r="D134" s="10"/>
      <c r="E134" s="10"/>
      <c r="F134" s="19"/>
      <c r="G134" s="10"/>
    </row>
    <row r="135" customFormat="false" ht="15" hidden="false" customHeight="true" outlineLevel="0" collapsed="false">
      <c r="A135" s="14"/>
      <c r="B135" s="10"/>
      <c r="C135" s="18" t="str">
        <f aca="false">IF($B135="","",IFERROR(INDEX(대상목록!$C$3:$C$302,MATCH($B135,대상목록!$A$3:$A$302,0)),""))</f>
        <v/>
      </c>
      <c r="D135" s="10"/>
      <c r="E135" s="10"/>
      <c r="F135" s="19"/>
      <c r="G135" s="10"/>
    </row>
    <row r="136" customFormat="false" ht="15" hidden="false" customHeight="true" outlineLevel="0" collapsed="false">
      <c r="A136" s="14"/>
      <c r="B136" s="10"/>
      <c r="C136" s="18" t="str">
        <f aca="false">IF($B136="","",IFERROR(INDEX(대상목록!$C$3:$C$302,MATCH($B136,대상목록!$A$3:$A$302,0)),""))</f>
        <v/>
      </c>
      <c r="D136" s="10"/>
      <c r="E136" s="10"/>
      <c r="F136" s="19"/>
      <c r="G136" s="10"/>
    </row>
    <row r="137" customFormat="false" ht="15" hidden="false" customHeight="true" outlineLevel="0" collapsed="false">
      <c r="A137" s="14"/>
      <c r="B137" s="10"/>
      <c r="C137" s="18" t="str">
        <f aca="false">IF($B137="","",IFERROR(INDEX(대상목록!$C$3:$C$302,MATCH($B137,대상목록!$A$3:$A$302,0)),""))</f>
        <v/>
      </c>
      <c r="D137" s="10"/>
      <c r="E137" s="10"/>
      <c r="F137" s="19"/>
      <c r="G137" s="10"/>
    </row>
    <row r="138" customFormat="false" ht="15" hidden="false" customHeight="true" outlineLevel="0" collapsed="false">
      <c r="A138" s="14"/>
      <c r="B138" s="10"/>
      <c r="C138" s="18" t="str">
        <f aca="false">IF($B138="","",IFERROR(INDEX(대상목록!$C$3:$C$302,MATCH($B138,대상목록!$A$3:$A$302,0)),""))</f>
        <v/>
      </c>
      <c r="D138" s="10"/>
      <c r="E138" s="10"/>
      <c r="F138" s="19"/>
      <c r="G138" s="10"/>
    </row>
    <row r="139" customFormat="false" ht="15" hidden="false" customHeight="true" outlineLevel="0" collapsed="false">
      <c r="A139" s="14"/>
      <c r="B139" s="10"/>
      <c r="C139" s="18" t="str">
        <f aca="false">IF($B139="","",IFERROR(INDEX(대상목록!$C$3:$C$302,MATCH($B139,대상목록!$A$3:$A$302,0)),""))</f>
        <v/>
      </c>
      <c r="D139" s="10"/>
      <c r="E139" s="10"/>
      <c r="F139" s="19"/>
      <c r="G139" s="10"/>
    </row>
    <row r="140" customFormat="false" ht="15" hidden="false" customHeight="true" outlineLevel="0" collapsed="false">
      <c r="A140" s="14"/>
      <c r="B140" s="10"/>
      <c r="C140" s="18" t="str">
        <f aca="false">IF($B140="","",IFERROR(INDEX(대상목록!$C$3:$C$302,MATCH($B140,대상목록!$A$3:$A$302,0)),""))</f>
        <v/>
      </c>
      <c r="D140" s="10"/>
      <c r="E140" s="10"/>
      <c r="F140" s="19"/>
      <c r="G140" s="10"/>
    </row>
    <row r="141" customFormat="false" ht="15" hidden="false" customHeight="true" outlineLevel="0" collapsed="false">
      <c r="A141" s="14"/>
      <c r="B141" s="10"/>
      <c r="C141" s="18" t="str">
        <f aca="false">IF($B141="","",IFERROR(INDEX(대상목록!$C$3:$C$302,MATCH($B141,대상목록!$A$3:$A$302,0)),""))</f>
        <v/>
      </c>
      <c r="D141" s="10"/>
      <c r="E141" s="10"/>
      <c r="F141" s="19"/>
      <c r="G141" s="10"/>
    </row>
    <row r="142" customFormat="false" ht="15" hidden="false" customHeight="true" outlineLevel="0" collapsed="false">
      <c r="A142" s="14"/>
      <c r="B142" s="10"/>
      <c r="C142" s="18" t="str">
        <f aca="false">IF($B142="","",IFERROR(INDEX(대상목록!$C$3:$C$302,MATCH($B142,대상목록!$A$3:$A$302,0)),""))</f>
        <v/>
      </c>
      <c r="D142" s="10"/>
      <c r="E142" s="10"/>
      <c r="F142" s="19"/>
      <c r="G142" s="10"/>
    </row>
    <row r="143" customFormat="false" ht="15" hidden="false" customHeight="true" outlineLevel="0" collapsed="false">
      <c r="A143" s="14"/>
      <c r="B143" s="10"/>
      <c r="C143" s="18" t="str">
        <f aca="false">IF($B143="","",IFERROR(INDEX(대상목록!$C$3:$C$302,MATCH($B143,대상목록!$A$3:$A$302,0)),""))</f>
        <v/>
      </c>
      <c r="D143" s="10"/>
      <c r="E143" s="10"/>
      <c r="F143" s="19"/>
      <c r="G143" s="10"/>
    </row>
    <row r="144" customFormat="false" ht="15" hidden="false" customHeight="true" outlineLevel="0" collapsed="false">
      <c r="A144" s="14"/>
      <c r="B144" s="10"/>
      <c r="C144" s="18" t="str">
        <f aca="false">IF($B144="","",IFERROR(INDEX(대상목록!$C$3:$C$302,MATCH($B144,대상목록!$A$3:$A$302,0)),""))</f>
        <v/>
      </c>
      <c r="D144" s="10"/>
      <c r="E144" s="10"/>
      <c r="F144" s="19"/>
      <c r="G144" s="10"/>
    </row>
    <row r="145" customFormat="false" ht="15" hidden="false" customHeight="true" outlineLevel="0" collapsed="false">
      <c r="A145" s="14"/>
      <c r="B145" s="10"/>
      <c r="C145" s="18" t="str">
        <f aca="false">IF($B145="","",IFERROR(INDEX(대상목록!$C$3:$C$302,MATCH($B145,대상목록!$A$3:$A$302,0)),""))</f>
        <v/>
      </c>
      <c r="D145" s="10"/>
      <c r="E145" s="10"/>
      <c r="F145" s="19"/>
      <c r="G145" s="10"/>
    </row>
    <row r="146" customFormat="false" ht="15" hidden="false" customHeight="true" outlineLevel="0" collapsed="false">
      <c r="A146" s="14"/>
      <c r="B146" s="10"/>
      <c r="C146" s="18" t="str">
        <f aca="false">IF($B146="","",IFERROR(INDEX(대상목록!$C$3:$C$302,MATCH($B146,대상목록!$A$3:$A$302,0)),""))</f>
        <v/>
      </c>
      <c r="D146" s="10"/>
      <c r="E146" s="10"/>
      <c r="F146" s="19"/>
      <c r="G146" s="10"/>
    </row>
    <row r="147" customFormat="false" ht="15" hidden="false" customHeight="true" outlineLevel="0" collapsed="false">
      <c r="A147" s="14"/>
      <c r="B147" s="10"/>
      <c r="C147" s="18" t="str">
        <f aca="false">IF($B147="","",IFERROR(INDEX(대상목록!$C$3:$C$302,MATCH($B147,대상목록!$A$3:$A$302,0)),""))</f>
        <v/>
      </c>
      <c r="D147" s="10"/>
      <c r="E147" s="10"/>
      <c r="F147" s="19"/>
      <c r="G147" s="10"/>
    </row>
    <row r="148" customFormat="false" ht="15" hidden="false" customHeight="true" outlineLevel="0" collapsed="false">
      <c r="A148" s="14"/>
      <c r="B148" s="10"/>
      <c r="C148" s="18" t="str">
        <f aca="false">IF($B148="","",IFERROR(INDEX(대상목록!$C$3:$C$302,MATCH($B148,대상목록!$A$3:$A$302,0)),""))</f>
        <v/>
      </c>
      <c r="D148" s="10"/>
      <c r="E148" s="10"/>
      <c r="F148" s="19"/>
      <c r="G148" s="10"/>
    </row>
    <row r="149" customFormat="false" ht="15" hidden="false" customHeight="true" outlineLevel="0" collapsed="false">
      <c r="A149" s="14"/>
      <c r="B149" s="10"/>
      <c r="C149" s="18" t="str">
        <f aca="false">IF($B149="","",IFERROR(INDEX(대상목록!$C$3:$C$302,MATCH($B149,대상목록!$A$3:$A$302,0)),""))</f>
        <v/>
      </c>
      <c r="D149" s="10"/>
      <c r="E149" s="10"/>
      <c r="F149" s="19"/>
      <c r="G149" s="10"/>
    </row>
    <row r="150" customFormat="false" ht="15" hidden="false" customHeight="true" outlineLevel="0" collapsed="false">
      <c r="A150" s="14"/>
      <c r="B150" s="10"/>
      <c r="C150" s="18" t="str">
        <f aca="false">IF($B150="","",IFERROR(INDEX(대상목록!$C$3:$C$302,MATCH($B150,대상목록!$A$3:$A$302,0)),""))</f>
        <v/>
      </c>
      <c r="D150" s="10"/>
      <c r="E150" s="10"/>
      <c r="F150" s="19"/>
      <c r="G150" s="10"/>
    </row>
    <row r="151" customFormat="false" ht="15" hidden="false" customHeight="true" outlineLevel="0" collapsed="false">
      <c r="A151" s="14"/>
      <c r="B151" s="10"/>
      <c r="C151" s="18" t="str">
        <f aca="false">IF($B151="","",IFERROR(INDEX(대상목록!$C$3:$C$302,MATCH($B151,대상목록!$A$3:$A$302,0)),""))</f>
        <v/>
      </c>
      <c r="D151" s="10"/>
      <c r="E151" s="10"/>
      <c r="F151" s="19"/>
      <c r="G151" s="10"/>
    </row>
    <row r="152" customFormat="false" ht="15" hidden="false" customHeight="true" outlineLevel="0" collapsed="false">
      <c r="A152" s="14"/>
      <c r="B152" s="10"/>
      <c r="C152" s="18" t="str">
        <f aca="false">IF($B152="","",IFERROR(INDEX(대상목록!$C$3:$C$302,MATCH($B152,대상목록!$A$3:$A$302,0)),""))</f>
        <v/>
      </c>
      <c r="D152" s="10"/>
      <c r="E152" s="10"/>
      <c r="F152" s="19"/>
      <c r="G152" s="10"/>
    </row>
    <row r="153" customFormat="false" ht="15" hidden="false" customHeight="true" outlineLevel="0" collapsed="false">
      <c r="A153" s="14"/>
      <c r="B153" s="10"/>
      <c r="C153" s="18" t="str">
        <f aca="false">IF($B153="","",IFERROR(INDEX(대상목록!$C$3:$C$302,MATCH($B153,대상목록!$A$3:$A$302,0)),""))</f>
        <v/>
      </c>
      <c r="D153" s="10"/>
      <c r="E153" s="10"/>
      <c r="F153" s="19"/>
      <c r="G153" s="10"/>
    </row>
    <row r="154" customFormat="false" ht="15" hidden="false" customHeight="true" outlineLevel="0" collapsed="false">
      <c r="A154" s="14"/>
      <c r="B154" s="10"/>
      <c r="C154" s="18" t="str">
        <f aca="false">IF($B154="","",IFERROR(INDEX(대상목록!$C$3:$C$302,MATCH($B154,대상목록!$A$3:$A$302,0)),""))</f>
        <v/>
      </c>
      <c r="D154" s="10"/>
      <c r="E154" s="10"/>
      <c r="F154" s="19"/>
      <c r="G154" s="10"/>
    </row>
    <row r="155" customFormat="false" ht="15" hidden="false" customHeight="true" outlineLevel="0" collapsed="false">
      <c r="A155" s="14"/>
      <c r="B155" s="10"/>
      <c r="C155" s="18" t="str">
        <f aca="false">IF($B155="","",IFERROR(INDEX(대상목록!$C$3:$C$302,MATCH($B155,대상목록!$A$3:$A$302,0)),""))</f>
        <v/>
      </c>
      <c r="D155" s="10"/>
      <c r="E155" s="10"/>
      <c r="F155" s="19"/>
      <c r="G155" s="10"/>
    </row>
    <row r="156" customFormat="false" ht="15" hidden="false" customHeight="true" outlineLevel="0" collapsed="false">
      <c r="A156" s="14"/>
      <c r="B156" s="10"/>
      <c r="C156" s="18" t="str">
        <f aca="false">IF($B156="","",IFERROR(INDEX(대상목록!$C$3:$C$302,MATCH($B156,대상목록!$A$3:$A$302,0)),""))</f>
        <v/>
      </c>
      <c r="D156" s="10"/>
      <c r="E156" s="10"/>
      <c r="F156" s="19"/>
      <c r="G156" s="10"/>
    </row>
    <row r="157" customFormat="false" ht="15" hidden="false" customHeight="true" outlineLevel="0" collapsed="false">
      <c r="A157" s="14"/>
      <c r="B157" s="10"/>
      <c r="C157" s="18" t="str">
        <f aca="false">IF($B157="","",IFERROR(INDEX(대상목록!$C$3:$C$302,MATCH($B157,대상목록!$A$3:$A$302,0)),""))</f>
        <v/>
      </c>
      <c r="D157" s="10"/>
      <c r="E157" s="10"/>
      <c r="F157" s="19"/>
      <c r="G157" s="10"/>
    </row>
    <row r="158" customFormat="false" ht="15" hidden="false" customHeight="true" outlineLevel="0" collapsed="false">
      <c r="A158" s="14"/>
      <c r="B158" s="10"/>
      <c r="C158" s="18" t="str">
        <f aca="false">IF($B158="","",IFERROR(INDEX(대상목록!$C$3:$C$302,MATCH($B158,대상목록!$A$3:$A$302,0)),""))</f>
        <v/>
      </c>
      <c r="D158" s="10"/>
      <c r="E158" s="10"/>
      <c r="F158" s="19"/>
      <c r="G158" s="10"/>
    </row>
    <row r="159" customFormat="false" ht="15" hidden="false" customHeight="true" outlineLevel="0" collapsed="false">
      <c r="A159" s="14"/>
      <c r="B159" s="10"/>
      <c r="C159" s="18" t="str">
        <f aca="false">IF($B159="","",IFERROR(INDEX(대상목록!$C$3:$C$302,MATCH($B159,대상목록!$A$3:$A$302,0)),""))</f>
        <v/>
      </c>
      <c r="D159" s="10"/>
      <c r="E159" s="10"/>
      <c r="F159" s="19"/>
      <c r="G159" s="10"/>
    </row>
    <row r="160" customFormat="false" ht="15" hidden="false" customHeight="true" outlineLevel="0" collapsed="false">
      <c r="A160" s="14"/>
      <c r="B160" s="10"/>
      <c r="C160" s="18" t="str">
        <f aca="false">IF($B160="","",IFERROR(INDEX(대상목록!$C$3:$C$302,MATCH($B160,대상목록!$A$3:$A$302,0)),""))</f>
        <v/>
      </c>
      <c r="D160" s="10"/>
      <c r="E160" s="10"/>
      <c r="F160" s="19"/>
      <c r="G160" s="10"/>
    </row>
    <row r="161" customFormat="false" ht="15" hidden="false" customHeight="true" outlineLevel="0" collapsed="false">
      <c r="A161" s="14"/>
      <c r="B161" s="10"/>
      <c r="C161" s="18" t="str">
        <f aca="false">IF($B161="","",IFERROR(INDEX(대상목록!$C$3:$C$302,MATCH($B161,대상목록!$A$3:$A$302,0)),""))</f>
        <v/>
      </c>
      <c r="D161" s="10"/>
      <c r="E161" s="10"/>
      <c r="F161" s="19"/>
      <c r="G161" s="10"/>
    </row>
    <row r="162" customFormat="false" ht="15" hidden="false" customHeight="true" outlineLevel="0" collapsed="false">
      <c r="A162" s="14"/>
      <c r="B162" s="10"/>
      <c r="C162" s="18" t="str">
        <f aca="false">IF($B162="","",IFERROR(INDEX(대상목록!$C$3:$C$302,MATCH($B162,대상목록!$A$3:$A$302,0)),""))</f>
        <v/>
      </c>
      <c r="D162" s="10"/>
      <c r="E162" s="10"/>
      <c r="F162" s="19"/>
      <c r="G162" s="10"/>
    </row>
    <row r="163" customFormat="false" ht="15" hidden="false" customHeight="true" outlineLevel="0" collapsed="false">
      <c r="A163" s="14"/>
      <c r="B163" s="10"/>
      <c r="C163" s="18" t="str">
        <f aca="false">IF($B163="","",IFERROR(INDEX(대상목록!$C$3:$C$302,MATCH($B163,대상목록!$A$3:$A$302,0)),""))</f>
        <v/>
      </c>
      <c r="D163" s="10"/>
      <c r="E163" s="10"/>
      <c r="F163" s="19"/>
      <c r="G163" s="10"/>
    </row>
    <row r="164" customFormat="false" ht="15" hidden="false" customHeight="true" outlineLevel="0" collapsed="false">
      <c r="A164" s="14"/>
      <c r="B164" s="10"/>
      <c r="C164" s="18" t="str">
        <f aca="false">IF($B164="","",IFERROR(INDEX(대상목록!$C$3:$C$302,MATCH($B164,대상목록!$A$3:$A$302,0)),""))</f>
        <v/>
      </c>
      <c r="D164" s="10"/>
      <c r="E164" s="10"/>
      <c r="F164" s="19"/>
      <c r="G164" s="10"/>
    </row>
    <row r="165" customFormat="false" ht="15" hidden="false" customHeight="true" outlineLevel="0" collapsed="false">
      <c r="A165" s="14"/>
      <c r="B165" s="10"/>
      <c r="C165" s="18" t="str">
        <f aca="false">IF($B165="","",IFERROR(INDEX(대상목록!$C$3:$C$302,MATCH($B165,대상목록!$A$3:$A$302,0)),""))</f>
        <v/>
      </c>
      <c r="D165" s="10"/>
      <c r="E165" s="10"/>
      <c r="F165" s="19"/>
      <c r="G165" s="10"/>
    </row>
    <row r="166" customFormat="false" ht="15" hidden="false" customHeight="true" outlineLevel="0" collapsed="false">
      <c r="A166" s="14"/>
      <c r="B166" s="10"/>
      <c r="C166" s="18" t="str">
        <f aca="false">IF($B166="","",IFERROR(INDEX(대상목록!$C$3:$C$302,MATCH($B166,대상목록!$A$3:$A$302,0)),""))</f>
        <v/>
      </c>
      <c r="D166" s="10"/>
      <c r="E166" s="10"/>
      <c r="F166" s="19"/>
      <c r="G166" s="10"/>
    </row>
    <row r="167" customFormat="false" ht="15" hidden="false" customHeight="true" outlineLevel="0" collapsed="false">
      <c r="A167" s="14"/>
      <c r="B167" s="10"/>
      <c r="C167" s="18" t="str">
        <f aca="false">IF($B167="","",IFERROR(INDEX(대상목록!$C$3:$C$302,MATCH($B167,대상목록!$A$3:$A$302,0)),""))</f>
        <v/>
      </c>
      <c r="D167" s="10"/>
      <c r="E167" s="10"/>
      <c r="F167" s="19"/>
      <c r="G167" s="10"/>
    </row>
    <row r="168" customFormat="false" ht="15" hidden="false" customHeight="true" outlineLevel="0" collapsed="false">
      <c r="A168" s="14"/>
      <c r="B168" s="10"/>
      <c r="C168" s="18" t="str">
        <f aca="false">IF($B168="","",IFERROR(INDEX(대상목록!$C$3:$C$302,MATCH($B168,대상목록!$A$3:$A$302,0)),""))</f>
        <v/>
      </c>
      <c r="D168" s="10"/>
      <c r="E168" s="10"/>
      <c r="F168" s="19"/>
      <c r="G168" s="10"/>
    </row>
    <row r="169" customFormat="false" ht="15" hidden="false" customHeight="true" outlineLevel="0" collapsed="false">
      <c r="A169" s="14"/>
      <c r="B169" s="10"/>
      <c r="C169" s="18" t="str">
        <f aca="false">IF($B169="","",IFERROR(INDEX(대상목록!$C$3:$C$302,MATCH($B169,대상목록!$A$3:$A$302,0)),""))</f>
        <v/>
      </c>
      <c r="D169" s="10"/>
      <c r="E169" s="10"/>
      <c r="F169" s="19"/>
      <c r="G169" s="10"/>
    </row>
    <row r="170" customFormat="false" ht="15" hidden="false" customHeight="true" outlineLevel="0" collapsed="false">
      <c r="A170" s="14"/>
      <c r="B170" s="10"/>
      <c r="C170" s="18" t="str">
        <f aca="false">IF($B170="","",IFERROR(INDEX(대상목록!$C$3:$C$302,MATCH($B170,대상목록!$A$3:$A$302,0)),""))</f>
        <v/>
      </c>
      <c r="D170" s="10"/>
      <c r="E170" s="10"/>
      <c r="F170" s="19"/>
      <c r="G170" s="10"/>
    </row>
    <row r="171" customFormat="false" ht="15" hidden="false" customHeight="true" outlineLevel="0" collapsed="false">
      <c r="A171" s="14"/>
      <c r="B171" s="10"/>
      <c r="C171" s="18" t="str">
        <f aca="false">IF($B171="","",IFERROR(INDEX(대상목록!$C$3:$C$302,MATCH($B171,대상목록!$A$3:$A$302,0)),""))</f>
        <v/>
      </c>
      <c r="D171" s="10"/>
      <c r="E171" s="10"/>
      <c r="F171" s="19"/>
      <c r="G171" s="10"/>
    </row>
    <row r="172" customFormat="false" ht="15" hidden="false" customHeight="true" outlineLevel="0" collapsed="false">
      <c r="A172" s="14"/>
      <c r="B172" s="10"/>
      <c r="C172" s="18" t="str">
        <f aca="false">IF($B172="","",IFERROR(INDEX(대상목록!$C$3:$C$302,MATCH($B172,대상목록!$A$3:$A$302,0)),""))</f>
        <v/>
      </c>
      <c r="D172" s="10"/>
      <c r="E172" s="10"/>
      <c r="F172" s="19"/>
      <c r="G172" s="10"/>
    </row>
    <row r="173" customFormat="false" ht="15" hidden="false" customHeight="true" outlineLevel="0" collapsed="false">
      <c r="A173" s="14"/>
      <c r="B173" s="10"/>
      <c r="C173" s="18" t="str">
        <f aca="false">IF($B173="","",IFERROR(INDEX(대상목록!$C$3:$C$302,MATCH($B173,대상목록!$A$3:$A$302,0)),""))</f>
        <v/>
      </c>
      <c r="D173" s="10"/>
      <c r="E173" s="10"/>
      <c r="F173" s="19"/>
      <c r="G173" s="10"/>
    </row>
    <row r="174" customFormat="false" ht="15" hidden="false" customHeight="true" outlineLevel="0" collapsed="false">
      <c r="A174" s="14"/>
      <c r="B174" s="10"/>
      <c r="C174" s="18" t="str">
        <f aca="false">IF($B174="","",IFERROR(INDEX(대상목록!$C$3:$C$302,MATCH($B174,대상목록!$A$3:$A$302,0)),""))</f>
        <v/>
      </c>
      <c r="D174" s="10"/>
      <c r="E174" s="10"/>
      <c r="F174" s="19"/>
      <c r="G174" s="10"/>
    </row>
    <row r="175" customFormat="false" ht="15" hidden="false" customHeight="true" outlineLevel="0" collapsed="false">
      <c r="A175" s="14"/>
      <c r="B175" s="10"/>
      <c r="C175" s="18" t="str">
        <f aca="false">IF($B175="","",IFERROR(INDEX(대상목록!$C$3:$C$302,MATCH($B175,대상목록!$A$3:$A$302,0)),""))</f>
        <v/>
      </c>
      <c r="D175" s="10"/>
      <c r="E175" s="10"/>
      <c r="F175" s="19"/>
      <c r="G175" s="10"/>
    </row>
    <row r="176" customFormat="false" ht="15" hidden="false" customHeight="true" outlineLevel="0" collapsed="false">
      <c r="A176" s="14"/>
      <c r="B176" s="10"/>
      <c r="C176" s="18" t="str">
        <f aca="false">IF($B176="","",IFERROR(INDEX(대상목록!$C$3:$C$302,MATCH($B176,대상목록!$A$3:$A$302,0)),""))</f>
        <v/>
      </c>
      <c r="D176" s="10"/>
      <c r="E176" s="10"/>
      <c r="F176" s="19"/>
      <c r="G176" s="10"/>
    </row>
    <row r="177" customFormat="false" ht="15" hidden="false" customHeight="true" outlineLevel="0" collapsed="false">
      <c r="A177" s="14"/>
      <c r="B177" s="10"/>
      <c r="C177" s="18" t="str">
        <f aca="false">IF($B177="","",IFERROR(INDEX(대상목록!$C$3:$C$302,MATCH($B177,대상목록!$A$3:$A$302,0)),""))</f>
        <v/>
      </c>
      <c r="D177" s="10"/>
      <c r="E177" s="10"/>
      <c r="F177" s="19"/>
      <c r="G177" s="10"/>
    </row>
    <row r="178" customFormat="false" ht="15" hidden="false" customHeight="true" outlineLevel="0" collapsed="false">
      <c r="A178" s="14"/>
      <c r="B178" s="10"/>
      <c r="C178" s="18" t="str">
        <f aca="false">IF($B178="","",IFERROR(INDEX(대상목록!$C$3:$C$302,MATCH($B178,대상목록!$A$3:$A$302,0)),""))</f>
        <v/>
      </c>
      <c r="D178" s="10"/>
      <c r="E178" s="10"/>
      <c r="F178" s="19"/>
      <c r="G178" s="10"/>
    </row>
    <row r="179" customFormat="false" ht="15" hidden="false" customHeight="true" outlineLevel="0" collapsed="false">
      <c r="A179" s="14"/>
      <c r="B179" s="10"/>
      <c r="C179" s="18" t="str">
        <f aca="false">IF($B179="","",IFERROR(INDEX(대상목록!$C$3:$C$302,MATCH($B179,대상목록!$A$3:$A$302,0)),""))</f>
        <v/>
      </c>
      <c r="D179" s="10"/>
      <c r="E179" s="10"/>
      <c r="F179" s="19"/>
      <c r="G179" s="10"/>
    </row>
    <row r="180" customFormat="false" ht="15" hidden="false" customHeight="true" outlineLevel="0" collapsed="false">
      <c r="A180" s="14"/>
      <c r="B180" s="10"/>
      <c r="C180" s="18" t="str">
        <f aca="false">IF($B180="","",IFERROR(INDEX(대상목록!$C$3:$C$302,MATCH($B180,대상목록!$A$3:$A$302,0)),""))</f>
        <v/>
      </c>
      <c r="D180" s="10"/>
      <c r="E180" s="10"/>
      <c r="F180" s="19"/>
      <c r="G180" s="10"/>
    </row>
    <row r="181" customFormat="false" ht="15" hidden="false" customHeight="true" outlineLevel="0" collapsed="false">
      <c r="A181" s="14"/>
      <c r="B181" s="10"/>
      <c r="C181" s="18" t="str">
        <f aca="false">IF($B181="","",IFERROR(INDEX(대상목록!$C$3:$C$302,MATCH($B181,대상목록!$A$3:$A$302,0)),""))</f>
        <v/>
      </c>
      <c r="D181" s="10"/>
      <c r="E181" s="10"/>
      <c r="F181" s="19"/>
      <c r="G181" s="10"/>
    </row>
    <row r="182" customFormat="false" ht="15" hidden="false" customHeight="true" outlineLevel="0" collapsed="false">
      <c r="A182" s="14"/>
      <c r="B182" s="10"/>
      <c r="C182" s="18" t="str">
        <f aca="false">IF($B182="","",IFERROR(INDEX(대상목록!$C$3:$C$302,MATCH($B182,대상목록!$A$3:$A$302,0)),""))</f>
        <v/>
      </c>
      <c r="D182" s="10"/>
      <c r="E182" s="10"/>
      <c r="F182" s="19"/>
      <c r="G182" s="10"/>
    </row>
    <row r="183" customFormat="false" ht="15" hidden="false" customHeight="true" outlineLevel="0" collapsed="false">
      <c r="A183" s="14"/>
      <c r="B183" s="10"/>
      <c r="C183" s="18" t="str">
        <f aca="false">IF($B183="","",IFERROR(INDEX(대상목록!$C$3:$C$302,MATCH($B183,대상목록!$A$3:$A$302,0)),""))</f>
        <v/>
      </c>
      <c r="D183" s="10"/>
      <c r="E183" s="10"/>
      <c r="F183" s="19"/>
      <c r="G183" s="10"/>
    </row>
    <row r="184" customFormat="false" ht="15" hidden="false" customHeight="true" outlineLevel="0" collapsed="false">
      <c r="A184" s="14"/>
      <c r="B184" s="10"/>
      <c r="C184" s="18" t="str">
        <f aca="false">IF($B184="","",IFERROR(INDEX(대상목록!$C$3:$C$302,MATCH($B184,대상목록!$A$3:$A$302,0)),""))</f>
        <v/>
      </c>
      <c r="D184" s="10"/>
      <c r="E184" s="10"/>
      <c r="F184" s="19"/>
      <c r="G184" s="10"/>
    </row>
    <row r="185" customFormat="false" ht="15" hidden="false" customHeight="true" outlineLevel="0" collapsed="false">
      <c r="A185" s="14"/>
      <c r="B185" s="10"/>
      <c r="C185" s="18" t="str">
        <f aca="false">IF($B185="","",IFERROR(INDEX(대상목록!$C$3:$C$302,MATCH($B185,대상목록!$A$3:$A$302,0)),""))</f>
        <v/>
      </c>
      <c r="D185" s="10"/>
      <c r="E185" s="10"/>
      <c r="F185" s="19"/>
      <c r="G185" s="10"/>
    </row>
    <row r="186" customFormat="false" ht="15" hidden="false" customHeight="true" outlineLevel="0" collapsed="false">
      <c r="A186" s="14"/>
      <c r="B186" s="10"/>
      <c r="C186" s="18" t="str">
        <f aca="false">IF($B186="","",IFERROR(INDEX(대상목록!$C$3:$C$302,MATCH($B186,대상목록!$A$3:$A$302,0)),""))</f>
        <v/>
      </c>
      <c r="D186" s="10"/>
      <c r="E186" s="10"/>
      <c r="F186" s="19"/>
      <c r="G186" s="10"/>
    </row>
    <row r="187" customFormat="false" ht="15" hidden="false" customHeight="true" outlineLevel="0" collapsed="false">
      <c r="A187" s="14"/>
      <c r="B187" s="10"/>
      <c r="C187" s="18" t="str">
        <f aca="false">IF($B187="","",IFERROR(INDEX(대상목록!$C$3:$C$302,MATCH($B187,대상목록!$A$3:$A$302,0)),""))</f>
        <v/>
      </c>
      <c r="D187" s="10"/>
      <c r="E187" s="10"/>
      <c r="F187" s="19"/>
      <c r="G187" s="10"/>
    </row>
    <row r="188" customFormat="false" ht="15" hidden="false" customHeight="true" outlineLevel="0" collapsed="false">
      <c r="A188" s="14"/>
      <c r="B188" s="10"/>
      <c r="C188" s="18" t="str">
        <f aca="false">IF($B188="","",IFERROR(INDEX(대상목록!$C$3:$C$302,MATCH($B188,대상목록!$A$3:$A$302,0)),""))</f>
        <v/>
      </c>
      <c r="D188" s="10"/>
      <c r="E188" s="10"/>
      <c r="F188" s="19"/>
      <c r="G188" s="10"/>
    </row>
    <row r="189" customFormat="false" ht="15" hidden="false" customHeight="true" outlineLevel="0" collapsed="false">
      <c r="A189" s="14"/>
      <c r="B189" s="10"/>
      <c r="C189" s="18" t="str">
        <f aca="false">IF($B189="","",IFERROR(INDEX(대상목록!$C$3:$C$302,MATCH($B189,대상목록!$A$3:$A$302,0)),""))</f>
        <v/>
      </c>
      <c r="D189" s="10"/>
      <c r="E189" s="10"/>
      <c r="F189" s="19"/>
      <c r="G189" s="10"/>
    </row>
    <row r="190" customFormat="false" ht="15" hidden="false" customHeight="true" outlineLevel="0" collapsed="false">
      <c r="A190" s="14"/>
      <c r="B190" s="10"/>
      <c r="C190" s="18" t="str">
        <f aca="false">IF($B190="","",IFERROR(INDEX(대상목록!$C$3:$C$302,MATCH($B190,대상목록!$A$3:$A$302,0)),""))</f>
        <v/>
      </c>
      <c r="D190" s="10"/>
      <c r="E190" s="10"/>
      <c r="F190" s="19"/>
      <c r="G190" s="10"/>
    </row>
    <row r="191" customFormat="false" ht="15" hidden="false" customHeight="true" outlineLevel="0" collapsed="false">
      <c r="A191" s="14"/>
      <c r="B191" s="10"/>
      <c r="C191" s="18" t="str">
        <f aca="false">IF($B191="","",IFERROR(INDEX(대상목록!$C$3:$C$302,MATCH($B191,대상목록!$A$3:$A$302,0)),""))</f>
        <v/>
      </c>
      <c r="D191" s="10"/>
      <c r="E191" s="10"/>
      <c r="F191" s="19"/>
      <c r="G191" s="10"/>
    </row>
    <row r="192" customFormat="false" ht="15" hidden="false" customHeight="true" outlineLevel="0" collapsed="false">
      <c r="A192" s="14"/>
      <c r="B192" s="10"/>
      <c r="C192" s="18" t="str">
        <f aca="false">IF($B192="","",IFERROR(INDEX(대상목록!$C$3:$C$302,MATCH($B192,대상목록!$A$3:$A$302,0)),""))</f>
        <v/>
      </c>
      <c r="D192" s="10"/>
      <c r="E192" s="10"/>
      <c r="F192" s="19"/>
      <c r="G192" s="10"/>
    </row>
    <row r="193" customFormat="false" ht="15" hidden="false" customHeight="true" outlineLevel="0" collapsed="false">
      <c r="A193" s="14"/>
      <c r="B193" s="10"/>
      <c r="C193" s="18" t="str">
        <f aca="false">IF($B193="","",IFERROR(INDEX(대상목록!$C$3:$C$302,MATCH($B193,대상목록!$A$3:$A$302,0)),""))</f>
        <v/>
      </c>
      <c r="D193" s="10"/>
      <c r="E193" s="10"/>
      <c r="F193" s="19"/>
      <c r="G193" s="10"/>
    </row>
    <row r="194" customFormat="false" ht="15" hidden="false" customHeight="true" outlineLevel="0" collapsed="false">
      <c r="A194" s="14"/>
      <c r="B194" s="10"/>
      <c r="C194" s="18" t="str">
        <f aca="false">IF($B194="","",IFERROR(INDEX(대상목록!$C$3:$C$302,MATCH($B194,대상목록!$A$3:$A$302,0)),""))</f>
        <v/>
      </c>
      <c r="D194" s="10"/>
      <c r="E194" s="10"/>
      <c r="F194" s="19"/>
      <c r="G194" s="10"/>
    </row>
    <row r="195" customFormat="false" ht="15" hidden="false" customHeight="true" outlineLevel="0" collapsed="false">
      <c r="A195" s="14"/>
      <c r="B195" s="10"/>
      <c r="C195" s="18" t="str">
        <f aca="false">IF($B195="","",IFERROR(INDEX(대상목록!$C$3:$C$302,MATCH($B195,대상목록!$A$3:$A$302,0)),""))</f>
        <v/>
      </c>
      <c r="D195" s="10"/>
      <c r="E195" s="10"/>
      <c r="F195" s="19"/>
      <c r="G195" s="10"/>
    </row>
    <row r="196" customFormat="false" ht="15" hidden="false" customHeight="true" outlineLevel="0" collapsed="false">
      <c r="A196" s="14"/>
      <c r="B196" s="10"/>
      <c r="C196" s="18" t="str">
        <f aca="false">IF($B196="","",IFERROR(INDEX(대상목록!$C$3:$C$302,MATCH($B196,대상목록!$A$3:$A$302,0)),""))</f>
        <v/>
      </c>
      <c r="D196" s="10"/>
      <c r="E196" s="10"/>
      <c r="F196" s="19"/>
      <c r="G196" s="10"/>
    </row>
    <row r="197" customFormat="false" ht="15" hidden="false" customHeight="true" outlineLevel="0" collapsed="false">
      <c r="A197" s="14"/>
      <c r="B197" s="10"/>
      <c r="C197" s="18" t="str">
        <f aca="false">IF($B197="","",IFERROR(INDEX(대상목록!$C$3:$C$302,MATCH($B197,대상목록!$A$3:$A$302,0)),""))</f>
        <v/>
      </c>
      <c r="D197" s="10"/>
      <c r="E197" s="10"/>
      <c r="F197" s="19"/>
      <c r="G197" s="10"/>
    </row>
    <row r="198" customFormat="false" ht="15" hidden="false" customHeight="true" outlineLevel="0" collapsed="false">
      <c r="A198" s="14"/>
      <c r="B198" s="10"/>
      <c r="C198" s="18" t="str">
        <f aca="false">IF($B198="","",IFERROR(INDEX(대상목록!$C$3:$C$302,MATCH($B198,대상목록!$A$3:$A$302,0)),""))</f>
        <v/>
      </c>
      <c r="D198" s="10"/>
      <c r="E198" s="10"/>
      <c r="F198" s="19"/>
      <c r="G198" s="10"/>
    </row>
    <row r="199" customFormat="false" ht="15" hidden="false" customHeight="true" outlineLevel="0" collapsed="false">
      <c r="A199" s="14"/>
      <c r="B199" s="10"/>
      <c r="C199" s="18" t="str">
        <f aca="false">IF($B199="","",IFERROR(INDEX(대상목록!$C$3:$C$302,MATCH($B199,대상목록!$A$3:$A$302,0)),""))</f>
        <v/>
      </c>
      <c r="D199" s="10"/>
      <c r="E199" s="10"/>
      <c r="F199" s="19"/>
      <c r="G199" s="10"/>
    </row>
    <row r="200" customFormat="false" ht="15" hidden="false" customHeight="true" outlineLevel="0" collapsed="false">
      <c r="A200" s="14"/>
      <c r="B200" s="10"/>
      <c r="C200" s="18" t="str">
        <f aca="false">IF($B200="","",IFERROR(INDEX(대상목록!$C$3:$C$302,MATCH($B200,대상목록!$A$3:$A$302,0)),""))</f>
        <v/>
      </c>
      <c r="D200" s="10"/>
      <c r="E200" s="10"/>
      <c r="F200" s="19"/>
      <c r="G200" s="10"/>
    </row>
    <row r="201" customFormat="false" ht="15" hidden="false" customHeight="true" outlineLevel="0" collapsed="false">
      <c r="A201" s="14"/>
      <c r="B201" s="10"/>
      <c r="C201" s="18" t="str">
        <f aca="false">IF($B201="","",IFERROR(INDEX(대상목록!$C$3:$C$302,MATCH($B201,대상목록!$A$3:$A$302,0)),""))</f>
        <v/>
      </c>
      <c r="D201" s="10"/>
      <c r="E201" s="10"/>
      <c r="F201" s="19"/>
      <c r="G201" s="10"/>
    </row>
    <row r="202" customFormat="false" ht="15" hidden="false" customHeight="true" outlineLevel="0" collapsed="false">
      <c r="A202" s="14"/>
      <c r="B202" s="10"/>
      <c r="C202" s="18" t="str">
        <f aca="false">IF($B202="","",IFERROR(INDEX(대상목록!$C$3:$C$302,MATCH($B202,대상목록!$A$3:$A$302,0)),""))</f>
        <v/>
      </c>
      <c r="D202" s="10"/>
      <c r="E202" s="10"/>
      <c r="F202" s="19"/>
      <c r="G202" s="10"/>
    </row>
    <row r="203" customFormat="false" ht="15" hidden="false" customHeight="true" outlineLevel="0" collapsed="false">
      <c r="A203" s="14"/>
      <c r="B203" s="10"/>
      <c r="C203" s="18" t="str">
        <f aca="false">IF($B203="","",IFERROR(INDEX(대상목록!$C$3:$C$302,MATCH($B203,대상목록!$A$3:$A$302,0)),""))</f>
        <v/>
      </c>
      <c r="D203" s="10"/>
      <c r="E203" s="10"/>
      <c r="F203" s="19"/>
      <c r="G203" s="10"/>
    </row>
    <row r="204" customFormat="false" ht="15" hidden="false" customHeight="true" outlineLevel="0" collapsed="false">
      <c r="A204" s="14"/>
      <c r="B204" s="10"/>
      <c r="C204" s="18" t="str">
        <f aca="false">IF($B204="","",IFERROR(INDEX(대상목록!$C$3:$C$302,MATCH($B204,대상목록!$A$3:$A$302,0)),""))</f>
        <v/>
      </c>
      <c r="D204" s="10"/>
      <c r="E204" s="10"/>
      <c r="F204" s="19"/>
      <c r="G204" s="10"/>
    </row>
    <row r="205" customFormat="false" ht="15" hidden="false" customHeight="true" outlineLevel="0" collapsed="false">
      <c r="A205" s="14"/>
      <c r="B205" s="10"/>
      <c r="C205" s="18" t="str">
        <f aca="false">IF($B205="","",IFERROR(INDEX(대상목록!$C$3:$C$302,MATCH($B205,대상목록!$A$3:$A$302,0)),""))</f>
        <v/>
      </c>
      <c r="D205" s="10"/>
      <c r="E205" s="10"/>
      <c r="F205" s="19"/>
      <c r="G205" s="10"/>
    </row>
    <row r="206" customFormat="false" ht="15" hidden="false" customHeight="true" outlineLevel="0" collapsed="false">
      <c r="A206" s="14"/>
      <c r="B206" s="10"/>
      <c r="C206" s="18" t="str">
        <f aca="false">IF($B206="","",IFERROR(INDEX(대상목록!$C$3:$C$302,MATCH($B206,대상목록!$A$3:$A$302,0)),""))</f>
        <v/>
      </c>
      <c r="D206" s="10"/>
      <c r="E206" s="10"/>
      <c r="F206" s="19"/>
      <c r="G206" s="10"/>
    </row>
    <row r="207" customFormat="false" ht="15" hidden="false" customHeight="true" outlineLevel="0" collapsed="false">
      <c r="A207" s="14"/>
      <c r="B207" s="10"/>
      <c r="C207" s="18" t="str">
        <f aca="false">IF($B207="","",IFERROR(INDEX(대상목록!$C$3:$C$302,MATCH($B207,대상목록!$A$3:$A$302,0)),""))</f>
        <v/>
      </c>
      <c r="D207" s="10"/>
      <c r="E207" s="10"/>
      <c r="F207" s="19"/>
      <c r="G207" s="10"/>
    </row>
    <row r="208" customFormat="false" ht="15" hidden="false" customHeight="true" outlineLevel="0" collapsed="false">
      <c r="A208" s="14"/>
      <c r="B208" s="10"/>
      <c r="C208" s="18" t="str">
        <f aca="false">IF($B208="","",IFERROR(INDEX(대상목록!$C$3:$C$302,MATCH($B208,대상목록!$A$3:$A$302,0)),""))</f>
        <v/>
      </c>
      <c r="D208" s="10"/>
      <c r="E208" s="10"/>
      <c r="F208" s="19"/>
      <c r="G208" s="10"/>
    </row>
    <row r="209" customFormat="false" ht="15" hidden="false" customHeight="true" outlineLevel="0" collapsed="false">
      <c r="A209" s="14"/>
      <c r="B209" s="10"/>
      <c r="C209" s="18" t="str">
        <f aca="false">IF($B209="","",IFERROR(INDEX(대상목록!$C$3:$C$302,MATCH($B209,대상목록!$A$3:$A$302,0)),""))</f>
        <v/>
      </c>
      <c r="D209" s="10"/>
      <c r="E209" s="10"/>
      <c r="F209" s="19"/>
      <c r="G209" s="10"/>
    </row>
    <row r="210" customFormat="false" ht="15" hidden="false" customHeight="true" outlineLevel="0" collapsed="false">
      <c r="A210" s="14"/>
      <c r="B210" s="10"/>
      <c r="C210" s="18" t="str">
        <f aca="false">IF($B210="","",IFERROR(INDEX(대상목록!$C$3:$C$302,MATCH($B210,대상목록!$A$3:$A$302,0)),""))</f>
        <v/>
      </c>
      <c r="D210" s="10"/>
      <c r="E210" s="10"/>
      <c r="F210" s="19"/>
      <c r="G210" s="10"/>
    </row>
    <row r="211" customFormat="false" ht="15" hidden="false" customHeight="true" outlineLevel="0" collapsed="false">
      <c r="A211" s="14"/>
      <c r="B211" s="10"/>
      <c r="C211" s="18" t="str">
        <f aca="false">IF($B211="","",IFERROR(INDEX(대상목록!$C$3:$C$302,MATCH($B211,대상목록!$A$3:$A$302,0)),""))</f>
        <v/>
      </c>
      <c r="D211" s="10"/>
      <c r="E211" s="10"/>
      <c r="F211" s="19"/>
      <c r="G211" s="10"/>
    </row>
    <row r="212" customFormat="false" ht="15" hidden="false" customHeight="true" outlineLevel="0" collapsed="false">
      <c r="A212" s="14"/>
      <c r="B212" s="10"/>
      <c r="C212" s="18" t="str">
        <f aca="false">IF($B212="","",IFERROR(INDEX(대상목록!$C$3:$C$302,MATCH($B212,대상목록!$A$3:$A$302,0)),""))</f>
        <v/>
      </c>
      <c r="D212" s="10"/>
      <c r="E212" s="10"/>
      <c r="F212" s="19"/>
      <c r="G212" s="10"/>
    </row>
    <row r="213" customFormat="false" ht="15" hidden="false" customHeight="true" outlineLevel="0" collapsed="false">
      <c r="A213" s="14"/>
      <c r="B213" s="10"/>
      <c r="C213" s="18" t="str">
        <f aca="false">IF($B213="","",IFERROR(INDEX(대상목록!$C$3:$C$302,MATCH($B213,대상목록!$A$3:$A$302,0)),""))</f>
        <v/>
      </c>
      <c r="D213" s="10"/>
      <c r="E213" s="10"/>
      <c r="F213" s="19"/>
      <c r="G213" s="10"/>
    </row>
    <row r="214" customFormat="false" ht="15" hidden="false" customHeight="true" outlineLevel="0" collapsed="false">
      <c r="A214" s="14"/>
      <c r="B214" s="10"/>
      <c r="C214" s="18" t="str">
        <f aca="false">IF($B214="","",IFERROR(INDEX(대상목록!$C$3:$C$302,MATCH($B214,대상목록!$A$3:$A$302,0)),""))</f>
        <v/>
      </c>
      <c r="D214" s="10"/>
      <c r="E214" s="10"/>
      <c r="F214" s="19"/>
      <c r="G214" s="10"/>
    </row>
    <row r="215" customFormat="false" ht="15" hidden="false" customHeight="true" outlineLevel="0" collapsed="false">
      <c r="A215" s="14"/>
      <c r="B215" s="10"/>
      <c r="C215" s="18" t="str">
        <f aca="false">IF($B215="","",IFERROR(INDEX(대상목록!$C$3:$C$302,MATCH($B215,대상목록!$A$3:$A$302,0)),""))</f>
        <v/>
      </c>
      <c r="D215" s="10"/>
      <c r="E215" s="10"/>
      <c r="F215" s="19"/>
      <c r="G215" s="10"/>
    </row>
    <row r="216" customFormat="false" ht="15" hidden="false" customHeight="true" outlineLevel="0" collapsed="false">
      <c r="A216" s="14"/>
      <c r="B216" s="10"/>
      <c r="C216" s="18" t="str">
        <f aca="false">IF($B216="","",IFERROR(INDEX(대상목록!$C$3:$C$302,MATCH($B216,대상목록!$A$3:$A$302,0)),""))</f>
        <v/>
      </c>
      <c r="D216" s="10"/>
      <c r="E216" s="10"/>
      <c r="F216" s="19"/>
      <c r="G216" s="10"/>
    </row>
    <row r="217" customFormat="false" ht="15" hidden="false" customHeight="true" outlineLevel="0" collapsed="false">
      <c r="A217" s="14"/>
      <c r="B217" s="10"/>
      <c r="C217" s="18" t="str">
        <f aca="false">IF($B217="","",IFERROR(INDEX(대상목록!$C$3:$C$302,MATCH($B217,대상목록!$A$3:$A$302,0)),""))</f>
        <v/>
      </c>
      <c r="D217" s="10"/>
      <c r="E217" s="10"/>
      <c r="F217" s="19"/>
      <c r="G217" s="10"/>
    </row>
    <row r="218" customFormat="false" ht="15" hidden="false" customHeight="true" outlineLevel="0" collapsed="false">
      <c r="A218" s="14"/>
      <c r="B218" s="10"/>
      <c r="C218" s="18" t="str">
        <f aca="false">IF($B218="","",IFERROR(INDEX(대상목록!$C$3:$C$302,MATCH($B218,대상목록!$A$3:$A$302,0)),""))</f>
        <v/>
      </c>
      <c r="D218" s="10"/>
      <c r="E218" s="10"/>
      <c r="F218" s="19"/>
      <c r="G218" s="10"/>
    </row>
    <row r="219" customFormat="false" ht="15" hidden="false" customHeight="true" outlineLevel="0" collapsed="false">
      <c r="A219" s="14"/>
      <c r="B219" s="10"/>
      <c r="C219" s="18" t="str">
        <f aca="false">IF($B219="","",IFERROR(INDEX(대상목록!$C$3:$C$302,MATCH($B219,대상목록!$A$3:$A$302,0)),""))</f>
        <v/>
      </c>
      <c r="D219" s="10"/>
      <c r="E219" s="10"/>
      <c r="F219" s="19"/>
      <c r="G219" s="10"/>
    </row>
    <row r="220" customFormat="false" ht="15" hidden="false" customHeight="true" outlineLevel="0" collapsed="false">
      <c r="A220" s="14"/>
      <c r="B220" s="10"/>
      <c r="C220" s="18" t="str">
        <f aca="false">IF($B220="","",IFERROR(INDEX(대상목록!$C$3:$C$302,MATCH($B220,대상목록!$A$3:$A$302,0)),""))</f>
        <v/>
      </c>
      <c r="D220" s="10"/>
      <c r="E220" s="10"/>
      <c r="F220" s="19"/>
      <c r="G220" s="10"/>
    </row>
    <row r="221" customFormat="false" ht="15" hidden="false" customHeight="true" outlineLevel="0" collapsed="false">
      <c r="A221" s="14"/>
      <c r="B221" s="10"/>
      <c r="C221" s="18" t="str">
        <f aca="false">IF($B221="","",IFERROR(INDEX(대상목록!$C$3:$C$302,MATCH($B221,대상목록!$A$3:$A$302,0)),""))</f>
        <v/>
      </c>
      <c r="D221" s="10"/>
      <c r="E221" s="10"/>
      <c r="F221" s="19"/>
      <c r="G221" s="10"/>
    </row>
    <row r="222" customFormat="false" ht="15" hidden="false" customHeight="true" outlineLevel="0" collapsed="false">
      <c r="A222" s="14"/>
      <c r="B222" s="10"/>
      <c r="C222" s="18" t="str">
        <f aca="false">IF($B222="","",IFERROR(INDEX(대상목록!$C$3:$C$302,MATCH($B222,대상목록!$A$3:$A$302,0)),""))</f>
        <v/>
      </c>
      <c r="D222" s="10"/>
      <c r="E222" s="10"/>
      <c r="F222" s="19"/>
      <c r="G222" s="10"/>
    </row>
    <row r="223" customFormat="false" ht="15" hidden="false" customHeight="true" outlineLevel="0" collapsed="false">
      <c r="A223" s="14"/>
      <c r="B223" s="10"/>
      <c r="C223" s="18" t="str">
        <f aca="false">IF($B223="","",IFERROR(INDEX(대상목록!$C$3:$C$302,MATCH($B223,대상목록!$A$3:$A$302,0)),""))</f>
        <v/>
      </c>
      <c r="D223" s="10"/>
      <c r="E223" s="10"/>
      <c r="F223" s="19"/>
      <c r="G223" s="10"/>
    </row>
    <row r="224" customFormat="false" ht="15" hidden="false" customHeight="true" outlineLevel="0" collapsed="false">
      <c r="A224" s="14"/>
      <c r="B224" s="10"/>
      <c r="C224" s="18" t="str">
        <f aca="false">IF($B224="","",IFERROR(INDEX(대상목록!$C$3:$C$302,MATCH($B224,대상목록!$A$3:$A$302,0)),""))</f>
        <v/>
      </c>
      <c r="D224" s="10"/>
      <c r="E224" s="10"/>
      <c r="F224" s="19"/>
      <c r="G224" s="10"/>
    </row>
    <row r="225" customFormat="false" ht="15" hidden="false" customHeight="true" outlineLevel="0" collapsed="false">
      <c r="A225" s="14"/>
      <c r="B225" s="10"/>
      <c r="C225" s="18" t="str">
        <f aca="false">IF($B225="","",IFERROR(INDEX(대상목록!$C$3:$C$302,MATCH($B225,대상목록!$A$3:$A$302,0)),""))</f>
        <v/>
      </c>
      <c r="D225" s="10"/>
      <c r="E225" s="10"/>
      <c r="F225" s="19"/>
      <c r="G225" s="10"/>
    </row>
    <row r="226" customFormat="false" ht="15" hidden="false" customHeight="true" outlineLevel="0" collapsed="false">
      <c r="A226" s="14"/>
      <c r="B226" s="10"/>
      <c r="C226" s="18" t="str">
        <f aca="false">IF($B226="","",IFERROR(INDEX(대상목록!$C$3:$C$302,MATCH($B226,대상목록!$A$3:$A$302,0)),""))</f>
        <v/>
      </c>
      <c r="D226" s="10"/>
      <c r="E226" s="10"/>
      <c r="F226" s="19"/>
      <c r="G226" s="10"/>
    </row>
    <row r="227" customFormat="false" ht="15" hidden="false" customHeight="true" outlineLevel="0" collapsed="false">
      <c r="A227" s="14"/>
      <c r="B227" s="10"/>
      <c r="C227" s="18" t="str">
        <f aca="false">IF($B227="","",IFERROR(INDEX(대상목록!$C$3:$C$302,MATCH($B227,대상목록!$A$3:$A$302,0)),""))</f>
        <v/>
      </c>
      <c r="D227" s="10"/>
      <c r="E227" s="10"/>
      <c r="F227" s="19"/>
      <c r="G227" s="10"/>
    </row>
    <row r="228" customFormat="false" ht="15" hidden="false" customHeight="true" outlineLevel="0" collapsed="false">
      <c r="A228" s="14"/>
      <c r="B228" s="10"/>
      <c r="C228" s="18" t="str">
        <f aca="false">IF($B228="","",IFERROR(INDEX(대상목록!$C$3:$C$302,MATCH($B228,대상목록!$A$3:$A$302,0)),""))</f>
        <v/>
      </c>
      <c r="D228" s="10"/>
      <c r="E228" s="10"/>
      <c r="F228" s="19"/>
      <c r="G228" s="10"/>
    </row>
    <row r="229" customFormat="false" ht="15" hidden="false" customHeight="true" outlineLevel="0" collapsed="false">
      <c r="A229" s="14"/>
      <c r="B229" s="10"/>
      <c r="C229" s="18" t="str">
        <f aca="false">IF($B229="","",IFERROR(INDEX(대상목록!$C$3:$C$302,MATCH($B229,대상목록!$A$3:$A$302,0)),""))</f>
        <v/>
      </c>
      <c r="D229" s="10"/>
      <c r="E229" s="10"/>
      <c r="F229" s="19"/>
      <c r="G229" s="10"/>
    </row>
    <row r="230" customFormat="false" ht="15" hidden="false" customHeight="true" outlineLevel="0" collapsed="false">
      <c r="A230" s="14"/>
      <c r="B230" s="10"/>
      <c r="C230" s="18" t="str">
        <f aca="false">IF($B230="","",IFERROR(INDEX(대상목록!$C$3:$C$302,MATCH($B230,대상목록!$A$3:$A$302,0)),""))</f>
        <v/>
      </c>
      <c r="D230" s="10"/>
      <c r="E230" s="10"/>
      <c r="F230" s="19"/>
      <c r="G230" s="10"/>
    </row>
    <row r="231" customFormat="false" ht="15" hidden="false" customHeight="true" outlineLevel="0" collapsed="false">
      <c r="A231" s="14"/>
      <c r="B231" s="10"/>
      <c r="C231" s="18" t="str">
        <f aca="false">IF($B231="","",IFERROR(INDEX(대상목록!$C$3:$C$302,MATCH($B231,대상목록!$A$3:$A$302,0)),""))</f>
        <v/>
      </c>
      <c r="D231" s="10"/>
      <c r="E231" s="10"/>
      <c r="F231" s="19"/>
      <c r="G231" s="10"/>
    </row>
    <row r="232" customFormat="false" ht="15" hidden="false" customHeight="true" outlineLevel="0" collapsed="false">
      <c r="A232" s="14"/>
      <c r="B232" s="10"/>
      <c r="C232" s="18" t="str">
        <f aca="false">IF($B232="","",IFERROR(INDEX(대상목록!$C$3:$C$302,MATCH($B232,대상목록!$A$3:$A$302,0)),""))</f>
        <v/>
      </c>
      <c r="D232" s="10"/>
      <c r="E232" s="10"/>
      <c r="F232" s="19"/>
      <c r="G232" s="10"/>
    </row>
    <row r="233" customFormat="false" ht="15" hidden="false" customHeight="true" outlineLevel="0" collapsed="false">
      <c r="A233" s="14"/>
      <c r="B233" s="10"/>
      <c r="C233" s="18" t="str">
        <f aca="false">IF($B233="","",IFERROR(INDEX(대상목록!$C$3:$C$302,MATCH($B233,대상목록!$A$3:$A$302,0)),""))</f>
        <v/>
      </c>
      <c r="D233" s="10"/>
      <c r="E233" s="10"/>
      <c r="F233" s="19"/>
      <c r="G233" s="10"/>
    </row>
    <row r="234" customFormat="false" ht="15" hidden="false" customHeight="true" outlineLevel="0" collapsed="false">
      <c r="A234" s="14"/>
      <c r="B234" s="10"/>
      <c r="C234" s="18" t="str">
        <f aca="false">IF($B234="","",IFERROR(INDEX(대상목록!$C$3:$C$302,MATCH($B234,대상목록!$A$3:$A$302,0)),""))</f>
        <v/>
      </c>
      <c r="D234" s="10"/>
      <c r="E234" s="10"/>
      <c r="F234" s="19"/>
      <c r="G234" s="10"/>
    </row>
    <row r="235" customFormat="false" ht="15" hidden="false" customHeight="true" outlineLevel="0" collapsed="false">
      <c r="A235" s="14"/>
      <c r="B235" s="10"/>
      <c r="C235" s="18" t="str">
        <f aca="false">IF($B235="","",IFERROR(INDEX(대상목록!$C$3:$C$302,MATCH($B235,대상목록!$A$3:$A$302,0)),""))</f>
        <v/>
      </c>
      <c r="D235" s="10"/>
      <c r="E235" s="10"/>
      <c r="F235" s="19"/>
      <c r="G235" s="10"/>
    </row>
    <row r="236" customFormat="false" ht="15" hidden="false" customHeight="true" outlineLevel="0" collapsed="false">
      <c r="A236" s="14"/>
      <c r="B236" s="10"/>
      <c r="C236" s="18" t="str">
        <f aca="false">IF($B236="","",IFERROR(INDEX(대상목록!$C$3:$C$302,MATCH($B236,대상목록!$A$3:$A$302,0)),""))</f>
        <v/>
      </c>
      <c r="D236" s="10"/>
      <c r="E236" s="10"/>
      <c r="F236" s="19"/>
      <c r="G236" s="10"/>
    </row>
    <row r="237" customFormat="false" ht="15" hidden="false" customHeight="true" outlineLevel="0" collapsed="false">
      <c r="A237" s="14"/>
      <c r="B237" s="10"/>
      <c r="C237" s="18" t="str">
        <f aca="false">IF($B237="","",IFERROR(INDEX(대상목록!$C$3:$C$302,MATCH($B237,대상목록!$A$3:$A$302,0)),""))</f>
        <v/>
      </c>
      <c r="D237" s="10"/>
      <c r="E237" s="10"/>
      <c r="F237" s="19"/>
      <c r="G237" s="10"/>
    </row>
    <row r="238" customFormat="false" ht="15" hidden="false" customHeight="true" outlineLevel="0" collapsed="false">
      <c r="A238" s="14"/>
      <c r="B238" s="10"/>
      <c r="C238" s="18" t="str">
        <f aca="false">IF($B238="","",IFERROR(INDEX(대상목록!$C$3:$C$302,MATCH($B238,대상목록!$A$3:$A$302,0)),""))</f>
        <v/>
      </c>
      <c r="D238" s="10"/>
      <c r="E238" s="10"/>
      <c r="F238" s="19"/>
      <c r="G238" s="10"/>
    </row>
    <row r="239" customFormat="false" ht="15" hidden="false" customHeight="true" outlineLevel="0" collapsed="false">
      <c r="A239" s="14"/>
      <c r="B239" s="10"/>
      <c r="C239" s="18" t="str">
        <f aca="false">IF($B239="","",IFERROR(INDEX(대상목록!$C$3:$C$302,MATCH($B239,대상목록!$A$3:$A$302,0)),""))</f>
        <v/>
      </c>
      <c r="D239" s="10"/>
      <c r="E239" s="10"/>
      <c r="F239" s="19"/>
      <c r="G239" s="10"/>
    </row>
    <row r="240" customFormat="false" ht="15" hidden="false" customHeight="true" outlineLevel="0" collapsed="false">
      <c r="A240" s="14"/>
      <c r="B240" s="10"/>
      <c r="C240" s="18" t="str">
        <f aca="false">IF($B240="","",IFERROR(INDEX(대상목록!$C$3:$C$302,MATCH($B240,대상목록!$A$3:$A$302,0)),""))</f>
        <v/>
      </c>
      <c r="D240" s="10"/>
      <c r="E240" s="10"/>
      <c r="F240" s="19"/>
      <c r="G240" s="10"/>
    </row>
    <row r="241" customFormat="false" ht="15" hidden="false" customHeight="true" outlineLevel="0" collapsed="false">
      <c r="A241" s="14"/>
      <c r="B241" s="10"/>
      <c r="C241" s="18" t="str">
        <f aca="false">IF($B241="","",IFERROR(INDEX(대상목록!$C$3:$C$302,MATCH($B241,대상목록!$A$3:$A$302,0)),""))</f>
        <v/>
      </c>
      <c r="D241" s="10"/>
      <c r="E241" s="10"/>
      <c r="F241" s="19"/>
      <c r="G241" s="10"/>
    </row>
    <row r="242" customFormat="false" ht="15" hidden="false" customHeight="true" outlineLevel="0" collapsed="false">
      <c r="A242" s="14"/>
      <c r="B242" s="10"/>
      <c r="C242" s="18" t="str">
        <f aca="false">IF($B242="","",IFERROR(INDEX(대상목록!$C$3:$C$302,MATCH($B242,대상목록!$A$3:$A$302,0)),""))</f>
        <v/>
      </c>
      <c r="D242" s="10"/>
      <c r="E242" s="10"/>
      <c r="F242" s="19"/>
      <c r="G242" s="10"/>
    </row>
    <row r="243" customFormat="false" ht="15" hidden="false" customHeight="true" outlineLevel="0" collapsed="false">
      <c r="A243" s="14"/>
      <c r="B243" s="10"/>
      <c r="C243" s="18" t="str">
        <f aca="false">IF($B243="","",IFERROR(INDEX(대상목록!$C$3:$C$302,MATCH($B243,대상목록!$A$3:$A$302,0)),""))</f>
        <v/>
      </c>
      <c r="D243" s="10"/>
      <c r="E243" s="10"/>
      <c r="F243" s="19"/>
      <c r="G243" s="10"/>
    </row>
    <row r="244" customFormat="false" ht="15" hidden="false" customHeight="true" outlineLevel="0" collapsed="false">
      <c r="A244" s="14"/>
      <c r="B244" s="10"/>
      <c r="C244" s="18" t="str">
        <f aca="false">IF($B244="","",IFERROR(INDEX(대상목록!$C$3:$C$302,MATCH($B244,대상목록!$A$3:$A$302,0)),""))</f>
        <v/>
      </c>
      <c r="D244" s="10"/>
      <c r="E244" s="10"/>
      <c r="F244" s="19"/>
      <c r="G244" s="10"/>
    </row>
    <row r="245" customFormat="false" ht="15" hidden="false" customHeight="true" outlineLevel="0" collapsed="false">
      <c r="A245" s="14"/>
      <c r="B245" s="10"/>
      <c r="C245" s="18" t="str">
        <f aca="false">IF($B245="","",IFERROR(INDEX(대상목록!$C$3:$C$302,MATCH($B245,대상목록!$A$3:$A$302,0)),""))</f>
        <v/>
      </c>
      <c r="D245" s="10"/>
      <c r="E245" s="10"/>
      <c r="F245" s="19"/>
      <c r="G245" s="10"/>
    </row>
    <row r="246" customFormat="false" ht="15" hidden="false" customHeight="true" outlineLevel="0" collapsed="false">
      <c r="A246" s="14"/>
      <c r="B246" s="10"/>
      <c r="C246" s="18" t="str">
        <f aca="false">IF($B246="","",IFERROR(INDEX(대상목록!$C$3:$C$302,MATCH($B246,대상목록!$A$3:$A$302,0)),""))</f>
        <v/>
      </c>
      <c r="D246" s="10"/>
      <c r="E246" s="10"/>
      <c r="F246" s="19"/>
      <c r="G246" s="10"/>
    </row>
    <row r="247" customFormat="false" ht="15" hidden="false" customHeight="true" outlineLevel="0" collapsed="false">
      <c r="A247" s="14"/>
      <c r="B247" s="10"/>
      <c r="C247" s="18" t="str">
        <f aca="false">IF($B247="","",IFERROR(INDEX(대상목록!$C$3:$C$302,MATCH($B247,대상목록!$A$3:$A$302,0)),""))</f>
        <v/>
      </c>
      <c r="D247" s="10"/>
      <c r="E247" s="10"/>
      <c r="F247" s="19"/>
      <c r="G247" s="10"/>
    </row>
    <row r="248" customFormat="false" ht="15" hidden="false" customHeight="true" outlineLevel="0" collapsed="false">
      <c r="A248" s="14"/>
      <c r="B248" s="10"/>
      <c r="C248" s="18" t="str">
        <f aca="false">IF($B248="","",IFERROR(INDEX(대상목록!$C$3:$C$302,MATCH($B248,대상목록!$A$3:$A$302,0)),""))</f>
        <v/>
      </c>
      <c r="D248" s="10"/>
      <c r="E248" s="10"/>
      <c r="F248" s="19"/>
      <c r="G248" s="10"/>
    </row>
    <row r="249" customFormat="false" ht="15" hidden="false" customHeight="true" outlineLevel="0" collapsed="false">
      <c r="A249" s="14"/>
      <c r="B249" s="10"/>
      <c r="C249" s="18" t="str">
        <f aca="false">IF($B249="","",IFERROR(INDEX(대상목록!$C$3:$C$302,MATCH($B249,대상목록!$A$3:$A$302,0)),""))</f>
        <v/>
      </c>
      <c r="D249" s="10"/>
      <c r="E249" s="10"/>
      <c r="F249" s="19"/>
      <c r="G249" s="10"/>
    </row>
    <row r="250" customFormat="false" ht="15" hidden="false" customHeight="true" outlineLevel="0" collapsed="false">
      <c r="A250" s="14"/>
      <c r="B250" s="10"/>
      <c r="C250" s="18" t="str">
        <f aca="false">IF($B250="","",IFERROR(INDEX(대상목록!$C$3:$C$302,MATCH($B250,대상목록!$A$3:$A$302,0)),""))</f>
        <v/>
      </c>
      <c r="D250" s="10"/>
      <c r="E250" s="10"/>
      <c r="F250" s="19"/>
      <c r="G250" s="10"/>
    </row>
    <row r="251" customFormat="false" ht="15" hidden="false" customHeight="true" outlineLevel="0" collapsed="false">
      <c r="A251" s="14"/>
      <c r="B251" s="10"/>
      <c r="C251" s="18" t="str">
        <f aca="false">IF($B251="","",IFERROR(INDEX(대상목록!$C$3:$C$302,MATCH($B251,대상목록!$A$3:$A$302,0)),""))</f>
        <v/>
      </c>
      <c r="D251" s="10"/>
      <c r="E251" s="10"/>
      <c r="F251" s="19"/>
      <c r="G251" s="10"/>
    </row>
    <row r="252" customFormat="false" ht="15" hidden="false" customHeight="true" outlineLevel="0" collapsed="false">
      <c r="A252" s="14"/>
      <c r="B252" s="10"/>
      <c r="C252" s="18" t="str">
        <f aca="false">IF($B252="","",IFERROR(INDEX(대상목록!$C$3:$C$302,MATCH($B252,대상목록!$A$3:$A$302,0)),""))</f>
        <v/>
      </c>
      <c r="D252" s="10"/>
      <c r="E252" s="10"/>
      <c r="F252" s="19"/>
      <c r="G252" s="10"/>
    </row>
    <row r="253" customFormat="false" ht="15" hidden="false" customHeight="true" outlineLevel="0" collapsed="false">
      <c r="A253" s="14"/>
      <c r="B253" s="10"/>
      <c r="C253" s="18" t="str">
        <f aca="false">IF($B253="","",IFERROR(INDEX(대상목록!$C$3:$C$302,MATCH($B253,대상목록!$A$3:$A$302,0)),""))</f>
        <v/>
      </c>
      <c r="D253" s="10"/>
      <c r="E253" s="10"/>
      <c r="F253" s="19"/>
      <c r="G253" s="10"/>
    </row>
    <row r="254" customFormat="false" ht="15" hidden="false" customHeight="true" outlineLevel="0" collapsed="false">
      <c r="A254" s="14"/>
      <c r="B254" s="10"/>
      <c r="C254" s="18" t="str">
        <f aca="false">IF($B254="","",IFERROR(INDEX(대상목록!$C$3:$C$302,MATCH($B254,대상목록!$A$3:$A$302,0)),""))</f>
        <v/>
      </c>
      <c r="D254" s="10"/>
      <c r="E254" s="10"/>
      <c r="F254" s="19"/>
      <c r="G254" s="10"/>
    </row>
    <row r="255" customFormat="false" ht="15" hidden="false" customHeight="true" outlineLevel="0" collapsed="false">
      <c r="A255" s="14"/>
      <c r="B255" s="10"/>
      <c r="C255" s="18" t="str">
        <f aca="false">IF($B255="","",IFERROR(INDEX(대상목록!$C$3:$C$302,MATCH($B255,대상목록!$A$3:$A$302,0)),""))</f>
        <v/>
      </c>
      <c r="D255" s="10"/>
      <c r="E255" s="10"/>
      <c r="F255" s="19"/>
      <c r="G255" s="10"/>
    </row>
    <row r="256" customFormat="false" ht="15" hidden="false" customHeight="true" outlineLevel="0" collapsed="false">
      <c r="A256" s="14"/>
      <c r="B256" s="10"/>
      <c r="C256" s="18" t="str">
        <f aca="false">IF($B256="","",IFERROR(INDEX(대상목록!$C$3:$C$302,MATCH($B256,대상목록!$A$3:$A$302,0)),""))</f>
        <v/>
      </c>
      <c r="D256" s="10"/>
      <c r="E256" s="10"/>
      <c r="F256" s="19"/>
      <c r="G256" s="10"/>
    </row>
    <row r="257" customFormat="false" ht="15" hidden="false" customHeight="true" outlineLevel="0" collapsed="false">
      <c r="A257" s="14"/>
      <c r="B257" s="10"/>
      <c r="C257" s="18" t="str">
        <f aca="false">IF($B257="","",IFERROR(INDEX(대상목록!$C$3:$C$302,MATCH($B257,대상목록!$A$3:$A$302,0)),""))</f>
        <v/>
      </c>
      <c r="D257" s="10"/>
      <c r="E257" s="10"/>
      <c r="F257" s="19"/>
      <c r="G257" s="10"/>
    </row>
    <row r="258" customFormat="false" ht="15" hidden="false" customHeight="true" outlineLevel="0" collapsed="false">
      <c r="A258" s="14"/>
      <c r="B258" s="10"/>
      <c r="C258" s="18" t="str">
        <f aca="false">IF($B258="","",IFERROR(INDEX(대상목록!$C$3:$C$302,MATCH($B258,대상목록!$A$3:$A$302,0)),""))</f>
        <v/>
      </c>
      <c r="D258" s="10"/>
      <c r="E258" s="10"/>
      <c r="F258" s="19"/>
      <c r="G258" s="10"/>
    </row>
    <row r="259" customFormat="false" ht="15" hidden="false" customHeight="true" outlineLevel="0" collapsed="false">
      <c r="A259" s="14"/>
      <c r="B259" s="10"/>
      <c r="C259" s="18" t="str">
        <f aca="false">IF($B259="","",IFERROR(INDEX(대상목록!$C$3:$C$302,MATCH($B259,대상목록!$A$3:$A$302,0)),""))</f>
        <v/>
      </c>
      <c r="D259" s="10"/>
      <c r="E259" s="10"/>
      <c r="F259" s="19"/>
      <c r="G259" s="10"/>
    </row>
    <row r="260" customFormat="false" ht="15" hidden="false" customHeight="true" outlineLevel="0" collapsed="false">
      <c r="A260" s="14"/>
      <c r="B260" s="10"/>
      <c r="C260" s="18" t="str">
        <f aca="false">IF($B260="","",IFERROR(INDEX(대상목록!$C$3:$C$302,MATCH($B260,대상목록!$A$3:$A$302,0)),""))</f>
        <v/>
      </c>
      <c r="D260" s="10"/>
      <c r="E260" s="10"/>
      <c r="F260" s="19"/>
      <c r="G260" s="10"/>
    </row>
    <row r="261" customFormat="false" ht="15" hidden="false" customHeight="true" outlineLevel="0" collapsed="false">
      <c r="A261" s="14"/>
      <c r="B261" s="10"/>
      <c r="C261" s="18" t="str">
        <f aca="false">IF($B261="","",IFERROR(INDEX(대상목록!$C$3:$C$302,MATCH($B261,대상목록!$A$3:$A$302,0)),""))</f>
        <v/>
      </c>
      <c r="D261" s="10"/>
      <c r="E261" s="10"/>
      <c r="F261" s="19"/>
      <c r="G261" s="10"/>
    </row>
    <row r="262" customFormat="false" ht="15" hidden="false" customHeight="true" outlineLevel="0" collapsed="false">
      <c r="A262" s="14"/>
      <c r="B262" s="10"/>
      <c r="C262" s="18" t="str">
        <f aca="false">IF($B262="","",IFERROR(INDEX(대상목록!$C$3:$C$302,MATCH($B262,대상목록!$A$3:$A$302,0)),""))</f>
        <v/>
      </c>
      <c r="D262" s="10"/>
      <c r="E262" s="10"/>
      <c r="F262" s="19"/>
      <c r="G262" s="10"/>
    </row>
    <row r="263" customFormat="false" ht="15" hidden="false" customHeight="true" outlineLevel="0" collapsed="false">
      <c r="A263" s="14"/>
      <c r="B263" s="10"/>
      <c r="C263" s="18" t="str">
        <f aca="false">IF($B263="","",IFERROR(INDEX(대상목록!$C$3:$C$302,MATCH($B263,대상목록!$A$3:$A$302,0)),""))</f>
        <v/>
      </c>
      <c r="D263" s="10"/>
      <c r="E263" s="10"/>
      <c r="F263" s="19"/>
      <c r="G263" s="10"/>
    </row>
    <row r="264" customFormat="false" ht="15" hidden="false" customHeight="true" outlineLevel="0" collapsed="false">
      <c r="A264" s="14"/>
      <c r="B264" s="10"/>
      <c r="C264" s="18" t="str">
        <f aca="false">IF($B264="","",IFERROR(INDEX(대상목록!$C$3:$C$302,MATCH($B264,대상목록!$A$3:$A$302,0)),""))</f>
        <v/>
      </c>
      <c r="D264" s="10"/>
      <c r="E264" s="10"/>
      <c r="F264" s="19"/>
      <c r="G264" s="10"/>
    </row>
    <row r="265" customFormat="false" ht="15" hidden="false" customHeight="true" outlineLevel="0" collapsed="false">
      <c r="A265" s="14"/>
      <c r="B265" s="10"/>
      <c r="C265" s="18" t="str">
        <f aca="false">IF($B265="","",IFERROR(INDEX(대상목록!$C$3:$C$302,MATCH($B265,대상목록!$A$3:$A$302,0)),""))</f>
        <v/>
      </c>
      <c r="D265" s="10"/>
      <c r="E265" s="10"/>
      <c r="F265" s="19"/>
      <c r="G265" s="10"/>
    </row>
    <row r="266" customFormat="false" ht="15" hidden="false" customHeight="true" outlineLevel="0" collapsed="false">
      <c r="A266" s="14"/>
      <c r="B266" s="10"/>
      <c r="C266" s="18" t="str">
        <f aca="false">IF($B266="","",IFERROR(INDEX(대상목록!$C$3:$C$302,MATCH($B266,대상목록!$A$3:$A$302,0)),""))</f>
        <v/>
      </c>
      <c r="D266" s="10"/>
      <c r="E266" s="10"/>
      <c r="F266" s="19"/>
      <c r="G266" s="10"/>
    </row>
    <row r="267" customFormat="false" ht="15" hidden="false" customHeight="true" outlineLevel="0" collapsed="false">
      <c r="A267" s="14"/>
      <c r="B267" s="10"/>
      <c r="C267" s="18" t="str">
        <f aca="false">IF($B267="","",IFERROR(INDEX(대상목록!$C$3:$C$302,MATCH($B267,대상목록!$A$3:$A$302,0)),""))</f>
        <v/>
      </c>
      <c r="D267" s="10"/>
      <c r="E267" s="10"/>
      <c r="F267" s="19"/>
      <c r="G267" s="10"/>
    </row>
    <row r="268" customFormat="false" ht="15" hidden="false" customHeight="true" outlineLevel="0" collapsed="false">
      <c r="A268" s="14"/>
      <c r="B268" s="10"/>
      <c r="C268" s="18" t="str">
        <f aca="false">IF($B268="","",IFERROR(INDEX(대상목록!$C$3:$C$302,MATCH($B268,대상목록!$A$3:$A$302,0)),""))</f>
        <v/>
      </c>
      <c r="D268" s="10"/>
      <c r="E268" s="10"/>
      <c r="F268" s="19"/>
      <c r="G268" s="10"/>
    </row>
    <row r="269" customFormat="false" ht="15" hidden="false" customHeight="true" outlineLevel="0" collapsed="false">
      <c r="A269" s="14"/>
      <c r="B269" s="10"/>
      <c r="C269" s="18" t="str">
        <f aca="false">IF($B269="","",IFERROR(INDEX(대상목록!$C$3:$C$302,MATCH($B269,대상목록!$A$3:$A$302,0)),""))</f>
        <v/>
      </c>
      <c r="D269" s="10"/>
      <c r="E269" s="10"/>
      <c r="F269" s="19"/>
      <c r="G269" s="10"/>
    </row>
    <row r="270" customFormat="false" ht="15" hidden="false" customHeight="true" outlineLevel="0" collapsed="false">
      <c r="A270" s="14"/>
      <c r="B270" s="10"/>
      <c r="C270" s="18" t="str">
        <f aca="false">IF($B270="","",IFERROR(INDEX(대상목록!$C$3:$C$302,MATCH($B270,대상목록!$A$3:$A$302,0)),""))</f>
        <v/>
      </c>
      <c r="D270" s="10"/>
      <c r="E270" s="10"/>
      <c r="F270" s="19"/>
      <c r="G270" s="10"/>
    </row>
    <row r="271" customFormat="false" ht="15" hidden="false" customHeight="true" outlineLevel="0" collapsed="false">
      <c r="A271" s="14"/>
      <c r="B271" s="10"/>
      <c r="C271" s="18" t="str">
        <f aca="false">IF($B271="","",IFERROR(INDEX(대상목록!$C$3:$C$302,MATCH($B271,대상목록!$A$3:$A$302,0)),""))</f>
        <v/>
      </c>
      <c r="D271" s="10"/>
      <c r="E271" s="10"/>
      <c r="F271" s="19"/>
      <c r="G271" s="10"/>
    </row>
    <row r="272" customFormat="false" ht="15" hidden="false" customHeight="true" outlineLevel="0" collapsed="false">
      <c r="A272" s="14"/>
      <c r="B272" s="10"/>
      <c r="C272" s="18" t="str">
        <f aca="false">IF($B272="","",IFERROR(INDEX(대상목록!$C$3:$C$302,MATCH($B272,대상목록!$A$3:$A$302,0)),""))</f>
        <v/>
      </c>
      <c r="D272" s="10"/>
      <c r="E272" s="10"/>
      <c r="F272" s="19"/>
      <c r="G272" s="10"/>
    </row>
    <row r="273" customFormat="false" ht="15" hidden="false" customHeight="true" outlineLevel="0" collapsed="false">
      <c r="A273" s="14"/>
      <c r="B273" s="10"/>
      <c r="C273" s="18" t="str">
        <f aca="false">IF($B273="","",IFERROR(INDEX(대상목록!$C$3:$C$302,MATCH($B273,대상목록!$A$3:$A$302,0)),""))</f>
        <v/>
      </c>
      <c r="D273" s="10"/>
      <c r="E273" s="10"/>
      <c r="F273" s="19"/>
      <c r="G273" s="10"/>
    </row>
    <row r="274" customFormat="false" ht="15" hidden="false" customHeight="true" outlineLevel="0" collapsed="false">
      <c r="A274" s="14"/>
      <c r="B274" s="10"/>
      <c r="C274" s="18" t="str">
        <f aca="false">IF($B274="","",IFERROR(INDEX(대상목록!$C$3:$C$302,MATCH($B274,대상목록!$A$3:$A$302,0)),""))</f>
        <v/>
      </c>
      <c r="D274" s="10"/>
      <c r="E274" s="10"/>
      <c r="F274" s="19"/>
      <c r="G274" s="10"/>
    </row>
    <row r="275" customFormat="false" ht="15" hidden="false" customHeight="true" outlineLevel="0" collapsed="false">
      <c r="A275" s="14"/>
      <c r="B275" s="10"/>
      <c r="C275" s="18" t="str">
        <f aca="false">IF($B275="","",IFERROR(INDEX(대상목록!$C$3:$C$302,MATCH($B275,대상목록!$A$3:$A$302,0)),""))</f>
        <v/>
      </c>
      <c r="D275" s="10"/>
      <c r="E275" s="10"/>
      <c r="F275" s="19"/>
      <c r="G275" s="10"/>
    </row>
    <row r="276" customFormat="false" ht="15" hidden="false" customHeight="true" outlineLevel="0" collapsed="false">
      <c r="A276" s="14"/>
      <c r="B276" s="10"/>
      <c r="C276" s="18" t="str">
        <f aca="false">IF($B276="","",IFERROR(INDEX(대상목록!$C$3:$C$302,MATCH($B276,대상목록!$A$3:$A$302,0)),""))</f>
        <v/>
      </c>
      <c r="D276" s="10"/>
      <c r="E276" s="10"/>
      <c r="F276" s="19"/>
      <c r="G276" s="10"/>
    </row>
    <row r="277" customFormat="false" ht="15" hidden="false" customHeight="true" outlineLevel="0" collapsed="false">
      <c r="A277" s="14"/>
      <c r="B277" s="10"/>
      <c r="C277" s="18" t="str">
        <f aca="false">IF($B277="","",IFERROR(INDEX(대상목록!$C$3:$C$302,MATCH($B277,대상목록!$A$3:$A$302,0)),""))</f>
        <v/>
      </c>
      <c r="D277" s="10"/>
      <c r="E277" s="10"/>
      <c r="F277" s="19"/>
      <c r="G277" s="10"/>
    </row>
    <row r="278" customFormat="false" ht="15" hidden="false" customHeight="true" outlineLevel="0" collapsed="false">
      <c r="A278" s="14"/>
      <c r="B278" s="10"/>
      <c r="C278" s="18" t="str">
        <f aca="false">IF($B278="","",IFERROR(INDEX(대상목록!$C$3:$C$302,MATCH($B278,대상목록!$A$3:$A$302,0)),""))</f>
        <v/>
      </c>
      <c r="D278" s="10"/>
      <c r="E278" s="10"/>
      <c r="F278" s="19"/>
      <c r="G278" s="10"/>
    </row>
    <row r="279" customFormat="false" ht="15" hidden="false" customHeight="true" outlineLevel="0" collapsed="false">
      <c r="A279" s="14"/>
      <c r="B279" s="10"/>
      <c r="C279" s="18" t="str">
        <f aca="false">IF($B279="","",IFERROR(INDEX(대상목록!$C$3:$C$302,MATCH($B279,대상목록!$A$3:$A$302,0)),""))</f>
        <v/>
      </c>
      <c r="D279" s="10"/>
      <c r="E279" s="10"/>
      <c r="F279" s="19"/>
      <c r="G279" s="10"/>
    </row>
    <row r="280" customFormat="false" ht="15" hidden="false" customHeight="true" outlineLevel="0" collapsed="false">
      <c r="A280" s="14"/>
      <c r="B280" s="10"/>
      <c r="C280" s="18" t="str">
        <f aca="false">IF($B280="","",IFERROR(INDEX(대상목록!$C$3:$C$302,MATCH($B280,대상목록!$A$3:$A$302,0)),""))</f>
        <v/>
      </c>
      <c r="D280" s="10"/>
      <c r="E280" s="10"/>
      <c r="F280" s="19"/>
      <c r="G280" s="10"/>
    </row>
    <row r="281" customFormat="false" ht="15" hidden="false" customHeight="true" outlineLevel="0" collapsed="false">
      <c r="A281" s="14"/>
      <c r="B281" s="10"/>
      <c r="C281" s="18" t="str">
        <f aca="false">IF($B281="","",IFERROR(INDEX(대상목록!$C$3:$C$302,MATCH($B281,대상목록!$A$3:$A$302,0)),""))</f>
        <v/>
      </c>
      <c r="D281" s="10"/>
      <c r="E281" s="10"/>
      <c r="F281" s="19"/>
      <c r="G281" s="10"/>
    </row>
    <row r="282" customFormat="false" ht="15" hidden="false" customHeight="true" outlineLevel="0" collapsed="false">
      <c r="A282" s="14"/>
      <c r="B282" s="10"/>
      <c r="C282" s="18" t="str">
        <f aca="false">IF($B282="","",IFERROR(INDEX(대상목록!$C$3:$C$302,MATCH($B282,대상목록!$A$3:$A$302,0)),""))</f>
        <v/>
      </c>
      <c r="D282" s="10"/>
      <c r="E282" s="10"/>
      <c r="F282" s="19"/>
      <c r="G282" s="10"/>
    </row>
    <row r="283" customFormat="false" ht="15" hidden="false" customHeight="true" outlineLevel="0" collapsed="false">
      <c r="A283" s="14"/>
      <c r="B283" s="10"/>
      <c r="C283" s="18" t="str">
        <f aca="false">IF($B283="","",IFERROR(INDEX(대상목록!$C$3:$C$302,MATCH($B283,대상목록!$A$3:$A$302,0)),""))</f>
        <v/>
      </c>
      <c r="D283" s="10"/>
      <c r="E283" s="10"/>
      <c r="F283" s="19"/>
      <c r="G283" s="10"/>
    </row>
    <row r="284" customFormat="false" ht="15" hidden="false" customHeight="true" outlineLevel="0" collapsed="false">
      <c r="A284" s="14"/>
      <c r="B284" s="10"/>
      <c r="C284" s="18" t="str">
        <f aca="false">IF($B284="","",IFERROR(INDEX(대상목록!$C$3:$C$302,MATCH($B284,대상목록!$A$3:$A$302,0)),""))</f>
        <v/>
      </c>
      <c r="D284" s="10"/>
      <c r="E284" s="10"/>
      <c r="F284" s="19"/>
      <c r="G284" s="10"/>
    </row>
    <row r="285" customFormat="false" ht="15" hidden="false" customHeight="true" outlineLevel="0" collapsed="false">
      <c r="A285" s="14"/>
      <c r="B285" s="10"/>
      <c r="C285" s="18" t="str">
        <f aca="false">IF($B285="","",IFERROR(INDEX(대상목록!$C$3:$C$302,MATCH($B285,대상목록!$A$3:$A$302,0)),""))</f>
        <v/>
      </c>
      <c r="D285" s="10"/>
      <c r="E285" s="10"/>
      <c r="F285" s="19"/>
      <c r="G285" s="10"/>
    </row>
    <row r="286" customFormat="false" ht="15" hidden="false" customHeight="true" outlineLevel="0" collapsed="false">
      <c r="A286" s="14"/>
      <c r="B286" s="10"/>
      <c r="C286" s="18" t="str">
        <f aca="false">IF($B286="","",IFERROR(INDEX(대상목록!$C$3:$C$302,MATCH($B286,대상목록!$A$3:$A$302,0)),""))</f>
        <v/>
      </c>
      <c r="D286" s="10"/>
      <c r="E286" s="10"/>
      <c r="F286" s="19"/>
      <c r="G286" s="10"/>
    </row>
    <row r="287" customFormat="false" ht="15" hidden="false" customHeight="true" outlineLevel="0" collapsed="false">
      <c r="A287" s="14"/>
      <c r="B287" s="10"/>
      <c r="C287" s="18" t="str">
        <f aca="false">IF($B287="","",IFERROR(INDEX(대상목록!$C$3:$C$302,MATCH($B287,대상목록!$A$3:$A$302,0)),""))</f>
        <v/>
      </c>
      <c r="D287" s="10"/>
      <c r="E287" s="10"/>
      <c r="F287" s="19"/>
      <c r="G287" s="10"/>
    </row>
    <row r="288" customFormat="false" ht="15" hidden="false" customHeight="true" outlineLevel="0" collapsed="false">
      <c r="A288" s="14"/>
      <c r="B288" s="10"/>
      <c r="C288" s="18" t="str">
        <f aca="false">IF($B288="","",IFERROR(INDEX(대상목록!$C$3:$C$302,MATCH($B288,대상목록!$A$3:$A$302,0)),""))</f>
        <v/>
      </c>
      <c r="D288" s="10"/>
      <c r="E288" s="10"/>
      <c r="F288" s="19"/>
      <c r="G288" s="10"/>
    </row>
    <row r="289" customFormat="false" ht="15" hidden="false" customHeight="true" outlineLevel="0" collapsed="false">
      <c r="A289" s="14"/>
      <c r="B289" s="10"/>
      <c r="C289" s="18" t="str">
        <f aca="false">IF($B289="","",IFERROR(INDEX(대상목록!$C$3:$C$302,MATCH($B289,대상목록!$A$3:$A$302,0)),""))</f>
        <v/>
      </c>
      <c r="D289" s="10"/>
      <c r="E289" s="10"/>
      <c r="F289" s="19"/>
      <c r="G289" s="10"/>
    </row>
    <row r="290" customFormat="false" ht="15" hidden="false" customHeight="true" outlineLevel="0" collapsed="false">
      <c r="A290" s="14"/>
      <c r="B290" s="10"/>
      <c r="C290" s="18" t="str">
        <f aca="false">IF($B290="","",IFERROR(INDEX(대상목록!$C$3:$C$302,MATCH($B290,대상목록!$A$3:$A$302,0)),""))</f>
        <v/>
      </c>
      <c r="D290" s="10"/>
      <c r="E290" s="10"/>
      <c r="F290" s="19"/>
      <c r="G290" s="10"/>
    </row>
    <row r="291" customFormat="false" ht="15" hidden="false" customHeight="true" outlineLevel="0" collapsed="false">
      <c r="A291" s="14"/>
      <c r="B291" s="10"/>
      <c r="C291" s="18" t="str">
        <f aca="false">IF($B291="","",IFERROR(INDEX(대상목록!$C$3:$C$302,MATCH($B291,대상목록!$A$3:$A$302,0)),""))</f>
        <v/>
      </c>
      <c r="D291" s="10"/>
      <c r="E291" s="10"/>
      <c r="F291" s="19"/>
      <c r="G291" s="10"/>
    </row>
    <row r="292" customFormat="false" ht="15" hidden="false" customHeight="true" outlineLevel="0" collapsed="false">
      <c r="A292" s="14"/>
      <c r="B292" s="10"/>
      <c r="C292" s="18" t="str">
        <f aca="false">IF($B292="","",IFERROR(INDEX(대상목록!$C$3:$C$302,MATCH($B292,대상목록!$A$3:$A$302,0)),""))</f>
        <v/>
      </c>
      <c r="D292" s="10"/>
      <c r="E292" s="10"/>
      <c r="F292" s="19"/>
      <c r="G292" s="10"/>
    </row>
    <row r="293" customFormat="false" ht="15" hidden="false" customHeight="true" outlineLevel="0" collapsed="false">
      <c r="A293" s="14"/>
      <c r="B293" s="10"/>
      <c r="C293" s="18" t="str">
        <f aca="false">IF($B293="","",IFERROR(INDEX(대상목록!$C$3:$C$302,MATCH($B293,대상목록!$A$3:$A$302,0)),""))</f>
        <v/>
      </c>
      <c r="D293" s="10"/>
      <c r="E293" s="10"/>
      <c r="F293" s="19"/>
      <c r="G293" s="10"/>
    </row>
    <row r="294" customFormat="false" ht="15" hidden="false" customHeight="true" outlineLevel="0" collapsed="false">
      <c r="A294" s="14"/>
      <c r="B294" s="10"/>
      <c r="C294" s="18" t="str">
        <f aca="false">IF($B294="","",IFERROR(INDEX(대상목록!$C$3:$C$302,MATCH($B294,대상목록!$A$3:$A$302,0)),""))</f>
        <v/>
      </c>
      <c r="D294" s="10"/>
      <c r="E294" s="10"/>
      <c r="F294" s="19"/>
      <c r="G294" s="10"/>
    </row>
    <row r="295" customFormat="false" ht="15" hidden="false" customHeight="true" outlineLevel="0" collapsed="false">
      <c r="A295" s="14"/>
      <c r="B295" s="10"/>
      <c r="C295" s="18" t="str">
        <f aca="false">IF($B295="","",IFERROR(INDEX(대상목록!$C$3:$C$302,MATCH($B295,대상목록!$A$3:$A$302,0)),""))</f>
        <v/>
      </c>
      <c r="D295" s="10"/>
      <c r="E295" s="10"/>
      <c r="F295" s="19"/>
      <c r="G295" s="10"/>
    </row>
    <row r="296" customFormat="false" ht="15" hidden="false" customHeight="true" outlineLevel="0" collapsed="false">
      <c r="A296" s="14"/>
      <c r="B296" s="10"/>
      <c r="C296" s="18" t="str">
        <f aca="false">IF($B296="","",IFERROR(INDEX(대상목록!$C$3:$C$302,MATCH($B296,대상목록!$A$3:$A$302,0)),""))</f>
        <v/>
      </c>
      <c r="D296" s="10"/>
      <c r="E296" s="10"/>
      <c r="F296" s="19"/>
      <c r="G296" s="10"/>
    </row>
    <row r="297" customFormat="false" ht="15" hidden="false" customHeight="true" outlineLevel="0" collapsed="false">
      <c r="A297" s="14"/>
      <c r="B297" s="10"/>
      <c r="C297" s="18" t="str">
        <f aca="false">IF($B297="","",IFERROR(INDEX(대상목록!$C$3:$C$302,MATCH($B297,대상목록!$A$3:$A$302,0)),""))</f>
        <v/>
      </c>
      <c r="D297" s="10"/>
      <c r="E297" s="10"/>
      <c r="F297" s="19"/>
      <c r="G297" s="10"/>
    </row>
    <row r="298" customFormat="false" ht="15" hidden="false" customHeight="true" outlineLevel="0" collapsed="false">
      <c r="A298" s="14"/>
      <c r="B298" s="10"/>
      <c r="C298" s="18" t="str">
        <f aca="false">IF($B298="","",IFERROR(INDEX(대상목록!$C$3:$C$302,MATCH($B298,대상목록!$A$3:$A$302,0)),""))</f>
        <v/>
      </c>
      <c r="D298" s="10"/>
      <c r="E298" s="10"/>
      <c r="F298" s="19"/>
      <c r="G298" s="10"/>
    </row>
    <row r="299" customFormat="false" ht="15" hidden="false" customHeight="true" outlineLevel="0" collapsed="false">
      <c r="A299" s="14"/>
      <c r="B299" s="10"/>
      <c r="C299" s="18" t="str">
        <f aca="false">IF($B299="","",IFERROR(INDEX(대상목록!$C$3:$C$302,MATCH($B299,대상목록!$A$3:$A$302,0)),""))</f>
        <v/>
      </c>
      <c r="D299" s="10"/>
      <c r="E299" s="10"/>
      <c r="F299" s="19"/>
      <c r="G299" s="10"/>
    </row>
    <row r="300" customFormat="false" ht="15" hidden="false" customHeight="true" outlineLevel="0" collapsed="false">
      <c r="A300" s="14"/>
      <c r="B300" s="10"/>
      <c r="C300" s="18" t="str">
        <f aca="false">IF($B300="","",IFERROR(INDEX(대상목록!$C$3:$C$302,MATCH($B300,대상목록!$A$3:$A$302,0)),""))</f>
        <v/>
      </c>
      <c r="D300" s="10"/>
      <c r="E300" s="10"/>
      <c r="F300" s="19"/>
      <c r="G300" s="10"/>
    </row>
    <row r="301" customFormat="false" ht="15" hidden="false" customHeight="true" outlineLevel="0" collapsed="false">
      <c r="A301" s="14"/>
      <c r="B301" s="10"/>
      <c r="C301" s="18" t="str">
        <f aca="false">IF($B301="","",IFERROR(INDEX(대상목록!$C$3:$C$302,MATCH($B301,대상목록!$A$3:$A$302,0)),""))</f>
        <v/>
      </c>
      <c r="D301" s="10"/>
      <c r="E301" s="10"/>
      <c r="F301" s="19"/>
      <c r="G301" s="10"/>
    </row>
    <row r="302" customFormat="false" ht="15" hidden="false" customHeight="true" outlineLevel="0" collapsed="false">
      <c r="A302" s="14"/>
      <c r="B302" s="10"/>
      <c r="C302" s="18" t="str">
        <f aca="false">IF($B302="","",IFERROR(INDEX(대상목록!$C$3:$C$302,MATCH($B302,대상목록!$A$3:$A$302,0)),""))</f>
        <v/>
      </c>
      <c r="D302" s="10"/>
      <c r="E302" s="10"/>
      <c r="F302" s="19"/>
      <c r="G302" s="10"/>
    </row>
    <row r="303" customFormat="false" ht="15" hidden="false" customHeight="true" outlineLevel="0" collapsed="false">
      <c r="A303" s="14"/>
      <c r="B303" s="10"/>
      <c r="C303" s="18" t="str">
        <f aca="false">IF($B303="","",IFERROR(INDEX(대상목록!$C$3:$C$302,MATCH($B303,대상목록!$A$3:$A$302,0)),""))</f>
        <v/>
      </c>
      <c r="D303" s="10"/>
      <c r="E303" s="10"/>
      <c r="F303" s="19"/>
      <c r="G303" s="10"/>
    </row>
    <row r="304" customFormat="false" ht="15" hidden="false" customHeight="true" outlineLevel="0" collapsed="false">
      <c r="A304" s="14"/>
      <c r="B304" s="10"/>
      <c r="C304" s="18" t="str">
        <f aca="false">IF($B304="","",IFERROR(INDEX(대상목록!$C$3:$C$302,MATCH($B304,대상목록!$A$3:$A$302,0)),""))</f>
        <v/>
      </c>
      <c r="D304" s="10"/>
      <c r="E304" s="10"/>
      <c r="F304" s="19"/>
      <c r="G304" s="10"/>
    </row>
    <row r="305" customFormat="false" ht="15" hidden="false" customHeight="true" outlineLevel="0" collapsed="false">
      <c r="A305" s="14"/>
      <c r="B305" s="10"/>
      <c r="C305" s="18" t="str">
        <f aca="false">IF($B305="","",IFERROR(INDEX(대상목록!$C$3:$C$302,MATCH($B305,대상목록!$A$3:$A$302,0)),""))</f>
        <v/>
      </c>
      <c r="D305" s="10"/>
      <c r="E305" s="10"/>
      <c r="F305" s="19"/>
      <c r="G305" s="10"/>
    </row>
    <row r="306" customFormat="false" ht="15" hidden="false" customHeight="true" outlineLevel="0" collapsed="false">
      <c r="A306" s="14"/>
      <c r="B306" s="10"/>
      <c r="C306" s="18" t="str">
        <f aca="false">IF($B306="","",IFERROR(INDEX(대상목록!$C$3:$C$302,MATCH($B306,대상목록!$A$3:$A$302,0)),""))</f>
        <v/>
      </c>
      <c r="D306" s="10"/>
      <c r="E306" s="10"/>
      <c r="F306" s="19"/>
      <c r="G306" s="10"/>
    </row>
    <row r="307" customFormat="false" ht="15" hidden="false" customHeight="true" outlineLevel="0" collapsed="false">
      <c r="A307" s="14"/>
      <c r="B307" s="10"/>
      <c r="C307" s="18" t="str">
        <f aca="false">IF($B307="","",IFERROR(INDEX(대상목록!$C$3:$C$302,MATCH($B307,대상목록!$A$3:$A$302,0)),""))</f>
        <v/>
      </c>
      <c r="D307" s="10"/>
      <c r="E307" s="10"/>
      <c r="F307" s="19"/>
      <c r="G307" s="10"/>
    </row>
    <row r="308" customFormat="false" ht="15" hidden="false" customHeight="true" outlineLevel="0" collapsed="false">
      <c r="A308" s="14"/>
      <c r="B308" s="10"/>
      <c r="C308" s="18" t="str">
        <f aca="false">IF($B308="","",IFERROR(INDEX(대상목록!$C$3:$C$302,MATCH($B308,대상목록!$A$3:$A$302,0)),""))</f>
        <v/>
      </c>
      <c r="D308" s="10"/>
      <c r="E308" s="10"/>
      <c r="F308" s="19"/>
      <c r="G308" s="10"/>
    </row>
    <row r="309" customFormat="false" ht="15" hidden="false" customHeight="true" outlineLevel="0" collapsed="false">
      <c r="A309" s="14"/>
      <c r="B309" s="10"/>
      <c r="C309" s="18" t="str">
        <f aca="false">IF($B309="","",IFERROR(INDEX(대상목록!$C$3:$C$302,MATCH($B309,대상목록!$A$3:$A$302,0)),""))</f>
        <v/>
      </c>
      <c r="D309" s="10"/>
      <c r="E309" s="10"/>
      <c r="F309" s="19"/>
      <c r="G309" s="10"/>
    </row>
    <row r="310" customFormat="false" ht="15" hidden="false" customHeight="true" outlineLevel="0" collapsed="false">
      <c r="A310" s="14"/>
      <c r="B310" s="10"/>
      <c r="C310" s="18" t="str">
        <f aca="false">IF($B310="","",IFERROR(INDEX(대상목록!$C$3:$C$302,MATCH($B310,대상목록!$A$3:$A$302,0)),""))</f>
        <v/>
      </c>
      <c r="D310" s="10"/>
      <c r="E310" s="10"/>
      <c r="F310" s="19"/>
      <c r="G310" s="10"/>
    </row>
    <row r="311" customFormat="false" ht="15" hidden="false" customHeight="true" outlineLevel="0" collapsed="false">
      <c r="A311" s="14"/>
      <c r="B311" s="10"/>
      <c r="C311" s="18" t="str">
        <f aca="false">IF($B311="","",IFERROR(INDEX(대상목록!$C$3:$C$302,MATCH($B311,대상목록!$A$3:$A$302,0)),""))</f>
        <v/>
      </c>
      <c r="D311" s="10"/>
      <c r="E311" s="10"/>
      <c r="F311" s="19"/>
      <c r="G311" s="10"/>
    </row>
    <row r="312" customFormat="false" ht="15" hidden="false" customHeight="true" outlineLevel="0" collapsed="false">
      <c r="A312" s="14"/>
      <c r="B312" s="10"/>
      <c r="C312" s="18" t="str">
        <f aca="false">IF($B312="","",IFERROR(INDEX(대상목록!$C$3:$C$302,MATCH($B312,대상목록!$A$3:$A$302,0)),""))</f>
        <v/>
      </c>
      <c r="D312" s="10"/>
      <c r="E312" s="10"/>
      <c r="F312" s="19"/>
      <c r="G312" s="10"/>
    </row>
    <row r="313" customFormat="false" ht="15" hidden="false" customHeight="true" outlineLevel="0" collapsed="false">
      <c r="A313" s="14"/>
      <c r="B313" s="10"/>
      <c r="C313" s="18" t="str">
        <f aca="false">IF($B313="","",IFERROR(INDEX(대상목록!$C$3:$C$302,MATCH($B313,대상목록!$A$3:$A$302,0)),""))</f>
        <v/>
      </c>
      <c r="D313" s="10"/>
      <c r="E313" s="10"/>
      <c r="F313" s="19"/>
      <c r="G313" s="10"/>
    </row>
    <row r="314" customFormat="false" ht="15" hidden="false" customHeight="true" outlineLevel="0" collapsed="false">
      <c r="A314" s="14"/>
      <c r="B314" s="10"/>
      <c r="C314" s="18" t="str">
        <f aca="false">IF($B314="","",IFERROR(INDEX(대상목록!$C$3:$C$302,MATCH($B314,대상목록!$A$3:$A$302,0)),""))</f>
        <v/>
      </c>
      <c r="D314" s="10"/>
      <c r="E314" s="10"/>
      <c r="F314" s="19"/>
      <c r="G314" s="10"/>
    </row>
    <row r="315" customFormat="false" ht="15" hidden="false" customHeight="true" outlineLevel="0" collapsed="false">
      <c r="A315" s="14"/>
      <c r="B315" s="10"/>
      <c r="C315" s="18" t="str">
        <f aca="false">IF($B315="","",IFERROR(INDEX(대상목록!$C$3:$C$302,MATCH($B315,대상목록!$A$3:$A$302,0)),""))</f>
        <v/>
      </c>
      <c r="D315" s="10"/>
      <c r="E315" s="10"/>
      <c r="F315" s="19"/>
      <c r="G315" s="10"/>
    </row>
    <row r="316" customFormat="false" ht="15" hidden="false" customHeight="true" outlineLevel="0" collapsed="false">
      <c r="A316" s="14"/>
      <c r="B316" s="10"/>
      <c r="C316" s="18" t="str">
        <f aca="false">IF($B316="","",IFERROR(INDEX(대상목록!$C$3:$C$302,MATCH($B316,대상목록!$A$3:$A$302,0)),""))</f>
        <v/>
      </c>
      <c r="D316" s="10"/>
      <c r="E316" s="10"/>
      <c r="F316" s="19"/>
      <c r="G316" s="10"/>
    </row>
    <row r="317" customFormat="false" ht="15" hidden="false" customHeight="true" outlineLevel="0" collapsed="false">
      <c r="A317" s="14"/>
      <c r="B317" s="10"/>
      <c r="C317" s="18" t="str">
        <f aca="false">IF($B317="","",IFERROR(INDEX(대상목록!$C$3:$C$302,MATCH($B317,대상목록!$A$3:$A$302,0)),""))</f>
        <v/>
      </c>
      <c r="D317" s="10"/>
      <c r="E317" s="10"/>
      <c r="F317" s="19"/>
      <c r="G317" s="10"/>
    </row>
    <row r="318" customFormat="false" ht="15" hidden="false" customHeight="true" outlineLevel="0" collapsed="false">
      <c r="A318" s="14"/>
      <c r="B318" s="10"/>
      <c r="C318" s="18" t="str">
        <f aca="false">IF($B318="","",IFERROR(INDEX(대상목록!$C$3:$C$302,MATCH($B318,대상목록!$A$3:$A$302,0)),""))</f>
        <v/>
      </c>
      <c r="D318" s="10"/>
      <c r="E318" s="10"/>
      <c r="F318" s="19"/>
      <c r="G318" s="10"/>
    </row>
    <row r="319" customFormat="false" ht="15" hidden="false" customHeight="true" outlineLevel="0" collapsed="false">
      <c r="A319" s="14"/>
      <c r="B319" s="10"/>
      <c r="C319" s="18" t="str">
        <f aca="false">IF($B319="","",IFERROR(INDEX(대상목록!$C$3:$C$302,MATCH($B319,대상목록!$A$3:$A$302,0)),""))</f>
        <v/>
      </c>
      <c r="D319" s="10"/>
      <c r="E319" s="10"/>
      <c r="F319" s="19"/>
      <c r="G319" s="10"/>
    </row>
    <row r="320" customFormat="false" ht="15" hidden="false" customHeight="true" outlineLevel="0" collapsed="false">
      <c r="A320" s="14"/>
      <c r="B320" s="10"/>
      <c r="C320" s="18" t="str">
        <f aca="false">IF($B320="","",IFERROR(INDEX(대상목록!$C$3:$C$302,MATCH($B320,대상목록!$A$3:$A$302,0)),""))</f>
        <v/>
      </c>
      <c r="D320" s="10"/>
      <c r="E320" s="10"/>
      <c r="F320" s="19"/>
      <c r="G320" s="10"/>
    </row>
    <row r="321" customFormat="false" ht="15" hidden="false" customHeight="true" outlineLevel="0" collapsed="false">
      <c r="A321" s="14"/>
      <c r="B321" s="10"/>
      <c r="C321" s="18" t="str">
        <f aca="false">IF($B321="","",IFERROR(INDEX(대상목록!$C$3:$C$302,MATCH($B321,대상목록!$A$3:$A$302,0)),""))</f>
        <v/>
      </c>
      <c r="D321" s="10"/>
      <c r="E321" s="10"/>
      <c r="F321" s="19"/>
      <c r="G321" s="10"/>
    </row>
    <row r="322" customFormat="false" ht="15" hidden="false" customHeight="true" outlineLevel="0" collapsed="false">
      <c r="A322" s="14"/>
      <c r="B322" s="10"/>
      <c r="C322" s="18" t="str">
        <f aca="false">IF($B322="","",IFERROR(INDEX(대상목록!$C$3:$C$302,MATCH($B322,대상목록!$A$3:$A$302,0)),""))</f>
        <v/>
      </c>
      <c r="D322" s="10"/>
      <c r="E322" s="10"/>
      <c r="F322" s="19"/>
      <c r="G322" s="10"/>
    </row>
    <row r="323" customFormat="false" ht="15" hidden="false" customHeight="true" outlineLevel="0" collapsed="false">
      <c r="A323" s="14"/>
      <c r="B323" s="10"/>
      <c r="C323" s="18" t="str">
        <f aca="false">IF($B323="","",IFERROR(INDEX(대상목록!$C$3:$C$302,MATCH($B323,대상목록!$A$3:$A$302,0)),""))</f>
        <v/>
      </c>
      <c r="D323" s="10"/>
      <c r="E323" s="10"/>
      <c r="F323" s="19"/>
      <c r="G323" s="10"/>
    </row>
    <row r="324" customFormat="false" ht="15" hidden="false" customHeight="true" outlineLevel="0" collapsed="false">
      <c r="A324" s="14"/>
      <c r="B324" s="10"/>
      <c r="C324" s="18" t="str">
        <f aca="false">IF($B324="","",IFERROR(INDEX(대상목록!$C$3:$C$302,MATCH($B324,대상목록!$A$3:$A$302,0)),""))</f>
        <v/>
      </c>
      <c r="D324" s="10"/>
      <c r="E324" s="10"/>
      <c r="F324" s="19"/>
      <c r="G324" s="10"/>
    </row>
    <row r="325" customFormat="false" ht="15" hidden="false" customHeight="true" outlineLevel="0" collapsed="false">
      <c r="A325" s="14"/>
      <c r="B325" s="10"/>
      <c r="C325" s="18" t="str">
        <f aca="false">IF($B325="","",IFERROR(INDEX(대상목록!$C$3:$C$302,MATCH($B325,대상목록!$A$3:$A$302,0)),""))</f>
        <v/>
      </c>
      <c r="D325" s="10"/>
      <c r="E325" s="10"/>
      <c r="F325" s="19"/>
      <c r="G325" s="10"/>
    </row>
    <row r="326" customFormat="false" ht="15" hidden="false" customHeight="true" outlineLevel="0" collapsed="false">
      <c r="A326" s="14"/>
      <c r="B326" s="10"/>
      <c r="C326" s="18" t="str">
        <f aca="false">IF($B326="","",IFERROR(INDEX(대상목록!$C$3:$C$302,MATCH($B326,대상목록!$A$3:$A$302,0)),""))</f>
        <v/>
      </c>
      <c r="D326" s="10"/>
      <c r="E326" s="10"/>
      <c r="F326" s="19"/>
      <c r="G326" s="10"/>
    </row>
    <row r="327" customFormat="false" ht="15" hidden="false" customHeight="true" outlineLevel="0" collapsed="false">
      <c r="A327" s="14"/>
      <c r="B327" s="10"/>
      <c r="C327" s="18" t="str">
        <f aca="false">IF($B327="","",IFERROR(INDEX(대상목록!$C$3:$C$302,MATCH($B327,대상목록!$A$3:$A$302,0)),""))</f>
        <v/>
      </c>
      <c r="D327" s="10"/>
      <c r="E327" s="10"/>
      <c r="F327" s="19"/>
      <c r="G327" s="10"/>
    </row>
    <row r="328" customFormat="false" ht="15" hidden="false" customHeight="true" outlineLevel="0" collapsed="false">
      <c r="A328" s="14"/>
      <c r="B328" s="10"/>
      <c r="C328" s="18" t="str">
        <f aca="false">IF($B328="","",IFERROR(INDEX(대상목록!$C$3:$C$302,MATCH($B328,대상목록!$A$3:$A$302,0)),""))</f>
        <v/>
      </c>
      <c r="D328" s="10"/>
      <c r="E328" s="10"/>
      <c r="F328" s="19"/>
      <c r="G328" s="10"/>
    </row>
    <row r="329" customFormat="false" ht="15" hidden="false" customHeight="true" outlineLevel="0" collapsed="false">
      <c r="A329" s="14"/>
      <c r="B329" s="10"/>
      <c r="C329" s="18" t="str">
        <f aca="false">IF($B329="","",IFERROR(INDEX(대상목록!$C$3:$C$302,MATCH($B329,대상목록!$A$3:$A$302,0)),""))</f>
        <v/>
      </c>
      <c r="D329" s="10"/>
      <c r="E329" s="10"/>
      <c r="F329" s="19"/>
      <c r="G329" s="10"/>
    </row>
    <row r="330" customFormat="false" ht="15" hidden="false" customHeight="true" outlineLevel="0" collapsed="false">
      <c r="A330" s="14"/>
      <c r="B330" s="10"/>
      <c r="C330" s="18" t="str">
        <f aca="false">IF($B330="","",IFERROR(INDEX(대상목록!$C$3:$C$302,MATCH($B330,대상목록!$A$3:$A$302,0)),""))</f>
        <v/>
      </c>
      <c r="D330" s="10"/>
      <c r="E330" s="10"/>
      <c r="F330" s="19"/>
      <c r="G330" s="10"/>
    </row>
    <row r="331" customFormat="false" ht="15" hidden="false" customHeight="true" outlineLevel="0" collapsed="false">
      <c r="A331" s="14"/>
      <c r="B331" s="10"/>
      <c r="C331" s="18" t="str">
        <f aca="false">IF($B331="","",IFERROR(INDEX(대상목록!$C$3:$C$302,MATCH($B331,대상목록!$A$3:$A$302,0)),""))</f>
        <v/>
      </c>
      <c r="D331" s="10"/>
      <c r="E331" s="10"/>
      <c r="F331" s="19"/>
      <c r="G331" s="10"/>
    </row>
    <row r="332" customFormat="false" ht="15" hidden="false" customHeight="true" outlineLevel="0" collapsed="false">
      <c r="A332" s="14"/>
      <c r="B332" s="10"/>
      <c r="C332" s="18" t="str">
        <f aca="false">IF($B332="","",IFERROR(INDEX(대상목록!$C$3:$C$302,MATCH($B332,대상목록!$A$3:$A$302,0)),""))</f>
        <v/>
      </c>
      <c r="D332" s="10"/>
      <c r="E332" s="10"/>
      <c r="F332" s="19"/>
      <c r="G332" s="10"/>
    </row>
    <row r="333" customFormat="false" ht="15" hidden="false" customHeight="true" outlineLevel="0" collapsed="false">
      <c r="A333" s="14"/>
      <c r="B333" s="10"/>
      <c r="C333" s="18" t="str">
        <f aca="false">IF($B333="","",IFERROR(INDEX(대상목록!$C$3:$C$302,MATCH($B333,대상목록!$A$3:$A$302,0)),""))</f>
        <v/>
      </c>
      <c r="D333" s="10"/>
      <c r="E333" s="10"/>
      <c r="F333" s="19"/>
      <c r="G333" s="10"/>
    </row>
    <row r="334" customFormat="false" ht="15" hidden="false" customHeight="true" outlineLevel="0" collapsed="false">
      <c r="A334" s="14"/>
      <c r="B334" s="10"/>
      <c r="C334" s="18" t="str">
        <f aca="false">IF($B334="","",IFERROR(INDEX(대상목록!$C$3:$C$302,MATCH($B334,대상목록!$A$3:$A$302,0)),""))</f>
        <v/>
      </c>
      <c r="D334" s="10"/>
      <c r="E334" s="10"/>
      <c r="F334" s="19"/>
      <c r="G334" s="10"/>
    </row>
    <row r="335" customFormat="false" ht="15" hidden="false" customHeight="true" outlineLevel="0" collapsed="false">
      <c r="A335" s="14"/>
      <c r="B335" s="10"/>
      <c r="C335" s="18" t="str">
        <f aca="false">IF($B335="","",IFERROR(INDEX(대상목록!$C$3:$C$302,MATCH($B335,대상목록!$A$3:$A$302,0)),""))</f>
        <v/>
      </c>
      <c r="D335" s="10"/>
      <c r="E335" s="10"/>
      <c r="F335" s="19"/>
      <c r="G335" s="10"/>
    </row>
    <row r="336" customFormat="false" ht="15" hidden="false" customHeight="true" outlineLevel="0" collapsed="false">
      <c r="A336" s="14"/>
      <c r="B336" s="10"/>
      <c r="C336" s="18" t="str">
        <f aca="false">IF($B336="","",IFERROR(INDEX(대상목록!$C$3:$C$302,MATCH($B336,대상목록!$A$3:$A$302,0)),""))</f>
        <v/>
      </c>
      <c r="D336" s="10"/>
      <c r="E336" s="10"/>
      <c r="F336" s="19"/>
      <c r="G336" s="10"/>
    </row>
    <row r="337" customFormat="false" ht="15" hidden="false" customHeight="true" outlineLevel="0" collapsed="false">
      <c r="A337" s="14"/>
      <c r="B337" s="10"/>
      <c r="C337" s="18" t="str">
        <f aca="false">IF($B337="","",IFERROR(INDEX(대상목록!$C$3:$C$302,MATCH($B337,대상목록!$A$3:$A$302,0)),""))</f>
        <v/>
      </c>
      <c r="D337" s="10"/>
      <c r="E337" s="10"/>
      <c r="F337" s="19"/>
      <c r="G337" s="10"/>
    </row>
    <row r="338" customFormat="false" ht="15" hidden="false" customHeight="true" outlineLevel="0" collapsed="false">
      <c r="A338" s="14"/>
      <c r="B338" s="10"/>
      <c r="C338" s="18" t="str">
        <f aca="false">IF($B338="","",IFERROR(INDEX(대상목록!$C$3:$C$302,MATCH($B338,대상목록!$A$3:$A$302,0)),""))</f>
        <v/>
      </c>
      <c r="D338" s="10"/>
      <c r="E338" s="10"/>
      <c r="F338" s="19"/>
      <c r="G338" s="10"/>
    </row>
    <row r="339" customFormat="false" ht="15" hidden="false" customHeight="true" outlineLevel="0" collapsed="false">
      <c r="A339" s="14"/>
      <c r="B339" s="10"/>
      <c r="C339" s="18" t="str">
        <f aca="false">IF($B339="","",IFERROR(INDEX(대상목록!$C$3:$C$302,MATCH($B339,대상목록!$A$3:$A$302,0)),""))</f>
        <v/>
      </c>
      <c r="D339" s="10"/>
      <c r="E339" s="10"/>
      <c r="F339" s="19"/>
      <c r="G339" s="10"/>
    </row>
    <row r="340" customFormat="false" ht="15" hidden="false" customHeight="true" outlineLevel="0" collapsed="false">
      <c r="A340" s="14"/>
      <c r="B340" s="10"/>
      <c r="C340" s="18" t="str">
        <f aca="false">IF($B340="","",IFERROR(INDEX(대상목록!$C$3:$C$302,MATCH($B340,대상목록!$A$3:$A$302,0)),""))</f>
        <v/>
      </c>
      <c r="D340" s="10"/>
      <c r="E340" s="10"/>
      <c r="F340" s="19"/>
      <c r="G340" s="10"/>
    </row>
    <row r="341" customFormat="false" ht="15" hidden="false" customHeight="true" outlineLevel="0" collapsed="false">
      <c r="A341" s="14"/>
      <c r="B341" s="10"/>
      <c r="C341" s="18" t="str">
        <f aca="false">IF($B341="","",IFERROR(INDEX(대상목록!$C$3:$C$302,MATCH($B341,대상목록!$A$3:$A$302,0)),""))</f>
        <v/>
      </c>
      <c r="D341" s="10"/>
      <c r="E341" s="10"/>
      <c r="F341" s="19"/>
      <c r="G341" s="10"/>
    </row>
    <row r="342" customFormat="false" ht="15" hidden="false" customHeight="true" outlineLevel="0" collapsed="false">
      <c r="A342" s="14"/>
      <c r="B342" s="10"/>
      <c r="C342" s="18" t="str">
        <f aca="false">IF($B342="","",IFERROR(INDEX(대상목록!$C$3:$C$302,MATCH($B342,대상목록!$A$3:$A$302,0)),""))</f>
        <v/>
      </c>
      <c r="D342" s="10"/>
      <c r="E342" s="10"/>
      <c r="F342" s="19"/>
      <c r="G342" s="10"/>
    </row>
    <row r="343" customFormat="false" ht="15" hidden="false" customHeight="true" outlineLevel="0" collapsed="false">
      <c r="A343" s="14"/>
      <c r="B343" s="10"/>
      <c r="C343" s="18" t="str">
        <f aca="false">IF($B343="","",IFERROR(INDEX(대상목록!$C$3:$C$302,MATCH($B343,대상목록!$A$3:$A$302,0)),""))</f>
        <v/>
      </c>
      <c r="D343" s="10"/>
      <c r="E343" s="10"/>
      <c r="F343" s="19"/>
      <c r="G343" s="10"/>
    </row>
    <row r="344" customFormat="false" ht="15" hidden="false" customHeight="true" outlineLevel="0" collapsed="false">
      <c r="A344" s="14"/>
      <c r="B344" s="10"/>
      <c r="C344" s="18" t="str">
        <f aca="false">IF($B344="","",IFERROR(INDEX(대상목록!$C$3:$C$302,MATCH($B344,대상목록!$A$3:$A$302,0)),""))</f>
        <v/>
      </c>
      <c r="D344" s="10"/>
      <c r="E344" s="10"/>
      <c r="F344" s="19"/>
      <c r="G344" s="10"/>
    </row>
    <row r="345" customFormat="false" ht="15" hidden="false" customHeight="true" outlineLevel="0" collapsed="false">
      <c r="A345" s="14"/>
      <c r="B345" s="10"/>
      <c r="C345" s="18" t="str">
        <f aca="false">IF($B345="","",IFERROR(INDEX(대상목록!$C$3:$C$302,MATCH($B345,대상목록!$A$3:$A$302,0)),""))</f>
        <v/>
      </c>
      <c r="D345" s="10"/>
      <c r="E345" s="10"/>
      <c r="F345" s="19"/>
      <c r="G345" s="10"/>
    </row>
    <row r="346" customFormat="false" ht="15" hidden="false" customHeight="true" outlineLevel="0" collapsed="false">
      <c r="A346" s="14"/>
      <c r="B346" s="10"/>
      <c r="C346" s="18" t="str">
        <f aca="false">IF($B346="","",IFERROR(INDEX(대상목록!$C$3:$C$302,MATCH($B346,대상목록!$A$3:$A$302,0)),""))</f>
        <v/>
      </c>
      <c r="D346" s="10"/>
      <c r="E346" s="10"/>
      <c r="F346" s="19"/>
      <c r="G346" s="10"/>
    </row>
    <row r="347" customFormat="false" ht="15" hidden="false" customHeight="true" outlineLevel="0" collapsed="false">
      <c r="A347" s="14"/>
      <c r="B347" s="10"/>
      <c r="C347" s="18" t="str">
        <f aca="false">IF($B347="","",IFERROR(INDEX(대상목록!$C$3:$C$302,MATCH($B347,대상목록!$A$3:$A$302,0)),""))</f>
        <v/>
      </c>
      <c r="D347" s="10"/>
      <c r="E347" s="10"/>
      <c r="F347" s="19"/>
      <c r="G347" s="10"/>
    </row>
    <row r="348" customFormat="false" ht="15" hidden="false" customHeight="true" outlineLevel="0" collapsed="false">
      <c r="A348" s="14"/>
      <c r="B348" s="10"/>
      <c r="C348" s="18" t="str">
        <f aca="false">IF($B348="","",IFERROR(INDEX(대상목록!$C$3:$C$302,MATCH($B348,대상목록!$A$3:$A$302,0)),""))</f>
        <v/>
      </c>
      <c r="D348" s="10"/>
      <c r="E348" s="10"/>
      <c r="F348" s="19"/>
      <c r="G348" s="10"/>
    </row>
    <row r="349" customFormat="false" ht="15" hidden="false" customHeight="true" outlineLevel="0" collapsed="false">
      <c r="A349" s="14"/>
      <c r="B349" s="10"/>
      <c r="C349" s="18" t="str">
        <f aca="false">IF($B349="","",IFERROR(INDEX(대상목록!$C$3:$C$302,MATCH($B349,대상목록!$A$3:$A$302,0)),""))</f>
        <v/>
      </c>
      <c r="D349" s="10"/>
      <c r="E349" s="10"/>
      <c r="F349" s="19"/>
      <c r="G349" s="10"/>
    </row>
    <row r="350" customFormat="false" ht="15" hidden="false" customHeight="true" outlineLevel="0" collapsed="false">
      <c r="A350" s="14"/>
      <c r="B350" s="10"/>
      <c r="C350" s="18" t="str">
        <f aca="false">IF($B350="","",IFERROR(INDEX(대상목록!$C$3:$C$302,MATCH($B350,대상목록!$A$3:$A$302,0)),""))</f>
        <v/>
      </c>
      <c r="D350" s="10"/>
      <c r="E350" s="10"/>
      <c r="F350" s="19"/>
      <c r="G350" s="10"/>
    </row>
    <row r="351" customFormat="false" ht="15" hidden="false" customHeight="true" outlineLevel="0" collapsed="false">
      <c r="A351" s="14"/>
      <c r="B351" s="10"/>
      <c r="C351" s="18" t="str">
        <f aca="false">IF($B351="","",IFERROR(INDEX(대상목록!$C$3:$C$302,MATCH($B351,대상목록!$A$3:$A$302,0)),""))</f>
        <v/>
      </c>
      <c r="D351" s="10"/>
      <c r="E351" s="10"/>
      <c r="F351" s="19"/>
      <c r="G351" s="10"/>
    </row>
    <row r="352" customFormat="false" ht="15" hidden="false" customHeight="true" outlineLevel="0" collapsed="false">
      <c r="A352" s="14"/>
      <c r="B352" s="10"/>
      <c r="C352" s="18" t="str">
        <f aca="false">IF($B352="","",IFERROR(INDEX(대상목록!$C$3:$C$302,MATCH($B352,대상목록!$A$3:$A$302,0)),""))</f>
        <v/>
      </c>
      <c r="D352" s="10"/>
      <c r="E352" s="10"/>
      <c r="F352" s="19"/>
      <c r="G352" s="10"/>
    </row>
    <row r="353" customFormat="false" ht="15" hidden="false" customHeight="true" outlineLevel="0" collapsed="false">
      <c r="A353" s="14"/>
      <c r="B353" s="10"/>
      <c r="C353" s="18" t="str">
        <f aca="false">IF($B353="","",IFERROR(INDEX(대상목록!$C$3:$C$302,MATCH($B353,대상목록!$A$3:$A$302,0)),""))</f>
        <v/>
      </c>
      <c r="D353" s="10"/>
      <c r="E353" s="10"/>
      <c r="F353" s="19"/>
      <c r="G353" s="10"/>
    </row>
    <row r="354" customFormat="false" ht="15" hidden="false" customHeight="true" outlineLevel="0" collapsed="false">
      <c r="A354" s="14"/>
      <c r="B354" s="10"/>
      <c r="C354" s="18" t="str">
        <f aca="false">IF($B354="","",IFERROR(INDEX(대상목록!$C$3:$C$302,MATCH($B354,대상목록!$A$3:$A$302,0)),""))</f>
        <v/>
      </c>
      <c r="D354" s="10"/>
      <c r="E354" s="10"/>
      <c r="F354" s="19"/>
      <c r="G354" s="10"/>
    </row>
    <row r="355" customFormat="false" ht="15" hidden="false" customHeight="true" outlineLevel="0" collapsed="false">
      <c r="A355" s="14"/>
      <c r="B355" s="10"/>
      <c r="C355" s="18" t="str">
        <f aca="false">IF($B355="","",IFERROR(INDEX(대상목록!$C$3:$C$302,MATCH($B355,대상목록!$A$3:$A$302,0)),""))</f>
        <v/>
      </c>
      <c r="D355" s="10"/>
      <c r="E355" s="10"/>
      <c r="F355" s="19"/>
      <c r="G355" s="10"/>
    </row>
    <row r="356" customFormat="false" ht="15" hidden="false" customHeight="true" outlineLevel="0" collapsed="false">
      <c r="A356" s="14"/>
      <c r="B356" s="10"/>
      <c r="C356" s="18" t="str">
        <f aca="false">IF($B356="","",IFERROR(INDEX(대상목록!$C$3:$C$302,MATCH($B356,대상목록!$A$3:$A$302,0)),""))</f>
        <v/>
      </c>
      <c r="D356" s="10"/>
      <c r="E356" s="10"/>
      <c r="F356" s="19"/>
      <c r="G356" s="10"/>
    </row>
    <row r="357" customFormat="false" ht="15" hidden="false" customHeight="true" outlineLevel="0" collapsed="false">
      <c r="A357" s="14"/>
      <c r="B357" s="10"/>
      <c r="C357" s="18" t="str">
        <f aca="false">IF($B357="","",IFERROR(INDEX(대상목록!$C$3:$C$302,MATCH($B357,대상목록!$A$3:$A$302,0)),""))</f>
        <v/>
      </c>
      <c r="D357" s="10"/>
      <c r="E357" s="10"/>
      <c r="F357" s="19"/>
      <c r="G357" s="10"/>
    </row>
    <row r="358" customFormat="false" ht="15" hidden="false" customHeight="true" outlineLevel="0" collapsed="false">
      <c r="A358" s="14"/>
      <c r="B358" s="10"/>
      <c r="C358" s="18" t="str">
        <f aca="false">IF($B358="","",IFERROR(INDEX(대상목록!$C$3:$C$302,MATCH($B358,대상목록!$A$3:$A$302,0)),""))</f>
        <v/>
      </c>
      <c r="D358" s="10"/>
      <c r="E358" s="10"/>
      <c r="F358" s="19"/>
      <c r="G358" s="10"/>
    </row>
    <row r="359" customFormat="false" ht="15" hidden="false" customHeight="true" outlineLevel="0" collapsed="false">
      <c r="A359" s="14"/>
      <c r="B359" s="10"/>
      <c r="C359" s="18" t="str">
        <f aca="false">IF($B359="","",IFERROR(INDEX(대상목록!$C$3:$C$302,MATCH($B359,대상목록!$A$3:$A$302,0)),""))</f>
        <v/>
      </c>
      <c r="D359" s="10"/>
      <c r="E359" s="10"/>
      <c r="F359" s="19"/>
      <c r="G359" s="10"/>
    </row>
    <row r="360" customFormat="false" ht="15" hidden="false" customHeight="true" outlineLevel="0" collapsed="false">
      <c r="A360" s="14"/>
      <c r="B360" s="10"/>
      <c r="C360" s="18" t="str">
        <f aca="false">IF($B360="","",IFERROR(INDEX(대상목록!$C$3:$C$302,MATCH($B360,대상목록!$A$3:$A$302,0)),""))</f>
        <v/>
      </c>
      <c r="D360" s="10"/>
      <c r="E360" s="10"/>
      <c r="F360" s="19"/>
      <c r="G360" s="10"/>
    </row>
    <row r="361" customFormat="false" ht="15" hidden="false" customHeight="true" outlineLevel="0" collapsed="false">
      <c r="A361" s="14"/>
      <c r="B361" s="10"/>
      <c r="C361" s="18" t="str">
        <f aca="false">IF($B361="","",IFERROR(INDEX(대상목록!$C$3:$C$302,MATCH($B361,대상목록!$A$3:$A$302,0)),""))</f>
        <v/>
      </c>
      <c r="D361" s="10"/>
      <c r="E361" s="10"/>
      <c r="F361" s="19"/>
      <c r="G361" s="10"/>
    </row>
    <row r="362" customFormat="false" ht="15" hidden="false" customHeight="true" outlineLevel="0" collapsed="false">
      <c r="A362" s="14"/>
      <c r="B362" s="10"/>
      <c r="C362" s="18" t="str">
        <f aca="false">IF($B362="","",IFERROR(INDEX(대상목록!$C$3:$C$302,MATCH($B362,대상목록!$A$3:$A$302,0)),""))</f>
        <v/>
      </c>
      <c r="D362" s="10"/>
      <c r="E362" s="10"/>
      <c r="F362" s="19"/>
      <c r="G362" s="10"/>
    </row>
    <row r="363" customFormat="false" ht="15" hidden="false" customHeight="true" outlineLevel="0" collapsed="false">
      <c r="A363" s="14"/>
      <c r="B363" s="10"/>
      <c r="C363" s="18" t="str">
        <f aca="false">IF($B363="","",IFERROR(INDEX(대상목록!$C$3:$C$302,MATCH($B363,대상목록!$A$3:$A$302,0)),""))</f>
        <v/>
      </c>
      <c r="D363" s="10"/>
      <c r="E363" s="10"/>
      <c r="F363" s="19"/>
      <c r="G363" s="10"/>
    </row>
    <row r="364" customFormat="false" ht="15" hidden="false" customHeight="true" outlineLevel="0" collapsed="false">
      <c r="A364" s="14"/>
      <c r="B364" s="10"/>
      <c r="C364" s="18" t="str">
        <f aca="false">IF($B364="","",IFERROR(INDEX(대상목록!$C$3:$C$302,MATCH($B364,대상목록!$A$3:$A$302,0)),""))</f>
        <v/>
      </c>
      <c r="D364" s="10"/>
      <c r="E364" s="10"/>
      <c r="F364" s="19"/>
      <c r="G364" s="10"/>
    </row>
    <row r="365" customFormat="false" ht="15" hidden="false" customHeight="true" outlineLevel="0" collapsed="false">
      <c r="A365" s="14"/>
      <c r="B365" s="10"/>
      <c r="C365" s="18" t="str">
        <f aca="false">IF($B365="","",IFERROR(INDEX(대상목록!$C$3:$C$302,MATCH($B365,대상목록!$A$3:$A$302,0)),""))</f>
        <v/>
      </c>
      <c r="D365" s="10"/>
      <c r="E365" s="10"/>
      <c r="F365" s="19"/>
      <c r="G365" s="10"/>
    </row>
    <row r="366" customFormat="false" ht="15" hidden="false" customHeight="true" outlineLevel="0" collapsed="false">
      <c r="A366" s="14"/>
      <c r="B366" s="10"/>
      <c r="C366" s="18" t="str">
        <f aca="false">IF($B366="","",IFERROR(INDEX(대상목록!$C$3:$C$302,MATCH($B366,대상목록!$A$3:$A$302,0)),""))</f>
        <v/>
      </c>
      <c r="D366" s="10"/>
      <c r="E366" s="10"/>
      <c r="F366" s="19"/>
      <c r="G366" s="10"/>
    </row>
    <row r="367" customFormat="false" ht="15" hidden="false" customHeight="true" outlineLevel="0" collapsed="false">
      <c r="A367" s="14"/>
      <c r="B367" s="10"/>
      <c r="C367" s="18" t="str">
        <f aca="false">IF($B367="","",IFERROR(INDEX(대상목록!$C$3:$C$302,MATCH($B367,대상목록!$A$3:$A$302,0)),""))</f>
        <v/>
      </c>
      <c r="D367" s="10"/>
      <c r="E367" s="10"/>
      <c r="F367" s="19"/>
      <c r="G367" s="10"/>
    </row>
    <row r="368" customFormat="false" ht="15" hidden="false" customHeight="true" outlineLevel="0" collapsed="false">
      <c r="A368" s="14"/>
      <c r="B368" s="10"/>
      <c r="C368" s="18" t="str">
        <f aca="false">IF($B368="","",IFERROR(INDEX(대상목록!$C$3:$C$302,MATCH($B368,대상목록!$A$3:$A$302,0)),""))</f>
        <v/>
      </c>
      <c r="D368" s="10"/>
      <c r="E368" s="10"/>
      <c r="F368" s="19"/>
      <c r="G368" s="10"/>
    </row>
    <row r="369" customFormat="false" ht="15" hidden="false" customHeight="true" outlineLevel="0" collapsed="false">
      <c r="A369" s="14"/>
      <c r="B369" s="10"/>
      <c r="C369" s="18" t="str">
        <f aca="false">IF($B369="","",IFERROR(INDEX(대상목록!$C$3:$C$302,MATCH($B369,대상목록!$A$3:$A$302,0)),""))</f>
        <v/>
      </c>
      <c r="D369" s="10"/>
      <c r="E369" s="10"/>
      <c r="F369" s="19"/>
      <c r="G369" s="10"/>
    </row>
    <row r="370" customFormat="false" ht="15" hidden="false" customHeight="true" outlineLevel="0" collapsed="false">
      <c r="A370" s="14"/>
      <c r="B370" s="10"/>
      <c r="C370" s="18" t="str">
        <f aca="false">IF($B370="","",IFERROR(INDEX(대상목록!$C$3:$C$302,MATCH($B370,대상목록!$A$3:$A$302,0)),""))</f>
        <v/>
      </c>
      <c r="D370" s="10"/>
      <c r="E370" s="10"/>
      <c r="F370" s="19"/>
      <c r="G370" s="10"/>
    </row>
    <row r="371" customFormat="false" ht="15" hidden="false" customHeight="true" outlineLevel="0" collapsed="false">
      <c r="A371" s="14"/>
      <c r="B371" s="10"/>
      <c r="C371" s="18" t="str">
        <f aca="false">IF($B371="","",IFERROR(INDEX(대상목록!$C$3:$C$302,MATCH($B371,대상목록!$A$3:$A$302,0)),""))</f>
        <v/>
      </c>
      <c r="D371" s="10"/>
      <c r="E371" s="10"/>
      <c r="F371" s="19"/>
      <c r="G371" s="10"/>
    </row>
    <row r="372" customFormat="false" ht="15" hidden="false" customHeight="true" outlineLevel="0" collapsed="false">
      <c r="A372" s="14"/>
      <c r="B372" s="10"/>
      <c r="C372" s="18" t="str">
        <f aca="false">IF($B372="","",IFERROR(INDEX(대상목록!$C$3:$C$302,MATCH($B372,대상목록!$A$3:$A$302,0)),""))</f>
        <v/>
      </c>
      <c r="D372" s="10"/>
      <c r="E372" s="10"/>
      <c r="F372" s="19"/>
      <c r="G372" s="10"/>
    </row>
    <row r="373" customFormat="false" ht="15" hidden="false" customHeight="true" outlineLevel="0" collapsed="false">
      <c r="A373" s="14"/>
      <c r="B373" s="10"/>
      <c r="C373" s="18" t="str">
        <f aca="false">IF($B373="","",IFERROR(INDEX(대상목록!$C$3:$C$302,MATCH($B373,대상목록!$A$3:$A$302,0)),""))</f>
        <v/>
      </c>
      <c r="D373" s="10"/>
      <c r="E373" s="10"/>
      <c r="F373" s="19"/>
      <c r="G373" s="10"/>
    </row>
    <row r="374" customFormat="false" ht="15" hidden="false" customHeight="true" outlineLevel="0" collapsed="false">
      <c r="A374" s="14"/>
      <c r="B374" s="10"/>
      <c r="C374" s="18" t="str">
        <f aca="false">IF($B374="","",IFERROR(INDEX(대상목록!$C$3:$C$302,MATCH($B374,대상목록!$A$3:$A$302,0)),""))</f>
        <v/>
      </c>
      <c r="D374" s="10"/>
      <c r="E374" s="10"/>
      <c r="F374" s="19"/>
      <c r="G374" s="10"/>
    </row>
    <row r="375" customFormat="false" ht="15" hidden="false" customHeight="true" outlineLevel="0" collapsed="false">
      <c r="A375" s="14"/>
      <c r="B375" s="10"/>
      <c r="C375" s="18" t="str">
        <f aca="false">IF($B375="","",IFERROR(INDEX(대상목록!$C$3:$C$302,MATCH($B375,대상목록!$A$3:$A$302,0)),""))</f>
        <v/>
      </c>
      <c r="D375" s="10"/>
      <c r="E375" s="10"/>
      <c r="F375" s="19"/>
      <c r="G375" s="10"/>
    </row>
    <row r="376" customFormat="false" ht="15" hidden="false" customHeight="true" outlineLevel="0" collapsed="false">
      <c r="A376" s="14"/>
      <c r="B376" s="10"/>
      <c r="C376" s="18" t="str">
        <f aca="false">IF($B376="","",IFERROR(INDEX(대상목록!$C$3:$C$302,MATCH($B376,대상목록!$A$3:$A$302,0)),""))</f>
        <v/>
      </c>
      <c r="D376" s="10"/>
      <c r="E376" s="10"/>
      <c r="F376" s="19"/>
      <c r="G376" s="10"/>
    </row>
    <row r="377" customFormat="false" ht="15" hidden="false" customHeight="true" outlineLevel="0" collapsed="false">
      <c r="A377" s="14"/>
      <c r="B377" s="10"/>
      <c r="C377" s="18" t="str">
        <f aca="false">IF($B377="","",IFERROR(INDEX(대상목록!$C$3:$C$302,MATCH($B377,대상목록!$A$3:$A$302,0)),""))</f>
        <v/>
      </c>
      <c r="D377" s="10"/>
      <c r="E377" s="10"/>
      <c r="F377" s="19"/>
      <c r="G377" s="10"/>
    </row>
    <row r="378" customFormat="false" ht="15" hidden="false" customHeight="true" outlineLevel="0" collapsed="false">
      <c r="A378" s="14"/>
      <c r="B378" s="10"/>
      <c r="C378" s="18" t="str">
        <f aca="false">IF($B378="","",IFERROR(INDEX(대상목록!$C$3:$C$302,MATCH($B378,대상목록!$A$3:$A$302,0)),""))</f>
        <v/>
      </c>
      <c r="D378" s="10"/>
      <c r="E378" s="10"/>
      <c r="F378" s="19"/>
      <c r="G378" s="10"/>
    </row>
    <row r="379" customFormat="false" ht="15" hidden="false" customHeight="true" outlineLevel="0" collapsed="false">
      <c r="A379" s="14"/>
      <c r="B379" s="10"/>
      <c r="C379" s="18" t="str">
        <f aca="false">IF($B379="","",IFERROR(INDEX(대상목록!$C$3:$C$302,MATCH($B379,대상목록!$A$3:$A$302,0)),""))</f>
        <v/>
      </c>
      <c r="D379" s="10"/>
      <c r="E379" s="10"/>
      <c r="F379" s="19"/>
      <c r="G379" s="10"/>
    </row>
    <row r="380" customFormat="false" ht="15" hidden="false" customHeight="true" outlineLevel="0" collapsed="false">
      <c r="A380" s="14"/>
      <c r="B380" s="10"/>
      <c r="C380" s="18" t="str">
        <f aca="false">IF($B380="","",IFERROR(INDEX(대상목록!$C$3:$C$302,MATCH($B380,대상목록!$A$3:$A$302,0)),""))</f>
        <v/>
      </c>
      <c r="D380" s="10"/>
      <c r="E380" s="10"/>
      <c r="F380" s="19"/>
      <c r="G380" s="10"/>
    </row>
    <row r="381" customFormat="false" ht="15" hidden="false" customHeight="true" outlineLevel="0" collapsed="false">
      <c r="A381" s="14"/>
      <c r="B381" s="10"/>
      <c r="C381" s="18" t="str">
        <f aca="false">IF($B381="","",IFERROR(INDEX(대상목록!$C$3:$C$302,MATCH($B381,대상목록!$A$3:$A$302,0)),""))</f>
        <v/>
      </c>
      <c r="D381" s="10"/>
      <c r="E381" s="10"/>
      <c r="F381" s="19"/>
      <c r="G381" s="10"/>
    </row>
    <row r="382" customFormat="false" ht="15" hidden="false" customHeight="true" outlineLevel="0" collapsed="false">
      <c r="A382" s="14"/>
      <c r="B382" s="10"/>
      <c r="C382" s="18" t="str">
        <f aca="false">IF($B382="","",IFERROR(INDEX(대상목록!$C$3:$C$302,MATCH($B382,대상목록!$A$3:$A$302,0)),""))</f>
        <v/>
      </c>
      <c r="D382" s="10"/>
      <c r="E382" s="10"/>
      <c r="F382" s="19"/>
      <c r="G382" s="10"/>
    </row>
    <row r="383" customFormat="false" ht="15" hidden="false" customHeight="true" outlineLevel="0" collapsed="false">
      <c r="A383" s="14"/>
      <c r="B383" s="10"/>
      <c r="C383" s="18" t="str">
        <f aca="false">IF($B383="","",IFERROR(INDEX(대상목록!$C$3:$C$302,MATCH($B383,대상목록!$A$3:$A$302,0)),""))</f>
        <v/>
      </c>
      <c r="D383" s="10"/>
      <c r="E383" s="10"/>
      <c r="F383" s="19"/>
      <c r="G383" s="10"/>
    </row>
    <row r="384" customFormat="false" ht="15" hidden="false" customHeight="true" outlineLevel="0" collapsed="false">
      <c r="A384" s="14"/>
      <c r="B384" s="10"/>
      <c r="C384" s="18" t="str">
        <f aca="false">IF($B384="","",IFERROR(INDEX(대상목록!$C$3:$C$302,MATCH($B384,대상목록!$A$3:$A$302,0)),""))</f>
        <v/>
      </c>
      <c r="D384" s="10"/>
      <c r="E384" s="10"/>
      <c r="F384" s="19"/>
      <c r="G384" s="10"/>
    </row>
    <row r="385" customFormat="false" ht="15" hidden="false" customHeight="true" outlineLevel="0" collapsed="false">
      <c r="A385" s="14"/>
      <c r="B385" s="10"/>
      <c r="C385" s="18" t="str">
        <f aca="false">IF($B385="","",IFERROR(INDEX(대상목록!$C$3:$C$302,MATCH($B385,대상목록!$A$3:$A$302,0)),""))</f>
        <v/>
      </c>
      <c r="D385" s="10"/>
      <c r="E385" s="10"/>
      <c r="F385" s="19"/>
      <c r="G385" s="10"/>
    </row>
    <row r="386" customFormat="false" ht="15" hidden="false" customHeight="true" outlineLevel="0" collapsed="false">
      <c r="A386" s="14"/>
      <c r="B386" s="10"/>
      <c r="C386" s="18" t="str">
        <f aca="false">IF($B386="","",IFERROR(INDEX(대상목록!$C$3:$C$302,MATCH($B386,대상목록!$A$3:$A$302,0)),""))</f>
        <v/>
      </c>
      <c r="D386" s="10"/>
      <c r="E386" s="10"/>
      <c r="F386" s="19"/>
      <c r="G386" s="10"/>
    </row>
    <row r="387" customFormat="false" ht="15" hidden="false" customHeight="true" outlineLevel="0" collapsed="false">
      <c r="A387" s="14"/>
      <c r="B387" s="10"/>
      <c r="C387" s="18" t="str">
        <f aca="false">IF($B387="","",IFERROR(INDEX(대상목록!$C$3:$C$302,MATCH($B387,대상목록!$A$3:$A$302,0)),""))</f>
        <v/>
      </c>
      <c r="D387" s="10"/>
      <c r="E387" s="10"/>
      <c r="F387" s="19"/>
      <c r="G387" s="10"/>
    </row>
    <row r="388" customFormat="false" ht="15" hidden="false" customHeight="true" outlineLevel="0" collapsed="false">
      <c r="A388" s="14"/>
      <c r="B388" s="10"/>
      <c r="C388" s="18" t="str">
        <f aca="false">IF($B388="","",IFERROR(INDEX(대상목록!$C$3:$C$302,MATCH($B388,대상목록!$A$3:$A$302,0)),""))</f>
        <v/>
      </c>
      <c r="D388" s="10"/>
      <c r="E388" s="10"/>
      <c r="F388" s="19"/>
      <c r="G388" s="10"/>
    </row>
    <row r="389" customFormat="false" ht="15" hidden="false" customHeight="true" outlineLevel="0" collapsed="false">
      <c r="A389" s="14"/>
      <c r="B389" s="10"/>
      <c r="C389" s="18" t="str">
        <f aca="false">IF($B389="","",IFERROR(INDEX(대상목록!$C$3:$C$302,MATCH($B389,대상목록!$A$3:$A$302,0)),""))</f>
        <v/>
      </c>
      <c r="D389" s="10"/>
      <c r="E389" s="10"/>
      <c r="F389" s="19"/>
      <c r="G389" s="10"/>
    </row>
    <row r="390" customFormat="false" ht="15" hidden="false" customHeight="true" outlineLevel="0" collapsed="false">
      <c r="A390" s="14"/>
      <c r="B390" s="10"/>
      <c r="C390" s="18" t="str">
        <f aca="false">IF($B390="","",IFERROR(INDEX(대상목록!$C$3:$C$302,MATCH($B390,대상목록!$A$3:$A$302,0)),""))</f>
        <v/>
      </c>
      <c r="D390" s="10"/>
      <c r="E390" s="10"/>
      <c r="F390" s="19"/>
      <c r="G390" s="10"/>
    </row>
    <row r="391" customFormat="false" ht="15" hidden="false" customHeight="true" outlineLevel="0" collapsed="false">
      <c r="A391" s="14"/>
      <c r="B391" s="10"/>
      <c r="C391" s="18" t="str">
        <f aca="false">IF($B391="","",IFERROR(INDEX(대상목록!$C$3:$C$302,MATCH($B391,대상목록!$A$3:$A$302,0)),""))</f>
        <v/>
      </c>
      <c r="D391" s="10"/>
      <c r="E391" s="10"/>
      <c r="F391" s="19"/>
      <c r="G391" s="10"/>
    </row>
    <row r="392" customFormat="false" ht="15" hidden="false" customHeight="true" outlineLevel="0" collapsed="false">
      <c r="A392" s="14"/>
      <c r="B392" s="10"/>
      <c r="C392" s="18" t="str">
        <f aca="false">IF($B392="","",IFERROR(INDEX(대상목록!$C$3:$C$302,MATCH($B392,대상목록!$A$3:$A$302,0)),""))</f>
        <v/>
      </c>
      <c r="D392" s="10"/>
      <c r="E392" s="10"/>
      <c r="F392" s="19"/>
      <c r="G392" s="10"/>
    </row>
    <row r="393" customFormat="false" ht="15" hidden="false" customHeight="true" outlineLevel="0" collapsed="false">
      <c r="A393" s="14"/>
      <c r="B393" s="10"/>
      <c r="C393" s="18" t="str">
        <f aca="false">IF($B393="","",IFERROR(INDEX(대상목록!$C$3:$C$302,MATCH($B393,대상목록!$A$3:$A$302,0)),""))</f>
        <v/>
      </c>
      <c r="D393" s="10"/>
      <c r="E393" s="10"/>
      <c r="F393" s="19"/>
      <c r="G393" s="10"/>
    </row>
    <row r="394" customFormat="false" ht="15" hidden="false" customHeight="true" outlineLevel="0" collapsed="false">
      <c r="A394" s="14"/>
      <c r="B394" s="10"/>
      <c r="C394" s="18" t="str">
        <f aca="false">IF($B394="","",IFERROR(INDEX(대상목록!$C$3:$C$302,MATCH($B394,대상목록!$A$3:$A$302,0)),""))</f>
        <v/>
      </c>
      <c r="D394" s="10"/>
      <c r="E394" s="10"/>
      <c r="F394" s="19"/>
      <c r="G394" s="10"/>
    </row>
    <row r="395" customFormat="false" ht="15" hidden="false" customHeight="true" outlineLevel="0" collapsed="false">
      <c r="A395" s="14"/>
      <c r="B395" s="10"/>
      <c r="C395" s="18" t="str">
        <f aca="false">IF($B395="","",IFERROR(INDEX(대상목록!$C$3:$C$302,MATCH($B395,대상목록!$A$3:$A$302,0)),""))</f>
        <v/>
      </c>
      <c r="D395" s="10"/>
      <c r="E395" s="10"/>
      <c r="F395" s="19"/>
      <c r="G395" s="10"/>
    </row>
    <row r="396" customFormat="false" ht="15" hidden="false" customHeight="true" outlineLevel="0" collapsed="false">
      <c r="A396" s="14"/>
      <c r="B396" s="10"/>
      <c r="C396" s="18" t="str">
        <f aca="false">IF($B396="","",IFERROR(INDEX(대상목록!$C$3:$C$302,MATCH($B396,대상목록!$A$3:$A$302,0)),""))</f>
        <v/>
      </c>
      <c r="D396" s="10"/>
      <c r="E396" s="10"/>
      <c r="F396" s="19"/>
      <c r="G396" s="10"/>
    </row>
    <row r="397" customFormat="false" ht="15" hidden="false" customHeight="true" outlineLevel="0" collapsed="false">
      <c r="A397" s="14"/>
      <c r="B397" s="10"/>
      <c r="C397" s="18" t="str">
        <f aca="false">IF($B397="","",IFERROR(INDEX(대상목록!$C$3:$C$302,MATCH($B397,대상목록!$A$3:$A$302,0)),""))</f>
        <v/>
      </c>
      <c r="D397" s="10"/>
      <c r="E397" s="10"/>
      <c r="F397" s="19"/>
      <c r="G397" s="10"/>
    </row>
    <row r="398" customFormat="false" ht="15" hidden="false" customHeight="true" outlineLevel="0" collapsed="false">
      <c r="A398" s="14"/>
      <c r="B398" s="10"/>
      <c r="C398" s="18" t="str">
        <f aca="false">IF($B398="","",IFERROR(INDEX(대상목록!$C$3:$C$302,MATCH($B398,대상목록!$A$3:$A$302,0)),""))</f>
        <v/>
      </c>
      <c r="D398" s="10"/>
      <c r="E398" s="10"/>
      <c r="F398" s="19"/>
      <c r="G398" s="10"/>
    </row>
    <row r="399" customFormat="false" ht="15" hidden="false" customHeight="true" outlineLevel="0" collapsed="false">
      <c r="A399" s="14"/>
      <c r="B399" s="10"/>
      <c r="C399" s="18" t="str">
        <f aca="false">IF($B399="","",IFERROR(INDEX(대상목록!$C$3:$C$302,MATCH($B399,대상목록!$A$3:$A$302,0)),""))</f>
        <v/>
      </c>
      <c r="D399" s="10"/>
      <c r="E399" s="10"/>
      <c r="F399" s="19"/>
      <c r="G399" s="10"/>
    </row>
    <row r="400" customFormat="false" ht="15" hidden="false" customHeight="true" outlineLevel="0" collapsed="false">
      <c r="A400" s="14"/>
      <c r="B400" s="10"/>
      <c r="C400" s="18" t="str">
        <f aca="false">IF($B400="","",IFERROR(INDEX(대상목록!$C$3:$C$302,MATCH($B400,대상목록!$A$3:$A$302,0)),""))</f>
        <v/>
      </c>
      <c r="D400" s="10"/>
      <c r="E400" s="10"/>
      <c r="F400" s="19"/>
      <c r="G400" s="10"/>
    </row>
    <row r="401" customFormat="false" ht="15" hidden="false" customHeight="true" outlineLevel="0" collapsed="false">
      <c r="A401" s="14"/>
      <c r="B401" s="10"/>
      <c r="C401" s="18" t="str">
        <f aca="false">IF($B401="","",IFERROR(INDEX(대상목록!$C$3:$C$302,MATCH($B401,대상목록!$A$3:$A$302,0)),""))</f>
        <v/>
      </c>
      <c r="D401" s="10"/>
      <c r="E401" s="10"/>
      <c r="F401" s="19"/>
      <c r="G401" s="10"/>
    </row>
    <row r="402" customFormat="false" ht="15" hidden="false" customHeight="true" outlineLevel="0" collapsed="false">
      <c r="A402" s="14"/>
      <c r="B402" s="10"/>
      <c r="C402" s="18" t="str">
        <f aca="false">IF($B402="","",IFERROR(INDEX(대상목록!$C$3:$C$302,MATCH($B402,대상목록!$A$3:$A$302,0)),""))</f>
        <v/>
      </c>
      <c r="D402" s="10"/>
      <c r="E402" s="10"/>
      <c r="F402" s="19"/>
      <c r="G402" s="10"/>
    </row>
    <row r="403" customFormat="false" ht="15" hidden="false" customHeight="true" outlineLevel="0" collapsed="false">
      <c r="A403" s="14"/>
      <c r="B403" s="10"/>
      <c r="C403" s="18" t="str">
        <f aca="false">IF($B403="","",IFERROR(INDEX(대상목록!$C$3:$C$302,MATCH($B403,대상목록!$A$3:$A$302,0)),""))</f>
        <v/>
      </c>
      <c r="D403" s="10"/>
      <c r="E403" s="10"/>
      <c r="F403" s="19"/>
      <c r="G403" s="10"/>
    </row>
    <row r="404" customFormat="false" ht="15" hidden="false" customHeight="true" outlineLevel="0" collapsed="false">
      <c r="A404" s="14"/>
      <c r="B404" s="10"/>
      <c r="C404" s="18" t="str">
        <f aca="false">IF($B404="","",IFERROR(INDEX(대상목록!$C$3:$C$302,MATCH($B404,대상목록!$A$3:$A$302,0)),""))</f>
        <v/>
      </c>
      <c r="D404" s="10"/>
      <c r="E404" s="10"/>
      <c r="F404" s="19"/>
      <c r="G404" s="10"/>
    </row>
    <row r="405" customFormat="false" ht="15" hidden="false" customHeight="true" outlineLevel="0" collapsed="false">
      <c r="A405" s="14"/>
      <c r="B405" s="10"/>
      <c r="C405" s="18" t="str">
        <f aca="false">IF($B405="","",IFERROR(INDEX(대상목록!$C$3:$C$302,MATCH($B405,대상목록!$A$3:$A$302,0)),""))</f>
        <v/>
      </c>
      <c r="D405" s="10"/>
      <c r="E405" s="10"/>
      <c r="F405" s="19"/>
      <c r="G405" s="10"/>
    </row>
    <row r="406" customFormat="false" ht="15" hidden="false" customHeight="true" outlineLevel="0" collapsed="false">
      <c r="A406" s="14"/>
      <c r="B406" s="10"/>
      <c r="C406" s="18" t="str">
        <f aca="false">IF($B406="","",IFERROR(INDEX(대상목록!$C$3:$C$302,MATCH($B406,대상목록!$A$3:$A$302,0)),""))</f>
        <v/>
      </c>
      <c r="D406" s="10"/>
      <c r="E406" s="10"/>
      <c r="F406" s="19"/>
      <c r="G406" s="10"/>
    </row>
    <row r="407" customFormat="false" ht="15" hidden="false" customHeight="true" outlineLevel="0" collapsed="false">
      <c r="A407" s="14"/>
      <c r="B407" s="10"/>
      <c r="C407" s="18" t="str">
        <f aca="false">IF($B407="","",IFERROR(INDEX(대상목록!$C$3:$C$302,MATCH($B407,대상목록!$A$3:$A$302,0)),""))</f>
        <v/>
      </c>
      <c r="D407" s="10"/>
      <c r="E407" s="10"/>
      <c r="F407" s="19"/>
      <c r="G407" s="10"/>
    </row>
    <row r="408" customFormat="false" ht="15" hidden="false" customHeight="true" outlineLevel="0" collapsed="false">
      <c r="A408" s="14"/>
      <c r="B408" s="10"/>
      <c r="C408" s="18" t="str">
        <f aca="false">IF($B408="","",IFERROR(INDEX(대상목록!$C$3:$C$302,MATCH($B408,대상목록!$A$3:$A$302,0)),""))</f>
        <v/>
      </c>
      <c r="D408" s="10"/>
      <c r="E408" s="10"/>
      <c r="F408" s="19"/>
      <c r="G408" s="10"/>
    </row>
    <row r="409" customFormat="false" ht="15" hidden="false" customHeight="true" outlineLevel="0" collapsed="false">
      <c r="A409" s="14"/>
      <c r="B409" s="10"/>
      <c r="C409" s="18" t="str">
        <f aca="false">IF($B409="","",IFERROR(INDEX(대상목록!$C$3:$C$302,MATCH($B409,대상목록!$A$3:$A$302,0)),""))</f>
        <v/>
      </c>
      <c r="D409" s="10"/>
      <c r="E409" s="10"/>
      <c r="F409" s="19"/>
      <c r="G409" s="10"/>
    </row>
    <row r="410" customFormat="false" ht="15" hidden="false" customHeight="true" outlineLevel="0" collapsed="false">
      <c r="A410" s="14"/>
      <c r="B410" s="10"/>
      <c r="C410" s="18" t="str">
        <f aca="false">IF($B410="","",IFERROR(INDEX(대상목록!$C$3:$C$302,MATCH($B410,대상목록!$A$3:$A$302,0)),""))</f>
        <v/>
      </c>
      <c r="D410" s="10"/>
      <c r="E410" s="10"/>
      <c r="F410" s="19"/>
      <c r="G410" s="10"/>
    </row>
    <row r="411" customFormat="false" ht="15" hidden="false" customHeight="true" outlineLevel="0" collapsed="false">
      <c r="A411" s="14"/>
      <c r="B411" s="10"/>
      <c r="C411" s="18" t="str">
        <f aca="false">IF($B411="","",IFERROR(INDEX(대상목록!$C$3:$C$302,MATCH($B411,대상목록!$A$3:$A$302,0)),""))</f>
        <v/>
      </c>
      <c r="D411" s="10"/>
      <c r="E411" s="10"/>
      <c r="F411" s="19"/>
      <c r="G411" s="10"/>
    </row>
    <row r="412" customFormat="false" ht="15" hidden="false" customHeight="true" outlineLevel="0" collapsed="false">
      <c r="A412" s="14"/>
      <c r="B412" s="10"/>
      <c r="C412" s="18" t="str">
        <f aca="false">IF($B412="","",IFERROR(INDEX(대상목록!$C$3:$C$302,MATCH($B412,대상목록!$A$3:$A$302,0)),""))</f>
        <v/>
      </c>
      <c r="D412" s="10"/>
      <c r="E412" s="10"/>
      <c r="F412" s="19"/>
      <c r="G412" s="10"/>
    </row>
    <row r="413" customFormat="false" ht="15" hidden="false" customHeight="true" outlineLevel="0" collapsed="false">
      <c r="A413" s="14"/>
      <c r="B413" s="10"/>
      <c r="C413" s="18" t="str">
        <f aca="false">IF($B413="","",IFERROR(INDEX(대상목록!$C$3:$C$302,MATCH($B413,대상목록!$A$3:$A$302,0)),""))</f>
        <v/>
      </c>
      <c r="D413" s="10"/>
      <c r="E413" s="10"/>
      <c r="F413" s="19"/>
      <c r="G413" s="10"/>
    </row>
    <row r="414" customFormat="false" ht="15" hidden="false" customHeight="true" outlineLevel="0" collapsed="false">
      <c r="A414" s="14"/>
      <c r="B414" s="10"/>
      <c r="C414" s="18" t="str">
        <f aca="false">IF($B414="","",IFERROR(INDEX(대상목록!$C$3:$C$302,MATCH($B414,대상목록!$A$3:$A$302,0)),""))</f>
        <v/>
      </c>
      <c r="D414" s="10"/>
      <c r="E414" s="10"/>
      <c r="F414" s="19"/>
      <c r="G414" s="10"/>
    </row>
    <row r="415" customFormat="false" ht="15" hidden="false" customHeight="true" outlineLevel="0" collapsed="false">
      <c r="A415" s="14"/>
      <c r="B415" s="10"/>
      <c r="C415" s="18" t="str">
        <f aca="false">IF($B415="","",IFERROR(INDEX(대상목록!$C$3:$C$302,MATCH($B415,대상목록!$A$3:$A$302,0)),""))</f>
        <v/>
      </c>
      <c r="D415" s="10"/>
      <c r="E415" s="10"/>
      <c r="F415" s="19"/>
      <c r="G415" s="10"/>
    </row>
    <row r="416" customFormat="false" ht="15" hidden="false" customHeight="true" outlineLevel="0" collapsed="false">
      <c r="A416" s="14"/>
      <c r="B416" s="10"/>
      <c r="C416" s="18" t="str">
        <f aca="false">IF($B416="","",IFERROR(INDEX(대상목록!$C$3:$C$302,MATCH($B416,대상목록!$A$3:$A$302,0)),""))</f>
        <v/>
      </c>
      <c r="D416" s="10"/>
      <c r="E416" s="10"/>
      <c r="F416" s="19"/>
      <c r="G416" s="10"/>
    </row>
    <row r="417" customFormat="false" ht="15" hidden="false" customHeight="true" outlineLevel="0" collapsed="false">
      <c r="A417" s="14"/>
      <c r="B417" s="10"/>
      <c r="C417" s="18" t="str">
        <f aca="false">IF($B417="","",IFERROR(INDEX(대상목록!$C$3:$C$302,MATCH($B417,대상목록!$A$3:$A$302,0)),""))</f>
        <v/>
      </c>
      <c r="D417" s="10"/>
      <c r="E417" s="10"/>
      <c r="F417" s="19"/>
      <c r="G417" s="10"/>
    </row>
    <row r="418" customFormat="false" ht="15" hidden="false" customHeight="true" outlineLevel="0" collapsed="false">
      <c r="A418" s="14"/>
      <c r="B418" s="10"/>
      <c r="C418" s="18" t="str">
        <f aca="false">IF($B418="","",IFERROR(INDEX(대상목록!$C$3:$C$302,MATCH($B418,대상목록!$A$3:$A$302,0)),""))</f>
        <v/>
      </c>
      <c r="D418" s="10"/>
      <c r="E418" s="10"/>
      <c r="F418" s="19"/>
      <c r="G418" s="10"/>
    </row>
    <row r="419" customFormat="false" ht="15" hidden="false" customHeight="true" outlineLevel="0" collapsed="false">
      <c r="A419" s="14"/>
      <c r="B419" s="10"/>
      <c r="C419" s="18" t="str">
        <f aca="false">IF($B419="","",IFERROR(INDEX(대상목록!$C$3:$C$302,MATCH($B419,대상목록!$A$3:$A$302,0)),""))</f>
        <v/>
      </c>
      <c r="D419" s="10"/>
      <c r="E419" s="10"/>
      <c r="F419" s="19"/>
      <c r="G419" s="10"/>
    </row>
    <row r="420" customFormat="false" ht="15" hidden="false" customHeight="true" outlineLevel="0" collapsed="false">
      <c r="A420" s="14"/>
      <c r="B420" s="10"/>
      <c r="C420" s="18" t="str">
        <f aca="false">IF($B420="","",IFERROR(INDEX(대상목록!$C$3:$C$302,MATCH($B420,대상목록!$A$3:$A$302,0)),""))</f>
        <v/>
      </c>
      <c r="D420" s="10"/>
      <c r="E420" s="10"/>
      <c r="F420" s="19"/>
      <c r="G420" s="10"/>
    </row>
    <row r="421" customFormat="false" ht="15" hidden="false" customHeight="true" outlineLevel="0" collapsed="false">
      <c r="A421" s="14"/>
      <c r="B421" s="10"/>
      <c r="C421" s="18" t="str">
        <f aca="false">IF($B421="","",IFERROR(INDEX(대상목록!$C$3:$C$302,MATCH($B421,대상목록!$A$3:$A$302,0)),""))</f>
        <v/>
      </c>
      <c r="D421" s="10"/>
      <c r="E421" s="10"/>
      <c r="F421" s="19"/>
      <c r="G421" s="10"/>
    </row>
    <row r="422" customFormat="false" ht="15" hidden="false" customHeight="true" outlineLevel="0" collapsed="false">
      <c r="A422" s="14"/>
      <c r="B422" s="10"/>
      <c r="C422" s="18" t="str">
        <f aca="false">IF($B422="","",IFERROR(INDEX(대상목록!$C$3:$C$302,MATCH($B422,대상목록!$A$3:$A$302,0)),""))</f>
        <v/>
      </c>
      <c r="D422" s="10"/>
      <c r="E422" s="10"/>
      <c r="F422" s="19"/>
      <c r="G422" s="10"/>
    </row>
    <row r="423" customFormat="false" ht="15" hidden="false" customHeight="true" outlineLevel="0" collapsed="false">
      <c r="A423" s="14"/>
      <c r="B423" s="10"/>
      <c r="C423" s="18" t="str">
        <f aca="false">IF($B423="","",IFERROR(INDEX(대상목록!$C$3:$C$302,MATCH($B423,대상목록!$A$3:$A$302,0)),""))</f>
        <v/>
      </c>
      <c r="D423" s="10"/>
      <c r="E423" s="10"/>
      <c r="F423" s="19"/>
      <c r="G423" s="10"/>
    </row>
    <row r="424" customFormat="false" ht="15" hidden="false" customHeight="true" outlineLevel="0" collapsed="false">
      <c r="A424" s="14"/>
      <c r="B424" s="10"/>
      <c r="C424" s="18" t="str">
        <f aca="false">IF($B424="","",IFERROR(INDEX(대상목록!$C$3:$C$302,MATCH($B424,대상목록!$A$3:$A$302,0)),""))</f>
        <v/>
      </c>
      <c r="D424" s="10"/>
      <c r="E424" s="10"/>
      <c r="F424" s="19"/>
      <c r="G424" s="10"/>
    </row>
    <row r="425" customFormat="false" ht="15" hidden="false" customHeight="true" outlineLevel="0" collapsed="false">
      <c r="A425" s="14"/>
      <c r="B425" s="10"/>
      <c r="C425" s="18" t="str">
        <f aca="false">IF($B425="","",IFERROR(INDEX(대상목록!$C$3:$C$302,MATCH($B425,대상목록!$A$3:$A$302,0)),""))</f>
        <v/>
      </c>
      <c r="D425" s="10"/>
      <c r="E425" s="10"/>
      <c r="F425" s="19"/>
      <c r="G425" s="10"/>
    </row>
    <row r="426" customFormat="false" ht="15" hidden="false" customHeight="true" outlineLevel="0" collapsed="false">
      <c r="A426" s="14"/>
      <c r="B426" s="10"/>
      <c r="C426" s="18" t="str">
        <f aca="false">IF($B426="","",IFERROR(INDEX(대상목록!$C$3:$C$302,MATCH($B426,대상목록!$A$3:$A$302,0)),""))</f>
        <v/>
      </c>
      <c r="D426" s="10"/>
      <c r="E426" s="10"/>
      <c r="F426" s="19"/>
      <c r="G426" s="10"/>
    </row>
    <row r="427" customFormat="false" ht="15" hidden="false" customHeight="true" outlineLevel="0" collapsed="false">
      <c r="A427" s="14"/>
      <c r="B427" s="10"/>
      <c r="C427" s="18" t="str">
        <f aca="false">IF($B427="","",IFERROR(INDEX(대상목록!$C$3:$C$302,MATCH($B427,대상목록!$A$3:$A$302,0)),""))</f>
        <v/>
      </c>
      <c r="D427" s="10"/>
      <c r="E427" s="10"/>
      <c r="F427" s="19"/>
      <c r="G427" s="10"/>
    </row>
    <row r="428" customFormat="false" ht="15" hidden="false" customHeight="true" outlineLevel="0" collapsed="false">
      <c r="A428" s="14"/>
      <c r="B428" s="10"/>
      <c r="C428" s="18" t="str">
        <f aca="false">IF($B428="","",IFERROR(INDEX(대상목록!$C$3:$C$302,MATCH($B428,대상목록!$A$3:$A$302,0)),""))</f>
        <v/>
      </c>
      <c r="D428" s="10"/>
      <c r="E428" s="10"/>
      <c r="F428" s="19"/>
      <c r="G428" s="10"/>
    </row>
    <row r="429" customFormat="false" ht="15" hidden="false" customHeight="true" outlineLevel="0" collapsed="false">
      <c r="A429" s="14"/>
      <c r="B429" s="10"/>
      <c r="C429" s="18" t="str">
        <f aca="false">IF($B429="","",IFERROR(INDEX(대상목록!$C$3:$C$302,MATCH($B429,대상목록!$A$3:$A$302,0)),""))</f>
        <v/>
      </c>
      <c r="D429" s="10"/>
      <c r="E429" s="10"/>
      <c r="F429" s="19"/>
      <c r="G429" s="10"/>
    </row>
    <row r="430" customFormat="false" ht="15" hidden="false" customHeight="true" outlineLevel="0" collapsed="false">
      <c r="A430" s="14"/>
      <c r="B430" s="10"/>
      <c r="C430" s="18" t="str">
        <f aca="false">IF($B430="","",IFERROR(INDEX(대상목록!$C$3:$C$302,MATCH($B430,대상목록!$A$3:$A$302,0)),""))</f>
        <v/>
      </c>
      <c r="D430" s="10"/>
      <c r="E430" s="10"/>
      <c r="F430" s="19"/>
      <c r="G430" s="10"/>
    </row>
    <row r="431" customFormat="false" ht="15" hidden="false" customHeight="true" outlineLevel="0" collapsed="false">
      <c r="A431" s="14"/>
      <c r="B431" s="10"/>
      <c r="C431" s="18" t="str">
        <f aca="false">IF($B431="","",IFERROR(INDEX(대상목록!$C$3:$C$302,MATCH($B431,대상목록!$A$3:$A$302,0)),""))</f>
        <v/>
      </c>
      <c r="D431" s="10"/>
      <c r="E431" s="10"/>
      <c r="F431" s="19"/>
      <c r="G431" s="10"/>
    </row>
    <row r="432" customFormat="false" ht="15" hidden="false" customHeight="true" outlineLevel="0" collapsed="false">
      <c r="A432" s="14"/>
      <c r="B432" s="10"/>
      <c r="C432" s="18" t="str">
        <f aca="false">IF($B432="","",IFERROR(INDEX(대상목록!$C$3:$C$302,MATCH($B432,대상목록!$A$3:$A$302,0)),""))</f>
        <v/>
      </c>
      <c r="D432" s="10"/>
      <c r="E432" s="10"/>
      <c r="F432" s="19"/>
      <c r="G432" s="10"/>
    </row>
    <row r="433" customFormat="false" ht="15" hidden="false" customHeight="true" outlineLevel="0" collapsed="false">
      <c r="A433" s="14"/>
      <c r="B433" s="10"/>
      <c r="C433" s="18" t="str">
        <f aca="false">IF($B433="","",IFERROR(INDEX(대상목록!$C$3:$C$302,MATCH($B433,대상목록!$A$3:$A$302,0)),""))</f>
        <v/>
      </c>
      <c r="D433" s="10"/>
      <c r="E433" s="10"/>
      <c r="F433" s="19"/>
      <c r="G433" s="10"/>
    </row>
    <row r="434" customFormat="false" ht="15" hidden="false" customHeight="true" outlineLevel="0" collapsed="false">
      <c r="A434" s="14"/>
      <c r="B434" s="10"/>
      <c r="C434" s="18" t="str">
        <f aca="false">IF($B434="","",IFERROR(INDEX(대상목록!$C$3:$C$302,MATCH($B434,대상목록!$A$3:$A$302,0)),""))</f>
        <v/>
      </c>
      <c r="D434" s="10"/>
      <c r="E434" s="10"/>
      <c r="F434" s="19"/>
      <c r="G434" s="10"/>
    </row>
    <row r="435" customFormat="false" ht="15" hidden="false" customHeight="true" outlineLevel="0" collapsed="false">
      <c r="A435" s="14"/>
      <c r="B435" s="10"/>
      <c r="C435" s="18" t="str">
        <f aca="false">IF($B435="","",IFERROR(INDEX(대상목록!$C$3:$C$302,MATCH($B435,대상목록!$A$3:$A$302,0)),""))</f>
        <v/>
      </c>
      <c r="D435" s="10"/>
      <c r="E435" s="10"/>
      <c r="F435" s="19"/>
      <c r="G435" s="10"/>
    </row>
    <row r="436" customFormat="false" ht="15" hidden="false" customHeight="true" outlineLevel="0" collapsed="false">
      <c r="A436" s="14"/>
      <c r="B436" s="10"/>
      <c r="C436" s="18" t="str">
        <f aca="false">IF($B436="","",IFERROR(INDEX(대상목록!$C$3:$C$302,MATCH($B436,대상목록!$A$3:$A$302,0)),""))</f>
        <v/>
      </c>
      <c r="D436" s="10"/>
      <c r="E436" s="10"/>
      <c r="F436" s="19"/>
      <c r="G436" s="10"/>
    </row>
    <row r="437" customFormat="false" ht="15" hidden="false" customHeight="true" outlineLevel="0" collapsed="false">
      <c r="A437" s="14"/>
      <c r="B437" s="10"/>
      <c r="C437" s="18" t="str">
        <f aca="false">IF($B437="","",IFERROR(INDEX(대상목록!$C$3:$C$302,MATCH($B437,대상목록!$A$3:$A$302,0)),""))</f>
        <v/>
      </c>
      <c r="D437" s="10"/>
      <c r="E437" s="10"/>
      <c r="F437" s="19"/>
      <c r="G437" s="10"/>
    </row>
    <row r="438" customFormat="false" ht="15" hidden="false" customHeight="true" outlineLevel="0" collapsed="false">
      <c r="A438" s="14"/>
      <c r="B438" s="10"/>
      <c r="C438" s="18" t="str">
        <f aca="false">IF($B438="","",IFERROR(INDEX(대상목록!$C$3:$C$302,MATCH($B438,대상목록!$A$3:$A$302,0)),""))</f>
        <v/>
      </c>
      <c r="D438" s="10"/>
      <c r="E438" s="10"/>
      <c r="F438" s="19"/>
      <c r="G438" s="10"/>
    </row>
    <row r="439" customFormat="false" ht="15" hidden="false" customHeight="true" outlineLevel="0" collapsed="false">
      <c r="A439" s="14"/>
      <c r="B439" s="10"/>
      <c r="C439" s="18" t="str">
        <f aca="false">IF($B439="","",IFERROR(INDEX(대상목록!$C$3:$C$302,MATCH($B439,대상목록!$A$3:$A$302,0)),""))</f>
        <v/>
      </c>
      <c r="D439" s="10"/>
      <c r="E439" s="10"/>
      <c r="F439" s="19"/>
      <c r="G439" s="10"/>
    </row>
    <row r="440" customFormat="false" ht="15" hidden="false" customHeight="true" outlineLevel="0" collapsed="false">
      <c r="A440" s="14"/>
      <c r="B440" s="10"/>
      <c r="C440" s="18" t="str">
        <f aca="false">IF($B440="","",IFERROR(INDEX(대상목록!$C$3:$C$302,MATCH($B440,대상목록!$A$3:$A$302,0)),""))</f>
        <v/>
      </c>
      <c r="D440" s="10"/>
      <c r="E440" s="10"/>
      <c r="F440" s="19"/>
      <c r="G440" s="10"/>
    </row>
    <row r="441" customFormat="false" ht="15" hidden="false" customHeight="true" outlineLevel="0" collapsed="false">
      <c r="A441" s="14"/>
      <c r="B441" s="10"/>
      <c r="C441" s="18" t="str">
        <f aca="false">IF($B441="","",IFERROR(INDEX(대상목록!$C$3:$C$302,MATCH($B441,대상목록!$A$3:$A$302,0)),""))</f>
        <v/>
      </c>
      <c r="D441" s="10"/>
      <c r="E441" s="10"/>
      <c r="F441" s="19"/>
      <c r="G441" s="10"/>
    </row>
    <row r="442" customFormat="false" ht="15" hidden="false" customHeight="true" outlineLevel="0" collapsed="false">
      <c r="A442" s="14"/>
      <c r="B442" s="10"/>
      <c r="C442" s="18" t="str">
        <f aca="false">IF($B442="","",IFERROR(INDEX(대상목록!$C$3:$C$302,MATCH($B442,대상목록!$A$3:$A$302,0)),""))</f>
        <v/>
      </c>
      <c r="D442" s="10"/>
      <c r="E442" s="10"/>
      <c r="F442" s="19"/>
      <c r="G442" s="10"/>
    </row>
    <row r="443" customFormat="false" ht="15" hidden="false" customHeight="true" outlineLevel="0" collapsed="false">
      <c r="A443" s="14"/>
      <c r="B443" s="10"/>
      <c r="C443" s="18" t="str">
        <f aca="false">IF($B443="","",IFERROR(INDEX(대상목록!$C$3:$C$302,MATCH($B443,대상목록!$A$3:$A$302,0)),""))</f>
        <v/>
      </c>
      <c r="D443" s="10"/>
      <c r="E443" s="10"/>
      <c r="F443" s="19"/>
      <c r="G443" s="10"/>
    </row>
    <row r="444" customFormat="false" ht="15" hidden="false" customHeight="true" outlineLevel="0" collapsed="false">
      <c r="A444" s="14"/>
      <c r="B444" s="10"/>
      <c r="C444" s="18" t="str">
        <f aca="false">IF($B444="","",IFERROR(INDEX(대상목록!$C$3:$C$302,MATCH($B444,대상목록!$A$3:$A$302,0)),""))</f>
        <v/>
      </c>
      <c r="D444" s="10"/>
      <c r="E444" s="10"/>
      <c r="F444" s="19"/>
      <c r="G444" s="10"/>
    </row>
    <row r="445" customFormat="false" ht="15" hidden="false" customHeight="true" outlineLevel="0" collapsed="false">
      <c r="A445" s="14"/>
      <c r="B445" s="10"/>
      <c r="C445" s="18" t="str">
        <f aca="false">IF($B445="","",IFERROR(INDEX(대상목록!$C$3:$C$302,MATCH($B445,대상목록!$A$3:$A$302,0)),""))</f>
        <v/>
      </c>
      <c r="D445" s="10"/>
      <c r="E445" s="10"/>
      <c r="F445" s="19"/>
      <c r="G445" s="10"/>
    </row>
    <row r="446" customFormat="false" ht="15" hidden="false" customHeight="true" outlineLevel="0" collapsed="false">
      <c r="A446" s="14"/>
      <c r="B446" s="10"/>
      <c r="C446" s="18" t="str">
        <f aca="false">IF($B446="","",IFERROR(INDEX(대상목록!$C$3:$C$302,MATCH($B446,대상목록!$A$3:$A$302,0)),""))</f>
        <v/>
      </c>
      <c r="D446" s="10"/>
      <c r="E446" s="10"/>
      <c r="F446" s="19"/>
      <c r="G446" s="10"/>
    </row>
    <row r="447" customFormat="false" ht="15" hidden="false" customHeight="true" outlineLevel="0" collapsed="false">
      <c r="A447" s="14"/>
      <c r="B447" s="10"/>
      <c r="C447" s="18" t="str">
        <f aca="false">IF($B447="","",IFERROR(INDEX(대상목록!$C$3:$C$302,MATCH($B447,대상목록!$A$3:$A$302,0)),""))</f>
        <v/>
      </c>
      <c r="D447" s="10"/>
      <c r="E447" s="10"/>
      <c r="F447" s="19"/>
      <c r="G447" s="10"/>
    </row>
    <row r="448" customFormat="false" ht="15" hidden="false" customHeight="true" outlineLevel="0" collapsed="false">
      <c r="A448" s="14"/>
      <c r="B448" s="10"/>
      <c r="C448" s="18" t="str">
        <f aca="false">IF($B448="","",IFERROR(INDEX(대상목록!$C$3:$C$302,MATCH($B448,대상목록!$A$3:$A$302,0)),""))</f>
        <v/>
      </c>
      <c r="D448" s="10"/>
      <c r="E448" s="10"/>
      <c r="F448" s="19"/>
      <c r="G448" s="10"/>
    </row>
    <row r="449" customFormat="false" ht="15" hidden="false" customHeight="true" outlineLevel="0" collapsed="false">
      <c r="A449" s="14"/>
      <c r="B449" s="10"/>
      <c r="C449" s="18" t="str">
        <f aca="false">IF($B449="","",IFERROR(INDEX(대상목록!$C$3:$C$302,MATCH($B449,대상목록!$A$3:$A$302,0)),""))</f>
        <v/>
      </c>
      <c r="D449" s="10"/>
      <c r="E449" s="10"/>
      <c r="F449" s="19"/>
      <c r="G449" s="10"/>
    </row>
    <row r="450" customFormat="false" ht="15" hidden="false" customHeight="true" outlineLevel="0" collapsed="false">
      <c r="A450" s="14"/>
      <c r="B450" s="10"/>
      <c r="C450" s="18" t="str">
        <f aca="false">IF($B450="","",IFERROR(INDEX(대상목록!$C$3:$C$302,MATCH($B450,대상목록!$A$3:$A$302,0)),""))</f>
        <v/>
      </c>
      <c r="D450" s="10"/>
      <c r="E450" s="10"/>
      <c r="F450" s="19"/>
      <c r="G450" s="10"/>
    </row>
    <row r="451" customFormat="false" ht="15" hidden="false" customHeight="true" outlineLevel="0" collapsed="false">
      <c r="A451" s="14"/>
      <c r="B451" s="10"/>
      <c r="C451" s="18" t="str">
        <f aca="false">IF($B451="","",IFERROR(INDEX(대상목록!$C$3:$C$302,MATCH($B451,대상목록!$A$3:$A$302,0)),""))</f>
        <v/>
      </c>
      <c r="D451" s="10"/>
      <c r="E451" s="10"/>
      <c r="F451" s="19"/>
      <c r="G451" s="10"/>
    </row>
    <row r="452" customFormat="false" ht="15" hidden="false" customHeight="true" outlineLevel="0" collapsed="false">
      <c r="A452" s="14"/>
      <c r="B452" s="10"/>
      <c r="C452" s="18" t="str">
        <f aca="false">IF($B452="","",IFERROR(INDEX(대상목록!$C$3:$C$302,MATCH($B452,대상목록!$A$3:$A$302,0)),""))</f>
        <v/>
      </c>
      <c r="D452" s="10"/>
      <c r="E452" s="10"/>
      <c r="F452" s="19"/>
      <c r="G452" s="10"/>
    </row>
    <row r="453" customFormat="false" ht="15" hidden="false" customHeight="true" outlineLevel="0" collapsed="false">
      <c r="A453" s="14"/>
      <c r="B453" s="10"/>
      <c r="C453" s="18" t="str">
        <f aca="false">IF($B453="","",IFERROR(INDEX(대상목록!$C$3:$C$302,MATCH($B453,대상목록!$A$3:$A$302,0)),""))</f>
        <v/>
      </c>
      <c r="D453" s="10"/>
      <c r="E453" s="10"/>
      <c r="F453" s="19"/>
      <c r="G453" s="10"/>
    </row>
    <row r="454" customFormat="false" ht="15" hidden="false" customHeight="true" outlineLevel="0" collapsed="false">
      <c r="A454" s="14"/>
      <c r="B454" s="10"/>
      <c r="C454" s="18" t="str">
        <f aca="false">IF($B454="","",IFERROR(INDEX(대상목록!$C$3:$C$302,MATCH($B454,대상목록!$A$3:$A$302,0)),""))</f>
        <v/>
      </c>
      <c r="D454" s="10"/>
      <c r="E454" s="10"/>
      <c r="F454" s="19"/>
      <c r="G454" s="10"/>
    </row>
    <row r="455" customFormat="false" ht="15" hidden="false" customHeight="true" outlineLevel="0" collapsed="false">
      <c r="A455" s="14"/>
      <c r="B455" s="10"/>
      <c r="C455" s="18" t="str">
        <f aca="false">IF($B455="","",IFERROR(INDEX(대상목록!$C$3:$C$302,MATCH($B455,대상목록!$A$3:$A$302,0)),""))</f>
        <v/>
      </c>
      <c r="D455" s="10"/>
      <c r="E455" s="10"/>
      <c r="F455" s="19"/>
      <c r="G455" s="10"/>
    </row>
    <row r="456" customFormat="false" ht="15" hidden="false" customHeight="true" outlineLevel="0" collapsed="false">
      <c r="A456" s="14"/>
      <c r="B456" s="10"/>
      <c r="C456" s="18" t="str">
        <f aca="false">IF($B456="","",IFERROR(INDEX(대상목록!$C$3:$C$302,MATCH($B456,대상목록!$A$3:$A$302,0)),""))</f>
        <v/>
      </c>
      <c r="D456" s="10"/>
      <c r="E456" s="10"/>
      <c r="F456" s="19"/>
      <c r="G456" s="10"/>
    </row>
    <row r="457" customFormat="false" ht="15" hidden="false" customHeight="true" outlineLevel="0" collapsed="false">
      <c r="A457" s="14"/>
      <c r="B457" s="10"/>
      <c r="C457" s="18" t="str">
        <f aca="false">IF($B457="","",IFERROR(INDEX(대상목록!$C$3:$C$302,MATCH($B457,대상목록!$A$3:$A$302,0)),""))</f>
        <v/>
      </c>
      <c r="D457" s="10"/>
      <c r="E457" s="10"/>
      <c r="F457" s="19"/>
      <c r="G457" s="10"/>
    </row>
    <row r="458" customFormat="false" ht="15" hidden="false" customHeight="true" outlineLevel="0" collapsed="false">
      <c r="A458" s="14"/>
      <c r="B458" s="10"/>
      <c r="C458" s="18" t="str">
        <f aca="false">IF($B458="","",IFERROR(INDEX(대상목록!$C$3:$C$302,MATCH($B458,대상목록!$A$3:$A$302,0)),""))</f>
        <v/>
      </c>
      <c r="D458" s="10"/>
      <c r="E458" s="10"/>
      <c r="F458" s="19"/>
      <c r="G458" s="10"/>
    </row>
    <row r="459" customFormat="false" ht="15" hidden="false" customHeight="true" outlineLevel="0" collapsed="false">
      <c r="A459" s="14"/>
      <c r="B459" s="10"/>
      <c r="C459" s="18" t="str">
        <f aca="false">IF($B459="","",IFERROR(INDEX(대상목록!$C$3:$C$302,MATCH($B459,대상목록!$A$3:$A$302,0)),""))</f>
        <v/>
      </c>
      <c r="D459" s="10"/>
      <c r="E459" s="10"/>
      <c r="F459" s="19"/>
      <c r="G459" s="10"/>
    </row>
    <row r="460" customFormat="false" ht="15" hidden="false" customHeight="true" outlineLevel="0" collapsed="false">
      <c r="A460" s="14"/>
      <c r="B460" s="10"/>
      <c r="C460" s="18" t="str">
        <f aca="false">IF($B460="","",IFERROR(INDEX(대상목록!$C$3:$C$302,MATCH($B460,대상목록!$A$3:$A$302,0)),""))</f>
        <v/>
      </c>
      <c r="D460" s="10"/>
      <c r="E460" s="10"/>
      <c r="F460" s="19"/>
      <c r="G460" s="10"/>
    </row>
    <row r="461" customFormat="false" ht="15" hidden="false" customHeight="true" outlineLevel="0" collapsed="false">
      <c r="A461" s="14"/>
      <c r="B461" s="10"/>
      <c r="C461" s="18" t="str">
        <f aca="false">IF($B461="","",IFERROR(INDEX(대상목록!$C$3:$C$302,MATCH($B461,대상목록!$A$3:$A$302,0)),""))</f>
        <v/>
      </c>
      <c r="D461" s="10"/>
      <c r="E461" s="10"/>
      <c r="F461" s="19"/>
      <c r="G461" s="10"/>
    </row>
    <row r="462" customFormat="false" ht="15" hidden="false" customHeight="true" outlineLevel="0" collapsed="false">
      <c r="A462" s="14"/>
      <c r="B462" s="10"/>
      <c r="C462" s="18" t="str">
        <f aca="false">IF($B462="","",IFERROR(INDEX(대상목록!$C$3:$C$302,MATCH($B462,대상목록!$A$3:$A$302,0)),""))</f>
        <v/>
      </c>
      <c r="D462" s="10"/>
      <c r="E462" s="10"/>
      <c r="F462" s="19"/>
      <c r="G462" s="10"/>
    </row>
    <row r="463" customFormat="false" ht="15" hidden="false" customHeight="true" outlineLevel="0" collapsed="false">
      <c r="A463" s="14"/>
      <c r="B463" s="10"/>
      <c r="C463" s="18" t="str">
        <f aca="false">IF($B463="","",IFERROR(INDEX(대상목록!$C$3:$C$302,MATCH($B463,대상목록!$A$3:$A$302,0)),""))</f>
        <v/>
      </c>
      <c r="D463" s="10"/>
      <c r="E463" s="10"/>
      <c r="F463" s="19"/>
      <c r="G463" s="10"/>
    </row>
    <row r="464" customFormat="false" ht="15" hidden="false" customHeight="true" outlineLevel="0" collapsed="false">
      <c r="A464" s="14"/>
      <c r="B464" s="10"/>
      <c r="C464" s="18" t="str">
        <f aca="false">IF($B464="","",IFERROR(INDEX(대상목록!$C$3:$C$302,MATCH($B464,대상목록!$A$3:$A$302,0)),""))</f>
        <v/>
      </c>
      <c r="D464" s="10"/>
      <c r="E464" s="10"/>
      <c r="F464" s="19"/>
      <c r="G464" s="10"/>
    </row>
    <row r="465" customFormat="false" ht="15" hidden="false" customHeight="true" outlineLevel="0" collapsed="false">
      <c r="A465" s="14"/>
      <c r="B465" s="10"/>
      <c r="C465" s="18" t="str">
        <f aca="false">IF($B465="","",IFERROR(INDEX(대상목록!$C$3:$C$302,MATCH($B465,대상목록!$A$3:$A$302,0)),""))</f>
        <v/>
      </c>
      <c r="D465" s="10"/>
      <c r="E465" s="10"/>
      <c r="F465" s="19"/>
      <c r="G465" s="10"/>
    </row>
    <row r="466" customFormat="false" ht="15" hidden="false" customHeight="true" outlineLevel="0" collapsed="false">
      <c r="A466" s="14"/>
      <c r="B466" s="10"/>
      <c r="C466" s="18" t="str">
        <f aca="false">IF($B466="","",IFERROR(INDEX(대상목록!$C$3:$C$302,MATCH($B466,대상목록!$A$3:$A$302,0)),""))</f>
        <v/>
      </c>
      <c r="D466" s="10"/>
      <c r="E466" s="10"/>
      <c r="F466" s="19"/>
      <c r="G466" s="10"/>
    </row>
    <row r="467" customFormat="false" ht="15" hidden="false" customHeight="true" outlineLevel="0" collapsed="false">
      <c r="A467" s="14"/>
      <c r="B467" s="10"/>
      <c r="C467" s="18" t="str">
        <f aca="false">IF($B467="","",IFERROR(INDEX(대상목록!$C$3:$C$302,MATCH($B467,대상목록!$A$3:$A$302,0)),""))</f>
        <v/>
      </c>
      <c r="D467" s="10"/>
      <c r="E467" s="10"/>
      <c r="F467" s="19"/>
      <c r="G467" s="10"/>
    </row>
    <row r="468" customFormat="false" ht="15" hidden="false" customHeight="true" outlineLevel="0" collapsed="false">
      <c r="A468" s="14"/>
      <c r="B468" s="10"/>
      <c r="C468" s="18" t="str">
        <f aca="false">IF($B468="","",IFERROR(INDEX(대상목록!$C$3:$C$302,MATCH($B468,대상목록!$A$3:$A$302,0)),""))</f>
        <v/>
      </c>
      <c r="D468" s="10"/>
      <c r="E468" s="10"/>
      <c r="F468" s="19"/>
      <c r="G468" s="10"/>
    </row>
    <row r="469" customFormat="false" ht="15" hidden="false" customHeight="true" outlineLevel="0" collapsed="false">
      <c r="A469" s="14"/>
      <c r="B469" s="10"/>
      <c r="C469" s="18" t="str">
        <f aca="false">IF($B469="","",IFERROR(INDEX(대상목록!$C$3:$C$302,MATCH($B469,대상목록!$A$3:$A$302,0)),""))</f>
        <v/>
      </c>
      <c r="D469" s="10"/>
      <c r="E469" s="10"/>
      <c r="F469" s="19"/>
      <c r="G469" s="10"/>
    </row>
    <row r="470" customFormat="false" ht="15" hidden="false" customHeight="true" outlineLevel="0" collapsed="false">
      <c r="A470" s="14"/>
      <c r="B470" s="10"/>
      <c r="C470" s="18" t="str">
        <f aca="false">IF($B470="","",IFERROR(INDEX(대상목록!$C$3:$C$302,MATCH($B470,대상목록!$A$3:$A$302,0)),""))</f>
        <v/>
      </c>
      <c r="D470" s="10"/>
      <c r="E470" s="10"/>
      <c r="F470" s="19"/>
      <c r="G470" s="10"/>
    </row>
    <row r="471" customFormat="false" ht="15" hidden="false" customHeight="true" outlineLevel="0" collapsed="false">
      <c r="A471" s="14"/>
      <c r="B471" s="10"/>
      <c r="C471" s="18" t="str">
        <f aca="false">IF($B471="","",IFERROR(INDEX(대상목록!$C$3:$C$302,MATCH($B471,대상목록!$A$3:$A$302,0)),""))</f>
        <v/>
      </c>
      <c r="D471" s="10"/>
      <c r="E471" s="10"/>
      <c r="F471" s="19"/>
      <c r="G471" s="10"/>
    </row>
    <row r="472" customFormat="false" ht="15" hidden="false" customHeight="true" outlineLevel="0" collapsed="false">
      <c r="A472" s="14"/>
      <c r="B472" s="10"/>
      <c r="C472" s="18" t="str">
        <f aca="false">IF($B472="","",IFERROR(INDEX(대상목록!$C$3:$C$302,MATCH($B472,대상목록!$A$3:$A$302,0)),""))</f>
        <v/>
      </c>
      <c r="D472" s="10"/>
      <c r="E472" s="10"/>
      <c r="F472" s="19"/>
      <c r="G472" s="10"/>
    </row>
    <row r="473" customFormat="false" ht="15" hidden="false" customHeight="true" outlineLevel="0" collapsed="false">
      <c r="A473" s="14"/>
      <c r="B473" s="10"/>
      <c r="C473" s="18" t="str">
        <f aca="false">IF($B473="","",IFERROR(INDEX(대상목록!$C$3:$C$302,MATCH($B473,대상목록!$A$3:$A$302,0)),""))</f>
        <v/>
      </c>
      <c r="D473" s="10"/>
      <c r="E473" s="10"/>
      <c r="F473" s="19"/>
      <c r="G473" s="10"/>
    </row>
    <row r="474" customFormat="false" ht="15" hidden="false" customHeight="true" outlineLevel="0" collapsed="false">
      <c r="A474" s="14"/>
      <c r="B474" s="10"/>
      <c r="C474" s="18" t="str">
        <f aca="false">IF($B474="","",IFERROR(INDEX(대상목록!$C$3:$C$302,MATCH($B474,대상목록!$A$3:$A$302,0)),""))</f>
        <v/>
      </c>
      <c r="D474" s="10"/>
      <c r="E474" s="10"/>
      <c r="F474" s="19"/>
      <c r="G474" s="10"/>
    </row>
    <row r="475" customFormat="false" ht="15" hidden="false" customHeight="true" outlineLevel="0" collapsed="false">
      <c r="A475" s="14"/>
      <c r="B475" s="10"/>
      <c r="C475" s="18" t="str">
        <f aca="false">IF($B475="","",IFERROR(INDEX(대상목록!$C$3:$C$302,MATCH($B475,대상목록!$A$3:$A$302,0)),""))</f>
        <v/>
      </c>
      <c r="D475" s="10"/>
      <c r="E475" s="10"/>
      <c r="F475" s="19"/>
      <c r="G475" s="10"/>
    </row>
    <row r="476" customFormat="false" ht="15" hidden="false" customHeight="true" outlineLevel="0" collapsed="false">
      <c r="A476" s="14"/>
      <c r="B476" s="10"/>
      <c r="C476" s="18" t="str">
        <f aca="false">IF($B476="","",IFERROR(INDEX(대상목록!$C$3:$C$302,MATCH($B476,대상목록!$A$3:$A$302,0)),""))</f>
        <v/>
      </c>
      <c r="D476" s="10"/>
      <c r="E476" s="10"/>
      <c r="F476" s="19"/>
      <c r="G476" s="10"/>
    </row>
    <row r="477" customFormat="false" ht="15" hidden="false" customHeight="true" outlineLevel="0" collapsed="false">
      <c r="A477" s="14"/>
      <c r="B477" s="10"/>
      <c r="C477" s="18" t="str">
        <f aca="false">IF($B477="","",IFERROR(INDEX(대상목록!$C$3:$C$302,MATCH($B477,대상목록!$A$3:$A$302,0)),""))</f>
        <v/>
      </c>
      <c r="D477" s="10"/>
      <c r="E477" s="10"/>
      <c r="F477" s="19"/>
      <c r="G477" s="10"/>
    </row>
    <row r="478" customFormat="false" ht="15" hidden="false" customHeight="true" outlineLevel="0" collapsed="false">
      <c r="A478" s="14"/>
      <c r="B478" s="10"/>
      <c r="C478" s="18" t="str">
        <f aca="false">IF($B478="","",IFERROR(INDEX(대상목록!$C$3:$C$302,MATCH($B478,대상목록!$A$3:$A$302,0)),""))</f>
        <v/>
      </c>
      <c r="D478" s="10"/>
      <c r="E478" s="10"/>
      <c r="F478" s="19"/>
      <c r="G478" s="10"/>
    </row>
    <row r="479" customFormat="false" ht="15" hidden="false" customHeight="true" outlineLevel="0" collapsed="false">
      <c r="A479" s="14"/>
      <c r="B479" s="10"/>
      <c r="C479" s="18" t="str">
        <f aca="false">IF($B479="","",IFERROR(INDEX(대상목록!$C$3:$C$302,MATCH($B479,대상목록!$A$3:$A$302,0)),""))</f>
        <v/>
      </c>
      <c r="D479" s="10"/>
      <c r="E479" s="10"/>
      <c r="F479" s="19"/>
      <c r="G479" s="10"/>
    </row>
    <row r="480" customFormat="false" ht="15" hidden="false" customHeight="true" outlineLevel="0" collapsed="false">
      <c r="A480" s="14"/>
      <c r="B480" s="10"/>
      <c r="C480" s="18" t="str">
        <f aca="false">IF($B480="","",IFERROR(INDEX(대상목록!$C$3:$C$302,MATCH($B480,대상목록!$A$3:$A$302,0)),""))</f>
        <v/>
      </c>
      <c r="D480" s="10"/>
      <c r="E480" s="10"/>
      <c r="F480" s="19"/>
      <c r="G480" s="10"/>
    </row>
    <row r="481" customFormat="false" ht="15" hidden="false" customHeight="true" outlineLevel="0" collapsed="false">
      <c r="A481" s="14"/>
      <c r="B481" s="10"/>
      <c r="C481" s="18" t="str">
        <f aca="false">IF($B481="","",IFERROR(INDEX(대상목록!$C$3:$C$302,MATCH($B481,대상목록!$A$3:$A$302,0)),""))</f>
        <v/>
      </c>
      <c r="D481" s="10"/>
      <c r="E481" s="10"/>
      <c r="F481" s="19"/>
      <c r="G481" s="10"/>
    </row>
    <row r="482" customFormat="false" ht="15" hidden="false" customHeight="true" outlineLevel="0" collapsed="false">
      <c r="A482" s="14"/>
      <c r="B482" s="10"/>
      <c r="C482" s="18" t="str">
        <f aca="false">IF($B482="","",IFERROR(INDEX(대상목록!$C$3:$C$302,MATCH($B482,대상목록!$A$3:$A$302,0)),""))</f>
        <v/>
      </c>
      <c r="D482" s="10"/>
      <c r="E482" s="10"/>
      <c r="F482" s="19"/>
      <c r="G482" s="10"/>
    </row>
    <row r="483" customFormat="false" ht="15" hidden="false" customHeight="true" outlineLevel="0" collapsed="false">
      <c r="A483" s="14"/>
      <c r="B483" s="10"/>
      <c r="C483" s="18" t="str">
        <f aca="false">IF($B483="","",IFERROR(INDEX(대상목록!$C$3:$C$302,MATCH($B483,대상목록!$A$3:$A$302,0)),""))</f>
        <v/>
      </c>
      <c r="D483" s="10"/>
      <c r="E483" s="10"/>
      <c r="F483" s="19"/>
      <c r="G483" s="10"/>
    </row>
    <row r="484" customFormat="false" ht="15" hidden="false" customHeight="true" outlineLevel="0" collapsed="false">
      <c r="A484" s="14"/>
      <c r="B484" s="10"/>
      <c r="C484" s="18" t="str">
        <f aca="false">IF($B484="","",IFERROR(INDEX(대상목록!$C$3:$C$302,MATCH($B484,대상목록!$A$3:$A$302,0)),""))</f>
        <v/>
      </c>
      <c r="D484" s="10"/>
      <c r="E484" s="10"/>
      <c r="F484" s="19"/>
      <c r="G484" s="10"/>
    </row>
    <row r="485" customFormat="false" ht="15" hidden="false" customHeight="true" outlineLevel="0" collapsed="false">
      <c r="A485" s="14"/>
      <c r="B485" s="10"/>
      <c r="C485" s="18" t="str">
        <f aca="false">IF($B485="","",IFERROR(INDEX(대상목록!$C$3:$C$302,MATCH($B485,대상목록!$A$3:$A$302,0)),""))</f>
        <v/>
      </c>
      <c r="D485" s="10"/>
      <c r="E485" s="10"/>
      <c r="F485" s="19"/>
      <c r="G485" s="10"/>
    </row>
    <row r="486" customFormat="false" ht="15" hidden="false" customHeight="true" outlineLevel="0" collapsed="false">
      <c r="A486" s="14"/>
      <c r="B486" s="10"/>
      <c r="C486" s="18" t="str">
        <f aca="false">IF($B486="","",IFERROR(INDEX(대상목록!$C$3:$C$302,MATCH($B486,대상목록!$A$3:$A$302,0)),""))</f>
        <v/>
      </c>
      <c r="D486" s="10"/>
      <c r="E486" s="10"/>
      <c r="F486" s="19"/>
      <c r="G486" s="10"/>
    </row>
    <row r="487" customFormat="false" ht="15" hidden="false" customHeight="true" outlineLevel="0" collapsed="false">
      <c r="A487" s="14"/>
      <c r="B487" s="10"/>
      <c r="C487" s="18" t="str">
        <f aca="false">IF($B487="","",IFERROR(INDEX(대상목록!$C$3:$C$302,MATCH($B487,대상목록!$A$3:$A$302,0)),""))</f>
        <v/>
      </c>
      <c r="D487" s="10"/>
      <c r="E487" s="10"/>
      <c r="F487" s="19"/>
      <c r="G487" s="10"/>
    </row>
    <row r="488" customFormat="false" ht="15" hidden="false" customHeight="true" outlineLevel="0" collapsed="false">
      <c r="A488" s="14"/>
      <c r="B488" s="10"/>
      <c r="C488" s="18" t="str">
        <f aca="false">IF($B488="","",IFERROR(INDEX(대상목록!$C$3:$C$302,MATCH($B488,대상목록!$A$3:$A$302,0)),""))</f>
        <v/>
      </c>
      <c r="D488" s="10"/>
      <c r="E488" s="10"/>
      <c r="F488" s="19"/>
      <c r="G488" s="10"/>
    </row>
    <row r="489" customFormat="false" ht="15" hidden="false" customHeight="true" outlineLevel="0" collapsed="false">
      <c r="A489" s="14"/>
      <c r="B489" s="10"/>
      <c r="C489" s="18" t="str">
        <f aca="false">IF($B489="","",IFERROR(INDEX(대상목록!$C$3:$C$302,MATCH($B489,대상목록!$A$3:$A$302,0)),""))</f>
        <v/>
      </c>
      <c r="D489" s="10"/>
      <c r="E489" s="10"/>
      <c r="F489" s="19"/>
      <c r="G489" s="10"/>
    </row>
    <row r="490" customFormat="false" ht="15" hidden="false" customHeight="true" outlineLevel="0" collapsed="false">
      <c r="A490" s="14"/>
      <c r="B490" s="10"/>
      <c r="C490" s="18" t="str">
        <f aca="false">IF($B490="","",IFERROR(INDEX(대상목록!$C$3:$C$302,MATCH($B490,대상목록!$A$3:$A$302,0)),""))</f>
        <v/>
      </c>
      <c r="D490" s="10"/>
      <c r="E490" s="10"/>
      <c r="F490" s="19"/>
      <c r="G490" s="10"/>
    </row>
    <row r="491" customFormat="false" ht="15" hidden="false" customHeight="true" outlineLevel="0" collapsed="false">
      <c r="A491" s="14"/>
      <c r="B491" s="10"/>
      <c r="C491" s="18" t="str">
        <f aca="false">IF($B491="","",IFERROR(INDEX(대상목록!$C$3:$C$302,MATCH($B491,대상목록!$A$3:$A$302,0)),""))</f>
        <v/>
      </c>
      <c r="D491" s="10"/>
      <c r="E491" s="10"/>
      <c r="F491" s="19"/>
      <c r="G491" s="10"/>
    </row>
    <row r="492" customFormat="false" ht="15" hidden="false" customHeight="true" outlineLevel="0" collapsed="false">
      <c r="A492" s="14"/>
      <c r="B492" s="10"/>
      <c r="C492" s="18" t="str">
        <f aca="false">IF($B492="","",IFERROR(INDEX(대상목록!$C$3:$C$302,MATCH($B492,대상목록!$A$3:$A$302,0)),""))</f>
        <v/>
      </c>
      <c r="D492" s="10"/>
      <c r="E492" s="10"/>
      <c r="F492" s="19"/>
      <c r="G492" s="10"/>
    </row>
    <row r="493" customFormat="false" ht="15" hidden="false" customHeight="true" outlineLevel="0" collapsed="false">
      <c r="A493" s="14"/>
      <c r="B493" s="10"/>
      <c r="C493" s="18" t="str">
        <f aca="false">IF($B493="","",IFERROR(INDEX(대상목록!$C$3:$C$302,MATCH($B493,대상목록!$A$3:$A$302,0)),""))</f>
        <v/>
      </c>
      <c r="D493" s="10"/>
      <c r="E493" s="10"/>
      <c r="F493" s="19"/>
      <c r="G493" s="10"/>
    </row>
    <row r="494" customFormat="false" ht="15" hidden="false" customHeight="true" outlineLevel="0" collapsed="false">
      <c r="A494" s="14"/>
      <c r="B494" s="10"/>
      <c r="C494" s="18" t="str">
        <f aca="false">IF($B494="","",IFERROR(INDEX(대상목록!$C$3:$C$302,MATCH($B494,대상목록!$A$3:$A$302,0)),""))</f>
        <v/>
      </c>
      <c r="D494" s="10"/>
      <c r="E494" s="10"/>
      <c r="F494" s="19"/>
      <c r="G494" s="10"/>
    </row>
    <row r="495" customFormat="false" ht="15" hidden="false" customHeight="true" outlineLevel="0" collapsed="false">
      <c r="A495" s="14"/>
      <c r="B495" s="10"/>
      <c r="C495" s="18" t="str">
        <f aca="false">IF($B495="","",IFERROR(INDEX(대상목록!$C$3:$C$302,MATCH($B495,대상목록!$A$3:$A$302,0)),""))</f>
        <v/>
      </c>
      <c r="D495" s="10"/>
      <c r="E495" s="10"/>
      <c r="F495" s="19"/>
      <c r="G495" s="10"/>
    </row>
    <row r="496" customFormat="false" ht="15" hidden="false" customHeight="true" outlineLevel="0" collapsed="false">
      <c r="A496" s="14"/>
      <c r="B496" s="10"/>
      <c r="C496" s="18" t="str">
        <f aca="false">IF($B496="","",IFERROR(INDEX(대상목록!$C$3:$C$302,MATCH($B496,대상목록!$A$3:$A$302,0)),""))</f>
        <v/>
      </c>
      <c r="D496" s="10"/>
      <c r="E496" s="10"/>
      <c r="F496" s="19"/>
      <c r="G496" s="10"/>
    </row>
    <row r="497" customFormat="false" ht="15" hidden="false" customHeight="true" outlineLevel="0" collapsed="false">
      <c r="A497" s="14"/>
      <c r="B497" s="10"/>
      <c r="C497" s="18" t="str">
        <f aca="false">IF($B497="","",IFERROR(INDEX(대상목록!$C$3:$C$302,MATCH($B497,대상목록!$A$3:$A$302,0)),""))</f>
        <v/>
      </c>
      <c r="D497" s="10"/>
      <c r="E497" s="10"/>
      <c r="F497" s="19"/>
      <c r="G497" s="10"/>
    </row>
    <row r="498" customFormat="false" ht="15" hidden="false" customHeight="true" outlineLevel="0" collapsed="false">
      <c r="A498" s="14"/>
      <c r="B498" s="10"/>
      <c r="C498" s="18" t="str">
        <f aca="false">IF($B498="","",IFERROR(INDEX(대상목록!$C$3:$C$302,MATCH($B498,대상목록!$A$3:$A$302,0)),""))</f>
        <v/>
      </c>
      <c r="D498" s="10"/>
      <c r="E498" s="10"/>
      <c r="F498" s="19"/>
      <c r="G498" s="10"/>
    </row>
    <row r="499" customFormat="false" ht="15" hidden="false" customHeight="true" outlineLevel="0" collapsed="false">
      <c r="A499" s="14"/>
      <c r="B499" s="10"/>
      <c r="C499" s="18" t="str">
        <f aca="false">IF($B499="","",IFERROR(INDEX(대상목록!$C$3:$C$302,MATCH($B499,대상목록!$A$3:$A$302,0)),""))</f>
        <v/>
      </c>
      <c r="D499" s="10"/>
      <c r="E499" s="10"/>
      <c r="F499" s="19"/>
      <c r="G499" s="10"/>
    </row>
    <row r="500" customFormat="false" ht="15" hidden="false" customHeight="true" outlineLevel="0" collapsed="false">
      <c r="A500" s="14"/>
      <c r="B500" s="10"/>
      <c r="C500" s="18" t="str">
        <f aca="false">IF($B500="","",IFERROR(INDEX(대상목록!$C$3:$C$302,MATCH($B500,대상목록!$A$3:$A$302,0)),""))</f>
        <v/>
      </c>
      <c r="D500" s="10"/>
      <c r="E500" s="10"/>
      <c r="F500" s="19"/>
      <c r="G500" s="10"/>
    </row>
    <row r="501" customFormat="false" ht="15" hidden="false" customHeight="true" outlineLevel="0" collapsed="false">
      <c r="A501" s="14"/>
      <c r="B501" s="10"/>
      <c r="C501" s="18" t="str">
        <f aca="false">IF($B501="","",IFERROR(INDEX(대상목록!$C$3:$C$302,MATCH($B501,대상목록!$A$3:$A$302,0)),""))</f>
        <v/>
      </c>
      <c r="D501" s="10"/>
      <c r="E501" s="10"/>
      <c r="F501" s="19"/>
      <c r="G501" s="10"/>
    </row>
    <row r="502" customFormat="false" ht="15" hidden="false" customHeight="true" outlineLevel="0" collapsed="false">
      <c r="A502" s="14"/>
      <c r="B502" s="10"/>
      <c r="C502" s="18" t="str">
        <f aca="false">IF($B502="","",IFERROR(INDEX(대상목록!$C$3:$C$302,MATCH($B502,대상목록!$A$3:$A$302,0)),""))</f>
        <v/>
      </c>
      <c r="D502" s="10"/>
      <c r="E502" s="10"/>
      <c r="F502" s="19"/>
      <c r="G502" s="10"/>
    </row>
    <row r="503" customFormat="false" ht="15" hidden="false" customHeight="true" outlineLevel="0" collapsed="false">
      <c r="A503" s="14"/>
      <c r="B503" s="10"/>
      <c r="C503" s="18" t="str">
        <f aca="false">IF($B503="","",IFERROR(INDEX(대상목록!$C$3:$C$302,MATCH($B503,대상목록!$A$3:$A$302,0)),""))</f>
        <v/>
      </c>
      <c r="D503" s="10"/>
      <c r="E503" s="10"/>
      <c r="F503" s="19"/>
      <c r="G503" s="10"/>
    </row>
    <row r="504" customFormat="false" ht="15" hidden="false" customHeight="true" outlineLevel="0" collapsed="false">
      <c r="A504" s="14"/>
      <c r="B504" s="10"/>
      <c r="C504" s="18" t="str">
        <f aca="false">IF($B504="","",IFERROR(INDEX(대상목록!$C$3:$C$302,MATCH($B504,대상목록!$A$3:$A$302,0)),""))</f>
        <v/>
      </c>
      <c r="D504" s="10"/>
      <c r="E504" s="10"/>
      <c r="F504" s="19"/>
      <c r="G504" s="10"/>
    </row>
    <row r="505" customFormat="false" ht="15" hidden="false" customHeight="true" outlineLevel="0" collapsed="false">
      <c r="A505" s="14"/>
      <c r="B505" s="10"/>
      <c r="C505" s="18" t="str">
        <f aca="false">IF($B505="","",IFERROR(INDEX(대상목록!$C$3:$C$302,MATCH($B505,대상목록!$A$3:$A$302,0)),""))</f>
        <v/>
      </c>
      <c r="D505" s="10"/>
      <c r="E505" s="10"/>
      <c r="F505" s="19"/>
      <c r="G505" s="10"/>
    </row>
    <row r="506" customFormat="false" ht="15" hidden="false" customHeight="true" outlineLevel="0" collapsed="false">
      <c r="A506" s="14"/>
      <c r="B506" s="10"/>
      <c r="C506" s="18" t="str">
        <f aca="false">IF($B506="","",IFERROR(INDEX(대상목록!$C$3:$C$302,MATCH($B506,대상목록!$A$3:$A$302,0)),""))</f>
        <v/>
      </c>
      <c r="D506" s="10"/>
      <c r="E506" s="10"/>
      <c r="F506" s="19"/>
      <c r="G506" s="10"/>
    </row>
    <row r="507" customFormat="false" ht="15" hidden="false" customHeight="true" outlineLevel="0" collapsed="false">
      <c r="A507" s="14"/>
      <c r="B507" s="10"/>
      <c r="C507" s="18" t="str">
        <f aca="false">IF($B507="","",IFERROR(INDEX(대상목록!$C$3:$C$302,MATCH($B507,대상목록!$A$3:$A$302,0)),""))</f>
        <v/>
      </c>
      <c r="D507" s="10"/>
      <c r="E507" s="10"/>
      <c r="F507" s="19"/>
      <c r="G507" s="10"/>
    </row>
    <row r="508" customFormat="false" ht="15" hidden="false" customHeight="true" outlineLevel="0" collapsed="false">
      <c r="A508" s="14"/>
      <c r="B508" s="10"/>
      <c r="C508" s="18" t="str">
        <f aca="false">IF($B508="","",IFERROR(INDEX(대상목록!$C$3:$C$302,MATCH($B508,대상목록!$A$3:$A$302,0)),""))</f>
        <v/>
      </c>
      <c r="D508" s="10"/>
      <c r="E508" s="10"/>
      <c r="F508" s="19"/>
      <c r="G508" s="10"/>
    </row>
    <row r="509" customFormat="false" ht="15" hidden="false" customHeight="true" outlineLevel="0" collapsed="false">
      <c r="A509" s="14"/>
      <c r="B509" s="10"/>
      <c r="C509" s="18" t="str">
        <f aca="false">IF($B509="","",IFERROR(INDEX(대상목록!$C$3:$C$302,MATCH($B509,대상목록!$A$3:$A$302,0)),""))</f>
        <v/>
      </c>
      <c r="D509" s="10"/>
      <c r="E509" s="10"/>
      <c r="F509" s="19"/>
      <c r="G509" s="10"/>
    </row>
    <row r="510" customFormat="false" ht="15" hidden="false" customHeight="true" outlineLevel="0" collapsed="false">
      <c r="A510" s="14"/>
      <c r="B510" s="10"/>
      <c r="C510" s="18" t="str">
        <f aca="false">IF($B510="","",IFERROR(INDEX(대상목록!$C$3:$C$302,MATCH($B510,대상목록!$A$3:$A$302,0)),""))</f>
        <v/>
      </c>
      <c r="D510" s="10"/>
      <c r="E510" s="10"/>
      <c r="F510" s="19"/>
      <c r="G510" s="10"/>
    </row>
    <row r="511" customFormat="false" ht="15" hidden="false" customHeight="true" outlineLevel="0" collapsed="false">
      <c r="A511" s="14"/>
      <c r="B511" s="10"/>
      <c r="C511" s="18" t="str">
        <f aca="false">IF($B511="","",IFERROR(INDEX(대상목록!$C$3:$C$302,MATCH($B511,대상목록!$A$3:$A$302,0)),""))</f>
        <v/>
      </c>
      <c r="D511" s="10"/>
      <c r="E511" s="10"/>
      <c r="F511" s="19"/>
      <c r="G511" s="10"/>
    </row>
    <row r="512" customFormat="false" ht="15" hidden="false" customHeight="true" outlineLevel="0" collapsed="false">
      <c r="A512" s="14"/>
      <c r="B512" s="10"/>
      <c r="C512" s="18" t="str">
        <f aca="false">IF($B512="","",IFERROR(INDEX(대상목록!$C$3:$C$302,MATCH($B512,대상목록!$A$3:$A$302,0)),""))</f>
        <v/>
      </c>
      <c r="D512" s="10"/>
      <c r="E512" s="10"/>
      <c r="F512" s="19"/>
      <c r="G512" s="10"/>
    </row>
    <row r="513" customFormat="false" ht="15" hidden="false" customHeight="true" outlineLevel="0" collapsed="false">
      <c r="A513" s="14"/>
      <c r="B513" s="10"/>
      <c r="C513" s="18" t="str">
        <f aca="false">IF($B513="","",IFERROR(INDEX(대상목록!$C$3:$C$302,MATCH($B513,대상목록!$A$3:$A$302,0)),""))</f>
        <v/>
      </c>
      <c r="D513" s="10"/>
      <c r="E513" s="10"/>
      <c r="F513" s="19"/>
      <c r="G513" s="10"/>
    </row>
    <row r="514" customFormat="false" ht="15" hidden="false" customHeight="true" outlineLevel="0" collapsed="false">
      <c r="A514" s="14"/>
      <c r="B514" s="10"/>
      <c r="C514" s="18" t="str">
        <f aca="false">IF($B514="","",IFERROR(INDEX(대상목록!$C$3:$C$302,MATCH($B514,대상목록!$A$3:$A$302,0)),""))</f>
        <v/>
      </c>
      <c r="D514" s="10"/>
      <c r="E514" s="10"/>
      <c r="F514" s="19"/>
      <c r="G514" s="10"/>
    </row>
    <row r="515" customFormat="false" ht="15" hidden="false" customHeight="true" outlineLevel="0" collapsed="false">
      <c r="A515" s="14"/>
      <c r="B515" s="10"/>
      <c r="C515" s="18" t="str">
        <f aca="false">IF($B515="","",IFERROR(INDEX(대상목록!$C$3:$C$302,MATCH($B515,대상목록!$A$3:$A$302,0)),""))</f>
        <v/>
      </c>
      <c r="D515" s="10"/>
      <c r="E515" s="10"/>
      <c r="F515" s="19"/>
      <c r="G515" s="10"/>
    </row>
    <row r="516" customFormat="false" ht="15" hidden="false" customHeight="true" outlineLevel="0" collapsed="false">
      <c r="A516" s="14"/>
      <c r="B516" s="10"/>
      <c r="C516" s="18" t="str">
        <f aca="false">IF($B516="","",IFERROR(INDEX(대상목록!$C$3:$C$302,MATCH($B516,대상목록!$A$3:$A$302,0)),""))</f>
        <v/>
      </c>
      <c r="D516" s="10"/>
      <c r="E516" s="10"/>
      <c r="F516" s="19"/>
      <c r="G516" s="10"/>
    </row>
    <row r="517" customFormat="false" ht="15" hidden="false" customHeight="true" outlineLevel="0" collapsed="false">
      <c r="A517" s="14"/>
      <c r="B517" s="10"/>
      <c r="C517" s="18" t="str">
        <f aca="false">IF($B517="","",IFERROR(INDEX(대상목록!$C$3:$C$302,MATCH($B517,대상목록!$A$3:$A$302,0)),""))</f>
        <v/>
      </c>
      <c r="D517" s="10"/>
      <c r="E517" s="10"/>
      <c r="F517" s="19"/>
      <c r="G517" s="10"/>
    </row>
    <row r="518" customFormat="false" ht="15" hidden="false" customHeight="true" outlineLevel="0" collapsed="false">
      <c r="A518" s="14"/>
      <c r="B518" s="10"/>
      <c r="C518" s="18" t="str">
        <f aca="false">IF($B518="","",IFERROR(INDEX(대상목록!$C$3:$C$302,MATCH($B518,대상목록!$A$3:$A$302,0)),""))</f>
        <v/>
      </c>
      <c r="D518" s="10"/>
      <c r="E518" s="10"/>
      <c r="F518" s="19"/>
      <c r="G518" s="10"/>
    </row>
    <row r="519" customFormat="false" ht="15" hidden="false" customHeight="true" outlineLevel="0" collapsed="false">
      <c r="A519" s="14"/>
      <c r="B519" s="10"/>
      <c r="C519" s="18" t="str">
        <f aca="false">IF($B519="","",IFERROR(INDEX(대상목록!$C$3:$C$302,MATCH($B519,대상목록!$A$3:$A$302,0)),""))</f>
        <v/>
      </c>
      <c r="D519" s="10"/>
      <c r="E519" s="10"/>
      <c r="F519" s="19"/>
      <c r="G519" s="10"/>
    </row>
    <row r="520" customFormat="false" ht="15" hidden="false" customHeight="true" outlineLevel="0" collapsed="false">
      <c r="A520" s="14"/>
      <c r="B520" s="10"/>
      <c r="C520" s="18" t="str">
        <f aca="false">IF($B520="","",IFERROR(INDEX(대상목록!$C$3:$C$302,MATCH($B520,대상목록!$A$3:$A$302,0)),""))</f>
        <v/>
      </c>
      <c r="D520" s="10"/>
      <c r="E520" s="10"/>
      <c r="F520" s="19"/>
      <c r="G520" s="10"/>
    </row>
    <row r="521" customFormat="false" ht="15" hidden="false" customHeight="true" outlineLevel="0" collapsed="false">
      <c r="A521" s="14"/>
      <c r="B521" s="10"/>
      <c r="C521" s="18" t="str">
        <f aca="false">IF($B521="","",IFERROR(INDEX(대상목록!$C$3:$C$302,MATCH($B521,대상목록!$A$3:$A$302,0)),""))</f>
        <v/>
      </c>
      <c r="D521" s="10"/>
      <c r="E521" s="10"/>
      <c r="F521" s="19"/>
      <c r="G521" s="10"/>
    </row>
    <row r="522" customFormat="false" ht="15" hidden="false" customHeight="true" outlineLevel="0" collapsed="false">
      <c r="A522" s="14"/>
      <c r="B522" s="10"/>
      <c r="C522" s="18" t="str">
        <f aca="false">IF($B522="","",IFERROR(INDEX(대상목록!$C$3:$C$302,MATCH($B522,대상목록!$A$3:$A$302,0)),""))</f>
        <v/>
      </c>
      <c r="D522" s="10"/>
      <c r="E522" s="10"/>
      <c r="F522" s="19"/>
      <c r="G522" s="10"/>
    </row>
    <row r="523" customFormat="false" ht="15" hidden="false" customHeight="true" outlineLevel="0" collapsed="false">
      <c r="A523" s="14"/>
      <c r="B523" s="10"/>
      <c r="C523" s="18" t="str">
        <f aca="false">IF($B523="","",IFERROR(INDEX(대상목록!$C$3:$C$302,MATCH($B523,대상목록!$A$3:$A$302,0)),""))</f>
        <v/>
      </c>
      <c r="D523" s="10"/>
      <c r="E523" s="10"/>
      <c r="F523" s="19"/>
      <c r="G523" s="10"/>
    </row>
    <row r="524" customFormat="false" ht="15" hidden="false" customHeight="true" outlineLevel="0" collapsed="false">
      <c r="A524" s="14"/>
      <c r="B524" s="10"/>
      <c r="C524" s="18" t="str">
        <f aca="false">IF($B524="","",IFERROR(INDEX(대상목록!$C$3:$C$302,MATCH($B524,대상목록!$A$3:$A$302,0)),""))</f>
        <v/>
      </c>
      <c r="D524" s="10"/>
      <c r="E524" s="10"/>
      <c r="F524" s="19"/>
      <c r="G524" s="10"/>
    </row>
    <row r="525" customFormat="false" ht="15" hidden="false" customHeight="true" outlineLevel="0" collapsed="false">
      <c r="A525" s="14"/>
      <c r="B525" s="10"/>
      <c r="C525" s="18" t="str">
        <f aca="false">IF($B525="","",IFERROR(INDEX(대상목록!$C$3:$C$302,MATCH($B525,대상목록!$A$3:$A$302,0)),""))</f>
        <v/>
      </c>
      <c r="D525" s="10"/>
      <c r="E525" s="10"/>
      <c r="F525" s="19"/>
      <c r="G525" s="10"/>
    </row>
    <row r="526" customFormat="false" ht="15" hidden="false" customHeight="true" outlineLevel="0" collapsed="false">
      <c r="A526" s="14"/>
      <c r="B526" s="10"/>
      <c r="C526" s="18" t="str">
        <f aca="false">IF($B526="","",IFERROR(INDEX(대상목록!$C$3:$C$302,MATCH($B526,대상목록!$A$3:$A$302,0)),""))</f>
        <v/>
      </c>
      <c r="D526" s="10"/>
      <c r="E526" s="10"/>
      <c r="F526" s="19"/>
      <c r="G526" s="10"/>
    </row>
    <row r="527" customFormat="false" ht="15" hidden="false" customHeight="true" outlineLevel="0" collapsed="false">
      <c r="A527" s="14"/>
      <c r="B527" s="10"/>
      <c r="C527" s="18" t="str">
        <f aca="false">IF($B527="","",IFERROR(INDEX(대상목록!$C$3:$C$302,MATCH($B527,대상목록!$A$3:$A$302,0)),""))</f>
        <v/>
      </c>
      <c r="D527" s="10"/>
      <c r="E527" s="10"/>
      <c r="F527" s="19"/>
      <c r="G527" s="10"/>
    </row>
    <row r="528" customFormat="false" ht="15" hidden="false" customHeight="true" outlineLevel="0" collapsed="false">
      <c r="A528" s="14"/>
      <c r="B528" s="10"/>
      <c r="C528" s="18" t="str">
        <f aca="false">IF($B528="","",IFERROR(INDEX(대상목록!$C$3:$C$302,MATCH($B528,대상목록!$A$3:$A$302,0)),""))</f>
        <v/>
      </c>
      <c r="D528" s="10"/>
      <c r="E528" s="10"/>
      <c r="F528" s="19"/>
      <c r="G528" s="10"/>
    </row>
    <row r="529" customFormat="false" ht="15" hidden="false" customHeight="true" outlineLevel="0" collapsed="false">
      <c r="A529" s="14"/>
      <c r="B529" s="10"/>
      <c r="C529" s="18" t="str">
        <f aca="false">IF($B529="","",IFERROR(INDEX(대상목록!$C$3:$C$302,MATCH($B529,대상목록!$A$3:$A$302,0)),""))</f>
        <v/>
      </c>
      <c r="D529" s="10"/>
      <c r="E529" s="10"/>
      <c r="F529" s="19"/>
      <c r="G529" s="10"/>
    </row>
    <row r="530" customFormat="false" ht="15" hidden="false" customHeight="true" outlineLevel="0" collapsed="false">
      <c r="A530" s="14"/>
      <c r="B530" s="10"/>
      <c r="C530" s="18" t="str">
        <f aca="false">IF($B530="","",IFERROR(INDEX(대상목록!$C$3:$C$302,MATCH($B530,대상목록!$A$3:$A$302,0)),""))</f>
        <v/>
      </c>
      <c r="D530" s="10"/>
      <c r="E530" s="10"/>
      <c r="F530" s="19"/>
      <c r="G530" s="10"/>
    </row>
    <row r="531" customFormat="false" ht="15" hidden="false" customHeight="true" outlineLevel="0" collapsed="false">
      <c r="A531" s="14"/>
      <c r="B531" s="10"/>
      <c r="C531" s="18" t="str">
        <f aca="false">IF($B531="","",IFERROR(INDEX(대상목록!$C$3:$C$302,MATCH($B531,대상목록!$A$3:$A$302,0)),""))</f>
        <v/>
      </c>
      <c r="D531" s="10"/>
      <c r="E531" s="10"/>
      <c r="F531" s="19"/>
      <c r="G531" s="10"/>
    </row>
    <row r="532" customFormat="false" ht="15" hidden="false" customHeight="true" outlineLevel="0" collapsed="false">
      <c r="A532" s="14"/>
      <c r="B532" s="10"/>
      <c r="C532" s="18" t="str">
        <f aca="false">IF($B532="","",IFERROR(INDEX(대상목록!$C$3:$C$302,MATCH($B532,대상목록!$A$3:$A$302,0)),""))</f>
        <v/>
      </c>
      <c r="D532" s="10"/>
      <c r="E532" s="10"/>
      <c r="F532" s="19"/>
      <c r="G532" s="10"/>
    </row>
    <row r="533" customFormat="false" ht="15" hidden="false" customHeight="true" outlineLevel="0" collapsed="false">
      <c r="A533" s="14"/>
      <c r="B533" s="10"/>
      <c r="C533" s="18" t="str">
        <f aca="false">IF($B533="","",IFERROR(INDEX(대상목록!$C$3:$C$302,MATCH($B533,대상목록!$A$3:$A$302,0)),""))</f>
        <v/>
      </c>
      <c r="D533" s="10"/>
      <c r="E533" s="10"/>
      <c r="F533" s="19"/>
      <c r="G533" s="10"/>
    </row>
    <row r="534" customFormat="false" ht="15" hidden="false" customHeight="true" outlineLevel="0" collapsed="false">
      <c r="A534" s="14"/>
      <c r="B534" s="10"/>
      <c r="C534" s="18" t="str">
        <f aca="false">IF($B534="","",IFERROR(INDEX(대상목록!$C$3:$C$302,MATCH($B534,대상목록!$A$3:$A$302,0)),""))</f>
        <v/>
      </c>
      <c r="D534" s="10"/>
      <c r="E534" s="10"/>
      <c r="F534" s="19"/>
      <c r="G534" s="10"/>
    </row>
    <row r="535" customFormat="false" ht="15" hidden="false" customHeight="true" outlineLevel="0" collapsed="false">
      <c r="A535" s="14"/>
      <c r="B535" s="10"/>
      <c r="C535" s="18" t="str">
        <f aca="false">IF($B535="","",IFERROR(INDEX(대상목록!$C$3:$C$302,MATCH($B535,대상목록!$A$3:$A$302,0)),""))</f>
        <v/>
      </c>
      <c r="D535" s="10"/>
      <c r="E535" s="10"/>
      <c r="F535" s="19"/>
      <c r="G535" s="10"/>
    </row>
    <row r="536" customFormat="false" ht="15" hidden="false" customHeight="true" outlineLevel="0" collapsed="false">
      <c r="A536" s="14"/>
      <c r="B536" s="10"/>
      <c r="C536" s="18" t="str">
        <f aca="false">IF($B536="","",IFERROR(INDEX(대상목록!$C$3:$C$302,MATCH($B536,대상목록!$A$3:$A$302,0)),""))</f>
        <v/>
      </c>
      <c r="D536" s="10"/>
      <c r="E536" s="10"/>
      <c r="F536" s="19"/>
      <c r="G536" s="10"/>
    </row>
    <row r="537" customFormat="false" ht="15" hidden="false" customHeight="true" outlineLevel="0" collapsed="false">
      <c r="A537" s="14"/>
      <c r="B537" s="10"/>
      <c r="C537" s="18" t="str">
        <f aca="false">IF($B537="","",IFERROR(INDEX(대상목록!$C$3:$C$302,MATCH($B537,대상목록!$A$3:$A$302,0)),""))</f>
        <v/>
      </c>
      <c r="D537" s="10"/>
      <c r="E537" s="10"/>
      <c r="F537" s="19"/>
      <c r="G537" s="10"/>
    </row>
    <row r="538" customFormat="false" ht="15" hidden="false" customHeight="true" outlineLevel="0" collapsed="false">
      <c r="A538" s="14"/>
      <c r="B538" s="10"/>
      <c r="C538" s="18" t="str">
        <f aca="false">IF($B538="","",IFERROR(INDEX(대상목록!$C$3:$C$302,MATCH($B538,대상목록!$A$3:$A$302,0)),""))</f>
        <v/>
      </c>
      <c r="D538" s="10"/>
      <c r="E538" s="10"/>
      <c r="F538" s="19"/>
      <c r="G538" s="10"/>
    </row>
    <row r="539" customFormat="false" ht="15" hidden="false" customHeight="true" outlineLevel="0" collapsed="false">
      <c r="A539" s="14"/>
      <c r="B539" s="10"/>
      <c r="C539" s="18" t="str">
        <f aca="false">IF($B539="","",IFERROR(INDEX(대상목록!$C$3:$C$302,MATCH($B539,대상목록!$A$3:$A$302,0)),""))</f>
        <v/>
      </c>
      <c r="D539" s="10"/>
      <c r="E539" s="10"/>
      <c r="F539" s="19"/>
      <c r="G539" s="10"/>
    </row>
    <row r="540" customFormat="false" ht="15" hidden="false" customHeight="true" outlineLevel="0" collapsed="false">
      <c r="A540" s="14"/>
      <c r="B540" s="10"/>
      <c r="C540" s="18" t="str">
        <f aca="false">IF($B540="","",IFERROR(INDEX(대상목록!$C$3:$C$302,MATCH($B540,대상목록!$A$3:$A$302,0)),""))</f>
        <v/>
      </c>
      <c r="D540" s="10"/>
      <c r="E540" s="10"/>
      <c r="F540" s="19"/>
      <c r="G540" s="10"/>
    </row>
    <row r="541" customFormat="false" ht="15" hidden="false" customHeight="true" outlineLevel="0" collapsed="false">
      <c r="A541" s="14"/>
      <c r="B541" s="10"/>
      <c r="C541" s="18" t="str">
        <f aca="false">IF($B541="","",IFERROR(INDEX(대상목록!$C$3:$C$302,MATCH($B541,대상목록!$A$3:$A$302,0)),""))</f>
        <v/>
      </c>
      <c r="D541" s="10"/>
      <c r="E541" s="10"/>
      <c r="F541" s="19"/>
      <c r="G541" s="10"/>
    </row>
    <row r="542" customFormat="false" ht="15" hidden="false" customHeight="true" outlineLevel="0" collapsed="false">
      <c r="A542" s="14"/>
      <c r="B542" s="10"/>
      <c r="C542" s="18" t="str">
        <f aca="false">IF($B542="","",IFERROR(INDEX(대상목록!$C$3:$C$302,MATCH($B542,대상목록!$A$3:$A$302,0)),""))</f>
        <v/>
      </c>
      <c r="D542" s="10"/>
      <c r="E542" s="10"/>
      <c r="F542" s="19"/>
      <c r="G542" s="10"/>
    </row>
    <row r="543" customFormat="false" ht="15" hidden="false" customHeight="true" outlineLevel="0" collapsed="false">
      <c r="A543" s="14"/>
      <c r="B543" s="10"/>
      <c r="C543" s="18" t="str">
        <f aca="false">IF($B543="","",IFERROR(INDEX(대상목록!$C$3:$C$302,MATCH($B543,대상목록!$A$3:$A$302,0)),""))</f>
        <v/>
      </c>
      <c r="D543" s="10"/>
      <c r="E543" s="10"/>
      <c r="F543" s="19"/>
      <c r="G543" s="10"/>
    </row>
    <row r="544" customFormat="false" ht="15" hidden="false" customHeight="true" outlineLevel="0" collapsed="false">
      <c r="A544" s="14"/>
      <c r="B544" s="10"/>
      <c r="C544" s="18" t="str">
        <f aca="false">IF($B544="","",IFERROR(INDEX(대상목록!$C$3:$C$302,MATCH($B544,대상목록!$A$3:$A$302,0)),""))</f>
        <v/>
      </c>
      <c r="D544" s="10"/>
      <c r="E544" s="10"/>
      <c r="F544" s="19"/>
      <c r="G544" s="10"/>
    </row>
    <row r="545" customFormat="false" ht="15" hidden="false" customHeight="true" outlineLevel="0" collapsed="false">
      <c r="A545" s="14"/>
      <c r="B545" s="10"/>
      <c r="C545" s="18" t="str">
        <f aca="false">IF($B545="","",IFERROR(INDEX(대상목록!$C$3:$C$302,MATCH($B545,대상목록!$A$3:$A$302,0)),""))</f>
        <v/>
      </c>
      <c r="D545" s="10"/>
      <c r="E545" s="10"/>
      <c r="F545" s="19"/>
      <c r="G545" s="10"/>
    </row>
    <row r="546" customFormat="false" ht="15" hidden="false" customHeight="true" outlineLevel="0" collapsed="false">
      <c r="A546" s="14"/>
      <c r="B546" s="10"/>
      <c r="C546" s="18" t="str">
        <f aca="false">IF($B546="","",IFERROR(INDEX(대상목록!$C$3:$C$302,MATCH($B546,대상목록!$A$3:$A$302,0)),""))</f>
        <v/>
      </c>
      <c r="D546" s="10"/>
      <c r="E546" s="10"/>
      <c r="F546" s="19"/>
      <c r="G546" s="10"/>
    </row>
    <row r="547" customFormat="false" ht="15" hidden="false" customHeight="true" outlineLevel="0" collapsed="false">
      <c r="A547" s="14"/>
      <c r="B547" s="10"/>
      <c r="C547" s="18" t="str">
        <f aca="false">IF($B547="","",IFERROR(INDEX(대상목록!$C$3:$C$302,MATCH($B547,대상목록!$A$3:$A$302,0)),""))</f>
        <v/>
      </c>
      <c r="D547" s="10"/>
      <c r="E547" s="10"/>
      <c r="F547" s="19"/>
      <c r="G547" s="10"/>
    </row>
    <row r="548" customFormat="false" ht="15" hidden="false" customHeight="true" outlineLevel="0" collapsed="false">
      <c r="A548" s="14"/>
      <c r="B548" s="10"/>
      <c r="C548" s="18" t="str">
        <f aca="false">IF($B548="","",IFERROR(INDEX(대상목록!$C$3:$C$302,MATCH($B548,대상목록!$A$3:$A$302,0)),""))</f>
        <v/>
      </c>
      <c r="D548" s="10"/>
      <c r="E548" s="10"/>
      <c r="F548" s="19"/>
      <c r="G548" s="10"/>
    </row>
    <row r="549" customFormat="false" ht="15" hidden="false" customHeight="true" outlineLevel="0" collapsed="false">
      <c r="A549" s="14"/>
      <c r="B549" s="10"/>
      <c r="C549" s="18" t="str">
        <f aca="false">IF($B549="","",IFERROR(INDEX(대상목록!$C$3:$C$302,MATCH($B549,대상목록!$A$3:$A$302,0)),""))</f>
        <v/>
      </c>
      <c r="D549" s="10"/>
      <c r="E549" s="10"/>
      <c r="F549" s="19"/>
      <c r="G549" s="10"/>
    </row>
    <row r="550" customFormat="false" ht="15" hidden="false" customHeight="true" outlineLevel="0" collapsed="false">
      <c r="A550" s="14"/>
      <c r="B550" s="10"/>
      <c r="C550" s="18" t="str">
        <f aca="false">IF($B550="","",IFERROR(INDEX(대상목록!$C$3:$C$302,MATCH($B550,대상목록!$A$3:$A$302,0)),""))</f>
        <v/>
      </c>
      <c r="D550" s="10"/>
      <c r="E550" s="10"/>
      <c r="F550" s="19"/>
      <c r="G550" s="10"/>
    </row>
    <row r="551" customFormat="false" ht="15" hidden="false" customHeight="true" outlineLevel="0" collapsed="false">
      <c r="A551" s="14"/>
      <c r="B551" s="10"/>
      <c r="C551" s="18" t="str">
        <f aca="false">IF($B551="","",IFERROR(INDEX(대상목록!$C$3:$C$302,MATCH($B551,대상목록!$A$3:$A$302,0)),""))</f>
        <v/>
      </c>
      <c r="D551" s="10"/>
      <c r="E551" s="10"/>
      <c r="F551" s="19"/>
      <c r="G551" s="10"/>
    </row>
    <row r="552" customFormat="false" ht="15" hidden="false" customHeight="true" outlineLevel="0" collapsed="false">
      <c r="A552" s="14"/>
      <c r="B552" s="10"/>
      <c r="C552" s="18" t="str">
        <f aca="false">IF($B552="","",IFERROR(INDEX(대상목록!$C$3:$C$302,MATCH($B552,대상목록!$A$3:$A$302,0)),""))</f>
        <v/>
      </c>
      <c r="D552" s="10"/>
      <c r="E552" s="10"/>
      <c r="F552" s="19"/>
      <c r="G552" s="10"/>
    </row>
    <row r="553" customFormat="false" ht="15" hidden="false" customHeight="true" outlineLevel="0" collapsed="false">
      <c r="A553" s="14"/>
      <c r="B553" s="10"/>
      <c r="C553" s="18" t="str">
        <f aca="false">IF($B553="","",IFERROR(INDEX(대상목록!$C$3:$C$302,MATCH($B553,대상목록!$A$3:$A$302,0)),""))</f>
        <v/>
      </c>
      <c r="D553" s="10"/>
      <c r="E553" s="10"/>
      <c r="F553" s="19"/>
      <c r="G553" s="10"/>
    </row>
    <row r="554" customFormat="false" ht="15" hidden="false" customHeight="true" outlineLevel="0" collapsed="false">
      <c r="A554" s="14"/>
      <c r="B554" s="10"/>
      <c r="C554" s="18" t="str">
        <f aca="false">IF($B554="","",IFERROR(INDEX(대상목록!$C$3:$C$302,MATCH($B554,대상목록!$A$3:$A$302,0)),""))</f>
        <v/>
      </c>
      <c r="D554" s="10"/>
      <c r="E554" s="10"/>
      <c r="F554" s="19"/>
      <c r="G554" s="10"/>
    </row>
    <row r="555" customFormat="false" ht="15" hidden="false" customHeight="true" outlineLevel="0" collapsed="false">
      <c r="A555" s="14"/>
      <c r="B555" s="10"/>
      <c r="C555" s="18" t="str">
        <f aca="false">IF($B555="","",IFERROR(INDEX(대상목록!$C$3:$C$302,MATCH($B555,대상목록!$A$3:$A$302,0)),""))</f>
        <v/>
      </c>
      <c r="D555" s="10"/>
      <c r="E555" s="10"/>
      <c r="F555" s="19"/>
      <c r="G555" s="10"/>
    </row>
    <row r="556" customFormat="false" ht="15" hidden="false" customHeight="true" outlineLevel="0" collapsed="false">
      <c r="A556" s="14"/>
      <c r="B556" s="10"/>
      <c r="C556" s="18" t="str">
        <f aca="false">IF($B556="","",IFERROR(INDEX(대상목록!$C$3:$C$302,MATCH($B556,대상목록!$A$3:$A$302,0)),""))</f>
        <v/>
      </c>
      <c r="D556" s="10"/>
      <c r="E556" s="10"/>
      <c r="F556" s="19"/>
      <c r="G556" s="10"/>
    </row>
    <row r="557" customFormat="false" ht="15" hidden="false" customHeight="true" outlineLevel="0" collapsed="false">
      <c r="A557" s="14"/>
      <c r="B557" s="10"/>
      <c r="C557" s="18" t="str">
        <f aca="false">IF($B557="","",IFERROR(INDEX(대상목록!$C$3:$C$302,MATCH($B557,대상목록!$A$3:$A$302,0)),""))</f>
        <v/>
      </c>
      <c r="D557" s="10"/>
      <c r="E557" s="10"/>
      <c r="F557" s="19"/>
      <c r="G557" s="10"/>
    </row>
    <row r="558" customFormat="false" ht="15" hidden="false" customHeight="true" outlineLevel="0" collapsed="false">
      <c r="A558" s="14"/>
      <c r="B558" s="10"/>
      <c r="C558" s="18" t="str">
        <f aca="false">IF($B558="","",IFERROR(INDEX(대상목록!$C$3:$C$302,MATCH($B558,대상목록!$A$3:$A$302,0)),""))</f>
        <v/>
      </c>
      <c r="D558" s="10"/>
      <c r="E558" s="10"/>
      <c r="F558" s="19"/>
      <c r="G558" s="10"/>
    </row>
    <row r="559" customFormat="false" ht="15" hidden="false" customHeight="true" outlineLevel="0" collapsed="false">
      <c r="A559" s="14"/>
      <c r="B559" s="10"/>
      <c r="C559" s="18" t="str">
        <f aca="false">IF($B559="","",IFERROR(INDEX(대상목록!$C$3:$C$302,MATCH($B559,대상목록!$A$3:$A$302,0)),""))</f>
        <v/>
      </c>
      <c r="D559" s="10"/>
      <c r="E559" s="10"/>
      <c r="F559" s="19"/>
      <c r="G559" s="10"/>
    </row>
    <row r="560" customFormat="false" ht="15" hidden="false" customHeight="true" outlineLevel="0" collapsed="false">
      <c r="A560" s="14"/>
      <c r="B560" s="10"/>
      <c r="C560" s="18" t="str">
        <f aca="false">IF($B560="","",IFERROR(INDEX(대상목록!$C$3:$C$302,MATCH($B560,대상목록!$A$3:$A$302,0)),""))</f>
        <v/>
      </c>
      <c r="D560" s="10"/>
      <c r="E560" s="10"/>
      <c r="F560" s="19"/>
      <c r="G560" s="10"/>
    </row>
    <row r="561" customFormat="false" ht="15" hidden="false" customHeight="true" outlineLevel="0" collapsed="false">
      <c r="A561" s="14"/>
      <c r="B561" s="10"/>
      <c r="C561" s="18" t="str">
        <f aca="false">IF($B561="","",IFERROR(INDEX(대상목록!$C$3:$C$302,MATCH($B561,대상목록!$A$3:$A$302,0)),""))</f>
        <v/>
      </c>
      <c r="D561" s="10"/>
      <c r="E561" s="10"/>
      <c r="F561" s="19"/>
      <c r="G561" s="10"/>
    </row>
    <row r="562" customFormat="false" ht="15" hidden="false" customHeight="true" outlineLevel="0" collapsed="false">
      <c r="A562" s="14"/>
      <c r="B562" s="10"/>
      <c r="C562" s="18" t="str">
        <f aca="false">IF($B562="","",IFERROR(INDEX(대상목록!$C$3:$C$302,MATCH($B562,대상목록!$A$3:$A$302,0)),""))</f>
        <v/>
      </c>
      <c r="D562" s="10"/>
      <c r="E562" s="10"/>
      <c r="F562" s="19"/>
      <c r="G562" s="10"/>
    </row>
    <row r="563" customFormat="false" ht="15" hidden="false" customHeight="true" outlineLevel="0" collapsed="false">
      <c r="A563" s="14"/>
      <c r="B563" s="10"/>
      <c r="C563" s="18" t="str">
        <f aca="false">IF($B563="","",IFERROR(INDEX(대상목록!$C$3:$C$302,MATCH($B563,대상목록!$A$3:$A$302,0)),""))</f>
        <v/>
      </c>
      <c r="D563" s="10"/>
      <c r="E563" s="10"/>
      <c r="F563" s="19"/>
      <c r="G563" s="10"/>
    </row>
    <row r="564" customFormat="false" ht="15" hidden="false" customHeight="true" outlineLevel="0" collapsed="false">
      <c r="A564" s="14"/>
      <c r="B564" s="10"/>
      <c r="C564" s="18" t="str">
        <f aca="false">IF($B564="","",IFERROR(INDEX(대상목록!$C$3:$C$302,MATCH($B564,대상목록!$A$3:$A$302,0)),""))</f>
        <v/>
      </c>
      <c r="D564" s="10"/>
      <c r="E564" s="10"/>
      <c r="F564" s="19"/>
      <c r="G564" s="10"/>
    </row>
    <row r="565" customFormat="false" ht="15" hidden="false" customHeight="true" outlineLevel="0" collapsed="false">
      <c r="A565" s="14"/>
      <c r="B565" s="10"/>
      <c r="C565" s="18" t="str">
        <f aca="false">IF($B565="","",IFERROR(INDEX(대상목록!$C$3:$C$302,MATCH($B565,대상목록!$A$3:$A$302,0)),""))</f>
        <v/>
      </c>
      <c r="D565" s="10"/>
      <c r="E565" s="10"/>
      <c r="F565" s="19"/>
      <c r="G565" s="10"/>
    </row>
    <row r="566" customFormat="false" ht="15" hidden="false" customHeight="true" outlineLevel="0" collapsed="false">
      <c r="A566" s="14"/>
      <c r="B566" s="10"/>
      <c r="C566" s="18" t="str">
        <f aca="false">IF($B566="","",IFERROR(INDEX(대상목록!$C$3:$C$302,MATCH($B566,대상목록!$A$3:$A$302,0)),""))</f>
        <v/>
      </c>
      <c r="D566" s="10"/>
      <c r="E566" s="10"/>
      <c r="F566" s="19"/>
      <c r="G566" s="10"/>
    </row>
    <row r="567" customFormat="false" ht="15" hidden="false" customHeight="true" outlineLevel="0" collapsed="false">
      <c r="A567" s="14"/>
      <c r="B567" s="10"/>
      <c r="C567" s="18" t="str">
        <f aca="false">IF($B567="","",IFERROR(INDEX(대상목록!$C$3:$C$302,MATCH($B567,대상목록!$A$3:$A$302,0)),""))</f>
        <v/>
      </c>
      <c r="D567" s="10"/>
      <c r="E567" s="10"/>
      <c r="F567" s="19"/>
      <c r="G567" s="10"/>
    </row>
    <row r="568" customFormat="false" ht="15" hidden="false" customHeight="true" outlineLevel="0" collapsed="false">
      <c r="A568" s="14"/>
      <c r="B568" s="10"/>
      <c r="C568" s="18" t="str">
        <f aca="false">IF($B568="","",IFERROR(INDEX(대상목록!$C$3:$C$302,MATCH($B568,대상목록!$A$3:$A$302,0)),""))</f>
        <v/>
      </c>
      <c r="D568" s="10"/>
      <c r="E568" s="10"/>
      <c r="F568" s="19"/>
      <c r="G568" s="10"/>
    </row>
    <row r="569" customFormat="false" ht="15" hidden="false" customHeight="true" outlineLevel="0" collapsed="false">
      <c r="A569" s="14"/>
      <c r="B569" s="10"/>
      <c r="C569" s="18" t="str">
        <f aca="false">IF($B569="","",IFERROR(INDEX(대상목록!$C$3:$C$302,MATCH($B569,대상목록!$A$3:$A$302,0)),""))</f>
        <v/>
      </c>
      <c r="D569" s="10"/>
      <c r="E569" s="10"/>
      <c r="F569" s="19"/>
      <c r="G569" s="10"/>
    </row>
    <row r="570" customFormat="false" ht="15" hidden="false" customHeight="true" outlineLevel="0" collapsed="false">
      <c r="A570" s="14"/>
      <c r="B570" s="10"/>
      <c r="C570" s="18" t="str">
        <f aca="false">IF($B570="","",IFERROR(INDEX(대상목록!$C$3:$C$302,MATCH($B570,대상목록!$A$3:$A$302,0)),""))</f>
        <v/>
      </c>
      <c r="D570" s="10"/>
      <c r="E570" s="10"/>
      <c r="F570" s="19"/>
      <c r="G570" s="10"/>
    </row>
    <row r="571" customFormat="false" ht="15" hidden="false" customHeight="true" outlineLevel="0" collapsed="false">
      <c r="A571" s="14"/>
      <c r="B571" s="10"/>
      <c r="C571" s="18" t="str">
        <f aca="false">IF($B571="","",IFERROR(INDEX(대상목록!$C$3:$C$302,MATCH($B571,대상목록!$A$3:$A$302,0)),""))</f>
        <v/>
      </c>
      <c r="D571" s="10"/>
      <c r="E571" s="10"/>
      <c r="F571" s="19"/>
      <c r="G571" s="10"/>
    </row>
    <row r="572" customFormat="false" ht="15" hidden="false" customHeight="true" outlineLevel="0" collapsed="false">
      <c r="A572" s="14"/>
      <c r="B572" s="10"/>
      <c r="C572" s="18" t="str">
        <f aca="false">IF($B572="","",IFERROR(INDEX(대상목록!$C$3:$C$302,MATCH($B572,대상목록!$A$3:$A$302,0)),""))</f>
        <v/>
      </c>
      <c r="D572" s="10"/>
      <c r="E572" s="10"/>
      <c r="F572" s="19"/>
      <c r="G572" s="10"/>
    </row>
    <row r="573" customFormat="false" ht="15" hidden="false" customHeight="true" outlineLevel="0" collapsed="false">
      <c r="A573" s="14"/>
      <c r="B573" s="10"/>
      <c r="C573" s="18" t="str">
        <f aca="false">IF($B573="","",IFERROR(INDEX(대상목록!$C$3:$C$302,MATCH($B573,대상목록!$A$3:$A$302,0)),""))</f>
        <v/>
      </c>
      <c r="D573" s="10"/>
      <c r="E573" s="10"/>
      <c r="F573" s="19"/>
      <c r="G573" s="10"/>
    </row>
    <row r="574" customFormat="false" ht="15" hidden="false" customHeight="true" outlineLevel="0" collapsed="false">
      <c r="A574" s="14"/>
      <c r="B574" s="10"/>
      <c r="C574" s="18" t="str">
        <f aca="false">IF($B574="","",IFERROR(INDEX(대상목록!$C$3:$C$302,MATCH($B574,대상목록!$A$3:$A$302,0)),""))</f>
        <v/>
      </c>
      <c r="D574" s="10"/>
      <c r="E574" s="10"/>
      <c r="F574" s="19"/>
      <c r="G574" s="10"/>
    </row>
    <row r="575" customFormat="false" ht="15" hidden="false" customHeight="true" outlineLevel="0" collapsed="false">
      <c r="A575" s="14"/>
      <c r="B575" s="10"/>
      <c r="C575" s="18" t="str">
        <f aca="false">IF($B575="","",IFERROR(INDEX(대상목록!$C$3:$C$302,MATCH($B575,대상목록!$A$3:$A$302,0)),""))</f>
        <v/>
      </c>
      <c r="D575" s="10"/>
      <c r="E575" s="10"/>
      <c r="F575" s="19"/>
      <c r="G575" s="10"/>
    </row>
    <row r="576" customFormat="false" ht="15" hidden="false" customHeight="true" outlineLevel="0" collapsed="false">
      <c r="A576" s="14"/>
      <c r="B576" s="10"/>
      <c r="C576" s="18" t="str">
        <f aca="false">IF($B576="","",IFERROR(INDEX(대상목록!$C$3:$C$302,MATCH($B576,대상목록!$A$3:$A$302,0)),""))</f>
        <v/>
      </c>
      <c r="D576" s="10"/>
      <c r="E576" s="10"/>
      <c r="F576" s="19"/>
      <c r="G576" s="10"/>
    </row>
    <row r="577" customFormat="false" ht="15" hidden="false" customHeight="true" outlineLevel="0" collapsed="false">
      <c r="A577" s="14"/>
      <c r="B577" s="10"/>
      <c r="C577" s="18" t="str">
        <f aca="false">IF($B577="","",IFERROR(INDEX(대상목록!$C$3:$C$302,MATCH($B577,대상목록!$A$3:$A$302,0)),""))</f>
        <v/>
      </c>
      <c r="D577" s="10"/>
      <c r="E577" s="10"/>
      <c r="F577" s="19"/>
      <c r="G577" s="10"/>
    </row>
    <row r="578" customFormat="false" ht="15" hidden="false" customHeight="true" outlineLevel="0" collapsed="false">
      <c r="A578" s="14"/>
      <c r="B578" s="10"/>
      <c r="C578" s="18" t="str">
        <f aca="false">IF($B578="","",IFERROR(INDEX(대상목록!$C$3:$C$302,MATCH($B578,대상목록!$A$3:$A$302,0)),""))</f>
        <v/>
      </c>
      <c r="D578" s="10"/>
      <c r="E578" s="10"/>
      <c r="F578" s="19"/>
      <c r="G578" s="10"/>
    </row>
    <row r="579" customFormat="false" ht="15" hidden="false" customHeight="true" outlineLevel="0" collapsed="false">
      <c r="A579" s="14"/>
      <c r="B579" s="10"/>
      <c r="C579" s="18" t="str">
        <f aca="false">IF($B579="","",IFERROR(INDEX(대상목록!$C$3:$C$302,MATCH($B579,대상목록!$A$3:$A$302,0)),""))</f>
        <v/>
      </c>
      <c r="D579" s="10"/>
      <c r="E579" s="10"/>
      <c r="F579" s="19"/>
      <c r="G579" s="10"/>
    </row>
    <row r="580" customFormat="false" ht="15" hidden="false" customHeight="true" outlineLevel="0" collapsed="false">
      <c r="A580" s="14"/>
      <c r="B580" s="10"/>
      <c r="C580" s="18" t="str">
        <f aca="false">IF($B580="","",IFERROR(INDEX(대상목록!$C$3:$C$302,MATCH($B580,대상목록!$A$3:$A$302,0)),""))</f>
        <v/>
      </c>
      <c r="D580" s="10"/>
      <c r="E580" s="10"/>
      <c r="F580" s="19"/>
      <c r="G580" s="10"/>
    </row>
    <row r="581" customFormat="false" ht="15" hidden="false" customHeight="true" outlineLevel="0" collapsed="false">
      <c r="A581" s="14"/>
      <c r="B581" s="10"/>
      <c r="C581" s="18" t="str">
        <f aca="false">IF($B581="","",IFERROR(INDEX(대상목록!$C$3:$C$302,MATCH($B581,대상목록!$A$3:$A$302,0)),""))</f>
        <v/>
      </c>
      <c r="D581" s="10"/>
      <c r="E581" s="10"/>
      <c r="F581" s="19"/>
      <c r="G581" s="10"/>
    </row>
    <row r="582" customFormat="false" ht="15" hidden="false" customHeight="true" outlineLevel="0" collapsed="false">
      <c r="A582" s="14"/>
      <c r="B582" s="10"/>
      <c r="C582" s="18" t="str">
        <f aca="false">IF($B582="","",IFERROR(INDEX(대상목록!$C$3:$C$302,MATCH($B582,대상목록!$A$3:$A$302,0)),""))</f>
        <v/>
      </c>
      <c r="D582" s="10"/>
      <c r="E582" s="10"/>
      <c r="F582" s="19"/>
      <c r="G582" s="10"/>
    </row>
    <row r="583" customFormat="false" ht="15" hidden="false" customHeight="true" outlineLevel="0" collapsed="false">
      <c r="A583" s="14"/>
      <c r="B583" s="10"/>
      <c r="C583" s="18" t="str">
        <f aca="false">IF($B583="","",IFERROR(INDEX(대상목록!$C$3:$C$302,MATCH($B583,대상목록!$A$3:$A$302,0)),""))</f>
        <v/>
      </c>
      <c r="D583" s="10"/>
      <c r="E583" s="10"/>
      <c r="F583" s="19"/>
      <c r="G583" s="10"/>
    </row>
    <row r="584" customFormat="false" ht="15" hidden="false" customHeight="true" outlineLevel="0" collapsed="false">
      <c r="A584" s="14"/>
      <c r="B584" s="10"/>
      <c r="C584" s="18" t="str">
        <f aca="false">IF($B584="","",IFERROR(INDEX(대상목록!$C$3:$C$302,MATCH($B584,대상목록!$A$3:$A$302,0)),""))</f>
        <v/>
      </c>
      <c r="D584" s="10"/>
      <c r="E584" s="10"/>
      <c r="F584" s="19"/>
      <c r="G584" s="10"/>
    </row>
    <row r="585" customFormat="false" ht="15" hidden="false" customHeight="true" outlineLevel="0" collapsed="false">
      <c r="A585" s="14"/>
      <c r="B585" s="10"/>
      <c r="C585" s="18" t="str">
        <f aca="false">IF($B585="","",IFERROR(INDEX(대상목록!$C$3:$C$302,MATCH($B585,대상목록!$A$3:$A$302,0)),""))</f>
        <v/>
      </c>
      <c r="D585" s="10"/>
      <c r="E585" s="10"/>
      <c r="F585" s="19"/>
      <c r="G585" s="10"/>
    </row>
    <row r="586" customFormat="false" ht="15" hidden="false" customHeight="true" outlineLevel="0" collapsed="false">
      <c r="A586" s="14"/>
      <c r="B586" s="10"/>
      <c r="C586" s="18" t="str">
        <f aca="false">IF($B586="","",IFERROR(INDEX(대상목록!$C$3:$C$302,MATCH($B586,대상목록!$A$3:$A$302,0)),""))</f>
        <v/>
      </c>
      <c r="D586" s="10"/>
      <c r="E586" s="10"/>
      <c r="F586" s="19"/>
      <c r="G586" s="10"/>
    </row>
    <row r="587" customFormat="false" ht="15" hidden="false" customHeight="true" outlineLevel="0" collapsed="false">
      <c r="A587" s="14"/>
      <c r="B587" s="10"/>
      <c r="C587" s="18" t="str">
        <f aca="false">IF($B587="","",IFERROR(INDEX(대상목록!$C$3:$C$302,MATCH($B587,대상목록!$A$3:$A$302,0)),""))</f>
        <v/>
      </c>
      <c r="D587" s="10"/>
      <c r="E587" s="10"/>
      <c r="F587" s="19"/>
      <c r="G587" s="10"/>
    </row>
    <row r="588" customFormat="false" ht="15" hidden="false" customHeight="true" outlineLevel="0" collapsed="false">
      <c r="A588" s="14"/>
      <c r="B588" s="10"/>
      <c r="C588" s="18" t="str">
        <f aca="false">IF($B588="","",IFERROR(INDEX(대상목록!$C$3:$C$302,MATCH($B588,대상목록!$A$3:$A$302,0)),""))</f>
        <v/>
      </c>
      <c r="D588" s="10"/>
      <c r="E588" s="10"/>
      <c r="F588" s="19"/>
      <c r="G588" s="10"/>
    </row>
    <row r="589" customFormat="false" ht="15" hidden="false" customHeight="true" outlineLevel="0" collapsed="false">
      <c r="A589" s="14"/>
      <c r="B589" s="10"/>
      <c r="C589" s="18" t="str">
        <f aca="false">IF($B589="","",IFERROR(INDEX(대상목록!$C$3:$C$302,MATCH($B589,대상목록!$A$3:$A$302,0)),""))</f>
        <v/>
      </c>
      <c r="D589" s="10"/>
      <c r="E589" s="10"/>
      <c r="F589" s="19"/>
      <c r="G589" s="10"/>
    </row>
    <row r="590" customFormat="false" ht="15" hidden="false" customHeight="true" outlineLevel="0" collapsed="false">
      <c r="A590" s="14"/>
      <c r="B590" s="10"/>
      <c r="C590" s="18" t="str">
        <f aca="false">IF($B590="","",IFERROR(INDEX(대상목록!$C$3:$C$302,MATCH($B590,대상목록!$A$3:$A$302,0)),""))</f>
        <v/>
      </c>
      <c r="D590" s="10"/>
      <c r="E590" s="10"/>
      <c r="F590" s="19"/>
      <c r="G590" s="10"/>
    </row>
    <row r="591" customFormat="false" ht="15" hidden="false" customHeight="true" outlineLevel="0" collapsed="false">
      <c r="A591" s="14"/>
      <c r="B591" s="10"/>
      <c r="C591" s="18" t="str">
        <f aca="false">IF($B591="","",IFERROR(INDEX(대상목록!$C$3:$C$302,MATCH($B591,대상목록!$A$3:$A$302,0)),""))</f>
        <v/>
      </c>
      <c r="D591" s="10"/>
      <c r="E591" s="10"/>
      <c r="F591" s="19"/>
      <c r="G591" s="10"/>
    </row>
    <row r="592" customFormat="false" ht="15" hidden="false" customHeight="true" outlineLevel="0" collapsed="false">
      <c r="A592" s="14"/>
      <c r="B592" s="10"/>
      <c r="C592" s="18" t="str">
        <f aca="false">IF($B592="","",IFERROR(INDEX(대상목록!$C$3:$C$302,MATCH($B592,대상목록!$A$3:$A$302,0)),""))</f>
        <v/>
      </c>
      <c r="D592" s="10"/>
      <c r="E592" s="10"/>
      <c r="F592" s="19"/>
      <c r="G592" s="10"/>
    </row>
    <row r="593" customFormat="false" ht="15" hidden="false" customHeight="true" outlineLevel="0" collapsed="false">
      <c r="A593" s="14"/>
      <c r="B593" s="10"/>
      <c r="C593" s="18" t="str">
        <f aca="false">IF($B593="","",IFERROR(INDEX(대상목록!$C$3:$C$302,MATCH($B593,대상목록!$A$3:$A$302,0)),""))</f>
        <v/>
      </c>
      <c r="D593" s="10"/>
      <c r="E593" s="10"/>
      <c r="F593" s="19"/>
      <c r="G593" s="10"/>
    </row>
    <row r="594" customFormat="false" ht="15" hidden="false" customHeight="true" outlineLevel="0" collapsed="false">
      <c r="A594" s="14"/>
      <c r="B594" s="10"/>
      <c r="C594" s="18" t="str">
        <f aca="false">IF($B594="","",IFERROR(INDEX(대상목록!$C$3:$C$302,MATCH($B594,대상목록!$A$3:$A$302,0)),""))</f>
        <v/>
      </c>
      <c r="D594" s="10"/>
      <c r="E594" s="10"/>
      <c r="F594" s="19"/>
      <c r="G594" s="10"/>
    </row>
    <row r="595" customFormat="false" ht="15" hidden="false" customHeight="true" outlineLevel="0" collapsed="false">
      <c r="A595" s="14"/>
      <c r="B595" s="10"/>
      <c r="C595" s="18" t="str">
        <f aca="false">IF($B595="","",IFERROR(INDEX(대상목록!$C$3:$C$302,MATCH($B595,대상목록!$A$3:$A$302,0)),""))</f>
        <v/>
      </c>
      <c r="D595" s="10"/>
      <c r="E595" s="10"/>
      <c r="F595" s="19"/>
      <c r="G595" s="10"/>
    </row>
    <row r="596" customFormat="false" ht="15" hidden="false" customHeight="true" outlineLevel="0" collapsed="false">
      <c r="A596" s="14"/>
      <c r="B596" s="10"/>
      <c r="C596" s="18" t="str">
        <f aca="false">IF($B596="","",IFERROR(INDEX(대상목록!$C$3:$C$302,MATCH($B596,대상목록!$A$3:$A$302,0)),""))</f>
        <v/>
      </c>
      <c r="D596" s="10"/>
      <c r="E596" s="10"/>
      <c r="F596" s="19"/>
      <c r="G596" s="10"/>
    </row>
    <row r="597" customFormat="false" ht="15" hidden="false" customHeight="true" outlineLevel="0" collapsed="false">
      <c r="A597" s="14"/>
      <c r="B597" s="10"/>
      <c r="C597" s="18" t="str">
        <f aca="false">IF($B597="","",IFERROR(INDEX(대상목록!$C$3:$C$302,MATCH($B597,대상목록!$A$3:$A$302,0)),""))</f>
        <v/>
      </c>
      <c r="D597" s="10"/>
      <c r="E597" s="10"/>
      <c r="F597" s="19"/>
      <c r="G597" s="10"/>
    </row>
    <row r="598" customFormat="false" ht="15" hidden="false" customHeight="true" outlineLevel="0" collapsed="false">
      <c r="A598" s="14"/>
      <c r="B598" s="10"/>
      <c r="C598" s="18" t="str">
        <f aca="false">IF($B598="","",IFERROR(INDEX(대상목록!$C$3:$C$302,MATCH($B598,대상목록!$A$3:$A$302,0)),""))</f>
        <v/>
      </c>
      <c r="D598" s="10"/>
      <c r="E598" s="10"/>
      <c r="F598" s="19"/>
      <c r="G598" s="10"/>
    </row>
    <row r="599" customFormat="false" ht="15" hidden="false" customHeight="true" outlineLevel="0" collapsed="false">
      <c r="A599" s="14"/>
      <c r="B599" s="10"/>
      <c r="C599" s="18" t="str">
        <f aca="false">IF($B599="","",IFERROR(INDEX(대상목록!$C$3:$C$302,MATCH($B599,대상목록!$A$3:$A$302,0)),""))</f>
        <v/>
      </c>
      <c r="D599" s="10"/>
      <c r="E599" s="10"/>
      <c r="F599" s="19"/>
      <c r="G599" s="10"/>
    </row>
    <row r="600" customFormat="false" ht="15" hidden="false" customHeight="true" outlineLevel="0" collapsed="false">
      <c r="A600" s="14"/>
      <c r="B600" s="10"/>
      <c r="C600" s="18" t="str">
        <f aca="false">IF($B600="","",IFERROR(INDEX(대상목록!$C$3:$C$302,MATCH($B600,대상목록!$A$3:$A$302,0)),""))</f>
        <v/>
      </c>
      <c r="D600" s="10"/>
      <c r="E600" s="10"/>
      <c r="F600" s="19"/>
      <c r="G600" s="10"/>
    </row>
    <row r="601" customFormat="false" ht="15" hidden="false" customHeight="true" outlineLevel="0" collapsed="false">
      <c r="A601" s="14"/>
      <c r="B601" s="10"/>
      <c r="C601" s="18" t="str">
        <f aca="false">IF($B601="","",IFERROR(INDEX(대상목록!$C$3:$C$302,MATCH($B601,대상목록!$A$3:$A$302,0)),""))</f>
        <v/>
      </c>
      <c r="D601" s="10"/>
      <c r="E601" s="10"/>
      <c r="F601" s="19"/>
      <c r="G601" s="10"/>
    </row>
    <row r="602" customFormat="false" ht="15" hidden="false" customHeight="true" outlineLevel="0" collapsed="false">
      <c r="A602" s="14"/>
      <c r="B602" s="10"/>
      <c r="C602" s="18" t="str">
        <f aca="false">IF($B602="","",IFERROR(INDEX(대상목록!$C$3:$C$302,MATCH($B602,대상목록!$A$3:$A$302,0)),""))</f>
        <v/>
      </c>
      <c r="D602" s="10"/>
      <c r="E602" s="10"/>
      <c r="F602" s="19"/>
      <c r="G602" s="10"/>
    </row>
    <row r="603" customFormat="false" ht="15" hidden="false" customHeight="true" outlineLevel="0" collapsed="false">
      <c r="A603" s="14"/>
      <c r="B603" s="10"/>
      <c r="C603" s="18" t="str">
        <f aca="false">IF($B603="","",IFERROR(INDEX(대상목록!$C$3:$C$302,MATCH($B603,대상목록!$A$3:$A$302,0)),""))</f>
        <v/>
      </c>
      <c r="D603" s="10"/>
      <c r="E603" s="10"/>
      <c r="F603" s="19"/>
      <c r="G603" s="10"/>
    </row>
    <row r="604" customFormat="false" ht="15" hidden="false" customHeight="true" outlineLevel="0" collapsed="false">
      <c r="A604" s="14"/>
      <c r="B604" s="10"/>
      <c r="C604" s="18" t="str">
        <f aca="false">IF($B604="","",IFERROR(INDEX(대상목록!$C$3:$C$302,MATCH($B604,대상목록!$A$3:$A$302,0)),""))</f>
        <v/>
      </c>
      <c r="D604" s="10"/>
      <c r="E604" s="10"/>
      <c r="F604" s="19"/>
      <c r="G604" s="10"/>
    </row>
    <row r="605" customFormat="false" ht="15" hidden="false" customHeight="true" outlineLevel="0" collapsed="false">
      <c r="A605" s="14"/>
      <c r="B605" s="10"/>
      <c r="C605" s="18" t="str">
        <f aca="false">IF($B605="","",IFERROR(INDEX(대상목록!$C$3:$C$302,MATCH($B605,대상목록!$A$3:$A$302,0)),""))</f>
        <v/>
      </c>
      <c r="D605" s="10"/>
      <c r="E605" s="10"/>
      <c r="F605" s="19"/>
      <c r="G605" s="10"/>
    </row>
    <row r="606" customFormat="false" ht="15" hidden="false" customHeight="true" outlineLevel="0" collapsed="false">
      <c r="A606" s="14"/>
      <c r="B606" s="10"/>
      <c r="C606" s="18" t="str">
        <f aca="false">IF($B606="","",IFERROR(INDEX(대상목록!$C$3:$C$302,MATCH($B606,대상목록!$A$3:$A$302,0)),""))</f>
        <v/>
      </c>
      <c r="D606" s="10"/>
      <c r="E606" s="10"/>
      <c r="F606" s="19"/>
      <c r="G606" s="10"/>
    </row>
    <row r="607" customFormat="false" ht="15" hidden="false" customHeight="true" outlineLevel="0" collapsed="false">
      <c r="A607" s="14"/>
      <c r="B607" s="10"/>
      <c r="C607" s="18" t="str">
        <f aca="false">IF($B607="","",IFERROR(INDEX(대상목록!$C$3:$C$302,MATCH($B607,대상목록!$A$3:$A$302,0)),""))</f>
        <v/>
      </c>
      <c r="D607" s="10"/>
      <c r="E607" s="10"/>
      <c r="F607" s="19"/>
      <c r="G607" s="10"/>
    </row>
    <row r="608" customFormat="false" ht="15" hidden="false" customHeight="true" outlineLevel="0" collapsed="false">
      <c r="A608" s="14"/>
      <c r="B608" s="10"/>
      <c r="C608" s="18" t="str">
        <f aca="false">IF($B608="","",IFERROR(INDEX(대상목록!$C$3:$C$302,MATCH($B608,대상목록!$A$3:$A$302,0)),""))</f>
        <v/>
      </c>
      <c r="D608" s="10"/>
      <c r="E608" s="10"/>
      <c r="F608" s="19"/>
      <c r="G608" s="10"/>
    </row>
    <row r="609" customFormat="false" ht="15" hidden="false" customHeight="true" outlineLevel="0" collapsed="false">
      <c r="A609" s="14"/>
      <c r="B609" s="10"/>
      <c r="C609" s="18" t="str">
        <f aca="false">IF($B609="","",IFERROR(INDEX(대상목록!$C$3:$C$302,MATCH($B609,대상목록!$A$3:$A$302,0)),""))</f>
        <v/>
      </c>
      <c r="D609" s="10"/>
      <c r="E609" s="10"/>
      <c r="F609" s="19"/>
      <c r="G609" s="10"/>
    </row>
    <row r="610" customFormat="false" ht="15" hidden="false" customHeight="true" outlineLevel="0" collapsed="false">
      <c r="A610" s="14"/>
      <c r="B610" s="10"/>
      <c r="C610" s="18" t="str">
        <f aca="false">IF($B610="","",IFERROR(INDEX(대상목록!$C$3:$C$302,MATCH($B610,대상목록!$A$3:$A$302,0)),""))</f>
        <v/>
      </c>
      <c r="D610" s="10"/>
      <c r="E610" s="10"/>
      <c r="F610" s="19"/>
      <c r="G610" s="10"/>
    </row>
    <row r="611" customFormat="false" ht="15" hidden="false" customHeight="true" outlineLevel="0" collapsed="false">
      <c r="A611" s="14"/>
      <c r="B611" s="10"/>
      <c r="C611" s="18" t="str">
        <f aca="false">IF($B611="","",IFERROR(INDEX(대상목록!$C$3:$C$302,MATCH($B611,대상목록!$A$3:$A$302,0)),""))</f>
        <v/>
      </c>
      <c r="D611" s="10"/>
      <c r="E611" s="10"/>
      <c r="F611" s="19"/>
      <c r="G611" s="10"/>
    </row>
    <row r="612" customFormat="false" ht="15" hidden="false" customHeight="true" outlineLevel="0" collapsed="false">
      <c r="A612" s="14"/>
      <c r="B612" s="10"/>
      <c r="C612" s="18" t="str">
        <f aca="false">IF($B612="","",IFERROR(INDEX(대상목록!$C$3:$C$302,MATCH($B612,대상목록!$A$3:$A$302,0)),""))</f>
        <v/>
      </c>
      <c r="D612" s="10"/>
      <c r="E612" s="10"/>
      <c r="F612" s="19"/>
      <c r="G612" s="10"/>
    </row>
    <row r="613" customFormat="false" ht="15" hidden="false" customHeight="true" outlineLevel="0" collapsed="false">
      <c r="A613" s="14"/>
      <c r="B613" s="10"/>
      <c r="C613" s="18" t="str">
        <f aca="false">IF($B613="","",IFERROR(INDEX(대상목록!$C$3:$C$302,MATCH($B613,대상목록!$A$3:$A$302,0)),""))</f>
        <v/>
      </c>
      <c r="D613" s="10"/>
      <c r="E613" s="10"/>
      <c r="F613" s="19"/>
      <c r="G613" s="10"/>
    </row>
    <row r="614" customFormat="false" ht="15" hidden="false" customHeight="true" outlineLevel="0" collapsed="false">
      <c r="A614" s="14"/>
      <c r="B614" s="10"/>
      <c r="C614" s="18" t="str">
        <f aca="false">IF($B614="","",IFERROR(INDEX(대상목록!$C$3:$C$302,MATCH($B614,대상목록!$A$3:$A$302,0)),""))</f>
        <v/>
      </c>
      <c r="D614" s="10"/>
      <c r="E614" s="10"/>
      <c r="F614" s="19"/>
      <c r="G614" s="10"/>
    </row>
    <row r="615" customFormat="false" ht="15" hidden="false" customHeight="true" outlineLevel="0" collapsed="false">
      <c r="A615" s="14"/>
      <c r="B615" s="10"/>
      <c r="C615" s="18" t="str">
        <f aca="false">IF($B615="","",IFERROR(INDEX(대상목록!$C$3:$C$302,MATCH($B615,대상목록!$A$3:$A$302,0)),""))</f>
        <v/>
      </c>
      <c r="D615" s="10"/>
      <c r="E615" s="10"/>
      <c r="F615" s="19"/>
      <c r="G615" s="10"/>
    </row>
    <row r="616" customFormat="false" ht="15" hidden="false" customHeight="true" outlineLevel="0" collapsed="false">
      <c r="A616" s="14"/>
      <c r="B616" s="10"/>
      <c r="C616" s="18" t="str">
        <f aca="false">IF($B616="","",IFERROR(INDEX(대상목록!$C$3:$C$302,MATCH($B616,대상목록!$A$3:$A$302,0)),""))</f>
        <v/>
      </c>
      <c r="D616" s="10"/>
      <c r="E616" s="10"/>
      <c r="F616" s="19"/>
      <c r="G616" s="10"/>
    </row>
    <row r="617" customFormat="false" ht="15" hidden="false" customHeight="true" outlineLevel="0" collapsed="false">
      <c r="A617" s="14"/>
      <c r="B617" s="10"/>
      <c r="C617" s="18" t="str">
        <f aca="false">IF($B617="","",IFERROR(INDEX(대상목록!$C$3:$C$302,MATCH($B617,대상목록!$A$3:$A$302,0)),""))</f>
        <v/>
      </c>
      <c r="D617" s="10"/>
      <c r="E617" s="10"/>
      <c r="F617" s="19"/>
      <c r="G617" s="10"/>
    </row>
    <row r="618" customFormat="false" ht="15" hidden="false" customHeight="true" outlineLevel="0" collapsed="false">
      <c r="A618" s="14"/>
      <c r="B618" s="10"/>
      <c r="C618" s="18" t="str">
        <f aca="false">IF($B618="","",IFERROR(INDEX(대상목록!$C$3:$C$302,MATCH($B618,대상목록!$A$3:$A$302,0)),""))</f>
        <v/>
      </c>
      <c r="D618" s="10"/>
      <c r="E618" s="10"/>
      <c r="F618" s="19"/>
      <c r="G618" s="10"/>
    </row>
    <row r="619" customFormat="false" ht="15" hidden="false" customHeight="true" outlineLevel="0" collapsed="false">
      <c r="A619" s="14"/>
      <c r="B619" s="10"/>
      <c r="C619" s="18" t="str">
        <f aca="false">IF($B619="","",IFERROR(INDEX(대상목록!$C$3:$C$302,MATCH($B619,대상목록!$A$3:$A$302,0)),""))</f>
        <v/>
      </c>
      <c r="D619" s="10"/>
      <c r="E619" s="10"/>
      <c r="F619" s="19"/>
      <c r="G619" s="10"/>
    </row>
    <row r="620" customFormat="false" ht="15" hidden="false" customHeight="true" outlineLevel="0" collapsed="false">
      <c r="A620" s="14"/>
      <c r="B620" s="10"/>
      <c r="C620" s="18" t="str">
        <f aca="false">IF($B620="","",IFERROR(INDEX(대상목록!$C$3:$C$302,MATCH($B620,대상목록!$A$3:$A$302,0)),""))</f>
        <v/>
      </c>
      <c r="D620" s="10"/>
      <c r="E620" s="10"/>
      <c r="F620" s="19"/>
      <c r="G620" s="10"/>
    </row>
    <row r="621" customFormat="false" ht="15" hidden="false" customHeight="true" outlineLevel="0" collapsed="false">
      <c r="A621" s="14"/>
      <c r="B621" s="10"/>
      <c r="C621" s="18" t="str">
        <f aca="false">IF($B621="","",IFERROR(INDEX(대상목록!$C$3:$C$302,MATCH($B621,대상목록!$A$3:$A$302,0)),""))</f>
        <v/>
      </c>
      <c r="D621" s="10"/>
      <c r="E621" s="10"/>
      <c r="F621" s="19"/>
      <c r="G621" s="10"/>
    </row>
    <row r="622" customFormat="false" ht="15" hidden="false" customHeight="true" outlineLevel="0" collapsed="false">
      <c r="A622" s="14"/>
      <c r="B622" s="10"/>
      <c r="C622" s="18" t="str">
        <f aca="false">IF($B622="","",IFERROR(INDEX(대상목록!$C$3:$C$302,MATCH($B622,대상목록!$A$3:$A$302,0)),""))</f>
        <v/>
      </c>
      <c r="D622" s="10"/>
      <c r="E622" s="10"/>
      <c r="F622" s="19"/>
      <c r="G622" s="10"/>
    </row>
    <row r="623" customFormat="false" ht="15" hidden="false" customHeight="true" outlineLevel="0" collapsed="false">
      <c r="A623" s="14"/>
      <c r="B623" s="10"/>
      <c r="C623" s="18" t="str">
        <f aca="false">IF($B623="","",IFERROR(INDEX(대상목록!$C$3:$C$302,MATCH($B623,대상목록!$A$3:$A$302,0)),""))</f>
        <v/>
      </c>
      <c r="D623" s="10"/>
      <c r="E623" s="10"/>
      <c r="F623" s="19"/>
      <c r="G623" s="10"/>
    </row>
    <row r="624" customFormat="false" ht="15" hidden="false" customHeight="true" outlineLevel="0" collapsed="false">
      <c r="A624" s="14"/>
      <c r="B624" s="10"/>
      <c r="C624" s="18" t="str">
        <f aca="false">IF($B624="","",IFERROR(INDEX(대상목록!$C$3:$C$302,MATCH($B624,대상목록!$A$3:$A$302,0)),""))</f>
        <v/>
      </c>
      <c r="D624" s="10"/>
      <c r="E624" s="10"/>
      <c r="F624" s="19"/>
      <c r="G624" s="10"/>
    </row>
    <row r="625" customFormat="false" ht="15" hidden="false" customHeight="true" outlineLevel="0" collapsed="false">
      <c r="A625" s="14"/>
      <c r="B625" s="10"/>
      <c r="C625" s="18" t="str">
        <f aca="false">IF($B625="","",IFERROR(INDEX(대상목록!$C$3:$C$302,MATCH($B625,대상목록!$A$3:$A$302,0)),""))</f>
        <v/>
      </c>
      <c r="D625" s="10"/>
      <c r="E625" s="10"/>
      <c r="F625" s="19"/>
      <c r="G625" s="10"/>
    </row>
    <row r="626" customFormat="false" ht="15" hidden="false" customHeight="true" outlineLevel="0" collapsed="false">
      <c r="A626" s="14"/>
      <c r="B626" s="10"/>
      <c r="C626" s="18" t="str">
        <f aca="false">IF($B626="","",IFERROR(INDEX(대상목록!$C$3:$C$302,MATCH($B626,대상목록!$A$3:$A$302,0)),""))</f>
        <v/>
      </c>
      <c r="D626" s="10"/>
      <c r="E626" s="10"/>
      <c r="F626" s="19"/>
      <c r="G626" s="10"/>
    </row>
    <row r="627" customFormat="false" ht="15" hidden="false" customHeight="true" outlineLevel="0" collapsed="false">
      <c r="A627" s="14"/>
      <c r="B627" s="10"/>
      <c r="C627" s="18" t="str">
        <f aca="false">IF($B627="","",IFERROR(INDEX(대상목록!$C$3:$C$302,MATCH($B627,대상목록!$A$3:$A$302,0)),""))</f>
        <v/>
      </c>
      <c r="D627" s="10"/>
      <c r="E627" s="10"/>
      <c r="F627" s="19"/>
      <c r="G627" s="10"/>
    </row>
    <row r="628" customFormat="false" ht="15" hidden="false" customHeight="true" outlineLevel="0" collapsed="false">
      <c r="A628" s="14"/>
      <c r="B628" s="10"/>
      <c r="C628" s="18" t="str">
        <f aca="false">IF($B628="","",IFERROR(INDEX(대상목록!$C$3:$C$302,MATCH($B628,대상목록!$A$3:$A$302,0)),""))</f>
        <v/>
      </c>
      <c r="D628" s="10"/>
      <c r="E628" s="10"/>
      <c r="F628" s="19"/>
      <c r="G628" s="10"/>
    </row>
    <row r="629" customFormat="false" ht="15" hidden="false" customHeight="true" outlineLevel="0" collapsed="false">
      <c r="A629" s="14"/>
      <c r="B629" s="10"/>
      <c r="C629" s="18" t="str">
        <f aca="false">IF($B629="","",IFERROR(INDEX(대상목록!$C$3:$C$302,MATCH($B629,대상목록!$A$3:$A$302,0)),""))</f>
        <v/>
      </c>
      <c r="D629" s="10"/>
      <c r="E629" s="10"/>
      <c r="F629" s="19"/>
      <c r="G629" s="10"/>
    </row>
    <row r="630" customFormat="false" ht="15" hidden="false" customHeight="true" outlineLevel="0" collapsed="false">
      <c r="A630" s="14"/>
      <c r="B630" s="10"/>
      <c r="C630" s="18" t="str">
        <f aca="false">IF($B630="","",IFERROR(INDEX(대상목록!$C$3:$C$302,MATCH($B630,대상목록!$A$3:$A$302,0)),""))</f>
        <v/>
      </c>
      <c r="D630" s="10"/>
      <c r="E630" s="10"/>
      <c r="F630" s="19"/>
      <c r="G630" s="10"/>
    </row>
    <row r="631" customFormat="false" ht="15" hidden="false" customHeight="true" outlineLevel="0" collapsed="false">
      <c r="A631" s="14"/>
      <c r="B631" s="10"/>
      <c r="C631" s="18" t="str">
        <f aca="false">IF($B631="","",IFERROR(INDEX(대상목록!$C$3:$C$302,MATCH($B631,대상목록!$A$3:$A$302,0)),""))</f>
        <v/>
      </c>
      <c r="D631" s="10"/>
      <c r="E631" s="10"/>
      <c r="F631" s="19"/>
      <c r="G631" s="10"/>
    </row>
    <row r="632" customFormat="false" ht="15" hidden="false" customHeight="true" outlineLevel="0" collapsed="false">
      <c r="A632" s="14"/>
      <c r="B632" s="10"/>
      <c r="C632" s="18" t="str">
        <f aca="false">IF($B632="","",IFERROR(INDEX(대상목록!$C$3:$C$302,MATCH($B632,대상목록!$A$3:$A$302,0)),""))</f>
        <v/>
      </c>
      <c r="D632" s="10"/>
      <c r="E632" s="10"/>
      <c r="F632" s="19"/>
      <c r="G632" s="10"/>
    </row>
    <row r="633" customFormat="false" ht="15" hidden="false" customHeight="true" outlineLevel="0" collapsed="false">
      <c r="A633" s="14"/>
      <c r="B633" s="10"/>
      <c r="C633" s="18" t="str">
        <f aca="false">IF($B633="","",IFERROR(INDEX(대상목록!$C$3:$C$302,MATCH($B633,대상목록!$A$3:$A$302,0)),""))</f>
        <v/>
      </c>
      <c r="D633" s="10"/>
      <c r="E633" s="10"/>
      <c r="F633" s="19"/>
      <c r="G633" s="10"/>
    </row>
    <row r="634" customFormat="false" ht="15" hidden="false" customHeight="true" outlineLevel="0" collapsed="false">
      <c r="A634" s="14"/>
      <c r="B634" s="10"/>
      <c r="C634" s="18" t="str">
        <f aca="false">IF($B634="","",IFERROR(INDEX(대상목록!$C$3:$C$302,MATCH($B634,대상목록!$A$3:$A$302,0)),""))</f>
        <v/>
      </c>
      <c r="D634" s="10"/>
      <c r="E634" s="10"/>
      <c r="F634" s="19"/>
      <c r="G634" s="10"/>
    </row>
    <row r="635" customFormat="false" ht="15" hidden="false" customHeight="true" outlineLevel="0" collapsed="false">
      <c r="A635" s="14"/>
      <c r="B635" s="10"/>
      <c r="C635" s="18" t="str">
        <f aca="false">IF($B635="","",IFERROR(INDEX(대상목록!$C$3:$C$302,MATCH($B635,대상목록!$A$3:$A$302,0)),""))</f>
        <v/>
      </c>
      <c r="D635" s="10"/>
      <c r="E635" s="10"/>
      <c r="F635" s="19"/>
      <c r="G635" s="10"/>
    </row>
    <row r="636" customFormat="false" ht="15" hidden="false" customHeight="true" outlineLevel="0" collapsed="false">
      <c r="A636" s="14"/>
      <c r="B636" s="10"/>
      <c r="C636" s="18" t="str">
        <f aca="false">IF($B636="","",IFERROR(INDEX(대상목록!$C$3:$C$302,MATCH($B636,대상목록!$A$3:$A$302,0)),""))</f>
        <v/>
      </c>
      <c r="D636" s="10"/>
      <c r="E636" s="10"/>
      <c r="F636" s="19"/>
      <c r="G636" s="10"/>
    </row>
    <row r="637" customFormat="false" ht="15" hidden="false" customHeight="true" outlineLevel="0" collapsed="false">
      <c r="A637" s="14"/>
      <c r="B637" s="10"/>
      <c r="C637" s="18" t="str">
        <f aca="false">IF($B637="","",IFERROR(INDEX(대상목록!$C$3:$C$302,MATCH($B637,대상목록!$A$3:$A$302,0)),""))</f>
        <v/>
      </c>
      <c r="D637" s="10"/>
      <c r="E637" s="10"/>
      <c r="F637" s="19"/>
      <c r="G637" s="10"/>
    </row>
    <row r="638" customFormat="false" ht="15" hidden="false" customHeight="true" outlineLevel="0" collapsed="false">
      <c r="A638" s="14"/>
      <c r="B638" s="10"/>
      <c r="C638" s="18" t="str">
        <f aca="false">IF($B638="","",IFERROR(INDEX(대상목록!$C$3:$C$302,MATCH($B638,대상목록!$A$3:$A$302,0)),""))</f>
        <v/>
      </c>
      <c r="D638" s="10"/>
      <c r="E638" s="10"/>
      <c r="F638" s="19"/>
      <c r="G638" s="10"/>
    </row>
    <row r="639" customFormat="false" ht="15" hidden="false" customHeight="true" outlineLevel="0" collapsed="false">
      <c r="A639" s="14"/>
      <c r="B639" s="10"/>
      <c r="C639" s="18" t="str">
        <f aca="false">IF($B639="","",IFERROR(INDEX(대상목록!$C$3:$C$302,MATCH($B639,대상목록!$A$3:$A$302,0)),""))</f>
        <v/>
      </c>
      <c r="D639" s="10"/>
      <c r="E639" s="10"/>
      <c r="F639" s="19"/>
      <c r="G639" s="10"/>
    </row>
    <row r="640" customFormat="false" ht="15" hidden="false" customHeight="true" outlineLevel="0" collapsed="false">
      <c r="A640" s="14"/>
      <c r="B640" s="10"/>
      <c r="C640" s="18" t="str">
        <f aca="false">IF($B640="","",IFERROR(INDEX(대상목록!$C$3:$C$302,MATCH($B640,대상목록!$A$3:$A$302,0)),""))</f>
        <v/>
      </c>
      <c r="D640" s="10"/>
      <c r="E640" s="10"/>
      <c r="F640" s="19"/>
      <c r="G640" s="10"/>
    </row>
    <row r="641" customFormat="false" ht="15" hidden="false" customHeight="true" outlineLevel="0" collapsed="false">
      <c r="A641" s="14"/>
      <c r="B641" s="10"/>
      <c r="C641" s="18" t="str">
        <f aca="false">IF($B641="","",IFERROR(INDEX(대상목록!$C$3:$C$302,MATCH($B641,대상목록!$A$3:$A$302,0)),""))</f>
        <v/>
      </c>
      <c r="D641" s="10"/>
      <c r="E641" s="10"/>
      <c r="F641" s="19"/>
      <c r="G641" s="10"/>
    </row>
    <row r="642" customFormat="false" ht="15" hidden="false" customHeight="true" outlineLevel="0" collapsed="false">
      <c r="A642" s="14"/>
      <c r="B642" s="10"/>
      <c r="C642" s="18" t="str">
        <f aca="false">IF($B642="","",IFERROR(INDEX(대상목록!$C$3:$C$302,MATCH($B642,대상목록!$A$3:$A$302,0)),""))</f>
        <v/>
      </c>
      <c r="D642" s="10"/>
      <c r="E642" s="10"/>
      <c r="F642" s="19"/>
      <c r="G642" s="10"/>
    </row>
    <row r="643" customFormat="false" ht="15" hidden="false" customHeight="true" outlineLevel="0" collapsed="false">
      <c r="A643" s="14"/>
      <c r="B643" s="10"/>
      <c r="C643" s="18" t="str">
        <f aca="false">IF($B643="","",IFERROR(INDEX(대상목록!$C$3:$C$302,MATCH($B643,대상목록!$A$3:$A$302,0)),""))</f>
        <v/>
      </c>
      <c r="D643" s="10"/>
      <c r="E643" s="10"/>
      <c r="F643" s="19"/>
      <c r="G643" s="10"/>
    </row>
    <row r="644" customFormat="false" ht="15" hidden="false" customHeight="true" outlineLevel="0" collapsed="false">
      <c r="A644" s="14"/>
      <c r="B644" s="10"/>
      <c r="C644" s="18" t="str">
        <f aca="false">IF($B644="","",IFERROR(INDEX(대상목록!$C$3:$C$302,MATCH($B644,대상목록!$A$3:$A$302,0)),""))</f>
        <v/>
      </c>
      <c r="D644" s="10"/>
      <c r="E644" s="10"/>
      <c r="F644" s="19"/>
      <c r="G644" s="10"/>
    </row>
    <row r="645" customFormat="false" ht="15" hidden="false" customHeight="true" outlineLevel="0" collapsed="false">
      <c r="A645" s="14"/>
      <c r="B645" s="10"/>
      <c r="C645" s="18" t="str">
        <f aca="false">IF($B645="","",IFERROR(INDEX(대상목록!$C$3:$C$302,MATCH($B645,대상목록!$A$3:$A$302,0)),""))</f>
        <v/>
      </c>
      <c r="D645" s="10"/>
      <c r="E645" s="10"/>
      <c r="F645" s="19"/>
      <c r="G645" s="10"/>
    </row>
    <row r="646" customFormat="false" ht="15" hidden="false" customHeight="true" outlineLevel="0" collapsed="false">
      <c r="A646" s="14"/>
      <c r="B646" s="10"/>
      <c r="C646" s="18" t="str">
        <f aca="false">IF($B646="","",IFERROR(INDEX(대상목록!$C$3:$C$302,MATCH($B646,대상목록!$A$3:$A$302,0)),""))</f>
        <v/>
      </c>
      <c r="D646" s="10"/>
      <c r="E646" s="10"/>
      <c r="F646" s="19"/>
      <c r="G646" s="10"/>
    </row>
    <row r="647" customFormat="false" ht="15" hidden="false" customHeight="true" outlineLevel="0" collapsed="false">
      <c r="A647" s="14"/>
      <c r="B647" s="10"/>
      <c r="C647" s="18" t="str">
        <f aca="false">IF($B647="","",IFERROR(INDEX(대상목록!$C$3:$C$302,MATCH($B647,대상목록!$A$3:$A$302,0)),""))</f>
        <v/>
      </c>
      <c r="D647" s="10"/>
      <c r="E647" s="10"/>
      <c r="F647" s="19"/>
      <c r="G647" s="10"/>
    </row>
    <row r="648" customFormat="false" ht="15" hidden="false" customHeight="true" outlineLevel="0" collapsed="false">
      <c r="A648" s="14"/>
      <c r="B648" s="10"/>
      <c r="C648" s="18" t="str">
        <f aca="false">IF($B648="","",IFERROR(INDEX(대상목록!$C$3:$C$302,MATCH($B648,대상목록!$A$3:$A$302,0)),""))</f>
        <v/>
      </c>
      <c r="D648" s="10"/>
      <c r="E648" s="10"/>
      <c r="F648" s="19"/>
      <c r="G648" s="10"/>
    </row>
    <row r="649" customFormat="false" ht="15" hidden="false" customHeight="true" outlineLevel="0" collapsed="false">
      <c r="A649" s="14"/>
      <c r="B649" s="10"/>
      <c r="C649" s="18" t="str">
        <f aca="false">IF($B649="","",IFERROR(INDEX(대상목록!$C$3:$C$302,MATCH($B649,대상목록!$A$3:$A$302,0)),""))</f>
        <v/>
      </c>
      <c r="D649" s="10"/>
      <c r="E649" s="10"/>
      <c r="F649" s="19"/>
      <c r="G649" s="10"/>
    </row>
    <row r="650" customFormat="false" ht="15" hidden="false" customHeight="true" outlineLevel="0" collapsed="false">
      <c r="A650" s="14"/>
      <c r="B650" s="10"/>
      <c r="C650" s="18" t="str">
        <f aca="false">IF($B650="","",IFERROR(INDEX(대상목록!$C$3:$C$302,MATCH($B650,대상목록!$A$3:$A$302,0)),""))</f>
        <v/>
      </c>
      <c r="D650" s="10"/>
      <c r="E650" s="10"/>
      <c r="F650" s="19"/>
      <c r="G650" s="10"/>
    </row>
    <row r="651" customFormat="false" ht="15" hidden="false" customHeight="true" outlineLevel="0" collapsed="false">
      <c r="A651" s="14"/>
      <c r="B651" s="10"/>
      <c r="C651" s="18" t="str">
        <f aca="false">IF($B651="","",IFERROR(INDEX(대상목록!$C$3:$C$302,MATCH($B651,대상목록!$A$3:$A$302,0)),""))</f>
        <v/>
      </c>
      <c r="D651" s="10"/>
      <c r="E651" s="10"/>
      <c r="F651" s="19"/>
      <c r="G651" s="10"/>
    </row>
    <row r="652" customFormat="false" ht="15" hidden="false" customHeight="true" outlineLevel="0" collapsed="false">
      <c r="A652" s="14"/>
      <c r="B652" s="10"/>
      <c r="C652" s="18" t="str">
        <f aca="false">IF($B652="","",IFERROR(INDEX(대상목록!$C$3:$C$302,MATCH($B652,대상목록!$A$3:$A$302,0)),""))</f>
        <v/>
      </c>
      <c r="D652" s="10"/>
      <c r="E652" s="10"/>
      <c r="F652" s="19"/>
      <c r="G652" s="10"/>
    </row>
    <row r="653" customFormat="false" ht="15" hidden="false" customHeight="true" outlineLevel="0" collapsed="false">
      <c r="A653" s="14"/>
      <c r="B653" s="10"/>
      <c r="C653" s="18" t="str">
        <f aca="false">IF($B653="","",IFERROR(INDEX(대상목록!$C$3:$C$302,MATCH($B653,대상목록!$A$3:$A$302,0)),""))</f>
        <v/>
      </c>
      <c r="D653" s="10"/>
      <c r="E653" s="10"/>
      <c r="F653" s="19"/>
      <c r="G653" s="10"/>
    </row>
    <row r="654" customFormat="false" ht="15" hidden="false" customHeight="true" outlineLevel="0" collapsed="false">
      <c r="A654" s="14"/>
      <c r="B654" s="10"/>
      <c r="C654" s="18" t="str">
        <f aca="false">IF($B654="","",IFERROR(INDEX(대상목록!$C$3:$C$302,MATCH($B654,대상목록!$A$3:$A$302,0)),""))</f>
        <v/>
      </c>
      <c r="D654" s="10"/>
      <c r="E654" s="10"/>
      <c r="F654" s="19"/>
      <c r="G654" s="10"/>
    </row>
    <row r="655" customFormat="false" ht="15" hidden="false" customHeight="true" outlineLevel="0" collapsed="false">
      <c r="A655" s="14"/>
      <c r="B655" s="10"/>
      <c r="C655" s="18" t="str">
        <f aca="false">IF($B655="","",IFERROR(INDEX(대상목록!$C$3:$C$302,MATCH($B655,대상목록!$A$3:$A$302,0)),""))</f>
        <v/>
      </c>
      <c r="D655" s="10"/>
      <c r="E655" s="10"/>
      <c r="F655" s="19"/>
      <c r="G655" s="10"/>
    </row>
    <row r="656" customFormat="false" ht="15" hidden="false" customHeight="true" outlineLevel="0" collapsed="false">
      <c r="A656" s="14"/>
      <c r="B656" s="10"/>
      <c r="C656" s="18" t="str">
        <f aca="false">IF($B656="","",IFERROR(INDEX(대상목록!$C$3:$C$302,MATCH($B656,대상목록!$A$3:$A$302,0)),""))</f>
        <v/>
      </c>
      <c r="D656" s="10"/>
      <c r="E656" s="10"/>
      <c r="F656" s="19"/>
      <c r="G656" s="10"/>
    </row>
    <row r="657" customFormat="false" ht="15" hidden="false" customHeight="true" outlineLevel="0" collapsed="false">
      <c r="A657" s="14"/>
      <c r="B657" s="10"/>
      <c r="C657" s="18" t="str">
        <f aca="false">IF($B657="","",IFERROR(INDEX(대상목록!$C$3:$C$302,MATCH($B657,대상목록!$A$3:$A$302,0)),""))</f>
        <v/>
      </c>
      <c r="D657" s="10"/>
      <c r="E657" s="10"/>
      <c r="F657" s="19"/>
      <c r="G657" s="10"/>
    </row>
    <row r="658" customFormat="false" ht="15" hidden="false" customHeight="true" outlineLevel="0" collapsed="false">
      <c r="A658" s="14"/>
      <c r="B658" s="10"/>
      <c r="C658" s="18" t="str">
        <f aca="false">IF($B658="","",IFERROR(INDEX(대상목록!$C$3:$C$302,MATCH($B658,대상목록!$A$3:$A$302,0)),""))</f>
        <v/>
      </c>
      <c r="D658" s="10"/>
      <c r="E658" s="10"/>
      <c r="F658" s="19"/>
      <c r="G658" s="10"/>
    </row>
    <row r="659" customFormat="false" ht="15" hidden="false" customHeight="true" outlineLevel="0" collapsed="false">
      <c r="A659" s="14"/>
      <c r="B659" s="10"/>
      <c r="C659" s="18" t="str">
        <f aca="false">IF($B659="","",IFERROR(INDEX(대상목록!$C$3:$C$302,MATCH($B659,대상목록!$A$3:$A$302,0)),""))</f>
        <v/>
      </c>
      <c r="D659" s="10"/>
      <c r="E659" s="10"/>
      <c r="F659" s="19"/>
      <c r="G659" s="10"/>
    </row>
    <row r="660" customFormat="false" ht="15" hidden="false" customHeight="true" outlineLevel="0" collapsed="false">
      <c r="A660" s="14"/>
      <c r="B660" s="10"/>
      <c r="C660" s="18" t="str">
        <f aca="false">IF($B660="","",IFERROR(INDEX(대상목록!$C$3:$C$302,MATCH($B660,대상목록!$A$3:$A$302,0)),""))</f>
        <v/>
      </c>
      <c r="D660" s="10"/>
      <c r="E660" s="10"/>
      <c r="F660" s="19"/>
      <c r="G660" s="10"/>
    </row>
    <row r="661" customFormat="false" ht="15" hidden="false" customHeight="true" outlineLevel="0" collapsed="false">
      <c r="A661" s="14"/>
      <c r="B661" s="10"/>
      <c r="C661" s="18" t="str">
        <f aca="false">IF($B661="","",IFERROR(INDEX(대상목록!$C$3:$C$302,MATCH($B661,대상목록!$A$3:$A$302,0)),""))</f>
        <v/>
      </c>
      <c r="D661" s="10"/>
      <c r="E661" s="10"/>
      <c r="F661" s="19"/>
      <c r="G661" s="10"/>
    </row>
    <row r="662" customFormat="false" ht="15" hidden="false" customHeight="true" outlineLevel="0" collapsed="false">
      <c r="A662" s="14"/>
      <c r="B662" s="10"/>
      <c r="C662" s="18" t="str">
        <f aca="false">IF($B662="","",IFERROR(INDEX(대상목록!$C$3:$C$302,MATCH($B662,대상목록!$A$3:$A$302,0)),""))</f>
        <v/>
      </c>
      <c r="D662" s="10"/>
      <c r="E662" s="10"/>
      <c r="F662" s="19"/>
      <c r="G662" s="10"/>
    </row>
    <row r="663" customFormat="false" ht="15" hidden="false" customHeight="true" outlineLevel="0" collapsed="false">
      <c r="A663" s="14"/>
      <c r="B663" s="10"/>
      <c r="C663" s="18" t="str">
        <f aca="false">IF($B663="","",IFERROR(INDEX(대상목록!$C$3:$C$302,MATCH($B663,대상목록!$A$3:$A$302,0)),""))</f>
        <v/>
      </c>
      <c r="D663" s="10"/>
      <c r="E663" s="10"/>
      <c r="F663" s="19"/>
      <c r="G663" s="10"/>
    </row>
    <row r="664" customFormat="false" ht="15" hidden="false" customHeight="true" outlineLevel="0" collapsed="false">
      <c r="A664" s="14"/>
      <c r="B664" s="10"/>
      <c r="C664" s="18" t="str">
        <f aca="false">IF($B664="","",IFERROR(INDEX(대상목록!$C$3:$C$302,MATCH($B664,대상목록!$A$3:$A$302,0)),""))</f>
        <v/>
      </c>
      <c r="D664" s="10"/>
      <c r="E664" s="10"/>
      <c r="F664" s="19"/>
      <c r="G664" s="10"/>
    </row>
    <row r="665" customFormat="false" ht="15" hidden="false" customHeight="true" outlineLevel="0" collapsed="false">
      <c r="A665" s="14"/>
      <c r="B665" s="10"/>
      <c r="C665" s="18" t="str">
        <f aca="false">IF($B665="","",IFERROR(INDEX(대상목록!$C$3:$C$302,MATCH($B665,대상목록!$A$3:$A$302,0)),""))</f>
        <v/>
      </c>
      <c r="D665" s="10"/>
      <c r="E665" s="10"/>
      <c r="F665" s="19"/>
      <c r="G665" s="10"/>
    </row>
    <row r="666" customFormat="false" ht="15" hidden="false" customHeight="true" outlineLevel="0" collapsed="false">
      <c r="A666" s="14"/>
      <c r="B666" s="10"/>
      <c r="C666" s="18" t="str">
        <f aca="false">IF($B666="","",IFERROR(INDEX(대상목록!$C$3:$C$302,MATCH($B666,대상목록!$A$3:$A$302,0)),""))</f>
        <v/>
      </c>
      <c r="D666" s="10"/>
      <c r="E666" s="10"/>
      <c r="F666" s="19"/>
      <c r="G666" s="10"/>
    </row>
    <row r="667" customFormat="false" ht="15" hidden="false" customHeight="true" outlineLevel="0" collapsed="false">
      <c r="A667" s="14"/>
      <c r="B667" s="10"/>
      <c r="C667" s="18" t="str">
        <f aca="false">IF($B667="","",IFERROR(INDEX(대상목록!$C$3:$C$302,MATCH($B667,대상목록!$A$3:$A$302,0)),""))</f>
        <v/>
      </c>
      <c r="D667" s="10"/>
      <c r="E667" s="10"/>
      <c r="F667" s="19"/>
      <c r="G667" s="10"/>
    </row>
    <row r="668" customFormat="false" ht="15" hidden="false" customHeight="true" outlineLevel="0" collapsed="false">
      <c r="A668" s="14"/>
      <c r="B668" s="10"/>
      <c r="C668" s="18" t="str">
        <f aca="false">IF($B668="","",IFERROR(INDEX(대상목록!$C$3:$C$302,MATCH($B668,대상목록!$A$3:$A$302,0)),""))</f>
        <v/>
      </c>
      <c r="D668" s="10"/>
      <c r="E668" s="10"/>
      <c r="F668" s="19"/>
      <c r="G668" s="10"/>
    </row>
    <row r="669" customFormat="false" ht="15" hidden="false" customHeight="true" outlineLevel="0" collapsed="false">
      <c r="A669" s="14"/>
      <c r="B669" s="10"/>
      <c r="C669" s="18" t="str">
        <f aca="false">IF($B669="","",IFERROR(INDEX(대상목록!$C$3:$C$302,MATCH($B669,대상목록!$A$3:$A$302,0)),""))</f>
        <v/>
      </c>
      <c r="D669" s="10"/>
      <c r="E669" s="10"/>
      <c r="F669" s="19"/>
      <c r="G669" s="10"/>
    </row>
    <row r="670" customFormat="false" ht="15" hidden="false" customHeight="true" outlineLevel="0" collapsed="false">
      <c r="A670" s="14"/>
      <c r="B670" s="10"/>
      <c r="C670" s="18" t="str">
        <f aca="false">IF($B670="","",IFERROR(INDEX(대상목록!$C$3:$C$302,MATCH($B670,대상목록!$A$3:$A$302,0)),""))</f>
        <v/>
      </c>
      <c r="D670" s="10"/>
      <c r="E670" s="10"/>
      <c r="F670" s="19"/>
      <c r="G670" s="10"/>
    </row>
    <row r="671" customFormat="false" ht="15" hidden="false" customHeight="true" outlineLevel="0" collapsed="false">
      <c r="A671" s="14"/>
      <c r="B671" s="10"/>
      <c r="C671" s="18" t="str">
        <f aca="false">IF($B671="","",IFERROR(INDEX(대상목록!$C$3:$C$302,MATCH($B671,대상목록!$A$3:$A$302,0)),""))</f>
        <v/>
      </c>
      <c r="D671" s="10"/>
      <c r="E671" s="10"/>
      <c r="F671" s="19"/>
      <c r="G671" s="10"/>
    </row>
    <row r="672" customFormat="false" ht="15" hidden="false" customHeight="true" outlineLevel="0" collapsed="false">
      <c r="A672" s="14"/>
      <c r="B672" s="10"/>
      <c r="C672" s="18" t="str">
        <f aca="false">IF($B672="","",IFERROR(INDEX(대상목록!$C$3:$C$302,MATCH($B672,대상목록!$A$3:$A$302,0)),""))</f>
        <v/>
      </c>
      <c r="D672" s="10"/>
      <c r="E672" s="10"/>
      <c r="F672" s="19"/>
      <c r="G672" s="10"/>
    </row>
    <row r="673" customFormat="false" ht="15" hidden="false" customHeight="true" outlineLevel="0" collapsed="false">
      <c r="A673" s="14"/>
      <c r="B673" s="10"/>
      <c r="C673" s="18" t="str">
        <f aca="false">IF($B673="","",IFERROR(INDEX(대상목록!$C$3:$C$302,MATCH($B673,대상목록!$A$3:$A$302,0)),""))</f>
        <v/>
      </c>
      <c r="D673" s="10"/>
      <c r="E673" s="10"/>
      <c r="F673" s="19"/>
      <c r="G673" s="10"/>
    </row>
    <row r="674" customFormat="false" ht="15" hidden="false" customHeight="true" outlineLevel="0" collapsed="false">
      <c r="A674" s="14"/>
      <c r="B674" s="10"/>
      <c r="C674" s="18" t="str">
        <f aca="false">IF($B674="","",IFERROR(INDEX(대상목록!$C$3:$C$302,MATCH($B674,대상목록!$A$3:$A$302,0)),""))</f>
        <v/>
      </c>
      <c r="D674" s="10"/>
      <c r="E674" s="10"/>
      <c r="F674" s="19"/>
      <c r="G674" s="10"/>
    </row>
    <row r="675" customFormat="false" ht="15" hidden="false" customHeight="true" outlineLevel="0" collapsed="false">
      <c r="A675" s="14"/>
      <c r="B675" s="10"/>
      <c r="C675" s="18" t="str">
        <f aca="false">IF($B675="","",IFERROR(INDEX(대상목록!$C$3:$C$302,MATCH($B675,대상목록!$A$3:$A$302,0)),""))</f>
        <v/>
      </c>
      <c r="D675" s="10"/>
      <c r="E675" s="10"/>
      <c r="F675" s="19"/>
      <c r="G675" s="10"/>
    </row>
    <row r="676" customFormat="false" ht="15" hidden="false" customHeight="true" outlineLevel="0" collapsed="false">
      <c r="A676" s="14"/>
      <c r="B676" s="10"/>
      <c r="C676" s="18" t="str">
        <f aca="false">IF($B676="","",IFERROR(INDEX(대상목록!$C$3:$C$302,MATCH($B676,대상목록!$A$3:$A$302,0)),""))</f>
        <v/>
      </c>
      <c r="D676" s="10"/>
      <c r="E676" s="10"/>
      <c r="F676" s="19"/>
      <c r="G676" s="10"/>
    </row>
    <row r="677" customFormat="false" ht="15" hidden="false" customHeight="true" outlineLevel="0" collapsed="false">
      <c r="A677" s="14"/>
      <c r="B677" s="10"/>
      <c r="C677" s="18" t="str">
        <f aca="false">IF($B677="","",IFERROR(INDEX(대상목록!$C$3:$C$302,MATCH($B677,대상목록!$A$3:$A$302,0)),""))</f>
        <v/>
      </c>
      <c r="D677" s="10"/>
      <c r="E677" s="10"/>
      <c r="F677" s="19"/>
      <c r="G677" s="10"/>
    </row>
    <row r="678" customFormat="false" ht="15" hidden="false" customHeight="true" outlineLevel="0" collapsed="false">
      <c r="A678" s="14"/>
      <c r="B678" s="10"/>
      <c r="C678" s="18" t="str">
        <f aca="false">IF($B678="","",IFERROR(INDEX(대상목록!$C$3:$C$302,MATCH($B678,대상목록!$A$3:$A$302,0)),""))</f>
        <v/>
      </c>
      <c r="D678" s="10"/>
      <c r="E678" s="10"/>
      <c r="F678" s="19"/>
      <c r="G678" s="10"/>
    </row>
    <row r="679" customFormat="false" ht="15" hidden="false" customHeight="true" outlineLevel="0" collapsed="false">
      <c r="A679" s="14"/>
      <c r="B679" s="10"/>
      <c r="C679" s="18" t="str">
        <f aca="false">IF($B679="","",IFERROR(INDEX(대상목록!$C$3:$C$302,MATCH($B679,대상목록!$A$3:$A$302,0)),""))</f>
        <v/>
      </c>
      <c r="D679" s="10"/>
      <c r="E679" s="10"/>
      <c r="F679" s="19"/>
      <c r="G679" s="10"/>
    </row>
    <row r="680" customFormat="false" ht="15" hidden="false" customHeight="true" outlineLevel="0" collapsed="false">
      <c r="A680" s="14"/>
      <c r="B680" s="10"/>
      <c r="C680" s="18" t="str">
        <f aca="false">IF($B680="","",IFERROR(INDEX(대상목록!$C$3:$C$302,MATCH($B680,대상목록!$A$3:$A$302,0)),""))</f>
        <v/>
      </c>
      <c r="D680" s="10"/>
      <c r="E680" s="10"/>
      <c r="F680" s="19"/>
      <c r="G680" s="10"/>
    </row>
    <row r="681" customFormat="false" ht="15" hidden="false" customHeight="true" outlineLevel="0" collapsed="false">
      <c r="A681" s="14"/>
      <c r="B681" s="10"/>
      <c r="C681" s="18" t="str">
        <f aca="false">IF($B681="","",IFERROR(INDEX(대상목록!$C$3:$C$302,MATCH($B681,대상목록!$A$3:$A$302,0)),""))</f>
        <v/>
      </c>
      <c r="D681" s="10"/>
      <c r="E681" s="10"/>
      <c r="F681" s="19"/>
      <c r="G681" s="10"/>
    </row>
    <row r="682" customFormat="false" ht="15" hidden="false" customHeight="true" outlineLevel="0" collapsed="false">
      <c r="A682" s="14"/>
      <c r="B682" s="10"/>
      <c r="C682" s="18" t="str">
        <f aca="false">IF($B682="","",IFERROR(INDEX(대상목록!$C$3:$C$302,MATCH($B682,대상목록!$A$3:$A$302,0)),""))</f>
        <v/>
      </c>
      <c r="D682" s="10"/>
      <c r="E682" s="10"/>
      <c r="F682" s="19"/>
      <c r="G682" s="10"/>
    </row>
    <row r="683" customFormat="false" ht="15" hidden="false" customHeight="true" outlineLevel="0" collapsed="false">
      <c r="A683" s="14"/>
      <c r="B683" s="10"/>
      <c r="C683" s="18" t="str">
        <f aca="false">IF($B683="","",IFERROR(INDEX(대상목록!$C$3:$C$302,MATCH($B683,대상목록!$A$3:$A$302,0)),""))</f>
        <v/>
      </c>
      <c r="D683" s="10"/>
      <c r="E683" s="10"/>
      <c r="F683" s="19"/>
      <c r="G683" s="10"/>
    </row>
    <row r="684" customFormat="false" ht="15" hidden="false" customHeight="true" outlineLevel="0" collapsed="false">
      <c r="A684" s="14"/>
      <c r="B684" s="10"/>
      <c r="C684" s="18" t="str">
        <f aca="false">IF($B684="","",IFERROR(INDEX(대상목록!$C$3:$C$302,MATCH($B684,대상목록!$A$3:$A$302,0)),""))</f>
        <v/>
      </c>
      <c r="D684" s="10"/>
      <c r="E684" s="10"/>
      <c r="F684" s="19"/>
      <c r="G684" s="10"/>
    </row>
    <row r="685" customFormat="false" ht="15" hidden="false" customHeight="true" outlineLevel="0" collapsed="false">
      <c r="A685" s="14"/>
      <c r="B685" s="10"/>
      <c r="C685" s="18" t="str">
        <f aca="false">IF($B685="","",IFERROR(INDEX(대상목록!$C$3:$C$302,MATCH($B685,대상목록!$A$3:$A$302,0)),""))</f>
        <v/>
      </c>
      <c r="D685" s="10"/>
      <c r="E685" s="10"/>
      <c r="F685" s="19"/>
      <c r="G685" s="10"/>
    </row>
    <row r="686" customFormat="false" ht="15" hidden="false" customHeight="true" outlineLevel="0" collapsed="false">
      <c r="A686" s="14"/>
      <c r="B686" s="10"/>
      <c r="C686" s="18" t="str">
        <f aca="false">IF($B686="","",IFERROR(INDEX(대상목록!$C$3:$C$302,MATCH($B686,대상목록!$A$3:$A$302,0)),""))</f>
        <v/>
      </c>
      <c r="D686" s="10"/>
      <c r="E686" s="10"/>
      <c r="F686" s="19"/>
      <c r="G686" s="10"/>
    </row>
    <row r="687" customFormat="false" ht="15" hidden="false" customHeight="true" outlineLevel="0" collapsed="false">
      <c r="A687" s="14"/>
      <c r="B687" s="10"/>
      <c r="C687" s="18" t="str">
        <f aca="false">IF($B687="","",IFERROR(INDEX(대상목록!$C$3:$C$302,MATCH($B687,대상목록!$A$3:$A$302,0)),""))</f>
        <v/>
      </c>
      <c r="D687" s="10"/>
      <c r="E687" s="10"/>
      <c r="F687" s="19"/>
      <c r="G687" s="10"/>
    </row>
    <row r="688" customFormat="false" ht="15" hidden="false" customHeight="true" outlineLevel="0" collapsed="false">
      <c r="A688" s="14"/>
      <c r="B688" s="10"/>
      <c r="C688" s="18" t="str">
        <f aca="false">IF($B688="","",IFERROR(INDEX(대상목록!$C$3:$C$302,MATCH($B688,대상목록!$A$3:$A$302,0)),""))</f>
        <v/>
      </c>
      <c r="D688" s="10"/>
      <c r="E688" s="10"/>
      <c r="F688" s="19"/>
      <c r="G688" s="10"/>
    </row>
    <row r="689" customFormat="false" ht="15" hidden="false" customHeight="true" outlineLevel="0" collapsed="false">
      <c r="A689" s="14"/>
      <c r="B689" s="10"/>
      <c r="C689" s="18" t="str">
        <f aca="false">IF($B689="","",IFERROR(INDEX(대상목록!$C$3:$C$302,MATCH($B689,대상목록!$A$3:$A$302,0)),""))</f>
        <v/>
      </c>
      <c r="D689" s="10"/>
      <c r="E689" s="10"/>
      <c r="F689" s="19"/>
      <c r="G689" s="10"/>
    </row>
    <row r="690" customFormat="false" ht="15" hidden="false" customHeight="true" outlineLevel="0" collapsed="false">
      <c r="A690" s="14"/>
      <c r="B690" s="10"/>
      <c r="C690" s="18" t="str">
        <f aca="false">IF($B690="","",IFERROR(INDEX(대상목록!$C$3:$C$302,MATCH($B690,대상목록!$A$3:$A$302,0)),""))</f>
        <v/>
      </c>
      <c r="D690" s="10"/>
      <c r="E690" s="10"/>
      <c r="F690" s="19"/>
      <c r="G690" s="10"/>
    </row>
    <row r="691" customFormat="false" ht="15" hidden="false" customHeight="true" outlineLevel="0" collapsed="false">
      <c r="A691" s="14"/>
      <c r="B691" s="10"/>
      <c r="C691" s="18" t="str">
        <f aca="false">IF($B691="","",IFERROR(INDEX(대상목록!$C$3:$C$302,MATCH($B691,대상목록!$A$3:$A$302,0)),""))</f>
        <v/>
      </c>
      <c r="D691" s="10"/>
      <c r="E691" s="10"/>
      <c r="F691" s="19"/>
      <c r="G691" s="10"/>
    </row>
    <row r="692" customFormat="false" ht="15" hidden="false" customHeight="true" outlineLevel="0" collapsed="false">
      <c r="A692" s="14"/>
      <c r="B692" s="10"/>
      <c r="C692" s="18" t="str">
        <f aca="false">IF($B692="","",IFERROR(INDEX(대상목록!$C$3:$C$302,MATCH($B692,대상목록!$A$3:$A$302,0)),""))</f>
        <v/>
      </c>
      <c r="D692" s="10"/>
      <c r="E692" s="10"/>
      <c r="F692" s="19"/>
      <c r="G692" s="10"/>
    </row>
    <row r="693" customFormat="false" ht="15" hidden="false" customHeight="true" outlineLevel="0" collapsed="false">
      <c r="A693" s="14"/>
      <c r="B693" s="10"/>
      <c r="C693" s="18" t="str">
        <f aca="false">IF($B693="","",IFERROR(INDEX(대상목록!$C$3:$C$302,MATCH($B693,대상목록!$A$3:$A$302,0)),""))</f>
        <v/>
      </c>
      <c r="D693" s="10"/>
      <c r="E693" s="10"/>
      <c r="F693" s="19"/>
      <c r="G693" s="10"/>
    </row>
    <row r="694" customFormat="false" ht="15" hidden="false" customHeight="true" outlineLevel="0" collapsed="false">
      <c r="A694" s="14"/>
      <c r="B694" s="10"/>
      <c r="C694" s="18" t="str">
        <f aca="false">IF($B694="","",IFERROR(INDEX(대상목록!$C$3:$C$302,MATCH($B694,대상목록!$A$3:$A$302,0)),""))</f>
        <v/>
      </c>
      <c r="D694" s="10"/>
      <c r="E694" s="10"/>
      <c r="F694" s="19"/>
      <c r="G694" s="10"/>
    </row>
    <row r="695" customFormat="false" ht="15" hidden="false" customHeight="true" outlineLevel="0" collapsed="false">
      <c r="A695" s="14"/>
      <c r="B695" s="10"/>
      <c r="C695" s="18" t="str">
        <f aca="false">IF($B695="","",IFERROR(INDEX(대상목록!$C$3:$C$302,MATCH($B695,대상목록!$A$3:$A$302,0)),""))</f>
        <v/>
      </c>
      <c r="D695" s="10"/>
      <c r="E695" s="10"/>
      <c r="F695" s="19"/>
      <c r="G695" s="10"/>
    </row>
    <row r="696" customFormat="false" ht="15" hidden="false" customHeight="true" outlineLevel="0" collapsed="false">
      <c r="A696" s="14"/>
      <c r="B696" s="10"/>
      <c r="C696" s="18" t="str">
        <f aca="false">IF($B696="","",IFERROR(INDEX(대상목록!$C$3:$C$302,MATCH($B696,대상목록!$A$3:$A$302,0)),""))</f>
        <v/>
      </c>
      <c r="D696" s="10"/>
      <c r="E696" s="10"/>
      <c r="F696" s="19"/>
      <c r="G696" s="10"/>
    </row>
    <row r="697" customFormat="false" ht="15" hidden="false" customHeight="true" outlineLevel="0" collapsed="false">
      <c r="A697" s="14"/>
      <c r="B697" s="10"/>
      <c r="C697" s="18" t="str">
        <f aca="false">IF($B697="","",IFERROR(INDEX(대상목록!$C$3:$C$302,MATCH($B697,대상목록!$A$3:$A$302,0)),""))</f>
        <v/>
      </c>
      <c r="D697" s="10"/>
      <c r="E697" s="10"/>
      <c r="F697" s="19"/>
      <c r="G697" s="10"/>
    </row>
    <row r="698" customFormat="false" ht="15" hidden="false" customHeight="true" outlineLevel="0" collapsed="false">
      <c r="A698" s="14"/>
      <c r="B698" s="10"/>
      <c r="C698" s="18" t="str">
        <f aca="false">IF($B698="","",IFERROR(INDEX(대상목록!$C$3:$C$302,MATCH($B698,대상목록!$A$3:$A$302,0)),""))</f>
        <v/>
      </c>
      <c r="D698" s="10"/>
      <c r="E698" s="10"/>
      <c r="F698" s="19"/>
      <c r="G698" s="10"/>
    </row>
    <row r="699" customFormat="false" ht="15" hidden="false" customHeight="true" outlineLevel="0" collapsed="false">
      <c r="A699" s="14"/>
      <c r="B699" s="10"/>
      <c r="C699" s="18" t="str">
        <f aca="false">IF($B699="","",IFERROR(INDEX(대상목록!$C$3:$C$302,MATCH($B699,대상목록!$A$3:$A$302,0)),""))</f>
        <v/>
      </c>
      <c r="D699" s="10"/>
      <c r="E699" s="10"/>
      <c r="F699" s="19"/>
      <c r="G699" s="10"/>
    </row>
    <row r="700" customFormat="false" ht="15" hidden="false" customHeight="true" outlineLevel="0" collapsed="false">
      <c r="A700" s="14"/>
      <c r="B700" s="10"/>
      <c r="C700" s="18" t="str">
        <f aca="false">IF($B700="","",IFERROR(INDEX(대상목록!$C$3:$C$302,MATCH($B700,대상목록!$A$3:$A$302,0)),""))</f>
        <v/>
      </c>
      <c r="D700" s="10"/>
      <c r="E700" s="10"/>
      <c r="F700" s="19"/>
      <c r="G700" s="10"/>
    </row>
    <row r="701" customFormat="false" ht="15" hidden="false" customHeight="true" outlineLevel="0" collapsed="false">
      <c r="A701" s="14"/>
      <c r="B701" s="10"/>
      <c r="C701" s="18" t="str">
        <f aca="false">IF($B701="","",IFERROR(INDEX(대상목록!$C$3:$C$302,MATCH($B701,대상목록!$A$3:$A$302,0)),""))</f>
        <v/>
      </c>
      <c r="D701" s="10"/>
      <c r="E701" s="10"/>
      <c r="F701" s="19"/>
      <c r="G701" s="10"/>
    </row>
    <row r="702" customFormat="false" ht="15" hidden="false" customHeight="true" outlineLevel="0" collapsed="false">
      <c r="A702" s="14"/>
      <c r="B702" s="10"/>
      <c r="C702" s="18" t="str">
        <f aca="false">IF($B702="","",IFERROR(INDEX(대상목록!$C$3:$C$302,MATCH($B702,대상목록!$A$3:$A$302,0)),""))</f>
        <v/>
      </c>
      <c r="D702" s="10"/>
      <c r="E702" s="10"/>
      <c r="F702" s="19"/>
      <c r="G702" s="10"/>
    </row>
    <row r="703" customFormat="false" ht="15" hidden="false" customHeight="true" outlineLevel="0" collapsed="false">
      <c r="A703" s="14"/>
      <c r="B703" s="10"/>
      <c r="C703" s="18" t="str">
        <f aca="false">IF($B703="","",IFERROR(INDEX(대상목록!$C$3:$C$302,MATCH($B703,대상목록!$A$3:$A$302,0)),""))</f>
        <v/>
      </c>
      <c r="D703" s="10"/>
      <c r="E703" s="10"/>
      <c r="F703" s="19"/>
      <c r="G703" s="10"/>
    </row>
    <row r="704" customFormat="false" ht="15" hidden="false" customHeight="true" outlineLevel="0" collapsed="false">
      <c r="A704" s="14"/>
      <c r="B704" s="10"/>
      <c r="C704" s="18" t="str">
        <f aca="false">IF($B704="","",IFERROR(INDEX(대상목록!$C$3:$C$302,MATCH($B704,대상목록!$A$3:$A$302,0)),""))</f>
        <v/>
      </c>
      <c r="D704" s="10"/>
      <c r="E704" s="10"/>
      <c r="F704" s="19"/>
      <c r="G704" s="10"/>
    </row>
    <row r="705" customFormat="false" ht="15" hidden="false" customHeight="true" outlineLevel="0" collapsed="false">
      <c r="A705" s="14"/>
      <c r="B705" s="10"/>
      <c r="C705" s="18" t="str">
        <f aca="false">IF($B705="","",IFERROR(INDEX(대상목록!$C$3:$C$302,MATCH($B705,대상목록!$A$3:$A$302,0)),""))</f>
        <v/>
      </c>
      <c r="D705" s="10"/>
      <c r="E705" s="10"/>
      <c r="F705" s="19"/>
      <c r="G705" s="10"/>
    </row>
    <row r="706" customFormat="false" ht="15" hidden="false" customHeight="true" outlineLevel="0" collapsed="false">
      <c r="A706" s="14"/>
      <c r="B706" s="10"/>
      <c r="C706" s="18" t="str">
        <f aca="false">IF($B706="","",IFERROR(INDEX(대상목록!$C$3:$C$302,MATCH($B706,대상목록!$A$3:$A$302,0)),""))</f>
        <v/>
      </c>
      <c r="D706" s="10"/>
      <c r="E706" s="10"/>
      <c r="F706" s="19"/>
      <c r="G706" s="10"/>
    </row>
    <row r="707" customFormat="false" ht="15" hidden="false" customHeight="true" outlineLevel="0" collapsed="false">
      <c r="A707" s="14"/>
      <c r="B707" s="10"/>
      <c r="C707" s="18" t="str">
        <f aca="false">IF($B707="","",IFERROR(INDEX(대상목록!$C$3:$C$302,MATCH($B707,대상목록!$A$3:$A$302,0)),""))</f>
        <v/>
      </c>
      <c r="D707" s="10"/>
      <c r="E707" s="10"/>
      <c r="F707" s="19"/>
      <c r="G707" s="10"/>
    </row>
    <row r="708" customFormat="false" ht="15" hidden="false" customHeight="true" outlineLevel="0" collapsed="false">
      <c r="A708" s="14"/>
      <c r="B708" s="10"/>
      <c r="C708" s="18" t="str">
        <f aca="false">IF($B708="","",IFERROR(INDEX(대상목록!$C$3:$C$302,MATCH($B708,대상목록!$A$3:$A$302,0)),""))</f>
        <v/>
      </c>
      <c r="D708" s="10"/>
      <c r="E708" s="10"/>
      <c r="F708" s="19"/>
      <c r="G708" s="10"/>
    </row>
    <row r="709" customFormat="false" ht="15" hidden="false" customHeight="true" outlineLevel="0" collapsed="false">
      <c r="A709" s="14"/>
      <c r="B709" s="10"/>
      <c r="C709" s="18" t="str">
        <f aca="false">IF($B709="","",IFERROR(INDEX(대상목록!$C$3:$C$302,MATCH($B709,대상목록!$A$3:$A$302,0)),""))</f>
        <v/>
      </c>
      <c r="D709" s="10"/>
      <c r="E709" s="10"/>
      <c r="F709" s="19"/>
      <c r="G709" s="10"/>
    </row>
    <row r="710" customFormat="false" ht="15" hidden="false" customHeight="true" outlineLevel="0" collapsed="false">
      <c r="A710" s="14"/>
      <c r="B710" s="10"/>
      <c r="C710" s="18" t="str">
        <f aca="false">IF($B710="","",IFERROR(INDEX(대상목록!$C$3:$C$302,MATCH($B710,대상목록!$A$3:$A$302,0)),""))</f>
        <v/>
      </c>
      <c r="D710" s="10"/>
      <c r="E710" s="10"/>
      <c r="F710" s="19"/>
      <c r="G710" s="10"/>
    </row>
    <row r="711" customFormat="false" ht="15" hidden="false" customHeight="true" outlineLevel="0" collapsed="false">
      <c r="A711" s="14"/>
      <c r="B711" s="10"/>
      <c r="C711" s="18" t="str">
        <f aca="false">IF($B711="","",IFERROR(INDEX(대상목록!$C$3:$C$302,MATCH($B711,대상목록!$A$3:$A$302,0)),""))</f>
        <v/>
      </c>
      <c r="D711" s="10"/>
      <c r="E711" s="10"/>
      <c r="F711" s="19"/>
      <c r="G711" s="10"/>
    </row>
    <row r="712" customFormat="false" ht="15" hidden="false" customHeight="true" outlineLevel="0" collapsed="false">
      <c r="A712" s="14"/>
      <c r="B712" s="10"/>
      <c r="C712" s="18" t="str">
        <f aca="false">IF($B712="","",IFERROR(INDEX(대상목록!$C$3:$C$302,MATCH($B712,대상목록!$A$3:$A$302,0)),""))</f>
        <v/>
      </c>
      <c r="D712" s="10"/>
      <c r="E712" s="10"/>
      <c r="F712" s="19"/>
      <c r="G712" s="10"/>
    </row>
    <row r="713" customFormat="false" ht="15" hidden="false" customHeight="true" outlineLevel="0" collapsed="false">
      <c r="A713" s="14"/>
      <c r="B713" s="10"/>
      <c r="C713" s="18" t="str">
        <f aca="false">IF($B713="","",IFERROR(INDEX(대상목록!$C$3:$C$302,MATCH($B713,대상목록!$A$3:$A$302,0)),""))</f>
        <v/>
      </c>
      <c r="D713" s="10"/>
      <c r="E713" s="10"/>
      <c r="F713" s="19"/>
      <c r="G713" s="10"/>
    </row>
    <row r="714" customFormat="false" ht="15" hidden="false" customHeight="true" outlineLevel="0" collapsed="false">
      <c r="A714" s="14"/>
      <c r="B714" s="10"/>
      <c r="C714" s="18" t="str">
        <f aca="false">IF($B714="","",IFERROR(INDEX(대상목록!$C$3:$C$302,MATCH($B714,대상목록!$A$3:$A$302,0)),""))</f>
        <v/>
      </c>
      <c r="D714" s="10"/>
      <c r="E714" s="10"/>
      <c r="F714" s="19"/>
      <c r="G714" s="10"/>
    </row>
    <row r="715" customFormat="false" ht="15" hidden="false" customHeight="true" outlineLevel="0" collapsed="false">
      <c r="A715" s="14"/>
      <c r="B715" s="10"/>
      <c r="C715" s="18" t="str">
        <f aca="false">IF($B715="","",IFERROR(INDEX(대상목록!$C$3:$C$302,MATCH($B715,대상목록!$A$3:$A$302,0)),""))</f>
        <v/>
      </c>
      <c r="D715" s="10"/>
      <c r="E715" s="10"/>
      <c r="F715" s="19"/>
      <c r="G715" s="10"/>
    </row>
    <row r="716" customFormat="false" ht="15" hidden="false" customHeight="true" outlineLevel="0" collapsed="false">
      <c r="A716" s="14"/>
      <c r="B716" s="10"/>
      <c r="C716" s="18" t="str">
        <f aca="false">IF($B716="","",IFERROR(INDEX(대상목록!$C$3:$C$302,MATCH($B716,대상목록!$A$3:$A$302,0)),""))</f>
        <v/>
      </c>
      <c r="D716" s="10"/>
      <c r="E716" s="10"/>
      <c r="F716" s="19"/>
      <c r="G716" s="10"/>
    </row>
    <row r="717" customFormat="false" ht="15" hidden="false" customHeight="true" outlineLevel="0" collapsed="false">
      <c r="A717" s="14"/>
      <c r="B717" s="10"/>
      <c r="C717" s="18" t="str">
        <f aca="false">IF($B717="","",IFERROR(INDEX(대상목록!$C$3:$C$302,MATCH($B717,대상목록!$A$3:$A$302,0)),""))</f>
        <v/>
      </c>
      <c r="D717" s="10"/>
      <c r="E717" s="10"/>
      <c r="F717" s="19"/>
      <c r="G717" s="10"/>
    </row>
    <row r="718" customFormat="false" ht="15" hidden="false" customHeight="true" outlineLevel="0" collapsed="false">
      <c r="A718" s="14"/>
      <c r="B718" s="10"/>
      <c r="C718" s="18" t="str">
        <f aca="false">IF($B718="","",IFERROR(INDEX(대상목록!$C$3:$C$302,MATCH($B718,대상목록!$A$3:$A$302,0)),""))</f>
        <v/>
      </c>
      <c r="D718" s="10"/>
      <c r="E718" s="10"/>
      <c r="F718" s="19"/>
      <c r="G718" s="10"/>
    </row>
    <row r="719" customFormat="false" ht="15" hidden="false" customHeight="true" outlineLevel="0" collapsed="false">
      <c r="A719" s="14"/>
      <c r="B719" s="10"/>
      <c r="C719" s="18" t="str">
        <f aca="false">IF($B719="","",IFERROR(INDEX(대상목록!$C$3:$C$302,MATCH($B719,대상목록!$A$3:$A$302,0)),""))</f>
        <v/>
      </c>
      <c r="D719" s="10"/>
      <c r="E719" s="10"/>
      <c r="F719" s="19"/>
      <c r="G719" s="10"/>
    </row>
    <row r="720" customFormat="false" ht="15" hidden="false" customHeight="true" outlineLevel="0" collapsed="false">
      <c r="A720" s="14"/>
      <c r="B720" s="10"/>
      <c r="C720" s="18" t="str">
        <f aca="false">IF($B720="","",IFERROR(INDEX(대상목록!$C$3:$C$302,MATCH($B720,대상목록!$A$3:$A$302,0)),""))</f>
        <v/>
      </c>
      <c r="D720" s="10"/>
      <c r="E720" s="10"/>
      <c r="F720" s="19"/>
      <c r="G720" s="10"/>
    </row>
    <row r="721" customFormat="false" ht="15" hidden="false" customHeight="true" outlineLevel="0" collapsed="false">
      <c r="A721" s="14"/>
      <c r="B721" s="10"/>
      <c r="C721" s="18" t="str">
        <f aca="false">IF($B721="","",IFERROR(INDEX(대상목록!$C$3:$C$302,MATCH($B721,대상목록!$A$3:$A$302,0)),""))</f>
        <v/>
      </c>
      <c r="D721" s="10"/>
      <c r="E721" s="10"/>
      <c r="F721" s="19"/>
      <c r="G721" s="10"/>
    </row>
    <row r="722" customFormat="false" ht="15" hidden="false" customHeight="true" outlineLevel="0" collapsed="false">
      <c r="A722" s="14"/>
      <c r="B722" s="10"/>
      <c r="C722" s="18" t="str">
        <f aca="false">IF($B722="","",IFERROR(INDEX(대상목록!$C$3:$C$302,MATCH($B722,대상목록!$A$3:$A$302,0)),""))</f>
        <v/>
      </c>
      <c r="D722" s="10"/>
      <c r="E722" s="10"/>
      <c r="F722" s="19"/>
      <c r="G722" s="10"/>
    </row>
    <row r="723" customFormat="false" ht="15" hidden="false" customHeight="true" outlineLevel="0" collapsed="false">
      <c r="A723" s="14"/>
      <c r="B723" s="10"/>
      <c r="C723" s="18" t="str">
        <f aca="false">IF($B723="","",IFERROR(INDEX(대상목록!$C$3:$C$302,MATCH($B723,대상목록!$A$3:$A$302,0)),""))</f>
        <v/>
      </c>
      <c r="D723" s="10"/>
      <c r="E723" s="10"/>
      <c r="F723" s="19"/>
      <c r="G723" s="10"/>
    </row>
    <row r="724" customFormat="false" ht="15" hidden="false" customHeight="true" outlineLevel="0" collapsed="false">
      <c r="A724" s="14"/>
      <c r="B724" s="10"/>
      <c r="C724" s="18" t="str">
        <f aca="false">IF($B724="","",IFERROR(INDEX(대상목록!$C$3:$C$302,MATCH($B724,대상목록!$A$3:$A$302,0)),""))</f>
        <v/>
      </c>
      <c r="D724" s="10"/>
      <c r="E724" s="10"/>
      <c r="F724" s="19"/>
      <c r="G724" s="10"/>
    </row>
    <row r="725" customFormat="false" ht="15" hidden="false" customHeight="true" outlineLevel="0" collapsed="false">
      <c r="A725" s="14"/>
      <c r="B725" s="10"/>
      <c r="C725" s="18" t="str">
        <f aca="false">IF($B725="","",IFERROR(INDEX(대상목록!$C$3:$C$302,MATCH($B725,대상목록!$A$3:$A$302,0)),""))</f>
        <v/>
      </c>
      <c r="D725" s="10"/>
      <c r="E725" s="10"/>
      <c r="F725" s="19"/>
      <c r="G725" s="10"/>
    </row>
    <row r="726" customFormat="false" ht="15" hidden="false" customHeight="true" outlineLevel="0" collapsed="false">
      <c r="A726" s="14"/>
      <c r="B726" s="10"/>
      <c r="C726" s="18" t="str">
        <f aca="false">IF($B726="","",IFERROR(INDEX(대상목록!$C$3:$C$302,MATCH($B726,대상목록!$A$3:$A$302,0)),""))</f>
        <v/>
      </c>
      <c r="D726" s="10"/>
      <c r="E726" s="10"/>
      <c r="F726" s="19"/>
      <c r="G726" s="10"/>
    </row>
    <row r="727" customFormat="false" ht="15" hidden="false" customHeight="true" outlineLevel="0" collapsed="false">
      <c r="A727" s="14"/>
      <c r="B727" s="10"/>
      <c r="C727" s="18" t="str">
        <f aca="false">IF($B727="","",IFERROR(INDEX(대상목록!$C$3:$C$302,MATCH($B727,대상목록!$A$3:$A$302,0)),""))</f>
        <v/>
      </c>
      <c r="D727" s="10"/>
      <c r="E727" s="10"/>
      <c r="F727" s="19"/>
      <c r="G727" s="10"/>
    </row>
    <row r="728" customFormat="false" ht="15" hidden="false" customHeight="true" outlineLevel="0" collapsed="false">
      <c r="A728" s="14"/>
      <c r="B728" s="10"/>
      <c r="C728" s="18" t="str">
        <f aca="false">IF($B728="","",IFERROR(INDEX(대상목록!$C$3:$C$302,MATCH($B728,대상목록!$A$3:$A$302,0)),""))</f>
        <v/>
      </c>
      <c r="D728" s="10"/>
      <c r="E728" s="10"/>
      <c r="F728" s="19"/>
      <c r="G728" s="10"/>
    </row>
    <row r="729" customFormat="false" ht="15" hidden="false" customHeight="true" outlineLevel="0" collapsed="false">
      <c r="A729" s="14"/>
      <c r="B729" s="10"/>
      <c r="C729" s="18" t="str">
        <f aca="false">IF($B729="","",IFERROR(INDEX(대상목록!$C$3:$C$302,MATCH($B729,대상목록!$A$3:$A$302,0)),""))</f>
        <v/>
      </c>
      <c r="D729" s="10"/>
      <c r="E729" s="10"/>
      <c r="F729" s="19"/>
      <c r="G729" s="10"/>
    </row>
    <row r="730" customFormat="false" ht="15" hidden="false" customHeight="true" outlineLevel="0" collapsed="false">
      <c r="A730" s="14"/>
      <c r="B730" s="10"/>
      <c r="C730" s="18" t="str">
        <f aca="false">IF($B730="","",IFERROR(INDEX(대상목록!$C$3:$C$302,MATCH($B730,대상목록!$A$3:$A$302,0)),""))</f>
        <v/>
      </c>
      <c r="D730" s="10"/>
      <c r="E730" s="10"/>
      <c r="F730" s="19"/>
      <c r="G730" s="10"/>
    </row>
    <row r="731" customFormat="false" ht="15" hidden="false" customHeight="true" outlineLevel="0" collapsed="false">
      <c r="A731" s="14"/>
      <c r="B731" s="10"/>
      <c r="C731" s="18" t="str">
        <f aca="false">IF($B731="","",IFERROR(INDEX(대상목록!$C$3:$C$302,MATCH($B731,대상목록!$A$3:$A$302,0)),""))</f>
        <v/>
      </c>
      <c r="D731" s="10"/>
      <c r="E731" s="10"/>
      <c r="F731" s="19"/>
      <c r="G731" s="10"/>
    </row>
    <row r="732" customFormat="false" ht="15" hidden="false" customHeight="true" outlineLevel="0" collapsed="false">
      <c r="A732" s="14"/>
      <c r="B732" s="10"/>
      <c r="C732" s="18" t="str">
        <f aca="false">IF($B732="","",IFERROR(INDEX(대상목록!$C$3:$C$302,MATCH($B732,대상목록!$A$3:$A$302,0)),""))</f>
        <v/>
      </c>
      <c r="D732" s="10"/>
      <c r="E732" s="10"/>
      <c r="F732" s="19"/>
      <c r="G732" s="10"/>
    </row>
    <row r="733" customFormat="false" ht="15" hidden="false" customHeight="true" outlineLevel="0" collapsed="false">
      <c r="A733" s="14"/>
      <c r="B733" s="10"/>
      <c r="C733" s="18" t="str">
        <f aca="false">IF($B733="","",IFERROR(INDEX(대상목록!$C$3:$C$302,MATCH($B733,대상목록!$A$3:$A$302,0)),""))</f>
        <v/>
      </c>
      <c r="D733" s="10"/>
      <c r="E733" s="10"/>
      <c r="F733" s="19"/>
      <c r="G733" s="10"/>
    </row>
    <row r="734" customFormat="false" ht="15" hidden="false" customHeight="true" outlineLevel="0" collapsed="false">
      <c r="A734" s="14"/>
      <c r="B734" s="10"/>
      <c r="C734" s="18" t="str">
        <f aca="false">IF($B734="","",IFERROR(INDEX(대상목록!$C$3:$C$302,MATCH($B734,대상목록!$A$3:$A$302,0)),""))</f>
        <v/>
      </c>
      <c r="D734" s="10"/>
      <c r="E734" s="10"/>
      <c r="F734" s="19"/>
      <c r="G734" s="10"/>
    </row>
    <row r="735" customFormat="false" ht="15" hidden="false" customHeight="true" outlineLevel="0" collapsed="false">
      <c r="A735" s="14"/>
      <c r="B735" s="10"/>
      <c r="C735" s="18" t="str">
        <f aca="false">IF($B735="","",IFERROR(INDEX(대상목록!$C$3:$C$302,MATCH($B735,대상목록!$A$3:$A$302,0)),""))</f>
        <v/>
      </c>
      <c r="D735" s="10"/>
      <c r="E735" s="10"/>
      <c r="F735" s="19"/>
      <c r="G735" s="10"/>
    </row>
    <row r="736" customFormat="false" ht="15" hidden="false" customHeight="true" outlineLevel="0" collapsed="false">
      <c r="A736" s="14"/>
      <c r="B736" s="10"/>
      <c r="C736" s="18" t="str">
        <f aca="false">IF($B736="","",IFERROR(INDEX(대상목록!$C$3:$C$302,MATCH($B736,대상목록!$A$3:$A$302,0)),""))</f>
        <v/>
      </c>
      <c r="D736" s="10"/>
      <c r="E736" s="10"/>
      <c r="F736" s="19"/>
      <c r="G736" s="10"/>
    </row>
    <row r="737" customFormat="false" ht="15" hidden="false" customHeight="true" outlineLevel="0" collapsed="false">
      <c r="A737" s="14"/>
      <c r="B737" s="10"/>
      <c r="C737" s="18" t="str">
        <f aca="false">IF($B737="","",IFERROR(INDEX(대상목록!$C$3:$C$302,MATCH($B737,대상목록!$A$3:$A$302,0)),""))</f>
        <v/>
      </c>
      <c r="D737" s="10"/>
      <c r="E737" s="10"/>
      <c r="F737" s="19"/>
      <c r="G737" s="10"/>
    </row>
    <row r="738" customFormat="false" ht="15" hidden="false" customHeight="true" outlineLevel="0" collapsed="false">
      <c r="A738" s="14"/>
      <c r="B738" s="10"/>
      <c r="C738" s="18" t="str">
        <f aca="false">IF($B738="","",IFERROR(INDEX(대상목록!$C$3:$C$302,MATCH($B738,대상목록!$A$3:$A$302,0)),""))</f>
        <v/>
      </c>
      <c r="D738" s="10"/>
      <c r="E738" s="10"/>
      <c r="F738" s="19"/>
      <c r="G738" s="10"/>
    </row>
    <row r="739" customFormat="false" ht="15" hidden="false" customHeight="true" outlineLevel="0" collapsed="false">
      <c r="A739" s="14"/>
      <c r="B739" s="10"/>
      <c r="C739" s="18" t="str">
        <f aca="false">IF($B739="","",IFERROR(INDEX(대상목록!$C$3:$C$302,MATCH($B739,대상목록!$A$3:$A$302,0)),""))</f>
        <v/>
      </c>
      <c r="D739" s="10"/>
      <c r="E739" s="10"/>
      <c r="F739" s="19"/>
      <c r="G739" s="10"/>
    </row>
    <row r="740" customFormat="false" ht="15" hidden="false" customHeight="true" outlineLevel="0" collapsed="false">
      <c r="A740" s="14"/>
      <c r="B740" s="10"/>
      <c r="C740" s="18" t="str">
        <f aca="false">IF($B740="","",IFERROR(INDEX(대상목록!$C$3:$C$302,MATCH($B740,대상목록!$A$3:$A$302,0)),""))</f>
        <v/>
      </c>
      <c r="D740" s="10"/>
      <c r="E740" s="10"/>
      <c r="F740" s="19"/>
      <c r="G740" s="10"/>
    </row>
    <row r="741" customFormat="false" ht="15" hidden="false" customHeight="true" outlineLevel="0" collapsed="false">
      <c r="A741" s="14"/>
      <c r="B741" s="10"/>
      <c r="C741" s="18" t="str">
        <f aca="false">IF($B741="","",IFERROR(INDEX(대상목록!$C$3:$C$302,MATCH($B741,대상목록!$A$3:$A$302,0)),""))</f>
        <v/>
      </c>
      <c r="D741" s="10"/>
      <c r="E741" s="10"/>
      <c r="F741" s="19"/>
      <c r="G741" s="10"/>
    </row>
    <row r="742" customFormat="false" ht="15" hidden="false" customHeight="true" outlineLevel="0" collapsed="false">
      <c r="A742" s="14"/>
      <c r="B742" s="10"/>
      <c r="C742" s="18" t="str">
        <f aca="false">IF($B742="","",IFERROR(INDEX(대상목록!$C$3:$C$302,MATCH($B742,대상목록!$A$3:$A$302,0)),""))</f>
        <v/>
      </c>
      <c r="D742" s="10"/>
      <c r="E742" s="10"/>
      <c r="F742" s="19"/>
      <c r="G742" s="10"/>
    </row>
    <row r="743" customFormat="false" ht="15" hidden="false" customHeight="true" outlineLevel="0" collapsed="false">
      <c r="A743" s="14"/>
      <c r="B743" s="10"/>
      <c r="C743" s="18" t="str">
        <f aca="false">IF($B743="","",IFERROR(INDEX(대상목록!$C$3:$C$302,MATCH($B743,대상목록!$A$3:$A$302,0)),""))</f>
        <v/>
      </c>
      <c r="D743" s="10"/>
      <c r="E743" s="10"/>
      <c r="F743" s="19"/>
      <c r="G743" s="10"/>
    </row>
    <row r="744" customFormat="false" ht="15" hidden="false" customHeight="true" outlineLevel="0" collapsed="false">
      <c r="A744" s="14"/>
      <c r="B744" s="10"/>
      <c r="C744" s="18" t="str">
        <f aca="false">IF($B744="","",IFERROR(INDEX(대상목록!$C$3:$C$302,MATCH($B744,대상목록!$A$3:$A$302,0)),""))</f>
        <v/>
      </c>
      <c r="D744" s="10"/>
      <c r="E744" s="10"/>
      <c r="F744" s="19"/>
      <c r="G744" s="10"/>
    </row>
    <row r="745" customFormat="false" ht="15" hidden="false" customHeight="true" outlineLevel="0" collapsed="false">
      <c r="A745" s="14"/>
      <c r="B745" s="10"/>
      <c r="C745" s="18" t="str">
        <f aca="false">IF($B745="","",IFERROR(INDEX(대상목록!$C$3:$C$302,MATCH($B745,대상목록!$A$3:$A$302,0)),""))</f>
        <v/>
      </c>
      <c r="D745" s="10"/>
      <c r="E745" s="10"/>
      <c r="F745" s="19"/>
      <c r="G745" s="10"/>
    </row>
    <row r="746" customFormat="false" ht="15" hidden="false" customHeight="true" outlineLevel="0" collapsed="false">
      <c r="A746" s="14"/>
      <c r="B746" s="10"/>
      <c r="C746" s="18" t="str">
        <f aca="false">IF($B746="","",IFERROR(INDEX(대상목록!$C$3:$C$302,MATCH($B746,대상목록!$A$3:$A$302,0)),""))</f>
        <v/>
      </c>
      <c r="D746" s="10"/>
      <c r="E746" s="10"/>
      <c r="F746" s="19"/>
      <c r="G746" s="10"/>
    </row>
    <row r="747" customFormat="false" ht="15" hidden="false" customHeight="true" outlineLevel="0" collapsed="false">
      <c r="A747" s="14"/>
      <c r="B747" s="10"/>
      <c r="C747" s="18" t="str">
        <f aca="false">IF($B747="","",IFERROR(INDEX(대상목록!$C$3:$C$302,MATCH($B747,대상목록!$A$3:$A$302,0)),""))</f>
        <v/>
      </c>
      <c r="D747" s="10"/>
      <c r="E747" s="10"/>
      <c r="F747" s="19"/>
      <c r="G747" s="10"/>
    </row>
    <row r="748" customFormat="false" ht="15" hidden="false" customHeight="true" outlineLevel="0" collapsed="false">
      <c r="A748" s="14"/>
      <c r="B748" s="10"/>
      <c r="C748" s="18" t="str">
        <f aca="false">IF($B748="","",IFERROR(INDEX(대상목록!$C$3:$C$302,MATCH($B748,대상목록!$A$3:$A$302,0)),""))</f>
        <v/>
      </c>
      <c r="D748" s="10"/>
      <c r="E748" s="10"/>
      <c r="F748" s="19"/>
      <c r="G748" s="10"/>
    </row>
    <row r="749" customFormat="false" ht="15" hidden="false" customHeight="true" outlineLevel="0" collapsed="false">
      <c r="A749" s="14"/>
      <c r="B749" s="10"/>
      <c r="C749" s="18" t="str">
        <f aca="false">IF($B749="","",IFERROR(INDEX(대상목록!$C$3:$C$302,MATCH($B749,대상목록!$A$3:$A$302,0)),""))</f>
        <v/>
      </c>
      <c r="D749" s="10"/>
      <c r="E749" s="10"/>
      <c r="F749" s="19"/>
      <c r="G749" s="10"/>
    </row>
    <row r="750" customFormat="false" ht="15" hidden="false" customHeight="true" outlineLevel="0" collapsed="false">
      <c r="A750" s="14"/>
      <c r="B750" s="10"/>
      <c r="C750" s="18" t="str">
        <f aca="false">IF($B750="","",IFERROR(INDEX(대상목록!$C$3:$C$302,MATCH($B750,대상목록!$A$3:$A$302,0)),""))</f>
        <v/>
      </c>
      <c r="D750" s="10"/>
      <c r="E750" s="10"/>
      <c r="F750" s="19"/>
      <c r="G750" s="10"/>
    </row>
    <row r="751" customFormat="false" ht="15" hidden="false" customHeight="true" outlineLevel="0" collapsed="false">
      <c r="A751" s="14"/>
      <c r="B751" s="10"/>
      <c r="C751" s="18" t="str">
        <f aca="false">IF($B751="","",IFERROR(INDEX(대상목록!$C$3:$C$302,MATCH($B751,대상목록!$A$3:$A$302,0)),""))</f>
        <v/>
      </c>
      <c r="D751" s="10"/>
      <c r="E751" s="10"/>
      <c r="F751" s="19"/>
      <c r="G751" s="10"/>
    </row>
    <row r="752" customFormat="false" ht="15" hidden="false" customHeight="true" outlineLevel="0" collapsed="false">
      <c r="A752" s="14"/>
      <c r="B752" s="10"/>
      <c r="C752" s="18" t="str">
        <f aca="false">IF($B752="","",IFERROR(INDEX(대상목록!$C$3:$C$302,MATCH($B752,대상목록!$A$3:$A$302,0)),""))</f>
        <v/>
      </c>
      <c r="D752" s="10"/>
      <c r="E752" s="10"/>
      <c r="F752" s="19"/>
      <c r="G752" s="10"/>
    </row>
    <row r="753" customFormat="false" ht="15" hidden="false" customHeight="true" outlineLevel="0" collapsed="false">
      <c r="A753" s="14"/>
      <c r="B753" s="10"/>
      <c r="C753" s="18" t="str">
        <f aca="false">IF($B753="","",IFERROR(INDEX(대상목록!$C$3:$C$302,MATCH($B753,대상목록!$A$3:$A$302,0)),""))</f>
        <v/>
      </c>
      <c r="D753" s="10"/>
      <c r="E753" s="10"/>
      <c r="F753" s="19"/>
      <c r="G753" s="10"/>
    </row>
    <row r="754" customFormat="false" ht="15" hidden="false" customHeight="true" outlineLevel="0" collapsed="false">
      <c r="A754" s="14"/>
      <c r="B754" s="10"/>
      <c r="C754" s="18" t="str">
        <f aca="false">IF($B754="","",IFERROR(INDEX(대상목록!$C$3:$C$302,MATCH($B754,대상목록!$A$3:$A$302,0)),""))</f>
        <v/>
      </c>
      <c r="D754" s="10"/>
      <c r="E754" s="10"/>
      <c r="F754" s="19"/>
      <c r="G754" s="10"/>
    </row>
    <row r="755" customFormat="false" ht="15" hidden="false" customHeight="true" outlineLevel="0" collapsed="false">
      <c r="A755" s="14"/>
      <c r="B755" s="10"/>
      <c r="C755" s="18" t="str">
        <f aca="false">IF($B755="","",IFERROR(INDEX(대상목록!$C$3:$C$302,MATCH($B755,대상목록!$A$3:$A$302,0)),""))</f>
        <v/>
      </c>
      <c r="D755" s="10"/>
      <c r="E755" s="10"/>
      <c r="F755" s="19"/>
      <c r="G755" s="10"/>
    </row>
    <row r="756" customFormat="false" ht="15" hidden="false" customHeight="true" outlineLevel="0" collapsed="false">
      <c r="A756" s="14"/>
      <c r="B756" s="10"/>
      <c r="C756" s="18" t="str">
        <f aca="false">IF($B756="","",IFERROR(INDEX(대상목록!$C$3:$C$302,MATCH($B756,대상목록!$A$3:$A$302,0)),""))</f>
        <v/>
      </c>
      <c r="D756" s="10"/>
      <c r="E756" s="10"/>
      <c r="F756" s="19"/>
      <c r="G756" s="10"/>
    </row>
    <row r="757" customFormat="false" ht="15" hidden="false" customHeight="true" outlineLevel="0" collapsed="false">
      <c r="A757" s="14"/>
      <c r="B757" s="10"/>
      <c r="C757" s="18" t="str">
        <f aca="false">IF($B757="","",IFERROR(INDEX(대상목록!$C$3:$C$302,MATCH($B757,대상목록!$A$3:$A$302,0)),""))</f>
        <v/>
      </c>
      <c r="D757" s="10"/>
      <c r="E757" s="10"/>
      <c r="F757" s="19"/>
      <c r="G757" s="10"/>
    </row>
    <row r="758" customFormat="false" ht="15" hidden="false" customHeight="true" outlineLevel="0" collapsed="false">
      <c r="A758" s="14"/>
      <c r="B758" s="10"/>
      <c r="C758" s="18" t="str">
        <f aca="false">IF($B758="","",IFERROR(INDEX(대상목록!$C$3:$C$302,MATCH($B758,대상목록!$A$3:$A$302,0)),""))</f>
        <v/>
      </c>
      <c r="D758" s="10"/>
      <c r="E758" s="10"/>
      <c r="F758" s="19"/>
      <c r="G758" s="10"/>
    </row>
    <row r="759" customFormat="false" ht="15" hidden="false" customHeight="true" outlineLevel="0" collapsed="false">
      <c r="A759" s="14"/>
      <c r="B759" s="10"/>
      <c r="C759" s="18" t="str">
        <f aca="false">IF($B759="","",IFERROR(INDEX(대상목록!$C$3:$C$302,MATCH($B759,대상목록!$A$3:$A$302,0)),""))</f>
        <v/>
      </c>
      <c r="D759" s="10"/>
      <c r="E759" s="10"/>
      <c r="F759" s="19"/>
      <c r="G759" s="10"/>
    </row>
    <row r="760" customFormat="false" ht="15" hidden="false" customHeight="true" outlineLevel="0" collapsed="false">
      <c r="A760" s="14"/>
      <c r="B760" s="10"/>
      <c r="C760" s="18" t="str">
        <f aca="false">IF($B760="","",IFERROR(INDEX(대상목록!$C$3:$C$302,MATCH($B760,대상목록!$A$3:$A$302,0)),""))</f>
        <v/>
      </c>
      <c r="D760" s="10"/>
      <c r="E760" s="10"/>
      <c r="F760" s="19"/>
      <c r="G760" s="10"/>
    </row>
    <row r="761" customFormat="false" ht="15" hidden="false" customHeight="true" outlineLevel="0" collapsed="false">
      <c r="A761" s="14"/>
      <c r="B761" s="10"/>
      <c r="C761" s="18" t="str">
        <f aca="false">IF($B761="","",IFERROR(INDEX(대상목록!$C$3:$C$302,MATCH($B761,대상목록!$A$3:$A$302,0)),""))</f>
        <v/>
      </c>
      <c r="D761" s="10"/>
      <c r="E761" s="10"/>
      <c r="F761" s="19"/>
      <c r="G761" s="10"/>
    </row>
    <row r="762" customFormat="false" ht="15" hidden="false" customHeight="true" outlineLevel="0" collapsed="false">
      <c r="A762" s="14"/>
      <c r="B762" s="10"/>
      <c r="C762" s="18" t="str">
        <f aca="false">IF($B762="","",IFERROR(INDEX(대상목록!$C$3:$C$302,MATCH($B762,대상목록!$A$3:$A$302,0)),""))</f>
        <v/>
      </c>
      <c r="D762" s="10"/>
      <c r="E762" s="10"/>
      <c r="F762" s="19"/>
      <c r="G762" s="10"/>
    </row>
    <row r="763" customFormat="false" ht="15" hidden="false" customHeight="true" outlineLevel="0" collapsed="false">
      <c r="A763" s="14"/>
      <c r="B763" s="10"/>
      <c r="C763" s="18" t="str">
        <f aca="false">IF($B763="","",IFERROR(INDEX(대상목록!$C$3:$C$302,MATCH($B763,대상목록!$A$3:$A$302,0)),""))</f>
        <v/>
      </c>
      <c r="D763" s="10"/>
      <c r="E763" s="10"/>
      <c r="F763" s="19"/>
      <c r="G763" s="10"/>
    </row>
    <row r="764" customFormat="false" ht="15" hidden="false" customHeight="true" outlineLevel="0" collapsed="false">
      <c r="A764" s="14"/>
      <c r="B764" s="10"/>
      <c r="C764" s="18" t="str">
        <f aca="false">IF($B764="","",IFERROR(INDEX(대상목록!$C$3:$C$302,MATCH($B764,대상목록!$A$3:$A$302,0)),""))</f>
        <v/>
      </c>
      <c r="D764" s="10"/>
      <c r="E764" s="10"/>
      <c r="F764" s="19"/>
      <c r="G764" s="10"/>
    </row>
    <row r="765" customFormat="false" ht="15" hidden="false" customHeight="true" outlineLevel="0" collapsed="false">
      <c r="A765" s="14"/>
      <c r="B765" s="10"/>
      <c r="C765" s="18" t="str">
        <f aca="false">IF($B765="","",IFERROR(INDEX(대상목록!$C$3:$C$302,MATCH($B765,대상목록!$A$3:$A$302,0)),""))</f>
        <v/>
      </c>
      <c r="D765" s="10"/>
      <c r="E765" s="10"/>
      <c r="F765" s="19"/>
      <c r="G765" s="10"/>
    </row>
    <row r="766" customFormat="false" ht="15" hidden="false" customHeight="true" outlineLevel="0" collapsed="false">
      <c r="A766" s="14"/>
      <c r="B766" s="10"/>
      <c r="C766" s="18" t="str">
        <f aca="false">IF($B766="","",IFERROR(INDEX(대상목록!$C$3:$C$302,MATCH($B766,대상목록!$A$3:$A$302,0)),""))</f>
        <v/>
      </c>
      <c r="D766" s="10"/>
      <c r="E766" s="10"/>
      <c r="F766" s="19"/>
      <c r="G766" s="10"/>
    </row>
    <row r="767" customFormat="false" ht="15" hidden="false" customHeight="true" outlineLevel="0" collapsed="false">
      <c r="A767" s="14"/>
      <c r="B767" s="10"/>
      <c r="C767" s="18" t="str">
        <f aca="false">IF($B767="","",IFERROR(INDEX(대상목록!$C$3:$C$302,MATCH($B767,대상목록!$A$3:$A$302,0)),""))</f>
        <v/>
      </c>
      <c r="D767" s="10"/>
      <c r="E767" s="10"/>
      <c r="F767" s="19"/>
      <c r="G767" s="10"/>
    </row>
    <row r="768" customFormat="false" ht="15" hidden="false" customHeight="true" outlineLevel="0" collapsed="false">
      <c r="A768" s="14"/>
      <c r="B768" s="10"/>
      <c r="C768" s="18" t="str">
        <f aca="false">IF($B768="","",IFERROR(INDEX(대상목록!$C$3:$C$302,MATCH($B768,대상목록!$A$3:$A$302,0)),""))</f>
        <v/>
      </c>
      <c r="D768" s="10"/>
      <c r="E768" s="10"/>
      <c r="F768" s="19"/>
      <c r="G768" s="10"/>
    </row>
    <row r="769" customFormat="false" ht="15" hidden="false" customHeight="true" outlineLevel="0" collapsed="false">
      <c r="A769" s="14"/>
      <c r="B769" s="10"/>
      <c r="C769" s="18" t="str">
        <f aca="false">IF($B769="","",IFERROR(INDEX(대상목록!$C$3:$C$302,MATCH($B769,대상목록!$A$3:$A$302,0)),""))</f>
        <v/>
      </c>
      <c r="D769" s="10"/>
      <c r="E769" s="10"/>
      <c r="F769" s="19"/>
      <c r="G769" s="10"/>
    </row>
    <row r="770" customFormat="false" ht="15" hidden="false" customHeight="true" outlineLevel="0" collapsed="false">
      <c r="A770" s="14"/>
      <c r="B770" s="10"/>
      <c r="C770" s="18" t="str">
        <f aca="false">IF($B770="","",IFERROR(INDEX(대상목록!$C$3:$C$302,MATCH($B770,대상목록!$A$3:$A$302,0)),""))</f>
        <v/>
      </c>
      <c r="D770" s="10"/>
      <c r="E770" s="10"/>
      <c r="F770" s="19"/>
      <c r="G770" s="10"/>
    </row>
    <row r="771" customFormat="false" ht="15" hidden="false" customHeight="true" outlineLevel="0" collapsed="false">
      <c r="A771" s="14"/>
      <c r="B771" s="10"/>
      <c r="C771" s="18" t="str">
        <f aca="false">IF($B771="","",IFERROR(INDEX(대상목록!$C$3:$C$302,MATCH($B771,대상목록!$A$3:$A$302,0)),""))</f>
        <v/>
      </c>
      <c r="D771" s="10"/>
      <c r="E771" s="10"/>
      <c r="F771" s="19"/>
      <c r="G771" s="10"/>
    </row>
    <row r="772" customFormat="false" ht="15" hidden="false" customHeight="true" outlineLevel="0" collapsed="false">
      <c r="A772" s="14"/>
      <c r="B772" s="10"/>
      <c r="C772" s="18" t="str">
        <f aca="false">IF($B772="","",IFERROR(INDEX(대상목록!$C$3:$C$302,MATCH($B772,대상목록!$A$3:$A$302,0)),""))</f>
        <v/>
      </c>
      <c r="D772" s="10"/>
      <c r="E772" s="10"/>
      <c r="F772" s="19"/>
      <c r="G772" s="10"/>
    </row>
    <row r="773" customFormat="false" ht="15" hidden="false" customHeight="true" outlineLevel="0" collapsed="false">
      <c r="A773" s="14"/>
      <c r="B773" s="10"/>
      <c r="C773" s="18" t="str">
        <f aca="false">IF($B773="","",IFERROR(INDEX(대상목록!$C$3:$C$302,MATCH($B773,대상목록!$A$3:$A$302,0)),""))</f>
        <v/>
      </c>
      <c r="D773" s="10"/>
      <c r="E773" s="10"/>
      <c r="F773" s="19"/>
      <c r="G773" s="10"/>
    </row>
    <row r="774" customFormat="false" ht="15" hidden="false" customHeight="true" outlineLevel="0" collapsed="false">
      <c r="A774" s="14"/>
      <c r="B774" s="10"/>
      <c r="C774" s="18" t="str">
        <f aca="false">IF($B774="","",IFERROR(INDEX(대상목록!$C$3:$C$302,MATCH($B774,대상목록!$A$3:$A$302,0)),""))</f>
        <v/>
      </c>
      <c r="D774" s="10"/>
      <c r="E774" s="10"/>
      <c r="F774" s="19"/>
      <c r="G774" s="10"/>
    </row>
    <row r="775" customFormat="false" ht="15" hidden="false" customHeight="true" outlineLevel="0" collapsed="false">
      <c r="A775" s="14"/>
      <c r="B775" s="10"/>
      <c r="C775" s="18" t="str">
        <f aca="false">IF($B775="","",IFERROR(INDEX(대상목록!$C$3:$C$302,MATCH($B775,대상목록!$A$3:$A$302,0)),""))</f>
        <v/>
      </c>
      <c r="D775" s="10"/>
      <c r="E775" s="10"/>
      <c r="F775" s="19"/>
      <c r="G775" s="10"/>
    </row>
    <row r="776" customFormat="false" ht="15" hidden="false" customHeight="true" outlineLevel="0" collapsed="false">
      <c r="A776" s="14"/>
      <c r="B776" s="10"/>
      <c r="C776" s="18" t="str">
        <f aca="false">IF($B776="","",IFERROR(INDEX(대상목록!$C$3:$C$302,MATCH($B776,대상목록!$A$3:$A$302,0)),""))</f>
        <v/>
      </c>
      <c r="D776" s="10"/>
      <c r="E776" s="10"/>
      <c r="F776" s="19"/>
      <c r="G776" s="10"/>
    </row>
    <row r="777" customFormat="false" ht="15" hidden="false" customHeight="true" outlineLevel="0" collapsed="false">
      <c r="A777" s="14"/>
      <c r="B777" s="10"/>
      <c r="C777" s="18" t="str">
        <f aca="false">IF($B777="","",IFERROR(INDEX(대상목록!$C$3:$C$302,MATCH($B777,대상목록!$A$3:$A$302,0)),""))</f>
        <v/>
      </c>
      <c r="D777" s="10"/>
      <c r="E777" s="10"/>
      <c r="F777" s="19"/>
      <c r="G777" s="10"/>
    </row>
    <row r="778" customFormat="false" ht="15" hidden="false" customHeight="true" outlineLevel="0" collapsed="false">
      <c r="A778" s="14"/>
      <c r="B778" s="10"/>
      <c r="C778" s="18" t="str">
        <f aca="false">IF($B778="","",IFERROR(INDEX(대상목록!$C$3:$C$302,MATCH($B778,대상목록!$A$3:$A$302,0)),""))</f>
        <v/>
      </c>
      <c r="D778" s="10"/>
      <c r="E778" s="10"/>
      <c r="F778" s="19"/>
      <c r="G778" s="10"/>
    </row>
    <row r="779" customFormat="false" ht="15" hidden="false" customHeight="true" outlineLevel="0" collapsed="false">
      <c r="A779" s="14"/>
      <c r="B779" s="10"/>
      <c r="C779" s="18" t="str">
        <f aca="false">IF($B779="","",IFERROR(INDEX(대상목록!$C$3:$C$302,MATCH($B779,대상목록!$A$3:$A$302,0)),""))</f>
        <v/>
      </c>
      <c r="D779" s="10"/>
      <c r="E779" s="10"/>
      <c r="F779" s="19"/>
      <c r="G779" s="10"/>
    </row>
    <row r="780" customFormat="false" ht="15" hidden="false" customHeight="true" outlineLevel="0" collapsed="false">
      <c r="A780" s="14"/>
      <c r="B780" s="10"/>
      <c r="C780" s="18" t="str">
        <f aca="false">IF($B780="","",IFERROR(INDEX(대상목록!$C$3:$C$302,MATCH($B780,대상목록!$A$3:$A$302,0)),""))</f>
        <v/>
      </c>
      <c r="D780" s="10"/>
      <c r="E780" s="10"/>
      <c r="F780" s="19"/>
      <c r="G780" s="10"/>
    </row>
    <row r="781" customFormat="false" ht="15" hidden="false" customHeight="true" outlineLevel="0" collapsed="false">
      <c r="A781" s="14"/>
      <c r="B781" s="10"/>
      <c r="C781" s="18" t="str">
        <f aca="false">IF($B781="","",IFERROR(INDEX(대상목록!$C$3:$C$302,MATCH($B781,대상목록!$A$3:$A$302,0)),""))</f>
        <v/>
      </c>
      <c r="D781" s="10"/>
      <c r="E781" s="10"/>
      <c r="F781" s="19"/>
      <c r="G781" s="10"/>
    </row>
    <row r="782" customFormat="false" ht="15" hidden="false" customHeight="true" outlineLevel="0" collapsed="false">
      <c r="A782" s="14"/>
      <c r="B782" s="10"/>
      <c r="C782" s="18" t="str">
        <f aca="false">IF($B782="","",IFERROR(INDEX(대상목록!$C$3:$C$302,MATCH($B782,대상목록!$A$3:$A$302,0)),""))</f>
        <v/>
      </c>
      <c r="D782" s="10"/>
      <c r="E782" s="10"/>
      <c r="F782" s="19"/>
      <c r="G782" s="10"/>
    </row>
    <row r="783" customFormat="false" ht="15" hidden="false" customHeight="true" outlineLevel="0" collapsed="false">
      <c r="A783" s="14"/>
      <c r="B783" s="10"/>
      <c r="C783" s="18" t="str">
        <f aca="false">IF($B783="","",IFERROR(INDEX(대상목록!$C$3:$C$302,MATCH($B783,대상목록!$A$3:$A$302,0)),""))</f>
        <v/>
      </c>
      <c r="D783" s="10"/>
      <c r="E783" s="10"/>
      <c r="F783" s="19"/>
      <c r="G783" s="10"/>
    </row>
    <row r="784" customFormat="false" ht="15" hidden="false" customHeight="true" outlineLevel="0" collapsed="false">
      <c r="A784" s="14"/>
      <c r="B784" s="10"/>
      <c r="C784" s="18" t="str">
        <f aca="false">IF($B784="","",IFERROR(INDEX(대상목록!$C$3:$C$302,MATCH($B784,대상목록!$A$3:$A$302,0)),""))</f>
        <v/>
      </c>
      <c r="D784" s="10"/>
      <c r="E784" s="10"/>
      <c r="F784" s="19"/>
      <c r="G784" s="10"/>
    </row>
    <row r="785" customFormat="false" ht="15" hidden="false" customHeight="true" outlineLevel="0" collapsed="false">
      <c r="A785" s="14"/>
      <c r="B785" s="10"/>
      <c r="C785" s="18" t="str">
        <f aca="false">IF($B785="","",IFERROR(INDEX(대상목록!$C$3:$C$302,MATCH($B785,대상목록!$A$3:$A$302,0)),""))</f>
        <v/>
      </c>
      <c r="D785" s="10"/>
      <c r="E785" s="10"/>
      <c r="F785" s="19"/>
      <c r="G785" s="10"/>
    </row>
    <row r="786" customFormat="false" ht="15" hidden="false" customHeight="true" outlineLevel="0" collapsed="false">
      <c r="A786" s="14"/>
      <c r="B786" s="10"/>
      <c r="C786" s="18" t="str">
        <f aca="false">IF($B786="","",IFERROR(INDEX(대상목록!$C$3:$C$302,MATCH($B786,대상목록!$A$3:$A$302,0)),""))</f>
        <v/>
      </c>
      <c r="D786" s="10"/>
      <c r="E786" s="10"/>
      <c r="F786" s="19"/>
      <c r="G786" s="10"/>
    </row>
    <row r="787" customFormat="false" ht="15" hidden="false" customHeight="true" outlineLevel="0" collapsed="false">
      <c r="A787" s="14"/>
      <c r="B787" s="10"/>
      <c r="C787" s="18" t="str">
        <f aca="false">IF($B787="","",IFERROR(INDEX(대상목록!$C$3:$C$302,MATCH($B787,대상목록!$A$3:$A$302,0)),""))</f>
        <v/>
      </c>
      <c r="D787" s="10"/>
      <c r="E787" s="10"/>
      <c r="F787" s="19"/>
      <c r="G787" s="10"/>
    </row>
    <row r="788" customFormat="false" ht="15" hidden="false" customHeight="true" outlineLevel="0" collapsed="false">
      <c r="A788" s="14"/>
      <c r="B788" s="10"/>
      <c r="C788" s="18" t="str">
        <f aca="false">IF($B788="","",IFERROR(INDEX(대상목록!$C$3:$C$302,MATCH($B788,대상목록!$A$3:$A$302,0)),""))</f>
        <v/>
      </c>
      <c r="D788" s="10"/>
      <c r="E788" s="10"/>
      <c r="F788" s="19"/>
      <c r="G788" s="10"/>
    </row>
    <row r="789" customFormat="false" ht="15" hidden="false" customHeight="true" outlineLevel="0" collapsed="false">
      <c r="A789" s="14"/>
      <c r="B789" s="10"/>
      <c r="C789" s="18" t="str">
        <f aca="false">IF($B789="","",IFERROR(INDEX(대상목록!$C$3:$C$302,MATCH($B789,대상목록!$A$3:$A$302,0)),""))</f>
        <v/>
      </c>
      <c r="D789" s="10"/>
      <c r="E789" s="10"/>
      <c r="F789" s="19"/>
      <c r="G789" s="10"/>
    </row>
    <row r="790" customFormat="false" ht="15" hidden="false" customHeight="true" outlineLevel="0" collapsed="false">
      <c r="A790" s="14"/>
      <c r="B790" s="10"/>
      <c r="C790" s="18" t="str">
        <f aca="false">IF($B790="","",IFERROR(INDEX(대상목록!$C$3:$C$302,MATCH($B790,대상목록!$A$3:$A$302,0)),""))</f>
        <v/>
      </c>
      <c r="D790" s="10"/>
      <c r="E790" s="10"/>
      <c r="F790" s="19"/>
      <c r="G790" s="10"/>
    </row>
    <row r="791" customFormat="false" ht="15" hidden="false" customHeight="true" outlineLevel="0" collapsed="false">
      <c r="A791" s="14"/>
      <c r="B791" s="10"/>
      <c r="C791" s="18" t="str">
        <f aca="false">IF($B791="","",IFERROR(INDEX(대상목록!$C$3:$C$302,MATCH($B791,대상목록!$A$3:$A$302,0)),""))</f>
        <v/>
      </c>
      <c r="D791" s="10"/>
      <c r="E791" s="10"/>
      <c r="F791" s="19"/>
      <c r="G791" s="10"/>
    </row>
    <row r="792" customFormat="false" ht="15" hidden="false" customHeight="true" outlineLevel="0" collapsed="false">
      <c r="A792" s="14"/>
      <c r="B792" s="10"/>
      <c r="C792" s="18" t="str">
        <f aca="false">IF($B792="","",IFERROR(INDEX(대상목록!$C$3:$C$302,MATCH($B792,대상목록!$A$3:$A$302,0)),""))</f>
        <v/>
      </c>
      <c r="D792" s="10"/>
      <c r="E792" s="10"/>
      <c r="F792" s="19"/>
      <c r="G792" s="10"/>
    </row>
    <row r="793" customFormat="false" ht="15" hidden="false" customHeight="true" outlineLevel="0" collapsed="false">
      <c r="A793" s="14"/>
      <c r="B793" s="10"/>
      <c r="C793" s="18" t="str">
        <f aca="false">IF($B793="","",IFERROR(INDEX(대상목록!$C$3:$C$302,MATCH($B793,대상목록!$A$3:$A$302,0)),""))</f>
        <v/>
      </c>
      <c r="D793" s="10"/>
      <c r="E793" s="10"/>
      <c r="F793" s="19"/>
      <c r="G793" s="10"/>
    </row>
    <row r="794" customFormat="false" ht="15" hidden="false" customHeight="true" outlineLevel="0" collapsed="false">
      <c r="A794" s="14"/>
      <c r="B794" s="10"/>
      <c r="C794" s="18" t="str">
        <f aca="false">IF($B794="","",IFERROR(INDEX(대상목록!$C$3:$C$302,MATCH($B794,대상목록!$A$3:$A$302,0)),""))</f>
        <v/>
      </c>
      <c r="D794" s="10"/>
      <c r="E794" s="10"/>
      <c r="F794" s="19"/>
      <c r="G794" s="10"/>
    </row>
    <row r="795" customFormat="false" ht="15" hidden="false" customHeight="true" outlineLevel="0" collapsed="false">
      <c r="A795" s="14"/>
      <c r="B795" s="10"/>
      <c r="C795" s="18" t="str">
        <f aca="false">IF($B795="","",IFERROR(INDEX(대상목록!$C$3:$C$302,MATCH($B795,대상목록!$A$3:$A$302,0)),""))</f>
        <v/>
      </c>
      <c r="D795" s="10"/>
      <c r="E795" s="10"/>
      <c r="F795" s="19"/>
      <c r="G795" s="10"/>
    </row>
    <row r="796" customFormat="false" ht="15" hidden="false" customHeight="true" outlineLevel="0" collapsed="false">
      <c r="A796" s="14"/>
      <c r="B796" s="10"/>
      <c r="C796" s="18" t="str">
        <f aca="false">IF($B796="","",IFERROR(INDEX(대상목록!$C$3:$C$302,MATCH($B796,대상목록!$A$3:$A$302,0)),""))</f>
        <v/>
      </c>
      <c r="D796" s="10"/>
      <c r="E796" s="10"/>
      <c r="F796" s="19"/>
      <c r="G796" s="10"/>
    </row>
    <row r="797" customFormat="false" ht="15" hidden="false" customHeight="true" outlineLevel="0" collapsed="false">
      <c r="A797" s="14"/>
      <c r="B797" s="10"/>
      <c r="C797" s="18" t="str">
        <f aca="false">IF($B797="","",IFERROR(INDEX(대상목록!$C$3:$C$302,MATCH($B797,대상목록!$A$3:$A$302,0)),""))</f>
        <v/>
      </c>
      <c r="D797" s="10"/>
      <c r="E797" s="10"/>
      <c r="F797" s="19"/>
      <c r="G797" s="10"/>
    </row>
    <row r="798" customFormat="false" ht="15" hidden="false" customHeight="true" outlineLevel="0" collapsed="false">
      <c r="A798" s="14"/>
      <c r="B798" s="10"/>
      <c r="C798" s="18" t="str">
        <f aca="false">IF($B798="","",IFERROR(INDEX(대상목록!$C$3:$C$302,MATCH($B798,대상목록!$A$3:$A$302,0)),""))</f>
        <v/>
      </c>
      <c r="D798" s="10"/>
      <c r="E798" s="10"/>
      <c r="F798" s="19"/>
      <c r="G798" s="10"/>
    </row>
    <row r="799" customFormat="false" ht="15" hidden="false" customHeight="true" outlineLevel="0" collapsed="false">
      <c r="A799" s="14"/>
      <c r="B799" s="10"/>
      <c r="C799" s="18" t="str">
        <f aca="false">IF($B799="","",IFERROR(INDEX(대상목록!$C$3:$C$302,MATCH($B799,대상목록!$A$3:$A$302,0)),""))</f>
        <v/>
      </c>
      <c r="D799" s="10"/>
      <c r="E799" s="10"/>
      <c r="F799" s="19"/>
      <c r="G799" s="10"/>
    </row>
    <row r="800" customFormat="false" ht="15" hidden="false" customHeight="true" outlineLevel="0" collapsed="false">
      <c r="A800" s="14"/>
      <c r="B800" s="10"/>
      <c r="C800" s="18" t="str">
        <f aca="false">IF($B800="","",IFERROR(INDEX(대상목록!$C$3:$C$302,MATCH($B800,대상목록!$A$3:$A$302,0)),""))</f>
        <v/>
      </c>
      <c r="D800" s="10"/>
      <c r="E800" s="10"/>
      <c r="F800" s="19"/>
      <c r="G800" s="10"/>
    </row>
    <row r="801" customFormat="false" ht="15" hidden="false" customHeight="true" outlineLevel="0" collapsed="false">
      <c r="A801" s="14"/>
      <c r="B801" s="10"/>
      <c r="C801" s="18" t="str">
        <f aca="false">IF($B801="","",IFERROR(INDEX(대상목록!$C$3:$C$302,MATCH($B801,대상목록!$A$3:$A$302,0)),""))</f>
        <v/>
      </c>
      <c r="D801" s="10"/>
      <c r="E801" s="10"/>
      <c r="F801" s="19"/>
      <c r="G801" s="10"/>
    </row>
    <row r="802" customFormat="false" ht="15" hidden="false" customHeight="true" outlineLevel="0" collapsed="false">
      <c r="A802" s="14"/>
      <c r="B802" s="10"/>
      <c r="C802" s="18" t="str">
        <f aca="false">IF($B802="","",IFERROR(INDEX(대상목록!$C$3:$C$302,MATCH($B802,대상목록!$A$3:$A$302,0)),""))</f>
        <v/>
      </c>
      <c r="D802" s="10"/>
      <c r="E802" s="10"/>
      <c r="F802" s="19"/>
      <c r="G802" s="10"/>
    </row>
    <row r="803" customFormat="false" ht="15" hidden="false" customHeight="true" outlineLevel="0" collapsed="false">
      <c r="A803" s="14"/>
      <c r="B803" s="10"/>
      <c r="C803" s="18" t="str">
        <f aca="false">IF($B803="","",IFERROR(INDEX(대상목록!$C$3:$C$302,MATCH($B803,대상목록!$A$3:$A$302,0)),""))</f>
        <v/>
      </c>
      <c r="D803" s="10"/>
      <c r="E803" s="10"/>
      <c r="F803" s="19"/>
      <c r="G803" s="10"/>
    </row>
    <row r="804" customFormat="false" ht="15" hidden="false" customHeight="true" outlineLevel="0" collapsed="false">
      <c r="A804" s="14"/>
      <c r="B804" s="10"/>
      <c r="C804" s="18" t="str">
        <f aca="false">IF($B804="","",IFERROR(INDEX(대상목록!$C$3:$C$302,MATCH($B804,대상목록!$A$3:$A$302,0)),""))</f>
        <v/>
      </c>
      <c r="D804" s="10"/>
      <c r="E804" s="10"/>
      <c r="F804" s="19"/>
      <c r="G804" s="10"/>
    </row>
    <row r="805" customFormat="false" ht="15" hidden="false" customHeight="true" outlineLevel="0" collapsed="false">
      <c r="A805" s="14"/>
      <c r="B805" s="10"/>
      <c r="C805" s="18" t="str">
        <f aca="false">IF($B805="","",IFERROR(INDEX(대상목록!$C$3:$C$302,MATCH($B805,대상목록!$A$3:$A$302,0)),""))</f>
        <v/>
      </c>
      <c r="D805" s="10"/>
      <c r="E805" s="10"/>
      <c r="F805" s="19"/>
      <c r="G805" s="10"/>
    </row>
    <row r="806" customFormat="false" ht="15" hidden="false" customHeight="true" outlineLevel="0" collapsed="false">
      <c r="A806" s="14"/>
      <c r="B806" s="10"/>
      <c r="C806" s="18" t="str">
        <f aca="false">IF($B806="","",IFERROR(INDEX(대상목록!$C$3:$C$302,MATCH($B806,대상목록!$A$3:$A$302,0)),""))</f>
        <v/>
      </c>
      <c r="D806" s="10"/>
      <c r="E806" s="10"/>
      <c r="F806" s="19"/>
      <c r="G806" s="10"/>
    </row>
    <row r="807" customFormat="false" ht="15" hidden="false" customHeight="true" outlineLevel="0" collapsed="false">
      <c r="A807" s="14"/>
      <c r="B807" s="10"/>
      <c r="C807" s="18" t="str">
        <f aca="false">IF($B807="","",IFERROR(INDEX(대상목록!$C$3:$C$302,MATCH($B807,대상목록!$A$3:$A$302,0)),""))</f>
        <v/>
      </c>
      <c r="D807" s="10"/>
      <c r="E807" s="10"/>
      <c r="F807" s="19"/>
      <c r="G807" s="10"/>
    </row>
    <row r="808" customFormat="false" ht="15" hidden="false" customHeight="true" outlineLevel="0" collapsed="false">
      <c r="A808" s="14"/>
      <c r="B808" s="10"/>
      <c r="C808" s="18" t="str">
        <f aca="false">IF($B808="","",IFERROR(INDEX(대상목록!$C$3:$C$302,MATCH($B808,대상목록!$A$3:$A$302,0)),""))</f>
        <v/>
      </c>
      <c r="D808" s="10"/>
      <c r="E808" s="10"/>
      <c r="F808" s="19"/>
      <c r="G808" s="10"/>
    </row>
    <row r="809" customFormat="false" ht="15" hidden="false" customHeight="true" outlineLevel="0" collapsed="false">
      <c r="A809" s="14"/>
      <c r="B809" s="10"/>
      <c r="C809" s="18" t="str">
        <f aca="false">IF($B809="","",IFERROR(INDEX(대상목록!$C$3:$C$302,MATCH($B809,대상목록!$A$3:$A$302,0)),""))</f>
        <v/>
      </c>
      <c r="D809" s="10"/>
      <c r="E809" s="10"/>
      <c r="F809" s="19"/>
      <c r="G809" s="10"/>
    </row>
    <row r="810" customFormat="false" ht="15" hidden="false" customHeight="true" outlineLevel="0" collapsed="false">
      <c r="A810" s="14"/>
      <c r="B810" s="10"/>
      <c r="C810" s="18" t="str">
        <f aca="false">IF($B810="","",IFERROR(INDEX(대상목록!$C$3:$C$302,MATCH($B810,대상목록!$A$3:$A$302,0)),""))</f>
        <v/>
      </c>
      <c r="D810" s="10"/>
      <c r="E810" s="10"/>
      <c r="F810" s="19"/>
      <c r="G810" s="10"/>
    </row>
    <row r="811" customFormat="false" ht="15" hidden="false" customHeight="true" outlineLevel="0" collapsed="false">
      <c r="A811" s="14"/>
      <c r="B811" s="10"/>
      <c r="C811" s="18" t="str">
        <f aca="false">IF($B811="","",IFERROR(INDEX(대상목록!$C$3:$C$302,MATCH($B811,대상목록!$A$3:$A$302,0)),""))</f>
        <v/>
      </c>
      <c r="D811" s="10"/>
      <c r="E811" s="10"/>
      <c r="F811" s="19"/>
      <c r="G811" s="10"/>
    </row>
    <row r="812" customFormat="false" ht="15" hidden="false" customHeight="true" outlineLevel="0" collapsed="false">
      <c r="A812" s="14"/>
      <c r="B812" s="10"/>
      <c r="C812" s="18" t="str">
        <f aca="false">IF($B812="","",IFERROR(INDEX(대상목록!$C$3:$C$302,MATCH($B812,대상목록!$A$3:$A$302,0)),""))</f>
        <v/>
      </c>
      <c r="D812" s="10"/>
      <c r="E812" s="10"/>
      <c r="F812" s="19"/>
      <c r="G812" s="10"/>
    </row>
    <row r="813" customFormat="false" ht="15" hidden="false" customHeight="true" outlineLevel="0" collapsed="false">
      <c r="A813" s="14"/>
      <c r="B813" s="10"/>
      <c r="C813" s="18" t="str">
        <f aca="false">IF($B813="","",IFERROR(INDEX(대상목록!$C$3:$C$302,MATCH($B813,대상목록!$A$3:$A$302,0)),""))</f>
        <v/>
      </c>
      <c r="D813" s="10"/>
      <c r="E813" s="10"/>
      <c r="F813" s="19"/>
      <c r="G813" s="10"/>
    </row>
    <row r="814" customFormat="false" ht="15" hidden="false" customHeight="true" outlineLevel="0" collapsed="false">
      <c r="A814" s="14"/>
      <c r="B814" s="10"/>
      <c r="C814" s="18" t="str">
        <f aca="false">IF($B814="","",IFERROR(INDEX(대상목록!$C$3:$C$302,MATCH($B814,대상목록!$A$3:$A$302,0)),""))</f>
        <v/>
      </c>
      <c r="D814" s="10"/>
      <c r="E814" s="10"/>
      <c r="F814" s="19"/>
      <c r="G814" s="10"/>
    </row>
    <row r="815" customFormat="false" ht="15" hidden="false" customHeight="true" outlineLevel="0" collapsed="false">
      <c r="A815" s="14"/>
      <c r="B815" s="10"/>
      <c r="C815" s="18" t="str">
        <f aca="false">IF($B815="","",IFERROR(INDEX(대상목록!$C$3:$C$302,MATCH($B815,대상목록!$A$3:$A$302,0)),""))</f>
        <v/>
      </c>
      <c r="D815" s="10"/>
      <c r="E815" s="10"/>
      <c r="F815" s="19"/>
      <c r="G815" s="10"/>
    </row>
    <row r="816" customFormat="false" ht="15" hidden="false" customHeight="true" outlineLevel="0" collapsed="false">
      <c r="A816" s="14"/>
      <c r="B816" s="10"/>
      <c r="C816" s="18" t="str">
        <f aca="false">IF($B816="","",IFERROR(INDEX(대상목록!$C$3:$C$302,MATCH($B816,대상목록!$A$3:$A$302,0)),""))</f>
        <v/>
      </c>
      <c r="D816" s="10"/>
      <c r="E816" s="10"/>
      <c r="F816" s="19"/>
      <c r="G816" s="10"/>
    </row>
    <row r="817" customFormat="false" ht="15" hidden="false" customHeight="true" outlineLevel="0" collapsed="false">
      <c r="A817" s="14"/>
      <c r="B817" s="10"/>
      <c r="C817" s="18" t="str">
        <f aca="false">IF($B817="","",IFERROR(INDEX(대상목록!$C$3:$C$302,MATCH($B817,대상목록!$A$3:$A$302,0)),""))</f>
        <v/>
      </c>
      <c r="D817" s="10"/>
      <c r="E817" s="10"/>
      <c r="F817" s="19"/>
      <c r="G817" s="10"/>
    </row>
    <row r="818" customFormat="false" ht="15" hidden="false" customHeight="true" outlineLevel="0" collapsed="false">
      <c r="A818" s="14"/>
      <c r="B818" s="10"/>
      <c r="C818" s="18" t="str">
        <f aca="false">IF($B818="","",IFERROR(INDEX(대상목록!$C$3:$C$302,MATCH($B818,대상목록!$A$3:$A$302,0)),""))</f>
        <v/>
      </c>
      <c r="D818" s="10"/>
      <c r="E818" s="10"/>
      <c r="F818" s="19"/>
      <c r="G818" s="10"/>
    </row>
    <row r="819" customFormat="false" ht="15" hidden="false" customHeight="true" outlineLevel="0" collapsed="false">
      <c r="A819" s="14"/>
      <c r="B819" s="10"/>
      <c r="C819" s="18" t="str">
        <f aca="false">IF($B819="","",IFERROR(INDEX(대상목록!$C$3:$C$302,MATCH($B819,대상목록!$A$3:$A$302,0)),""))</f>
        <v/>
      </c>
      <c r="D819" s="10"/>
      <c r="E819" s="10"/>
      <c r="F819" s="19"/>
      <c r="G819" s="10"/>
    </row>
    <row r="820" customFormat="false" ht="15" hidden="false" customHeight="true" outlineLevel="0" collapsed="false">
      <c r="A820" s="14"/>
      <c r="B820" s="10"/>
      <c r="C820" s="18" t="str">
        <f aca="false">IF($B820="","",IFERROR(INDEX(대상목록!$C$3:$C$302,MATCH($B820,대상목록!$A$3:$A$302,0)),""))</f>
        <v/>
      </c>
      <c r="D820" s="10"/>
      <c r="E820" s="10"/>
      <c r="F820" s="19"/>
      <c r="G820" s="10"/>
    </row>
    <row r="821" customFormat="false" ht="15" hidden="false" customHeight="true" outlineLevel="0" collapsed="false">
      <c r="A821" s="14"/>
      <c r="B821" s="10"/>
      <c r="C821" s="18" t="str">
        <f aca="false">IF($B821="","",IFERROR(INDEX(대상목록!$C$3:$C$302,MATCH($B821,대상목록!$A$3:$A$302,0)),""))</f>
        <v/>
      </c>
      <c r="D821" s="10"/>
      <c r="E821" s="10"/>
      <c r="F821" s="19"/>
      <c r="G821" s="10"/>
    </row>
    <row r="822" customFormat="false" ht="15" hidden="false" customHeight="true" outlineLevel="0" collapsed="false">
      <c r="A822" s="14"/>
      <c r="B822" s="10"/>
      <c r="C822" s="18" t="str">
        <f aca="false">IF($B822="","",IFERROR(INDEX(대상목록!$C$3:$C$302,MATCH($B822,대상목록!$A$3:$A$302,0)),""))</f>
        <v/>
      </c>
      <c r="D822" s="10"/>
      <c r="E822" s="10"/>
      <c r="F822" s="19"/>
      <c r="G822" s="10"/>
    </row>
    <row r="823" customFormat="false" ht="15" hidden="false" customHeight="true" outlineLevel="0" collapsed="false">
      <c r="A823" s="14"/>
      <c r="B823" s="10"/>
      <c r="C823" s="18" t="str">
        <f aca="false">IF($B823="","",IFERROR(INDEX(대상목록!$C$3:$C$302,MATCH($B823,대상목록!$A$3:$A$302,0)),""))</f>
        <v/>
      </c>
      <c r="D823" s="10"/>
      <c r="E823" s="10"/>
      <c r="F823" s="19"/>
      <c r="G823" s="10"/>
    </row>
    <row r="824" customFormat="false" ht="15" hidden="false" customHeight="true" outlineLevel="0" collapsed="false">
      <c r="A824" s="14"/>
      <c r="B824" s="10"/>
      <c r="C824" s="18" t="str">
        <f aca="false">IF($B824="","",IFERROR(INDEX(대상목록!$C$3:$C$302,MATCH($B824,대상목록!$A$3:$A$302,0)),""))</f>
        <v/>
      </c>
      <c r="D824" s="10"/>
      <c r="E824" s="10"/>
      <c r="F824" s="19"/>
      <c r="G824" s="10"/>
    </row>
    <row r="825" customFormat="false" ht="15" hidden="false" customHeight="true" outlineLevel="0" collapsed="false">
      <c r="A825" s="14"/>
      <c r="B825" s="10"/>
      <c r="C825" s="18" t="str">
        <f aca="false">IF($B825="","",IFERROR(INDEX(대상목록!$C$3:$C$302,MATCH($B825,대상목록!$A$3:$A$302,0)),""))</f>
        <v/>
      </c>
      <c r="D825" s="10"/>
      <c r="E825" s="10"/>
      <c r="F825" s="19"/>
      <c r="G825" s="10"/>
    </row>
    <row r="826" customFormat="false" ht="15" hidden="false" customHeight="true" outlineLevel="0" collapsed="false">
      <c r="A826" s="14"/>
      <c r="B826" s="10"/>
      <c r="C826" s="18" t="str">
        <f aca="false">IF($B826="","",IFERROR(INDEX(대상목록!$C$3:$C$302,MATCH($B826,대상목록!$A$3:$A$302,0)),""))</f>
        <v/>
      </c>
      <c r="D826" s="10"/>
      <c r="E826" s="10"/>
      <c r="F826" s="19"/>
      <c r="G826" s="10"/>
    </row>
    <row r="827" customFormat="false" ht="15" hidden="false" customHeight="true" outlineLevel="0" collapsed="false">
      <c r="A827" s="14"/>
      <c r="B827" s="10"/>
      <c r="C827" s="18" t="str">
        <f aca="false">IF($B827="","",IFERROR(INDEX(대상목록!$C$3:$C$302,MATCH($B827,대상목록!$A$3:$A$302,0)),""))</f>
        <v/>
      </c>
      <c r="D827" s="10"/>
      <c r="E827" s="10"/>
      <c r="F827" s="19"/>
      <c r="G827" s="10"/>
    </row>
    <row r="828" customFormat="false" ht="15" hidden="false" customHeight="true" outlineLevel="0" collapsed="false">
      <c r="A828" s="14"/>
      <c r="B828" s="10"/>
      <c r="C828" s="18" t="str">
        <f aca="false">IF($B828="","",IFERROR(INDEX(대상목록!$C$3:$C$302,MATCH($B828,대상목록!$A$3:$A$302,0)),""))</f>
        <v/>
      </c>
      <c r="D828" s="10"/>
      <c r="E828" s="10"/>
      <c r="F828" s="19"/>
      <c r="G828" s="10"/>
    </row>
    <row r="829" customFormat="false" ht="15" hidden="false" customHeight="true" outlineLevel="0" collapsed="false">
      <c r="A829" s="14"/>
      <c r="B829" s="10"/>
      <c r="C829" s="18" t="str">
        <f aca="false">IF($B829="","",IFERROR(INDEX(대상목록!$C$3:$C$302,MATCH($B829,대상목록!$A$3:$A$302,0)),""))</f>
        <v/>
      </c>
      <c r="D829" s="10"/>
      <c r="E829" s="10"/>
      <c r="F829" s="19"/>
      <c r="G829" s="10"/>
    </row>
    <row r="830" customFormat="false" ht="15" hidden="false" customHeight="true" outlineLevel="0" collapsed="false">
      <c r="A830" s="14"/>
      <c r="B830" s="10"/>
      <c r="C830" s="18" t="str">
        <f aca="false">IF($B830="","",IFERROR(INDEX(대상목록!$C$3:$C$302,MATCH($B830,대상목록!$A$3:$A$302,0)),""))</f>
        <v/>
      </c>
      <c r="D830" s="10"/>
      <c r="E830" s="10"/>
      <c r="F830" s="19"/>
      <c r="G830" s="10"/>
    </row>
    <row r="831" customFormat="false" ht="15" hidden="false" customHeight="true" outlineLevel="0" collapsed="false">
      <c r="A831" s="14"/>
      <c r="B831" s="10"/>
      <c r="C831" s="18" t="str">
        <f aca="false">IF($B831="","",IFERROR(INDEX(대상목록!$C$3:$C$302,MATCH($B831,대상목록!$A$3:$A$302,0)),""))</f>
        <v/>
      </c>
      <c r="D831" s="10"/>
      <c r="E831" s="10"/>
      <c r="F831" s="19"/>
      <c r="G831" s="10"/>
    </row>
    <row r="832" customFormat="false" ht="15" hidden="false" customHeight="true" outlineLevel="0" collapsed="false">
      <c r="A832" s="14"/>
      <c r="B832" s="10"/>
      <c r="C832" s="18" t="str">
        <f aca="false">IF($B832="","",IFERROR(INDEX(대상목록!$C$3:$C$302,MATCH($B832,대상목록!$A$3:$A$302,0)),""))</f>
        <v/>
      </c>
      <c r="D832" s="10"/>
      <c r="E832" s="10"/>
      <c r="F832" s="19"/>
      <c r="G832" s="10"/>
    </row>
    <row r="833" customFormat="false" ht="15" hidden="false" customHeight="true" outlineLevel="0" collapsed="false">
      <c r="A833" s="14"/>
      <c r="B833" s="10"/>
      <c r="C833" s="18" t="str">
        <f aca="false">IF($B833="","",IFERROR(INDEX(대상목록!$C$3:$C$302,MATCH($B833,대상목록!$A$3:$A$302,0)),""))</f>
        <v/>
      </c>
      <c r="D833" s="10"/>
      <c r="E833" s="10"/>
      <c r="F833" s="19"/>
      <c r="G833" s="10"/>
    </row>
    <row r="834" customFormat="false" ht="15" hidden="false" customHeight="true" outlineLevel="0" collapsed="false">
      <c r="A834" s="14"/>
      <c r="B834" s="10"/>
      <c r="C834" s="18" t="str">
        <f aca="false">IF($B834="","",IFERROR(INDEX(대상목록!$C$3:$C$302,MATCH($B834,대상목록!$A$3:$A$302,0)),""))</f>
        <v/>
      </c>
      <c r="D834" s="10"/>
      <c r="E834" s="10"/>
      <c r="F834" s="19"/>
      <c r="G834" s="10"/>
    </row>
    <row r="835" customFormat="false" ht="15" hidden="false" customHeight="true" outlineLevel="0" collapsed="false">
      <c r="A835" s="14"/>
      <c r="B835" s="10"/>
      <c r="C835" s="18" t="str">
        <f aca="false">IF($B835="","",IFERROR(INDEX(대상목록!$C$3:$C$302,MATCH($B835,대상목록!$A$3:$A$302,0)),""))</f>
        <v/>
      </c>
      <c r="D835" s="10"/>
      <c r="E835" s="10"/>
      <c r="F835" s="19"/>
      <c r="G835" s="10"/>
    </row>
    <row r="836" customFormat="false" ht="15" hidden="false" customHeight="true" outlineLevel="0" collapsed="false">
      <c r="A836" s="14"/>
      <c r="B836" s="10"/>
      <c r="C836" s="18" t="str">
        <f aca="false">IF($B836="","",IFERROR(INDEX(대상목록!$C$3:$C$302,MATCH($B836,대상목록!$A$3:$A$302,0)),""))</f>
        <v/>
      </c>
      <c r="D836" s="10"/>
      <c r="E836" s="10"/>
      <c r="F836" s="19"/>
      <c r="G836" s="10"/>
    </row>
    <row r="837" customFormat="false" ht="15" hidden="false" customHeight="true" outlineLevel="0" collapsed="false">
      <c r="A837" s="14"/>
      <c r="B837" s="10"/>
      <c r="C837" s="18" t="str">
        <f aca="false">IF($B837="","",IFERROR(INDEX(대상목록!$C$3:$C$302,MATCH($B837,대상목록!$A$3:$A$302,0)),""))</f>
        <v/>
      </c>
      <c r="D837" s="10"/>
      <c r="E837" s="10"/>
      <c r="F837" s="19"/>
      <c r="G837" s="10"/>
    </row>
    <row r="838" customFormat="false" ht="15" hidden="false" customHeight="true" outlineLevel="0" collapsed="false">
      <c r="A838" s="14"/>
      <c r="B838" s="10"/>
      <c r="C838" s="18" t="str">
        <f aca="false">IF($B838="","",IFERROR(INDEX(대상목록!$C$3:$C$302,MATCH($B838,대상목록!$A$3:$A$302,0)),""))</f>
        <v/>
      </c>
      <c r="D838" s="10"/>
      <c r="E838" s="10"/>
      <c r="F838" s="19"/>
      <c r="G838" s="10"/>
    </row>
    <row r="839" customFormat="false" ht="15" hidden="false" customHeight="true" outlineLevel="0" collapsed="false">
      <c r="A839" s="14"/>
      <c r="B839" s="10"/>
      <c r="C839" s="18" t="str">
        <f aca="false">IF($B839="","",IFERROR(INDEX(대상목록!$C$3:$C$302,MATCH($B839,대상목록!$A$3:$A$302,0)),""))</f>
        <v/>
      </c>
      <c r="D839" s="10"/>
      <c r="E839" s="10"/>
      <c r="F839" s="19"/>
      <c r="G839" s="10"/>
    </row>
    <row r="840" customFormat="false" ht="15" hidden="false" customHeight="true" outlineLevel="0" collapsed="false">
      <c r="A840" s="14"/>
      <c r="B840" s="10"/>
      <c r="C840" s="18" t="str">
        <f aca="false">IF($B840="","",IFERROR(INDEX(대상목록!$C$3:$C$302,MATCH($B840,대상목록!$A$3:$A$302,0)),""))</f>
        <v/>
      </c>
      <c r="D840" s="10"/>
      <c r="E840" s="10"/>
      <c r="F840" s="19"/>
      <c r="G840" s="10"/>
    </row>
    <row r="841" customFormat="false" ht="15" hidden="false" customHeight="true" outlineLevel="0" collapsed="false">
      <c r="A841" s="14"/>
      <c r="B841" s="10"/>
      <c r="C841" s="18" t="str">
        <f aca="false">IF($B841="","",IFERROR(INDEX(대상목록!$C$3:$C$302,MATCH($B841,대상목록!$A$3:$A$302,0)),""))</f>
        <v/>
      </c>
      <c r="D841" s="10"/>
      <c r="E841" s="10"/>
      <c r="F841" s="19"/>
      <c r="G841" s="10"/>
    </row>
    <row r="842" customFormat="false" ht="15" hidden="false" customHeight="true" outlineLevel="0" collapsed="false">
      <c r="A842" s="14"/>
      <c r="B842" s="10"/>
      <c r="C842" s="18" t="str">
        <f aca="false">IF($B842="","",IFERROR(INDEX(대상목록!$C$3:$C$302,MATCH($B842,대상목록!$A$3:$A$302,0)),""))</f>
        <v/>
      </c>
      <c r="D842" s="10"/>
      <c r="E842" s="10"/>
      <c r="F842" s="19"/>
      <c r="G842" s="10"/>
    </row>
    <row r="843" customFormat="false" ht="15" hidden="false" customHeight="true" outlineLevel="0" collapsed="false">
      <c r="A843" s="14"/>
      <c r="B843" s="10"/>
      <c r="C843" s="18" t="str">
        <f aca="false">IF($B843="","",IFERROR(INDEX(대상목록!$C$3:$C$302,MATCH($B843,대상목록!$A$3:$A$302,0)),""))</f>
        <v/>
      </c>
      <c r="D843" s="10"/>
      <c r="E843" s="10"/>
      <c r="F843" s="19"/>
      <c r="G843" s="10"/>
    </row>
    <row r="844" customFormat="false" ht="15" hidden="false" customHeight="true" outlineLevel="0" collapsed="false">
      <c r="A844" s="14"/>
      <c r="B844" s="10"/>
      <c r="C844" s="18" t="str">
        <f aca="false">IF($B844="","",IFERROR(INDEX(대상목록!$C$3:$C$302,MATCH($B844,대상목록!$A$3:$A$302,0)),""))</f>
        <v/>
      </c>
      <c r="D844" s="10"/>
      <c r="E844" s="10"/>
      <c r="F844" s="19"/>
      <c r="G844" s="10"/>
    </row>
    <row r="845" customFormat="false" ht="15" hidden="false" customHeight="true" outlineLevel="0" collapsed="false">
      <c r="A845" s="14"/>
      <c r="B845" s="10"/>
      <c r="C845" s="18" t="str">
        <f aca="false">IF($B845="","",IFERROR(INDEX(대상목록!$C$3:$C$302,MATCH($B845,대상목록!$A$3:$A$302,0)),""))</f>
        <v/>
      </c>
      <c r="D845" s="10"/>
      <c r="E845" s="10"/>
      <c r="F845" s="19"/>
      <c r="G845" s="10"/>
    </row>
    <row r="846" customFormat="false" ht="15" hidden="false" customHeight="true" outlineLevel="0" collapsed="false">
      <c r="A846" s="14"/>
      <c r="B846" s="10"/>
      <c r="C846" s="18" t="str">
        <f aca="false">IF($B846="","",IFERROR(INDEX(대상목록!$C$3:$C$302,MATCH($B846,대상목록!$A$3:$A$302,0)),""))</f>
        <v/>
      </c>
      <c r="D846" s="10"/>
      <c r="E846" s="10"/>
      <c r="F846" s="19"/>
      <c r="G846" s="10"/>
    </row>
    <row r="847" customFormat="false" ht="15" hidden="false" customHeight="true" outlineLevel="0" collapsed="false">
      <c r="A847" s="14"/>
      <c r="B847" s="10"/>
      <c r="C847" s="18" t="str">
        <f aca="false">IF($B847="","",IFERROR(INDEX(대상목록!$C$3:$C$302,MATCH($B847,대상목록!$A$3:$A$302,0)),""))</f>
        <v/>
      </c>
      <c r="D847" s="10"/>
      <c r="E847" s="10"/>
      <c r="F847" s="19"/>
      <c r="G847" s="10"/>
    </row>
    <row r="848" customFormat="false" ht="15" hidden="false" customHeight="true" outlineLevel="0" collapsed="false">
      <c r="A848" s="14"/>
      <c r="B848" s="10"/>
      <c r="C848" s="18" t="str">
        <f aca="false">IF($B848="","",IFERROR(INDEX(대상목록!$C$3:$C$302,MATCH($B848,대상목록!$A$3:$A$302,0)),""))</f>
        <v/>
      </c>
      <c r="D848" s="10"/>
      <c r="E848" s="10"/>
      <c r="F848" s="19"/>
      <c r="G848" s="10"/>
    </row>
    <row r="849" customFormat="false" ht="15" hidden="false" customHeight="true" outlineLevel="0" collapsed="false">
      <c r="A849" s="14"/>
      <c r="B849" s="10"/>
      <c r="C849" s="18" t="str">
        <f aca="false">IF($B849="","",IFERROR(INDEX(대상목록!$C$3:$C$302,MATCH($B849,대상목록!$A$3:$A$302,0)),""))</f>
        <v/>
      </c>
      <c r="D849" s="10"/>
      <c r="E849" s="10"/>
      <c r="F849" s="19"/>
      <c r="G849" s="10"/>
    </row>
    <row r="850" customFormat="false" ht="15" hidden="false" customHeight="true" outlineLevel="0" collapsed="false">
      <c r="A850" s="14"/>
      <c r="B850" s="10"/>
      <c r="C850" s="18" t="str">
        <f aca="false">IF($B850="","",IFERROR(INDEX(대상목록!$C$3:$C$302,MATCH($B850,대상목록!$A$3:$A$302,0)),""))</f>
        <v/>
      </c>
      <c r="D850" s="10"/>
      <c r="E850" s="10"/>
      <c r="F850" s="19"/>
      <c r="G850" s="10"/>
    </row>
    <row r="851" customFormat="false" ht="15" hidden="false" customHeight="true" outlineLevel="0" collapsed="false">
      <c r="A851" s="14"/>
      <c r="B851" s="10"/>
      <c r="C851" s="18" t="str">
        <f aca="false">IF($B851="","",IFERROR(INDEX(대상목록!$C$3:$C$302,MATCH($B851,대상목록!$A$3:$A$302,0)),""))</f>
        <v/>
      </c>
      <c r="D851" s="10"/>
      <c r="E851" s="10"/>
      <c r="F851" s="19"/>
      <c r="G851" s="10"/>
    </row>
    <row r="852" customFormat="false" ht="15" hidden="false" customHeight="true" outlineLevel="0" collapsed="false">
      <c r="A852" s="14"/>
      <c r="B852" s="10"/>
      <c r="C852" s="18" t="str">
        <f aca="false">IF($B852="","",IFERROR(INDEX(대상목록!$C$3:$C$302,MATCH($B852,대상목록!$A$3:$A$302,0)),""))</f>
        <v/>
      </c>
      <c r="D852" s="10"/>
      <c r="E852" s="10"/>
      <c r="F852" s="19"/>
      <c r="G852" s="10"/>
    </row>
    <row r="853" customFormat="false" ht="15" hidden="false" customHeight="true" outlineLevel="0" collapsed="false">
      <c r="A853" s="14"/>
      <c r="B853" s="10"/>
      <c r="C853" s="18" t="str">
        <f aca="false">IF($B853="","",IFERROR(INDEX(대상목록!$C$3:$C$302,MATCH($B853,대상목록!$A$3:$A$302,0)),""))</f>
        <v/>
      </c>
      <c r="D853" s="10"/>
      <c r="E853" s="10"/>
      <c r="F853" s="19"/>
      <c r="G853" s="10"/>
    </row>
    <row r="854" customFormat="false" ht="15" hidden="false" customHeight="true" outlineLevel="0" collapsed="false">
      <c r="A854" s="14"/>
      <c r="B854" s="10"/>
      <c r="C854" s="18" t="str">
        <f aca="false">IF($B854="","",IFERROR(INDEX(대상목록!$C$3:$C$302,MATCH($B854,대상목록!$A$3:$A$302,0)),""))</f>
        <v/>
      </c>
      <c r="D854" s="10"/>
      <c r="E854" s="10"/>
      <c r="F854" s="19"/>
      <c r="G854" s="10"/>
    </row>
    <row r="855" customFormat="false" ht="15" hidden="false" customHeight="true" outlineLevel="0" collapsed="false">
      <c r="A855" s="14"/>
      <c r="B855" s="10"/>
      <c r="C855" s="18" t="str">
        <f aca="false">IF($B855="","",IFERROR(INDEX(대상목록!$C$3:$C$302,MATCH($B855,대상목록!$A$3:$A$302,0)),""))</f>
        <v/>
      </c>
      <c r="D855" s="10"/>
      <c r="E855" s="10"/>
      <c r="F855" s="19"/>
      <c r="G855" s="10"/>
    </row>
    <row r="856" customFormat="false" ht="15" hidden="false" customHeight="true" outlineLevel="0" collapsed="false">
      <c r="A856" s="14"/>
      <c r="B856" s="10"/>
      <c r="C856" s="18" t="str">
        <f aca="false">IF($B856="","",IFERROR(INDEX(대상목록!$C$3:$C$302,MATCH($B856,대상목록!$A$3:$A$302,0)),""))</f>
        <v/>
      </c>
      <c r="D856" s="10"/>
      <c r="E856" s="10"/>
      <c r="F856" s="19"/>
      <c r="G856" s="10"/>
    </row>
    <row r="857" customFormat="false" ht="15" hidden="false" customHeight="true" outlineLevel="0" collapsed="false">
      <c r="A857" s="14"/>
      <c r="B857" s="10"/>
      <c r="C857" s="18" t="str">
        <f aca="false">IF($B857="","",IFERROR(INDEX(대상목록!$C$3:$C$302,MATCH($B857,대상목록!$A$3:$A$302,0)),""))</f>
        <v/>
      </c>
      <c r="D857" s="10"/>
      <c r="E857" s="10"/>
      <c r="F857" s="19"/>
      <c r="G857" s="10"/>
    </row>
    <row r="858" customFormat="false" ht="15" hidden="false" customHeight="true" outlineLevel="0" collapsed="false">
      <c r="A858" s="14"/>
      <c r="B858" s="10"/>
      <c r="C858" s="18" t="str">
        <f aca="false">IF($B858="","",IFERROR(INDEX(대상목록!$C$3:$C$302,MATCH($B858,대상목록!$A$3:$A$302,0)),""))</f>
        <v/>
      </c>
      <c r="D858" s="10"/>
      <c r="E858" s="10"/>
      <c r="F858" s="19"/>
      <c r="G858" s="10"/>
    </row>
    <row r="859" customFormat="false" ht="15" hidden="false" customHeight="true" outlineLevel="0" collapsed="false">
      <c r="A859" s="14"/>
      <c r="B859" s="10"/>
      <c r="C859" s="18" t="str">
        <f aca="false">IF($B859="","",IFERROR(INDEX(대상목록!$C$3:$C$302,MATCH($B859,대상목록!$A$3:$A$302,0)),""))</f>
        <v/>
      </c>
      <c r="D859" s="10"/>
      <c r="E859" s="10"/>
      <c r="F859" s="19"/>
      <c r="G859" s="10"/>
    </row>
    <row r="860" customFormat="false" ht="15" hidden="false" customHeight="true" outlineLevel="0" collapsed="false">
      <c r="A860" s="14"/>
      <c r="B860" s="10"/>
      <c r="C860" s="18" t="str">
        <f aca="false">IF($B860="","",IFERROR(INDEX(대상목록!$C$3:$C$302,MATCH($B860,대상목록!$A$3:$A$302,0)),""))</f>
        <v/>
      </c>
      <c r="D860" s="10"/>
      <c r="E860" s="10"/>
      <c r="F860" s="19"/>
      <c r="G860" s="10"/>
    </row>
    <row r="861" customFormat="false" ht="15" hidden="false" customHeight="true" outlineLevel="0" collapsed="false">
      <c r="A861" s="14"/>
      <c r="B861" s="10"/>
      <c r="C861" s="18" t="str">
        <f aca="false">IF($B861="","",IFERROR(INDEX(대상목록!$C$3:$C$302,MATCH($B861,대상목록!$A$3:$A$302,0)),""))</f>
        <v/>
      </c>
      <c r="D861" s="10"/>
      <c r="E861" s="10"/>
      <c r="F861" s="19"/>
      <c r="G861" s="10"/>
    </row>
    <row r="862" customFormat="false" ht="15" hidden="false" customHeight="true" outlineLevel="0" collapsed="false">
      <c r="A862" s="14"/>
      <c r="B862" s="10"/>
      <c r="C862" s="18" t="str">
        <f aca="false">IF($B862="","",IFERROR(INDEX(대상목록!$C$3:$C$302,MATCH($B862,대상목록!$A$3:$A$302,0)),""))</f>
        <v/>
      </c>
      <c r="D862" s="10"/>
      <c r="E862" s="10"/>
      <c r="F862" s="19"/>
      <c r="G862" s="10"/>
    </row>
    <row r="863" customFormat="false" ht="15" hidden="false" customHeight="true" outlineLevel="0" collapsed="false">
      <c r="A863" s="14"/>
      <c r="B863" s="10"/>
      <c r="C863" s="18" t="str">
        <f aca="false">IF($B863="","",IFERROR(INDEX(대상목록!$C$3:$C$302,MATCH($B863,대상목록!$A$3:$A$302,0)),""))</f>
        <v/>
      </c>
      <c r="D863" s="10"/>
      <c r="E863" s="10"/>
      <c r="F863" s="19"/>
      <c r="G863" s="10"/>
    </row>
    <row r="864" customFormat="false" ht="15" hidden="false" customHeight="true" outlineLevel="0" collapsed="false">
      <c r="A864" s="14"/>
      <c r="B864" s="10"/>
      <c r="C864" s="18" t="str">
        <f aca="false">IF($B864="","",IFERROR(INDEX(대상목록!$C$3:$C$302,MATCH($B864,대상목록!$A$3:$A$302,0)),""))</f>
        <v/>
      </c>
      <c r="D864" s="10"/>
      <c r="E864" s="10"/>
      <c r="F864" s="19"/>
      <c r="G864" s="10"/>
    </row>
    <row r="865" customFormat="false" ht="15" hidden="false" customHeight="true" outlineLevel="0" collapsed="false">
      <c r="A865" s="14"/>
      <c r="B865" s="10"/>
      <c r="C865" s="18" t="str">
        <f aca="false">IF($B865="","",IFERROR(INDEX(대상목록!$C$3:$C$302,MATCH($B865,대상목록!$A$3:$A$302,0)),""))</f>
        <v/>
      </c>
      <c r="D865" s="10"/>
      <c r="E865" s="10"/>
      <c r="F865" s="19"/>
      <c r="G865" s="10"/>
    </row>
    <row r="866" customFormat="false" ht="15" hidden="false" customHeight="true" outlineLevel="0" collapsed="false">
      <c r="A866" s="14"/>
      <c r="B866" s="10"/>
      <c r="C866" s="18" t="str">
        <f aca="false">IF($B866="","",IFERROR(INDEX(대상목록!$C$3:$C$302,MATCH($B866,대상목록!$A$3:$A$302,0)),""))</f>
        <v/>
      </c>
      <c r="D866" s="10"/>
      <c r="E866" s="10"/>
      <c r="F866" s="19"/>
      <c r="G866" s="10"/>
    </row>
    <row r="867" customFormat="false" ht="15" hidden="false" customHeight="true" outlineLevel="0" collapsed="false">
      <c r="A867" s="14"/>
      <c r="B867" s="10"/>
      <c r="C867" s="18" t="str">
        <f aca="false">IF($B867="","",IFERROR(INDEX(대상목록!$C$3:$C$302,MATCH($B867,대상목록!$A$3:$A$302,0)),""))</f>
        <v/>
      </c>
      <c r="D867" s="10"/>
      <c r="E867" s="10"/>
      <c r="F867" s="19"/>
      <c r="G867" s="10"/>
    </row>
    <row r="868" customFormat="false" ht="15" hidden="false" customHeight="true" outlineLevel="0" collapsed="false">
      <c r="A868" s="14"/>
      <c r="B868" s="10"/>
      <c r="C868" s="18" t="str">
        <f aca="false">IF($B868="","",IFERROR(INDEX(대상목록!$C$3:$C$302,MATCH($B868,대상목록!$A$3:$A$302,0)),""))</f>
        <v/>
      </c>
      <c r="D868" s="10"/>
      <c r="E868" s="10"/>
      <c r="F868" s="19"/>
      <c r="G868" s="10"/>
    </row>
    <row r="869" customFormat="false" ht="15" hidden="false" customHeight="true" outlineLevel="0" collapsed="false">
      <c r="A869" s="14"/>
      <c r="B869" s="10"/>
      <c r="C869" s="18" t="str">
        <f aca="false">IF($B869="","",IFERROR(INDEX(대상목록!$C$3:$C$302,MATCH($B869,대상목록!$A$3:$A$302,0)),""))</f>
        <v/>
      </c>
      <c r="D869" s="10"/>
      <c r="E869" s="10"/>
      <c r="F869" s="19"/>
      <c r="G869" s="10"/>
    </row>
    <row r="870" customFormat="false" ht="15" hidden="false" customHeight="true" outlineLevel="0" collapsed="false">
      <c r="A870" s="14"/>
      <c r="B870" s="10"/>
      <c r="C870" s="18" t="str">
        <f aca="false">IF($B870="","",IFERROR(INDEX(대상목록!$C$3:$C$302,MATCH($B870,대상목록!$A$3:$A$302,0)),""))</f>
        <v/>
      </c>
      <c r="D870" s="10"/>
      <c r="E870" s="10"/>
      <c r="F870" s="19"/>
      <c r="G870" s="10"/>
    </row>
    <row r="871" customFormat="false" ht="15" hidden="false" customHeight="true" outlineLevel="0" collapsed="false">
      <c r="A871" s="14"/>
      <c r="B871" s="10"/>
      <c r="C871" s="18" t="str">
        <f aca="false">IF($B871="","",IFERROR(INDEX(대상목록!$C$3:$C$302,MATCH($B871,대상목록!$A$3:$A$302,0)),""))</f>
        <v/>
      </c>
      <c r="D871" s="10"/>
      <c r="E871" s="10"/>
      <c r="F871" s="19"/>
      <c r="G871" s="10"/>
    </row>
    <row r="872" customFormat="false" ht="15" hidden="false" customHeight="true" outlineLevel="0" collapsed="false">
      <c r="A872" s="14"/>
      <c r="B872" s="10"/>
      <c r="C872" s="18" t="str">
        <f aca="false">IF($B872="","",IFERROR(INDEX(대상목록!$C$3:$C$302,MATCH($B872,대상목록!$A$3:$A$302,0)),""))</f>
        <v/>
      </c>
      <c r="D872" s="10"/>
      <c r="E872" s="10"/>
      <c r="F872" s="19"/>
      <c r="G872" s="10"/>
    </row>
    <row r="873" customFormat="false" ht="15" hidden="false" customHeight="true" outlineLevel="0" collapsed="false">
      <c r="A873" s="14"/>
      <c r="B873" s="10"/>
      <c r="C873" s="18" t="str">
        <f aca="false">IF($B873="","",IFERROR(INDEX(대상목록!$C$3:$C$302,MATCH($B873,대상목록!$A$3:$A$302,0)),""))</f>
        <v/>
      </c>
      <c r="D873" s="10"/>
      <c r="E873" s="10"/>
      <c r="F873" s="19"/>
      <c r="G873" s="10"/>
    </row>
    <row r="874" customFormat="false" ht="15" hidden="false" customHeight="true" outlineLevel="0" collapsed="false">
      <c r="A874" s="14"/>
      <c r="B874" s="10"/>
      <c r="C874" s="18" t="str">
        <f aca="false">IF($B874="","",IFERROR(INDEX(대상목록!$C$3:$C$302,MATCH($B874,대상목록!$A$3:$A$302,0)),""))</f>
        <v/>
      </c>
      <c r="D874" s="10"/>
      <c r="E874" s="10"/>
      <c r="F874" s="19"/>
      <c r="G874" s="10"/>
    </row>
    <row r="875" customFormat="false" ht="15" hidden="false" customHeight="true" outlineLevel="0" collapsed="false">
      <c r="A875" s="14"/>
      <c r="B875" s="10"/>
      <c r="C875" s="18" t="str">
        <f aca="false">IF($B875="","",IFERROR(INDEX(대상목록!$C$3:$C$302,MATCH($B875,대상목록!$A$3:$A$302,0)),""))</f>
        <v/>
      </c>
      <c r="D875" s="10"/>
      <c r="E875" s="10"/>
      <c r="F875" s="19"/>
      <c r="G875" s="10"/>
    </row>
    <row r="876" customFormat="false" ht="15" hidden="false" customHeight="true" outlineLevel="0" collapsed="false">
      <c r="A876" s="14"/>
      <c r="B876" s="10"/>
      <c r="C876" s="18" t="str">
        <f aca="false">IF($B876="","",IFERROR(INDEX(대상목록!$C$3:$C$302,MATCH($B876,대상목록!$A$3:$A$302,0)),""))</f>
        <v/>
      </c>
      <c r="D876" s="10"/>
      <c r="E876" s="10"/>
      <c r="F876" s="19"/>
      <c r="G876" s="10"/>
    </row>
    <row r="877" customFormat="false" ht="15" hidden="false" customHeight="true" outlineLevel="0" collapsed="false">
      <c r="A877" s="14"/>
      <c r="B877" s="10"/>
      <c r="C877" s="18" t="str">
        <f aca="false">IF($B877="","",IFERROR(INDEX(대상목록!$C$3:$C$302,MATCH($B877,대상목록!$A$3:$A$302,0)),""))</f>
        <v/>
      </c>
      <c r="D877" s="10"/>
      <c r="E877" s="10"/>
      <c r="F877" s="19"/>
      <c r="G877" s="10"/>
    </row>
    <row r="878" customFormat="false" ht="15" hidden="false" customHeight="true" outlineLevel="0" collapsed="false">
      <c r="A878" s="14"/>
      <c r="B878" s="10"/>
      <c r="C878" s="18" t="str">
        <f aca="false">IF($B878="","",IFERROR(INDEX(대상목록!$C$3:$C$302,MATCH($B878,대상목록!$A$3:$A$302,0)),""))</f>
        <v/>
      </c>
      <c r="D878" s="10"/>
      <c r="E878" s="10"/>
      <c r="F878" s="19"/>
      <c r="G878" s="10"/>
    </row>
    <row r="879" customFormat="false" ht="15" hidden="false" customHeight="true" outlineLevel="0" collapsed="false">
      <c r="A879" s="14"/>
      <c r="B879" s="10"/>
      <c r="C879" s="18" t="str">
        <f aca="false">IF($B879="","",IFERROR(INDEX(대상목록!$C$3:$C$302,MATCH($B879,대상목록!$A$3:$A$302,0)),""))</f>
        <v/>
      </c>
      <c r="D879" s="10"/>
      <c r="E879" s="10"/>
      <c r="F879" s="19"/>
      <c r="G879" s="10"/>
    </row>
    <row r="880" customFormat="false" ht="15" hidden="false" customHeight="true" outlineLevel="0" collapsed="false">
      <c r="A880" s="14"/>
      <c r="B880" s="10"/>
      <c r="C880" s="18" t="str">
        <f aca="false">IF($B880="","",IFERROR(INDEX(대상목록!$C$3:$C$302,MATCH($B880,대상목록!$A$3:$A$302,0)),""))</f>
        <v/>
      </c>
      <c r="D880" s="10"/>
      <c r="E880" s="10"/>
      <c r="F880" s="19"/>
      <c r="G880" s="10"/>
    </row>
    <row r="881" customFormat="false" ht="15" hidden="false" customHeight="true" outlineLevel="0" collapsed="false">
      <c r="A881" s="14"/>
      <c r="B881" s="10"/>
      <c r="C881" s="18" t="str">
        <f aca="false">IF($B881="","",IFERROR(INDEX(대상목록!$C$3:$C$302,MATCH($B881,대상목록!$A$3:$A$302,0)),""))</f>
        <v/>
      </c>
      <c r="D881" s="10"/>
      <c r="E881" s="10"/>
      <c r="F881" s="19"/>
      <c r="G881" s="10"/>
    </row>
    <row r="882" customFormat="false" ht="15" hidden="false" customHeight="true" outlineLevel="0" collapsed="false">
      <c r="A882" s="14"/>
      <c r="B882" s="10"/>
      <c r="C882" s="18" t="str">
        <f aca="false">IF($B882="","",IFERROR(INDEX(대상목록!$C$3:$C$302,MATCH($B882,대상목록!$A$3:$A$302,0)),""))</f>
        <v/>
      </c>
      <c r="D882" s="10"/>
      <c r="E882" s="10"/>
      <c r="F882" s="19"/>
      <c r="G882" s="10"/>
    </row>
    <row r="883" customFormat="false" ht="15" hidden="false" customHeight="true" outlineLevel="0" collapsed="false">
      <c r="A883" s="14"/>
      <c r="B883" s="10"/>
      <c r="C883" s="18" t="str">
        <f aca="false">IF($B883="","",IFERROR(INDEX(대상목록!$C$3:$C$302,MATCH($B883,대상목록!$A$3:$A$302,0)),""))</f>
        <v/>
      </c>
      <c r="D883" s="10"/>
      <c r="E883" s="10"/>
      <c r="F883" s="19"/>
      <c r="G883" s="10"/>
    </row>
    <row r="884" customFormat="false" ht="15" hidden="false" customHeight="true" outlineLevel="0" collapsed="false">
      <c r="A884" s="14"/>
      <c r="B884" s="10"/>
      <c r="C884" s="18" t="str">
        <f aca="false">IF($B884="","",IFERROR(INDEX(대상목록!$C$3:$C$302,MATCH($B884,대상목록!$A$3:$A$302,0)),""))</f>
        <v/>
      </c>
      <c r="D884" s="10"/>
      <c r="E884" s="10"/>
      <c r="F884" s="19"/>
      <c r="G884" s="10"/>
    </row>
    <row r="885" customFormat="false" ht="15" hidden="false" customHeight="true" outlineLevel="0" collapsed="false">
      <c r="A885" s="14"/>
      <c r="B885" s="10"/>
      <c r="C885" s="18" t="str">
        <f aca="false">IF($B885="","",IFERROR(INDEX(대상목록!$C$3:$C$302,MATCH($B885,대상목록!$A$3:$A$302,0)),""))</f>
        <v/>
      </c>
      <c r="D885" s="10"/>
      <c r="E885" s="10"/>
      <c r="F885" s="19"/>
      <c r="G885" s="10"/>
    </row>
    <row r="886" customFormat="false" ht="15" hidden="false" customHeight="true" outlineLevel="0" collapsed="false">
      <c r="A886" s="14"/>
      <c r="B886" s="10"/>
      <c r="C886" s="18" t="str">
        <f aca="false">IF($B886="","",IFERROR(INDEX(대상목록!$C$3:$C$302,MATCH($B886,대상목록!$A$3:$A$302,0)),""))</f>
        <v/>
      </c>
      <c r="D886" s="10"/>
      <c r="E886" s="10"/>
      <c r="F886" s="19"/>
      <c r="G886" s="10"/>
    </row>
    <row r="887" customFormat="false" ht="15" hidden="false" customHeight="true" outlineLevel="0" collapsed="false">
      <c r="A887" s="14"/>
      <c r="B887" s="10"/>
      <c r="C887" s="18" t="str">
        <f aca="false">IF($B887="","",IFERROR(INDEX(대상목록!$C$3:$C$302,MATCH($B887,대상목록!$A$3:$A$302,0)),""))</f>
        <v/>
      </c>
      <c r="D887" s="10"/>
      <c r="E887" s="10"/>
      <c r="F887" s="19"/>
      <c r="G887" s="10"/>
    </row>
    <row r="888" customFormat="false" ht="15" hidden="false" customHeight="true" outlineLevel="0" collapsed="false">
      <c r="A888" s="14"/>
      <c r="B888" s="10"/>
      <c r="C888" s="18" t="str">
        <f aca="false">IF($B888="","",IFERROR(INDEX(대상목록!$C$3:$C$302,MATCH($B888,대상목록!$A$3:$A$302,0)),""))</f>
        <v/>
      </c>
      <c r="D888" s="10"/>
      <c r="E888" s="10"/>
      <c r="F888" s="19"/>
      <c r="G888" s="10"/>
    </row>
    <row r="889" customFormat="false" ht="15" hidden="false" customHeight="true" outlineLevel="0" collapsed="false">
      <c r="A889" s="14"/>
      <c r="B889" s="10"/>
      <c r="C889" s="18" t="str">
        <f aca="false">IF($B889="","",IFERROR(INDEX(대상목록!$C$3:$C$302,MATCH($B889,대상목록!$A$3:$A$302,0)),""))</f>
        <v/>
      </c>
      <c r="D889" s="10"/>
      <c r="E889" s="10"/>
      <c r="F889" s="19"/>
      <c r="G889" s="10"/>
    </row>
    <row r="890" customFormat="false" ht="15" hidden="false" customHeight="true" outlineLevel="0" collapsed="false">
      <c r="A890" s="14"/>
      <c r="B890" s="10"/>
      <c r="C890" s="18" t="str">
        <f aca="false">IF($B890="","",IFERROR(INDEX(대상목록!$C$3:$C$302,MATCH($B890,대상목록!$A$3:$A$302,0)),""))</f>
        <v/>
      </c>
      <c r="D890" s="10"/>
      <c r="E890" s="10"/>
      <c r="F890" s="19"/>
      <c r="G890" s="10"/>
    </row>
    <row r="891" customFormat="false" ht="15" hidden="false" customHeight="true" outlineLevel="0" collapsed="false">
      <c r="A891" s="14"/>
      <c r="B891" s="10"/>
      <c r="C891" s="18" t="str">
        <f aca="false">IF($B891="","",IFERROR(INDEX(대상목록!$C$3:$C$302,MATCH($B891,대상목록!$A$3:$A$302,0)),""))</f>
        <v/>
      </c>
      <c r="D891" s="10"/>
      <c r="E891" s="10"/>
      <c r="F891" s="19"/>
      <c r="G891" s="10"/>
    </row>
    <row r="892" customFormat="false" ht="15" hidden="false" customHeight="true" outlineLevel="0" collapsed="false">
      <c r="A892" s="14"/>
      <c r="B892" s="10"/>
      <c r="C892" s="18" t="str">
        <f aca="false">IF($B892="","",IFERROR(INDEX(대상목록!$C$3:$C$302,MATCH($B892,대상목록!$A$3:$A$302,0)),""))</f>
        <v/>
      </c>
      <c r="D892" s="10"/>
      <c r="E892" s="10"/>
      <c r="F892" s="19"/>
      <c r="G892" s="10"/>
    </row>
    <row r="893" customFormat="false" ht="15" hidden="false" customHeight="true" outlineLevel="0" collapsed="false">
      <c r="A893" s="14"/>
      <c r="B893" s="10"/>
      <c r="C893" s="18" t="str">
        <f aca="false">IF($B893="","",IFERROR(INDEX(대상목록!$C$3:$C$302,MATCH($B893,대상목록!$A$3:$A$302,0)),""))</f>
        <v/>
      </c>
      <c r="D893" s="10"/>
      <c r="E893" s="10"/>
      <c r="F893" s="19"/>
      <c r="G893" s="10"/>
    </row>
    <row r="894" customFormat="false" ht="15" hidden="false" customHeight="true" outlineLevel="0" collapsed="false">
      <c r="A894" s="14"/>
      <c r="B894" s="10"/>
      <c r="C894" s="18" t="str">
        <f aca="false">IF($B894="","",IFERROR(INDEX(대상목록!$C$3:$C$302,MATCH($B894,대상목록!$A$3:$A$302,0)),""))</f>
        <v/>
      </c>
      <c r="D894" s="10"/>
      <c r="E894" s="10"/>
      <c r="F894" s="19"/>
      <c r="G894" s="10"/>
    </row>
    <row r="895" customFormat="false" ht="15" hidden="false" customHeight="true" outlineLevel="0" collapsed="false">
      <c r="A895" s="14"/>
      <c r="B895" s="10"/>
      <c r="C895" s="18" t="str">
        <f aca="false">IF($B895="","",IFERROR(INDEX(대상목록!$C$3:$C$302,MATCH($B895,대상목록!$A$3:$A$302,0)),""))</f>
        <v/>
      </c>
      <c r="D895" s="10"/>
      <c r="E895" s="10"/>
      <c r="F895" s="19"/>
      <c r="G895" s="10"/>
    </row>
    <row r="896" customFormat="false" ht="15" hidden="false" customHeight="true" outlineLevel="0" collapsed="false">
      <c r="A896" s="14"/>
      <c r="B896" s="10"/>
      <c r="C896" s="18" t="str">
        <f aca="false">IF($B896="","",IFERROR(INDEX(대상목록!$C$3:$C$302,MATCH($B896,대상목록!$A$3:$A$302,0)),""))</f>
        <v/>
      </c>
      <c r="D896" s="10"/>
      <c r="E896" s="10"/>
      <c r="F896" s="19"/>
      <c r="G896" s="10"/>
    </row>
    <row r="897" customFormat="false" ht="15" hidden="false" customHeight="true" outlineLevel="0" collapsed="false">
      <c r="A897" s="14"/>
      <c r="B897" s="10"/>
      <c r="C897" s="18" t="str">
        <f aca="false">IF($B897="","",IFERROR(INDEX(대상목록!$C$3:$C$302,MATCH($B897,대상목록!$A$3:$A$302,0)),""))</f>
        <v/>
      </c>
      <c r="D897" s="10"/>
      <c r="E897" s="10"/>
      <c r="F897" s="19"/>
      <c r="G897" s="10"/>
    </row>
    <row r="898" customFormat="false" ht="15" hidden="false" customHeight="true" outlineLevel="0" collapsed="false">
      <c r="A898" s="14"/>
      <c r="B898" s="10"/>
      <c r="C898" s="18" t="str">
        <f aca="false">IF($B898="","",IFERROR(INDEX(대상목록!$C$3:$C$302,MATCH($B898,대상목록!$A$3:$A$302,0)),""))</f>
        <v/>
      </c>
      <c r="D898" s="10"/>
      <c r="E898" s="10"/>
      <c r="F898" s="19"/>
      <c r="G898" s="10"/>
    </row>
    <row r="899" customFormat="false" ht="15" hidden="false" customHeight="true" outlineLevel="0" collapsed="false">
      <c r="A899" s="14"/>
      <c r="B899" s="10"/>
      <c r="C899" s="18" t="str">
        <f aca="false">IF($B899="","",IFERROR(INDEX(대상목록!$C$3:$C$302,MATCH($B899,대상목록!$A$3:$A$302,0)),""))</f>
        <v/>
      </c>
      <c r="D899" s="10"/>
      <c r="E899" s="10"/>
      <c r="F899" s="19"/>
      <c r="G899" s="10"/>
    </row>
    <row r="900" customFormat="false" ht="15" hidden="false" customHeight="true" outlineLevel="0" collapsed="false">
      <c r="A900" s="14"/>
      <c r="B900" s="10"/>
      <c r="C900" s="18" t="str">
        <f aca="false">IF($B900="","",IFERROR(INDEX(대상목록!$C$3:$C$302,MATCH($B900,대상목록!$A$3:$A$302,0)),""))</f>
        <v/>
      </c>
      <c r="D900" s="10"/>
      <c r="E900" s="10"/>
      <c r="F900" s="19"/>
      <c r="G900" s="10"/>
    </row>
    <row r="901" customFormat="false" ht="15" hidden="false" customHeight="true" outlineLevel="0" collapsed="false">
      <c r="A901" s="14"/>
      <c r="B901" s="10"/>
      <c r="C901" s="18" t="str">
        <f aca="false">IF($B901="","",IFERROR(INDEX(대상목록!$C$3:$C$302,MATCH($B901,대상목록!$A$3:$A$302,0)),""))</f>
        <v/>
      </c>
      <c r="D901" s="10"/>
      <c r="E901" s="10"/>
      <c r="F901" s="19"/>
      <c r="G901" s="10"/>
    </row>
    <row r="902" customFormat="false" ht="15" hidden="false" customHeight="true" outlineLevel="0" collapsed="false">
      <c r="A902" s="14"/>
      <c r="B902" s="10"/>
      <c r="C902" s="18" t="str">
        <f aca="false">IF($B902="","",IFERROR(INDEX(대상목록!$C$3:$C$302,MATCH($B902,대상목록!$A$3:$A$302,0)),""))</f>
        <v/>
      </c>
      <c r="D902" s="10"/>
      <c r="E902" s="10"/>
      <c r="F902" s="19"/>
      <c r="G902" s="10"/>
    </row>
    <row r="903" customFormat="false" ht="15" hidden="false" customHeight="true" outlineLevel="0" collapsed="false">
      <c r="A903" s="14"/>
      <c r="B903" s="10"/>
      <c r="C903" s="18" t="str">
        <f aca="false">IF($B903="","",IFERROR(INDEX(대상목록!$C$3:$C$302,MATCH($B903,대상목록!$A$3:$A$302,0)),""))</f>
        <v/>
      </c>
      <c r="D903" s="10"/>
      <c r="E903" s="10"/>
      <c r="F903" s="19"/>
      <c r="G903" s="10"/>
    </row>
    <row r="904" customFormat="false" ht="15" hidden="false" customHeight="true" outlineLevel="0" collapsed="false">
      <c r="A904" s="14"/>
      <c r="B904" s="10"/>
      <c r="C904" s="18" t="str">
        <f aca="false">IF($B904="","",IFERROR(INDEX(대상목록!$C$3:$C$302,MATCH($B904,대상목록!$A$3:$A$302,0)),""))</f>
        <v/>
      </c>
      <c r="D904" s="10"/>
      <c r="E904" s="10"/>
      <c r="F904" s="19"/>
      <c r="G904" s="10"/>
    </row>
    <row r="905" customFormat="false" ht="15" hidden="false" customHeight="true" outlineLevel="0" collapsed="false">
      <c r="A905" s="14"/>
      <c r="B905" s="10"/>
      <c r="C905" s="18" t="str">
        <f aca="false">IF($B905="","",IFERROR(INDEX(대상목록!$C$3:$C$302,MATCH($B905,대상목록!$A$3:$A$302,0)),""))</f>
        <v/>
      </c>
      <c r="D905" s="10"/>
      <c r="E905" s="10"/>
      <c r="F905" s="19"/>
      <c r="G905" s="10"/>
    </row>
    <row r="906" customFormat="false" ht="15" hidden="false" customHeight="true" outlineLevel="0" collapsed="false">
      <c r="A906" s="14"/>
      <c r="B906" s="10"/>
      <c r="C906" s="18" t="str">
        <f aca="false">IF($B906="","",IFERROR(INDEX(대상목록!$C$3:$C$302,MATCH($B906,대상목록!$A$3:$A$302,0)),""))</f>
        <v/>
      </c>
      <c r="D906" s="10"/>
      <c r="E906" s="10"/>
      <c r="F906" s="19"/>
      <c r="G906" s="10"/>
    </row>
    <row r="907" customFormat="false" ht="15" hidden="false" customHeight="true" outlineLevel="0" collapsed="false">
      <c r="A907" s="14"/>
      <c r="B907" s="10"/>
      <c r="C907" s="18" t="str">
        <f aca="false">IF($B907="","",IFERROR(INDEX(대상목록!$C$3:$C$302,MATCH($B907,대상목록!$A$3:$A$302,0)),""))</f>
        <v/>
      </c>
      <c r="D907" s="10"/>
      <c r="E907" s="10"/>
      <c r="F907" s="19"/>
      <c r="G907" s="10"/>
    </row>
    <row r="908" customFormat="false" ht="15" hidden="false" customHeight="true" outlineLevel="0" collapsed="false">
      <c r="A908" s="14"/>
      <c r="B908" s="10"/>
      <c r="C908" s="18" t="str">
        <f aca="false">IF($B908="","",IFERROR(INDEX(대상목록!$C$3:$C$302,MATCH($B908,대상목록!$A$3:$A$302,0)),""))</f>
        <v/>
      </c>
      <c r="D908" s="10"/>
      <c r="E908" s="10"/>
      <c r="F908" s="19"/>
      <c r="G908" s="10"/>
    </row>
    <row r="909" customFormat="false" ht="15" hidden="false" customHeight="true" outlineLevel="0" collapsed="false">
      <c r="A909" s="14"/>
      <c r="B909" s="10"/>
      <c r="C909" s="18" t="str">
        <f aca="false">IF($B909="","",IFERROR(INDEX(대상목록!$C$3:$C$302,MATCH($B909,대상목록!$A$3:$A$302,0)),""))</f>
        <v/>
      </c>
      <c r="D909" s="10"/>
      <c r="E909" s="10"/>
      <c r="F909" s="19"/>
      <c r="G909" s="10"/>
    </row>
    <row r="910" customFormat="false" ht="15" hidden="false" customHeight="true" outlineLevel="0" collapsed="false">
      <c r="A910" s="14"/>
      <c r="B910" s="10"/>
      <c r="C910" s="18" t="str">
        <f aca="false">IF($B910="","",IFERROR(INDEX(대상목록!$C$3:$C$302,MATCH($B910,대상목록!$A$3:$A$302,0)),""))</f>
        <v/>
      </c>
      <c r="D910" s="10"/>
      <c r="E910" s="10"/>
      <c r="F910" s="19"/>
      <c r="G910" s="10"/>
    </row>
    <row r="911" customFormat="false" ht="15" hidden="false" customHeight="true" outlineLevel="0" collapsed="false">
      <c r="A911" s="14"/>
      <c r="B911" s="10"/>
      <c r="C911" s="18" t="str">
        <f aca="false">IF($B911="","",IFERROR(INDEX(대상목록!$C$3:$C$302,MATCH($B911,대상목록!$A$3:$A$302,0)),""))</f>
        <v/>
      </c>
      <c r="D911" s="10"/>
      <c r="E911" s="10"/>
      <c r="F911" s="19"/>
      <c r="G911" s="10"/>
    </row>
    <row r="912" customFormat="false" ht="15" hidden="false" customHeight="true" outlineLevel="0" collapsed="false">
      <c r="A912" s="14"/>
      <c r="B912" s="10"/>
      <c r="C912" s="18" t="str">
        <f aca="false">IF($B912="","",IFERROR(INDEX(대상목록!$C$3:$C$302,MATCH($B912,대상목록!$A$3:$A$302,0)),""))</f>
        <v/>
      </c>
      <c r="D912" s="10"/>
      <c r="E912" s="10"/>
      <c r="F912" s="19"/>
      <c r="G912" s="10"/>
    </row>
    <row r="913" customFormat="false" ht="15" hidden="false" customHeight="true" outlineLevel="0" collapsed="false">
      <c r="A913" s="14"/>
      <c r="B913" s="10"/>
      <c r="C913" s="18" t="str">
        <f aca="false">IF($B913="","",IFERROR(INDEX(대상목록!$C$3:$C$302,MATCH($B913,대상목록!$A$3:$A$302,0)),""))</f>
        <v/>
      </c>
      <c r="D913" s="10"/>
      <c r="E913" s="10"/>
      <c r="F913" s="19"/>
      <c r="G913" s="10"/>
    </row>
    <row r="914" customFormat="false" ht="15" hidden="false" customHeight="true" outlineLevel="0" collapsed="false">
      <c r="A914" s="14"/>
      <c r="B914" s="10"/>
      <c r="C914" s="18" t="str">
        <f aca="false">IF($B914="","",IFERROR(INDEX(대상목록!$C$3:$C$302,MATCH($B914,대상목록!$A$3:$A$302,0)),""))</f>
        <v/>
      </c>
      <c r="D914" s="10"/>
      <c r="E914" s="10"/>
      <c r="F914" s="19"/>
      <c r="G914" s="10"/>
    </row>
    <row r="915" customFormat="false" ht="15" hidden="false" customHeight="true" outlineLevel="0" collapsed="false">
      <c r="A915" s="14"/>
      <c r="B915" s="10"/>
      <c r="C915" s="18" t="str">
        <f aca="false">IF($B915="","",IFERROR(INDEX(대상목록!$C$3:$C$302,MATCH($B915,대상목록!$A$3:$A$302,0)),""))</f>
        <v/>
      </c>
      <c r="D915" s="10"/>
      <c r="E915" s="10"/>
      <c r="F915" s="19"/>
      <c r="G915" s="10"/>
    </row>
    <row r="916" customFormat="false" ht="15" hidden="false" customHeight="true" outlineLevel="0" collapsed="false">
      <c r="A916" s="14"/>
      <c r="B916" s="10"/>
      <c r="C916" s="18" t="str">
        <f aca="false">IF($B916="","",IFERROR(INDEX(대상목록!$C$3:$C$302,MATCH($B916,대상목록!$A$3:$A$302,0)),""))</f>
        <v/>
      </c>
      <c r="D916" s="10"/>
      <c r="E916" s="10"/>
      <c r="F916" s="19"/>
      <c r="G916" s="10"/>
    </row>
    <row r="917" customFormat="false" ht="15" hidden="false" customHeight="true" outlineLevel="0" collapsed="false">
      <c r="A917" s="14"/>
      <c r="B917" s="10"/>
      <c r="C917" s="18" t="str">
        <f aca="false">IF($B917="","",IFERROR(INDEX(대상목록!$C$3:$C$302,MATCH($B917,대상목록!$A$3:$A$302,0)),""))</f>
        <v/>
      </c>
      <c r="D917" s="10"/>
      <c r="E917" s="10"/>
      <c r="F917" s="19"/>
      <c r="G917" s="10"/>
    </row>
    <row r="918" customFormat="false" ht="15" hidden="false" customHeight="true" outlineLevel="0" collapsed="false">
      <c r="A918" s="14"/>
      <c r="B918" s="10"/>
      <c r="C918" s="18" t="str">
        <f aca="false">IF($B918="","",IFERROR(INDEX(대상목록!$C$3:$C$302,MATCH($B918,대상목록!$A$3:$A$302,0)),""))</f>
        <v/>
      </c>
      <c r="D918" s="10"/>
      <c r="E918" s="10"/>
      <c r="F918" s="19"/>
      <c r="G918" s="10"/>
    </row>
    <row r="919" customFormat="false" ht="15" hidden="false" customHeight="true" outlineLevel="0" collapsed="false">
      <c r="A919" s="14"/>
      <c r="B919" s="10"/>
      <c r="C919" s="18" t="str">
        <f aca="false">IF($B919="","",IFERROR(INDEX(대상목록!$C$3:$C$302,MATCH($B919,대상목록!$A$3:$A$302,0)),""))</f>
        <v/>
      </c>
      <c r="D919" s="10"/>
      <c r="E919" s="10"/>
      <c r="F919" s="19"/>
      <c r="G919" s="10"/>
    </row>
    <row r="920" customFormat="false" ht="15" hidden="false" customHeight="true" outlineLevel="0" collapsed="false">
      <c r="A920" s="14"/>
      <c r="B920" s="10"/>
      <c r="C920" s="18" t="str">
        <f aca="false">IF($B920="","",IFERROR(INDEX(대상목록!$C$3:$C$302,MATCH($B920,대상목록!$A$3:$A$302,0)),""))</f>
        <v/>
      </c>
      <c r="D920" s="10"/>
      <c r="E920" s="10"/>
      <c r="F920" s="19"/>
      <c r="G920" s="10"/>
    </row>
    <row r="921" customFormat="false" ht="15" hidden="false" customHeight="true" outlineLevel="0" collapsed="false">
      <c r="A921" s="14"/>
      <c r="B921" s="10"/>
      <c r="C921" s="18" t="str">
        <f aca="false">IF($B921="","",IFERROR(INDEX(대상목록!$C$3:$C$302,MATCH($B921,대상목록!$A$3:$A$302,0)),""))</f>
        <v/>
      </c>
      <c r="D921" s="10"/>
      <c r="E921" s="10"/>
      <c r="F921" s="19"/>
      <c r="G921" s="10"/>
    </row>
    <row r="922" customFormat="false" ht="15" hidden="false" customHeight="true" outlineLevel="0" collapsed="false">
      <c r="A922" s="14"/>
      <c r="B922" s="10"/>
      <c r="C922" s="18" t="str">
        <f aca="false">IF($B922="","",IFERROR(INDEX(대상목록!$C$3:$C$302,MATCH($B922,대상목록!$A$3:$A$302,0)),""))</f>
        <v/>
      </c>
      <c r="D922" s="10"/>
      <c r="E922" s="10"/>
      <c r="F922" s="19"/>
      <c r="G922" s="10"/>
    </row>
    <row r="923" customFormat="false" ht="15" hidden="false" customHeight="true" outlineLevel="0" collapsed="false">
      <c r="A923" s="14"/>
      <c r="B923" s="10"/>
      <c r="C923" s="18" t="str">
        <f aca="false">IF($B923="","",IFERROR(INDEX(대상목록!$C$3:$C$302,MATCH($B923,대상목록!$A$3:$A$302,0)),""))</f>
        <v/>
      </c>
      <c r="D923" s="10"/>
      <c r="E923" s="10"/>
      <c r="F923" s="19"/>
      <c r="G923" s="10"/>
    </row>
    <row r="924" customFormat="false" ht="15" hidden="false" customHeight="true" outlineLevel="0" collapsed="false">
      <c r="A924" s="14"/>
      <c r="B924" s="10"/>
      <c r="C924" s="18" t="str">
        <f aca="false">IF($B924="","",IFERROR(INDEX(대상목록!$C$3:$C$302,MATCH($B924,대상목록!$A$3:$A$302,0)),""))</f>
        <v/>
      </c>
      <c r="D924" s="10"/>
      <c r="E924" s="10"/>
      <c r="F924" s="19"/>
      <c r="G924" s="10"/>
    </row>
    <row r="925" customFormat="false" ht="15" hidden="false" customHeight="true" outlineLevel="0" collapsed="false">
      <c r="A925" s="14"/>
      <c r="B925" s="10"/>
      <c r="C925" s="18" t="str">
        <f aca="false">IF($B925="","",IFERROR(INDEX(대상목록!$C$3:$C$302,MATCH($B925,대상목록!$A$3:$A$302,0)),""))</f>
        <v/>
      </c>
      <c r="D925" s="10"/>
      <c r="E925" s="10"/>
      <c r="F925" s="19"/>
      <c r="G925" s="10"/>
    </row>
    <row r="926" customFormat="false" ht="15" hidden="false" customHeight="true" outlineLevel="0" collapsed="false">
      <c r="A926" s="14"/>
      <c r="B926" s="10"/>
      <c r="C926" s="18" t="str">
        <f aca="false">IF($B926="","",IFERROR(INDEX(대상목록!$C$3:$C$302,MATCH($B926,대상목록!$A$3:$A$302,0)),""))</f>
        <v/>
      </c>
      <c r="D926" s="10"/>
      <c r="E926" s="10"/>
      <c r="F926" s="19"/>
      <c r="G926" s="10"/>
    </row>
    <row r="927" customFormat="false" ht="15" hidden="false" customHeight="true" outlineLevel="0" collapsed="false">
      <c r="A927" s="14"/>
      <c r="B927" s="10"/>
      <c r="C927" s="18" t="str">
        <f aca="false">IF($B927="","",IFERROR(INDEX(대상목록!$C$3:$C$302,MATCH($B927,대상목록!$A$3:$A$302,0)),""))</f>
        <v/>
      </c>
      <c r="D927" s="10"/>
      <c r="E927" s="10"/>
      <c r="F927" s="19"/>
      <c r="G927" s="10"/>
    </row>
    <row r="928" customFormat="false" ht="15" hidden="false" customHeight="true" outlineLevel="0" collapsed="false">
      <c r="A928" s="14"/>
      <c r="B928" s="10"/>
      <c r="C928" s="18" t="str">
        <f aca="false">IF($B928="","",IFERROR(INDEX(대상목록!$C$3:$C$302,MATCH($B928,대상목록!$A$3:$A$302,0)),""))</f>
        <v/>
      </c>
      <c r="D928" s="10"/>
      <c r="E928" s="10"/>
      <c r="F928" s="19"/>
      <c r="G928" s="10"/>
    </row>
    <row r="929" customFormat="false" ht="15" hidden="false" customHeight="true" outlineLevel="0" collapsed="false">
      <c r="A929" s="14"/>
      <c r="B929" s="10"/>
      <c r="C929" s="18" t="str">
        <f aca="false">IF($B929="","",IFERROR(INDEX(대상목록!$C$3:$C$302,MATCH($B929,대상목록!$A$3:$A$302,0)),""))</f>
        <v/>
      </c>
      <c r="D929" s="10"/>
      <c r="E929" s="10"/>
      <c r="F929" s="19"/>
      <c r="G929" s="10"/>
    </row>
    <row r="930" customFormat="false" ht="15" hidden="false" customHeight="true" outlineLevel="0" collapsed="false">
      <c r="A930" s="14"/>
      <c r="B930" s="10"/>
      <c r="C930" s="18" t="str">
        <f aca="false">IF($B930="","",IFERROR(INDEX(대상목록!$C$3:$C$302,MATCH($B930,대상목록!$A$3:$A$302,0)),""))</f>
        <v/>
      </c>
      <c r="D930" s="10"/>
      <c r="E930" s="10"/>
      <c r="F930" s="19"/>
      <c r="G930" s="10"/>
    </row>
    <row r="931" customFormat="false" ht="15" hidden="false" customHeight="true" outlineLevel="0" collapsed="false">
      <c r="A931" s="14"/>
      <c r="B931" s="10"/>
      <c r="C931" s="18" t="str">
        <f aca="false">IF($B931="","",IFERROR(INDEX(대상목록!$C$3:$C$302,MATCH($B931,대상목록!$A$3:$A$302,0)),""))</f>
        <v/>
      </c>
      <c r="D931" s="10"/>
      <c r="E931" s="10"/>
      <c r="F931" s="19"/>
      <c r="G931" s="10"/>
    </row>
    <row r="932" customFormat="false" ht="15" hidden="false" customHeight="true" outlineLevel="0" collapsed="false">
      <c r="A932" s="14"/>
      <c r="B932" s="10"/>
      <c r="C932" s="18" t="str">
        <f aca="false">IF($B932="","",IFERROR(INDEX(대상목록!$C$3:$C$302,MATCH($B932,대상목록!$A$3:$A$302,0)),""))</f>
        <v/>
      </c>
      <c r="D932" s="10"/>
      <c r="E932" s="10"/>
      <c r="F932" s="19"/>
      <c r="G932" s="10"/>
    </row>
    <row r="933" customFormat="false" ht="15" hidden="false" customHeight="true" outlineLevel="0" collapsed="false">
      <c r="A933" s="14"/>
      <c r="B933" s="10"/>
      <c r="C933" s="18" t="str">
        <f aca="false">IF($B933="","",IFERROR(INDEX(대상목록!$C$3:$C$302,MATCH($B933,대상목록!$A$3:$A$302,0)),""))</f>
        <v/>
      </c>
      <c r="D933" s="10"/>
      <c r="E933" s="10"/>
      <c r="F933" s="19"/>
      <c r="G933" s="10"/>
    </row>
    <row r="934" customFormat="false" ht="15" hidden="false" customHeight="true" outlineLevel="0" collapsed="false">
      <c r="A934" s="14"/>
      <c r="B934" s="10"/>
      <c r="C934" s="18" t="str">
        <f aca="false">IF($B934="","",IFERROR(INDEX(대상목록!$C$3:$C$302,MATCH($B934,대상목록!$A$3:$A$302,0)),""))</f>
        <v/>
      </c>
      <c r="D934" s="10"/>
      <c r="E934" s="10"/>
      <c r="F934" s="19"/>
      <c r="G934" s="10"/>
    </row>
    <row r="935" customFormat="false" ht="15" hidden="false" customHeight="true" outlineLevel="0" collapsed="false">
      <c r="A935" s="14"/>
      <c r="B935" s="10"/>
      <c r="C935" s="18" t="str">
        <f aca="false">IF($B935="","",IFERROR(INDEX(대상목록!$C$3:$C$302,MATCH($B935,대상목록!$A$3:$A$302,0)),""))</f>
        <v/>
      </c>
      <c r="D935" s="10"/>
      <c r="E935" s="10"/>
      <c r="F935" s="19"/>
      <c r="G935" s="10"/>
    </row>
    <row r="936" customFormat="false" ht="15" hidden="false" customHeight="true" outlineLevel="0" collapsed="false">
      <c r="A936" s="14"/>
      <c r="B936" s="10"/>
      <c r="C936" s="18" t="str">
        <f aca="false">IF($B936="","",IFERROR(INDEX(대상목록!$C$3:$C$302,MATCH($B936,대상목록!$A$3:$A$302,0)),""))</f>
        <v/>
      </c>
      <c r="D936" s="10"/>
      <c r="E936" s="10"/>
      <c r="F936" s="19"/>
      <c r="G936" s="10"/>
    </row>
    <row r="937" customFormat="false" ht="15" hidden="false" customHeight="true" outlineLevel="0" collapsed="false">
      <c r="A937" s="14"/>
      <c r="B937" s="10"/>
      <c r="C937" s="18" t="str">
        <f aca="false">IF($B937="","",IFERROR(INDEX(대상목록!$C$3:$C$302,MATCH($B937,대상목록!$A$3:$A$302,0)),""))</f>
        <v/>
      </c>
      <c r="D937" s="10"/>
      <c r="E937" s="10"/>
      <c r="F937" s="19"/>
      <c r="G937" s="10"/>
    </row>
    <row r="938" customFormat="false" ht="15" hidden="false" customHeight="true" outlineLevel="0" collapsed="false">
      <c r="A938" s="14"/>
      <c r="B938" s="10"/>
      <c r="C938" s="18" t="str">
        <f aca="false">IF($B938="","",IFERROR(INDEX(대상목록!$C$3:$C$302,MATCH($B938,대상목록!$A$3:$A$302,0)),""))</f>
        <v/>
      </c>
      <c r="D938" s="10"/>
      <c r="E938" s="10"/>
      <c r="F938" s="19"/>
      <c r="G938" s="10"/>
    </row>
    <row r="939" customFormat="false" ht="15" hidden="false" customHeight="true" outlineLevel="0" collapsed="false">
      <c r="A939" s="14"/>
      <c r="B939" s="10"/>
      <c r="C939" s="18" t="str">
        <f aca="false">IF($B939="","",IFERROR(INDEX(대상목록!$C$3:$C$302,MATCH($B939,대상목록!$A$3:$A$302,0)),""))</f>
        <v/>
      </c>
      <c r="D939" s="10"/>
      <c r="E939" s="10"/>
      <c r="F939" s="19"/>
      <c r="G939" s="10"/>
    </row>
    <row r="940" customFormat="false" ht="15" hidden="false" customHeight="true" outlineLevel="0" collapsed="false">
      <c r="A940" s="14"/>
      <c r="B940" s="10"/>
      <c r="C940" s="18" t="str">
        <f aca="false">IF($B940="","",IFERROR(INDEX(대상목록!$C$3:$C$302,MATCH($B940,대상목록!$A$3:$A$302,0)),""))</f>
        <v/>
      </c>
      <c r="D940" s="10"/>
      <c r="E940" s="10"/>
      <c r="F940" s="19"/>
      <c r="G940" s="10"/>
    </row>
    <row r="941" customFormat="false" ht="15" hidden="false" customHeight="true" outlineLevel="0" collapsed="false">
      <c r="A941" s="14"/>
      <c r="B941" s="10"/>
      <c r="C941" s="18" t="str">
        <f aca="false">IF($B941="","",IFERROR(INDEX(대상목록!$C$3:$C$302,MATCH($B941,대상목록!$A$3:$A$302,0)),""))</f>
        <v/>
      </c>
      <c r="D941" s="10"/>
      <c r="E941" s="10"/>
      <c r="F941" s="19"/>
      <c r="G941" s="10"/>
    </row>
    <row r="942" customFormat="false" ht="15" hidden="false" customHeight="true" outlineLevel="0" collapsed="false">
      <c r="A942" s="14"/>
      <c r="B942" s="10"/>
      <c r="C942" s="18" t="str">
        <f aca="false">IF($B942="","",IFERROR(INDEX(대상목록!$C$3:$C$302,MATCH($B942,대상목록!$A$3:$A$302,0)),""))</f>
        <v/>
      </c>
      <c r="D942" s="10"/>
      <c r="E942" s="10"/>
      <c r="F942" s="19"/>
      <c r="G942" s="10"/>
    </row>
    <row r="943" customFormat="false" ht="15" hidden="false" customHeight="true" outlineLevel="0" collapsed="false">
      <c r="A943" s="14"/>
      <c r="B943" s="10"/>
      <c r="C943" s="18" t="str">
        <f aca="false">IF($B943="","",IFERROR(INDEX(대상목록!$C$3:$C$302,MATCH($B943,대상목록!$A$3:$A$302,0)),""))</f>
        <v/>
      </c>
      <c r="D943" s="10"/>
      <c r="E943" s="10"/>
      <c r="F943" s="19"/>
      <c r="G943" s="10"/>
    </row>
    <row r="944" customFormat="false" ht="15" hidden="false" customHeight="true" outlineLevel="0" collapsed="false">
      <c r="A944" s="14"/>
      <c r="B944" s="10"/>
      <c r="C944" s="18" t="str">
        <f aca="false">IF($B944="","",IFERROR(INDEX(대상목록!$C$3:$C$302,MATCH($B944,대상목록!$A$3:$A$302,0)),""))</f>
        <v/>
      </c>
      <c r="D944" s="10"/>
      <c r="E944" s="10"/>
      <c r="F944" s="19"/>
      <c r="G944" s="10"/>
    </row>
    <row r="945" customFormat="false" ht="15" hidden="false" customHeight="true" outlineLevel="0" collapsed="false">
      <c r="A945" s="14"/>
      <c r="B945" s="10"/>
      <c r="C945" s="18" t="str">
        <f aca="false">IF($B945="","",IFERROR(INDEX(대상목록!$C$3:$C$302,MATCH($B945,대상목록!$A$3:$A$302,0)),""))</f>
        <v/>
      </c>
      <c r="D945" s="10"/>
      <c r="E945" s="10"/>
      <c r="F945" s="19"/>
      <c r="G945" s="10"/>
    </row>
    <row r="946" customFormat="false" ht="15" hidden="false" customHeight="true" outlineLevel="0" collapsed="false">
      <c r="A946" s="14"/>
      <c r="B946" s="10"/>
      <c r="C946" s="18" t="str">
        <f aca="false">IF($B946="","",IFERROR(INDEX(대상목록!$C$3:$C$302,MATCH($B946,대상목록!$A$3:$A$302,0)),""))</f>
        <v/>
      </c>
      <c r="D946" s="10"/>
      <c r="E946" s="10"/>
      <c r="F946" s="19"/>
      <c r="G946" s="10"/>
    </row>
    <row r="947" customFormat="false" ht="15" hidden="false" customHeight="true" outlineLevel="0" collapsed="false">
      <c r="A947" s="14"/>
      <c r="B947" s="10"/>
      <c r="C947" s="18" t="str">
        <f aca="false">IF($B947="","",IFERROR(INDEX(대상목록!$C$3:$C$302,MATCH($B947,대상목록!$A$3:$A$302,0)),""))</f>
        <v/>
      </c>
      <c r="D947" s="10"/>
      <c r="E947" s="10"/>
      <c r="F947" s="19"/>
      <c r="G947" s="10"/>
    </row>
    <row r="948" customFormat="false" ht="15" hidden="false" customHeight="true" outlineLevel="0" collapsed="false">
      <c r="A948" s="14"/>
      <c r="B948" s="10"/>
      <c r="C948" s="18" t="str">
        <f aca="false">IF($B948="","",IFERROR(INDEX(대상목록!$C$3:$C$302,MATCH($B948,대상목록!$A$3:$A$302,0)),""))</f>
        <v/>
      </c>
      <c r="D948" s="10"/>
      <c r="E948" s="10"/>
      <c r="F948" s="19"/>
      <c r="G948" s="10"/>
    </row>
    <row r="949" customFormat="false" ht="15" hidden="false" customHeight="true" outlineLevel="0" collapsed="false">
      <c r="A949" s="14"/>
      <c r="B949" s="10"/>
      <c r="C949" s="18" t="str">
        <f aca="false">IF($B949="","",IFERROR(INDEX(대상목록!$C$3:$C$302,MATCH($B949,대상목록!$A$3:$A$302,0)),""))</f>
        <v/>
      </c>
      <c r="D949" s="10"/>
      <c r="E949" s="10"/>
      <c r="F949" s="19"/>
      <c r="G949" s="10"/>
    </row>
    <row r="950" customFormat="false" ht="15" hidden="false" customHeight="true" outlineLevel="0" collapsed="false">
      <c r="A950" s="14"/>
      <c r="B950" s="10"/>
      <c r="C950" s="18" t="str">
        <f aca="false">IF($B950="","",IFERROR(INDEX(대상목록!$C$3:$C$302,MATCH($B950,대상목록!$A$3:$A$302,0)),""))</f>
        <v/>
      </c>
      <c r="D950" s="10"/>
      <c r="E950" s="10"/>
      <c r="F950" s="19"/>
      <c r="G950" s="10"/>
    </row>
    <row r="951" customFormat="false" ht="15" hidden="false" customHeight="true" outlineLevel="0" collapsed="false">
      <c r="A951" s="14"/>
      <c r="B951" s="10"/>
      <c r="C951" s="18" t="str">
        <f aca="false">IF($B951="","",IFERROR(INDEX(대상목록!$C$3:$C$302,MATCH($B951,대상목록!$A$3:$A$302,0)),""))</f>
        <v/>
      </c>
      <c r="D951" s="10"/>
      <c r="E951" s="10"/>
      <c r="F951" s="19"/>
      <c r="G951" s="10"/>
    </row>
    <row r="952" customFormat="false" ht="15" hidden="false" customHeight="true" outlineLevel="0" collapsed="false">
      <c r="A952" s="14"/>
      <c r="B952" s="10"/>
      <c r="C952" s="18" t="str">
        <f aca="false">IF($B952="","",IFERROR(INDEX(대상목록!$C$3:$C$302,MATCH($B952,대상목록!$A$3:$A$302,0)),""))</f>
        <v/>
      </c>
      <c r="D952" s="10"/>
      <c r="E952" s="10"/>
      <c r="F952" s="19"/>
      <c r="G952" s="10"/>
    </row>
    <row r="953" customFormat="false" ht="15" hidden="false" customHeight="true" outlineLevel="0" collapsed="false">
      <c r="A953" s="14"/>
      <c r="B953" s="10"/>
      <c r="C953" s="18" t="str">
        <f aca="false">IF($B953="","",IFERROR(INDEX(대상목록!$C$3:$C$302,MATCH($B953,대상목록!$A$3:$A$302,0)),""))</f>
        <v/>
      </c>
      <c r="D953" s="10"/>
      <c r="E953" s="10"/>
      <c r="F953" s="19"/>
      <c r="G953" s="10"/>
    </row>
    <row r="954" customFormat="false" ht="15" hidden="false" customHeight="true" outlineLevel="0" collapsed="false">
      <c r="A954" s="14"/>
      <c r="B954" s="10"/>
      <c r="C954" s="18" t="str">
        <f aca="false">IF($B954="","",IFERROR(INDEX(대상목록!$C$3:$C$302,MATCH($B954,대상목록!$A$3:$A$302,0)),""))</f>
        <v/>
      </c>
      <c r="D954" s="10"/>
      <c r="E954" s="10"/>
      <c r="F954" s="19"/>
      <c r="G954" s="10"/>
    </row>
    <row r="955" customFormat="false" ht="15" hidden="false" customHeight="true" outlineLevel="0" collapsed="false">
      <c r="A955" s="14"/>
      <c r="B955" s="10"/>
      <c r="C955" s="18" t="str">
        <f aca="false">IF($B955="","",IFERROR(INDEX(대상목록!$C$3:$C$302,MATCH($B955,대상목록!$A$3:$A$302,0)),""))</f>
        <v/>
      </c>
      <c r="D955" s="10"/>
      <c r="E955" s="10"/>
      <c r="F955" s="19"/>
      <c r="G955" s="10"/>
    </row>
    <row r="956" customFormat="false" ht="15" hidden="false" customHeight="true" outlineLevel="0" collapsed="false">
      <c r="A956" s="14"/>
      <c r="B956" s="10"/>
      <c r="C956" s="18" t="str">
        <f aca="false">IF($B956="","",IFERROR(INDEX(대상목록!$C$3:$C$302,MATCH($B956,대상목록!$A$3:$A$302,0)),""))</f>
        <v/>
      </c>
      <c r="D956" s="10"/>
      <c r="E956" s="10"/>
      <c r="F956" s="19"/>
      <c r="G956" s="10"/>
    </row>
    <row r="957" customFormat="false" ht="15" hidden="false" customHeight="true" outlineLevel="0" collapsed="false">
      <c r="A957" s="14"/>
      <c r="B957" s="10"/>
      <c r="C957" s="18" t="str">
        <f aca="false">IF($B957="","",IFERROR(INDEX(대상목록!$C$3:$C$302,MATCH($B957,대상목록!$A$3:$A$302,0)),""))</f>
        <v/>
      </c>
      <c r="D957" s="10"/>
      <c r="E957" s="10"/>
      <c r="F957" s="19"/>
      <c r="G957" s="10"/>
    </row>
    <row r="958" customFormat="false" ht="15" hidden="false" customHeight="true" outlineLevel="0" collapsed="false">
      <c r="A958" s="14"/>
      <c r="B958" s="10"/>
      <c r="C958" s="18" t="str">
        <f aca="false">IF($B958="","",IFERROR(INDEX(대상목록!$C$3:$C$302,MATCH($B958,대상목록!$A$3:$A$302,0)),""))</f>
        <v/>
      </c>
      <c r="D958" s="10"/>
      <c r="E958" s="10"/>
      <c r="F958" s="19"/>
      <c r="G958" s="10"/>
    </row>
    <row r="959" customFormat="false" ht="15" hidden="false" customHeight="true" outlineLevel="0" collapsed="false">
      <c r="A959" s="14"/>
      <c r="B959" s="10"/>
      <c r="C959" s="18" t="str">
        <f aca="false">IF($B959="","",IFERROR(INDEX(대상목록!$C$3:$C$302,MATCH($B959,대상목록!$A$3:$A$302,0)),""))</f>
        <v/>
      </c>
      <c r="D959" s="10"/>
      <c r="E959" s="10"/>
      <c r="F959" s="19"/>
      <c r="G959" s="10"/>
    </row>
    <row r="960" customFormat="false" ht="15" hidden="false" customHeight="true" outlineLevel="0" collapsed="false">
      <c r="A960" s="14"/>
      <c r="B960" s="10"/>
      <c r="C960" s="18" t="str">
        <f aca="false">IF($B960="","",IFERROR(INDEX(대상목록!$C$3:$C$302,MATCH($B960,대상목록!$A$3:$A$302,0)),""))</f>
        <v/>
      </c>
      <c r="D960" s="10"/>
      <c r="E960" s="10"/>
      <c r="F960" s="19"/>
      <c r="G960" s="10"/>
    </row>
    <row r="961" customFormat="false" ht="15" hidden="false" customHeight="true" outlineLevel="0" collapsed="false">
      <c r="A961" s="14"/>
      <c r="B961" s="10"/>
      <c r="C961" s="18" t="str">
        <f aca="false">IF($B961="","",IFERROR(INDEX(대상목록!$C$3:$C$302,MATCH($B961,대상목록!$A$3:$A$302,0)),""))</f>
        <v/>
      </c>
      <c r="D961" s="10"/>
      <c r="E961" s="10"/>
      <c r="F961" s="19"/>
      <c r="G961" s="10"/>
    </row>
    <row r="962" customFormat="false" ht="15" hidden="false" customHeight="true" outlineLevel="0" collapsed="false">
      <c r="A962" s="14"/>
      <c r="B962" s="10"/>
      <c r="C962" s="18" t="str">
        <f aca="false">IF($B962="","",IFERROR(INDEX(대상목록!$C$3:$C$302,MATCH($B962,대상목록!$A$3:$A$302,0)),""))</f>
        <v/>
      </c>
      <c r="D962" s="10"/>
      <c r="E962" s="10"/>
      <c r="F962" s="19"/>
      <c r="G962" s="10"/>
    </row>
    <row r="963" customFormat="false" ht="15" hidden="false" customHeight="true" outlineLevel="0" collapsed="false">
      <c r="A963" s="14"/>
      <c r="B963" s="10"/>
      <c r="C963" s="18" t="str">
        <f aca="false">IF($B963="","",IFERROR(INDEX(대상목록!$C$3:$C$302,MATCH($B963,대상목록!$A$3:$A$302,0)),""))</f>
        <v/>
      </c>
      <c r="D963" s="10"/>
      <c r="E963" s="10"/>
      <c r="F963" s="19"/>
      <c r="G963" s="10"/>
    </row>
    <row r="964" customFormat="false" ht="15" hidden="false" customHeight="true" outlineLevel="0" collapsed="false">
      <c r="A964" s="14"/>
      <c r="B964" s="10"/>
      <c r="C964" s="18" t="str">
        <f aca="false">IF($B964="","",IFERROR(INDEX(대상목록!$C$3:$C$302,MATCH($B964,대상목록!$A$3:$A$302,0)),""))</f>
        <v/>
      </c>
      <c r="D964" s="10"/>
      <c r="E964" s="10"/>
      <c r="F964" s="19"/>
      <c r="G964" s="10"/>
    </row>
    <row r="965" customFormat="false" ht="15" hidden="false" customHeight="true" outlineLevel="0" collapsed="false">
      <c r="A965" s="14"/>
      <c r="B965" s="10"/>
      <c r="C965" s="18" t="str">
        <f aca="false">IF($B965="","",IFERROR(INDEX(대상목록!$C$3:$C$302,MATCH($B965,대상목록!$A$3:$A$302,0)),""))</f>
        <v/>
      </c>
      <c r="D965" s="10"/>
      <c r="E965" s="10"/>
      <c r="F965" s="19"/>
      <c r="G965" s="10"/>
    </row>
    <row r="966" customFormat="false" ht="15" hidden="false" customHeight="true" outlineLevel="0" collapsed="false">
      <c r="A966" s="14"/>
      <c r="B966" s="10"/>
      <c r="C966" s="18" t="str">
        <f aca="false">IF($B966="","",IFERROR(INDEX(대상목록!$C$3:$C$302,MATCH($B966,대상목록!$A$3:$A$302,0)),""))</f>
        <v/>
      </c>
      <c r="D966" s="10"/>
      <c r="E966" s="10"/>
      <c r="F966" s="19"/>
      <c r="G966" s="10"/>
    </row>
    <row r="967" customFormat="false" ht="15" hidden="false" customHeight="true" outlineLevel="0" collapsed="false">
      <c r="A967" s="14"/>
      <c r="B967" s="10"/>
      <c r="C967" s="18" t="str">
        <f aca="false">IF($B967="","",IFERROR(INDEX(대상목록!$C$3:$C$302,MATCH($B967,대상목록!$A$3:$A$302,0)),""))</f>
        <v/>
      </c>
      <c r="D967" s="10"/>
      <c r="E967" s="10"/>
      <c r="F967" s="19"/>
      <c r="G967" s="10"/>
    </row>
    <row r="968" customFormat="false" ht="15" hidden="false" customHeight="true" outlineLevel="0" collapsed="false">
      <c r="A968" s="14"/>
      <c r="B968" s="10"/>
      <c r="C968" s="18" t="str">
        <f aca="false">IF($B968="","",IFERROR(INDEX(대상목록!$C$3:$C$302,MATCH($B968,대상목록!$A$3:$A$302,0)),""))</f>
        <v/>
      </c>
      <c r="D968" s="10"/>
      <c r="E968" s="10"/>
      <c r="F968" s="19"/>
      <c r="G968" s="10"/>
    </row>
    <row r="969" customFormat="false" ht="15" hidden="false" customHeight="true" outlineLevel="0" collapsed="false">
      <c r="A969" s="14"/>
      <c r="B969" s="10"/>
      <c r="C969" s="18" t="str">
        <f aca="false">IF($B969="","",IFERROR(INDEX(대상목록!$C$3:$C$302,MATCH($B969,대상목록!$A$3:$A$302,0)),""))</f>
        <v/>
      </c>
      <c r="D969" s="10"/>
      <c r="E969" s="10"/>
      <c r="F969" s="19"/>
      <c r="G969" s="10"/>
    </row>
    <row r="970" customFormat="false" ht="15" hidden="false" customHeight="true" outlineLevel="0" collapsed="false">
      <c r="A970" s="14"/>
      <c r="B970" s="10"/>
      <c r="C970" s="18" t="str">
        <f aca="false">IF($B970="","",IFERROR(INDEX(대상목록!$C$3:$C$302,MATCH($B970,대상목록!$A$3:$A$302,0)),""))</f>
        <v/>
      </c>
      <c r="D970" s="10"/>
      <c r="E970" s="10"/>
      <c r="F970" s="19"/>
      <c r="G970" s="10"/>
    </row>
    <row r="971" customFormat="false" ht="15" hidden="false" customHeight="true" outlineLevel="0" collapsed="false">
      <c r="A971" s="14"/>
      <c r="B971" s="10"/>
      <c r="C971" s="18" t="str">
        <f aca="false">IF($B971="","",IFERROR(INDEX(대상목록!$C$3:$C$302,MATCH($B971,대상목록!$A$3:$A$302,0)),""))</f>
        <v/>
      </c>
      <c r="D971" s="10"/>
      <c r="E971" s="10"/>
      <c r="F971" s="19"/>
      <c r="G971" s="10"/>
    </row>
    <row r="972" customFormat="false" ht="15" hidden="false" customHeight="true" outlineLevel="0" collapsed="false">
      <c r="A972" s="14"/>
      <c r="B972" s="10"/>
      <c r="C972" s="18" t="str">
        <f aca="false">IF($B972="","",IFERROR(INDEX(대상목록!$C$3:$C$302,MATCH($B972,대상목록!$A$3:$A$302,0)),""))</f>
        <v/>
      </c>
      <c r="D972" s="10"/>
      <c r="E972" s="10"/>
      <c r="F972" s="19"/>
      <c r="G972" s="10"/>
    </row>
    <row r="973" customFormat="false" ht="15" hidden="false" customHeight="true" outlineLevel="0" collapsed="false">
      <c r="A973" s="14"/>
      <c r="B973" s="10"/>
      <c r="C973" s="18" t="str">
        <f aca="false">IF($B973="","",IFERROR(INDEX(대상목록!$C$3:$C$302,MATCH($B973,대상목록!$A$3:$A$302,0)),""))</f>
        <v/>
      </c>
      <c r="D973" s="10"/>
      <c r="E973" s="10"/>
      <c r="F973" s="19"/>
      <c r="G973" s="10"/>
    </row>
    <row r="974" customFormat="false" ht="15" hidden="false" customHeight="true" outlineLevel="0" collapsed="false">
      <c r="A974" s="14"/>
      <c r="B974" s="10"/>
      <c r="C974" s="18" t="str">
        <f aca="false">IF($B974="","",IFERROR(INDEX(대상목록!$C$3:$C$302,MATCH($B974,대상목록!$A$3:$A$302,0)),""))</f>
        <v/>
      </c>
      <c r="D974" s="10"/>
      <c r="E974" s="10"/>
      <c r="F974" s="19"/>
      <c r="G974" s="10"/>
    </row>
    <row r="975" customFormat="false" ht="15" hidden="false" customHeight="true" outlineLevel="0" collapsed="false">
      <c r="A975" s="14"/>
      <c r="B975" s="10"/>
      <c r="C975" s="18" t="str">
        <f aca="false">IF($B975="","",IFERROR(INDEX(대상목록!$C$3:$C$302,MATCH($B975,대상목록!$A$3:$A$302,0)),""))</f>
        <v/>
      </c>
      <c r="D975" s="10"/>
      <c r="E975" s="10"/>
      <c r="F975" s="19"/>
      <c r="G975" s="10"/>
    </row>
    <row r="976" customFormat="false" ht="15" hidden="false" customHeight="true" outlineLevel="0" collapsed="false">
      <c r="A976" s="14"/>
      <c r="B976" s="10"/>
      <c r="C976" s="18" t="str">
        <f aca="false">IF($B976="","",IFERROR(INDEX(대상목록!$C$3:$C$302,MATCH($B976,대상목록!$A$3:$A$302,0)),""))</f>
        <v/>
      </c>
      <c r="D976" s="10"/>
      <c r="E976" s="10"/>
      <c r="F976" s="19"/>
      <c r="G976" s="10"/>
    </row>
    <row r="977" customFormat="false" ht="15" hidden="false" customHeight="true" outlineLevel="0" collapsed="false">
      <c r="A977" s="14"/>
      <c r="B977" s="10"/>
      <c r="C977" s="18" t="str">
        <f aca="false">IF($B977="","",IFERROR(INDEX(대상목록!$C$3:$C$302,MATCH($B977,대상목록!$A$3:$A$302,0)),""))</f>
        <v/>
      </c>
      <c r="D977" s="10"/>
      <c r="E977" s="10"/>
      <c r="F977" s="19"/>
      <c r="G977" s="10"/>
    </row>
    <row r="978" customFormat="false" ht="15" hidden="false" customHeight="true" outlineLevel="0" collapsed="false">
      <c r="A978" s="14"/>
      <c r="B978" s="10"/>
      <c r="C978" s="18" t="str">
        <f aca="false">IF($B978="","",IFERROR(INDEX(대상목록!$C$3:$C$302,MATCH($B978,대상목록!$A$3:$A$302,0)),""))</f>
        <v/>
      </c>
      <c r="D978" s="10"/>
      <c r="E978" s="10"/>
      <c r="F978" s="19"/>
      <c r="G978" s="10"/>
    </row>
    <row r="979" customFormat="false" ht="15" hidden="false" customHeight="true" outlineLevel="0" collapsed="false">
      <c r="A979" s="14"/>
      <c r="B979" s="10"/>
      <c r="C979" s="18" t="str">
        <f aca="false">IF($B979="","",IFERROR(INDEX(대상목록!$C$3:$C$302,MATCH($B979,대상목록!$A$3:$A$302,0)),""))</f>
        <v/>
      </c>
      <c r="D979" s="10"/>
      <c r="E979" s="10"/>
      <c r="F979" s="19"/>
      <c r="G979" s="10"/>
    </row>
    <row r="980" customFormat="false" ht="15" hidden="false" customHeight="true" outlineLevel="0" collapsed="false">
      <c r="A980" s="14"/>
      <c r="B980" s="10"/>
      <c r="C980" s="18" t="str">
        <f aca="false">IF($B980="","",IFERROR(INDEX(대상목록!$C$3:$C$302,MATCH($B980,대상목록!$A$3:$A$302,0)),""))</f>
        <v/>
      </c>
      <c r="D980" s="10"/>
      <c r="E980" s="10"/>
      <c r="F980" s="19"/>
      <c r="G980" s="10"/>
    </row>
    <row r="981" customFormat="false" ht="15" hidden="false" customHeight="true" outlineLevel="0" collapsed="false">
      <c r="A981" s="14"/>
      <c r="B981" s="10"/>
      <c r="C981" s="18" t="str">
        <f aca="false">IF($B981="","",IFERROR(INDEX(대상목록!$C$3:$C$302,MATCH($B981,대상목록!$A$3:$A$302,0)),""))</f>
        <v/>
      </c>
      <c r="D981" s="10"/>
      <c r="E981" s="10"/>
      <c r="F981" s="19"/>
      <c r="G981" s="10"/>
    </row>
    <row r="982" customFormat="false" ht="15" hidden="false" customHeight="true" outlineLevel="0" collapsed="false">
      <c r="A982" s="14"/>
      <c r="B982" s="10"/>
      <c r="C982" s="18" t="str">
        <f aca="false">IF($B982="","",IFERROR(INDEX(대상목록!$C$3:$C$302,MATCH($B982,대상목록!$A$3:$A$302,0)),""))</f>
        <v/>
      </c>
      <c r="D982" s="10"/>
      <c r="E982" s="10"/>
      <c r="F982" s="19"/>
      <c r="G982" s="10"/>
    </row>
    <row r="983" customFormat="false" ht="15" hidden="false" customHeight="true" outlineLevel="0" collapsed="false">
      <c r="A983" s="14"/>
      <c r="B983" s="10"/>
      <c r="C983" s="18" t="str">
        <f aca="false">IF($B983="","",IFERROR(INDEX(대상목록!$C$3:$C$302,MATCH($B983,대상목록!$A$3:$A$302,0)),""))</f>
        <v/>
      </c>
      <c r="D983" s="10"/>
      <c r="E983" s="10"/>
      <c r="F983" s="19"/>
      <c r="G983" s="10"/>
    </row>
    <row r="984" customFormat="false" ht="15" hidden="false" customHeight="true" outlineLevel="0" collapsed="false">
      <c r="A984" s="14"/>
      <c r="B984" s="10"/>
      <c r="C984" s="18" t="str">
        <f aca="false">IF($B984="","",IFERROR(INDEX(대상목록!$C$3:$C$302,MATCH($B984,대상목록!$A$3:$A$302,0)),""))</f>
        <v/>
      </c>
      <c r="D984" s="10"/>
      <c r="E984" s="10"/>
      <c r="F984" s="19"/>
      <c r="G984" s="10"/>
    </row>
    <row r="985" customFormat="false" ht="15" hidden="false" customHeight="true" outlineLevel="0" collapsed="false">
      <c r="A985" s="14"/>
      <c r="B985" s="10"/>
      <c r="C985" s="18" t="str">
        <f aca="false">IF($B985="","",IFERROR(INDEX(대상목록!$C$3:$C$302,MATCH($B985,대상목록!$A$3:$A$302,0)),""))</f>
        <v/>
      </c>
      <c r="D985" s="10"/>
      <c r="E985" s="10"/>
      <c r="F985" s="19"/>
      <c r="G985" s="10"/>
    </row>
    <row r="986" customFormat="false" ht="15" hidden="false" customHeight="true" outlineLevel="0" collapsed="false">
      <c r="A986" s="14"/>
      <c r="B986" s="10"/>
      <c r="C986" s="18" t="str">
        <f aca="false">IF($B986="","",IFERROR(INDEX(대상목록!$C$3:$C$302,MATCH($B986,대상목록!$A$3:$A$302,0)),""))</f>
        <v/>
      </c>
      <c r="D986" s="10"/>
      <c r="E986" s="10"/>
      <c r="F986" s="19"/>
      <c r="G986" s="10"/>
    </row>
    <row r="987" customFormat="false" ht="15" hidden="false" customHeight="true" outlineLevel="0" collapsed="false">
      <c r="A987" s="14"/>
      <c r="B987" s="10"/>
      <c r="C987" s="18" t="str">
        <f aca="false">IF($B987="","",IFERROR(INDEX(대상목록!$C$3:$C$302,MATCH($B987,대상목록!$A$3:$A$302,0)),""))</f>
        <v/>
      </c>
      <c r="D987" s="10"/>
      <c r="E987" s="10"/>
      <c r="F987" s="19"/>
      <c r="G987" s="10"/>
    </row>
    <row r="988" customFormat="false" ht="15" hidden="false" customHeight="true" outlineLevel="0" collapsed="false">
      <c r="A988" s="14"/>
      <c r="B988" s="10"/>
      <c r="C988" s="18" t="str">
        <f aca="false">IF($B988="","",IFERROR(INDEX(대상목록!$C$3:$C$302,MATCH($B988,대상목록!$A$3:$A$302,0)),""))</f>
        <v/>
      </c>
      <c r="D988" s="10"/>
      <c r="E988" s="10"/>
      <c r="F988" s="19"/>
      <c r="G988" s="10"/>
    </row>
    <row r="989" customFormat="false" ht="15" hidden="false" customHeight="true" outlineLevel="0" collapsed="false">
      <c r="A989" s="14"/>
      <c r="B989" s="10"/>
      <c r="C989" s="18" t="str">
        <f aca="false">IF($B989="","",IFERROR(INDEX(대상목록!$C$3:$C$302,MATCH($B989,대상목록!$A$3:$A$302,0)),""))</f>
        <v/>
      </c>
      <c r="D989" s="10"/>
      <c r="E989" s="10"/>
      <c r="F989" s="19"/>
      <c r="G989" s="10"/>
    </row>
    <row r="990" customFormat="false" ht="15" hidden="false" customHeight="true" outlineLevel="0" collapsed="false">
      <c r="A990" s="14"/>
      <c r="B990" s="10"/>
      <c r="C990" s="18" t="str">
        <f aca="false">IF($B990="","",IFERROR(INDEX(대상목록!$C$3:$C$302,MATCH($B990,대상목록!$A$3:$A$302,0)),""))</f>
        <v/>
      </c>
      <c r="D990" s="10"/>
      <c r="E990" s="10"/>
      <c r="F990" s="19"/>
      <c r="G990" s="10"/>
    </row>
    <row r="991" customFormat="false" ht="15" hidden="false" customHeight="true" outlineLevel="0" collapsed="false">
      <c r="A991" s="14"/>
      <c r="B991" s="10"/>
      <c r="C991" s="18" t="str">
        <f aca="false">IF($B991="","",IFERROR(INDEX(대상목록!$C$3:$C$302,MATCH($B991,대상목록!$A$3:$A$302,0)),""))</f>
        <v/>
      </c>
      <c r="D991" s="10"/>
      <c r="E991" s="10"/>
      <c r="F991" s="19"/>
      <c r="G991" s="10"/>
    </row>
    <row r="992" customFormat="false" ht="15" hidden="false" customHeight="true" outlineLevel="0" collapsed="false">
      <c r="A992" s="14"/>
      <c r="B992" s="10"/>
      <c r="C992" s="18" t="str">
        <f aca="false">IF($B992="","",IFERROR(INDEX(대상목록!$C$3:$C$302,MATCH($B992,대상목록!$A$3:$A$302,0)),""))</f>
        <v/>
      </c>
      <c r="D992" s="10"/>
      <c r="E992" s="10"/>
      <c r="F992" s="19"/>
      <c r="G992" s="10"/>
    </row>
    <row r="993" customFormat="false" ht="15" hidden="false" customHeight="true" outlineLevel="0" collapsed="false">
      <c r="A993" s="14"/>
      <c r="B993" s="10"/>
      <c r="C993" s="18" t="str">
        <f aca="false">IF($B993="","",IFERROR(INDEX(대상목록!$C$3:$C$302,MATCH($B993,대상목록!$A$3:$A$302,0)),""))</f>
        <v/>
      </c>
      <c r="D993" s="10"/>
      <c r="E993" s="10"/>
      <c r="F993" s="19"/>
      <c r="G993" s="10"/>
    </row>
    <row r="994" customFormat="false" ht="15" hidden="false" customHeight="true" outlineLevel="0" collapsed="false">
      <c r="A994" s="14"/>
      <c r="B994" s="10"/>
      <c r="C994" s="18" t="str">
        <f aca="false">IF($B994="","",IFERROR(INDEX(대상목록!$C$3:$C$302,MATCH($B994,대상목록!$A$3:$A$302,0)),""))</f>
        <v/>
      </c>
      <c r="D994" s="10"/>
      <c r="E994" s="10"/>
      <c r="F994" s="19"/>
      <c r="G994" s="10"/>
    </row>
    <row r="995" customFormat="false" ht="15" hidden="false" customHeight="true" outlineLevel="0" collapsed="false">
      <c r="A995" s="14"/>
      <c r="B995" s="10"/>
      <c r="C995" s="18" t="str">
        <f aca="false">IF($B995="","",IFERROR(INDEX(대상목록!$C$3:$C$302,MATCH($B995,대상목록!$A$3:$A$302,0)),""))</f>
        <v/>
      </c>
      <c r="D995" s="10"/>
      <c r="E995" s="10"/>
      <c r="F995" s="19"/>
      <c r="G995" s="10"/>
    </row>
    <row r="996" customFormat="false" ht="15" hidden="false" customHeight="true" outlineLevel="0" collapsed="false">
      <c r="A996" s="14"/>
      <c r="B996" s="10"/>
      <c r="C996" s="18" t="str">
        <f aca="false">IF($B996="","",IFERROR(INDEX(대상목록!$C$3:$C$302,MATCH($B996,대상목록!$A$3:$A$302,0)),""))</f>
        <v/>
      </c>
      <c r="D996" s="10"/>
      <c r="E996" s="10"/>
      <c r="F996" s="19"/>
      <c r="G996" s="10"/>
    </row>
    <row r="997" customFormat="false" ht="15" hidden="false" customHeight="true" outlineLevel="0" collapsed="false">
      <c r="A997" s="14"/>
      <c r="B997" s="10"/>
      <c r="C997" s="18" t="str">
        <f aca="false">IF($B997="","",IFERROR(INDEX(대상목록!$C$3:$C$302,MATCH($B997,대상목록!$A$3:$A$302,0)),""))</f>
        <v/>
      </c>
      <c r="D997" s="10"/>
      <c r="E997" s="10"/>
      <c r="F997" s="19"/>
      <c r="G997" s="10"/>
    </row>
    <row r="998" customFormat="false" ht="15" hidden="false" customHeight="true" outlineLevel="0" collapsed="false">
      <c r="A998" s="14"/>
      <c r="B998" s="10"/>
      <c r="C998" s="18" t="str">
        <f aca="false">IF($B998="","",IFERROR(INDEX(대상목록!$C$3:$C$302,MATCH($B998,대상목록!$A$3:$A$302,0)),""))</f>
        <v/>
      </c>
      <c r="D998" s="10"/>
      <c r="E998" s="10"/>
      <c r="F998" s="19"/>
      <c r="G998" s="10"/>
    </row>
    <row r="999" customFormat="false" ht="15" hidden="false" customHeight="true" outlineLevel="0" collapsed="false">
      <c r="A999" s="14"/>
      <c r="B999" s="10"/>
      <c r="C999" s="18" t="str">
        <f aca="false">IF($B999="","",IFERROR(INDEX(대상목록!$C$3:$C$302,MATCH($B999,대상목록!$A$3:$A$302,0)),""))</f>
        <v/>
      </c>
      <c r="D999" s="10"/>
      <c r="E999" s="10"/>
      <c r="F999" s="19"/>
      <c r="G999" s="10"/>
    </row>
    <row r="1000" customFormat="false" ht="15" hidden="false" customHeight="true" outlineLevel="0" collapsed="false">
      <c r="A1000" s="14"/>
      <c r="B1000" s="10"/>
      <c r="C1000" s="18" t="str">
        <f aca="false">IF($B1000="","",IFERROR(INDEX(대상목록!$C$3:$C$302,MATCH($B1000,대상목록!$A$3:$A$302,0)),""))</f>
        <v/>
      </c>
      <c r="D1000" s="10"/>
      <c r="E1000" s="10"/>
      <c r="F1000" s="19"/>
      <c r="G1000" s="10"/>
    </row>
    <row r="1001" customFormat="false" ht="15" hidden="false" customHeight="true" outlineLevel="0" collapsed="false">
      <c r="A1001" s="14"/>
      <c r="B1001" s="10"/>
      <c r="C1001" s="18" t="str">
        <f aca="false">IF($B1001="","",IFERROR(INDEX(대상목록!$C$3:$C$302,MATCH($B1001,대상목록!$A$3:$A$302,0)),""))</f>
        <v/>
      </c>
      <c r="D1001" s="10"/>
      <c r="E1001" s="10"/>
      <c r="F1001" s="19"/>
      <c r="G1001" s="10"/>
    </row>
    <row r="1002" customFormat="false" ht="15" hidden="false" customHeight="true" outlineLevel="0" collapsed="false">
      <c r="A1002" s="14"/>
      <c r="B1002" s="10"/>
      <c r="C1002" s="18" t="str">
        <f aca="false">IF($B1002="","",IFERROR(INDEX(대상목록!$C$3:$C$302,MATCH($B1002,대상목록!$A$3:$A$302,0)),""))</f>
        <v/>
      </c>
      <c r="D1002" s="10"/>
      <c r="E1002" s="10"/>
      <c r="F1002" s="19"/>
      <c r="G1002" s="10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B3:B1002" type="list">
      <formula1>대상목록!$A$3:$A$302</formula1>
      <formula2>0</formula2>
    </dataValidation>
    <dataValidation allowBlank="true" errorStyle="stop" operator="between" showDropDown="false" showErrorMessage="false" showInputMessage="false" sqref="D3:D1002" type="list">
      <formula1>"생일,결혼,부고,출산,승진,창립,명절,기타"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7" min="6" style="1" width="16"/>
    <col collapsed="false" customWidth="true" hidden="false" outlineLevel="0" max="9" min="9" style="1" width="11"/>
    <col collapsed="false" customWidth="true" hidden="false" outlineLevel="0" max="11" min="10" style="1" width="13"/>
  </cols>
  <sheetData>
    <row r="1" customFormat="false" ht="25.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64</v>
      </c>
      <c r="B3" s="20" t="n">
        <f aca="true">TODAY()</f>
        <v>46279</v>
      </c>
      <c r="D3" s="3" t="s">
        <v>65</v>
      </c>
      <c r="E3" s="21" t="n">
        <f aca="false">COUNTIFS(기념일등록!$I$3:$I$502,"&gt;=0",기념일등록!$I$3:$I$502,"&lt;="&amp;사용안내!$C$16)</f>
        <v>2</v>
      </c>
    </row>
    <row r="5" customFormat="false" ht="15" hidden="false" customHeight="true" outlineLevel="0" collapsed="false">
      <c r="A5" s="8" t="s">
        <v>66</v>
      </c>
      <c r="B5" s="8" t="s">
        <v>67</v>
      </c>
      <c r="C5" s="22" t="s">
        <v>68</v>
      </c>
      <c r="D5" s="8" t="s">
        <v>25</v>
      </c>
      <c r="E5" s="8" t="s">
        <v>32</v>
      </c>
      <c r="F5" s="8" t="s">
        <v>48</v>
      </c>
      <c r="G5" s="8" t="s">
        <v>69</v>
      </c>
    </row>
    <row r="6" customFormat="false" ht="15" hidden="false" customHeight="true" outlineLevel="0" collapsed="false">
      <c r="A6" s="23" t="n">
        <f aca="false">IF($D6="","",1)</f>
        <v>1</v>
      </c>
      <c r="B6" s="16" t="n">
        <f aca="false">IFERROR(INDEX(기념일등록!$H$3:$H$502,MATCH(1,다가오는일정!$K$6:$K$505,0)),"")</f>
        <v>46285</v>
      </c>
      <c r="C6" s="24" t="n">
        <f aca="false">IF($B6="","",IFERROR(INDEX(기념일등록!$I$3:$I$502,MATCH(1,다가오는일정!$K$6:$K$505,0)),""))</f>
        <v>6</v>
      </c>
      <c r="D6" s="13" t="str">
        <f aca="false">IFERROR(INDEX(기념일등록!$B$3:$B$502,MATCH(1,다가오는일정!$K$6:$K$505,0)),"")</f>
        <v>김사장</v>
      </c>
      <c r="E6" s="13" t="str">
        <f aca="false">IF($D6="","",IFERROR(INDEX(기념일등록!$C$3:$C$502,MATCH(1,다가오는일정!$K$6:$K$505,0)),""))</f>
        <v>○○상사</v>
      </c>
      <c r="F6" s="23" t="str">
        <f aca="false">IF($D6="","",IFERROR(INDEX(기념일등록!$D$3:$D$502,MATCH(1,다가오는일정!$K$6:$K$505,0)),""))</f>
        <v>창립기념일</v>
      </c>
      <c r="G6" s="25" t="n">
        <f aca="true">IF($D6="","",SUMIFS(경조사내역!$F$3:$F$1002,경조사내역!$B$3:$B$1002,$D6,경조사내역!$A$3:$A$1002,"&gt;="&amp;DATE(YEAR(TODAY())-1,1,1),경조사내역!$A$3:$A$1002,"&lt;="&amp;DATE(YEAR(TODAY())-1,12,31)))</f>
        <v>250000</v>
      </c>
      <c r="I6" s="26" t="b">
        <f aca="false">IF(기념일등록!$B3="",FALSE(),AND(기념일등록!$I3&gt;=0,기념일등록!$I3&lt;=90))</f>
        <v>1</v>
      </c>
      <c r="J6" s="6" t="n">
        <f aca="false">IF($I6=FALSE(),"",기념일등록!$I3*1000+ROW())</f>
        <v>11006</v>
      </c>
      <c r="K6" s="6" t="n">
        <f aca="false">IF($J6="","",RANK($J6,$J$6:$J$505,1))</f>
        <v>2</v>
      </c>
    </row>
    <row r="7" customFormat="false" ht="15" hidden="false" customHeight="true" outlineLevel="0" collapsed="false">
      <c r="A7" s="23" t="n">
        <f aca="false">IF($D7="","",2)</f>
        <v>2</v>
      </c>
      <c r="B7" s="16" t="n">
        <f aca="false">IFERROR(INDEX(기념일등록!$H$3:$H$502,MATCH(2,다가오는일정!$K$6:$K$505,0)),"")</f>
        <v>46290</v>
      </c>
      <c r="C7" s="24" t="n">
        <f aca="false">IF($B7="","",IFERROR(INDEX(기념일등록!$I$3:$I$502,MATCH(2,다가오는일정!$K$6:$K$505,0)),""))</f>
        <v>11</v>
      </c>
      <c r="D7" s="13" t="str">
        <f aca="false">IFERROR(INDEX(기념일등록!$B$3:$B$502,MATCH(2,다가오는일정!$K$6:$K$505,0)),"")</f>
        <v>김사장</v>
      </c>
      <c r="E7" s="13" t="str">
        <f aca="false">IF($D7="","",IFERROR(INDEX(기념일등록!$C$3:$C$502,MATCH(2,다가오는일정!$K$6:$K$505,0)),""))</f>
        <v>○○상사</v>
      </c>
      <c r="F7" s="23" t="str">
        <f aca="false">IF($D7="","",IFERROR(INDEX(기념일등록!$D$3:$D$502,MATCH(2,다가오는일정!$K$6:$K$505,0)),""))</f>
        <v>생일</v>
      </c>
      <c r="G7" s="25" t="n">
        <f aca="true">IF($D7="","",SUMIFS(경조사내역!$F$3:$F$1002,경조사내역!$B$3:$B$1002,$D7,경조사내역!$A$3:$A$1002,"&gt;="&amp;DATE(YEAR(TODAY())-1,1,1),경조사내역!$A$3:$A$1002,"&lt;="&amp;DATE(YEAR(TODAY())-1,12,31)))</f>
        <v>250000</v>
      </c>
      <c r="I7" s="26" t="b">
        <f aca="false">IF(기념일등록!$B4="",FALSE(),AND(기념일등록!$I4&gt;=0,기념일등록!$I4&lt;=90))</f>
        <v>0</v>
      </c>
      <c r="J7" s="6" t="str">
        <f aca="false">IF($I7=FALSE(),"",기념일등록!$I4*1000+ROW())</f>
        <v/>
      </c>
      <c r="K7" s="6" t="str">
        <f aca="false">IF($J7="","",RANK($J7,$J$6:$J$505,1))</f>
        <v/>
      </c>
    </row>
    <row r="8" customFormat="false" ht="15" hidden="false" customHeight="true" outlineLevel="0" collapsed="false">
      <c r="A8" s="23" t="n">
        <f aca="false">IF($D8="","",3)</f>
        <v>3</v>
      </c>
      <c r="B8" s="16" t="n">
        <f aca="false">IFERROR(INDEX(기념일등록!$H$3:$H$502,MATCH(3,다가오는일정!$K$6:$K$505,0)),"")</f>
        <v>46327</v>
      </c>
      <c r="C8" s="24" t="n">
        <f aca="false">IF($B8="","",IFERROR(INDEX(기념일등록!$I$3:$I$502,MATCH(3,다가오는일정!$K$6:$K$505,0)),""))</f>
        <v>48</v>
      </c>
      <c r="D8" s="13" t="str">
        <f aca="false">IFERROR(INDEX(기념일등록!$B$3:$B$502,MATCH(3,다가오는일정!$K$6:$K$505,0)),"")</f>
        <v>박직원</v>
      </c>
      <c r="E8" s="13" t="str">
        <f aca="false">IF($D8="","",IFERROR(INDEX(기념일등록!$C$3:$C$502,MATCH(3,다가오는일정!$K$6:$K$505,0)),""))</f>
        <v>영업팀</v>
      </c>
      <c r="F8" s="23" t="str">
        <f aca="false">IF($D8="","",IFERROR(INDEX(기념일등록!$D$3:$D$502,MATCH(3,다가오는일정!$K$6:$K$505,0)),""))</f>
        <v>입사기념일</v>
      </c>
      <c r="G8" s="25" t="n">
        <f aca="true">IF($D8="","",SUMIFS(경조사내역!$F$3:$F$1002,경조사내역!$B$3:$B$1002,$D8,경조사내역!$A$3:$A$1002,"&gt;="&amp;DATE(YEAR(TODAY())-1,1,1),경조사내역!$A$3:$A$1002,"&lt;="&amp;DATE(YEAR(TODAY())-1,12,31)))</f>
        <v>0</v>
      </c>
      <c r="I8" s="26" t="b">
        <f aca="false">IF(기념일등록!$B5="",FALSE(),AND(기념일등록!$I5&gt;=0,기념일등록!$I5&lt;=90))</f>
        <v>1</v>
      </c>
      <c r="J8" s="6" t="n">
        <f aca="false">IF($I8=FALSE(),"",기념일등록!$I5*1000+ROW())</f>
        <v>6008</v>
      </c>
      <c r="K8" s="6" t="n">
        <f aca="false">IF($J8="","",RANK($J8,$J$6:$J$505,1))</f>
        <v>1</v>
      </c>
    </row>
    <row r="9" customFormat="false" ht="15" hidden="false" customHeight="true" outlineLevel="0" collapsed="false">
      <c r="A9" s="23" t="str">
        <f aca="false">IF($D9="","",4)</f>
        <v/>
      </c>
      <c r="B9" s="16" t="str">
        <f aca="false">IFERROR(INDEX(기념일등록!$H$3:$H$502,MATCH(4,다가오는일정!$K$6:$K$505,0)),"")</f>
        <v/>
      </c>
      <c r="C9" s="23" t="str">
        <f aca="false">IF($B9="","",IFERROR(INDEX(기념일등록!$I$3:$I$502,MATCH(4,다가오는일정!$K$6:$K$505,0)),""))</f>
        <v/>
      </c>
      <c r="D9" s="13" t="str">
        <f aca="false">IFERROR(INDEX(기념일등록!$B$3:$B$502,MATCH(4,다가오는일정!$K$6:$K$505,0)),"")</f>
        <v/>
      </c>
      <c r="E9" s="13" t="str">
        <f aca="false">IF($D9="","",IFERROR(INDEX(기념일등록!$C$3:$C$502,MATCH(4,다가오는일정!$K$6:$K$505,0)),""))</f>
        <v/>
      </c>
      <c r="F9" s="23" t="str">
        <f aca="false">IF($D9="","",IFERROR(INDEX(기념일등록!$D$3:$D$502,MATCH(4,다가오는일정!$K$6:$K$505,0)),""))</f>
        <v/>
      </c>
      <c r="G9" s="25" t="str">
        <f aca="true">IF($D9="","",SUMIFS(경조사내역!$F$3:$F$1002,경조사내역!$B$3:$B$1002,$D9,경조사내역!$A$3:$A$1002,"&gt;="&amp;DATE(YEAR(TODAY())-1,1,1),경조사내역!$A$3:$A$1002,"&lt;="&amp;DATE(YEAR(TODAY())-1,12,31)))</f>
        <v/>
      </c>
      <c r="I9" s="26" t="b">
        <f aca="false">IF(기념일등록!$B6="",FALSE(),AND(기념일등록!$I6&gt;=0,기념일등록!$I6&lt;=90))</f>
        <v>1</v>
      </c>
      <c r="J9" s="6" t="n">
        <f aca="false">IF($I9=FALSE(),"",기념일등록!$I6*1000+ROW())</f>
        <v>48009</v>
      </c>
      <c r="K9" s="6" t="n">
        <f aca="false">IF($J9="","",RANK($J9,$J$6:$J$505,1))</f>
        <v>3</v>
      </c>
    </row>
    <row r="10" customFormat="false" ht="15" hidden="false" customHeight="true" outlineLevel="0" collapsed="false">
      <c r="A10" s="23" t="str">
        <f aca="false">IF($D10="","",5)</f>
        <v/>
      </c>
      <c r="B10" s="16" t="str">
        <f aca="false">IFERROR(INDEX(기념일등록!$H$3:$H$502,MATCH(5,다가오는일정!$K$6:$K$505,0)),"")</f>
        <v/>
      </c>
      <c r="C10" s="23" t="str">
        <f aca="false">IF($B10="","",IFERROR(INDEX(기념일등록!$I$3:$I$502,MATCH(5,다가오는일정!$K$6:$K$505,0)),""))</f>
        <v/>
      </c>
      <c r="D10" s="13" t="str">
        <f aca="false">IFERROR(INDEX(기념일등록!$B$3:$B$502,MATCH(5,다가오는일정!$K$6:$K$505,0)),"")</f>
        <v/>
      </c>
      <c r="E10" s="13" t="str">
        <f aca="false">IF($D10="","",IFERROR(INDEX(기념일등록!$C$3:$C$502,MATCH(5,다가오는일정!$K$6:$K$505,0)),""))</f>
        <v/>
      </c>
      <c r="F10" s="23" t="str">
        <f aca="false">IF($D10="","",IFERROR(INDEX(기념일등록!$D$3:$D$502,MATCH(5,다가오는일정!$K$6:$K$505,0)),""))</f>
        <v/>
      </c>
      <c r="G10" s="25" t="str">
        <f aca="true">IF($D10="","",SUMIFS(경조사내역!$F$3:$F$1002,경조사내역!$B$3:$B$1002,$D10,경조사내역!$A$3:$A$1002,"&gt;="&amp;DATE(YEAR(TODAY())-1,1,1),경조사내역!$A$3:$A$1002,"&lt;="&amp;DATE(YEAR(TODAY())-1,12,31)))</f>
        <v/>
      </c>
      <c r="I10" s="26" t="b">
        <f aca="false">IF(기념일등록!$B7="",FALSE(),AND(기념일등록!$I7&gt;=0,기념일등록!$I7&lt;=90))</f>
        <v>0</v>
      </c>
      <c r="J10" s="6" t="str">
        <f aca="false">IF($I10=FALSE(),"",기념일등록!$I7*1000+ROW())</f>
        <v/>
      </c>
      <c r="K10" s="6" t="str">
        <f aca="false">IF($J10="","",RANK($J10,$J$6:$J$505,1))</f>
        <v/>
      </c>
    </row>
    <row r="11" customFormat="false" ht="15" hidden="false" customHeight="true" outlineLevel="0" collapsed="false">
      <c r="A11" s="23" t="str">
        <f aca="false">IF($D11="","",6)</f>
        <v/>
      </c>
      <c r="B11" s="16" t="str">
        <f aca="false">IFERROR(INDEX(기념일등록!$H$3:$H$502,MATCH(6,다가오는일정!$K$6:$K$505,0)),"")</f>
        <v/>
      </c>
      <c r="C11" s="23" t="str">
        <f aca="false">IF($B11="","",IFERROR(INDEX(기념일등록!$I$3:$I$502,MATCH(6,다가오는일정!$K$6:$K$505,0)),""))</f>
        <v/>
      </c>
      <c r="D11" s="13" t="str">
        <f aca="false">IFERROR(INDEX(기념일등록!$B$3:$B$502,MATCH(6,다가오는일정!$K$6:$K$505,0)),"")</f>
        <v/>
      </c>
      <c r="E11" s="13" t="str">
        <f aca="false">IF($D11="","",IFERROR(INDEX(기념일등록!$C$3:$C$502,MATCH(6,다가오는일정!$K$6:$K$505,0)),""))</f>
        <v/>
      </c>
      <c r="F11" s="23" t="str">
        <f aca="false">IF($D11="","",IFERROR(INDEX(기념일등록!$D$3:$D$502,MATCH(6,다가오는일정!$K$6:$K$505,0)),""))</f>
        <v/>
      </c>
      <c r="G11" s="25" t="str">
        <f aca="true">IF($D11="","",SUMIFS(경조사내역!$F$3:$F$1002,경조사내역!$B$3:$B$1002,$D11,경조사내역!$A$3:$A$1002,"&gt;="&amp;DATE(YEAR(TODAY())-1,1,1),경조사내역!$A$3:$A$1002,"&lt;="&amp;DATE(YEAR(TODAY())-1,12,31)))</f>
        <v/>
      </c>
      <c r="I11" s="26" t="b">
        <f aca="false">IF(기념일등록!$B8="",FALSE(),AND(기념일등록!$I8&gt;=0,기념일등록!$I8&lt;=90))</f>
        <v>0</v>
      </c>
      <c r="J11" s="6" t="str">
        <f aca="false">IF($I11=FALSE(),"",기념일등록!$I8*1000+ROW())</f>
        <v/>
      </c>
      <c r="K11" s="6" t="str">
        <f aca="false">IF($J11="","",RANK($J11,$J$6:$J$505,1))</f>
        <v/>
      </c>
    </row>
    <row r="12" customFormat="false" ht="15" hidden="false" customHeight="true" outlineLevel="0" collapsed="false">
      <c r="A12" s="23" t="str">
        <f aca="false">IF($D12="","",7)</f>
        <v/>
      </c>
      <c r="B12" s="16" t="str">
        <f aca="false">IFERROR(INDEX(기념일등록!$H$3:$H$502,MATCH(7,다가오는일정!$K$6:$K$505,0)),"")</f>
        <v/>
      </c>
      <c r="C12" s="23" t="str">
        <f aca="false">IF($B12="","",IFERROR(INDEX(기념일등록!$I$3:$I$502,MATCH(7,다가오는일정!$K$6:$K$505,0)),""))</f>
        <v/>
      </c>
      <c r="D12" s="13" t="str">
        <f aca="false">IFERROR(INDEX(기념일등록!$B$3:$B$502,MATCH(7,다가오는일정!$K$6:$K$505,0)),"")</f>
        <v/>
      </c>
      <c r="E12" s="13" t="str">
        <f aca="false">IF($D12="","",IFERROR(INDEX(기념일등록!$C$3:$C$502,MATCH(7,다가오는일정!$K$6:$K$505,0)),""))</f>
        <v/>
      </c>
      <c r="F12" s="23" t="str">
        <f aca="false">IF($D12="","",IFERROR(INDEX(기념일등록!$D$3:$D$502,MATCH(7,다가오는일정!$K$6:$K$505,0)),""))</f>
        <v/>
      </c>
      <c r="G12" s="25" t="str">
        <f aca="true">IF($D12="","",SUMIFS(경조사내역!$F$3:$F$1002,경조사내역!$B$3:$B$1002,$D12,경조사내역!$A$3:$A$1002,"&gt;="&amp;DATE(YEAR(TODAY())-1,1,1),경조사내역!$A$3:$A$1002,"&lt;="&amp;DATE(YEAR(TODAY())-1,12,31)))</f>
        <v/>
      </c>
      <c r="I12" s="26" t="b">
        <f aca="false">IF(기념일등록!$B9="",FALSE(),AND(기념일등록!$I9&gt;=0,기념일등록!$I9&lt;=90))</f>
        <v>0</v>
      </c>
      <c r="J12" s="6" t="str">
        <f aca="false">IF($I12=FALSE(),"",기념일등록!$I9*1000+ROW())</f>
        <v/>
      </c>
      <c r="K12" s="6" t="str">
        <f aca="false">IF($J12="","",RANK($J12,$J$6:$J$505,1))</f>
        <v/>
      </c>
    </row>
    <row r="13" customFormat="false" ht="15" hidden="false" customHeight="true" outlineLevel="0" collapsed="false">
      <c r="A13" s="23" t="str">
        <f aca="false">IF($D13="","",8)</f>
        <v/>
      </c>
      <c r="B13" s="16" t="str">
        <f aca="false">IFERROR(INDEX(기념일등록!$H$3:$H$502,MATCH(8,다가오는일정!$K$6:$K$505,0)),"")</f>
        <v/>
      </c>
      <c r="C13" s="23" t="str">
        <f aca="false">IF($B13="","",IFERROR(INDEX(기념일등록!$I$3:$I$502,MATCH(8,다가오는일정!$K$6:$K$505,0)),""))</f>
        <v/>
      </c>
      <c r="D13" s="13" t="str">
        <f aca="false">IFERROR(INDEX(기념일등록!$B$3:$B$502,MATCH(8,다가오는일정!$K$6:$K$505,0)),"")</f>
        <v/>
      </c>
      <c r="E13" s="13" t="str">
        <f aca="false">IF($D13="","",IFERROR(INDEX(기념일등록!$C$3:$C$502,MATCH(8,다가오는일정!$K$6:$K$505,0)),""))</f>
        <v/>
      </c>
      <c r="F13" s="23" t="str">
        <f aca="false">IF($D13="","",IFERROR(INDEX(기념일등록!$D$3:$D$502,MATCH(8,다가오는일정!$K$6:$K$505,0)),""))</f>
        <v/>
      </c>
      <c r="G13" s="25" t="str">
        <f aca="true">IF($D13="","",SUMIFS(경조사내역!$F$3:$F$1002,경조사내역!$B$3:$B$1002,$D13,경조사내역!$A$3:$A$1002,"&gt;="&amp;DATE(YEAR(TODAY())-1,1,1),경조사내역!$A$3:$A$1002,"&lt;="&amp;DATE(YEAR(TODAY())-1,12,31)))</f>
        <v/>
      </c>
      <c r="I13" s="26" t="b">
        <f aca="false">IF(기념일등록!$B10="",FALSE(),AND(기념일등록!$I10&gt;=0,기념일등록!$I10&lt;=90))</f>
        <v>0</v>
      </c>
      <c r="J13" s="6" t="str">
        <f aca="false">IF($I13=FALSE(),"",기념일등록!$I10*1000+ROW())</f>
        <v/>
      </c>
      <c r="K13" s="6" t="str">
        <f aca="false">IF($J13="","",RANK($J13,$J$6:$J$505,1))</f>
        <v/>
      </c>
    </row>
    <row r="14" customFormat="false" ht="15" hidden="false" customHeight="true" outlineLevel="0" collapsed="false">
      <c r="A14" s="23" t="str">
        <f aca="false">IF($D14="","",9)</f>
        <v/>
      </c>
      <c r="B14" s="16" t="str">
        <f aca="false">IFERROR(INDEX(기념일등록!$H$3:$H$502,MATCH(9,다가오는일정!$K$6:$K$505,0)),"")</f>
        <v/>
      </c>
      <c r="C14" s="23" t="str">
        <f aca="false">IF($B14="","",IFERROR(INDEX(기념일등록!$I$3:$I$502,MATCH(9,다가오는일정!$K$6:$K$505,0)),""))</f>
        <v/>
      </c>
      <c r="D14" s="13" t="str">
        <f aca="false">IFERROR(INDEX(기념일등록!$B$3:$B$502,MATCH(9,다가오는일정!$K$6:$K$505,0)),"")</f>
        <v/>
      </c>
      <c r="E14" s="13" t="str">
        <f aca="false">IF($D14="","",IFERROR(INDEX(기념일등록!$C$3:$C$502,MATCH(9,다가오는일정!$K$6:$K$505,0)),""))</f>
        <v/>
      </c>
      <c r="F14" s="23" t="str">
        <f aca="false">IF($D14="","",IFERROR(INDEX(기념일등록!$D$3:$D$502,MATCH(9,다가오는일정!$K$6:$K$505,0)),""))</f>
        <v/>
      </c>
      <c r="G14" s="25" t="str">
        <f aca="true">IF($D14="","",SUMIFS(경조사내역!$F$3:$F$1002,경조사내역!$B$3:$B$1002,$D14,경조사내역!$A$3:$A$1002,"&gt;="&amp;DATE(YEAR(TODAY())-1,1,1),경조사내역!$A$3:$A$1002,"&lt;="&amp;DATE(YEAR(TODAY())-1,12,31)))</f>
        <v/>
      </c>
      <c r="I14" s="26" t="b">
        <f aca="false">IF(기념일등록!$B11="",FALSE(),AND(기념일등록!$I11&gt;=0,기념일등록!$I11&lt;=90))</f>
        <v>0</v>
      </c>
      <c r="J14" s="6" t="str">
        <f aca="false">IF($I14=FALSE(),"",기념일등록!$I11*1000+ROW())</f>
        <v/>
      </c>
      <c r="K14" s="6" t="str">
        <f aca="false">IF($J14="","",RANK($J14,$J$6:$J$505,1))</f>
        <v/>
      </c>
    </row>
    <row r="15" customFormat="false" ht="15" hidden="false" customHeight="true" outlineLevel="0" collapsed="false">
      <c r="A15" s="23" t="str">
        <f aca="false">IF($D15="","",10)</f>
        <v/>
      </c>
      <c r="B15" s="16" t="str">
        <f aca="false">IFERROR(INDEX(기념일등록!$H$3:$H$502,MATCH(10,다가오는일정!$K$6:$K$505,0)),"")</f>
        <v/>
      </c>
      <c r="C15" s="23" t="str">
        <f aca="false">IF($B15="","",IFERROR(INDEX(기념일등록!$I$3:$I$502,MATCH(10,다가오는일정!$K$6:$K$505,0)),""))</f>
        <v/>
      </c>
      <c r="D15" s="13" t="str">
        <f aca="false">IFERROR(INDEX(기념일등록!$B$3:$B$502,MATCH(10,다가오는일정!$K$6:$K$505,0)),"")</f>
        <v/>
      </c>
      <c r="E15" s="13" t="str">
        <f aca="false">IF($D15="","",IFERROR(INDEX(기념일등록!$C$3:$C$502,MATCH(10,다가오는일정!$K$6:$K$505,0)),""))</f>
        <v/>
      </c>
      <c r="F15" s="23" t="str">
        <f aca="false">IF($D15="","",IFERROR(INDEX(기념일등록!$D$3:$D$502,MATCH(10,다가오는일정!$K$6:$K$505,0)),""))</f>
        <v/>
      </c>
      <c r="G15" s="25" t="str">
        <f aca="true">IF($D15="","",SUMIFS(경조사내역!$F$3:$F$1002,경조사내역!$B$3:$B$1002,$D15,경조사내역!$A$3:$A$1002,"&gt;="&amp;DATE(YEAR(TODAY())-1,1,1),경조사내역!$A$3:$A$1002,"&lt;="&amp;DATE(YEAR(TODAY())-1,12,31)))</f>
        <v/>
      </c>
      <c r="I15" s="26" t="b">
        <f aca="false">IF(기념일등록!$B12="",FALSE(),AND(기념일등록!$I12&gt;=0,기념일등록!$I12&lt;=90))</f>
        <v>0</v>
      </c>
      <c r="J15" s="6" t="str">
        <f aca="false">IF($I15=FALSE(),"",기념일등록!$I12*1000+ROW())</f>
        <v/>
      </c>
      <c r="K15" s="6" t="str">
        <f aca="false">IF($J15="","",RANK($J15,$J$6:$J$505,1))</f>
        <v/>
      </c>
    </row>
    <row r="16" customFormat="false" ht="15" hidden="false" customHeight="true" outlineLevel="0" collapsed="false">
      <c r="A16" s="23" t="str">
        <f aca="false">IF($D16="","",11)</f>
        <v/>
      </c>
      <c r="B16" s="16" t="str">
        <f aca="false">IFERROR(INDEX(기념일등록!$H$3:$H$502,MATCH(11,다가오는일정!$K$6:$K$505,0)),"")</f>
        <v/>
      </c>
      <c r="C16" s="23" t="str">
        <f aca="false">IF($B16="","",IFERROR(INDEX(기념일등록!$I$3:$I$502,MATCH(11,다가오는일정!$K$6:$K$505,0)),""))</f>
        <v/>
      </c>
      <c r="D16" s="13" t="str">
        <f aca="false">IFERROR(INDEX(기념일등록!$B$3:$B$502,MATCH(11,다가오는일정!$K$6:$K$505,0)),"")</f>
        <v/>
      </c>
      <c r="E16" s="13" t="str">
        <f aca="false">IF($D16="","",IFERROR(INDEX(기념일등록!$C$3:$C$502,MATCH(11,다가오는일정!$K$6:$K$505,0)),""))</f>
        <v/>
      </c>
      <c r="F16" s="23" t="str">
        <f aca="false">IF($D16="","",IFERROR(INDEX(기념일등록!$D$3:$D$502,MATCH(11,다가오는일정!$K$6:$K$505,0)),""))</f>
        <v/>
      </c>
      <c r="G16" s="25" t="str">
        <f aca="true">IF($D16="","",SUMIFS(경조사내역!$F$3:$F$1002,경조사내역!$B$3:$B$1002,$D16,경조사내역!$A$3:$A$1002,"&gt;="&amp;DATE(YEAR(TODAY())-1,1,1),경조사내역!$A$3:$A$1002,"&lt;="&amp;DATE(YEAR(TODAY())-1,12,31)))</f>
        <v/>
      </c>
      <c r="I16" s="26" t="b">
        <f aca="false">IF(기념일등록!$B13="",FALSE(),AND(기념일등록!$I13&gt;=0,기념일등록!$I13&lt;=90))</f>
        <v>0</v>
      </c>
      <c r="J16" s="6" t="str">
        <f aca="false">IF($I16=FALSE(),"",기념일등록!$I13*1000+ROW())</f>
        <v/>
      </c>
      <c r="K16" s="6" t="str">
        <f aca="false">IF($J16="","",RANK($J16,$J$6:$J$505,1))</f>
        <v/>
      </c>
    </row>
    <row r="17" customFormat="false" ht="15" hidden="false" customHeight="true" outlineLevel="0" collapsed="false">
      <c r="A17" s="23" t="str">
        <f aca="false">IF($D17="","",12)</f>
        <v/>
      </c>
      <c r="B17" s="16" t="str">
        <f aca="false">IFERROR(INDEX(기념일등록!$H$3:$H$502,MATCH(12,다가오는일정!$K$6:$K$505,0)),"")</f>
        <v/>
      </c>
      <c r="C17" s="23" t="str">
        <f aca="false">IF($B17="","",IFERROR(INDEX(기념일등록!$I$3:$I$502,MATCH(12,다가오는일정!$K$6:$K$505,0)),""))</f>
        <v/>
      </c>
      <c r="D17" s="13" t="str">
        <f aca="false">IFERROR(INDEX(기념일등록!$B$3:$B$502,MATCH(12,다가오는일정!$K$6:$K$505,0)),"")</f>
        <v/>
      </c>
      <c r="E17" s="13" t="str">
        <f aca="false">IF($D17="","",IFERROR(INDEX(기념일등록!$C$3:$C$502,MATCH(12,다가오는일정!$K$6:$K$505,0)),""))</f>
        <v/>
      </c>
      <c r="F17" s="23" t="str">
        <f aca="false">IF($D17="","",IFERROR(INDEX(기념일등록!$D$3:$D$502,MATCH(12,다가오는일정!$K$6:$K$505,0)),""))</f>
        <v/>
      </c>
      <c r="G17" s="25" t="str">
        <f aca="true">IF($D17="","",SUMIFS(경조사내역!$F$3:$F$1002,경조사내역!$B$3:$B$1002,$D17,경조사내역!$A$3:$A$1002,"&gt;="&amp;DATE(YEAR(TODAY())-1,1,1),경조사내역!$A$3:$A$1002,"&lt;="&amp;DATE(YEAR(TODAY())-1,12,31)))</f>
        <v/>
      </c>
      <c r="I17" s="26" t="b">
        <f aca="false">IF(기념일등록!$B14="",FALSE(),AND(기념일등록!$I14&gt;=0,기념일등록!$I14&lt;=90))</f>
        <v>0</v>
      </c>
      <c r="J17" s="6" t="str">
        <f aca="false">IF($I17=FALSE(),"",기념일등록!$I14*1000+ROW())</f>
        <v/>
      </c>
      <c r="K17" s="6" t="str">
        <f aca="false">IF($J17="","",RANK($J17,$J$6:$J$505,1))</f>
        <v/>
      </c>
    </row>
    <row r="18" customFormat="false" ht="15" hidden="false" customHeight="true" outlineLevel="0" collapsed="false">
      <c r="A18" s="23" t="str">
        <f aca="false">IF($D18="","",13)</f>
        <v/>
      </c>
      <c r="B18" s="16" t="str">
        <f aca="false">IFERROR(INDEX(기념일등록!$H$3:$H$502,MATCH(13,다가오는일정!$K$6:$K$505,0)),"")</f>
        <v/>
      </c>
      <c r="C18" s="23" t="str">
        <f aca="false">IF($B18="","",IFERROR(INDEX(기념일등록!$I$3:$I$502,MATCH(13,다가오는일정!$K$6:$K$505,0)),""))</f>
        <v/>
      </c>
      <c r="D18" s="13" t="str">
        <f aca="false">IFERROR(INDEX(기념일등록!$B$3:$B$502,MATCH(13,다가오는일정!$K$6:$K$505,0)),"")</f>
        <v/>
      </c>
      <c r="E18" s="13" t="str">
        <f aca="false">IF($D18="","",IFERROR(INDEX(기념일등록!$C$3:$C$502,MATCH(13,다가오는일정!$K$6:$K$505,0)),""))</f>
        <v/>
      </c>
      <c r="F18" s="23" t="str">
        <f aca="false">IF($D18="","",IFERROR(INDEX(기념일등록!$D$3:$D$502,MATCH(13,다가오는일정!$K$6:$K$505,0)),""))</f>
        <v/>
      </c>
      <c r="G18" s="25" t="str">
        <f aca="true">IF($D18="","",SUMIFS(경조사내역!$F$3:$F$1002,경조사내역!$B$3:$B$1002,$D18,경조사내역!$A$3:$A$1002,"&gt;="&amp;DATE(YEAR(TODAY())-1,1,1),경조사내역!$A$3:$A$1002,"&lt;="&amp;DATE(YEAR(TODAY())-1,12,31)))</f>
        <v/>
      </c>
      <c r="I18" s="26" t="b">
        <f aca="false">IF(기념일등록!$B15="",FALSE(),AND(기념일등록!$I15&gt;=0,기념일등록!$I15&lt;=90))</f>
        <v>0</v>
      </c>
      <c r="J18" s="6" t="str">
        <f aca="false">IF($I18=FALSE(),"",기념일등록!$I15*1000+ROW())</f>
        <v/>
      </c>
      <c r="K18" s="6" t="str">
        <f aca="false">IF($J18="","",RANK($J18,$J$6:$J$505,1))</f>
        <v/>
      </c>
    </row>
    <row r="19" customFormat="false" ht="15" hidden="false" customHeight="true" outlineLevel="0" collapsed="false">
      <c r="A19" s="23" t="str">
        <f aca="false">IF($D19="","",14)</f>
        <v/>
      </c>
      <c r="B19" s="16" t="str">
        <f aca="false">IFERROR(INDEX(기념일등록!$H$3:$H$502,MATCH(14,다가오는일정!$K$6:$K$505,0)),"")</f>
        <v/>
      </c>
      <c r="C19" s="23" t="str">
        <f aca="false">IF($B19="","",IFERROR(INDEX(기념일등록!$I$3:$I$502,MATCH(14,다가오는일정!$K$6:$K$505,0)),""))</f>
        <v/>
      </c>
      <c r="D19" s="13" t="str">
        <f aca="false">IFERROR(INDEX(기념일등록!$B$3:$B$502,MATCH(14,다가오는일정!$K$6:$K$505,0)),"")</f>
        <v/>
      </c>
      <c r="E19" s="13" t="str">
        <f aca="false">IF($D19="","",IFERROR(INDEX(기념일등록!$C$3:$C$502,MATCH(14,다가오는일정!$K$6:$K$505,0)),""))</f>
        <v/>
      </c>
      <c r="F19" s="23" t="str">
        <f aca="false">IF($D19="","",IFERROR(INDEX(기념일등록!$D$3:$D$502,MATCH(14,다가오는일정!$K$6:$K$505,0)),""))</f>
        <v/>
      </c>
      <c r="G19" s="25" t="str">
        <f aca="true">IF($D19="","",SUMIFS(경조사내역!$F$3:$F$1002,경조사내역!$B$3:$B$1002,$D19,경조사내역!$A$3:$A$1002,"&gt;="&amp;DATE(YEAR(TODAY())-1,1,1),경조사내역!$A$3:$A$1002,"&lt;="&amp;DATE(YEAR(TODAY())-1,12,31)))</f>
        <v/>
      </c>
      <c r="I19" s="26" t="b">
        <f aca="false">IF(기념일등록!$B16="",FALSE(),AND(기념일등록!$I16&gt;=0,기념일등록!$I16&lt;=90))</f>
        <v>0</v>
      </c>
      <c r="J19" s="6" t="str">
        <f aca="false">IF($I19=FALSE(),"",기념일등록!$I16*1000+ROW())</f>
        <v/>
      </c>
      <c r="K19" s="6" t="str">
        <f aca="false">IF($J19="","",RANK($J19,$J$6:$J$505,1))</f>
        <v/>
      </c>
    </row>
    <row r="20" customFormat="false" ht="15" hidden="false" customHeight="true" outlineLevel="0" collapsed="false">
      <c r="A20" s="23" t="str">
        <f aca="false">IF($D20="","",15)</f>
        <v/>
      </c>
      <c r="B20" s="16" t="str">
        <f aca="false">IFERROR(INDEX(기념일등록!$H$3:$H$502,MATCH(15,다가오는일정!$K$6:$K$505,0)),"")</f>
        <v/>
      </c>
      <c r="C20" s="23" t="str">
        <f aca="false">IF($B20="","",IFERROR(INDEX(기념일등록!$I$3:$I$502,MATCH(15,다가오는일정!$K$6:$K$505,0)),""))</f>
        <v/>
      </c>
      <c r="D20" s="13" t="str">
        <f aca="false">IFERROR(INDEX(기념일등록!$B$3:$B$502,MATCH(15,다가오는일정!$K$6:$K$505,0)),"")</f>
        <v/>
      </c>
      <c r="E20" s="13" t="str">
        <f aca="false">IF($D20="","",IFERROR(INDEX(기념일등록!$C$3:$C$502,MATCH(15,다가오는일정!$K$6:$K$505,0)),""))</f>
        <v/>
      </c>
      <c r="F20" s="23" t="str">
        <f aca="false">IF($D20="","",IFERROR(INDEX(기념일등록!$D$3:$D$502,MATCH(15,다가오는일정!$K$6:$K$505,0)),""))</f>
        <v/>
      </c>
      <c r="G20" s="25" t="str">
        <f aca="true">IF($D20="","",SUMIFS(경조사내역!$F$3:$F$1002,경조사내역!$B$3:$B$1002,$D20,경조사내역!$A$3:$A$1002,"&gt;="&amp;DATE(YEAR(TODAY())-1,1,1),경조사내역!$A$3:$A$1002,"&lt;="&amp;DATE(YEAR(TODAY())-1,12,31)))</f>
        <v/>
      </c>
      <c r="I20" s="26" t="b">
        <f aca="false">IF(기념일등록!$B17="",FALSE(),AND(기념일등록!$I17&gt;=0,기념일등록!$I17&lt;=90))</f>
        <v>0</v>
      </c>
      <c r="J20" s="6" t="str">
        <f aca="false">IF($I20=FALSE(),"",기념일등록!$I17*1000+ROW())</f>
        <v/>
      </c>
      <c r="K20" s="6" t="str">
        <f aca="false">IF($J20="","",RANK($J20,$J$6:$J$505,1))</f>
        <v/>
      </c>
    </row>
    <row r="21" customFormat="false" ht="15" hidden="false" customHeight="true" outlineLevel="0" collapsed="false">
      <c r="A21" s="23" t="str">
        <f aca="false">IF($D21="","",16)</f>
        <v/>
      </c>
      <c r="B21" s="16" t="str">
        <f aca="false">IFERROR(INDEX(기념일등록!$H$3:$H$502,MATCH(16,다가오는일정!$K$6:$K$505,0)),"")</f>
        <v/>
      </c>
      <c r="C21" s="23" t="str">
        <f aca="false">IF($B21="","",IFERROR(INDEX(기념일등록!$I$3:$I$502,MATCH(16,다가오는일정!$K$6:$K$505,0)),""))</f>
        <v/>
      </c>
      <c r="D21" s="13" t="str">
        <f aca="false">IFERROR(INDEX(기념일등록!$B$3:$B$502,MATCH(16,다가오는일정!$K$6:$K$505,0)),"")</f>
        <v/>
      </c>
      <c r="E21" s="13" t="str">
        <f aca="false">IF($D21="","",IFERROR(INDEX(기념일등록!$C$3:$C$502,MATCH(16,다가오는일정!$K$6:$K$505,0)),""))</f>
        <v/>
      </c>
      <c r="F21" s="23" t="str">
        <f aca="false">IF($D21="","",IFERROR(INDEX(기념일등록!$D$3:$D$502,MATCH(16,다가오는일정!$K$6:$K$505,0)),""))</f>
        <v/>
      </c>
      <c r="G21" s="25" t="str">
        <f aca="true">IF($D21="","",SUMIFS(경조사내역!$F$3:$F$1002,경조사내역!$B$3:$B$1002,$D21,경조사내역!$A$3:$A$1002,"&gt;="&amp;DATE(YEAR(TODAY())-1,1,1),경조사내역!$A$3:$A$1002,"&lt;="&amp;DATE(YEAR(TODAY())-1,12,31)))</f>
        <v/>
      </c>
      <c r="I21" s="26" t="b">
        <f aca="false">IF(기념일등록!$B18="",FALSE(),AND(기념일등록!$I18&gt;=0,기념일등록!$I18&lt;=90))</f>
        <v>0</v>
      </c>
      <c r="J21" s="6" t="str">
        <f aca="false">IF($I21=FALSE(),"",기념일등록!$I18*1000+ROW())</f>
        <v/>
      </c>
      <c r="K21" s="6" t="str">
        <f aca="false">IF($J21="","",RANK($J21,$J$6:$J$505,1))</f>
        <v/>
      </c>
    </row>
    <row r="22" customFormat="false" ht="15" hidden="false" customHeight="true" outlineLevel="0" collapsed="false">
      <c r="A22" s="23" t="str">
        <f aca="false">IF($D22="","",17)</f>
        <v/>
      </c>
      <c r="B22" s="16" t="str">
        <f aca="false">IFERROR(INDEX(기념일등록!$H$3:$H$502,MATCH(17,다가오는일정!$K$6:$K$505,0)),"")</f>
        <v/>
      </c>
      <c r="C22" s="23" t="str">
        <f aca="false">IF($B22="","",IFERROR(INDEX(기념일등록!$I$3:$I$502,MATCH(17,다가오는일정!$K$6:$K$505,0)),""))</f>
        <v/>
      </c>
      <c r="D22" s="13" t="str">
        <f aca="false">IFERROR(INDEX(기념일등록!$B$3:$B$502,MATCH(17,다가오는일정!$K$6:$K$505,0)),"")</f>
        <v/>
      </c>
      <c r="E22" s="13" t="str">
        <f aca="false">IF($D22="","",IFERROR(INDEX(기념일등록!$C$3:$C$502,MATCH(17,다가오는일정!$K$6:$K$505,0)),""))</f>
        <v/>
      </c>
      <c r="F22" s="23" t="str">
        <f aca="false">IF($D22="","",IFERROR(INDEX(기념일등록!$D$3:$D$502,MATCH(17,다가오는일정!$K$6:$K$505,0)),""))</f>
        <v/>
      </c>
      <c r="G22" s="25" t="str">
        <f aca="true">IF($D22="","",SUMIFS(경조사내역!$F$3:$F$1002,경조사내역!$B$3:$B$1002,$D22,경조사내역!$A$3:$A$1002,"&gt;="&amp;DATE(YEAR(TODAY())-1,1,1),경조사내역!$A$3:$A$1002,"&lt;="&amp;DATE(YEAR(TODAY())-1,12,31)))</f>
        <v/>
      </c>
      <c r="I22" s="26" t="b">
        <f aca="false">IF(기념일등록!$B19="",FALSE(),AND(기념일등록!$I19&gt;=0,기념일등록!$I19&lt;=90))</f>
        <v>0</v>
      </c>
      <c r="J22" s="6" t="str">
        <f aca="false">IF($I22=FALSE(),"",기념일등록!$I19*1000+ROW())</f>
        <v/>
      </c>
      <c r="K22" s="6" t="str">
        <f aca="false">IF($J22="","",RANK($J22,$J$6:$J$505,1))</f>
        <v/>
      </c>
    </row>
    <row r="23" customFormat="false" ht="15" hidden="false" customHeight="true" outlineLevel="0" collapsed="false">
      <c r="A23" s="23" t="str">
        <f aca="false">IF($D23="","",18)</f>
        <v/>
      </c>
      <c r="B23" s="16" t="str">
        <f aca="false">IFERROR(INDEX(기념일등록!$H$3:$H$502,MATCH(18,다가오는일정!$K$6:$K$505,0)),"")</f>
        <v/>
      </c>
      <c r="C23" s="23" t="str">
        <f aca="false">IF($B23="","",IFERROR(INDEX(기념일등록!$I$3:$I$502,MATCH(18,다가오는일정!$K$6:$K$505,0)),""))</f>
        <v/>
      </c>
      <c r="D23" s="13" t="str">
        <f aca="false">IFERROR(INDEX(기념일등록!$B$3:$B$502,MATCH(18,다가오는일정!$K$6:$K$505,0)),"")</f>
        <v/>
      </c>
      <c r="E23" s="13" t="str">
        <f aca="false">IF($D23="","",IFERROR(INDEX(기념일등록!$C$3:$C$502,MATCH(18,다가오는일정!$K$6:$K$505,0)),""))</f>
        <v/>
      </c>
      <c r="F23" s="23" t="str">
        <f aca="false">IF($D23="","",IFERROR(INDEX(기념일등록!$D$3:$D$502,MATCH(18,다가오는일정!$K$6:$K$505,0)),""))</f>
        <v/>
      </c>
      <c r="G23" s="25" t="str">
        <f aca="true">IF($D23="","",SUMIFS(경조사내역!$F$3:$F$1002,경조사내역!$B$3:$B$1002,$D23,경조사내역!$A$3:$A$1002,"&gt;="&amp;DATE(YEAR(TODAY())-1,1,1),경조사내역!$A$3:$A$1002,"&lt;="&amp;DATE(YEAR(TODAY())-1,12,31)))</f>
        <v/>
      </c>
      <c r="I23" s="26" t="b">
        <f aca="false">IF(기념일등록!$B20="",FALSE(),AND(기념일등록!$I20&gt;=0,기념일등록!$I20&lt;=90))</f>
        <v>0</v>
      </c>
      <c r="J23" s="6" t="str">
        <f aca="false">IF($I23=FALSE(),"",기념일등록!$I20*1000+ROW())</f>
        <v/>
      </c>
      <c r="K23" s="6" t="str">
        <f aca="false">IF($J23="","",RANK($J23,$J$6:$J$505,1))</f>
        <v/>
      </c>
    </row>
    <row r="24" customFormat="false" ht="15" hidden="false" customHeight="true" outlineLevel="0" collapsed="false">
      <c r="A24" s="23" t="str">
        <f aca="false">IF($D24="","",19)</f>
        <v/>
      </c>
      <c r="B24" s="16" t="str">
        <f aca="false">IFERROR(INDEX(기념일등록!$H$3:$H$502,MATCH(19,다가오는일정!$K$6:$K$505,0)),"")</f>
        <v/>
      </c>
      <c r="C24" s="23" t="str">
        <f aca="false">IF($B24="","",IFERROR(INDEX(기념일등록!$I$3:$I$502,MATCH(19,다가오는일정!$K$6:$K$505,0)),""))</f>
        <v/>
      </c>
      <c r="D24" s="13" t="str">
        <f aca="false">IFERROR(INDEX(기념일등록!$B$3:$B$502,MATCH(19,다가오는일정!$K$6:$K$505,0)),"")</f>
        <v/>
      </c>
      <c r="E24" s="13" t="str">
        <f aca="false">IF($D24="","",IFERROR(INDEX(기념일등록!$C$3:$C$502,MATCH(19,다가오는일정!$K$6:$K$505,0)),""))</f>
        <v/>
      </c>
      <c r="F24" s="23" t="str">
        <f aca="false">IF($D24="","",IFERROR(INDEX(기념일등록!$D$3:$D$502,MATCH(19,다가오는일정!$K$6:$K$505,0)),""))</f>
        <v/>
      </c>
      <c r="G24" s="25" t="str">
        <f aca="true">IF($D24="","",SUMIFS(경조사내역!$F$3:$F$1002,경조사내역!$B$3:$B$1002,$D24,경조사내역!$A$3:$A$1002,"&gt;="&amp;DATE(YEAR(TODAY())-1,1,1),경조사내역!$A$3:$A$1002,"&lt;="&amp;DATE(YEAR(TODAY())-1,12,31)))</f>
        <v/>
      </c>
      <c r="I24" s="26" t="b">
        <f aca="false">IF(기념일등록!$B21="",FALSE(),AND(기념일등록!$I21&gt;=0,기념일등록!$I21&lt;=90))</f>
        <v>0</v>
      </c>
      <c r="J24" s="6" t="str">
        <f aca="false">IF($I24=FALSE(),"",기념일등록!$I21*1000+ROW())</f>
        <v/>
      </c>
      <c r="K24" s="6" t="str">
        <f aca="false">IF($J24="","",RANK($J24,$J$6:$J$505,1))</f>
        <v/>
      </c>
    </row>
    <row r="25" customFormat="false" ht="15" hidden="false" customHeight="true" outlineLevel="0" collapsed="false">
      <c r="A25" s="23" t="str">
        <f aca="false">IF($D25="","",20)</f>
        <v/>
      </c>
      <c r="B25" s="16" t="str">
        <f aca="false">IFERROR(INDEX(기념일등록!$H$3:$H$502,MATCH(20,다가오는일정!$K$6:$K$505,0)),"")</f>
        <v/>
      </c>
      <c r="C25" s="23" t="str">
        <f aca="false">IF($B25="","",IFERROR(INDEX(기념일등록!$I$3:$I$502,MATCH(20,다가오는일정!$K$6:$K$505,0)),""))</f>
        <v/>
      </c>
      <c r="D25" s="13" t="str">
        <f aca="false">IFERROR(INDEX(기념일등록!$B$3:$B$502,MATCH(20,다가오는일정!$K$6:$K$505,0)),"")</f>
        <v/>
      </c>
      <c r="E25" s="13" t="str">
        <f aca="false">IF($D25="","",IFERROR(INDEX(기념일등록!$C$3:$C$502,MATCH(20,다가오는일정!$K$6:$K$505,0)),""))</f>
        <v/>
      </c>
      <c r="F25" s="23" t="str">
        <f aca="false">IF($D25="","",IFERROR(INDEX(기념일등록!$D$3:$D$502,MATCH(20,다가오는일정!$K$6:$K$505,0)),""))</f>
        <v/>
      </c>
      <c r="G25" s="25" t="str">
        <f aca="true">IF($D25="","",SUMIFS(경조사내역!$F$3:$F$1002,경조사내역!$B$3:$B$1002,$D25,경조사내역!$A$3:$A$1002,"&gt;="&amp;DATE(YEAR(TODAY())-1,1,1),경조사내역!$A$3:$A$1002,"&lt;="&amp;DATE(YEAR(TODAY())-1,12,31)))</f>
        <v/>
      </c>
      <c r="I25" s="26" t="b">
        <f aca="false">IF(기념일등록!$B22="",FALSE(),AND(기념일등록!$I22&gt;=0,기념일등록!$I22&lt;=90))</f>
        <v>0</v>
      </c>
      <c r="J25" s="6" t="str">
        <f aca="false">IF($I25=FALSE(),"",기념일등록!$I22*1000+ROW())</f>
        <v/>
      </c>
      <c r="K25" s="6" t="str">
        <f aca="false">IF($J25="","",RANK($J25,$J$6:$J$505,1))</f>
        <v/>
      </c>
    </row>
    <row r="26" customFormat="false" ht="15" hidden="false" customHeight="true" outlineLevel="0" collapsed="false">
      <c r="A26" s="23" t="str">
        <f aca="false">IF($D26="","",21)</f>
        <v/>
      </c>
      <c r="B26" s="16" t="str">
        <f aca="false">IFERROR(INDEX(기념일등록!$H$3:$H$502,MATCH(21,다가오는일정!$K$6:$K$505,0)),"")</f>
        <v/>
      </c>
      <c r="C26" s="23" t="str">
        <f aca="false">IF($B26="","",IFERROR(INDEX(기념일등록!$I$3:$I$502,MATCH(21,다가오는일정!$K$6:$K$505,0)),""))</f>
        <v/>
      </c>
      <c r="D26" s="13" t="str">
        <f aca="false">IFERROR(INDEX(기념일등록!$B$3:$B$502,MATCH(21,다가오는일정!$K$6:$K$505,0)),"")</f>
        <v/>
      </c>
      <c r="E26" s="13" t="str">
        <f aca="false">IF($D26="","",IFERROR(INDEX(기념일등록!$C$3:$C$502,MATCH(21,다가오는일정!$K$6:$K$505,0)),""))</f>
        <v/>
      </c>
      <c r="F26" s="23" t="str">
        <f aca="false">IF($D26="","",IFERROR(INDEX(기념일등록!$D$3:$D$502,MATCH(21,다가오는일정!$K$6:$K$505,0)),""))</f>
        <v/>
      </c>
      <c r="G26" s="25" t="str">
        <f aca="true">IF($D26="","",SUMIFS(경조사내역!$F$3:$F$1002,경조사내역!$B$3:$B$1002,$D26,경조사내역!$A$3:$A$1002,"&gt;="&amp;DATE(YEAR(TODAY())-1,1,1),경조사내역!$A$3:$A$1002,"&lt;="&amp;DATE(YEAR(TODAY())-1,12,31)))</f>
        <v/>
      </c>
      <c r="I26" s="26" t="b">
        <f aca="false">IF(기념일등록!$B23="",FALSE(),AND(기념일등록!$I23&gt;=0,기념일등록!$I23&lt;=90))</f>
        <v>0</v>
      </c>
      <c r="J26" s="6" t="str">
        <f aca="false">IF($I26=FALSE(),"",기념일등록!$I23*1000+ROW())</f>
        <v/>
      </c>
      <c r="K26" s="6" t="str">
        <f aca="false">IF($J26="","",RANK($J26,$J$6:$J$505,1))</f>
        <v/>
      </c>
    </row>
    <row r="27" customFormat="false" ht="15" hidden="false" customHeight="true" outlineLevel="0" collapsed="false">
      <c r="A27" s="23" t="str">
        <f aca="false">IF($D27="","",22)</f>
        <v/>
      </c>
      <c r="B27" s="16" t="str">
        <f aca="false">IFERROR(INDEX(기념일등록!$H$3:$H$502,MATCH(22,다가오는일정!$K$6:$K$505,0)),"")</f>
        <v/>
      </c>
      <c r="C27" s="23" t="str">
        <f aca="false">IF($B27="","",IFERROR(INDEX(기념일등록!$I$3:$I$502,MATCH(22,다가오는일정!$K$6:$K$505,0)),""))</f>
        <v/>
      </c>
      <c r="D27" s="13" t="str">
        <f aca="false">IFERROR(INDEX(기념일등록!$B$3:$B$502,MATCH(22,다가오는일정!$K$6:$K$505,0)),"")</f>
        <v/>
      </c>
      <c r="E27" s="13" t="str">
        <f aca="false">IF($D27="","",IFERROR(INDEX(기념일등록!$C$3:$C$502,MATCH(22,다가오는일정!$K$6:$K$505,0)),""))</f>
        <v/>
      </c>
      <c r="F27" s="23" t="str">
        <f aca="false">IF($D27="","",IFERROR(INDEX(기념일등록!$D$3:$D$502,MATCH(22,다가오는일정!$K$6:$K$505,0)),""))</f>
        <v/>
      </c>
      <c r="G27" s="25" t="str">
        <f aca="true">IF($D27="","",SUMIFS(경조사내역!$F$3:$F$1002,경조사내역!$B$3:$B$1002,$D27,경조사내역!$A$3:$A$1002,"&gt;="&amp;DATE(YEAR(TODAY())-1,1,1),경조사내역!$A$3:$A$1002,"&lt;="&amp;DATE(YEAR(TODAY())-1,12,31)))</f>
        <v/>
      </c>
      <c r="I27" s="26" t="b">
        <f aca="false">IF(기념일등록!$B24="",FALSE(),AND(기념일등록!$I24&gt;=0,기념일등록!$I24&lt;=90))</f>
        <v>0</v>
      </c>
      <c r="J27" s="6" t="str">
        <f aca="false">IF($I27=FALSE(),"",기념일등록!$I24*1000+ROW())</f>
        <v/>
      </c>
      <c r="K27" s="6" t="str">
        <f aca="false">IF($J27="","",RANK($J27,$J$6:$J$505,1))</f>
        <v/>
      </c>
    </row>
    <row r="28" customFormat="false" ht="15" hidden="false" customHeight="true" outlineLevel="0" collapsed="false">
      <c r="A28" s="23" t="str">
        <f aca="false">IF($D28="","",23)</f>
        <v/>
      </c>
      <c r="B28" s="16" t="str">
        <f aca="false">IFERROR(INDEX(기념일등록!$H$3:$H$502,MATCH(23,다가오는일정!$K$6:$K$505,0)),"")</f>
        <v/>
      </c>
      <c r="C28" s="23" t="str">
        <f aca="false">IF($B28="","",IFERROR(INDEX(기념일등록!$I$3:$I$502,MATCH(23,다가오는일정!$K$6:$K$505,0)),""))</f>
        <v/>
      </c>
      <c r="D28" s="13" t="str">
        <f aca="false">IFERROR(INDEX(기념일등록!$B$3:$B$502,MATCH(23,다가오는일정!$K$6:$K$505,0)),"")</f>
        <v/>
      </c>
      <c r="E28" s="13" t="str">
        <f aca="false">IF($D28="","",IFERROR(INDEX(기념일등록!$C$3:$C$502,MATCH(23,다가오는일정!$K$6:$K$505,0)),""))</f>
        <v/>
      </c>
      <c r="F28" s="23" t="str">
        <f aca="false">IF($D28="","",IFERROR(INDEX(기념일등록!$D$3:$D$502,MATCH(23,다가오는일정!$K$6:$K$505,0)),""))</f>
        <v/>
      </c>
      <c r="G28" s="25" t="str">
        <f aca="true">IF($D28="","",SUMIFS(경조사내역!$F$3:$F$1002,경조사내역!$B$3:$B$1002,$D28,경조사내역!$A$3:$A$1002,"&gt;="&amp;DATE(YEAR(TODAY())-1,1,1),경조사내역!$A$3:$A$1002,"&lt;="&amp;DATE(YEAR(TODAY())-1,12,31)))</f>
        <v/>
      </c>
      <c r="I28" s="26" t="b">
        <f aca="false">IF(기념일등록!$B25="",FALSE(),AND(기념일등록!$I25&gt;=0,기념일등록!$I25&lt;=90))</f>
        <v>0</v>
      </c>
      <c r="J28" s="6" t="str">
        <f aca="false">IF($I28=FALSE(),"",기념일등록!$I25*1000+ROW())</f>
        <v/>
      </c>
      <c r="K28" s="6" t="str">
        <f aca="false">IF($J28="","",RANK($J28,$J$6:$J$505,1))</f>
        <v/>
      </c>
    </row>
    <row r="29" customFormat="false" ht="15" hidden="false" customHeight="true" outlineLevel="0" collapsed="false">
      <c r="A29" s="23" t="str">
        <f aca="false">IF($D29="","",24)</f>
        <v/>
      </c>
      <c r="B29" s="16" t="str">
        <f aca="false">IFERROR(INDEX(기념일등록!$H$3:$H$502,MATCH(24,다가오는일정!$K$6:$K$505,0)),"")</f>
        <v/>
      </c>
      <c r="C29" s="23" t="str">
        <f aca="false">IF($B29="","",IFERROR(INDEX(기념일등록!$I$3:$I$502,MATCH(24,다가오는일정!$K$6:$K$505,0)),""))</f>
        <v/>
      </c>
      <c r="D29" s="13" t="str">
        <f aca="false">IFERROR(INDEX(기념일등록!$B$3:$B$502,MATCH(24,다가오는일정!$K$6:$K$505,0)),"")</f>
        <v/>
      </c>
      <c r="E29" s="13" t="str">
        <f aca="false">IF($D29="","",IFERROR(INDEX(기념일등록!$C$3:$C$502,MATCH(24,다가오는일정!$K$6:$K$505,0)),""))</f>
        <v/>
      </c>
      <c r="F29" s="23" t="str">
        <f aca="false">IF($D29="","",IFERROR(INDEX(기념일등록!$D$3:$D$502,MATCH(24,다가오는일정!$K$6:$K$505,0)),""))</f>
        <v/>
      </c>
      <c r="G29" s="25" t="str">
        <f aca="true">IF($D29="","",SUMIFS(경조사내역!$F$3:$F$1002,경조사내역!$B$3:$B$1002,$D29,경조사내역!$A$3:$A$1002,"&gt;="&amp;DATE(YEAR(TODAY())-1,1,1),경조사내역!$A$3:$A$1002,"&lt;="&amp;DATE(YEAR(TODAY())-1,12,31)))</f>
        <v/>
      </c>
      <c r="I29" s="26" t="b">
        <f aca="false">IF(기념일등록!$B26="",FALSE(),AND(기념일등록!$I26&gt;=0,기념일등록!$I26&lt;=90))</f>
        <v>0</v>
      </c>
      <c r="J29" s="6" t="str">
        <f aca="false">IF($I29=FALSE(),"",기념일등록!$I26*1000+ROW())</f>
        <v/>
      </c>
      <c r="K29" s="6" t="str">
        <f aca="false">IF($J29="","",RANK($J29,$J$6:$J$505,1))</f>
        <v/>
      </c>
    </row>
    <row r="30" customFormat="false" ht="15" hidden="false" customHeight="true" outlineLevel="0" collapsed="false">
      <c r="A30" s="23" t="str">
        <f aca="false">IF($D30="","",25)</f>
        <v/>
      </c>
      <c r="B30" s="16" t="str">
        <f aca="false">IFERROR(INDEX(기념일등록!$H$3:$H$502,MATCH(25,다가오는일정!$K$6:$K$505,0)),"")</f>
        <v/>
      </c>
      <c r="C30" s="23" t="str">
        <f aca="false">IF($B30="","",IFERROR(INDEX(기념일등록!$I$3:$I$502,MATCH(25,다가오는일정!$K$6:$K$505,0)),""))</f>
        <v/>
      </c>
      <c r="D30" s="13" t="str">
        <f aca="false">IFERROR(INDEX(기념일등록!$B$3:$B$502,MATCH(25,다가오는일정!$K$6:$K$505,0)),"")</f>
        <v/>
      </c>
      <c r="E30" s="13" t="str">
        <f aca="false">IF($D30="","",IFERROR(INDEX(기념일등록!$C$3:$C$502,MATCH(25,다가오는일정!$K$6:$K$505,0)),""))</f>
        <v/>
      </c>
      <c r="F30" s="23" t="str">
        <f aca="false">IF($D30="","",IFERROR(INDEX(기념일등록!$D$3:$D$502,MATCH(25,다가오는일정!$K$6:$K$505,0)),""))</f>
        <v/>
      </c>
      <c r="G30" s="25" t="str">
        <f aca="true">IF($D30="","",SUMIFS(경조사내역!$F$3:$F$1002,경조사내역!$B$3:$B$1002,$D30,경조사내역!$A$3:$A$1002,"&gt;="&amp;DATE(YEAR(TODAY())-1,1,1),경조사내역!$A$3:$A$1002,"&lt;="&amp;DATE(YEAR(TODAY())-1,12,31)))</f>
        <v/>
      </c>
      <c r="I30" s="26" t="b">
        <f aca="false">IF(기념일등록!$B27="",FALSE(),AND(기념일등록!$I27&gt;=0,기념일등록!$I27&lt;=90))</f>
        <v>0</v>
      </c>
      <c r="J30" s="6" t="str">
        <f aca="false">IF($I30=FALSE(),"",기념일등록!$I27*1000+ROW())</f>
        <v/>
      </c>
      <c r="K30" s="6" t="str">
        <f aca="false">IF($J30="","",RANK($J30,$J$6:$J$505,1))</f>
        <v/>
      </c>
    </row>
    <row r="31" customFormat="false" ht="15" hidden="false" customHeight="true" outlineLevel="0" collapsed="false">
      <c r="A31" s="23" t="str">
        <f aca="false">IF($D31="","",26)</f>
        <v/>
      </c>
      <c r="B31" s="16" t="str">
        <f aca="false">IFERROR(INDEX(기념일등록!$H$3:$H$502,MATCH(26,다가오는일정!$K$6:$K$505,0)),"")</f>
        <v/>
      </c>
      <c r="C31" s="23" t="str">
        <f aca="false">IF($B31="","",IFERROR(INDEX(기념일등록!$I$3:$I$502,MATCH(26,다가오는일정!$K$6:$K$505,0)),""))</f>
        <v/>
      </c>
      <c r="D31" s="13" t="str">
        <f aca="false">IFERROR(INDEX(기념일등록!$B$3:$B$502,MATCH(26,다가오는일정!$K$6:$K$505,0)),"")</f>
        <v/>
      </c>
      <c r="E31" s="13" t="str">
        <f aca="false">IF($D31="","",IFERROR(INDEX(기념일등록!$C$3:$C$502,MATCH(26,다가오는일정!$K$6:$K$505,0)),""))</f>
        <v/>
      </c>
      <c r="F31" s="23" t="str">
        <f aca="false">IF($D31="","",IFERROR(INDEX(기념일등록!$D$3:$D$502,MATCH(26,다가오는일정!$K$6:$K$505,0)),""))</f>
        <v/>
      </c>
      <c r="G31" s="25" t="str">
        <f aca="true">IF($D31="","",SUMIFS(경조사내역!$F$3:$F$1002,경조사내역!$B$3:$B$1002,$D31,경조사내역!$A$3:$A$1002,"&gt;="&amp;DATE(YEAR(TODAY())-1,1,1),경조사내역!$A$3:$A$1002,"&lt;="&amp;DATE(YEAR(TODAY())-1,12,31)))</f>
        <v/>
      </c>
      <c r="I31" s="26" t="b">
        <f aca="false">IF(기념일등록!$B28="",FALSE(),AND(기념일등록!$I28&gt;=0,기념일등록!$I28&lt;=90))</f>
        <v>0</v>
      </c>
      <c r="J31" s="6" t="str">
        <f aca="false">IF($I31=FALSE(),"",기념일등록!$I28*1000+ROW())</f>
        <v/>
      </c>
      <c r="K31" s="6" t="str">
        <f aca="false">IF($J31="","",RANK($J31,$J$6:$J$505,1))</f>
        <v/>
      </c>
    </row>
    <row r="32" customFormat="false" ht="15" hidden="false" customHeight="true" outlineLevel="0" collapsed="false">
      <c r="A32" s="23" t="str">
        <f aca="false">IF($D32="","",27)</f>
        <v/>
      </c>
      <c r="B32" s="16" t="str">
        <f aca="false">IFERROR(INDEX(기념일등록!$H$3:$H$502,MATCH(27,다가오는일정!$K$6:$K$505,0)),"")</f>
        <v/>
      </c>
      <c r="C32" s="23" t="str">
        <f aca="false">IF($B32="","",IFERROR(INDEX(기념일등록!$I$3:$I$502,MATCH(27,다가오는일정!$K$6:$K$505,0)),""))</f>
        <v/>
      </c>
      <c r="D32" s="13" t="str">
        <f aca="false">IFERROR(INDEX(기념일등록!$B$3:$B$502,MATCH(27,다가오는일정!$K$6:$K$505,0)),"")</f>
        <v/>
      </c>
      <c r="E32" s="13" t="str">
        <f aca="false">IF($D32="","",IFERROR(INDEX(기념일등록!$C$3:$C$502,MATCH(27,다가오는일정!$K$6:$K$505,0)),""))</f>
        <v/>
      </c>
      <c r="F32" s="23" t="str">
        <f aca="false">IF($D32="","",IFERROR(INDEX(기념일등록!$D$3:$D$502,MATCH(27,다가오는일정!$K$6:$K$505,0)),""))</f>
        <v/>
      </c>
      <c r="G32" s="25" t="str">
        <f aca="true">IF($D32="","",SUMIFS(경조사내역!$F$3:$F$1002,경조사내역!$B$3:$B$1002,$D32,경조사내역!$A$3:$A$1002,"&gt;="&amp;DATE(YEAR(TODAY())-1,1,1),경조사내역!$A$3:$A$1002,"&lt;="&amp;DATE(YEAR(TODAY())-1,12,31)))</f>
        <v/>
      </c>
      <c r="I32" s="26" t="b">
        <f aca="false">IF(기념일등록!$B29="",FALSE(),AND(기념일등록!$I29&gt;=0,기념일등록!$I29&lt;=90))</f>
        <v>0</v>
      </c>
      <c r="J32" s="6" t="str">
        <f aca="false">IF($I32=FALSE(),"",기념일등록!$I29*1000+ROW())</f>
        <v/>
      </c>
      <c r="K32" s="6" t="str">
        <f aca="false">IF($J32="","",RANK($J32,$J$6:$J$505,1))</f>
        <v/>
      </c>
    </row>
    <row r="33" customFormat="false" ht="15" hidden="false" customHeight="true" outlineLevel="0" collapsed="false">
      <c r="A33" s="23" t="str">
        <f aca="false">IF($D33="","",28)</f>
        <v/>
      </c>
      <c r="B33" s="16" t="str">
        <f aca="false">IFERROR(INDEX(기념일등록!$H$3:$H$502,MATCH(28,다가오는일정!$K$6:$K$505,0)),"")</f>
        <v/>
      </c>
      <c r="C33" s="23" t="str">
        <f aca="false">IF($B33="","",IFERROR(INDEX(기념일등록!$I$3:$I$502,MATCH(28,다가오는일정!$K$6:$K$505,0)),""))</f>
        <v/>
      </c>
      <c r="D33" s="13" t="str">
        <f aca="false">IFERROR(INDEX(기념일등록!$B$3:$B$502,MATCH(28,다가오는일정!$K$6:$K$505,0)),"")</f>
        <v/>
      </c>
      <c r="E33" s="13" t="str">
        <f aca="false">IF($D33="","",IFERROR(INDEX(기념일등록!$C$3:$C$502,MATCH(28,다가오는일정!$K$6:$K$505,0)),""))</f>
        <v/>
      </c>
      <c r="F33" s="23" t="str">
        <f aca="false">IF($D33="","",IFERROR(INDEX(기념일등록!$D$3:$D$502,MATCH(28,다가오는일정!$K$6:$K$505,0)),""))</f>
        <v/>
      </c>
      <c r="G33" s="25" t="str">
        <f aca="true">IF($D33="","",SUMIFS(경조사내역!$F$3:$F$1002,경조사내역!$B$3:$B$1002,$D33,경조사내역!$A$3:$A$1002,"&gt;="&amp;DATE(YEAR(TODAY())-1,1,1),경조사내역!$A$3:$A$1002,"&lt;="&amp;DATE(YEAR(TODAY())-1,12,31)))</f>
        <v/>
      </c>
      <c r="I33" s="26" t="b">
        <f aca="false">IF(기념일등록!$B30="",FALSE(),AND(기념일등록!$I30&gt;=0,기념일등록!$I30&lt;=90))</f>
        <v>0</v>
      </c>
      <c r="J33" s="6" t="str">
        <f aca="false">IF($I33=FALSE(),"",기념일등록!$I30*1000+ROW())</f>
        <v/>
      </c>
      <c r="K33" s="6" t="str">
        <f aca="false">IF($J33="","",RANK($J33,$J$6:$J$505,1))</f>
        <v/>
      </c>
    </row>
    <row r="34" customFormat="false" ht="15" hidden="false" customHeight="true" outlineLevel="0" collapsed="false">
      <c r="A34" s="23" t="str">
        <f aca="false">IF($D34="","",29)</f>
        <v/>
      </c>
      <c r="B34" s="16" t="str">
        <f aca="false">IFERROR(INDEX(기념일등록!$H$3:$H$502,MATCH(29,다가오는일정!$K$6:$K$505,0)),"")</f>
        <v/>
      </c>
      <c r="C34" s="23" t="str">
        <f aca="false">IF($B34="","",IFERROR(INDEX(기념일등록!$I$3:$I$502,MATCH(29,다가오는일정!$K$6:$K$505,0)),""))</f>
        <v/>
      </c>
      <c r="D34" s="13" t="str">
        <f aca="false">IFERROR(INDEX(기념일등록!$B$3:$B$502,MATCH(29,다가오는일정!$K$6:$K$505,0)),"")</f>
        <v/>
      </c>
      <c r="E34" s="13" t="str">
        <f aca="false">IF($D34="","",IFERROR(INDEX(기념일등록!$C$3:$C$502,MATCH(29,다가오는일정!$K$6:$K$505,0)),""))</f>
        <v/>
      </c>
      <c r="F34" s="23" t="str">
        <f aca="false">IF($D34="","",IFERROR(INDEX(기념일등록!$D$3:$D$502,MATCH(29,다가오는일정!$K$6:$K$505,0)),""))</f>
        <v/>
      </c>
      <c r="G34" s="25" t="str">
        <f aca="true">IF($D34="","",SUMIFS(경조사내역!$F$3:$F$1002,경조사내역!$B$3:$B$1002,$D34,경조사내역!$A$3:$A$1002,"&gt;="&amp;DATE(YEAR(TODAY())-1,1,1),경조사내역!$A$3:$A$1002,"&lt;="&amp;DATE(YEAR(TODAY())-1,12,31)))</f>
        <v/>
      </c>
      <c r="I34" s="26" t="b">
        <f aca="false">IF(기념일등록!$B31="",FALSE(),AND(기념일등록!$I31&gt;=0,기념일등록!$I31&lt;=90))</f>
        <v>0</v>
      </c>
      <c r="J34" s="6" t="str">
        <f aca="false">IF($I34=FALSE(),"",기념일등록!$I31*1000+ROW())</f>
        <v/>
      </c>
      <c r="K34" s="6" t="str">
        <f aca="false">IF($J34="","",RANK($J34,$J$6:$J$505,1))</f>
        <v/>
      </c>
    </row>
    <row r="35" customFormat="false" ht="15" hidden="false" customHeight="true" outlineLevel="0" collapsed="false">
      <c r="A35" s="23" t="str">
        <f aca="false">IF($D35="","",30)</f>
        <v/>
      </c>
      <c r="B35" s="16" t="str">
        <f aca="false">IFERROR(INDEX(기념일등록!$H$3:$H$502,MATCH(30,다가오는일정!$K$6:$K$505,0)),"")</f>
        <v/>
      </c>
      <c r="C35" s="23" t="str">
        <f aca="false">IF($B35="","",IFERROR(INDEX(기념일등록!$I$3:$I$502,MATCH(30,다가오는일정!$K$6:$K$505,0)),""))</f>
        <v/>
      </c>
      <c r="D35" s="13" t="str">
        <f aca="false">IFERROR(INDEX(기념일등록!$B$3:$B$502,MATCH(30,다가오는일정!$K$6:$K$505,0)),"")</f>
        <v/>
      </c>
      <c r="E35" s="13" t="str">
        <f aca="false">IF($D35="","",IFERROR(INDEX(기념일등록!$C$3:$C$502,MATCH(30,다가오는일정!$K$6:$K$505,0)),""))</f>
        <v/>
      </c>
      <c r="F35" s="23" t="str">
        <f aca="false">IF($D35="","",IFERROR(INDEX(기념일등록!$D$3:$D$502,MATCH(30,다가오는일정!$K$6:$K$505,0)),""))</f>
        <v/>
      </c>
      <c r="G35" s="25" t="str">
        <f aca="true">IF($D35="","",SUMIFS(경조사내역!$F$3:$F$1002,경조사내역!$B$3:$B$1002,$D35,경조사내역!$A$3:$A$1002,"&gt;="&amp;DATE(YEAR(TODAY())-1,1,1),경조사내역!$A$3:$A$1002,"&lt;="&amp;DATE(YEAR(TODAY())-1,12,31)))</f>
        <v/>
      </c>
      <c r="I35" s="26" t="b">
        <f aca="false">IF(기념일등록!$B32="",FALSE(),AND(기념일등록!$I32&gt;=0,기념일등록!$I32&lt;=90))</f>
        <v>0</v>
      </c>
      <c r="J35" s="6" t="str">
        <f aca="false">IF($I35=FALSE(),"",기념일등록!$I32*1000+ROW())</f>
        <v/>
      </c>
      <c r="K35" s="6" t="str">
        <f aca="false">IF($J35="","",RANK($J35,$J$6:$J$505,1))</f>
        <v/>
      </c>
    </row>
    <row r="36" customFormat="false" ht="15" hidden="false" customHeight="true" outlineLevel="0" collapsed="false">
      <c r="A36" s="23" t="str">
        <f aca="false">IF($D36="","",31)</f>
        <v/>
      </c>
      <c r="B36" s="16" t="str">
        <f aca="false">IFERROR(INDEX(기념일등록!$H$3:$H$502,MATCH(31,다가오는일정!$K$6:$K$505,0)),"")</f>
        <v/>
      </c>
      <c r="C36" s="23" t="str">
        <f aca="false">IF($B36="","",IFERROR(INDEX(기념일등록!$I$3:$I$502,MATCH(31,다가오는일정!$K$6:$K$505,0)),""))</f>
        <v/>
      </c>
      <c r="D36" s="13" t="str">
        <f aca="false">IFERROR(INDEX(기념일등록!$B$3:$B$502,MATCH(31,다가오는일정!$K$6:$K$505,0)),"")</f>
        <v/>
      </c>
      <c r="E36" s="13" t="str">
        <f aca="false">IF($D36="","",IFERROR(INDEX(기념일등록!$C$3:$C$502,MATCH(31,다가오는일정!$K$6:$K$505,0)),""))</f>
        <v/>
      </c>
      <c r="F36" s="23" t="str">
        <f aca="false">IF($D36="","",IFERROR(INDEX(기념일등록!$D$3:$D$502,MATCH(31,다가오는일정!$K$6:$K$505,0)),""))</f>
        <v/>
      </c>
      <c r="G36" s="25" t="str">
        <f aca="true">IF($D36="","",SUMIFS(경조사내역!$F$3:$F$1002,경조사내역!$B$3:$B$1002,$D36,경조사내역!$A$3:$A$1002,"&gt;="&amp;DATE(YEAR(TODAY())-1,1,1),경조사내역!$A$3:$A$1002,"&lt;="&amp;DATE(YEAR(TODAY())-1,12,31)))</f>
        <v/>
      </c>
      <c r="I36" s="26" t="b">
        <f aca="false">IF(기념일등록!$B33="",FALSE(),AND(기념일등록!$I33&gt;=0,기념일등록!$I33&lt;=90))</f>
        <v>0</v>
      </c>
      <c r="J36" s="6" t="str">
        <f aca="false">IF($I36=FALSE(),"",기념일등록!$I33*1000+ROW())</f>
        <v/>
      </c>
      <c r="K36" s="6" t="str">
        <f aca="false">IF($J36="","",RANK($J36,$J$6:$J$505,1))</f>
        <v/>
      </c>
    </row>
    <row r="37" customFormat="false" ht="15" hidden="false" customHeight="true" outlineLevel="0" collapsed="false">
      <c r="A37" s="23" t="str">
        <f aca="false">IF($D37="","",32)</f>
        <v/>
      </c>
      <c r="B37" s="16" t="str">
        <f aca="false">IFERROR(INDEX(기념일등록!$H$3:$H$502,MATCH(32,다가오는일정!$K$6:$K$505,0)),"")</f>
        <v/>
      </c>
      <c r="C37" s="23" t="str">
        <f aca="false">IF($B37="","",IFERROR(INDEX(기념일등록!$I$3:$I$502,MATCH(32,다가오는일정!$K$6:$K$505,0)),""))</f>
        <v/>
      </c>
      <c r="D37" s="13" t="str">
        <f aca="false">IFERROR(INDEX(기념일등록!$B$3:$B$502,MATCH(32,다가오는일정!$K$6:$K$505,0)),"")</f>
        <v/>
      </c>
      <c r="E37" s="13" t="str">
        <f aca="false">IF($D37="","",IFERROR(INDEX(기념일등록!$C$3:$C$502,MATCH(32,다가오는일정!$K$6:$K$505,0)),""))</f>
        <v/>
      </c>
      <c r="F37" s="23" t="str">
        <f aca="false">IF($D37="","",IFERROR(INDEX(기념일등록!$D$3:$D$502,MATCH(32,다가오는일정!$K$6:$K$505,0)),""))</f>
        <v/>
      </c>
      <c r="G37" s="25" t="str">
        <f aca="true">IF($D37="","",SUMIFS(경조사내역!$F$3:$F$1002,경조사내역!$B$3:$B$1002,$D37,경조사내역!$A$3:$A$1002,"&gt;="&amp;DATE(YEAR(TODAY())-1,1,1),경조사내역!$A$3:$A$1002,"&lt;="&amp;DATE(YEAR(TODAY())-1,12,31)))</f>
        <v/>
      </c>
      <c r="I37" s="26" t="b">
        <f aca="false">IF(기념일등록!$B34="",FALSE(),AND(기념일등록!$I34&gt;=0,기념일등록!$I34&lt;=90))</f>
        <v>0</v>
      </c>
      <c r="J37" s="6" t="str">
        <f aca="false">IF($I37=FALSE(),"",기념일등록!$I34*1000+ROW())</f>
        <v/>
      </c>
      <c r="K37" s="6" t="str">
        <f aca="false">IF($J37="","",RANK($J37,$J$6:$J$505,1))</f>
        <v/>
      </c>
    </row>
    <row r="38" customFormat="false" ht="15" hidden="false" customHeight="true" outlineLevel="0" collapsed="false">
      <c r="A38" s="23" t="str">
        <f aca="false">IF($D38="","",33)</f>
        <v/>
      </c>
      <c r="B38" s="16" t="str">
        <f aca="false">IFERROR(INDEX(기념일등록!$H$3:$H$502,MATCH(33,다가오는일정!$K$6:$K$505,0)),"")</f>
        <v/>
      </c>
      <c r="C38" s="23" t="str">
        <f aca="false">IF($B38="","",IFERROR(INDEX(기념일등록!$I$3:$I$502,MATCH(33,다가오는일정!$K$6:$K$505,0)),""))</f>
        <v/>
      </c>
      <c r="D38" s="13" t="str">
        <f aca="false">IFERROR(INDEX(기념일등록!$B$3:$B$502,MATCH(33,다가오는일정!$K$6:$K$505,0)),"")</f>
        <v/>
      </c>
      <c r="E38" s="13" t="str">
        <f aca="false">IF($D38="","",IFERROR(INDEX(기념일등록!$C$3:$C$502,MATCH(33,다가오는일정!$K$6:$K$505,0)),""))</f>
        <v/>
      </c>
      <c r="F38" s="23" t="str">
        <f aca="false">IF($D38="","",IFERROR(INDEX(기념일등록!$D$3:$D$502,MATCH(33,다가오는일정!$K$6:$K$505,0)),""))</f>
        <v/>
      </c>
      <c r="G38" s="25" t="str">
        <f aca="true">IF($D38="","",SUMIFS(경조사내역!$F$3:$F$1002,경조사내역!$B$3:$B$1002,$D38,경조사내역!$A$3:$A$1002,"&gt;="&amp;DATE(YEAR(TODAY())-1,1,1),경조사내역!$A$3:$A$1002,"&lt;="&amp;DATE(YEAR(TODAY())-1,12,31)))</f>
        <v/>
      </c>
      <c r="I38" s="26" t="b">
        <f aca="false">IF(기념일등록!$B35="",FALSE(),AND(기념일등록!$I35&gt;=0,기념일등록!$I35&lt;=90))</f>
        <v>0</v>
      </c>
      <c r="J38" s="6" t="str">
        <f aca="false">IF($I38=FALSE(),"",기념일등록!$I35*1000+ROW())</f>
        <v/>
      </c>
      <c r="K38" s="6" t="str">
        <f aca="false">IF($J38="","",RANK($J38,$J$6:$J$505,1))</f>
        <v/>
      </c>
    </row>
    <row r="39" customFormat="false" ht="15" hidden="false" customHeight="true" outlineLevel="0" collapsed="false">
      <c r="A39" s="23" t="str">
        <f aca="false">IF($D39="","",34)</f>
        <v/>
      </c>
      <c r="B39" s="16" t="str">
        <f aca="false">IFERROR(INDEX(기념일등록!$H$3:$H$502,MATCH(34,다가오는일정!$K$6:$K$505,0)),"")</f>
        <v/>
      </c>
      <c r="C39" s="23" t="str">
        <f aca="false">IF($B39="","",IFERROR(INDEX(기념일등록!$I$3:$I$502,MATCH(34,다가오는일정!$K$6:$K$505,0)),""))</f>
        <v/>
      </c>
      <c r="D39" s="13" t="str">
        <f aca="false">IFERROR(INDEX(기념일등록!$B$3:$B$502,MATCH(34,다가오는일정!$K$6:$K$505,0)),"")</f>
        <v/>
      </c>
      <c r="E39" s="13" t="str">
        <f aca="false">IF($D39="","",IFERROR(INDEX(기념일등록!$C$3:$C$502,MATCH(34,다가오는일정!$K$6:$K$505,0)),""))</f>
        <v/>
      </c>
      <c r="F39" s="23" t="str">
        <f aca="false">IF($D39="","",IFERROR(INDEX(기념일등록!$D$3:$D$502,MATCH(34,다가오는일정!$K$6:$K$505,0)),""))</f>
        <v/>
      </c>
      <c r="G39" s="25" t="str">
        <f aca="true">IF($D39="","",SUMIFS(경조사내역!$F$3:$F$1002,경조사내역!$B$3:$B$1002,$D39,경조사내역!$A$3:$A$1002,"&gt;="&amp;DATE(YEAR(TODAY())-1,1,1),경조사내역!$A$3:$A$1002,"&lt;="&amp;DATE(YEAR(TODAY())-1,12,31)))</f>
        <v/>
      </c>
      <c r="I39" s="26" t="b">
        <f aca="false">IF(기념일등록!$B36="",FALSE(),AND(기념일등록!$I36&gt;=0,기념일등록!$I36&lt;=90))</f>
        <v>0</v>
      </c>
      <c r="J39" s="6" t="str">
        <f aca="false">IF($I39=FALSE(),"",기념일등록!$I36*1000+ROW())</f>
        <v/>
      </c>
      <c r="K39" s="6" t="str">
        <f aca="false">IF($J39="","",RANK($J39,$J$6:$J$505,1))</f>
        <v/>
      </c>
    </row>
    <row r="40" customFormat="false" ht="15" hidden="false" customHeight="true" outlineLevel="0" collapsed="false">
      <c r="A40" s="23" t="str">
        <f aca="false">IF($D40="","",35)</f>
        <v/>
      </c>
      <c r="B40" s="16" t="str">
        <f aca="false">IFERROR(INDEX(기념일등록!$H$3:$H$502,MATCH(35,다가오는일정!$K$6:$K$505,0)),"")</f>
        <v/>
      </c>
      <c r="C40" s="23" t="str">
        <f aca="false">IF($B40="","",IFERROR(INDEX(기념일등록!$I$3:$I$502,MATCH(35,다가오는일정!$K$6:$K$505,0)),""))</f>
        <v/>
      </c>
      <c r="D40" s="13" t="str">
        <f aca="false">IFERROR(INDEX(기념일등록!$B$3:$B$502,MATCH(35,다가오는일정!$K$6:$K$505,0)),"")</f>
        <v/>
      </c>
      <c r="E40" s="13" t="str">
        <f aca="false">IF($D40="","",IFERROR(INDEX(기념일등록!$C$3:$C$502,MATCH(35,다가오는일정!$K$6:$K$505,0)),""))</f>
        <v/>
      </c>
      <c r="F40" s="23" t="str">
        <f aca="false">IF($D40="","",IFERROR(INDEX(기념일등록!$D$3:$D$502,MATCH(35,다가오는일정!$K$6:$K$505,0)),""))</f>
        <v/>
      </c>
      <c r="G40" s="25" t="str">
        <f aca="true">IF($D40="","",SUMIFS(경조사내역!$F$3:$F$1002,경조사내역!$B$3:$B$1002,$D40,경조사내역!$A$3:$A$1002,"&gt;="&amp;DATE(YEAR(TODAY())-1,1,1),경조사내역!$A$3:$A$1002,"&lt;="&amp;DATE(YEAR(TODAY())-1,12,31)))</f>
        <v/>
      </c>
      <c r="I40" s="26" t="b">
        <f aca="false">IF(기념일등록!$B37="",FALSE(),AND(기념일등록!$I37&gt;=0,기념일등록!$I37&lt;=90))</f>
        <v>0</v>
      </c>
      <c r="J40" s="6" t="str">
        <f aca="false">IF($I40=FALSE(),"",기념일등록!$I37*1000+ROW())</f>
        <v/>
      </c>
      <c r="K40" s="6" t="str">
        <f aca="false">IF($J40="","",RANK($J40,$J$6:$J$505,1))</f>
        <v/>
      </c>
    </row>
    <row r="41" customFormat="false" ht="15" hidden="false" customHeight="true" outlineLevel="0" collapsed="false">
      <c r="A41" s="23" t="str">
        <f aca="false">IF($D41="","",36)</f>
        <v/>
      </c>
      <c r="B41" s="16" t="str">
        <f aca="false">IFERROR(INDEX(기념일등록!$H$3:$H$502,MATCH(36,다가오는일정!$K$6:$K$505,0)),"")</f>
        <v/>
      </c>
      <c r="C41" s="23" t="str">
        <f aca="false">IF($B41="","",IFERROR(INDEX(기념일등록!$I$3:$I$502,MATCH(36,다가오는일정!$K$6:$K$505,0)),""))</f>
        <v/>
      </c>
      <c r="D41" s="13" t="str">
        <f aca="false">IFERROR(INDEX(기념일등록!$B$3:$B$502,MATCH(36,다가오는일정!$K$6:$K$505,0)),"")</f>
        <v/>
      </c>
      <c r="E41" s="13" t="str">
        <f aca="false">IF($D41="","",IFERROR(INDEX(기념일등록!$C$3:$C$502,MATCH(36,다가오는일정!$K$6:$K$505,0)),""))</f>
        <v/>
      </c>
      <c r="F41" s="23" t="str">
        <f aca="false">IF($D41="","",IFERROR(INDEX(기념일등록!$D$3:$D$502,MATCH(36,다가오는일정!$K$6:$K$505,0)),""))</f>
        <v/>
      </c>
      <c r="G41" s="25" t="str">
        <f aca="true">IF($D41="","",SUMIFS(경조사내역!$F$3:$F$1002,경조사내역!$B$3:$B$1002,$D41,경조사내역!$A$3:$A$1002,"&gt;="&amp;DATE(YEAR(TODAY())-1,1,1),경조사내역!$A$3:$A$1002,"&lt;="&amp;DATE(YEAR(TODAY())-1,12,31)))</f>
        <v/>
      </c>
      <c r="I41" s="26" t="b">
        <f aca="false">IF(기념일등록!$B38="",FALSE(),AND(기념일등록!$I38&gt;=0,기념일등록!$I38&lt;=90))</f>
        <v>0</v>
      </c>
      <c r="J41" s="6" t="str">
        <f aca="false">IF($I41=FALSE(),"",기념일등록!$I38*1000+ROW())</f>
        <v/>
      </c>
      <c r="K41" s="6" t="str">
        <f aca="false">IF($J41="","",RANK($J41,$J$6:$J$505,1))</f>
        <v/>
      </c>
    </row>
    <row r="42" customFormat="false" ht="15" hidden="false" customHeight="true" outlineLevel="0" collapsed="false">
      <c r="A42" s="23" t="str">
        <f aca="false">IF($D42="","",37)</f>
        <v/>
      </c>
      <c r="B42" s="16" t="str">
        <f aca="false">IFERROR(INDEX(기념일등록!$H$3:$H$502,MATCH(37,다가오는일정!$K$6:$K$505,0)),"")</f>
        <v/>
      </c>
      <c r="C42" s="23" t="str">
        <f aca="false">IF($B42="","",IFERROR(INDEX(기념일등록!$I$3:$I$502,MATCH(37,다가오는일정!$K$6:$K$505,0)),""))</f>
        <v/>
      </c>
      <c r="D42" s="13" t="str">
        <f aca="false">IFERROR(INDEX(기념일등록!$B$3:$B$502,MATCH(37,다가오는일정!$K$6:$K$505,0)),"")</f>
        <v/>
      </c>
      <c r="E42" s="13" t="str">
        <f aca="false">IF($D42="","",IFERROR(INDEX(기념일등록!$C$3:$C$502,MATCH(37,다가오는일정!$K$6:$K$505,0)),""))</f>
        <v/>
      </c>
      <c r="F42" s="23" t="str">
        <f aca="false">IF($D42="","",IFERROR(INDEX(기념일등록!$D$3:$D$502,MATCH(37,다가오는일정!$K$6:$K$505,0)),""))</f>
        <v/>
      </c>
      <c r="G42" s="25" t="str">
        <f aca="true">IF($D42="","",SUMIFS(경조사내역!$F$3:$F$1002,경조사내역!$B$3:$B$1002,$D42,경조사내역!$A$3:$A$1002,"&gt;="&amp;DATE(YEAR(TODAY())-1,1,1),경조사내역!$A$3:$A$1002,"&lt;="&amp;DATE(YEAR(TODAY())-1,12,31)))</f>
        <v/>
      </c>
      <c r="I42" s="26" t="b">
        <f aca="false">IF(기념일등록!$B39="",FALSE(),AND(기념일등록!$I39&gt;=0,기념일등록!$I39&lt;=90))</f>
        <v>0</v>
      </c>
      <c r="J42" s="6" t="str">
        <f aca="false">IF($I42=FALSE(),"",기념일등록!$I39*1000+ROW())</f>
        <v/>
      </c>
      <c r="K42" s="6" t="str">
        <f aca="false">IF($J42="","",RANK($J42,$J$6:$J$505,1))</f>
        <v/>
      </c>
    </row>
    <row r="43" customFormat="false" ht="15" hidden="false" customHeight="true" outlineLevel="0" collapsed="false">
      <c r="A43" s="23" t="str">
        <f aca="false">IF($D43="","",38)</f>
        <v/>
      </c>
      <c r="B43" s="16" t="str">
        <f aca="false">IFERROR(INDEX(기념일등록!$H$3:$H$502,MATCH(38,다가오는일정!$K$6:$K$505,0)),"")</f>
        <v/>
      </c>
      <c r="C43" s="23" t="str">
        <f aca="false">IF($B43="","",IFERROR(INDEX(기념일등록!$I$3:$I$502,MATCH(38,다가오는일정!$K$6:$K$505,0)),""))</f>
        <v/>
      </c>
      <c r="D43" s="13" t="str">
        <f aca="false">IFERROR(INDEX(기념일등록!$B$3:$B$502,MATCH(38,다가오는일정!$K$6:$K$505,0)),"")</f>
        <v/>
      </c>
      <c r="E43" s="13" t="str">
        <f aca="false">IF($D43="","",IFERROR(INDEX(기념일등록!$C$3:$C$502,MATCH(38,다가오는일정!$K$6:$K$505,0)),""))</f>
        <v/>
      </c>
      <c r="F43" s="23" t="str">
        <f aca="false">IF($D43="","",IFERROR(INDEX(기념일등록!$D$3:$D$502,MATCH(38,다가오는일정!$K$6:$K$505,0)),""))</f>
        <v/>
      </c>
      <c r="G43" s="25" t="str">
        <f aca="true">IF($D43="","",SUMIFS(경조사내역!$F$3:$F$1002,경조사내역!$B$3:$B$1002,$D43,경조사내역!$A$3:$A$1002,"&gt;="&amp;DATE(YEAR(TODAY())-1,1,1),경조사내역!$A$3:$A$1002,"&lt;="&amp;DATE(YEAR(TODAY())-1,12,31)))</f>
        <v/>
      </c>
      <c r="I43" s="26" t="b">
        <f aca="false">IF(기념일등록!$B40="",FALSE(),AND(기념일등록!$I40&gt;=0,기념일등록!$I40&lt;=90))</f>
        <v>0</v>
      </c>
      <c r="J43" s="6" t="str">
        <f aca="false">IF($I43=FALSE(),"",기념일등록!$I40*1000+ROW())</f>
        <v/>
      </c>
      <c r="K43" s="6" t="str">
        <f aca="false">IF($J43="","",RANK($J43,$J$6:$J$505,1))</f>
        <v/>
      </c>
    </row>
    <row r="44" customFormat="false" ht="15" hidden="false" customHeight="true" outlineLevel="0" collapsed="false">
      <c r="A44" s="23" t="str">
        <f aca="false">IF($D44="","",39)</f>
        <v/>
      </c>
      <c r="B44" s="16" t="str">
        <f aca="false">IFERROR(INDEX(기념일등록!$H$3:$H$502,MATCH(39,다가오는일정!$K$6:$K$505,0)),"")</f>
        <v/>
      </c>
      <c r="C44" s="23" t="str">
        <f aca="false">IF($B44="","",IFERROR(INDEX(기념일등록!$I$3:$I$502,MATCH(39,다가오는일정!$K$6:$K$505,0)),""))</f>
        <v/>
      </c>
      <c r="D44" s="13" t="str">
        <f aca="false">IFERROR(INDEX(기념일등록!$B$3:$B$502,MATCH(39,다가오는일정!$K$6:$K$505,0)),"")</f>
        <v/>
      </c>
      <c r="E44" s="13" t="str">
        <f aca="false">IF($D44="","",IFERROR(INDEX(기념일등록!$C$3:$C$502,MATCH(39,다가오는일정!$K$6:$K$505,0)),""))</f>
        <v/>
      </c>
      <c r="F44" s="23" t="str">
        <f aca="false">IF($D44="","",IFERROR(INDEX(기념일등록!$D$3:$D$502,MATCH(39,다가오는일정!$K$6:$K$505,0)),""))</f>
        <v/>
      </c>
      <c r="G44" s="25" t="str">
        <f aca="true">IF($D44="","",SUMIFS(경조사내역!$F$3:$F$1002,경조사내역!$B$3:$B$1002,$D44,경조사내역!$A$3:$A$1002,"&gt;="&amp;DATE(YEAR(TODAY())-1,1,1),경조사내역!$A$3:$A$1002,"&lt;="&amp;DATE(YEAR(TODAY())-1,12,31)))</f>
        <v/>
      </c>
      <c r="I44" s="26" t="b">
        <f aca="false">IF(기념일등록!$B41="",FALSE(),AND(기념일등록!$I41&gt;=0,기념일등록!$I41&lt;=90))</f>
        <v>0</v>
      </c>
      <c r="J44" s="6" t="str">
        <f aca="false">IF($I44=FALSE(),"",기념일등록!$I41*1000+ROW())</f>
        <v/>
      </c>
      <c r="K44" s="6" t="str">
        <f aca="false">IF($J44="","",RANK($J44,$J$6:$J$505,1))</f>
        <v/>
      </c>
    </row>
    <row r="45" customFormat="false" ht="15" hidden="false" customHeight="true" outlineLevel="0" collapsed="false">
      <c r="A45" s="23" t="str">
        <f aca="false">IF($D45="","",40)</f>
        <v/>
      </c>
      <c r="B45" s="16" t="str">
        <f aca="false">IFERROR(INDEX(기념일등록!$H$3:$H$502,MATCH(40,다가오는일정!$K$6:$K$505,0)),"")</f>
        <v/>
      </c>
      <c r="C45" s="23" t="str">
        <f aca="false">IF($B45="","",IFERROR(INDEX(기념일등록!$I$3:$I$502,MATCH(40,다가오는일정!$K$6:$K$505,0)),""))</f>
        <v/>
      </c>
      <c r="D45" s="13" t="str">
        <f aca="false">IFERROR(INDEX(기념일등록!$B$3:$B$502,MATCH(40,다가오는일정!$K$6:$K$505,0)),"")</f>
        <v/>
      </c>
      <c r="E45" s="13" t="str">
        <f aca="false">IF($D45="","",IFERROR(INDEX(기념일등록!$C$3:$C$502,MATCH(40,다가오는일정!$K$6:$K$505,0)),""))</f>
        <v/>
      </c>
      <c r="F45" s="23" t="str">
        <f aca="false">IF($D45="","",IFERROR(INDEX(기념일등록!$D$3:$D$502,MATCH(40,다가오는일정!$K$6:$K$505,0)),""))</f>
        <v/>
      </c>
      <c r="G45" s="25" t="str">
        <f aca="true">IF($D45="","",SUMIFS(경조사내역!$F$3:$F$1002,경조사내역!$B$3:$B$1002,$D45,경조사내역!$A$3:$A$1002,"&gt;="&amp;DATE(YEAR(TODAY())-1,1,1),경조사내역!$A$3:$A$1002,"&lt;="&amp;DATE(YEAR(TODAY())-1,12,31)))</f>
        <v/>
      </c>
      <c r="I45" s="26" t="b">
        <f aca="false">IF(기념일등록!$B42="",FALSE(),AND(기념일등록!$I42&gt;=0,기념일등록!$I42&lt;=90))</f>
        <v>0</v>
      </c>
      <c r="J45" s="6" t="str">
        <f aca="false">IF($I45=FALSE(),"",기념일등록!$I42*1000+ROW())</f>
        <v/>
      </c>
      <c r="K45" s="6" t="str">
        <f aca="false">IF($J45="","",RANK($J45,$J$6:$J$505,1))</f>
        <v/>
      </c>
    </row>
    <row r="46" customFormat="false" ht="15" hidden="false" customHeight="true" outlineLevel="0" collapsed="false">
      <c r="A46" s="23" t="str">
        <f aca="false">IF($D46="","",41)</f>
        <v/>
      </c>
      <c r="B46" s="16" t="str">
        <f aca="false">IFERROR(INDEX(기념일등록!$H$3:$H$502,MATCH(41,다가오는일정!$K$6:$K$505,0)),"")</f>
        <v/>
      </c>
      <c r="C46" s="23" t="str">
        <f aca="false">IF($B46="","",IFERROR(INDEX(기념일등록!$I$3:$I$502,MATCH(41,다가오는일정!$K$6:$K$505,0)),""))</f>
        <v/>
      </c>
      <c r="D46" s="13" t="str">
        <f aca="false">IFERROR(INDEX(기념일등록!$B$3:$B$502,MATCH(41,다가오는일정!$K$6:$K$505,0)),"")</f>
        <v/>
      </c>
      <c r="E46" s="13" t="str">
        <f aca="false">IF($D46="","",IFERROR(INDEX(기념일등록!$C$3:$C$502,MATCH(41,다가오는일정!$K$6:$K$505,0)),""))</f>
        <v/>
      </c>
      <c r="F46" s="23" t="str">
        <f aca="false">IF($D46="","",IFERROR(INDEX(기념일등록!$D$3:$D$502,MATCH(41,다가오는일정!$K$6:$K$505,0)),""))</f>
        <v/>
      </c>
      <c r="G46" s="25" t="str">
        <f aca="true">IF($D46="","",SUMIFS(경조사내역!$F$3:$F$1002,경조사내역!$B$3:$B$1002,$D46,경조사내역!$A$3:$A$1002,"&gt;="&amp;DATE(YEAR(TODAY())-1,1,1),경조사내역!$A$3:$A$1002,"&lt;="&amp;DATE(YEAR(TODAY())-1,12,31)))</f>
        <v/>
      </c>
      <c r="I46" s="26" t="b">
        <f aca="false">IF(기념일등록!$B43="",FALSE(),AND(기념일등록!$I43&gt;=0,기념일등록!$I43&lt;=90))</f>
        <v>0</v>
      </c>
      <c r="J46" s="6" t="str">
        <f aca="false">IF($I46=FALSE(),"",기념일등록!$I43*1000+ROW())</f>
        <v/>
      </c>
      <c r="K46" s="6" t="str">
        <f aca="false">IF($J46="","",RANK($J46,$J$6:$J$505,1))</f>
        <v/>
      </c>
    </row>
    <row r="47" customFormat="false" ht="15" hidden="false" customHeight="true" outlineLevel="0" collapsed="false">
      <c r="A47" s="23" t="str">
        <f aca="false">IF($D47="","",42)</f>
        <v/>
      </c>
      <c r="B47" s="16" t="str">
        <f aca="false">IFERROR(INDEX(기념일등록!$H$3:$H$502,MATCH(42,다가오는일정!$K$6:$K$505,0)),"")</f>
        <v/>
      </c>
      <c r="C47" s="23" t="str">
        <f aca="false">IF($B47="","",IFERROR(INDEX(기념일등록!$I$3:$I$502,MATCH(42,다가오는일정!$K$6:$K$505,0)),""))</f>
        <v/>
      </c>
      <c r="D47" s="13" t="str">
        <f aca="false">IFERROR(INDEX(기념일등록!$B$3:$B$502,MATCH(42,다가오는일정!$K$6:$K$505,0)),"")</f>
        <v/>
      </c>
      <c r="E47" s="13" t="str">
        <f aca="false">IF($D47="","",IFERROR(INDEX(기념일등록!$C$3:$C$502,MATCH(42,다가오는일정!$K$6:$K$505,0)),""))</f>
        <v/>
      </c>
      <c r="F47" s="23" t="str">
        <f aca="false">IF($D47="","",IFERROR(INDEX(기념일등록!$D$3:$D$502,MATCH(42,다가오는일정!$K$6:$K$505,0)),""))</f>
        <v/>
      </c>
      <c r="G47" s="25" t="str">
        <f aca="true">IF($D47="","",SUMIFS(경조사내역!$F$3:$F$1002,경조사내역!$B$3:$B$1002,$D47,경조사내역!$A$3:$A$1002,"&gt;="&amp;DATE(YEAR(TODAY())-1,1,1),경조사내역!$A$3:$A$1002,"&lt;="&amp;DATE(YEAR(TODAY())-1,12,31)))</f>
        <v/>
      </c>
      <c r="I47" s="26" t="b">
        <f aca="false">IF(기념일등록!$B44="",FALSE(),AND(기념일등록!$I44&gt;=0,기념일등록!$I44&lt;=90))</f>
        <v>0</v>
      </c>
      <c r="J47" s="6" t="str">
        <f aca="false">IF($I47=FALSE(),"",기념일등록!$I44*1000+ROW())</f>
        <v/>
      </c>
      <c r="K47" s="6" t="str">
        <f aca="false">IF($J47="","",RANK($J47,$J$6:$J$505,1))</f>
        <v/>
      </c>
    </row>
    <row r="48" customFormat="false" ht="15" hidden="false" customHeight="true" outlineLevel="0" collapsed="false">
      <c r="A48" s="23" t="str">
        <f aca="false">IF($D48="","",43)</f>
        <v/>
      </c>
      <c r="B48" s="16" t="str">
        <f aca="false">IFERROR(INDEX(기념일등록!$H$3:$H$502,MATCH(43,다가오는일정!$K$6:$K$505,0)),"")</f>
        <v/>
      </c>
      <c r="C48" s="23" t="str">
        <f aca="false">IF($B48="","",IFERROR(INDEX(기념일등록!$I$3:$I$502,MATCH(43,다가오는일정!$K$6:$K$505,0)),""))</f>
        <v/>
      </c>
      <c r="D48" s="13" t="str">
        <f aca="false">IFERROR(INDEX(기념일등록!$B$3:$B$502,MATCH(43,다가오는일정!$K$6:$K$505,0)),"")</f>
        <v/>
      </c>
      <c r="E48" s="13" t="str">
        <f aca="false">IF($D48="","",IFERROR(INDEX(기념일등록!$C$3:$C$502,MATCH(43,다가오는일정!$K$6:$K$505,0)),""))</f>
        <v/>
      </c>
      <c r="F48" s="23" t="str">
        <f aca="false">IF($D48="","",IFERROR(INDEX(기념일등록!$D$3:$D$502,MATCH(43,다가오는일정!$K$6:$K$505,0)),""))</f>
        <v/>
      </c>
      <c r="G48" s="25" t="str">
        <f aca="true">IF($D48="","",SUMIFS(경조사내역!$F$3:$F$1002,경조사내역!$B$3:$B$1002,$D48,경조사내역!$A$3:$A$1002,"&gt;="&amp;DATE(YEAR(TODAY())-1,1,1),경조사내역!$A$3:$A$1002,"&lt;="&amp;DATE(YEAR(TODAY())-1,12,31)))</f>
        <v/>
      </c>
      <c r="I48" s="26" t="b">
        <f aca="false">IF(기념일등록!$B45="",FALSE(),AND(기념일등록!$I45&gt;=0,기념일등록!$I45&lt;=90))</f>
        <v>0</v>
      </c>
      <c r="J48" s="6" t="str">
        <f aca="false">IF($I48=FALSE(),"",기념일등록!$I45*1000+ROW())</f>
        <v/>
      </c>
      <c r="K48" s="6" t="str">
        <f aca="false">IF($J48="","",RANK($J48,$J$6:$J$505,1))</f>
        <v/>
      </c>
    </row>
    <row r="49" customFormat="false" ht="15" hidden="false" customHeight="true" outlineLevel="0" collapsed="false">
      <c r="A49" s="23" t="str">
        <f aca="false">IF($D49="","",44)</f>
        <v/>
      </c>
      <c r="B49" s="16" t="str">
        <f aca="false">IFERROR(INDEX(기념일등록!$H$3:$H$502,MATCH(44,다가오는일정!$K$6:$K$505,0)),"")</f>
        <v/>
      </c>
      <c r="C49" s="23" t="str">
        <f aca="false">IF($B49="","",IFERROR(INDEX(기념일등록!$I$3:$I$502,MATCH(44,다가오는일정!$K$6:$K$505,0)),""))</f>
        <v/>
      </c>
      <c r="D49" s="13" t="str">
        <f aca="false">IFERROR(INDEX(기념일등록!$B$3:$B$502,MATCH(44,다가오는일정!$K$6:$K$505,0)),"")</f>
        <v/>
      </c>
      <c r="E49" s="13" t="str">
        <f aca="false">IF($D49="","",IFERROR(INDEX(기념일등록!$C$3:$C$502,MATCH(44,다가오는일정!$K$6:$K$505,0)),""))</f>
        <v/>
      </c>
      <c r="F49" s="23" t="str">
        <f aca="false">IF($D49="","",IFERROR(INDEX(기념일등록!$D$3:$D$502,MATCH(44,다가오는일정!$K$6:$K$505,0)),""))</f>
        <v/>
      </c>
      <c r="G49" s="25" t="str">
        <f aca="true">IF($D49="","",SUMIFS(경조사내역!$F$3:$F$1002,경조사내역!$B$3:$B$1002,$D49,경조사내역!$A$3:$A$1002,"&gt;="&amp;DATE(YEAR(TODAY())-1,1,1),경조사내역!$A$3:$A$1002,"&lt;="&amp;DATE(YEAR(TODAY())-1,12,31)))</f>
        <v/>
      </c>
      <c r="I49" s="26" t="b">
        <f aca="false">IF(기념일등록!$B46="",FALSE(),AND(기념일등록!$I46&gt;=0,기념일등록!$I46&lt;=90))</f>
        <v>0</v>
      </c>
      <c r="J49" s="6" t="str">
        <f aca="false">IF($I49=FALSE(),"",기념일등록!$I46*1000+ROW())</f>
        <v/>
      </c>
      <c r="K49" s="6" t="str">
        <f aca="false">IF($J49="","",RANK($J49,$J$6:$J$505,1))</f>
        <v/>
      </c>
    </row>
    <row r="50" customFormat="false" ht="15" hidden="false" customHeight="true" outlineLevel="0" collapsed="false">
      <c r="A50" s="23" t="str">
        <f aca="false">IF($D50="","",45)</f>
        <v/>
      </c>
      <c r="B50" s="16" t="str">
        <f aca="false">IFERROR(INDEX(기념일등록!$H$3:$H$502,MATCH(45,다가오는일정!$K$6:$K$505,0)),"")</f>
        <v/>
      </c>
      <c r="C50" s="23" t="str">
        <f aca="false">IF($B50="","",IFERROR(INDEX(기념일등록!$I$3:$I$502,MATCH(45,다가오는일정!$K$6:$K$505,0)),""))</f>
        <v/>
      </c>
      <c r="D50" s="13" t="str">
        <f aca="false">IFERROR(INDEX(기념일등록!$B$3:$B$502,MATCH(45,다가오는일정!$K$6:$K$505,0)),"")</f>
        <v/>
      </c>
      <c r="E50" s="13" t="str">
        <f aca="false">IF($D50="","",IFERROR(INDEX(기념일등록!$C$3:$C$502,MATCH(45,다가오는일정!$K$6:$K$505,0)),""))</f>
        <v/>
      </c>
      <c r="F50" s="23" t="str">
        <f aca="false">IF($D50="","",IFERROR(INDEX(기념일등록!$D$3:$D$502,MATCH(45,다가오는일정!$K$6:$K$505,0)),""))</f>
        <v/>
      </c>
      <c r="G50" s="25" t="str">
        <f aca="true">IF($D50="","",SUMIFS(경조사내역!$F$3:$F$1002,경조사내역!$B$3:$B$1002,$D50,경조사내역!$A$3:$A$1002,"&gt;="&amp;DATE(YEAR(TODAY())-1,1,1),경조사내역!$A$3:$A$1002,"&lt;="&amp;DATE(YEAR(TODAY())-1,12,31)))</f>
        <v/>
      </c>
      <c r="I50" s="26" t="b">
        <f aca="false">IF(기념일등록!$B47="",FALSE(),AND(기념일등록!$I47&gt;=0,기념일등록!$I47&lt;=90))</f>
        <v>0</v>
      </c>
      <c r="J50" s="6" t="str">
        <f aca="false">IF($I50=FALSE(),"",기념일등록!$I47*1000+ROW())</f>
        <v/>
      </c>
      <c r="K50" s="6" t="str">
        <f aca="false">IF($J50="","",RANK($J50,$J$6:$J$505,1))</f>
        <v/>
      </c>
    </row>
    <row r="51" customFormat="false" ht="15" hidden="false" customHeight="true" outlineLevel="0" collapsed="false">
      <c r="A51" s="23" t="str">
        <f aca="false">IF($D51="","",46)</f>
        <v/>
      </c>
      <c r="B51" s="16" t="str">
        <f aca="false">IFERROR(INDEX(기념일등록!$H$3:$H$502,MATCH(46,다가오는일정!$K$6:$K$505,0)),"")</f>
        <v/>
      </c>
      <c r="C51" s="23" t="str">
        <f aca="false">IF($B51="","",IFERROR(INDEX(기념일등록!$I$3:$I$502,MATCH(46,다가오는일정!$K$6:$K$505,0)),""))</f>
        <v/>
      </c>
      <c r="D51" s="13" t="str">
        <f aca="false">IFERROR(INDEX(기념일등록!$B$3:$B$502,MATCH(46,다가오는일정!$K$6:$K$505,0)),"")</f>
        <v/>
      </c>
      <c r="E51" s="13" t="str">
        <f aca="false">IF($D51="","",IFERROR(INDEX(기념일등록!$C$3:$C$502,MATCH(46,다가오는일정!$K$6:$K$505,0)),""))</f>
        <v/>
      </c>
      <c r="F51" s="23" t="str">
        <f aca="false">IF($D51="","",IFERROR(INDEX(기념일등록!$D$3:$D$502,MATCH(46,다가오는일정!$K$6:$K$505,0)),""))</f>
        <v/>
      </c>
      <c r="G51" s="25" t="str">
        <f aca="true">IF($D51="","",SUMIFS(경조사내역!$F$3:$F$1002,경조사내역!$B$3:$B$1002,$D51,경조사내역!$A$3:$A$1002,"&gt;="&amp;DATE(YEAR(TODAY())-1,1,1),경조사내역!$A$3:$A$1002,"&lt;="&amp;DATE(YEAR(TODAY())-1,12,31)))</f>
        <v/>
      </c>
      <c r="I51" s="26" t="b">
        <f aca="false">IF(기념일등록!$B48="",FALSE(),AND(기념일등록!$I48&gt;=0,기념일등록!$I48&lt;=90))</f>
        <v>0</v>
      </c>
      <c r="J51" s="6" t="str">
        <f aca="false">IF($I51=FALSE(),"",기념일등록!$I48*1000+ROW())</f>
        <v/>
      </c>
      <c r="K51" s="6" t="str">
        <f aca="false">IF($J51="","",RANK($J51,$J$6:$J$505,1))</f>
        <v/>
      </c>
    </row>
    <row r="52" customFormat="false" ht="15" hidden="false" customHeight="true" outlineLevel="0" collapsed="false">
      <c r="A52" s="23" t="str">
        <f aca="false">IF($D52="","",47)</f>
        <v/>
      </c>
      <c r="B52" s="16" t="str">
        <f aca="false">IFERROR(INDEX(기념일등록!$H$3:$H$502,MATCH(47,다가오는일정!$K$6:$K$505,0)),"")</f>
        <v/>
      </c>
      <c r="C52" s="23" t="str">
        <f aca="false">IF($B52="","",IFERROR(INDEX(기념일등록!$I$3:$I$502,MATCH(47,다가오는일정!$K$6:$K$505,0)),""))</f>
        <v/>
      </c>
      <c r="D52" s="13" t="str">
        <f aca="false">IFERROR(INDEX(기념일등록!$B$3:$B$502,MATCH(47,다가오는일정!$K$6:$K$505,0)),"")</f>
        <v/>
      </c>
      <c r="E52" s="13" t="str">
        <f aca="false">IF($D52="","",IFERROR(INDEX(기념일등록!$C$3:$C$502,MATCH(47,다가오는일정!$K$6:$K$505,0)),""))</f>
        <v/>
      </c>
      <c r="F52" s="23" t="str">
        <f aca="false">IF($D52="","",IFERROR(INDEX(기념일등록!$D$3:$D$502,MATCH(47,다가오는일정!$K$6:$K$505,0)),""))</f>
        <v/>
      </c>
      <c r="G52" s="25" t="str">
        <f aca="true">IF($D52="","",SUMIFS(경조사내역!$F$3:$F$1002,경조사내역!$B$3:$B$1002,$D52,경조사내역!$A$3:$A$1002,"&gt;="&amp;DATE(YEAR(TODAY())-1,1,1),경조사내역!$A$3:$A$1002,"&lt;="&amp;DATE(YEAR(TODAY())-1,12,31)))</f>
        <v/>
      </c>
      <c r="I52" s="26" t="b">
        <f aca="false">IF(기념일등록!$B49="",FALSE(),AND(기념일등록!$I49&gt;=0,기념일등록!$I49&lt;=90))</f>
        <v>0</v>
      </c>
      <c r="J52" s="6" t="str">
        <f aca="false">IF($I52=FALSE(),"",기념일등록!$I49*1000+ROW())</f>
        <v/>
      </c>
      <c r="K52" s="6" t="str">
        <f aca="false">IF($J52="","",RANK($J52,$J$6:$J$505,1))</f>
        <v/>
      </c>
    </row>
    <row r="53" customFormat="false" ht="15" hidden="false" customHeight="true" outlineLevel="0" collapsed="false">
      <c r="A53" s="23" t="str">
        <f aca="false">IF($D53="","",48)</f>
        <v/>
      </c>
      <c r="B53" s="16" t="str">
        <f aca="false">IFERROR(INDEX(기념일등록!$H$3:$H$502,MATCH(48,다가오는일정!$K$6:$K$505,0)),"")</f>
        <v/>
      </c>
      <c r="C53" s="23" t="str">
        <f aca="false">IF($B53="","",IFERROR(INDEX(기념일등록!$I$3:$I$502,MATCH(48,다가오는일정!$K$6:$K$505,0)),""))</f>
        <v/>
      </c>
      <c r="D53" s="13" t="str">
        <f aca="false">IFERROR(INDEX(기념일등록!$B$3:$B$502,MATCH(48,다가오는일정!$K$6:$K$505,0)),"")</f>
        <v/>
      </c>
      <c r="E53" s="13" t="str">
        <f aca="false">IF($D53="","",IFERROR(INDEX(기념일등록!$C$3:$C$502,MATCH(48,다가오는일정!$K$6:$K$505,0)),""))</f>
        <v/>
      </c>
      <c r="F53" s="23" t="str">
        <f aca="false">IF($D53="","",IFERROR(INDEX(기념일등록!$D$3:$D$502,MATCH(48,다가오는일정!$K$6:$K$505,0)),""))</f>
        <v/>
      </c>
      <c r="G53" s="25" t="str">
        <f aca="true">IF($D53="","",SUMIFS(경조사내역!$F$3:$F$1002,경조사내역!$B$3:$B$1002,$D53,경조사내역!$A$3:$A$1002,"&gt;="&amp;DATE(YEAR(TODAY())-1,1,1),경조사내역!$A$3:$A$1002,"&lt;="&amp;DATE(YEAR(TODAY())-1,12,31)))</f>
        <v/>
      </c>
      <c r="I53" s="26" t="b">
        <f aca="false">IF(기념일등록!$B50="",FALSE(),AND(기념일등록!$I50&gt;=0,기념일등록!$I50&lt;=90))</f>
        <v>0</v>
      </c>
      <c r="J53" s="6" t="str">
        <f aca="false">IF($I53=FALSE(),"",기념일등록!$I50*1000+ROW())</f>
        <v/>
      </c>
      <c r="K53" s="6" t="str">
        <f aca="false">IF($J53="","",RANK($J53,$J$6:$J$505,1))</f>
        <v/>
      </c>
    </row>
    <row r="54" customFormat="false" ht="15" hidden="false" customHeight="true" outlineLevel="0" collapsed="false">
      <c r="A54" s="23" t="str">
        <f aca="false">IF($D54="","",49)</f>
        <v/>
      </c>
      <c r="B54" s="16" t="str">
        <f aca="false">IFERROR(INDEX(기념일등록!$H$3:$H$502,MATCH(49,다가오는일정!$K$6:$K$505,0)),"")</f>
        <v/>
      </c>
      <c r="C54" s="23" t="str">
        <f aca="false">IF($B54="","",IFERROR(INDEX(기념일등록!$I$3:$I$502,MATCH(49,다가오는일정!$K$6:$K$505,0)),""))</f>
        <v/>
      </c>
      <c r="D54" s="13" t="str">
        <f aca="false">IFERROR(INDEX(기념일등록!$B$3:$B$502,MATCH(49,다가오는일정!$K$6:$K$505,0)),"")</f>
        <v/>
      </c>
      <c r="E54" s="13" t="str">
        <f aca="false">IF($D54="","",IFERROR(INDEX(기념일등록!$C$3:$C$502,MATCH(49,다가오는일정!$K$6:$K$505,0)),""))</f>
        <v/>
      </c>
      <c r="F54" s="23" t="str">
        <f aca="false">IF($D54="","",IFERROR(INDEX(기념일등록!$D$3:$D$502,MATCH(49,다가오는일정!$K$6:$K$505,0)),""))</f>
        <v/>
      </c>
      <c r="G54" s="25" t="str">
        <f aca="true">IF($D54="","",SUMIFS(경조사내역!$F$3:$F$1002,경조사내역!$B$3:$B$1002,$D54,경조사내역!$A$3:$A$1002,"&gt;="&amp;DATE(YEAR(TODAY())-1,1,1),경조사내역!$A$3:$A$1002,"&lt;="&amp;DATE(YEAR(TODAY())-1,12,31)))</f>
        <v/>
      </c>
      <c r="I54" s="26" t="b">
        <f aca="false">IF(기념일등록!$B51="",FALSE(),AND(기념일등록!$I51&gt;=0,기념일등록!$I51&lt;=90))</f>
        <v>0</v>
      </c>
      <c r="J54" s="6" t="str">
        <f aca="false">IF($I54=FALSE(),"",기념일등록!$I51*1000+ROW())</f>
        <v/>
      </c>
      <c r="K54" s="6" t="str">
        <f aca="false">IF($J54="","",RANK($J54,$J$6:$J$505,1))</f>
        <v/>
      </c>
    </row>
    <row r="55" customFormat="false" ht="15" hidden="false" customHeight="true" outlineLevel="0" collapsed="false">
      <c r="A55" s="23" t="str">
        <f aca="false">IF($D55="","",50)</f>
        <v/>
      </c>
      <c r="B55" s="16" t="str">
        <f aca="false">IFERROR(INDEX(기념일등록!$H$3:$H$502,MATCH(50,다가오는일정!$K$6:$K$505,0)),"")</f>
        <v/>
      </c>
      <c r="C55" s="23" t="str">
        <f aca="false">IF($B55="","",IFERROR(INDEX(기념일등록!$I$3:$I$502,MATCH(50,다가오는일정!$K$6:$K$505,0)),""))</f>
        <v/>
      </c>
      <c r="D55" s="13" t="str">
        <f aca="false">IFERROR(INDEX(기념일등록!$B$3:$B$502,MATCH(50,다가오는일정!$K$6:$K$505,0)),"")</f>
        <v/>
      </c>
      <c r="E55" s="13" t="str">
        <f aca="false">IF($D55="","",IFERROR(INDEX(기념일등록!$C$3:$C$502,MATCH(50,다가오는일정!$K$6:$K$505,0)),""))</f>
        <v/>
      </c>
      <c r="F55" s="23" t="str">
        <f aca="false">IF($D55="","",IFERROR(INDEX(기념일등록!$D$3:$D$502,MATCH(50,다가오는일정!$K$6:$K$505,0)),""))</f>
        <v/>
      </c>
      <c r="G55" s="25" t="str">
        <f aca="true">IF($D55="","",SUMIFS(경조사내역!$F$3:$F$1002,경조사내역!$B$3:$B$1002,$D55,경조사내역!$A$3:$A$1002,"&gt;="&amp;DATE(YEAR(TODAY())-1,1,1),경조사내역!$A$3:$A$1002,"&lt;="&amp;DATE(YEAR(TODAY())-1,12,31)))</f>
        <v/>
      </c>
      <c r="I55" s="26" t="b">
        <f aca="false">IF(기념일등록!$B52="",FALSE(),AND(기념일등록!$I52&gt;=0,기념일등록!$I52&lt;=90))</f>
        <v>0</v>
      </c>
      <c r="J55" s="6" t="str">
        <f aca="false">IF($I55=FALSE(),"",기념일등록!$I52*1000+ROW())</f>
        <v/>
      </c>
      <c r="K55" s="6" t="str">
        <f aca="false">IF($J55="","",RANK($J55,$J$6:$J$505,1))</f>
        <v/>
      </c>
    </row>
    <row r="56" customFormat="false" ht="15" hidden="false" customHeight="true" outlineLevel="0" collapsed="false">
      <c r="A56" s="23" t="str">
        <f aca="false">IF($D56="","",51)</f>
        <v/>
      </c>
      <c r="B56" s="16" t="str">
        <f aca="false">IFERROR(INDEX(기념일등록!$H$3:$H$502,MATCH(51,다가오는일정!$K$6:$K$505,0)),"")</f>
        <v/>
      </c>
      <c r="C56" s="23" t="str">
        <f aca="false">IF($B56="","",IFERROR(INDEX(기념일등록!$I$3:$I$502,MATCH(51,다가오는일정!$K$6:$K$505,0)),""))</f>
        <v/>
      </c>
      <c r="D56" s="13" t="str">
        <f aca="false">IFERROR(INDEX(기념일등록!$B$3:$B$502,MATCH(51,다가오는일정!$K$6:$K$505,0)),"")</f>
        <v/>
      </c>
      <c r="E56" s="13" t="str">
        <f aca="false">IF($D56="","",IFERROR(INDEX(기념일등록!$C$3:$C$502,MATCH(51,다가오는일정!$K$6:$K$505,0)),""))</f>
        <v/>
      </c>
      <c r="F56" s="23" t="str">
        <f aca="false">IF($D56="","",IFERROR(INDEX(기념일등록!$D$3:$D$502,MATCH(51,다가오는일정!$K$6:$K$505,0)),""))</f>
        <v/>
      </c>
      <c r="G56" s="25" t="str">
        <f aca="true">IF($D56="","",SUMIFS(경조사내역!$F$3:$F$1002,경조사내역!$B$3:$B$1002,$D56,경조사내역!$A$3:$A$1002,"&gt;="&amp;DATE(YEAR(TODAY())-1,1,1),경조사내역!$A$3:$A$1002,"&lt;="&amp;DATE(YEAR(TODAY())-1,12,31)))</f>
        <v/>
      </c>
      <c r="I56" s="26" t="b">
        <f aca="false">IF(기념일등록!$B53="",FALSE(),AND(기념일등록!$I53&gt;=0,기념일등록!$I53&lt;=90))</f>
        <v>0</v>
      </c>
      <c r="J56" s="6" t="str">
        <f aca="false">IF($I56=FALSE(),"",기념일등록!$I53*1000+ROW())</f>
        <v/>
      </c>
      <c r="K56" s="6" t="str">
        <f aca="false">IF($J56="","",RANK($J56,$J$6:$J$505,1))</f>
        <v/>
      </c>
    </row>
    <row r="57" customFormat="false" ht="15" hidden="false" customHeight="true" outlineLevel="0" collapsed="false">
      <c r="A57" s="23" t="str">
        <f aca="false">IF($D57="","",52)</f>
        <v/>
      </c>
      <c r="B57" s="16" t="str">
        <f aca="false">IFERROR(INDEX(기념일등록!$H$3:$H$502,MATCH(52,다가오는일정!$K$6:$K$505,0)),"")</f>
        <v/>
      </c>
      <c r="C57" s="23" t="str">
        <f aca="false">IF($B57="","",IFERROR(INDEX(기념일등록!$I$3:$I$502,MATCH(52,다가오는일정!$K$6:$K$505,0)),""))</f>
        <v/>
      </c>
      <c r="D57" s="13" t="str">
        <f aca="false">IFERROR(INDEX(기념일등록!$B$3:$B$502,MATCH(52,다가오는일정!$K$6:$K$505,0)),"")</f>
        <v/>
      </c>
      <c r="E57" s="13" t="str">
        <f aca="false">IF($D57="","",IFERROR(INDEX(기념일등록!$C$3:$C$502,MATCH(52,다가오는일정!$K$6:$K$505,0)),""))</f>
        <v/>
      </c>
      <c r="F57" s="23" t="str">
        <f aca="false">IF($D57="","",IFERROR(INDEX(기념일등록!$D$3:$D$502,MATCH(52,다가오는일정!$K$6:$K$505,0)),""))</f>
        <v/>
      </c>
      <c r="G57" s="25" t="str">
        <f aca="true">IF($D57="","",SUMIFS(경조사내역!$F$3:$F$1002,경조사내역!$B$3:$B$1002,$D57,경조사내역!$A$3:$A$1002,"&gt;="&amp;DATE(YEAR(TODAY())-1,1,1),경조사내역!$A$3:$A$1002,"&lt;="&amp;DATE(YEAR(TODAY())-1,12,31)))</f>
        <v/>
      </c>
      <c r="I57" s="26" t="b">
        <f aca="false">IF(기념일등록!$B54="",FALSE(),AND(기념일등록!$I54&gt;=0,기념일등록!$I54&lt;=90))</f>
        <v>0</v>
      </c>
      <c r="J57" s="6" t="str">
        <f aca="false">IF($I57=FALSE(),"",기념일등록!$I54*1000+ROW())</f>
        <v/>
      </c>
      <c r="K57" s="6" t="str">
        <f aca="false">IF($J57="","",RANK($J57,$J$6:$J$505,1))</f>
        <v/>
      </c>
    </row>
    <row r="58" customFormat="false" ht="15" hidden="false" customHeight="true" outlineLevel="0" collapsed="false">
      <c r="A58" s="23" t="str">
        <f aca="false">IF($D58="","",53)</f>
        <v/>
      </c>
      <c r="B58" s="16" t="str">
        <f aca="false">IFERROR(INDEX(기념일등록!$H$3:$H$502,MATCH(53,다가오는일정!$K$6:$K$505,0)),"")</f>
        <v/>
      </c>
      <c r="C58" s="23" t="str">
        <f aca="false">IF($B58="","",IFERROR(INDEX(기념일등록!$I$3:$I$502,MATCH(53,다가오는일정!$K$6:$K$505,0)),""))</f>
        <v/>
      </c>
      <c r="D58" s="13" t="str">
        <f aca="false">IFERROR(INDEX(기념일등록!$B$3:$B$502,MATCH(53,다가오는일정!$K$6:$K$505,0)),"")</f>
        <v/>
      </c>
      <c r="E58" s="13" t="str">
        <f aca="false">IF($D58="","",IFERROR(INDEX(기념일등록!$C$3:$C$502,MATCH(53,다가오는일정!$K$6:$K$505,0)),""))</f>
        <v/>
      </c>
      <c r="F58" s="23" t="str">
        <f aca="false">IF($D58="","",IFERROR(INDEX(기념일등록!$D$3:$D$502,MATCH(53,다가오는일정!$K$6:$K$505,0)),""))</f>
        <v/>
      </c>
      <c r="G58" s="25" t="str">
        <f aca="true">IF($D58="","",SUMIFS(경조사내역!$F$3:$F$1002,경조사내역!$B$3:$B$1002,$D58,경조사내역!$A$3:$A$1002,"&gt;="&amp;DATE(YEAR(TODAY())-1,1,1),경조사내역!$A$3:$A$1002,"&lt;="&amp;DATE(YEAR(TODAY())-1,12,31)))</f>
        <v/>
      </c>
      <c r="I58" s="26" t="b">
        <f aca="false">IF(기념일등록!$B55="",FALSE(),AND(기념일등록!$I55&gt;=0,기념일등록!$I55&lt;=90))</f>
        <v>0</v>
      </c>
      <c r="J58" s="6" t="str">
        <f aca="false">IF($I58=FALSE(),"",기념일등록!$I55*1000+ROW())</f>
        <v/>
      </c>
      <c r="K58" s="6" t="str">
        <f aca="false">IF($J58="","",RANK($J58,$J$6:$J$505,1))</f>
        <v/>
      </c>
    </row>
    <row r="59" customFormat="false" ht="15" hidden="false" customHeight="true" outlineLevel="0" collapsed="false">
      <c r="A59" s="23" t="str">
        <f aca="false">IF($D59="","",54)</f>
        <v/>
      </c>
      <c r="B59" s="16" t="str">
        <f aca="false">IFERROR(INDEX(기념일등록!$H$3:$H$502,MATCH(54,다가오는일정!$K$6:$K$505,0)),"")</f>
        <v/>
      </c>
      <c r="C59" s="23" t="str">
        <f aca="false">IF($B59="","",IFERROR(INDEX(기념일등록!$I$3:$I$502,MATCH(54,다가오는일정!$K$6:$K$505,0)),""))</f>
        <v/>
      </c>
      <c r="D59" s="13" t="str">
        <f aca="false">IFERROR(INDEX(기념일등록!$B$3:$B$502,MATCH(54,다가오는일정!$K$6:$K$505,0)),"")</f>
        <v/>
      </c>
      <c r="E59" s="13" t="str">
        <f aca="false">IF($D59="","",IFERROR(INDEX(기념일등록!$C$3:$C$502,MATCH(54,다가오는일정!$K$6:$K$505,0)),""))</f>
        <v/>
      </c>
      <c r="F59" s="23" t="str">
        <f aca="false">IF($D59="","",IFERROR(INDEX(기념일등록!$D$3:$D$502,MATCH(54,다가오는일정!$K$6:$K$505,0)),""))</f>
        <v/>
      </c>
      <c r="G59" s="25" t="str">
        <f aca="true">IF($D59="","",SUMIFS(경조사내역!$F$3:$F$1002,경조사내역!$B$3:$B$1002,$D59,경조사내역!$A$3:$A$1002,"&gt;="&amp;DATE(YEAR(TODAY())-1,1,1),경조사내역!$A$3:$A$1002,"&lt;="&amp;DATE(YEAR(TODAY())-1,12,31)))</f>
        <v/>
      </c>
      <c r="I59" s="26" t="b">
        <f aca="false">IF(기념일등록!$B56="",FALSE(),AND(기념일등록!$I56&gt;=0,기념일등록!$I56&lt;=90))</f>
        <v>0</v>
      </c>
      <c r="J59" s="6" t="str">
        <f aca="false">IF($I59=FALSE(),"",기념일등록!$I56*1000+ROW())</f>
        <v/>
      </c>
      <c r="K59" s="6" t="str">
        <f aca="false">IF($J59="","",RANK($J59,$J$6:$J$505,1))</f>
        <v/>
      </c>
    </row>
    <row r="60" customFormat="false" ht="15" hidden="false" customHeight="true" outlineLevel="0" collapsed="false">
      <c r="A60" s="23" t="str">
        <f aca="false">IF($D60="","",55)</f>
        <v/>
      </c>
      <c r="B60" s="16" t="str">
        <f aca="false">IFERROR(INDEX(기념일등록!$H$3:$H$502,MATCH(55,다가오는일정!$K$6:$K$505,0)),"")</f>
        <v/>
      </c>
      <c r="C60" s="23" t="str">
        <f aca="false">IF($B60="","",IFERROR(INDEX(기념일등록!$I$3:$I$502,MATCH(55,다가오는일정!$K$6:$K$505,0)),""))</f>
        <v/>
      </c>
      <c r="D60" s="13" t="str">
        <f aca="false">IFERROR(INDEX(기념일등록!$B$3:$B$502,MATCH(55,다가오는일정!$K$6:$K$505,0)),"")</f>
        <v/>
      </c>
      <c r="E60" s="13" t="str">
        <f aca="false">IF($D60="","",IFERROR(INDEX(기념일등록!$C$3:$C$502,MATCH(55,다가오는일정!$K$6:$K$505,0)),""))</f>
        <v/>
      </c>
      <c r="F60" s="23" t="str">
        <f aca="false">IF($D60="","",IFERROR(INDEX(기념일등록!$D$3:$D$502,MATCH(55,다가오는일정!$K$6:$K$505,0)),""))</f>
        <v/>
      </c>
      <c r="G60" s="25" t="str">
        <f aca="true">IF($D60="","",SUMIFS(경조사내역!$F$3:$F$1002,경조사내역!$B$3:$B$1002,$D60,경조사내역!$A$3:$A$1002,"&gt;="&amp;DATE(YEAR(TODAY())-1,1,1),경조사내역!$A$3:$A$1002,"&lt;="&amp;DATE(YEAR(TODAY())-1,12,31)))</f>
        <v/>
      </c>
      <c r="I60" s="26" t="b">
        <f aca="false">IF(기념일등록!$B57="",FALSE(),AND(기념일등록!$I57&gt;=0,기념일등록!$I57&lt;=90))</f>
        <v>0</v>
      </c>
      <c r="J60" s="6" t="str">
        <f aca="false">IF($I60=FALSE(),"",기념일등록!$I57*1000+ROW())</f>
        <v/>
      </c>
      <c r="K60" s="6" t="str">
        <f aca="false">IF($J60="","",RANK($J60,$J$6:$J$505,1))</f>
        <v/>
      </c>
    </row>
    <row r="61" customFormat="false" ht="15" hidden="false" customHeight="true" outlineLevel="0" collapsed="false">
      <c r="A61" s="23" t="str">
        <f aca="false">IF($D61="","",56)</f>
        <v/>
      </c>
      <c r="B61" s="16" t="str">
        <f aca="false">IFERROR(INDEX(기념일등록!$H$3:$H$502,MATCH(56,다가오는일정!$K$6:$K$505,0)),"")</f>
        <v/>
      </c>
      <c r="C61" s="23" t="str">
        <f aca="false">IF($B61="","",IFERROR(INDEX(기념일등록!$I$3:$I$502,MATCH(56,다가오는일정!$K$6:$K$505,0)),""))</f>
        <v/>
      </c>
      <c r="D61" s="13" t="str">
        <f aca="false">IFERROR(INDEX(기념일등록!$B$3:$B$502,MATCH(56,다가오는일정!$K$6:$K$505,0)),"")</f>
        <v/>
      </c>
      <c r="E61" s="13" t="str">
        <f aca="false">IF($D61="","",IFERROR(INDEX(기념일등록!$C$3:$C$502,MATCH(56,다가오는일정!$K$6:$K$505,0)),""))</f>
        <v/>
      </c>
      <c r="F61" s="23" t="str">
        <f aca="false">IF($D61="","",IFERROR(INDEX(기념일등록!$D$3:$D$502,MATCH(56,다가오는일정!$K$6:$K$505,0)),""))</f>
        <v/>
      </c>
      <c r="G61" s="25" t="str">
        <f aca="true">IF($D61="","",SUMIFS(경조사내역!$F$3:$F$1002,경조사내역!$B$3:$B$1002,$D61,경조사내역!$A$3:$A$1002,"&gt;="&amp;DATE(YEAR(TODAY())-1,1,1),경조사내역!$A$3:$A$1002,"&lt;="&amp;DATE(YEAR(TODAY())-1,12,31)))</f>
        <v/>
      </c>
      <c r="I61" s="26" t="b">
        <f aca="false">IF(기념일등록!$B58="",FALSE(),AND(기념일등록!$I58&gt;=0,기념일등록!$I58&lt;=90))</f>
        <v>0</v>
      </c>
      <c r="J61" s="6" t="str">
        <f aca="false">IF($I61=FALSE(),"",기념일등록!$I58*1000+ROW())</f>
        <v/>
      </c>
      <c r="K61" s="6" t="str">
        <f aca="false">IF($J61="","",RANK($J61,$J$6:$J$505,1))</f>
        <v/>
      </c>
    </row>
    <row r="62" customFormat="false" ht="15" hidden="false" customHeight="true" outlineLevel="0" collapsed="false">
      <c r="A62" s="23" t="str">
        <f aca="false">IF($D62="","",57)</f>
        <v/>
      </c>
      <c r="B62" s="16" t="str">
        <f aca="false">IFERROR(INDEX(기념일등록!$H$3:$H$502,MATCH(57,다가오는일정!$K$6:$K$505,0)),"")</f>
        <v/>
      </c>
      <c r="C62" s="23" t="str">
        <f aca="false">IF($B62="","",IFERROR(INDEX(기념일등록!$I$3:$I$502,MATCH(57,다가오는일정!$K$6:$K$505,0)),""))</f>
        <v/>
      </c>
      <c r="D62" s="13" t="str">
        <f aca="false">IFERROR(INDEX(기념일등록!$B$3:$B$502,MATCH(57,다가오는일정!$K$6:$K$505,0)),"")</f>
        <v/>
      </c>
      <c r="E62" s="13" t="str">
        <f aca="false">IF($D62="","",IFERROR(INDEX(기념일등록!$C$3:$C$502,MATCH(57,다가오는일정!$K$6:$K$505,0)),""))</f>
        <v/>
      </c>
      <c r="F62" s="23" t="str">
        <f aca="false">IF($D62="","",IFERROR(INDEX(기념일등록!$D$3:$D$502,MATCH(57,다가오는일정!$K$6:$K$505,0)),""))</f>
        <v/>
      </c>
      <c r="G62" s="25" t="str">
        <f aca="true">IF($D62="","",SUMIFS(경조사내역!$F$3:$F$1002,경조사내역!$B$3:$B$1002,$D62,경조사내역!$A$3:$A$1002,"&gt;="&amp;DATE(YEAR(TODAY())-1,1,1),경조사내역!$A$3:$A$1002,"&lt;="&amp;DATE(YEAR(TODAY())-1,12,31)))</f>
        <v/>
      </c>
      <c r="I62" s="26" t="b">
        <f aca="false">IF(기념일등록!$B59="",FALSE(),AND(기념일등록!$I59&gt;=0,기념일등록!$I59&lt;=90))</f>
        <v>0</v>
      </c>
      <c r="J62" s="6" t="str">
        <f aca="false">IF($I62=FALSE(),"",기념일등록!$I59*1000+ROW())</f>
        <v/>
      </c>
      <c r="K62" s="6" t="str">
        <f aca="false">IF($J62="","",RANK($J62,$J$6:$J$505,1))</f>
        <v/>
      </c>
    </row>
    <row r="63" customFormat="false" ht="15" hidden="false" customHeight="true" outlineLevel="0" collapsed="false">
      <c r="A63" s="23" t="str">
        <f aca="false">IF($D63="","",58)</f>
        <v/>
      </c>
      <c r="B63" s="16" t="str">
        <f aca="false">IFERROR(INDEX(기념일등록!$H$3:$H$502,MATCH(58,다가오는일정!$K$6:$K$505,0)),"")</f>
        <v/>
      </c>
      <c r="C63" s="23" t="str">
        <f aca="false">IF($B63="","",IFERROR(INDEX(기념일등록!$I$3:$I$502,MATCH(58,다가오는일정!$K$6:$K$505,0)),""))</f>
        <v/>
      </c>
      <c r="D63" s="13" t="str">
        <f aca="false">IFERROR(INDEX(기념일등록!$B$3:$B$502,MATCH(58,다가오는일정!$K$6:$K$505,0)),"")</f>
        <v/>
      </c>
      <c r="E63" s="13" t="str">
        <f aca="false">IF($D63="","",IFERROR(INDEX(기념일등록!$C$3:$C$502,MATCH(58,다가오는일정!$K$6:$K$505,0)),""))</f>
        <v/>
      </c>
      <c r="F63" s="23" t="str">
        <f aca="false">IF($D63="","",IFERROR(INDEX(기념일등록!$D$3:$D$502,MATCH(58,다가오는일정!$K$6:$K$505,0)),""))</f>
        <v/>
      </c>
      <c r="G63" s="25" t="str">
        <f aca="true">IF($D63="","",SUMIFS(경조사내역!$F$3:$F$1002,경조사내역!$B$3:$B$1002,$D63,경조사내역!$A$3:$A$1002,"&gt;="&amp;DATE(YEAR(TODAY())-1,1,1),경조사내역!$A$3:$A$1002,"&lt;="&amp;DATE(YEAR(TODAY())-1,12,31)))</f>
        <v/>
      </c>
      <c r="I63" s="26" t="b">
        <f aca="false">IF(기념일등록!$B60="",FALSE(),AND(기념일등록!$I60&gt;=0,기념일등록!$I60&lt;=90))</f>
        <v>0</v>
      </c>
      <c r="J63" s="6" t="str">
        <f aca="false">IF($I63=FALSE(),"",기념일등록!$I60*1000+ROW())</f>
        <v/>
      </c>
      <c r="K63" s="6" t="str">
        <f aca="false">IF($J63="","",RANK($J63,$J$6:$J$505,1))</f>
        <v/>
      </c>
    </row>
    <row r="64" customFormat="false" ht="15" hidden="false" customHeight="true" outlineLevel="0" collapsed="false">
      <c r="A64" s="23" t="str">
        <f aca="false">IF($D64="","",59)</f>
        <v/>
      </c>
      <c r="B64" s="16" t="str">
        <f aca="false">IFERROR(INDEX(기념일등록!$H$3:$H$502,MATCH(59,다가오는일정!$K$6:$K$505,0)),"")</f>
        <v/>
      </c>
      <c r="C64" s="23" t="str">
        <f aca="false">IF($B64="","",IFERROR(INDEX(기념일등록!$I$3:$I$502,MATCH(59,다가오는일정!$K$6:$K$505,0)),""))</f>
        <v/>
      </c>
      <c r="D64" s="13" t="str">
        <f aca="false">IFERROR(INDEX(기념일등록!$B$3:$B$502,MATCH(59,다가오는일정!$K$6:$K$505,0)),"")</f>
        <v/>
      </c>
      <c r="E64" s="13" t="str">
        <f aca="false">IF($D64="","",IFERROR(INDEX(기념일등록!$C$3:$C$502,MATCH(59,다가오는일정!$K$6:$K$505,0)),""))</f>
        <v/>
      </c>
      <c r="F64" s="23" t="str">
        <f aca="false">IF($D64="","",IFERROR(INDEX(기념일등록!$D$3:$D$502,MATCH(59,다가오는일정!$K$6:$K$505,0)),""))</f>
        <v/>
      </c>
      <c r="G64" s="25" t="str">
        <f aca="true">IF($D64="","",SUMIFS(경조사내역!$F$3:$F$1002,경조사내역!$B$3:$B$1002,$D64,경조사내역!$A$3:$A$1002,"&gt;="&amp;DATE(YEAR(TODAY())-1,1,1),경조사내역!$A$3:$A$1002,"&lt;="&amp;DATE(YEAR(TODAY())-1,12,31)))</f>
        <v/>
      </c>
      <c r="I64" s="26" t="b">
        <f aca="false">IF(기념일등록!$B61="",FALSE(),AND(기념일등록!$I61&gt;=0,기념일등록!$I61&lt;=90))</f>
        <v>0</v>
      </c>
      <c r="J64" s="6" t="str">
        <f aca="false">IF($I64=FALSE(),"",기념일등록!$I61*1000+ROW())</f>
        <v/>
      </c>
      <c r="K64" s="6" t="str">
        <f aca="false">IF($J64="","",RANK($J64,$J$6:$J$505,1))</f>
        <v/>
      </c>
    </row>
    <row r="65" customFormat="false" ht="15" hidden="false" customHeight="true" outlineLevel="0" collapsed="false">
      <c r="A65" s="23" t="str">
        <f aca="false">IF($D65="","",60)</f>
        <v/>
      </c>
      <c r="B65" s="16" t="str">
        <f aca="false">IFERROR(INDEX(기념일등록!$H$3:$H$502,MATCH(60,다가오는일정!$K$6:$K$505,0)),"")</f>
        <v/>
      </c>
      <c r="C65" s="23" t="str">
        <f aca="false">IF($B65="","",IFERROR(INDEX(기념일등록!$I$3:$I$502,MATCH(60,다가오는일정!$K$6:$K$505,0)),""))</f>
        <v/>
      </c>
      <c r="D65" s="13" t="str">
        <f aca="false">IFERROR(INDEX(기념일등록!$B$3:$B$502,MATCH(60,다가오는일정!$K$6:$K$505,0)),"")</f>
        <v/>
      </c>
      <c r="E65" s="13" t="str">
        <f aca="false">IF($D65="","",IFERROR(INDEX(기념일등록!$C$3:$C$502,MATCH(60,다가오는일정!$K$6:$K$505,0)),""))</f>
        <v/>
      </c>
      <c r="F65" s="23" t="str">
        <f aca="false">IF($D65="","",IFERROR(INDEX(기념일등록!$D$3:$D$502,MATCH(60,다가오는일정!$K$6:$K$505,0)),""))</f>
        <v/>
      </c>
      <c r="G65" s="25" t="str">
        <f aca="true">IF($D65="","",SUMIFS(경조사내역!$F$3:$F$1002,경조사내역!$B$3:$B$1002,$D65,경조사내역!$A$3:$A$1002,"&gt;="&amp;DATE(YEAR(TODAY())-1,1,1),경조사내역!$A$3:$A$1002,"&lt;="&amp;DATE(YEAR(TODAY())-1,12,31)))</f>
        <v/>
      </c>
      <c r="I65" s="26" t="b">
        <f aca="false">IF(기념일등록!$B62="",FALSE(),AND(기념일등록!$I62&gt;=0,기념일등록!$I62&lt;=90))</f>
        <v>0</v>
      </c>
      <c r="J65" s="6" t="str">
        <f aca="false">IF($I65=FALSE(),"",기념일등록!$I62*1000+ROW())</f>
        <v/>
      </c>
      <c r="K65" s="6" t="str">
        <f aca="false">IF($J65="","",RANK($J65,$J$6:$J$505,1))</f>
        <v/>
      </c>
    </row>
    <row r="66" customFormat="false" ht="15" hidden="false" customHeight="true" outlineLevel="0" collapsed="false">
      <c r="I66" s="26" t="b">
        <f aca="false">IF(기념일등록!$B63="",FALSE(),AND(기념일등록!$I63&gt;=0,기념일등록!$I63&lt;=90))</f>
        <v>0</v>
      </c>
      <c r="J66" s="6" t="str">
        <f aca="false">IF($I66=FALSE(),"",기념일등록!$I63*1000+ROW())</f>
        <v/>
      </c>
      <c r="K66" s="6" t="str">
        <f aca="false">IF($J66="","",RANK($J66,$J$6:$J$505,1))</f>
        <v/>
      </c>
    </row>
    <row r="67" customFormat="false" ht="15" hidden="false" customHeight="true" outlineLevel="0" collapsed="false">
      <c r="I67" s="26" t="b">
        <f aca="false">IF(기념일등록!$B64="",FALSE(),AND(기념일등록!$I64&gt;=0,기념일등록!$I64&lt;=90))</f>
        <v>0</v>
      </c>
      <c r="J67" s="6" t="str">
        <f aca="false">IF($I67=FALSE(),"",기념일등록!$I64*1000+ROW())</f>
        <v/>
      </c>
      <c r="K67" s="6" t="str">
        <f aca="false">IF($J67="","",RANK($J67,$J$6:$J$505,1))</f>
        <v/>
      </c>
    </row>
    <row r="68" customFormat="false" ht="15" hidden="false" customHeight="true" outlineLevel="0" collapsed="false">
      <c r="I68" s="26" t="b">
        <f aca="false">IF(기념일등록!$B65="",FALSE(),AND(기념일등록!$I65&gt;=0,기념일등록!$I65&lt;=90))</f>
        <v>0</v>
      </c>
      <c r="J68" s="6" t="str">
        <f aca="false">IF($I68=FALSE(),"",기념일등록!$I65*1000+ROW())</f>
        <v/>
      </c>
      <c r="K68" s="6" t="str">
        <f aca="false">IF($J68="","",RANK($J68,$J$6:$J$505,1))</f>
        <v/>
      </c>
    </row>
    <row r="69" customFormat="false" ht="15" hidden="false" customHeight="true" outlineLevel="0" collapsed="false">
      <c r="I69" s="26" t="b">
        <f aca="false">IF(기념일등록!$B66="",FALSE(),AND(기념일등록!$I66&gt;=0,기념일등록!$I66&lt;=90))</f>
        <v>0</v>
      </c>
      <c r="J69" s="6" t="str">
        <f aca="false">IF($I69=FALSE(),"",기념일등록!$I66*1000+ROW())</f>
        <v/>
      </c>
      <c r="K69" s="6" t="str">
        <f aca="false">IF($J69="","",RANK($J69,$J$6:$J$505,1))</f>
        <v/>
      </c>
    </row>
    <row r="70" customFormat="false" ht="15" hidden="false" customHeight="true" outlineLevel="0" collapsed="false">
      <c r="I70" s="26" t="b">
        <f aca="false">IF(기념일등록!$B67="",FALSE(),AND(기념일등록!$I67&gt;=0,기념일등록!$I67&lt;=90))</f>
        <v>0</v>
      </c>
      <c r="J70" s="6" t="str">
        <f aca="false">IF($I70=FALSE(),"",기념일등록!$I67*1000+ROW())</f>
        <v/>
      </c>
      <c r="K70" s="6" t="str">
        <f aca="false">IF($J70="","",RANK($J70,$J$6:$J$505,1))</f>
        <v/>
      </c>
    </row>
    <row r="71" customFormat="false" ht="15" hidden="false" customHeight="true" outlineLevel="0" collapsed="false">
      <c r="I71" s="26" t="b">
        <f aca="false">IF(기념일등록!$B68="",FALSE(),AND(기념일등록!$I68&gt;=0,기념일등록!$I68&lt;=90))</f>
        <v>0</v>
      </c>
      <c r="J71" s="6" t="str">
        <f aca="false">IF($I71=FALSE(),"",기념일등록!$I68*1000+ROW())</f>
        <v/>
      </c>
      <c r="K71" s="6" t="str">
        <f aca="false">IF($J71="","",RANK($J71,$J$6:$J$505,1))</f>
        <v/>
      </c>
    </row>
    <row r="72" customFormat="false" ht="15" hidden="false" customHeight="true" outlineLevel="0" collapsed="false">
      <c r="I72" s="26" t="b">
        <f aca="false">IF(기념일등록!$B69="",FALSE(),AND(기념일등록!$I69&gt;=0,기념일등록!$I69&lt;=90))</f>
        <v>0</v>
      </c>
      <c r="J72" s="6" t="str">
        <f aca="false">IF($I72=FALSE(),"",기념일등록!$I69*1000+ROW())</f>
        <v/>
      </c>
      <c r="K72" s="6" t="str">
        <f aca="false">IF($J72="","",RANK($J72,$J$6:$J$505,1))</f>
        <v/>
      </c>
    </row>
    <row r="73" customFormat="false" ht="15" hidden="false" customHeight="true" outlineLevel="0" collapsed="false">
      <c r="I73" s="26" t="b">
        <f aca="false">IF(기념일등록!$B70="",FALSE(),AND(기념일등록!$I70&gt;=0,기념일등록!$I70&lt;=90))</f>
        <v>0</v>
      </c>
      <c r="J73" s="6" t="str">
        <f aca="false">IF($I73=FALSE(),"",기념일등록!$I70*1000+ROW())</f>
        <v/>
      </c>
      <c r="K73" s="6" t="str">
        <f aca="false">IF($J73="","",RANK($J73,$J$6:$J$505,1))</f>
        <v/>
      </c>
    </row>
    <row r="74" customFormat="false" ht="15" hidden="false" customHeight="true" outlineLevel="0" collapsed="false">
      <c r="I74" s="26" t="b">
        <f aca="false">IF(기념일등록!$B71="",FALSE(),AND(기념일등록!$I71&gt;=0,기념일등록!$I71&lt;=90))</f>
        <v>0</v>
      </c>
      <c r="J74" s="6" t="str">
        <f aca="false">IF($I74=FALSE(),"",기념일등록!$I71*1000+ROW())</f>
        <v/>
      </c>
      <c r="K74" s="6" t="str">
        <f aca="false">IF($J74="","",RANK($J74,$J$6:$J$505,1))</f>
        <v/>
      </c>
    </row>
    <row r="75" customFormat="false" ht="15" hidden="false" customHeight="true" outlineLevel="0" collapsed="false">
      <c r="I75" s="26" t="b">
        <f aca="false">IF(기념일등록!$B72="",FALSE(),AND(기념일등록!$I72&gt;=0,기념일등록!$I72&lt;=90))</f>
        <v>0</v>
      </c>
      <c r="J75" s="6" t="str">
        <f aca="false">IF($I75=FALSE(),"",기념일등록!$I72*1000+ROW())</f>
        <v/>
      </c>
      <c r="K75" s="6" t="str">
        <f aca="false">IF($J75="","",RANK($J75,$J$6:$J$505,1))</f>
        <v/>
      </c>
    </row>
    <row r="76" customFormat="false" ht="15" hidden="false" customHeight="true" outlineLevel="0" collapsed="false">
      <c r="I76" s="26" t="b">
        <f aca="false">IF(기념일등록!$B73="",FALSE(),AND(기념일등록!$I73&gt;=0,기념일등록!$I73&lt;=90))</f>
        <v>0</v>
      </c>
      <c r="J76" s="6" t="str">
        <f aca="false">IF($I76=FALSE(),"",기념일등록!$I73*1000+ROW())</f>
        <v/>
      </c>
      <c r="K76" s="6" t="str">
        <f aca="false">IF($J76="","",RANK($J76,$J$6:$J$505,1))</f>
        <v/>
      </c>
    </row>
    <row r="77" customFormat="false" ht="15" hidden="false" customHeight="true" outlineLevel="0" collapsed="false">
      <c r="I77" s="26" t="b">
        <f aca="false">IF(기념일등록!$B74="",FALSE(),AND(기념일등록!$I74&gt;=0,기념일등록!$I74&lt;=90))</f>
        <v>0</v>
      </c>
      <c r="J77" s="6" t="str">
        <f aca="false">IF($I77=FALSE(),"",기념일등록!$I74*1000+ROW())</f>
        <v/>
      </c>
      <c r="K77" s="6" t="str">
        <f aca="false">IF($J77="","",RANK($J77,$J$6:$J$505,1))</f>
        <v/>
      </c>
    </row>
    <row r="78" customFormat="false" ht="15" hidden="false" customHeight="true" outlineLevel="0" collapsed="false">
      <c r="I78" s="26" t="b">
        <f aca="false">IF(기념일등록!$B75="",FALSE(),AND(기념일등록!$I75&gt;=0,기념일등록!$I75&lt;=90))</f>
        <v>0</v>
      </c>
      <c r="J78" s="6" t="str">
        <f aca="false">IF($I78=FALSE(),"",기념일등록!$I75*1000+ROW())</f>
        <v/>
      </c>
      <c r="K78" s="6" t="str">
        <f aca="false">IF($J78="","",RANK($J78,$J$6:$J$505,1))</f>
        <v/>
      </c>
    </row>
    <row r="79" customFormat="false" ht="15" hidden="false" customHeight="true" outlineLevel="0" collapsed="false">
      <c r="I79" s="26" t="b">
        <f aca="false">IF(기념일등록!$B76="",FALSE(),AND(기념일등록!$I76&gt;=0,기념일등록!$I76&lt;=90))</f>
        <v>0</v>
      </c>
      <c r="J79" s="6" t="str">
        <f aca="false">IF($I79=FALSE(),"",기념일등록!$I76*1000+ROW())</f>
        <v/>
      </c>
      <c r="K79" s="6" t="str">
        <f aca="false">IF($J79="","",RANK($J79,$J$6:$J$505,1))</f>
        <v/>
      </c>
    </row>
    <row r="80" customFormat="false" ht="15" hidden="false" customHeight="true" outlineLevel="0" collapsed="false">
      <c r="I80" s="26" t="b">
        <f aca="false">IF(기념일등록!$B77="",FALSE(),AND(기념일등록!$I77&gt;=0,기념일등록!$I77&lt;=90))</f>
        <v>0</v>
      </c>
      <c r="J80" s="6" t="str">
        <f aca="false">IF($I80=FALSE(),"",기념일등록!$I77*1000+ROW())</f>
        <v/>
      </c>
      <c r="K80" s="6" t="str">
        <f aca="false">IF($J80="","",RANK($J80,$J$6:$J$505,1))</f>
        <v/>
      </c>
    </row>
    <row r="81" customFormat="false" ht="15" hidden="false" customHeight="true" outlineLevel="0" collapsed="false">
      <c r="I81" s="26" t="b">
        <f aca="false">IF(기념일등록!$B78="",FALSE(),AND(기념일등록!$I78&gt;=0,기념일등록!$I78&lt;=90))</f>
        <v>0</v>
      </c>
      <c r="J81" s="6" t="str">
        <f aca="false">IF($I81=FALSE(),"",기념일등록!$I78*1000+ROW())</f>
        <v/>
      </c>
      <c r="K81" s="6" t="str">
        <f aca="false">IF($J81="","",RANK($J81,$J$6:$J$505,1))</f>
        <v/>
      </c>
    </row>
    <row r="82" customFormat="false" ht="15" hidden="false" customHeight="true" outlineLevel="0" collapsed="false">
      <c r="I82" s="26" t="b">
        <f aca="false">IF(기념일등록!$B79="",FALSE(),AND(기념일등록!$I79&gt;=0,기념일등록!$I79&lt;=90))</f>
        <v>0</v>
      </c>
      <c r="J82" s="6" t="str">
        <f aca="false">IF($I82=FALSE(),"",기념일등록!$I79*1000+ROW())</f>
        <v/>
      </c>
      <c r="K82" s="6" t="str">
        <f aca="false">IF($J82="","",RANK($J82,$J$6:$J$505,1))</f>
        <v/>
      </c>
    </row>
    <row r="83" customFormat="false" ht="15" hidden="false" customHeight="true" outlineLevel="0" collapsed="false">
      <c r="I83" s="26" t="b">
        <f aca="false">IF(기념일등록!$B80="",FALSE(),AND(기념일등록!$I80&gt;=0,기념일등록!$I80&lt;=90))</f>
        <v>0</v>
      </c>
      <c r="J83" s="6" t="str">
        <f aca="false">IF($I83=FALSE(),"",기념일등록!$I80*1000+ROW())</f>
        <v/>
      </c>
      <c r="K83" s="6" t="str">
        <f aca="false">IF($J83="","",RANK($J83,$J$6:$J$505,1))</f>
        <v/>
      </c>
    </row>
    <row r="84" customFormat="false" ht="15" hidden="false" customHeight="true" outlineLevel="0" collapsed="false">
      <c r="I84" s="26" t="b">
        <f aca="false">IF(기념일등록!$B81="",FALSE(),AND(기념일등록!$I81&gt;=0,기념일등록!$I81&lt;=90))</f>
        <v>0</v>
      </c>
      <c r="J84" s="6" t="str">
        <f aca="false">IF($I84=FALSE(),"",기념일등록!$I81*1000+ROW())</f>
        <v/>
      </c>
      <c r="K84" s="6" t="str">
        <f aca="false">IF($J84="","",RANK($J84,$J$6:$J$505,1))</f>
        <v/>
      </c>
    </row>
    <row r="85" customFormat="false" ht="15" hidden="false" customHeight="true" outlineLevel="0" collapsed="false">
      <c r="I85" s="26" t="b">
        <f aca="false">IF(기념일등록!$B82="",FALSE(),AND(기념일등록!$I82&gt;=0,기념일등록!$I82&lt;=90))</f>
        <v>0</v>
      </c>
      <c r="J85" s="6" t="str">
        <f aca="false">IF($I85=FALSE(),"",기념일등록!$I82*1000+ROW())</f>
        <v/>
      </c>
      <c r="K85" s="6" t="str">
        <f aca="false">IF($J85="","",RANK($J85,$J$6:$J$505,1))</f>
        <v/>
      </c>
    </row>
    <row r="86" customFormat="false" ht="15" hidden="false" customHeight="true" outlineLevel="0" collapsed="false">
      <c r="I86" s="26" t="b">
        <f aca="false">IF(기념일등록!$B83="",FALSE(),AND(기념일등록!$I83&gt;=0,기념일등록!$I83&lt;=90))</f>
        <v>0</v>
      </c>
      <c r="J86" s="6" t="str">
        <f aca="false">IF($I86=FALSE(),"",기념일등록!$I83*1000+ROW())</f>
        <v/>
      </c>
      <c r="K86" s="6" t="str">
        <f aca="false">IF($J86="","",RANK($J86,$J$6:$J$505,1))</f>
        <v/>
      </c>
    </row>
    <row r="87" customFormat="false" ht="15" hidden="false" customHeight="true" outlineLevel="0" collapsed="false">
      <c r="I87" s="26" t="b">
        <f aca="false">IF(기념일등록!$B84="",FALSE(),AND(기념일등록!$I84&gt;=0,기념일등록!$I84&lt;=90))</f>
        <v>0</v>
      </c>
      <c r="J87" s="6" t="str">
        <f aca="false">IF($I87=FALSE(),"",기념일등록!$I84*1000+ROW())</f>
        <v/>
      </c>
      <c r="K87" s="6" t="str">
        <f aca="false">IF($J87="","",RANK($J87,$J$6:$J$505,1))</f>
        <v/>
      </c>
    </row>
    <row r="88" customFormat="false" ht="15" hidden="false" customHeight="true" outlineLevel="0" collapsed="false">
      <c r="I88" s="26" t="b">
        <f aca="false">IF(기념일등록!$B85="",FALSE(),AND(기념일등록!$I85&gt;=0,기념일등록!$I85&lt;=90))</f>
        <v>0</v>
      </c>
      <c r="J88" s="6" t="str">
        <f aca="false">IF($I88=FALSE(),"",기념일등록!$I85*1000+ROW())</f>
        <v/>
      </c>
      <c r="K88" s="6" t="str">
        <f aca="false">IF($J88="","",RANK($J88,$J$6:$J$505,1))</f>
        <v/>
      </c>
    </row>
    <row r="89" customFormat="false" ht="15" hidden="false" customHeight="true" outlineLevel="0" collapsed="false">
      <c r="I89" s="26" t="b">
        <f aca="false">IF(기념일등록!$B86="",FALSE(),AND(기념일등록!$I86&gt;=0,기념일등록!$I86&lt;=90))</f>
        <v>0</v>
      </c>
      <c r="J89" s="6" t="str">
        <f aca="false">IF($I89=FALSE(),"",기념일등록!$I86*1000+ROW())</f>
        <v/>
      </c>
      <c r="K89" s="6" t="str">
        <f aca="false">IF($J89="","",RANK($J89,$J$6:$J$505,1))</f>
        <v/>
      </c>
    </row>
    <row r="90" customFormat="false" ht="15" hidden="false" customHeight="true" outlineLevel="0" collapsed="false">
      <c r="I90" s="26" t="b">
        <f aca="false">IF(기념일등록!$B87="",FALSE(),AND(기념일등록!$I87&gt;=0,기념일등록!$I87&lt;=90))</f>
        <v>0</v>
      </c>
      <c r="J90" s="6" t="str">
        <f aca="false">IF($I90=FALSE(),"",기념일등록!$I87*1000+ROW())</f>
        <v/>
      </c>
      <c r="K90" s="6" t="str">
        <f aca="false">IF($J90="","",RANK($J90,$J$6:$J$505,1))</f>
        <v/>
      </c>
    </row>
    <row r="91" customFormat="false" ht="15" hidden="false" customHeight="true" outlineLevel="0" collapsed="false">
      <c r="I91" s="26" t="b">
        <f aca="false">IF(기념일등록!$B88="",FALSE(),AND(기념일등록!$I88&gt;=0,기념일등록!$I88&lt;=90))</f>
        <v>0</v>
      </c>
      <c r="J91" s="6" t="str">
        <f aca="false">IF($I91=FALSE(),"",기념일등록!$I88*1000+ROW())</f>
        <v/>
      </c>
      <c r="K91" s="6" t="str">
        <f aca="false">IF($J91="","",RANK($J91,$J$6:$J$505,1))</f>
        <v/>
      </c>
    </row>
    <row r="92" customFormat="false" ht="15" hidden="false" customHeight="true" outlineLevel="0" collapsed="false">
      <c r="I92" s="26" t="b">
        <f aca="false">IF(기념일등록!$B89="",FALSE(),AND(기념일등록!$I89&gt;=0,기념일등록!$I89&lt;=90))</f>
        <v>0</v>
      </c>
      <c r="J92" s="6" t="str">
        <f aca="false">IF($I92=FALSE(),"",기념일등록!$I89*1000+ROW())</f>
        <v/>
      </c>
      <c r="K92" s="6" t="str">
        <f aca="false">IF($J92="","",RANK($J92,$J$6:$J$505,1))</f>
        <v/>
      </c>
    </row>
    <row r="93" customFormat="false" ht="15" hidden="false" customHeight="true" outlineLevel="0" collapsed="false">
      <c r="I93" s="26" t="b">
        <f aca="false">IF(기념일등록!$B90="",FALSE(),AND(기념일등록!$I90&gt;=0,기념일등록!$I90&lt;=90))</f>
        <v>0</v>
      </c>
      <c r="J93" s="6" t="str">
        <f aca="false">IF($I93=FALSE(),"",기념일등록!$I90*1000+ROW())</f>
        <v/>
      </c>
      <c r="K93" s="6" t="str">
        <f aca="false">IF($J93="","",RANK($J93,$J$6:$J$505,1))</f>
        <v/>
      </c>
    </row>
    <row r="94" customFormat="false" ht="15" hidden="false" customHeight="true" outlineLevel="0" collapsed="false">
      <c r="I94" s="26" t="b">
        <f aca="false">IF(기념일등록!$B91="",FALSE(),AND(기념일등록!$I91&gt;=0,기념일등록!$I91&lt;=90))</f>
        <v>0</v>
      </c>
      <c r="J94" s="6" t="str">
        <f aca="false">IF($I94=FALSE(),"",기념일등록!$I91*1000+ROW())</f>
        <v/>
      </c>
      <c r="K94" s="6" t="str">
        <f aca="false">IF($J94="","",RANK($J94,$J$6:$J$505,1))</f>
        <v/>
      </c>
    </row>
    <row r="95" customFormat="false" ht="15" hidden="false" customHeight="true" outlineLevel="0" collapsed="false">
      <c r="I95" s="26" t="b">
        <f aca="false">IF(기념일등록!$B92="",FALSE(),AND(기념일등록!$I92&gt;=0,기념일등록!$I92&lt;=90))</f>
        <v>0</v>
      </c>
      <c r="J95" s="6" t="str">
        <f aca="false">IF($I95=FALSE(),"",기념일등록!$I92*1000+ROW())</f>
        <v/>
      </c>
      <c r="K95" s="6" t="str">
        <f aca="false">IF($J95="","",RANK($J95,$J$6:$J$505,1))</f>
        <v/>
      </c>
    </row>
    <row r="96" customFormat="false" ht="15" hidden="false" customHeight="true" outlineLevel="0" collapsed="false">
      <c r="I96" s="26" t="b">
        <f aca="false">IF(기념일등록!$B93="",FALSE(),AND(기념일등록!$I93&gt;=0,기념일등록!$I93&lt;=90))</f>
        <v>0</v>
      </c>
      <c r="J96" s="6" t="str">
        <f aca="false">IF($I96=FALSE(),"",기념일등록!$I93*1000+ROW())</f>
        <v/>
      </c>
      <c r="K96" s="6" t="str">
        <f aca="false">IF($J96="","",RANK($J96,$J$6:$J$505,1))</f>
        <v/>
      </c>
    </row>
    <row r="97" customFormat="false" ht="15" hidden="false" customHeight="true" outlineLevel="0" collapsed="false">
      <c r="I97" s="26" t="b">
        <f aca="false">IF(기념일등록!$B94="",FALSE(),AND(기념일등록!$I94&gt;=0,기념일등록!$I94&lt;=90))</f>
        <v>0</v>
      </c>
      <c r="J97" s="6" t="str">
        <f aca="false">IF($I97=FALSE(),"",기념일등록!$I94*1000+ROW())</f>
        <v/>
      </c>
      <c r="K97" s="6" t="str">
        <f aca="false">IF($J97="","",RANK($J97,$J$6:$J$505,1))</f>
        <v/>
      </c>
    </row>
    <row r="98" customFormat="false" ht="15" hidden="false" customHeight="true" outlineLevel="0" collapsed="false">
      <c r="I98" s="26" t="b">
        <f aca="false">IF(기념일등록!$B95="",FALSE(),AND(기념일등록!$I95&gt;=0,기념일등록!$I95&lt;=90))</f>
        <v>0</v>
      </c>
      <c r="J98" s="6" t="str">
        <f aca="false">IF($I98=FALSE(),"",기념일등록!$I95*1000+ROW())</f>
        <v/>
      </c>
      <c r="K98" s="6" t="str">
        <f aca="false">IF($J98="","",RANK($J98,$J$6:$J$505,1))</f>
        <v/>
      </c>
    </row>
    <row r="99" customFormat="false" ht="15" hidden="false" customHeight="true" outlineLevel="0" collapsed="false">
      <c r="I99" s="26" t="b">
        <f aca="false">IF(기념일등록!$B96="",FALSE(),AND(기념일등록!$I96&gt;=0,기념일등록!$I96&lt;=90))</f>
        <v>0</v>
      </c>
      <c r="J99" s="6" t="str">
        <f aca="false">IF($I99=FALSE(),"",기념일등록!$I96*1000+ROW())</f>
        <v/>
      </c>
      <c r="K99" s="6" t="str">
        <f aca="false">IF($J99="","",RANK($J99,$J$6:$J$505,1))</f>
        <v/>
      </c>
    </row>
    <row r="100" customFormat="false" ht="15" hidden="false" customHeight="true" outlineLevel="0" collapsed="false">
      <c r="I100" s="26" t="b">
        <f aca="false">IF(기념일등록!$B97="",FALSE(),AND(기념일등록!$I97&gt;=0,기념일등록!$I97&lt;=90))</f>
        <v>0</v>
      </c>
      <c r="J100" s="6" t="str">
        <f aca="false">IF($I100=FALSE(),"",기념일등록!$I97*1000+ROW())</f>
        <v/>
      </c>
      <c r="K100" s="6" t="str">
        <f aca="false">IF($J100="","",RANK($J100,$J$6:$J$505,1))</f>
        <v/>
      </c>
    </row>
    <row r="101" customFormat="false" ht="15" hidden="false" customHeight="true" outlineLevel="0" collapsed="false">
      <c r="I101" s="26" t="b">
        <f aca="false">IF(기념일등록!$B98="",FALSE(),AND(기념일등록!$I98&gt;=0,기념일등록!$I98&lt;=90))</f>
        <v>0</v>
      </c>
      <c r="J101" s="6" t="str">
        <f aca="false">IF($I101=FALSE(),"",기념일등록!$I98*1000+ROW())</f>
        <v/>
      </c>
      <c r="K101" s="6" t="str">
        <f aca="false">IF($J101="","",RANK($J101,$J$6:$J$505,1))</f>
        <v/>
      </c>
    </row>
    <row r="102" customFormat="false" ht="15" hidden="false" customHeight="true" outlineLevel="0" collapsed="false">
      <c r="I102" s="26" t="b">
        <f aca="false">IF(기념일등록!$B99="",FALSE(),AND(기념일등록!$I99&gt;=0,기념일등록!$I99&lt;=90))</f>
        <v>0</v>
      </c>
      <c r="J102" s="6" t="str">
        <f aca="false">IF($I102=FALSE(),"",기념일등록!$I99*1000+ROW())</f>
        <v/>
      </c>
      <c r="K102" s="6" t="str">
        <f aca="false">IF($J102="","",RANK($J102,$J$6:$J$505,1))</f>
        <v/>
      </c>
    </row>
    <row r="103" customFormat="false" ht="15" hidden="false" customHeight="true" outlineLevel="0" collapsed="false">
      <c r="I103" s="26" t="b">
        <f aca="false">IF(기념일등록!$B100="",FALSE(),AND(기념일등록!$I100&gt;=0,기념일등록!$I100&lt;=90))</f>
        <v>0</v>
      </c>
      <c r="J103" s="6" t="str">
        <f aca="false">IF($I103=FALSE(),"",기념일등록!$I100*1000+ROW())</f>
        <v/>
      </c>
      <c r="K103" s="6" t="str">
        <f aca="false">IF($J103="","",RANK($J103,$J$6:$J$505,1))</f>
        <v/>
      </c>
    </row>
    <row r="104" customFormat="false" ht="15" hidden="false" customHeight="true" outlineLevel="0" collapsed="false">
      <c r="I104" s="26" t="b">
        <f aca="false">IF(기념일등록!$B101="",FALSE(),AND(기념일등록!$I101&gt;=0,기념일등록!$I101&lt;=90))</f>
        <v>0</v>
      </c>
      <c r="J104" s="6" t="str">
        <f aca="false">IF($I104=FALSE(),"",기념일등록!$I101*1000+ROW())</f>
        <v/>
      </c>
      <c r="K104" s="6" t="str">
        <f aca="false">IF($J104="","",RANK($J104,$J$6:$J$505,1))</f>
        <v/>
      </c>
    </row>
    <row r="105" customFormat="false" ht="15" hidden="false" customHeight="true" outlineLevel="0" collapsed="false">
      <c r="I105" s="26" t="b">
        <f aca="false">IF(기념일등록!$B102="",FALSE(),AND(기념일등록!$I102&gt;=0,기념일등록!$I102&lt;=90))</f>
        <v>0</v>
      </c>
      <c r="J105" s="6" t="str">
        <f aca="false">IF($I105=FALSE(),"",기념일등록!$I102*1000+ROW())</f>
        <v/>
      </c>
      <c r="K105" s="6" t="str">
        <f aca="false">IF($J105="","",RANK($J105,$J$6:$J$505,1))</f>
        <v/>
      </c>
    </row>
    <row r="106" customFormat="false" ht="15" hidden="false" customHeight="true" outlineLevel="0" collapsed="false">
      <c r="I106" s="26" t="b">
        <f aca="false">IF(기념일등록!$B103="",FALSE(),AND(기념일등록!$I103&gt;=0,기념일등록!$I103&lt;=90))</f>
        <v>0</v>
      </c>
      <c r="J106" s="6" t="str">
        <f aca="false">IF($I106=FALSE(),"",기념일등록!$I103*1000+ROW())</f>
        <v/>
      </c>
      <c r="K106" s="6" t="str">
        <f aca="false">IF($J106="","",RANK($J106,$J$6:$J$505,1))</f>
        <v/>
      </c>
    </row>
    <row r="107" customFormat="false" ht="15" hidden="false" customHeight="true" outlineLevel="0" collapsed="false">
      <c r="I107" s="26" t="b">
        <f aca="false">IF(기념일등록!$B104="",FALSE(),AND(기념일등록!$I104&gt;=0,기념일등록!$I104&lt;=90))</f>
        <v>0</v>
      </c>
      <c r="J107" s="6" t="str">
        <f aca="false">IF($I107=FALSE(),"",기념일등록!$I104*1000+ROW())</f>
        <v/>
      </c>
      <c r="K107" s="6" t="str">
        <f aca="false">IF($J107="","",RANK($J107,$J$6:$J$505,1))</f>
        <v/>
      </c>
    </row>
    <row r="108" customFormat="false" ht="15" hidden="false" customHeight="true" outlineLevel="0" collapsed="false">
      <c r="I108" s="26" t="b">
        <f aca="false">IF(기념일등록!$B105="",FALSE(),AND(기념일등록!$I105&gt;=0,기념일등록!$I105&lt;=90))</f>
        <v>0</v>
      </c>
      <c r="J108" s="6" t="str">
        <f aca="false">IF($I108=FALSE(),"",기념일등록!$I105*1000+ROW())</f>
        <v/>
      </c>
      <c r="K108" s="6" t="str">
        <f aca="false">IF($J108="","",RANK($J108,$J$6:$J$505,1))</f>
        <v/>
      </c>
    </row>
    <row r="109" customFormat="false" ht="15" hidden="false" customHeight="true" outlineLevel="0" collapsed="false">
      <c r="I109" s="26" t="b">
        <f aca="false">IF(기념일등록!$B106="",FALSE(),AND(기념일등록!$I106&gt;=0,기념일등록!$I106&lt;=90))</f>
        <v>0</v>
      </c>
      <c r="J109" s="6" t="str">
        <f aca="false">IF($I109=FALSE(),"",기념일등록!$I106*1000+ROW())</f>
        <v/>
      </c>
      <c r="K109" s="6" t="str">
        <f aca="false">IF($J109="","",RANK($J109,$J$6:$J$505,1))</f>
        <v/>
      </c>
    </row>
    <row r="110" customFormat="false" ht="15" hidden="false" customHeight="true" outlineLevel="0" collapsed="false">
      <c r="I110" s="26" t="b">
        <f aca="false">IF(기념일등록!$B107="",FALSE(),AND(기념일등록!$I107&gt;=0,기념일등록!$I107&lt;=90))</f>
        <v>0</v>
      </c>
      <c r="J110" s="6" t="str">
        <f aca="false">IF($I110=FALSE(),"",기념일등록!$I107*1000+ROW())</f>
        <v/>
      </c>
      <c r="K110" s="6" t="str">
        <f aca="false">IF($J110="","",RANK($J110,$J$6:$J$505,1))</f>
        <v/>
      </c>
    </row>
    <row r="111" customFormat="false" ht="15" hidden="false" customHeight="true" outlineLevel="0" collapsed="false">
      <c r="I111" s="26" t="b">
        <f aca="false">IF(기념일등록!$B108="",FALSE(),AND(기념일등록!$I108&gt;=0,기념일등록!$I108&lt;=90))</f>
        <v>0</v>
      </c>
      <c r="J111" s="6" t="str">
        <f aca="false">IF($I111=FALSE(),"",기념일등록!$I108*1000+ROW())</f>
        <v/>
      </c>
      <c r="K111" s="6" t="str">
        <f aca="false">IF($J111="","",RANK($J111,$J$6:$J$505,1))</f>
        <v/>
      </c>
    </row>
    <row r="112" customFormat="false" ht="15" hidden="false" customHeight="true" outlineLevel="0" collapsed="false">
      <c r="I112" s="26" t="b">
        <f aca="false">IF(기념일등록!$B109="",FALSE(),AND(기념일등록!$I109&gt;=0,기념일등록!$I109&lt;=90))</f>
        <v>0</v>
      </c>
      <c r="J112" s="6" t="str">
        <f aca="false">IF($I112=FALSE(),"",기념일등록!$I109*1000+ROW())</f>
        <v/>
      </c>
      <c r="K112" s="6" t="str">
        <f aca="false">IF($J112="","",RANK($J112,$J$6:$J$505,1))</f>
        <v/>
      </c>
    </row>
    <row r="113" customFormat="false" ht="15" hidden="false" customHeight="true" outlineLevel="0" collapsed="false">
      <c r="I113" s="26" t="b">
        <f aca="false">IF(기념일등록!$B110="",FALSE(),AND(기념일등록!$I110&gt;=0,기념일등록!$I110&lt;=90))</f>
        <v>0</v>
      </c>
      <c r="J113" s="6" t="str">
        <f aca="false">IF($I113=FALSE(),"",기념일등록!$I110*1000+ROW())</f>
        <v/>
      </c>
      <c r="K113" s="6" t="str">
        <f aca="false">IF($J113="","",RANK($J113,$J$6:$J$505,1))</f>
        <v/>
      </c>
    </row>
    <row r="114" customFormat="false" ht="15" hidden="false" customHeight="true" outlineLevel="0" collapsed="false">
      <c r="I114" s="26" t="b">
        <f aca="false">IF(기념일등록!$B111="",FALSE(),AND(기념일등록!$I111&gt;=0,기념일등록!$I111&lt;=90))</f>
        <v>0</v>
      </c>
      <c r="J114" s="6" t="str">
        <f aca="false">IF($I114=FALSE(),"",기념일등록!$I111*1000+ROW())</f>
        <v/>
      </c>
      <c r="K114" s="6" t="str">
        <f aca="false">IF($J114="","",RANK($J114,$J$6:$J$505,1))</f>
        <v/>
      </c>
    </row>
    <row r="115" customFormat="false" ht="15" hidden="false" customHeight="true" outlineLevel="0" collapsed="false">
      <c r="I115" s="26" t="b">
        <f aca="false">IF(기념일등록!$B112="",FALSE(),AND(기념일등록!$I112&gt;=0,기념일등록!$I112&lt;=90))</f>
        <v>0</v>
      </c>
      <c r="J115" s="6" t="str">
        <f aca="false">IF($I115=FALSE(),"",기념일등록!$I112*1000+ROW())</f>
        <v/>
      </c>
      <c r="K115" s="6" t="str">
        <f aca="false">IF($J115="","",RANK($J115,$J$6:$J$505,1))</f>
        <v/>
      </c>
    </row>
    <row r="116" customFormat="false" ht="15" hidden="false" customHeight="true" outlineLevel="0" collapsed="false">
      <c r="I116" s="26" t="b">
        <f aca="false">IF(기념일등록!$B113="",FALSE(),AND(기념일등록!$I113&gt;=0,기념일등록!$I113&lt;=90))</f>
        <v>0</v>
      </c>
      <c r="J116" s="6" t="str">
        <f aca="false">IF($I116=FALSE(),"",기념일등록!$I113*1000+ROW())</f>
        <v/>
      </c>
      <c r="K116" s="6" t="str">
        <f aca="false">IF($J116="","",RANK($J116,$J$6:$J$505,1))</f>
        <v/>
      </c>
    </row>
    <row r="117" customFormat="false" ht="15" hidden="false" customHeight="true" outlineLevel="0" collapsed="false">
      <c r="I117" s="26" t="b">
        <f aca="false">IF(기념일등록!$B114="",FALSE(),AND(기념일등록!$I114&gt;=0,기념일등록!$I114&lt;=90))</f>
        <v>0</v>
      </c>
      <c r="J117" s="6" t="str">
        <f aca="false">IF($I117=FALSE(),"",기념일등록!$I114*1000+ROW())</f>
        <v/>
      </c>
      <c r="K117" s="6" t="str">
        <f aca="false">IF($J117="","",RANK($J117,$J$6:$J$505,1))</f>
        <v/>
      </c>
    </row>
    <row r="118" customFormat="false" ht="15" hidden="false" customHeight="true" outlineLevel="0" collapsed="false">
      <c r="I118" s="26" t="b">
        <f aca="false">IF(기념일등록!$B115="",FALSE(),AND(기념일등록!$I115&gt;=0,기념일등록!$I115&lt;=90))</f>
        <v>0</v>
      </c>
      <c r="J118" s="6" t="str">
        <f aca="false">IF($I118=FALSE(),"",기념일등록!$I115*1000+ROW())</f>
        <v/>
      </c>
      <c r="K118" s="6" t="str">
        <f aca="false">IF($J118="","",RANK($J118,$J$6:$J$505,1))</f>
        <v/>
      </c>
    </row>
    <row r="119" customFormat="false" ht="15" hidden="false" customHeight="true" outlineLevel="0" collapsed="false">
      <c r="I119" s="26" t="b">
        <f aca="false">IF(기념일등록!$B116="",FALSE(),AND(기념일등록!$I116&gt;=0,기념일등록!$I116&lt;=90))</f>
        <v>0</v>
      </c>
      <c r="J119" s="6" t="str">
        <f aca="false">IF($I119=FALSE(),"",기념일등록!$I116*1000+ROW())</f>
        <v/>
      </c>
      <c r="K119" s="6" t="str">
        <f aca="false">IF($J119="","",RANK($J119,$J$6:$J$505,1))</f>
        <v/>
      </c>
    </row>
    <row r="120" customFormat="false" ht="15" hidden="false" customHeight="true" outlineLevel="0" collapsed="false">
      <c r="I120" s="26" t="b">
        <f aca="false">IF(기념일등록!$B117="",FALSE(),AND(기념일등록!$I117&gt;=0,기념일등록!$I117&lt;=90))</f>
        <v>0</v>
      </c>
      <c r="J120" s="6" t="str">
        <f aca="false">IF($I120=FALSE(),"",기념일등록!$I117*1000+ROW())</f>
        <v/>
      </c>
      <c r="K120" s="6" t="str">
        <f aca="false">IF($J120="","",RANK($J120,$J$6:$J$505,1))</f>
        <v/>
      </c>
    </row>
    <row r="121" customFormat="false" ht="15" hidden="false" customHeight="true" outlineLevel="0" collapsed="false">
      <c r="I121" s="26" t="b">
        <f aca="false">IF(기념일등록!$B118="",FALSE(),AND(기념일등록!$I118&gt;=0,기념일등록!$I118&lt;=90))</f>
        <v>0</v>
      </c>
      <c r="J121" s="6" t="str">
        <f aca="false">IF($I121=FALSE(),"",기념일등록!$I118*1000+ROW())</f>
        <v/>
      </c>
      <c r="K121" s="6" t="str">
        <f aca="false">IF($J121="","",RANK($J121,$J$6:$J$505,1))</f>
        <v/>
      </c>
    </row>
    <row r="122" customFormat="false" ht="15" hidden="false" customHeight="true" outlineLevel="0" collapsed="false">
      <c r="I122" s="26" t="b">
        <f aca="false">IF(기념일등록!$B119="",FALSE(),AND(기념일등록!$I119&gt;=0,기념일등록!$I119&lt;=90))</f>
        <v>0</v>
      </c>
      <c r="J122" s="6" t="str">
        <f aca="false">IF($I122=FALSE(),"",기념일등록!$I119*1000+ROW())</f>
        <v/>
      </c>
      <c r="K122" s="6" t="str">
        <f aca="false">IF($J122="","",RANK($J122,$J$6:$J$505,1))</f>
        <v/>
      </c>
    </row>
    <row r="123" customFormat="false" ht="15" hidden="false" customHeight="true" outlineLevel="0" collapsed="false">
      <c r="I123" s="26" t="b">
        <f aca="false">IF(기념일등록!$B120="",FALSE(),AND(기념일등록!$I120&gt;=0,기념일등록!$I120&lt;=90))</f>
        <v>0</v>
      </c>
      <c r="J123" s="6" t="str">
        <f aca="false">IF($I123=FALSE(),"",기념일등록!$I120*1000+ROW())</f>
        <v/>
      </c>
      <c r="K123" s="6" t="str">
        <f aca="false">IF($J123="","",RANK($J123,$J$6:$J$505,1))</f>
        <v/>
      </c>
    </row>
    <row r="124" customFormat="false" ht="15" hidden="false" customHeight="true" outlineLevel="0" collapsed="false">
      <c r="I124" s="26" t="b">
        <f aca="false">IF(기념일등록!$B121="",FALSE(),AND(기념일등록!$I121&gt;=0,기념일등록!$I121&lt;=90))</f>
        <v>0</v>
      </c>
      <c r="J124" s="6" t="str">
        <f aca="false">IF($I124=FALSE(),"",기념일등록!$I121*1000+ROW())</f>
        <v/>
      </c>
      <c r="K124" s="6" t="str">
        <f aca="false">IF($J124="","",RANK($J124,$J$6:$J$505,1))</f>
        <v/>
      </c>
    </row>
    <row r="125" customFormat="false" ht="15" hidden="false" customHeight="true" outlineLevel="0" collapsed="false">
      <c r="I125" s="26" t="b">
        <f aca="false">IF(기념일등록!$B122="",FALSE(),AND(기념일등록!$I122&gt;=0,기념일등록!$I122&lt;=90))</f>
        <v>0</v>
      </c>
      <c r="J125" s="6" t="str">
        <f aca="false">IF($I125=FALSE(),"",기념일등록!$I122*1000+ROW())</f>
        <v/>
      </c>
      <c r="K125" s="6" t="str">
        <f aca="false">IF($J125="","",RANK($J125,$J$6:$J$505,1))</f>
        <v/>
      </c>
    </row>
    <row r="126" customFormat="false" ht="15" hidden="false" customHeight="true" outlineLevel="0" collapsed="false">
      <c r="I126" s="26" t="b">
        <f aca="false">IF(기념일등록!$B123="",FALSE(),AND(기념일등록!$I123&gt;=0,기념일등록!$I123&lt;=90))</f>
        <v>0</v>
      </c>
      <c r="J126" s="6" t="str">
        <f aca="false">IF($I126=FALSE(),"",기념일등록!$I123*1000+ROW())</f>
        <v/>
      </c>
      <c r="K126" s="6" t="str">
        <f aca="false">IF($J126="","",RANK($J126,$J$6:$J$505,1))</f>
        <v/>
      </c>
    </row>
    <row r="127" customFormat="false" ht="15" hidden="false" customHeight="true" outlineLevel="0" collapsed="false">
      <c r="I127" s="26" t="b">
        <f aca="false">IF(기념일등록!$B124="",FALSE(),AND(기념일등록!$I124&gt;=0,기념일등록!$I124&lt;=90))</f>
        <v>0</v>
      </c>
      <c r="J127" s="6" t="str">
        <f aca="false">IF($I127=FALSE(),"",기념일등록!$I124*1000+ROW())</f>
        <v/>
      </c>
      <c r="K127" s="6" t="str">
        <f aca="false">IF($J127="","",RANK($J127,$J$6:$J$505,1))</f>
        <v/>
      </c>
    </row>
    <row r="128" customFormat="false" ht="15" hidden="false" customHeight="true" outlineLevel="0" collapsed="false">
      <c r="I128" s="26" t="b">
        <f aca="false">IF(기념일등록!$B125="",FALSE(),AND(기념일등록!$I125&gt;=0,기념일등록!$I125&lt;=90))</f>
        <v>0</v>
      </c>
      <c r="J128" s="6" t="str">
        <f aca="false">IF($I128=FALSE(),"",기념일등록!$I125*1000+ROW())</f>
        <v/>
      </c>
      <c r="K128" s="6" t="str">
        <f aca="false">IF($J128="","",RANK($J128,$J$6:$J$505,1))</f>
        <v/>
      </c>
    </row>
    <row r="129" customFormat="false" ht="15" hidden="false" customHeight="true" outlineLevel="0" collapsed="false">
      <c r="I129" s="26" t="b">
        <f aca="false">IF(기념일등록!$B126="",FALSE(),AND(기념일등록!$I126&gt;=0,기념일등록!$I126&lt;=90))</f>
        <v>0</v>
      </c>
      <c r="J129" s="6" t="str">
        <f aca="false">IF($I129=FALSE(),"",기념일등록!$I126*1000+ROW())</f>
        <v/>
      </c>
      <c r="K129" s="6" t="str">
        <f aca="false">IF($J129="","",RANK($J129,$J$6:$J$505,1))</f>
        <v/>
      </c>
    </row>
    <row r="130" customFormat="false" ht="15" hidden="false" customHeight="true" outlineLevel="0" collapsed="false">
      <c r="I130" s="26" t="b">
        <f aca="false">IF(기념일등록!$B127="",FALSE(),AND(기념일등록!$I127&gt;=0,기념일등록!$I127&lt;=90))</f>
        <v>0</v>
      </c>
      <c r="J130" s="6" t="str">
        <f aca="false">IF($I130=FALSE(),"",기념일등록!$I127*1000+ROW())</f>
        <v/>
      </c>
      <c r="K130" s="6" t="str">
        <f aca="false">IF($J130="","",RANK($J130,$J$6:$J$505,1))</f>
        <v/>
      </c>
    </row>
    <row r="131" customFormat="false" ht="15" hidden="false" customHeight="true" outlineLevel="0" collapsed="false">
      <c r="I131" s="26" t="b">
        <f aca="false">IF(기념일등록!$B128="",FALSE(),AND(기념일등록!$I128&gt;=0,기념일등록!$I128&lt;=90))</f>
        <v>0</v>
      </c>
      <c r="J131" s="6" t="str">
        <f aca="false">IF($I131=FALSE(),"",기념일등록!$I128*1000+ROW())</f>
        <v/>
      </c>
      <c r="K131" s="6" t="str">
        <f aca="false">IF($J131="","",RANK($J131,$J$6:$J$505,1))</f>
        <v/>
      </c>
    </row>
    <row r="132" customFormat="false" ht="15" hidden="false" customHeight="true" outlineLevel="0" collapsed="false">
      <c r="I132" s="26" t="b">
        <f aca="false">IF(기념일등록!$B129="",FALSE(),AND(기념일등록!$I129&gt;=0,기념일등록!$I129&lt;=90))</f>
        <v>0</v>
      </c>
      <c r="J132" s="6" t="str">
        <f aca="false">IF($I132=FALSE(),"",기념일등록!$I129*1000+ROW())</f>
        <v/>
      </c>
      <c r="K132" s="6" t="str">
        <f aca="false">IF($J132="","",RANK($J132,$J$6:$J$505,1))</f>
        <v/>
      </c>
    </row>
    <row r="133" customFormat="false" ht="15" hidden="false" customHeight="true" outlineLevel="0" collapsed="false">
      <c r="I133" s="26" t="b">
        <f aca="false">IF(기념일등록!$B130="",FALSE(),AND(기념일등록!$I130&gt;=0,기념일등록!$I130&lt;=90))</f>
        <v>0</v>
      </c>
      <c r="J133" s="6" t="str">
        <f aca="false">IF($I133=FALSE(),"",기념일등록!$I130*1000+ROW())</f>
        <v/>
      </c>
      <c r="K133" s="6" t="str">
        <f aca="false">IF($J133="","",RANK($J133,$J$6:$J$505,1))</f>
        <v/>
      </c>
    </row>
    <row r="134" customFormat="false" ht="15" hidden="false" customHeight="true" outlineLevel="0" collapsed="false">
      <c r="I134" s="26" t="b">
        <f aca="false">IF(기념일등록!$B131="",FALSE(),AND(기념일등록!$I131&gt;=0,기념일등록!$I131&lt;=90))</f>
        <v>0</v>
      </c>
      <c r="J134" s="6" t="str">
        <f aca="false">IF($I134=FALSE(),"",기념일등록!$I131*1000+ROW())</f>
        <v/>
      </c>
      <c r="K134" s="6" t="str">
        <f aca="false">IF($J134="","",RANK($J134,$J$6:$J$505,1))</f>
        <v/>
      </c>
    </row>
    <row r="135" customFormat="false" ht="15" hidden="false" customHeight="true" outlineLevel="0" collapsed="false">
      <c r="I135" s="26" t="b">
        <f aca="false">IF(기념일등록!$B132="",FALSE(),AND(기념일등록!$I132&gt;=0,기념일등록!$I132&lt;=90))</f>
        <v>0</v>
      </c>
      <c r="J135" s="6" t="str">
        <f aca="false">IF($I135=FALSE(),"",기념일등록!$I132*1000+ROW())</f>
        <v/>
      </c>
      <c r="K135" s="6" t="str">
        <f aca="false">IF($J135="","",RANK($J135,$J$6:$J$505,1))</f>
        <v/>
      </c>
    </row>
    <row r="136" customFormat="false" ht="15" hidden="false" customHeight="true" outlineLevel="0" collapsed="false">
      <c r="I136" s="26" t="b">
        <f aca="false">IF(기념일등록!$B133="",FALSE(),AND(기념일등록!$I133&gt;=0,기념일등록!$I133&lt;=90))</f>
        <v>0</v>
      </c>
      <c r="J136" s="6" t="str">
        <f aca="false">IF($I136=FALSE(),"",기념일등록!$I133*1000+ROW())</f>
        <v/>
      </c>
      <c r="K136" s="6" t="str">
        <f aca="false">IF($J136="","",RANK($J136,$J$6:$J$505,1))</f>
        <v/>
      </c>
    </row>
    <row r="137" customFormat="false" ht="15" hidden="false" customHeight="true" outlineLevel="0" collapsed="false">
      <c r="I137" s="26" t="b">
        <f aca="false">IF(기념일등록!$B134="",FALSE(),AND(기념일등록!$I134&gt;=0,기념일등록!$I134&lt;=90))</f>
        <v>0</v>
      </c>
      <c r="J137" s="6" t="str">
        <f aca="false">IF($I137=FALSE(),"",기념일등록!$I134*1000+ROW())</f>
        <v/>
      </c>
      <c r="K137" s="6" t="str">
        <f aca="false">IF($J137="","",RANK($J137,$J$6:$J$505,1))</f>
        <v/>
      </c>
    </row>
    <row r="138" customFormat="false" ht="15" hidden="false" customHeight="true" outlineLevel="0" collapsed="false">
      <c r="I138" s="26" t="b">
        <f aca="false">IF(기념일등록!$B135="",FALSE(),AND(기념일등록!$I135&gt;=0,기념일등록!$I135&lt;=90))</f>
        <v>0</v>
      </c>
      <c r="J138" s="6" t="str">
        <f aca="false">IF($I138=FALSE(),"",기념일등록!$I135*1000+ROW())</f>
        <v/>
      </c>
      <c r="K138" s="6" t="str">
        <f aca="false">IF($J138="","",RANK($J138,$J$6:$J$505,1))</f>
        <v/>
      </c>
    </row>
    <row r="139" customFormat="false" ht="15" hidden="false" customHeight="true" outlineLevel="0" collapsed="false">
      <c r="I139" s="26" t="b">
        <f aca="false">IF(기념일등록!$B136="",FALSE(),AND(기념일등록!$I136&gt;=0,기념일등록!$I136&lt;=90))</f>
        <v>0</v>
      </c>
      <c r="J139" s="6" t="str">
        <f aca="false">IF($I139=FALSE(),"",기념일등록!$I136*1000+ROW())</f>
        <v/>
      </c>
      <c r="K139" s="6" t="str">
        <f aca="false">IF($J139="","",RANK($J139,$J$6:$J$505,1))</f>
        <v/>
      </c>
    </row>
    <row r="140" customFormat="false" ht="15" hidden="false" customHeight="true" outlineLevel="0" collapsed="false">
      <c r="I140" s="26" t="b">
        <f aca="false">IF(기념일등록!$B137="",FALSE(),AND(기념일등록!$I137&gt;=0,기념일등록!$I137&lt;=90))</f>
        <v>0</v>
      </c>
      <c r="J140" s="6" t="str">
        <f aca="false">IF($I140=FALSE(),"",기념일등록!$I137*1000+ROW())</f>
        <v/>
      </c>
      <c r="K140" s="6" t="str">
        <f aca="false">IF($J140="","",RANK($J140,$J$6:$J$505,1))</f>
        <v/>
      </c>
    </row>
    <row r="141" customFormat="false" ht="15" hidden="false" customHeight="true" outlineLevel="0" collapsed="false">
      <c r="I141" s="26" t="b">
        <f aca="false">IF(기념일등록!$B138="",FALSE(),AND(기념일등록!$I138&gt;=0,기념일등록!$I138&lt;=90))</f>
        <v>0</v>
      </c>
      <c r="J141" s="6" t="str">
        <f aca="false">IF($I141=FALSE(),"",기념일등록!$I138*1000+ROW())</f>
        <v/>
      </c>
      <c r="K141" s="6" t="str">
        <f aca="false">IF($J141="","",RANK($J141,$J$6:$J$505,1))</f>
        <v/>
      </c>
    </row>
    <row r="142" customFormat="false" ht="15" hidden="false" customHeight="true" outlineLevel="0" collapsed="false">
      <c r="I142" s="26" t="b">
        <f aca="false">IF(기념일등록!$B139="",FALSE(),AND(기념일등록!$I139&gt;=0,기념일등록!$I139&lt;=90))</f>
        <v>0</v>
      </c>
      <c r="J142" s="6" t="str">
        <f aca="false">IF($I142=FALSE(),"",기념일등록!$I139*1000+ROW())</f>
        <v/>
      </c>
      <c r="K142" s="6" t="str">
        <f aca="false">IF($J142="","",RANK($J142,$J$6:$J$505,1))</f>
        <v/>
      </c>
    </row>
    <row r="143" customFormat="false" ht="15" hidden="false" customHeight="true" outlineLevel="0" collapsed="false">
      <c r="I143" s="26" t="b">
        <f aca="false">IF(기념일등록!$B140="",FALSE(),AND(기념일등록!$I140&gt;=0,기념일등록!$I140&lt;=90))</f>
        <v>0</v>
      </c>
      <c r="J143" s="6" t="str">
        <f aca="false">IF($I143=FALSE(),"",기념일등록!$I140*1000+ROW())</f>
        <v/>
      </c>
      <c r="K143" s="6" t="str">
        <f aca="false">IF($J143="","",RANK($J143,$J$6:$J$505,1))</f>
        <v/>
      </c>
    </row>
    <row r="144" customFormat="false" ht="15" hidden="false" customHeight="true" outlineLevel="0" collapsed="false">
      <c r="I144" s="26" t="b">
        <f aca="false">IF(기념일등록!$B141="",FALSE(),AND(기념일등록!$I141&gt;=0,기념일등록!$I141&lt;=90))</f>
        <v>0</v>
      </c>
      <c r="J144" s="6" t="str">
        <f aca="false">IF($I144=FALSE(),"",기념일등록!$I141*1000+ROW())</f>
        <v/>
      </c>
      <c r="K144" s="6" t="str">
        <f aca="false">IF($J144="","",RANK($J144,$J$6:$J$505,1))</f>
        <v/>
      </c>
    </row>
    <row r="145" customFormat="false" ht="15" hidden="false" customHeight="true" outlineLevel="0" collapsed="false">
      <c r="I145" s="26" t="b">
        <f aca="false">IF(기념일등록!$B142="",FALSE(),AND(기념일등록!$I142&gt;=0,기념일등록!$I142&lt;=90))</f>
        <v>0</v>
      </c>
      <c r="J145" s="6" t="str">
        <f aca="false">IF($I145=FALSE(),"",기념일등록!$I142*1000+ROW())</f>
        <v/>
      </c>
      <c r="K145" s="6" t="str">
        <f aca="false">IF($J145="","",RANK($J145,$J$6:$J$505,1))</f>
        <v/>
      </c>
    </row>
    <row r="146" customFormat="false" ht="15" hidden="false" customHeight="true" outlineLevel="0" collapsed="false">
      <c r="I146" s="26" t="b">
        <f aca="false">IF(기념일등록!$B143="",FALSE(),AND(기념일등록!$I143&gt;=0,기념일등록!$I143&lt;=90))</f>
        <v>0</v>
      </c>
      <c r="J146" s="6" t="str">
        <f aca="false">IF($I146=FALSE(),"",기념일등록!$I143*1000+ROW())</f>
        <v/>
      </c>
      <c r="K146" s="6" t="str">
        <f aca="false">IF($J146="","",RANK($J146,$J$6:$J$505,1))</f>
        <v/>
      </c>
    </row>
    <row r="147" customFormat="false" ht="15" hidden="false" customHeight="true" outlineLevel="0" collapsed="false">
      <c r="I147" s="26" t="b">
        <f aca="false">IF(기념일등록!$B144="",FALSE(),AND(기념일등록!$I144&gt;=0,기념일등록!$I144&lt;=90))</f>
        <v>0</v>
      </c>
      <c r="J147" s="6" t="str">
        <f aca="false">IF($I147=FALSE(),"",기념일등록!$I144*1000+ROW())</f>
        <v/>
      </c>
      <c r="K147" s="6" t="str">
        <f aca="false">IF($J147="","",RANK($J147,$J$6:$J$505,1))</f>
        <v/>
      </c>
    </row>
    <row r="148" customFormat="false" ht="15" hidden="false" customHeight="true" outlineLevel="0" collapsed="false">
      <c r="I148" s="26" t="b">
        <f aca="false">IF(기념일등록!$B145="",FALSE(),AND(기념일등록!$I145&gt;=0,기념일등록!$I145&lt;=90))</f>
        <v>0</v>
      </c>
      <c r="J148" s="6" t="str">
        <f aca="false">IF($I148=FALSE(),"",기념일등록!$I145*1000+ROW())</f>
        <v/>
      </c>
      <c r="K148" s="6" t="str">
        <f aca="false">IF($J148="","",RANK($J148,$J$6:$J$505,1))</f>
        <v/>
      </c>
    </row>
    <row r="149" customFormat="false" ht="15" hidden="false" customHeight="true" outlineLevel="0" collapsed="false">
      <c r="I149" s="26" t="b">
        <f aca="false">IF(기념일등록!$B146="",FALSE(),AND(기념일등록!$I146&gt;=0,기념일등록!$I146&lt;=90))</f>
        <v>0</v>
      </c>
      <c r="J149" s="6" t="str">
        <f aca="false">IF($I149=FALSE(),"",기념일등록!$I146*1000+ROW())</f>
        <v/>
      </c>
      <c r="K149" s="6" t="str">
        <f aca="false">IF($J149="","",RANK($J149,$J$6:$J$505,1))</f>
        <v/>
      </c>
    </row>
    <row r="150" customFormat="false" ht="15" hidden="false" customHeight="true" outlineLevel="0" collapsed="false">
      <c r="I150" s="26" t="b">
        <f aca="false">IF(기념일등록!$B147="",FALSE(),AND(기념일등록!$I147&gt;=0,기념일등록!$I147&lt;=90))</f>
        <v>0</v>
      </c>
      <c r="J150" s="6" t="str">
        <f aca="false">IF($I150=FALSE(),"",기념일등록!$I147*1000+ROW())</f>
        <v/>
      </c>
      <c r="K150" s="6" t="str">
        <f aca="false">IF($J150="","",RANK($J150,$J$6:$J$505,1))</f>
        <v/>
      </c>
    </row>
    <row r="151" customFormat="false" ht="15" hidden="false" customHeight="true" outlineLevel="0" collapsed="false">
      <c r="I151" s="26" t="b">
        <f aca="false">IF(기념일등록!$B148="",FALSE(),AND(기념일등록!$I148&gt;=0,기념일등록!$I148&lt;=90))</f>
        <v>0</v>
      </c>
      <c r="J151" s="6" t="str">
        <f aca="false">IF($I151=FALSE(),"",기념일등록!$I148*1000+ROW())</f>
        <v/>
      </c>
      <c r="K151" s="6" t="str">
        <f aca="false">IF($J151="","",RANK($J151,$J$6:$J$505,1))</f>
        <v/>
      </c>
    </row>
    <row r="152" customFormat="false" ht="15" hidden="false" customHeight="true" outlineLevel="0" collapsed="false">
      <c r="I152" s="26" t="b">
        <f aca="false">IF(기념일등록!$B149="",FALSE(),AND(기념일등록!$I149&gt;=0,기념일등록!$I149&lt;=90))</f>
        <v>0</v>
      </c>
      <c r="J152" s="6" t="str">
        <f aca="false">IF($I152=FALSE(),"",기념일등록!$I149*1000+ROW())</f>
        <v/>
      </c>
      <c r="K152" s="6" t="str">
        <f aca="false">IF($J152="","",RANK($J152,$J$6:$J$505,1))</f>
        <v/>
      </c>
    </row>
    <row r="153" customFormat="false" ht="15" hidden="false" customHeight="true" outlineLevel="0" collapsed="false">
      <c r="I153" s="26" t="b">
        <f aca="false">IF(기념일등록!$B150="",FALSE(),AND(기념일등록!$I150&gt;=0,기념일등록!$I150&lt;=90))</f>
        <v>0</v>
      </c>
      <c r="J153" s="6" t="str">
        <f aca="false">IF($I153=FALSE(),"",기념일등록!$I150*1000+ROW())</f>
        <v/>
      </c>
      <c r="K153" s="6" t="str">
        <f aca="false">IF($J153="","",RANK($J153,$J$6:$J$505,1))</f>
        <v/>
      </c>
    </row>
    <row r="154" customFormat="false" ht="15" hidden="false" customHeight="true" outlineLevel="0" collapsed="false">
      <c r="I154" s="26" t="b">
        <f aca="false">IF(기념일등록!$B151="",FALSE(),AND(기념일등록!$I151&gt;=0,기념일등록!$I151&lt;=90))</f>
        <v>0</v>
      </c>
      <c r="J154" s="6" t="str">
        <f aca="false">IF($I154=FALSE(),"",기념일등록!$I151*1000+ROW())</f>
        <v/>
      </c>
      <c r="K154" s="6" t="str">
        <f aca="false">IF($J154="","",RANK($J154,$J$6:$J$505,1))</f>
        <v/>
      </c>
    </row>
    <row r="155" customFormat="false" ht="15" hidden="false" customHeight="true" outlineLevel="0" collapsed="false">
      <c r="I155" s="26" t="b">
        <f aca="false">IF(기념일등록!$B152="",FALSE(),AND(기념일등록!$I152&gt;=0,기념일등록!$I152&lt;=90))</f>
        <v>0</v>
      </c>
      <c r="J155" s="6" t="str">
        <f aca="false">IF($I155=FALSE(),"",기념일등록!$I152*1000+ROW())</f>
        <v/>
      </c>
      <c r="K155" s="6" t="str">
        <f aca="false">IF($J155="","",RANK($J155,$J$6:$J$505,1))</f>
        <v/>
      </c>
    </row>
    <row r="156" customFormat="false" ht="15" hidden="false" customHeight="true" outlineLevel="0" collapsed="false">
      <c r="I156" s="26" t="b">
        <f aca="false">IF(기념일등록!$B153="",FALSE(),AND(기념일등록!$I153&gt;=0,기념일등록!$I153&lt;=90))</f>
        <v>0</v>
      </c>
      <c r="J156" s="6" t="str">
        <f aca="false">IF($I156=FALSE(),"",기념일등록!$I153*1000+ROW())</f>
        <v/>
      </c>
      <c r="K156" s="6" t="str">
        <f aca="false">IF($J156="","",RANK($J156,$J$6:$J$505,1))</f>
        <v/>
      </c>
    </row>
    <row r="157" customFormat="false" ht="15" hidden="false" customHeight="true" outlineLevel="0" collapsed="false">
      <c r="I157" s="26" t="b">
        <f aca="false">IF(기념일등록!$B154="",FALSE(),AND(기념일등록!$I154&gt;=0,기념일등록!$I154&lt;=90))</f>
        <v>0</v>
      </c>
      <c r="J157" s="6" t="str">
        <f aca="false">IF($I157=FALSE(),"",기념일등록!$I154*1000+ROW())</f>
        <v/>
      </c>
      <c r="K157" s="6" t="str">
        <f aca="false">IF($J157="","",RANK($J157,$J$6:$J$505,1))</f>
        <v/>
      </c>
    </row>
    <row r="158" customFormat="false" ht="15" hidden="false" customHeight="true" outlineLevel="0" collapsed="false">
      <c r="I158" s="26" t="b">
        <f aca="false">IF(기념일등록!$B155="",FALSE(),AND(기념일등록!$I155&gt;=0,기념일등록!$I155&lt;=90))</f>
        <v>0</v>
      </c>
      <c r="J158" s="6" t="str">
        <f aca="false">IF($I158=FALSE(),"",기념일등록!$I155*1000+ROW())</f>
        <v/>
      </c>
      <c r="K158" s="6" t="str">
        <f aca="false">IF($J158="","",RANK($J158,$J$6:$J$505,1))</f>
        <v/>
      </c>
    </row>
    <row r="159" customFormat="false" ht="15" hidden="false" customHeight="true" outlineLevel="0" collapsed="false">
      <c r="I159" s="26" t="b">
        <f aca="false">IF(기념일등록!$B156="",FALSE(),AND(기념일등록!$I156&gt;=0,기념일등록!$I156&lt;=90))</f>
        <v>0</v>
      </c>
      <c r="J159" s="6" t="str">
        <f aca="false">IF($I159=FALSE(),"",기념일등록!$I156*1000+ROW())</f>
        <v/>
      </c>
      <c r="K159" s="6" t="str">
        <f aca="false">IF($J159="","",RANK($J159,$J$6:$J$505,1))</f>
        <v/>
      </c>
    </row>
    <row r="160" customFormat="false" ht="15" hidden="false" customHeight="true" outlineLevel="0" collapsed="false">
      <c r="I160" s="26" t="b">
        <f aca="false">IF(기념일등록!$B157="",FALSE(),AND(기념일등록!$I157&gt;=0,기념일등록!$I157&lt;=90))</f>
        <v>0</v>
      </c>
      <c r="J160" s="6" t="str">
        <f aca="false">IF($I160=FALSE(),"",기념일등록!$I157*1000+ROW())</f>
        <v/>
      </c>
      <c r="K160" s="6" t="str">
        <f aca="false">IF($J160="","",RANK($J160,$J$6:$J$505,1))</f>
        <v/>
      </c>
    </row>
    <row r="161" customFormat="false" ht="15" hidden="false" customHeight="true" outlineLevel="0" collapsed="false">
      <c r="I161" s="26" t="b">
        <f aca="false">IF(기념일등록!$B158="",FALSE(),AND(기념일등록!$I158&gt;=0,기념일등록!$I158&lt;=90))</f>
        <v>0</v>
      </c>
      <c r="J161" s="6" t="str">
        <f aca="false">IF($I161=FALSE(),"",기념일등록!$I158*1000+ROW())</f>
        <v/>
      </c>
      <c r="K161" s="6" t="str">
        <f aca="false">IF($J161="","",RANK($J161,$J$6:$J$505,1))</f>
        <v/>
      </c>
    </row>
    <row r="162" customFormat="false" ht="15" hidden="false" customHeight="true" outlineLevel="0" collapsed="false">
      <c r="I162" s="26" t="b">
        <f aca="false">IF(기념일등록!$B159="",FALSE(),AND(기념일등록!$I159&gt;=0,기념일등록!$I159&lt;=90))</f>
        <v>0</v>
      </c>
      <c r="J162" s="6" t="str">
        <f aca="false">IF($I162=FALSE(),"",기념일등록!$I159*1000+ROW())</f>
        <v/>
      </c>
      <c r="K162" s="6" t="str">
        <f aca="false">IF($J162="","",RANK($J162,$J$6:$J$505,1))</f>
        <v/>
      </c>
    </row>
    <row r="163" customFormat="false" ht="15" hidden="false" customHeight="true" outlineLevel="0" collapsed="false">
      <c r="I163" s="26" t="b">
        <f aca="false">IF(기념일등록!$B160="",FALSE(),AND(기념일등록!$I160&gt;=0,기념일등록!$I160&lt;=90))</f>
        <v>0</v>
      </c>
      <c r="J163" s="6" t="str">
        <f aca="false">IF($I163=FALSE(),"",기념일등록!$I160*1000+ROW())</f>
        <v/>
      </c>
      <c r="K163" s="6" t="str">
        <f aca="false">IF($J163="","",RANK($J163,$J$6:$J$505,1))</f>
        <v/>
      </c>
    </row>
    <row r="164" customFormat="false" ht="15" hidden="false" customHeight="true" outlineLevel="0" collapsed="false">
      <c r="I164" s="26" t="b">
        <f aca="false">IF(기념일등록!$B161="",FALSE(),AND(기념일등록!$I161&gt;=0,기념일등록!$I161&lt;=90))</f>
        <v>0</v>
      </c>
      <c r="J164" s="6" t="str">
        <f aca="false">IF($I164=FALSE(),"",기념일등록!$I161*1000+ROW())</f>
        <v/>
      </c>
      <c r="K164" s="6" t="str">
        <f aca="false">IF($J164="","",RANK($J164,$J$6:$J$505,1))</f>
        <v/>
      </c>
    </row>
    <row r="165" customFormat="false" ht="15" hidden="false" customHeight="true" outlineLevel="0" collapsed="false">
      <c r="I165" s="26" t="b">
        <f aca="false">IF(기념일등록!$B162="",FALSE(),AND(기념일등록!$I162&gt;=0,기념일등록!$I162&lt;=90))</f>
        <v>0</v>
      </c>
      <c r="J165" s="6" t="str">
        <f aca="false">IF($I165=FALSE(),"",기념일등록!$I162*1000+ROW())</f>
        <v/>
      </c>
      <c r="K165" s="6" t="str">
        <f aca="false">IF($J165="","",RANK($J165,$J$6:$J$505,1))</f>
        <v/>
      </c>
    </row>
    <row r="166" customFormat="false" ht="15" hidden="false" customHeight="true" outlineLevel="0" collapsed="false">
      <c r="I166" s="26" t="b">
        <f aca="false">IF(기념일등록!$B163="",FALSE(),AND(기념일등록!$I163&gt;=0,기념일등록!$I163&lt;=90))</f>
        <v>0</v>
      </c>
      <c r="J166" s="6" t="str">
        <f aca="false">IF($I166=FALSE(),"",기념일등록!$I163*1000+ROW())</f>
        <v/>
      </c>
      <c r="K166" s="6" t="str">
        <f aca="false">IF($J166="","",RANK($J166,$J$6:$J$505,1))</f>
        <v/>
      </c>
    </row>
    <row r="167" customFormat="false" ht="15" hidden="false" customHeight="true" outlineLevel="0" collapsed="false">
      <c r="I167" s="26" t="b">
        <f aca="false">IF(기념일등록!$B164="",FALSE(),AND(기념일등록!$I164&gt;=0,기념일등록!$I164&lt;=90))</f>
        <v>0</v>
      </c>
      <c r="J167" s="6" t="str">
        <f aca="false">IF($I167=FALSE(),"",기념일등록!$I164*1000+ROW())</f>
        <v/>
      </c>
      <c r="K167" s="6" t="str">
        <f aca="false">IF($J167="","",RANK($J167,$J$6:$J$505,1))</f>
        <v/>
      </c>
    </row>
    <row r="168" customFormat="false" ht="15" hidden="false" customHeight="true" outlineLevel="0" collapsed="false">
      <c r="I168" s="26" t="b">
        <f aca="false">IF(기념일등록!$B165="",FALSE(),AND(기념일등록!$I165&gt;=0,기념일등록!$I165&lt;=90))</f>
        <v>0</v>
      </c>
      <c r="J168" s="6" t="str">
        <f aca="false">IF($I168=FALSE(),"",기념일등록!$I165*1000+ROW())</f>
        <v/>
      </c>
      <c r="K168" s="6" t="str">
        <f aca="false">IF($J168="","",RANK($J168,$J$6:$J$505,1))</f>
        <v/>
      </c>
    </row>
    <row r="169" customFormat="false" ht="15" hidden="false" customHeight="true" outlineLevel="0" collapsed="false">
      <c r="I169" s="26" t="b">
        <f aca="false">IF(기념일등록!$B166="",FALSE(),AND(기념일등록!$I166&gt;=0,기념일등록!$I166&lt;=90))</f>
        <v>0</v>
      </c>
      <c r="J169" s="6" t="str">
        <f aca="false">IF($I169=FALSE(),"",기념일등록!$I166*1000+ROW())</f>
        <v/>
      </c>
      <c r="K169" s="6" t="str">
        <f aca="false">IF($J169="","",RANK($J169,$J$6:$J$505,1))</f>
        <v/>
      </c>
    </row>
    <row r="170" customFormat="false" ht="15" hidden="false" customHeight="true" outlineLevel="0" collapsed="false">
      <c r="I170" s="26" t="b">
        <f aca="false">IF(기념일등록!$B167="",FALSE(),AND(기념일등록!$I167&gt;=0,기념일등록!$I167&lt;=90))</f>
        <v>0</v>
      </c>
      <c r="J170" s="6" t="str">
        <f aca="false">IF($I170=FALSE(),"",기념일등록!$I167*1000+ROW())</f>
        <v/>
      </c>
      <c r="K170" s="6" t="str">
        <f aca="false">IF($J170="","",RANK($J170,$J$6:$J$505,1))</f>
        <v/>
      </c>
    </row>
    <row r="171" customFormat="false" ht="15" hidden="false" customHeight="true" outlineLevel="0" collapsed="false">
      <c r="I171" s="26" t="b">
        <f aca="false">IF(기념일등록!$B168="",FALSE(),AND(기념일등록!$I168&gt;=0,기념일등록!$I168&lt;=90))</f>
        <v>0</v>
      </c>
      <c r="J171" s="6" t="str">
        <f aca="false">IF($I171=FALSE(),"",기념일등록!$I168*1000+ROW())</f>
        <v/>
      </c>
      <c r="K171" s="6" t="str">
        <f aca="false">IF($J171="","",RANK($J171,$J$6:$J$505,1))</f>
        <v/>
      </c>
    </row>
    <row r="172" customFormat="false" ht="15" hidden="false" customHeight="true" outlineLevel="0" collapsed="false">
      <c r="I172" s="26" t="b">
        <f aca="false">IF(기념일등록!$B169="",FALSE(),AND(기념일등록!$I169&gt;=0,기념일등록!$I169&lt;=90))</f>
        <v>0</v>
      </c>
      <c r="J172" s="6" t="str">
        <f aca="false">IF($I172=FALSE(),"",기념일등록!$I169*1000+ROW())</f>
        <v/>
      </c>
      <c r="K172" s="6" t="str">
        <f aca="false">IF($J172="","",RANK($J172,$J$6:$J$505,1))</f>
        <v/>
      </c>
    </row>
    <row r="173" customFormat="false" ht="15" hidden="false" customHeight="true" outlineLevel="0" collapsed="false">
      <c r="I173" s="26" t="b">
        <f aca="false">IF(기념일등록!$B170="",FALSE(),AND(기념일등록!$I170&gt;=0,기념일등록!$I170&lt;=90))</f>
        <v>0</v>
      </c>
      <c r="J173" s="6" t="str">
        <f aca="false">IF($I173=FALSE(),"",기념일등록!$I170*1000+ROW())</f>
        <v/>
      </c>
      <c r="K173" s="6" t="str">
        <f aca="false">IF($J173="","",RANK($J173,$J$6:$J$505,1))</f>
        <v/>
      </c>
    </row>
    <row r="174" customFormat="false" ht="15" hidden="false" customHeight="true" outlineLevel="0" collapsed="false">
      <c r="I174" s="26" t="b">
        <f aca="false">IF(기념일등록!$B171="",FALSE(),AND(기념일등록!$I171&gt;=0,기념일등록!$I171&lt;=90))</f>
        <v>0</v>
      </c>
      <c r="J174" s="6" t="str">
        <f aca="false">IF($I174=FALSE(),"",기념일등록!$I171*1000+ROW())</f>
        <v/>
      </c>
      <c r="K174" s="6" t="str">
        <f aca="false">IF($J174="","",RANK($J174,$J$6:$J$505,1))</f>
        <v/>
      </c>
    </row>
    <row r="175" customFormat="false" ht="15" hidden="false" customHeight="true" outlineLevel="0" collapsed="false">
      <c r="I175" s="26" t="b">
        <f aca="false">IF(기념일등록!$B172="",FALSE(),AND(기념일등록!$I172&gt;=0,기념일등록!$I172&lt;=90))</f>
        <v>0</v>
      </c>
      <c r="J175" s="6" t="str">
        <f aca="false">IF($I175=FALSE(),"",기념일등록!$I172*1000+ROW())</f>
        <v/>
      </c>
      <c r="K175" s="6" t="str">
        <f aca="false">IF($J175="","",RANK($J175,$J$6:$J$505,1))</f>
        <v/>
      </c>
    </row>
    <row r="176" customFormat="false" ht="15" hidden="false" customHeight="true" outlineLevel="0" collapsed="false">
      <c r="I176" s="26" t="b">
        <f aca="false">IF(기념일등록!$B173="",FALSE(),AND(기념일등록!$I173&gt;=0,기념일등록!$I173&lt;=90))</f>
        <v>0</v>
      </c>
      <c r="J176" s="6" t="str">
        <f aca="false">IF($I176=FALSE(),"",기념일등록!$I173*1000+ROW())</f>
        <v/>
      </c>
      <c r="K176" s="6" t="str">
        <f aca="false">IF($J176="","",RANK($J176,$J$6:$J$505,1))</f>
        <v/>
      </c>
    </row>
    <row r="177" customFormat="false" ht="15" hidden="false" customHeight="true" outlineLevel="0" collapsed="false">
      <c r="I177" s="26" t="b">
        <f aca="false">IF(기념일등록!$B174="",FALSE(),AND(기념일등록!$I174&gt;=0,기념일등록!$I174&lt;=90))</f>
        <v>0</v>
      </c>
      <c r="J177" s="6" t="str">
        <f aca="false">IF($I177=FALSE(),"",기념일등록!$I174*1000+ROW())</f>
        <v/>
      </c>
      <c r="K177" s="6" t="str">
        <f aca="false">IF($J177="","",RANK($J177,$J$6:$J$505,1))</f>
        <v/>
      </c>
    </row>
    <row r="178" customFormat="false" ht="15" hidden="false" customHeight="true" outlineLevel="0" collapsed="false">
      <c r="I178" s="26" t="b">
        <f aca="false">IF(기념일등록!$B175="",FALSE(),AND(기념일등록!$I175&gt;=0,기념일등록!$I175&lt;=90))</f>
        <v>0</v>
      </c>
      <c r="J178" s="6" t="str">
        <f aca="false">IF($I178=FALSE(),"",기념일등록!$I175*1000+ROW())</f>
        <v/>
      </c>
      <c r="K178" s="6" t="str">
        <f aca="false">IF($J178="","",RANK($J178,$J$6:$J$505,1))</f>
        <v/>
      </c>
    </row>
    <row r="179" customFormat="false" ht="15" hidden="false" customHeight="true" outlineLevel="0" collapsed="false">
      <c r="I179" s="26" t="b">
        <f aca="false">IF(기념일등록!$B176="",FALSE(),AND(기념일등록!$I176&gt;=0,기념일등록!$I176&lt;=90))</f>
        <v>0</v>
      </c>
      <c r="J179" s="6" t="str">
        <f aca="false">IF($I179=FALSE(),"",기념일등록!$I176*1000+ROW())</f>
        <v/>
      </c>
      <c r="K179" s="6" t="str">
        <f aca="false">IF($J179="","",RANK($J179,$J$6:$J$505,1))</f>
        <v/>
      </c>
    </row>
    <row r="180" customFormat="false" ht="15" hidden="false" customHeight="true" outlineLevel="0" collapsed="false">
      <c r="I180" s="26" t="b">
        <f aca="false">IF(기념일등록!$B177="",FALSE(),AND(기념일등록!$I177&gt;=0,기념일등록!$I177&lt;=90))</f>
        <v>0</v>
      </c>
      <c r="J180" s="6" t="str">
        <f aca="false">IF($I180=FALSE(),"",기념일등록!$I177*1000+ROW())</f>
        <v/>
      </c>
      <c r="K180" s="6" t="str">
        <f aca="false">IF($J180="","",RANK($J180,$J$6:$J$505,1))</f>
        <v/>
      </c>
    </row>
    <row r="181" customFormat="false" ht="15" hidden="false" customHeight="true" outlineLevel="0" collapsed="false">
      <c r="I181" s="26" t="b">
        <f aca="false">IF(기념일등록!$B178="",FALSE(),AND(기념일등록!$I178&gt;=0,기념일등록!$I178&lt;=90))</f>
        <v>0</v>
      </c>
      <c r="J181" s="6" t="str">
        <f aca="false">IF($I181=FALSE(),"",기념일등록!$I178*1000+ROW())</f>
        <v/>
      </c>
      <c r="K181" s="6" t="str">
        <f aca="false">IF($J181="","",RANK($J181,$J$6:$J$505,1))</f>
        <v/>
      </c>
    </row>
    <row r="182" customFormat="false" ht="15" hidden="false" customHeight="true" outlineLevel="0" collapsed="false">
      <c r="I182" s="26" t="b">
        <f aca="false">IF(기념일등록!$B179="",FALSE(),AND(기념일등록!$I179&gt;=0,기념일등록!$I179&lt;=90))</f>
        <v>0</v>
      </c>
      <c r="J182" s="6" t="str">
        <f aca="false">IF($I182=FALSE(),"",기념일등록!$I179*1000+ROW())</f>
        <v/>
      </c>
      <c r="K182" s="6" t="str">
        <f aca="false">IF($J182="","",RANK($J182,$J$6:$J$505,1))</f>
        <v/>
      </c>
    </row>
    <row r="183" customFormat="false" ht="15" hidden="false" customHeight="true" outlineLevel="0" collapsed="false">
      <c r="I183" s="26" t="b">
        <f aca="false">IF(기념일등록!$B180="",FALSE(),AND(기념일등록!$I180&gt;=0,기념일등록!$I180&lt;=90))</f>
        <v>0</v>
      </c>
      <c r="J183" s="6" t="str">
        <f aca="false">IF($I183=FALSE(),"",기념일등록!$I180*1000+ROW())</f>
        <v/>
      </c>
      <c r="K183" s="6" t="str">
        <f aca="false">IF($J183="","",RANK($J183,$J$6:$J$505,1))</f>
        <v/>
      </c>
    </row>
    <row r="184" customFormat="false" ht="15" hidden="false" customHeight="true" outlineLevel="0" collapsed="false">
      <c r="I184" s="26" t="b">
        <f aca="false">IF(기념일등록!$B181="",FALSE(),AND(기념일등록!$I181&gt;=0,기념일등록!$I181&lt;=90))</f>
        <v>0</v>
      </c>
      <c r="J184" s="6" t="str">
        <f aca="false">IF($I184=FALSE(),"",기념일등록!$I181*1000+ROW())</f>
        <v/>
      </c>
      <c r="K184" s="6" t="str">
        <f aca="false">IF($J184="","",RANK($J184,$J$6:$J$505,1))</f>
        <v/>
      </c>
    </row>
    <row r="185" customFormat="false" ht="15" hidden="false" customHeight="true" outlineLevel="0" collapsed="false">
      <c r="I185" s="26" t="b">
        <f aca="false">IF(기념일등록!$B182="",FALSE(),AND(기념일등록!$I182&gt;=0,기념일등록!$I182&lt;=90))</f>
        <v>0</v>
      </c>
      <c r="J185" s="6" t="str">
        <f aca="false">IF($I185=FALSE(),"",기념일등록!$I182*1000+ROW())</f>
        <v/>
      </c>
      <c r="K185" s="6" t="str">
        <f aca="false">IF($J185="","",RANK($J185,$J$6:$J$505,1))</f>
        <v/>
      </c>
    </row>
    <row r="186" customFormat="false" ht="15" hidden="false" customHeight="true" outlineLevel="0" collapsed="false">
      <c r="I186" s="26" t="b">
        <f aca="false">IF(기념일등록!$B183="",FALSE(),AND(기념일등록!$I183&gt;=0,기념일등록!$I183&lt;=90))</f>
        <v>0</v>
      </c>
      <c r="J186" s="6" t="str">
        <f aca="false">IF($I186=FALSE(),"",기념일등록!$I183*1000+ROW())</f>
        <v/>
      </c>
      <c r="K186" s="6" t="str">
        <f aca="false">IF($J186="","",RANK($J186,$J$6:$J$505,1))</f>
        <v/>
      </c>
    </row>
    <row r="187" customFormat="false" ht="15" hidden="false" customHeight="true" outlineLevel="0" collapsed="false">
      <c r="I187" s="26" t="b">
        <f aca="false">IF(기념일등록!$B184="",FALSE(),AND(기념일등록!$I184&gt;=0,기념일등록!$I184&lt;=90))</f>
        <v>0</v>
      </c>
      <c r="J187" s="6" t="str">
        <f aca="false">IF($I187=FALSE(),"",기념일등록!$I184*1000+ROW())</f>
        <v/>
      </c>
      <c r="K187" s="6" t="str">
        <f aca="false">IF($J187="","",RANK($J187,$J$6:$J$505,1))</f>
        <v/>
      </c>
    </row>
    <row r="188" customFormat="false" ht="15" hidden="false" customHeight="true" outlineLevel="0" collapsed="false">
      <c r="I188" s="26" t="b">
        <f aca="false">IF(기념일등록!$B185="",FALSE(),AND(기념일등록!$I185&gt;=0,기념일등록!$I185&lt;=90))</f>
        <v>0</v>
      </c>
      <c r="J188" s="6" t="str">
        <f aca="false">IF($I188=FALSE(),"",기념일등록!$I185*1000+ROW())</f>
        <v/>
      </c>
      <c r="K188" s="6" t="str">
        <f aca="false">IF($J188="","",RANK($J188,$J$6:$J$505,1))</f>
        <v/>
      </c>
    </row>
    <row r="189" customFormat="false" ht="15" hidden="false" customHeight="true" outlineLevel="0" collapsed="false">
      <c r="I189" s="26" t="b">
        <f aca="false">IF(기념일등록!$B186="",FALSE(),AND(기념일등록!$I186&gt;=0,기념일등록!$I186&lt;=90))</f>
        <v>0</v>
      </c>
      <c r="J189" s="6" t="str">
        <f aca="false">IF($I189=FALSE(),"",기념일등록!$I186*1000+ROW())</f>
        <v/>
      </c>
      <c r="K189" s="6" t="str">
        <f aca="false">IF($J189="","",RANK($J189,$J$6:$J$505,1))</f>
        <v/>
      </c>
    </row>
    <row r="190" customFormat="false" ht="15" hidden="false" customHeight="true" outlineLevel="0" collapsed="false">
      <c r="I190" s="26" t="b">
        <f aca="false">IF(기념일등록!$B187="",FALSE(),AND(기념일등록!$I187&gt;=0,기념일등록!$I187&lt;=90))</f>
        <v>0</v>
      </c>
      <c r="J190" s="6" t="str">
        <f aca="false">IF($I190=FALSE(),"",기념일등록!$I187*1000+ROW())</f>
        <v/>
      </c>
      <c r="K190" s="6" t="str">
        <f aca="false">IF($J190="","",RANK($J190,$J$6:$J$505,1))</f>
        <v/>
      </c>
    </row>
    <row r="191" customFormat="false" ht="15" hidden="false" customHeight="true" outlineLevel="0" collapsed="false">
      <c r="I191" s="26" t="b">
        <f aca="false">IF(기념일등록!$B188="",FALSE(),AND(기념일등록!$I188&gt;=0,기념일등록!$I188&lt;=90))</f>
        <v>0</v>
      </c>
      <c r="J191" s="6" t="str">
        <f aca="false">IF($I191=FALSE(),"",기념일등록!$I188*1000+ROW())</f>
        <v/>
      </c>
      <c r="K191" s="6" t="str">
        <f aca="false">IF($J191="","",RANK($J191,$J$6:$J$505,1))</f>
        <v/>
      </c>
    </row>
    <row r="192" customFormat="false" ht="15" hidden="false" customHeight="true" outlineLevel="0" collapsed="false">
      <c r="I192" s="26" t="b">
        <f aca="false">IF(기념일등록!$B189="",FALSE(),AND(기념일등록!$I189&gt;=0,기념일등록!$I189&lt;=90))</f>
        <v>0</v>
      </c>
      <c r="J192" s="6" t="str">
        <f aca="false">IF($I192=FALSE(),"",기념일등록!$I189*1000+ROW())</f>
        <v/>
      </c>
      <c r="K192" s="6" t="str">
        <f aca="false">IF($J192="","",RANK($J192,$J$6:$J$505,1))</f>
        <v/>
      </c>
    </row>
    <row r="193" customFormat="false" ht="15" hidden="false" customHeight="true" outlineLevel="0" collapsed="false">
      <c r="I193" s="26" t="b">
        <f aca="false">IF(기념일등록!$B190="",FALSE(),AND(기념일등록!$I190&gt;=0,기념일등록!$I190&lt;=90))</f>
        <v>0</v>
      </c>
      <c r="J193" s="6" t="str">
        <f aca="false">IF($I193=FALSE(),"",기념일등록!$I190*1000+ROW())</f>
        <v/>
      </c>
      <c r="K193" s="6" t="str">
        <f aca="false">IF($J193="","",RANK($J193,$J$6:$J$505,1))</f>
        <v/>
      </c>
    </row>
    <row r="194" customFormat="false" ht="15" hidden="false" customHeight="true" outlineLevel="0" collapsed="false">
      <c r="I194" s="26" t="b">
        <f aca="false">IF(기념일등록!$B191="",FALSE(),AND(기념일등록!$I191&gt;=0,기념일등록!$I191&lt;=90))</f>
        <v>0</v>
      </c>
      <c r="J194" s="6" t="str">
        <f aca="false">IF($I194=FALSE(),"",기념일등록!$I191*1000+ROW())</f>
        <v/>
      </c>
      <c r="K194" s="6" t="str">
        <f aca="false">IF($J194="","",RANK($J194,$J$6:$J$505,1))</f>
        <v/>
      </c>
    </row>
    <row r="195" customFormat="false" ht="15" hidden="false" customHeight="true" outlineLevel="0" collapsed="false">
      <c r="I195" s="26" t="b">
        <f aca="false">IF(기념일등록!$B192="",FALSE(),AND(기념일등록!$I192&gt;=0,기념일등록!$I192&lt;=90))</f>
        <v>0</v>
      </c>
      <c r="J195" s="6" t="str">
        <f aca="false">IF($I195=FALSE(),"",기념일등록!$I192*1000+ROW())</f>
        <v/>
      </c>
      <c r="K195" s="6" t="str">
        <f aca="false">IF($J195="","",RANK($J195,$J$6:$J$505,1))</f>
        <v/>
      </c>
    </row>
    <row r="196" customFormat="false" ht="15" hidden="false" customHeight="true" outlineLevel="0" collapsed="false">
      <c r="I196" s="26" t="b">
        <f aca="false">IF(기념일등록!$B193="",FALSE(),AND(기념일등록!$I193&gt;=0,기념일등록!$I193&lt;=90))</f>
        <v>0</v>
      </c>
      <c r="J196" s="6" t="str">
        <f aca="false">IF($I196=FALSE(),"",기념일등록!$I193*1000+ROW())</f>
        <v/>
      </c>
      <c r="K196" s="6" t="str">
        <f aca="false">IF($J196="","",RANK($J196,$J$6:$J$505,1))</f>
        <v/>
      </c>
    </row>
    <row r="197" customFormat="false" ht="15" hidden="false" customHeight="true" outlineLevel="0" collapsed="false">
      <c r="I197" s="26" t="b">
        <f aca="false">IF(기념일등록!$B194="",FALSE(),AND(기념일등록!$I194&gt;=0,기념일등록!$I194&lt;=90))</f>
        <v>0</v>
      </c>
      <c r="J197" s="6" t="str">
        <f aca="false">IF($I197=FALSE(),"",기념일등록!$I194*1000+ROW())</f>
        <v/>
      </c>
      <c r="K197" s="6" t="str">
        <f aca="false">IF($J197="","",RANK($J197,$J$6:$J$505,1))</f>
        <v/>
      </c>
    </row>
    <row r="198" customFormat="false" ht="15" hidden="false" customHeight="true" outlineLevel="0" collapsed="false">
      <c r="I198" s="26" t="b">
        <f aca="false">IF(기념일등록!$B195="",FALSE(),AND(기념일등록!$I195&gt;=0,기념일등록!$I195&lt;=90))</f>
        <v>0</v>
      </c>
      <c r="J198" s="6" t="str">
        <f aca="false">IF($I198=FALSE(),"",기념일등록!$I195*1000+ROW())</f>
        <v/>
      </c>
      <c r="K198" s="6" t="str">
        <f aca="false">IF($J198="","",RANK($J198,$J$6:$J$505,1))</f>
        <v/>
      </c>
    </row>
    <row r="199" customFormat="false" ht="15" hidden="false" customHeight="true" outlineLevel="0" collapsed="false">
      <c r="I199" s="26" t="b">
        <f aca="false">IF(기념일등록!$B196="",FALSE(),AND(기념일등록!$I196&gt;=0,기념일등록!$I196&lt;=90))</f>
        <v>0</v>
      </c>
      <c r="J199" s="6" t="str">
        <f aca="false">IF($I199=FALSE(),"",기념일등록!$I196*1000+ROW())</f>
        <v/>
      </c>
      <c r="K199" s="6" t="str">
        <f aca="false">IF($J199="","",RANK($J199,$J$6:$J$505,1))</f>
        <v/>
      </c>
    </row>
    <row r="200" customFormat="false" ht="15" hidden="false" customHeight="true" outlineLevel="0" collapsed="false">
      <c r="I200" s="26" t="b">
        <f aca="false">IF(기념일등록!$B197="",FALSE(),AND(기념일등록!$I197&gt;=0,기념일등록!$I197&lt;=90))</f>
        <v>0</v>
      </c>
      <c r="J200" s="6" t="str">
        <f aca="false">IF($I200=FALSE(),"",기념일등록!$I197*1000+ROW())</f>
        <v/>
      </c>
      <c r="K200" s="6" t="str">
        <f aca="false">IF($J200="","",RANK($J200,$J$6:$J$505,1))</f>
        <v/>
      </c>
    </row>
    <row r="201" customFormat="false" ht="15" hidden="false" customHeight="true" outlineLevel="0" collapsed="false">
      <c r="I201" s="26" t="b">
        <f aca="false">IF(기념일등록!$B198="",FALSE(),AND(기념일등록!$I198&gt;=0,기념일등록!$I198&lt;=90))</f>
        <v>0</v>
      </c>
      <c r="J201" s="6" t="str">
        <f aca="false">IF($I201=FALSE(),"",기념일등록!$I198*1000+ROW())</f>
        <v/>
      </c>
      <c r="K201" s="6" t="str">
        <f aca="false">IF($J201="","",RANK($J201,$J$6:$J$505,1))</f>
        <v/>
      </c>
    </row>
    <row r="202" customFormat="false" ht="15" hidden="false" customHeight="true" outlineLevel="0" collapsed="false">
      <c r="I202" s="26" t="b">
        <f aca="false">IF(기념일등록!$B199="",FALSE(),AND(기념일등록!$I199&gt;=0,기념일등록!$I199&lt;=90))</f>
        <v>0</v>
      </c>
      <c r="J202" s="6" t="str">
        <f aca="false">IF($I202=FALSE(),"",기념일등록!$I199*1000+ROW())</f>
        <v/>
      </c>
      <c r="K202" s="6" t="str">
        <f aca="false">IF($J202="","",RANK($J202,$J$6:$J$505,1))</f>
        <v/>
      </c>
    </row>
    <row r="203" customFormat="false" ht="15" hidden="false" customHeight="true" outlineLevel="0" collapsed="false">
      <c r="I203" s="26" t="b">
        <f aca="false">IF(기념일등록!$B200="",FALSE(),AND(기념일등록!$I200&gt;=0,기념일등록!$I200&lt;=90))</f>
        <v>0</v>
      </c>
      <c r="J203" s="6" t="str">
        <f aca="false">IF($I203=FALSE(),"",기념일등록!$I200*1000+ROW())</f>
        <v/>
      </c>
      <c r="K203" s="6" t="str">
        <f aca="false">IF($J203="","",RANK($J203,$J$6:$J$505,1))</f>
        <v/>
      </c>
    </row>
    <row r="204" customFormat="false" ht="15" hidden="false" customHeight="true" outlineLevel="0" collapsed="false">
      <c r="I204" s="26" t="b">
        <f aca="false">IF(기념일등록!$B201="",FALSE(),AND(기념일등록!$I201&gt;=0,기념일등록!$I201&lt;=90))</f>
        <v>0</v>
      </c>
      <c r="J204" s="6" t="str">
        <f aca="false">IF($I204=FALSE(),"",기념일등록!$I201*1000+ROW())</f>
        <v/>
      </c>
      <c r="K204" s="6" t="str">
        <f aca="false">IF($J204="","",RANK($J204,$J$6:$J$505,1))</f>
        <v/>
      </c>
    </row>
    <row r="205" customFormat="false" ht="15" hidden="false" customHeight="true" outlineLevel="0" collapsed="false">
      <c r="I205" s="26" t="b">
        <f aca="false">IF(기념일등록!$B202="",FALSE(),AND(기념일등록!$I202&gt;=0,기념일등록!$I202&lt;=90))</f>
        <v>0</v>
      </c>
      <c r="J205" s="6" t="str">
        <f aca="false">IF($I205=FALSE(),"",기념일등록!$I202*1000+ROW())</f>
        <v/>
      </c>
      <c r="K205" s="6" t="str">
        <f aca="false">IF($J205="","",RANK($J205,$J$6:$J$505,1))</f>
        <v/>
      </c>
    </row>
    <row r="206" customFormat="false" ht="15" hidden="false" customHeight="true" outlineLevel="0" collapsed="false">
      <c r="I206" s="26" t="b">
        <f aca="false">IF(기념일등록!$B203="",FALSE(),AND(기념일등록!$I203&gt;=0,기념일등록!$I203&lt;=90))</f>
        <v>0</v>
      </c>
      <c r="J206" s="6" t="str">
        <f aca="false">IF($I206=FALSE(),"",기념일등록!$I203*1000+ROW())</f>
        <v/>
      </c>
      <c r="K206" s="6" t="str">
        <f aca="false">IF($J206="","",RANK($J206,$J$6:$J$505,1))</f>
        <v/>
      </c>
    </row>
    <row r="207" customFormat="false" ht="15" hidden="false" customHeight="true" outlineLevel="0" collapsed="false">
      <c r="I207" s="26" t="b">
        <f aca="false">IF(기념일등록!$B204="",FALSE(),AND(기념일등록!$I204&gt;=0,기념일등록!$I204&lt;=90))</f>
        <v>0</v>
      </c>
      <c r="J207" s="6" t="str">
        <f aca="false">IF($I207=FALSE(),"",기념일등록!$I204*1000+ROW())</f>
        <v/>
      </c>
      <c r="K207" s="6" t="str">
        <f aca="false">IF($J207="","",RANK($J207,$J$6:$J$505,1))</f>
        <v/>
      </c>
    </row>
    <row r="208" customFormat="false" ht="15" hidden="false" customHeight="true" outlineLevel="0" collapsed="false">
      <c r="I208" s="26" t="b">
        <f aca="false">IF(기념일등록!$B205="",FALSE(),AND(기념일등록!$I205&gt;=0,기념일등록!$I205&lt;=90))</f>
        <v>0</v>
      </c>
      <c r="J208" s="6" t="str">
        <f aca="false">IF($I208=FALSE(),"",기념일등록!$I205*1000+ROW())</f>
        <v/>
      </c>
      <c r="K208" s="6" t="str">
        <f aca="false">IF($J208="","",RANK($J208,$J$6:$J$505,1))</f>
        <v/>
      </c>
    </row>
    <row r="209" customFormat="false" ht="15" hidden="false" customHeight="true" outlineLevel="0" collapsed="false">
      <c r="I209" s="26" t="b">
        <f aca="false">IF(기념일등록!$B206="",FALSE(),AND(기념일등록!$I206&gt;=0,기념일등록!$I206&lt;=90))</f>
        <v>0</v>
      </c>
      <c r="J209" s="6" t="str">
        <f aca="false">IF($I209=FALSE(),"",기념일등록!$I206*1000+ROW())</f>
        <v/>
      </c>
      <c r="K209" s="6" t="str">
        <f aca="false">IF($J209="","",RANK($J209,$J$6:$J$505,1))</f>
        <v/>
      </c>
    </row>
    <row r="210" customFormat="false" ht="15" hidden="false" customHeight="true" outlineLevel="0" collapsed="false">
      <c r="I210" s="26" t="b">
        <f aca="false">IF(기념일등록!$B207="",FALSE(),AND(기념일등록!$I207&gt;=0,기념일등록!$I207&lt;=90))</f>
        <v>0</v>
      </c>
      <c r="J210" s="6" t="str">
        <f aca="false">IF($I210=FALSE(),"",기념일등록!$I207*1000+ROW())</f>
        <v/>
      </c>
      <c r="K210" s="6" t="str">
        <f aca="false">IF($J210="","",RANK($J210,$J$6:$J$505,1))</f>
        <v/>
      </c>
    </row>
    <row r="211" customFormat="false" ht="15" hidden="false" customHeight="true" outlineLevel="0" collapsed="false">
      <c r="I211" s="26" t="b">
        <f aca="false">IF(기념일등록!$B208="",FALSE(),AND(기념일등록!$I208&gt;=0,기념일등록!$I208&lt;=90))</f>
        <v>0</v>
      </c>
      <c r="J211" s="6" t="str">
        <f aca="false">IF($I211=FALSE(),"",기념일등록!$I208*1000+ROW())</f>
        <v/>
      </c>
      <c r="K211" s="6" t="str">
        <f aca="false">IF($J211="","",RANK($J211,$J$6:$J$505,1))</f>
        <v/>
      </c>
    </row>
    <row r="212" customFormat="false" ht="15" hidden="false" customHeight="true" outlineLevel="0" collapsed="false">
      <c r="I212" s="26" t="b">
        <f aca="false">IF(기념일등록!$B209="",FALSE(),AND(기념일등록!$I209&gt;=0,기념일등록!$I209&lt;=90))</f>
        <v>0</v>
      </c>
      <c r="J212" s="6" t="str">
        <f aca="false">IF($I212=FALSE(),"",기념일등록!$I209*1000+ROW())</f>
        <v/>
      </c>
      <c r="K212" s="6" t="str">
        <f aca="false">IF($J212="","",RANK($J212,$J$6:$J$505,1))</f>
        <v/>
      </c>
    </row>
    <row r="213" customFormat="false" ht="15" hidden="false" customHeight="true" outlineLevel="0" collapsed="false">
      <c r="I213" s="26" t="b">
        <f aca="false">IF(기념일등록!$B210="",FALSE(),AND(기념일등록!$I210&gt;=0,기념일등록!$I210&lt;=90))</f>
        <v>0</v>
      </c>
      <c r="J213" s="6" t="str">
        <f aca="false">IF($I213=FALSE(),"",기념일등록!$I210*1000+ROW())</f>
        <v/>
      </c>
      <c r="K213" s="6" t="str">
        <f aca="false">IF($J213="","",RANK($J213,$J$6:$J$505,1))</f>
        <v/>
      </c>
    </row>
    <row r="214" customFormat="false" ht="15" hidden="false" customHeight="true" outlineLevel="0" collapsed="false">
      <c r="I214" s="26" t="b">
        <f aca="false">IF(기념일등록!$B211="",FALSE(),AND(기념일등록!$I211&gt;=0,기념일등록!$I211&lt;=90))</f>
        <v>0</v>
      </c>
      <c r="J214" s="6" t="str">
        <f aca="false">IF($I214=FALSE(),"",기념일등록!$I211*1000+ROW())</f>
        <v/>
      </c>
      <c r="K214" s="6" t="str">
        <f aca="false">IF($J214="","",RANK($J214,$J$6:$J$505,1))</f>
        <v/>
      </c>
    </row>
    <row r="215" customFormat="false" ht="15" hidden="false" customHeight="true" outlineLevel="0" collapsed="false">
      <c r="I215" s="26" t="b">
        <f aca="false">IF(기념일등록!$B212="",FALSE(),AND(기념일등록!$I212&gt;=0,기념일등록!$I212&lt;=90))</f>
        <v>0</v>
      </c>
      <c r="J215" s="6" t="str">
        <f aca="false">IF($I215=FALSE(),"",기념일등록!$I212*1000+ROW())</f>
        <v/>
      </c>
      <c r="K215" s="6" t="str">
        <f aca="false">IF($J215="","",RANK($J215,$J$6:$J$505,1))</f>
        <v/>
      </c>
    </row>
    <row r="216" customFormat="false" ht="15" hidden="false" customHeight="true" outlineLevel="0" collapsed="false">
      <c r="I216" s="26" t="b">
        <f aca="false">IF(기념일등록!$B213="",FALSE(),AND(기념일등록!$I213&gt;=0,기념일등록!$I213&lt;=90))</f>
        <v>0</v>
      </c>
      <c r="J216" s="6" t="str">
        <f aca="false">IF($I216=FALSE(),"",기념일등록!$I213*1000+ROW())</f>
        <v/>
      </c>
      <c r="K216" s="6" t="str">
        <f aca="false">IF($J216="","",RANK($J216,$J$6:$J$505,1))</f>
        <v/>
      </c>
    </row>
    <row r="217" customFormat="false" ht="15" hidden="false" customHeight="true" outlineLevel="0" collapsed="false">
      <c r="I217" s="26" t="b">
        <f aca="false">IF(기념일등록!$B214="",FALSE(),AND(기념일등록!$I214&gt;=0,기념일등록!$I214&lt;=90))</f>
        <v>0</v>
      </c>
      <c r="J217" s="6" t="str">
        <f aca="false">IF($I217=FALSE(),"",기념일등록!$I214*1000+ROW())</f>
        <v/>
      </c>
      <c r="K217" s="6" t="str">
        <f aca="false">IF($J217="","",RANK($J217,$J$6:$J$505,1))</f>
        <v/>
      </c>
    </row>
    <row r="218" customFormat="false" ht="15" hidden="false" customHeight="true" outlineLevel="0" collapsed="false">
      <c r="I218" s="26" t="b">
        <f aca="false">IF(기념일등록!$B215="",FALSE(),AND(기념일등록!$I215&gt;=0,기념일등록!$I215&lt;=90))</f>
        <v>0</v>
      </c>
      <c r="J218" s="6" t="str">
        <f aca="false">IF($I218=FALSE(),"",기념일등록!$I215*1000+ROW())</f>
        <v/>
      </c>
      <c r="K218" s="6" t="str">
        <f aca="false">IF($J218="","",RANK($J218,$J$6:$J$505,1))</f>
        <v/>
      </c>
    </row>
    <row r="219" customFormat="false" ht="15" hidden="false" customHeight="true" outlineLevel="0" collapsed="false">
      <c r="I219" s="26" t="b">
        <f aca="false">IF(기념일등록!$B216="",FALSE(),AND(기념일등록!$I216&gt;=0,기념일등록!$I216&lt;=90))</f>
        <v>0</v>
      </c>
      <c r="J219" s="6" t="str">
        <f aca="false">IF($I219=FALSE(),"",기념일등록!$I216*1000+ROW())</f>
        <v/>
      </c>
      <c r="K219" s="6" t="str">
        <f aca="false">IF($J219="","",RANK($J219,$J$6:$J$505,1))</f>
        <v/>
      </c>
    </row>
    <row r="220" customFormat="false" ht="15" hidden="false" customHeight="true" outlineLevel="0" collapsed="false">
      <c r="I220" s="26" t="b">
        <f aca="false">IF(기념일등록!$B217="",FALSE(),AND(기념일등록!$I217&gt;=0,기념일등록!$I217&lt;=90))</f>
        <v>0</v>
      </c>
      <c r="J220" s="6" t="str">
        <f aca="false">IF($I220=FALSE(),"",기념일등록!$I217*1000+ROW())</f>
        <v/>
      </c>
      <c r="K220" s="6" t="str">
        <f aca="false">IF($J220="","",RANK($J220,$J$6:$J$505,1))</f>
        <v/>
      </c>
    </row>
    <row r="221" customFormat="false" ht="15" hidden="false" customHeight="true" outlineLevel="0" collapsed="false">
      <c r="I221" s="26" t="b">
        <f aca="false">IF(기념일등록!$B218="",FALSE(),AND(기념일등록!$I218&gt;=0,기념일등록!$I218&lt;=90))</f>
        <v>0</v>
      </c>
      <c r="J221" s="6" t="str">
        <f aca="false">IF($I221=FALSE(),"",기념일등록!$I218*1000+ROW())</f>
        <v/>
      </c>
      <c r="K221" s="6" t="str">
        <f aca="false">IF($J221="","",RANK($J221,$J$6:$J$505,1))</f>
        <v/>
      </c>
    </row>
    <row r="222" customFormat="false" ht="15" hidden="false" customHeight="true" outlineLevel="0" collapsed="false">
      <c r="I222" s="26" t="b">
        <f aca="false">IF(기념일등록!$B219="",FALSE(),AND(기념일등록!$I219&gt;=0,기념일등록!$I219&lt;=90))</f>
        <v>0</v>
      </c>
      <c r="J222" s="6" t="str">
        <f aca="false">IF($I222=FALSE(),"",기념일등록!$I219*1000+ROW())</f>
        <v/>
      </c>
      <c r="K222" s="6" t="str">
        <f aca="false">IF($J222="","",RANK($J222,$J$6:$J$505,1))</f>
        <v/>
      </c>
    </row>
    <row r="223" customFormat="false" ht="15" hidden="false" customHeight="true" outlineLevel="0" collapsed="false">
      <c r="I223" s="26" t="b">
        <f aca="false">IF(기념일등록!$B220="",FALSE(),AND(기념일등록!$I220&gt;=0,기념일등록!$I220&lt;=90))</f>
        <v>0</v>
      </c>
      <c r="J223" s="6" t="str">
        <f aca="false">IF($I223=FALSE(),"",기념일등록!$I220*1000+ROW())</f>
        <v/>
      </c>
      <c r="K223" s="6" t="str">
        <f aca="false">IF($J223="","",RANK($J223,$J$6:$J$505,1))</f>
        <v/>
      </c>
    </row>
    <row r="224" customFormat="false" ht="15" hidden="false" customHeight="true" outlineLevel="0" collapsed="false">
      <c r="I224" s="26" t="b">
        <f aca="false">IF(기념일등록!$B221="",FALSE(),AND(기념일등록!$I221&gt;=0,기념일등록!$I221&lt;=90))</f>
        <v>0</v>
      </c>
      <c r="J224" s="6" t="str">
        <f aca="false">IF($I224=FALSE(),"",기념일등록!$I221*1000+ROW())</f>
        <v/>
      </c>
      <c r="K224" s="6" t="str">
        <f aca="false">IF($J224="","",RANK($J224,$J$6:$J$505,1))</f>
        <v/>
      </c>
    </row>
    <row r="225" customFormat="false" ht="15" hidden="false" customHeight="true" outlineLevel="0" collapsed="false">
      <c r="I225" s="26" t="b">
        <f aca="false">IF(기념일등록!$B222="",FALSE(),AND(기념일등록!$I222&gt;=0,기념일등록!$I222&lt;=90))</f>
        <v>0</v>
      </c>
      <c r="J225" s="6" t="str">
        <f aca="false">IF($I225=FALSE(),"",기념일등록!$I222*1000+ROW())</f>
        <v/>
      </c>
      <c r="K225" s="6" t="str">
        <f aca="false">IF($J225="","",RANK($J225,$J$6:$J$505,1))</f>
        <v/>
      </c>
    </row>
    <row r="226" customFormat="false" ht="15" hidden="false" customHeight="true" outlineLevel="0" collapsed="false">
      <c r="I226" s="26" t="b">
        <f aca="false">IF(기념일등록!$B223="",FALSE(),AND(기념일등록!$I223&gt;=0,기념일등록!$I223&lt;=90))</f>
        <v>0</v>
      </c>
      <c r="J226" s="6" t="str">
        <f aca="false">IF($I226=FALSE(),"",기념일등록!$I223*1000+ROW())</f>
        <v/>
      </c>
      <c r="K226" s="6" t="str">
        <f aca="false">IF($J226="","",RANK($J226,$J$6:$J$505,1))</f>
        <v/>
      </c>
    </row>
    <row r="227" customFormat="false" ht="15" hidden="false" customHeight="true" outlineLevel="0" collapsed="false">
      <c r="I227" s="26" t="b">
        <f aca="false">IF(기념일등록!$B224="",FALSE(),AND(기념일등록!$I224&gt;=0,기념일등록!$I224&lt;=90))</f>
        <v>0</v>
      </c>
      <c r="J227" s="6" t="str">
        <f aca="false">IF($I227=FALSE(),"",기념일등록!$I224*1000+ROW())</f>
        <v/>
      </c>
      <c r="K227" s="6" t="str">
        <f aca="false">IF($J227="","",RANK($J227,$J$6:$J$505,1))</f>
        <v/>
      </c>
    </row>
    <row r="228" customFormat="false" ht="15" hidden="false" customHeight="true" outlineLevel="0" collapsed="false">
      <c r="I228" s="26" t="b">
        <f aca="false">IF(기념일등록!$B225="",FALSE(),AND(기념일등록!$I225&gt;=0,기념일등록!$I225&lt;=90))</f>
        <v>0</v>
      </c>
      <c r="J228" s="6" t="str">
        <f aca="false">IF($I228=FALSE(),"",기념일등록!$I225*1000+ROW())</f>
        <v/>
      </c>
      <c r="K228" s="6" t="str">
        <f aca="false">IF($J228="","",RANK($J228,$J$6:$J$505,1))</f>
        <v/>
      </c>
    </row>
    <row r="229" customFormat="false" ht="15" hidden="false" customHeight="true" outlineLevel="0" collapsed="false">
      <c r="I229" s="26" t="b">
        <f aca="false">IF(기념일등록!$B226="",FALSE(),AND(기념일등록!$I226&gt;=0,기념일등록!$I226&lt;=90))</f>
        <v>0</v>
      </c>
      <c r="J229" s="6" t="str">
        <f aca="false">IF($I229=FALSE(),"",기념일등록!$I226*1000+ROW())</f>
        <v/>
      </c>
      <c r="K229" s="6" t="str">
        <f aca="false">IF($J229="","",RANK($J229,$J$6:$J$505,1))</f>
        <v/>
      </c>
    </row>
    <row r="230" customFormat="false" ht="15" hidden="false" customHeight="true" outlineLevel="0" collapsed="false">
      <c r="I230" s="26" t="b">
        <f aca="false">IF(기념일등록!$B227="",FALSE(),AND(기념일등록!$I227&gt;=0,기념일등록!$I227&lt;=90))</f>
        <v>0</v>
      </c>
      <c r="J230" s="6" t="str">
        <f aca="false">IF($I230=FALSE(),"",기념일등록!$I227*1000+ROW())</f>
        <v/>
      </c>
      <c r="K230" s="6" t="str">
        <f aca="false">IF($J230="","",RANK($J230,$J$6:$J$505,1))</f>
        <v/>
      </c>
    </row>
    <row r="231" customFormat="false" ht="15" hidden="false" customHeight="true" outlineLevel="0" collapsed="false">
      <c r="I231" s="26" t="b">
        <f aca="false">IF(기념일등록!$B228="",FALSE(),AND(기념일등록!$I228&gt;=0,기념일등록!$I228&lt;=90))</f>
        <v>0</v>
      </c>
      <c r="J231" s="6" t="str">
        <f aca="false">IF($I231=FALSE(),"",기념일등록!$I228*1000+ROW())</f>
        <v/>
      </c>
      <c r="K231" s="6" t="str">
        <f aca="false">IF($J231="","",RANK($J231,$J$6:$J$505,1))</f>
        <v/>
      </c>
    </row>
    <row r="232" customFormat="false" ht="15" hidden="false" customHeight="true" outlineLevel="0" collapsed="false">
      <c r="I232" s="26" t="b">
        <f aca="false">IF(기념일등록!$B229="",FALSE(),AND(기념일등록!$I229&gt;=0,기념일등록!$I229&lt;=90))</f>
        <v>0</v>
      </c>
      <c r="J232" s="6" t="str">
        <f aca="false">IF($I232=FALSE(),"",기념일등록!$I229*1000+ROW())</f>
        <v/>
      </c>
      <c r="K232" s="6" t="str">
        <f aca="false">IF($J232="","",RANK($J232,$J$6:$J$505,1))</f>
        <v/>
      </c>
    </row>
    <row r="233" customFormat="false" ht="15" hidden="false" customHeight="true" outlineLevel="0" collapsed="false">
      <c r="I233" s="26" t="b">
        <f aca="false">IF(기념일등록!$B230="",FALSE(),AND(기념일등록!$I230&gt;=0,기념일등록!$I230&lt;=90))</f>
        <v>0</v>
      </c>
      <c r="J233" s="6" t="str">
        <f aca="false">IF($I233=FALSE(),"",기념일등록!$I230*1000+ROW())</f>
        <v/>
      </c>
      <c r="K233" s="6" t="str">
        <f aca="false">IF($J233="","",RANK($J233,$J$6:$J$505,1))</f>
        <v/>
      </c>
    </row>
    <row r="234" customFormat="false" ht="15" hidden="false" customHeight="true" outlineLevel="0" collapsed="false">
      <c r="I234" s="26" t="b">
        <f aca="false">IF(기념일등록!$B231="",FALSE(),AND(기념일등록!$I231&gt;=0,기념일등록!$I231&lt;=90))</f>
        <v>0</v>
      </c>
      <c r="J234" s="6" t="str">
        <f aca="false">IF($I234=FALSE(),"",기념일등록!$I231*1000+ROW())</f>
        <v/>
      </c>
      <c r="K234" s="6" t="str">
        <f aca="false">IF($J234="","",RANK($J234,$J$6:$J$505,1))</f>
        <v/>
      </c>
    </row>
    <row r="235" customFormat="false" ht="15" hidden="false" customHeight="true" outlineLevel="0" collapsed="false">
      <c r="I235" s="26" t="b">
        <f aca="false">IF(기념일등록!$B232="",FALSE(),AND(기념일등록!$I232&gt;=0,기념일등록!$I232&lt;=90))</f>
        <v>0</v>
      </c>
      <c r="J235" s="6" t="str">
        <f aca="false">IF($I235=FALSE(),"",기념일등록!$I232*1000+ROW())</f>
        <v/>
      </c>
      <c r="K235" s="6" t="str">
        <f aca="false">IF($J235="","",RANK($J235,$J$6:$J$505,1))</f>
        <v/>
      </c>
    </row>
    <row r="236" customFormat="false" ht="15" hidden="false" customHeight="true" outlineLevel="0" collapsed="false">
      <c r="I236" s="26" t="b">
        <f aca="false">IF(기념일등록!$B233="",FALSE(),AND(기념일등록!$I233&gt;=0,기념일등록!$I233&lt;=90))</f>
        <v>0</v>
      </c>
      <c r="J236" s="6" t="str">
        <f aca="false">IF($I236=FALSE(),"",기념일등록!$I233*1000+ROW())</f>
        <v/>
      </c>
      <c r="K236" s="6" t="str">
        <f aca="false">IF($J236="","",RANK($J236,$J$6:$J$505,1))</f>
        <v/>
      </c>
    </row>
    <row r="237" customFormat="false" ht="15" hidden="false" customHeight="true" outlineLevel="0" collapsed="false">
      <c r="I237" s="26" t="b">
        <f aca="false">IF(기념일등록!$B234="",FALSE(),AND(기념일등록!$I234&gt;=0,기념일등록!$I234&lt;=90))</f>
        <v>0</v>
      </c>
      <c r="J237" s="6" t="str">
        <f aca="false">IF($I237=FALSE(),"",기념일등록!$I234*1000+ROW())</f>
        <v/>
      </c>
      <c r="K237" s="6" t="str">
        <f aca="false">IF($J237="","",RANK($J237,$J$6:$J$505,1))</f>
        <v/>
      </c>
    </row>
    <row r="238" customFormat="false" ht="15" hidden="false" customHeight="true" outlineLevel="0" collapsed="false">
      <c r="I238" s="26" t="b">
        <f aca="false">IF(기념일등록!$B235="",FALSE(),AND(기념일등록!$I235&gt;=0,기념일등록!$I235&lt;=90))</f>
        <v>0</v>
      </c>
      <c r="J238" s="6" t="str">
        <f aca="false">IF($I238=FALSE(),"",기념일등록!$I235*1000+ROW())</f>
        <v/>
      </c>
      <c r="K238" s="6" t="str">
        <f aca="false">IF($J238="","",RANK($J238,$J$6:$J$505,1))</f>
        <v/>
      </c>
    </row>
    <row r="239" customFormat="false" ht="15" hidden="false" customHeight="true" outlineLevel="0" collapsed="false">
      <c r="I239" s="26" t="b">
        <f aca="false">IF(기념일등록!$B236="",FALSE(),AND(기념일등록!$I236&gt;=0,기념일등록!$I236&lt;=90))</f>
        <v>0</v>
      </c>
      <c r="J239" s="6" t="str">
        <f aca="false">IF($I239=FALSE(),"",기념일등록!$I236*1000+ROW())</f>
        <v/>
      </c>
      <c r="K239" s="6" t="str">
        <f aca="false">IF($J239="","",RANK($J239,$J$6:$J$505,1))</f>
        <v/>
      </c>
    </row>
    <row r="240" customFormat="false" ht="15" hidden="false" customHeight="true" outlineLevel="0" collapsed="false">
      <c r="I240" s="26" t="b">
        <f aca="false">IF(기념일등록!$B237="",FALSE(),AND(기념일등록!$I237&gt;=0,기념일등록!$I237&lt;=90))</f>
        <v>0</v>
      </c>
      <c r="J240" s="6" t="str">
        <f aca="false">IF($I240=FALSE(),"",기념일등록!$I237*1000+ROW())</f>
        <v/>
      </c>
      <c r="K240" s="6" t="str">
        <f aca="false">IF($J240="","",RANK($J240,$J$6:$J$505,1))</f>
        <v/>
      </c>
    </row>
    <row r="241" customFormat="false" ht="15" hidden="false" customHeight="true" outlineLevel="0" collapsed="false">
      <c r="I241" s="26" t="b">
        <f aca="false">IF(기념일등록!$B238="",FALSE(),AND(기념일등록!$I238&gt;=0,기념일등록!$I238&lt;=90))</f>
        <v>0</v>
      </c>
      <c r="J241" s="6" t="str">
        <f aca="false">IF($I241=FALSE(),"",기념일등록!$I238*1000+ROW())</f>
        <v/>
      </c>
      <c r="K241" s="6" t="str">
        <f aca="false">IF($J241="","",RANK($J241,$J$6:$J$505,1))</f>
        <v/>
      </c>
    </row>
    <row r="242" customFormat="false" ht="15" hidden="false" customHeight="true" outlineLevel="0" collapsed="false">
      <c r="I242" s="26" t="b">
        <f aca="false">IF(기념일등록!$B239="",FALSE(),AND(기념일등록!$I239&gt;=0,기념일등록!$I239&lt;=90))</f>
        <v>0</v>
      </c>
      <c r="J242" s="6" t="str">
        <f aca="false">IF($I242=FALSE(),"",기념일등록!$I239*1000+ROW())</f>
        <v/>
      </c>
      <c r="K242" s="6" t="str">
        <f aca="false">IF($J242="","",RANK($J242,$J$6:$J$505,1))</f>
        <v/>
      </c>
    </row>
    <row r="243" customFormat="false" ht="15" hidden="false" customHeight="true" outlineLevel="0" collapsed="false">
      <c r="I243" s="26" t="b">
        <f aca="false">IF(기념일등록!$B240="",FALSE(),AND(기념일등록!$I240&gt;=0,기념일등록!$I240&lt;=90))</f>
        <v>0</v>
      </c>
      <c r="J243" s="6" t="str">
        <f aca="false">IF($I243=FALSE(),"",기념일등록!$I240*1000+ROW())</f>
        <v/>
      </c>
      <c r="K243" s="6" t="str">
        <f aca="false">IF($J243="","",RANK($J243,$J$6:$J$505,1))</f>
        <v/>
      </c>
    </row>
    <row r="244" customFormat="false" ht="15" hidden="false" customHeight="true" outlineLevel="0" collapsed="false">
      <c r="I244" s="26" t="b">
        <f aca="false">IF(기념일등록!$B241="",FALSE(),AND(기념일등록!$I241&gt;=0,기념일등록!$I241&lt;=90))</f>
        <v>0</v>
      </c>
      <c r="J244" s="6" t="str">
        <f aca="false">IF($I244=FALSE(),"",기념일등록!$I241*1000+ROW())</f>
        <v/>
      </c>
      <c r="K244" s="6" t="str">
        <f aca="false">IF($J244="","",RANK($J244,$J$6:$J$505,1))</f>
        <v/>
      </c>
    </row>
    <row r="245" customFormat="false" ht="15" hidden="false" customHeight="true" outlineLevel="0" collapsed="false">
      <c r="I245" s="26" t="b">
        <f aca="false">IF(기념일등록!$B242="",FALSE(),AND(기념일등록!$I242&gt;=0,기념일등록!$I242&lt;=90))</f>
        <v>0</v>
      </c>
      <c r="J245" s="6" t="str">
        <f aca="false">IF($I245=FALSE(),"",기념일등록!$I242*1000+ROW())</f>
        <v/>
      </c>
      <c r="K245" s="6" t="str">
        <f aca="false">IF($J245="","",RANK($J245,$J$6:$J$505,1))</f>
        <v/>
      </c>
    </row>
    <row r="246" customFormat="false" ht="15" hidden="false" customHeight="true" outlineLevel="0" collapsed="false">
      <c r="I246" s="26" t="b">
        <f aca="false">IF(기념일등록!$B243="",FALSE(),AND(기념일등록!$I243&gt;=0,기념일등록!$I243&lt;=90))</f>
        <v>0</v>
      </c>
      <c r="J246" s="6" t="str">
        <f aca="false">IF($I246=FALSE(),"",기념일등록!$I243*1000+ROW())</f>
        <v/>
      </c>
      <c r="K246" s="6" t="str">
        <f aca="false">IF($J246="","",RANK($J246,$J$6:$J$505,1))</f>
        <v/>
      </c>
    </row>
    <row r="247" customFormat="false" ht="15" hidden="false" customHeight="true" outlineLevel="0" collapsed="false">
      <c r="I247" s="26" t="b">
        <f aca="false">IF(기념일등록!$B244="",FALSE(),AND(기념일등록!$I244&gt;=0,기념일등록!$I244&lt;=90))</f>
        <v>0</v>
      </c>
      <c r="J247" s="6" t="str">
        <f aca="false">IF($I247=FALSE(),"",기념일등록!$I244*1000+ROW())</f>
        <v/>
      </c>
      <c r="K247" s="6" t="str">
        <f aca="false">IF($J247="","",RANK($J247,$J$6:$J$505,1))</f>
        <v/>
      </c>
    </row>
    <row r="248" customFormat="false" ht="15" hidden="false" customHeight="true" outlineLevel="0" collapsed="false">
      <c r="I248" s="26" t="b">
        <f aca="false">IF(기념일등록!$B245="",FALSE(),AND(기념일등록!$I245&gt;=0,기념일등록!$I245&lt;=90))</f>
        <v>0</v>
      </c>
      <c r="J248" s="6" t="str">
        <f aca="false">IF($I248=FALSE(),"",기념일등록!$I245*1000+ROW())</f>
        <v/>
      </c>
      <c r="K248" s="6" t="str">
        <f aca="false">IF($J248="","",RANK($J248,$J$6:$J$505,1))</f>
        <v/>
      </c>
    </row>
    <row r="249" customFormat="false" ht="15" hidden="false" customHeight="true" outlineLevel="0" collapsed="false">
      <c r="I249" s="26" t="b">
        <f aca="false">IF(기념일등록!$B246="",FALSE(),AND(기념일등록!$I246&gt;=0,기념일등록!$I246&lt;=90))</f>
        <v>0</v>
      </c>
      <c r="J249" s="6" t="str">
        <f aca="false">IF($I249=FALSE(),"",기념일등록!$I246*1000+ROW())</f>
        <v/>
      </c>
      <c r="K249" s="6" t="str">
        <f aca="false">IF($J249="","",RANK($J249,$J$6:$J$505,1))</f>
        <v/>
      </c>
    </row>
    <row r="250" customFormat="false" ht="15" hidden="false" customHeight="true" outlineLevel="0" collapsed="false">
      <c r="I250" s="26" t="b">
        <f aca="false">IF(기념일등록!$B247="",FALSE(),AND(기념일등록!$I247&gt;=0,기념일등록!$I247&lt;=90))</f>
        <v>0</v>
      </c>
      <c r="J250" s="6" t="str">
        <f aca="false">IF($I250=FALSE(),"",기념일등록!$I247*1000+ROW())</f>
        <v/>
      </c>
      <c r="K250" s="6" t="str">
        <f aca="false">IF($J250="","",RANK($J250,$J$6:$J$505,1))</f>
        <v/>
      </c>
    </row>
    <row r="251" customFormat="false" ht="15" hidden="false" customHeight="true" outlineLevel="0" collapsed="false">
      <c r="I251" s="26" t="b">
        <f aca="false">IF(기념일등록!$B248="",FALSE(),AND(기념일등록!$I248&gt;=0,기념일등록!$I248&lt;=90))</f>
        <v>0</v>
      </c>
      <c r="J251" s="6" t="str">
        <f aca="false">IF($I251=FALSE(),"",기념일등록!$I248*1000+ROW())</f>
        <v/>
      </c>
      <c r="K251" s="6" t="str">
        <f aca="false">IF($J251="","",RANK($J251,$J$6:$J$505,1))</f>
        <v/>
      </c>
    </row>
    <row r="252" customFormat="false" ht="15" hidden="false" customHeight="true" outlineLevel="0" collapsed="false">
      <c r="I252" s="26" t="b">
        <f aca="false">IF(기념일등록!$B249="",FALSE(),AND(기념일등록!$I249&gt;=0,기념일등록!$I249&lt;=90))</f>
        <v>0</v>
      </c>
      <c r="J252" s="6" t="str">
        <f aca="false">IF($I252=FALSE(),"",기념일등록!$I249*1000+ROW())</f>
        <v/>
      </c>
      <c r="K252" s="6" t="str">
        <f aca="false">IF($J252="","",RANK($J252,$J$6:$J$505,1))</f>
        <v/>
      </c>
    </row>
    <row r="253" customFormat="false" ht="15" hidden="false" customHeight="true" outlineLevel="0" collapsed="false">
      <c r="I253" s="26" t="b">
        <f aca="false">IF(기념일등록!$B250="",FALSE(),AND(기념일등록!$I250&gt;=0,기념일등록!$I250&lt;=90))</f>
        <v>0</v>
      </c>
      <c r="J253" s="6" t="str">
        <f aca="false">IF($I253=FALSE(),"",기념일등록!$I250*1000+ROW())</f>
        <v/>
      </c>
      <c r="K253" s="6" t="str">
        <f aca="false">IF($J253="","",RANK($J253,$J$6:$J$505,1))</f>
        <v/>
      </c>
    </row>
    <row r="254" customFormat="false" ht="15" hidden="false" customHeight="true" outlineLevel="0" collapsed="false">
      <c r="I254" s="26" t="b">
        <f aca="false">IF(기념일등록!$B251="",FALSE(),AND(기념일등록!$I251&gt;=0,기념일등록!$I251&lt;=90))</f>
        <v>0</v>
      </c>
      <c r="J254" s="6" t="str">
        <f aca="false">IF($I254=FALSE(),"",기념일등록!$I251*1000+ROW())</f>
        <v/>
      </c>
      <c r="K254" s="6" t="str">
        <f aca="false">IF($J254="","",RANK($J254,$J$6:$J$505,1))</f>
        <v/>
      </c>
    </row>
    <row r="255" customFormat="false" ht="15" hidden="false" customHeight="true" outlineLevel="0" collapsed="false">
      <c r="I255" s="26" t="b">
        <f aca="false">IF(기념일등록!$B252="",FALSE(),AND(기념일등록!$I252&gt;=0,기념일등록!$I252&lt;=90))</f>
        <v>0</v>
      </c>
      <c r="J255" s="6" t="str">
        <f aca="false">IF($I255=FALSE(),"",기념일등록!$I252*1000+ROW())</f>
        <v/>
      </c>
      <c r="K255" s="6" t="str">
        <f aca="false">IF($J255="","",RANK($J255,$J$6:$J$505,1))</f>
        <v/>
      </c>
    </row>
    <row r="256" customFormat="false" ht="15" hidden="false" customHeight="true" outlineLevel="0" collapsed="false">
      <c r="I256" s="26" t="b">
        <f aca="false">IF(기념일등록!$B253="",FALSE(),AND(기념일등록!$I253&gt;=0,기념일등록!$I253&lt;=90))</f>
        <v>0</v>
      </c>
      <c r="J256" s="6" t="str">
        <f aca="false">IF($I256=FALSE(),"",기념일등록!$I253*1000+ROW())</f>
        <v/>
      </c>
      <c r="K256" s="6" t="str">
        <f aca="false">IF($J256="","",RANK($J256,$J$6:$J$505,1))</f>
        <v/>
      </c>
    </row>
    <row r="257" customFormat="false" ht="15" hidden="false" customHeight="true" outlineLevel="0" collapsed="false">
      <c r="I257" s="26" t="b">
        <f aca="false">IF(기념일등록!$B254="",FALSE(),AND(기념일등록!$I254&gt;=0,기념일등록!$I254&lt;=90))</f>
        <v>0</v>
      </c>
      <c r="J257" s="6" t="str">
        <f aca="false">IF($I257=FALSE(),"",기념일등록!$I254*1000+ROW())</f>
        <v/>
      </c>
      <c r="K257" s="6" t="str">
        <f aca="false">IF($J257="","",RANK($J257,$J$6:$J$505,1))</f>
        <v/>
      </c>
    </row>
    <row r="258" customFormat="false" ht="15" hidden="false" customHeight="true" outlineLevel="0" collapsed="false">
      <c r="I258" s="26" t="b">
        <f aca="false">IF(기념일등록!$B255="",FALSE(),AND(기념일등록!$I255&gt;=0,기념일등록!$I255&lt;=90))</f>
        <v>0</v>
      </c>
      <c r="J258" s="6" t="str">
        <f aca="false">IF($I258=FALSE(),"",기념일등록!$I255*1000+ROW())</f>
        <v/>
      </c>
      <c r="K258" s="6" t="str">
        <f aca="false">IF($J258="","",RANK($J258,$J$6:$J$505,1))</f>
        <v/>
      </c>
    </row>
    <row r="259" customFormat="false" ht="15" hidden="false" customHeight="true" outlineLevel="0" collapsed="false">
      <c r="I259" s="26" t="b">
        <f aca="false">IF(기념일등록!$B256="",FALSE(),AND(기념일등록!$I256&gt;=0,기념일등록!$I256&lt;=90))</f>
        <v>0</v>
      </c>
      <c r="J259" s="6" t="str">
        <f aca="false">IF($I259=FALSE(),"",기념일등록!$I256*1000+ROW())</f>
        <v/>
      </c>
      <c r="K259" s="6" t="str">
        <f aca="false">IF($J259="","",RANK($J259,$J$6:$J$505,1))</f>
        <v/>
      </c>
    </row>
    <row r="260" customFormat="false" ht="15" hidden="false" customHeight="true" outlineLevel="0" collapsed="false">
      <c r="I260" s="26" t="b">
        <f aca="false">IF(기념일등록!$B257="",FALSE(),AND(기념일등록!$I257&gt;=0,기념일등록!$I257&lt;=90))</f>
        <v>0</v>
      </c>
      <c r="J260" s="6" t="str">
        <f aca="false">IF($I260=FALSE(),"",기념일등록!$I257*1000+ROW())</f>
        <v/>
      </c>
      <c r="K260" s="6" t="str">
        <f aca="false">IF($J260="","",RANK($J260,$J$6:$J$505,1))</f>
        <v/>
      </c>
    </row>
    <row r="261" customFormat="false" ht="15" hidden="false" customHeight="true" outlineLevel="0" collapsed="false">
      <c r="I261" s="26" t="b">
        <f aca="false">IF(기념일등록!$B258="",FALSE(),AND(기념일등록!$I258&gt;=0,기념일등록!$I258&lt;=90))</f>
        <v>0</v>
      </c>
      <c r="J261" s="6" t="str">
        <f aca="false">IF($I261=FALSE(),"",기념일등록!$I258*1000+ROW())</f>
        <v/>
      </c>
      <c r="K261" s="6" t="str">
        <f aca="false">IF($J261="","",RANK($J261,$J$6:$J$505,1))</f>
        <v/>
      </c>
    </row>
    <row r="262" customFormat="false" ht="15" hidden="false" customHeight="true" outlineLevel="0" collapsed="false">
      <c r="I262" s="26" t="b">
        <f aca="false">IF(기념일등록!$B259="",FALSE(),AND(기념일등록!$I259&gt;=0,기념일등록!$I259&lt;=90))</f>
        <v>0</v>
      </c>
      <c r="J262" s="6" t="str">
        <f aca="false">IF($I262=FALSE(),"",기념일등록!$I259*1000+ROW())</f>
        <v/>
      </c>
      <c r="K262" s="6" t="str">
        <f aca="false">IF($J262="","",RANK($J262,$J$6:$J$505,1))</f>
        <v/>
      </c>
    </row>
    <row r="263" customFormat="false" ht="15" hidden="false" customHeight="true" outlineLevel="0" collapsed="false">
      <c r="I263" s="26" t="b">
        <f aca="false">IF(기념일등록!$B260="",FALSE(),AND(기념일등록!$I260&gt;=0,기념일등록!$I260&lt;=90))</f>
        <v>0</v>
      </c>
      <c r="J263" s="6" t="str">
        <f aca="false">IF($I263=FALSE(),"",기념일등록!$I260*1000+ROW())</f>
        <v/>
      </c>
      <c r="K263" s="6" t="str">
        <f aca="false">IF($J263="","",RANK($J263,$J$6:$J$505,1))</f>
        <v/>
      </c>
    </row>
    <row r="264" customFormat="false" ht="15" hidden="false" customHeight="true" outlineLevel="0" collapsed="false">
      <c r="I264" s="26" t="b">
        <f aca="false">IF(기념일등록!$B261="",FALSE(),AND(기념일등록!$I261&gt;=0,기념일등록!$I261&lt;=90))</f>
        <v>0</v>
      </c>
      <c r="J264" s="6" t="str">
        <f aca="false">IF($I264=FALSE(),"",기념일등록!$I261*1000+ROW())</f>
        <v/>
      </c>
      <c r="K264" s="6" t="str">
        <f aca="false">IF($J264="","",RANK($J264,$J$6:$J$505,1))</f>
        <v/>
      </c>
    </row>
    <row r="265" customFormat="false" ht="15" hidden="false" customHeight="true" outlineLevel="0" collapsed="false">
      <c r="I265" s="26" t="b">
        <f aca="false">IF(기념일등록!$B262="",FALSE(),AND(기념일등록!$I262&gt;=0,기념일등록!$I262&lt;=90))</f>
        <v>0</v>
      </c>
      <c r="J265" s="6" t="str">
        <f aca="false">IF($I265=FALSE(),"",기념일등록!$I262*1000+ROW())</f>
        <v/>
      </c>
      <c r="K265" s="6" t="str">
        <f aca="false">IF($J265="","",RANK($J265,$J$6:$J$505,1))</f>
        <v/>
      </c>
    </row>
    <row r="266" customFormat="false" ht="15" hidden="false" customHeight="true" outlineLevel="0" collapsed="false">
      <c r="I266" s="26" t="b">
        <f aca="false">IF(기념일등록!$B263="",FALSE(),AND(기념일등록!$I263&gt;=0,기념일등록!$I263&lt;=90))</f>
        <v>0</v>
      </c>
      <c r="J266" s="6" t="str">
        <f aca="false">IF($I266=FALSE(),"",기념일등록!$I263*1000+ROW())</f>
        <v/>
      </c>
      <c r="K266" s="6" t="str">
        <f aca="false">IF($J266="","",RANK($J266,$J$6:$J$505,1))</f>
        <v/>
      </c>
    </row>
    <row r="267" customFormat="false" ht="15" hidden="false" customHeight="true" outlineLevel="0" collapsed="false">
      <c r="I267" s="26" t="b">
        <f aca="false">IF(기념일등록!$B264="",FALSE(),AND(기념일등록!$I264&gt;=0,기념일등록!$I264&lt;=90))</f>
        <v>0</v>
      </c>
      <c r="J267" s="6" t="str">
        <f aca="false">IF($I267=FALSE(),"",기념일등록!$I264*1000+ROW())</f>
        <v/>
      </c>
      <c r="K267" s="6" t="str">
        <f aca="false">IF($J267="","",RANK($J267,$J$6:$J$505,1))</f>
        <v/>
      </c>
    </row>
    <row r="268" customFormat="false" ht="15" hidden="false" customHeight="true" outlineLevel="0" collapsed="false">
      <c r="I268" s="26" t="b">
        <f aca="false">IF(기념일등록!$B265="",FALSE(),AND(기념일등록!$I265&gt;=0,기념일등록!$I265&lt;=90))</f>
        <v>0</v>
      </c>
      <c r="J268" s="6" t="str">
        <f aca="false">IF($I268=FALSE(),"",기념일등록!$I265*1000+ROW())</f>
        <v/>
      </c>
      <c r="K268" s="6" t="str">
        <f aca="false">IF($J268="","",RANK($J268,$J$6:$J$505,1))</f>
        <v/>
      </c>
    </row>
    <row r="269" customFormat="false" ht="15" hidden="false" customHeight="true" outlineLevel="0" collapsed="false">
      <c r="I269" s="26" t="b">
        <f aca="false">IF(기념일등록!$B266="",FALSE(),AND(기념일등록!$I266&gt;=0,기념일등록!$I266&lt;=90))</f>
        <v>0</v>
      </c>
      <c r="J269" s="6" t="str">
        <f aca="false">IF($I269=FALSE(),"",기념일등록!$I266*1000+ROW())</f>
        <v/>
      </c>
      <c r="K269" s="6" t="str">
        <f aca="false">IF($J269="","",RANK($J269,$J$6:$J$505,1))</f>
        <v/>
      </c>
    </row>
    <row r="270" customFormat="false" ht="15" hidden="false" customHeight="true" outlineLevel="0" collapsed="false">
      <c r="I270" s="26" t="b">
        <f aca="false">IF(기념일등록!$B267="",FALSE(),AND(기념일등록!$I267&gt;=0,기념일등록!$I267&lt;=90))</f>
        <v>0</v>
      </c>
      <c r="J270" s="6" t="str">
        <f aca="false">IF($I270=FALSE(),"",기념일등록!$I267*1000+ROW())</f>
        <v/>
      </c>
      <c r="K270" s="6" t="str">
        <f aca="false">IF($J270="","",RANK($J270,$J$6:$J$505,1))</f>
        <v/>
      </c>
    </row>
    <row r="271" customFormat="false" ht="15" hidden="false" customHeight="true" outlineLevel="0" collapsed="false">
      <c r="I271" s="26" t="b">
        <f aca="false">IF(기념일등록!$B268="",FALSE(),AND(기념일등록!$I268&gt;=0,기념일등록!$I268&lt;=90))</f>
        <v>0</v>
      </c>
      <c r="J271" s="6" t="str">
        <f aca="false">IF($I271=FALSE(),"",기념일등록!$I268*1000+ROW())</f>
        <v/>
      </c>
      <c r="K271" s="6" t="str">
        <f aca="false">IF($J271="","",RANK($J271,$J$6:$J$505,1))</f>
        <v/>
      </c>
    </row>
    <row r="272" customFormat="false" ht="15" hidden="false" customHeight="true" outlineLevel="0" collapsed="false">
      <c r="I272" s="26" t="b">
        <f aca="false">IF(기념일등록!$B269="",FALSE(),AND(기념일등록!$I269&gt;=0,기념일등록!$I269&lt;=90))</f>
        <v>0</v>
      </c>
      <c r="J272" s="6" t="str">
        <f aca="false">IF($I272=FALSE(),"",기념일등록!$I269*1000+ROW())</f>
        <v/>
      </c>
      <c r="K272" s="6" t="str">
        <f aca="false">IF($J272="","",RANK($J272,$J$6:$J$505,1))</f>
        <v/>
      </c>
    </row>
    <row r="273" customFormat="false" ht="15" hidden="false" customHeight="true" outlineLevel="0" collapsed="false">
      <c r="I273" s="26" t="b">
        <f aca="false">IF(기념일등록!$B270="",FALSE(),AND(기념일등록!$I270&gt;=0,기념일등록!$I270&lt;=90))</f>
        <v>0</v>
      </c>
      <c r="J273" s="6" t="str">
        <f aca="false">IF($I273=FALSE(),"",기념일등록!$I270*1000+ROW())</f>
        <v/>
      </c>
      <c r="K273" s="6" t="str">
        <f aca="false">IF($J273="","",RANK($J273,$J$6:$J$505,1))</f>
        <v/>
      </c>
    </row>
    <row r="274" customFormat="false" ht="15" hidden="false" customHeight="true" outlineLevel="0" collapsed="false">
      <c r="I274" s="26" t="b">
        <f aca="false">IF(기념일등록!$B271="",FALSE(),AND(기념일등록!$I271&gt;=0,기념일등록!$I271&lt;=90))</f>
        <v>0</v>
      </c>
      <c r="J274" s="6" t="str">
        <f aca="false">IF($I274=FALSE(),"",기념일등록!$I271*1000+ROW())</f>
        <v/>
      </c>
      <c r="K274" s="6" t="str">
        <f aca="false">IF($J274="","",RANK($J274,$J$6:$J$505,1))</f>
        <v/>
      </c>
    </row>
    <row r="275" customFormat="false" ht="15" hidden="false" customHeight="true" outlineLevel="0" collapsed="false">
      <c r="I275" s="26" t="b">
        <f aca="false">IF(기념일등록!$B272="",FALSE(),AND(기념일등록!$I272&gt;=0,기념일등록!$I272&lt;=90))</f>
        <v>0</v>
      </c>
      <c r="J275" s="6" t="str">
        <f aca="false">IF($I275=FALSE(),"",기념일등록!$I272*1000+ROW())</f>
        <v/>
      </c>
      <c r="K275" s="6" t="str">
        <f aca="false">IF($J275="","",RANK($J275,$J$6:$J$505,1))</f>
        <v/>
      </c>
    </row>
    <row r="276" customFormat="false" ht="15" hidden="false" customHeight="true" outlineLevel="0" collapsed="false">
      <c r="I276" s="26" t="b">
        <f aca="false">IF(기념일등록!$B273="",FALSE(),AND(기념일등록!$I273&gt;=0,기념일등록!$I273&lt;=90))</f>
        <v>0</v>
      </c>
      <c r="J276" s="6" t="str">
        <f aca="false">IF($I276=FALSE(),"",기념일등록!$I273*1000+ROW())</f>
        <v/>
      </c>
      <c r="K276" s="6" t="str">
        <f aca="false">IF($J276="","",RANK($J276,$J$6:$J$505,1))</f>
        <v/>
      </c>
    </row>
    <row r="277" customFormat="false" ht="15" hidden="false" customHeight="true" outlineLevel="0" collapsed="false">
      <c r="I277" s="26" t="b">
        <f aca="false">IF(기념일등록!$B274="",FALSE(),AND(기념일등록!$I274&gt;=0,기념일등록!$I274&lt;=90))</f>
        <v>0</v>
      </c>
      <c r="J277" s="6" t="str">
        <f aca="false">IF($I277=FALSE(),"",기념일등록!$I274*1000+ROW())</f>
        <v/>
      </c>
      <c r="K277" s="6" t="str">
        <f aca="false">IF($J277="","",RANK($J277,$J$6:$J$505,1))</f>
        <v/>
      </c>
    </row>
    <row r="278" customFormat="false" ht="15" hidden="false" customHeight="true" outlineLevel="0" collapsed="false">
      <c r="I278" s="26" t="b">
        <f aca="false">IF(기념일등록!$B275="",FALSE(),AND(기념일등록!$I275&gt;=0,기념일등록!$I275&lt;=90))</f>
        <v>0</v>
      </c>
      <c r="J278" s="6" t="str">
        <f aca="false">IF($I278=FALSE(),"",기념일등록!$I275*1000+ROW())</f>
        <v/>
      </c>
      <c r="K278" s="6" t="str">
        <f aca="false">IF($J278="","",RANK($J278,$J$6:$J$505,1))</f>
        <v/>
      </c>
    </row>
    <row r="279" customFormat="false" ht="15" hidden="false" customHeight="true" outlineLevel="0" collapsed="false">
      <c r="I279" s="26" t="b">
        <f aca="false">IF(기념일등록!$B276="",FALSE(),AND(기념일등록!$I276&gt;=0,기념일등록!$I276&lt;=90))</f>
        <v>0</v>
      </c>
      <c r="J279" s="6" t="str">
        <f aca="false">IF($I279=FALSE(),"",기념일등록!$I276*1000+ROW())</f>
        <v/>
      </c>
      <c r="K279" s="6" t="str">
        <f aca="false">IF($J279="","",RANK($J279,$J$6:$J$505,1))</f>
        <v/>
      </c>
    </row>
    <row r="280" customFormat="false" ht="15" hidden="false" customHeight="true" outlineLevel="0" collapsed="false">
      <c r="I280" s="26" t="b">
        <f aca="false">IF(기념일등록!$B277="",FALSE(),AND(기념일등록!$I277&gt;=0,기념일등록!$I277&lt;=90))</f>
        <v>0</v>
      </c>
      <c r="J280" s="6" t="str">
        <f aca="false">IF($I280=FALSE(),"",기념일등록!$I277*1000+ROW())</f>
        <v/>
      </c>
      <c r="K280" s="6" t="str">
        <f aca="false">IF($J280="","",RANK($J280,$J$6:$J$505,1))</f>
        <v/>
      </c>
    </row>
    <row r="281" customFormat="false" ht="15" hidden="false" customHeight="true" outlineLevel="0" collapsed="false">
      <c r="I281" s="26" t="b">
        <f aca="false">IF(기념일등록!$B278="",FALSE(),AND(기념일등록!$I278&gt;=0,기념일등록!$I278&lt;=90))</f>
        <v>0</v>
      </c>
      <c r="J281" s="6" t="str">
        <f aca="false">IF($I281=FALSE(),"",기념일등록!$I278*1000+ROW())</f>
        <v/>
      </c>
      <c r="K281" s="6" t="str">
        <f aca="false">IF($J281="","",RANK($J281,$J$6:$J$505,1))</f>
        <v/>
      </c>
    </row>
    <row r="282" customFormat="false" ht="15" hidden="false" customHeight="true" outlineLevel="0" collapsed="false">
      <c r="I282" s="26" t="b">
        <f aca="false">IF(기념일등록!$B279="",FALSE(),AND(기념일등록!$I279&gt;=0,기념일등록!$I279&lt;=90))</f>
        <v>0</v>
      </c>
      <c r="J282" s="6" t="str">
        <f aca="false">IF($I282=FALSE(),"",기념일등록!$I279*1000+ROW())</f>
        <v/>
      </c>
      <c r="K282" s="6" t="str">
        <f aca="false">IF($J282="","",RANK($J282,$J$6:$J$505,1))</f>
        <v/>
      </c>
    </row>
    <row r="283" customFormat="false" ht="15" hidden="false" customHeight="true" outlineLevel="0" collapsed="false">
      <c r="I283" s="26" t="b">
        <f aca="false">IF(기념일등록!$B280="",FALSE(),AND(기념일등록!$I280&gt;=0,기념일등록!$I280&lt;=90))</f>
        <v>0</v>
      </c>
      <c r="J283" s="6" t="str">
        <f aca="false">IF($I283=FALSE(),"",기념일등록!$I280*1000+ROW())</f>
        <v/>
      </c>
      <c r="K283" s="6" t="str">
        <f aca="false">IF($J283="","",RANK($J283,$J$6:$J$505,1))</f>
        <v/>
      </c>
    </row>
    <row r="284" customFormat="false" ht="15" hidden="false" customHeight="true" outlineLevel="0" collapsed="false">
      <c r="I284" s="26" t="b">
        <f aca="false">IF(기념일등록!$B281="",FALSE(),AND(기념일등록!$I281&gt;=0,기념일등록!$I281&lt;=90))</f>
        <v>0</v>
      </c>
      <c r="J284" s="6" t="str">
        <f aca="false">IF($I284=FALSE(),"",기념일등록!$I281*1000+ROW())</f>
        <v/>
      </c>
      <c r="K284" s="6" t="str">
        <f aca="false">IF($J284="","",RANK($J284,$J$6:$J$505,1))</f>
        <v/>
      </c>
    </row>
    <row r="285" customFormat="false" ht="15" hidden="false" customHeight="true" outlineLevel="0" collapsed="false">
      <c r="I285" s="26" t="b">
        <f aca="false">IF(기념일등록!$B282="",FALSE(),AND(기념일등록!$I282&gt;=0,기념일등록!$I282&lt;=90))</f>
        <v>0</v>
      </c>
      <c r="J285" s="6" t="str">
        <f aca="false">IF($I285=FALSE(),"",기념일등록!$I282*1000+ROW())</f>
        <v/>
      </c>
      <c r="K285" s="6" t="str">
        <f aca="false">IF($J285="","",RANK($J285,$J$6:$J$505,1))</f>
        <v/>
      </c>
    </row>
    <row r="286" customFormat="false" ht="15" hidden="false" customHeight="true" outlineLevel="0" collapsed="false">
      <c r="I286" s="26" t="b">
        <f aca="false">IF(기념일등록!$B283="",FALSE(),AND(기념일등록!$I283&gt;=0,기념일등록!$I283&lt;=90))</f>
        <v>0</v>
      </c>
      <c r="J286" s="6" t="str">
        <f aca="false">IF($I286=FALSE(),"",기념일등록!$I283*1000+ROW())</f>
        <v/>
      </c>
      <c r="K286" s="6" t="str">
        <f aca="false">IF($J286="","",RANK($J286,$J$6:$J$505,1))</f>
        <v/>
      </c>
    </row>
    <row r="287" customFormat="false" ht="15" hidden="false" customHeight="true" outlineLevel="0" collapsed="false">
      <c r="I287" s="26" t="b">
        <f aca="false">IF(기념일등록!$B284="",FALSE(),AND(기념일등록!$I284&gt;=0,기념일등록!$I284&lt;=90))</f>
        <v>0</v>
      </c>
      <c r="J287" s="6" t="str">
        <f aca="false">IF($I287=FALSE(),"",기념일등록!$I284*1000+ROW())</f>
        <v/>
      </c>
      <c r="K287" s="6" t="str">
        <f aca="false">IF($J287="","",RANK($J287,$J$6:$J$505,1))</f>
        <v/>
      </c>
    </row>
    <row r="288" customFormat="false" ht="15" hidden="false" customHeight="true" outlineLevel="0" collapsed="false">
      <c r="I288" s="26" t="b">
        <f aca="false">IF(기념일등록!$B285="",FALSE(),AND(기념일등록!$I285&gt;=0,기념일등록!$I285&lt;=90))</f>
        <v>0</v>
      </c>
      <c r="J288" s="6" t="str">
        <f aca="false">IF($I288=FALSE(),"",기념일등록!$I285*1000+ROW())</f>
        <v/>
      </c>
      <c r="K288" s="6" t="str">
        <f aca="false">IF($J288="","",RANK($J288,$J$6:$J$505,1))</f>
        <v/>
      </c>
    </row>
    <row r="289" customFormat="false" ht="15" hidden="false" customHeight="true" outlineLevel="0" collapsed="false">
      <c r="I289" s="26" t="b">
        <f aca="false">IF(기념일등록!$B286="",FALSE(),AND(기념일등록!$I286&gt;=0,기념일등록!$I286&lt;=90))</f>
        <v>0</v>
      </c>
      <c r="J289" s="6" t="str">
        <f aca="false">IF($I289=FALSE(),"",기념일등록!$I286*1000+ROW())</f>
        <v/>
      </c>
      <c r="K289" s="6" t="str">
        <f aca="false">IF($J289="","",RANK($J289,$J$6:$J$505,1))</f>
        <v/>
      </c>
    </row>
    <row r="290" customFormat="false" ht="15" hidden="false" customHeight="true" outlineLevel="0" collapsed="false">
      <c r="I290" s="26" t="b">
        <f aca="false">IF(기념일등록!$B287="",FALSE(),AND(기념일등록!$I287&gt;=0,기념일등록!$I287&lt;=90))</f>
        <v>0</v>
      </c>
      <c r="J290" s="6" t="str">
        <f aca="false">IF($I290=FALSE(),"",기념일등록!$I287*1000+ROW())</f>
        <v/>
      </c>
      <c r="K290" s="6" t="str">
        <f aca="false">IF($J290="","",RANK($J290,$J$6:$J$505,1))</f>
        <v/>
      </c>
    </row>
    <row r="291" customFormat="false" ht="15" hidden="false" customHeight="true" outlineLevel="0" collapsed="false">
      <c r="I291" s="26" t="b">
        <f aca="false">IF(기념일등록!$B288="",FALSE(),AND(기념일등록!$I288&gt;=0,기념일등록!$I288&lt;=90))</f>
        <v>0</v>
      </c>
      <c r="J291" s="6" t="str">
        <f aca="false">IF($I291=FALSE(),"",기념일등록!$I288*1000+ROW())</f>
        <v/>
      </c>
      <c r="K291" s="6" t="str">
        <f aca="false">IF($J291="","",RANK($J291,$J$6:$J$505,1))</f>
        <v/>
      </c>
    </row>
    <row r="292" customFormat="false" ht="15" hidden="false" customHeight="true" outlineLevel="0" collapsed="false">
      <c r="I292" s="26" t="b">
        <f aca="false">IF(기념일등록!$B289="",FALSE(),AND(기념일등록!$I289&gt;=0,기념일등록!$I289&lt;=90))</f>
        <v>0</v>
      </c>
      <c r="J292" s="6" t="str">
        <f aca="false">IF($I292=FALSE(),"",기념일등록!$I289*1000+ROW())</f>
        <v/>
      </c>
      <c r="K292" s="6" t="str">
        <f aca="false">IF($J292="","",RANK($J292,$J$6:$J$505,1))</f>
        <v/>
      </c>
    </row>
    <row r="293" customFormat="false" ht="15" hidden="false" customHeight="true" outlineLevel="0" collapsed="false">
      <c r="I293" s="26" t="b">
        <f aca="false">IF(기념일등록!$B290="",FALSE(),AND(기념일등록!$I290&gt;=0,기념일등록!$I290&lt;=90))</f>
        <v>0</v>
      </c>
      <c r="J293" s="6" t="str">
        <f aca="false">IF($I293=FALSE(),"",기념일등록!$I290*1000+ROW())</f>
        <v/>
      </c>
      <c r="K293" s="6" t="str">
        <f aca="false">IF($J293="","",RANK($J293,$J$6:$J$505,1))</f>
        <v/>
      </c>
    </row>
    <row r="294" customFormat="false" ht="15" hidden="false" customHeight="true" outlineLevel="0" collapsed="false">
      <c r="I294" s="26" t="b">
        <f aca="false">IF(기념일등록!$B291="",FALSE(),AND(기념일등록!$I291&gt;=0,기념일등록!$I291&lt;=90))</f>
        <v>0</v>
      </c>
      <c r="J294" s="6" t="str">
        <f aca="false">IF($I294=FALSE(),"",기념일등록!$I291*1000+ROW())</f>
        <v/>
      </c>
      <c r="K294" s="6" t="str">
        <f aca="false">IF($J294="","",RANK($J294,$J$6:$J$505,1))</f>
        <v/>
      </c>
    </row>
    <row r="295" customFormat="false" ht="15" hidden="false" customHeight="true" outlineLevel="0" collapsed="false">
      <c r="I295" s="26" t="b">
        <f aca="false">IF(기념일등록!$B292="",FALSE(),AND(기념일등록!$I292&gt;=0,기념일등록!$I292&lt;=90))</f>
        <v>0</v>
      </c>
      <c r="J295" s="6" t="str">
        <f aca="false">IF($I295=FALSE(),"",기념일등록!$I292*1000+ROW())</f>
        <v/>
      </c>
      <c r="K295" s="6" t="str">
        <f aca="false">IF($J295="","",RANK($J295,$J$6:$J$505,1))</f>
        <v/>
      </c>
    </row>
    <row r="296" customFormat="false" ht="15" hidden="false" customHeight="true" outlineLevel="0" collapsed="false">
      <c r="I296" s="26" t="b">
        <f aca="false">IF(기념일등록!$B293="",FALSE(),AND(기념일등록!$I293&gt;=0,기념일등록!$I293&lt;=90))</f>
        <v>0</v>
      </c>
      <c r="J296" s="6" t="str">
        <f aca="false">IF($I296=FALSE(),"",기념일등록!$I293*1000+ROW())</f>
        <v/>
      </c>
      <c r="K296" s="6" t="str">
        <f aca="false">IF($J296="","",RANK($J296,$J$6:$J$505,1))</f>
        <v/>
      </c>
    </row>
    <row r="297" customFormat="false" ht="15" hidden="false" customHeight="true" outlineLevel="0" collapsed="false">
      <c r="I297" s="26" t="b">
        <f aca="false">IF(기념일등록!$B294="",FALSE(),AND(기념일등록!$I294&gt;=0,기념일등록!$I294&lt;=90))</f>
        <v>0</v>
      </c>
      <c r="J297" s="6" t="str">
        <f aca="false">IF($I297=FALSE(),"",기념일등록!$I294*1000+ROW())</f>
        <v/>
      </c>
      <c r="K297" s="6" t="str">
        <f aca="false">IF($J297="","",RANK($J297,$J$6:$J$505,1))</f>
        <v/>
      </c>
    </row>
    <row r="298" customFormat="false" ht="15" hidden="false" customHeight="true" outlineLevel="0" collapsed="false">
      <c r="I298" s="26" t="b">
        <f aca="false">IF(기념일등록!$B295="",FALSE(),AND(기념일등록!$I295&gt;=0,기념일등록!$I295&lt;=90))</f>
        <v>0</v>
      </c>
      <c r="J298" s="6" t="str">
        <f aca="false">IF($I298=FALSE(),"",기념일등록!$I295*1000+ROW())</f>
        <v/>
      </c>
      <c r="K298" s="6" t="str">
        <f aca="false">IF($J298="","",RANK($J298,$J$6:$J$505,1))</f>
        <v/>
      </c>
    </row>
    <row r="299" customFormat="false" ht="15" hidden="false" customHeight="true" outlineLevel="0" collapsed="false">
      <c r="I299" s="26" t="b">
        <f aca="false">IF(기념일등록!$B296="",FALSE(),AND(기념일등록!$I296&gt;=0,기념일등록!$I296&lt;=90))</f>
        <v>0</v>
      </c>
      <c r="J299" s="6" t="str">
        <f aca="false">IF($I299=FALSE(),"",기념일등록!$I296*1000+ROW())</f>
        <v/>
      </c>
      <c r="K299" s="6" t="str">
        <f aca="false">IF($J299="","",RANK($J299,$J$6:$J$505,1))</f>
        <v/>
      </c>
    </row>
    <row r="300" customFormat="false" ht="15" hidden="false" customHeight="true" outlineLevel="0" collapsed="false">
      <c r="I300" s="26" t="b">
        <f aca="false">IF(기념일등록!$B297="",FALSE(),AND(기념일등록!$I297&gt;=0,기념일등록!$I297&lt;=90))</f>
        <v>0</v>
      </c>
      <c r="J300" s="6" t="str">
        <f aca="false">IF($I300=FALSE(),"",기념일등록!$I297*1000+ROW())</f>
        <v/>
      </c>
      <c r="K300" s="6" t="str">
        <f aca="false">IF($J300="","",RANK($J300,$J$6:$J$505,1))</f>
        <v/>
      </c>
    </row>
    <row r="301" customFormat="false" ht="15" hidden="false" customHeight="true" outlineLevel="0" collapsed="false">
      <c r="I301" s="26" t="b">
        <f aca="false">IF(기념일등록!$B298="",FALSE(),AND(기념일등록!$I298&gt;=0,기념일등록!$I298&lt;=90))</f>
        <v>0</v>
      </c>
      <c r="J301" s="6" t="str">
        <f aca="false">IF($I301=FALSE(),"",기념일등록!$I298*1000+ROW())</f>
        <v/>
      </c>
      <c r="K301" s="6" t="str">
        <f aca="false">IF($J301="","",RANK($J301,$J$6:$J$505,1))</f>
        <v/>
      </c>
    </row>
    <row r="302" customFormat="false" ht="15" hidden="false" customHeight="true" outlineLevel="0" collapsed="false">
      <c r="I302" s="26" t="b">
        <f aca="false">IF(기념일등록!$B299="",FALSE(),AND(기념일등록!$I299&gt;=0,기념일등록!$I299&lt;=90))</f>
        <v>0</v>
      </c>
      <c r="J302" s="6" t="str">
        <f aca="false">IF($I302=FALSE(),"",기념일등록!$I299*1000+ROW())</f>
        <v/>
      </c>
      <c r="K302" s="6" t="str">
        <f aca="false">IF($J302="","",RANK($J302,$J$6:$J$505,1))</f>
        <v/>
      </c>
    </row>
    <row r="303" customFormat="false" ht="15" hidden="false" customHeight="true" outlineLevel="0" collapsed="false">
      <c r="I303" s="26" t="b">
        <f aca="false">IF(기념일등록!$B300="",FALSE(),AND(기념일등록!$I300&gt;=0,기념일등록!$I300&lt;=90))</f>
        <v>0</v>
      </c>
      <c r="J303" s="6" t="str">
        <f aca="false">IF($I303=FALSE(),"",기념일등록!$I300*1000+ROW())</f>
        <v/>
      </c>
      <c r="K303" s="6" t="str">
        <f aca="false">IF($J303="","",RANK($J303,$J$6:$J$505,1))</f>
        <v/>
      </c>
    </row>
    <row r="304" customFormat="false" ht="15" hidden="false" customHeight="true" outlineLevel="0" collapsed="false">
      <c r="I304" s="26" t="b">
        <f aca="false">IF(기념일등록!$B301="",FALSE(),AND(기념일등록!$I301&gt;=0,기념일등록!$I301&lt;=90))</f>
        <v>0</v>
      </c>
      <c r="J304" s="6" t="str">
        <f aca="false">IF($I304=FALSE(),"",기념일등록!$I301*1000+ROW())</f>
        <v/>
      </c>
      <c r="K304" s="6" t="str">
        <f aca="false">IF($J304="","",RANK($J304,$J$6:$J$505,1))</f>
        <v/>
      </c>
    </row>
    <row r="305" customFormat="false" ht="15" hidden="false" customHeight="true" outlineLevel="0" collapsed="false">
      <c r="I305" s="26" t="b">
        <f aca="false">IF(기념일등록!$B302="",FALSE(),AND(기념일등록!$I302&gt;=0,기념일등록!$I302&lt;=90))</f>
        <v>0</v>
      </c>
      <c r="J305" s="6" t="str">
        <f aca="false">IF($I305=FALSE(),"",기념일등록!$I302*1000+ROW())</f>
        <v/>
      </c>
      <c r="K305" s="6" t="str">
        <f aca="false">IF($J305="","",RANK($J305,$J$6:$J$505,1))</f>
        <v/>
      </c>
    </row>
    <row r="306" customFormat="false" ht="15" hidden="false" customHeight="true" outlineLevel="0" collapsed="false">
      <c r="I306" s="26" t="b">
        <f aca="false">IF(기념일등록!$B303="",FALSE(),AND(기념일등록!$I303&gt;=0,기념일등록!$I303&lt;=90))</f>
        <v>0</v>
      </c>
      <c r="J306" s="6" t="str">
        <f aca="false">IF($I306=FALSE(),"",기념일등록!$I303*1000+ROW())</f>
        <v/>
      </c>
      <c r="K306" s="6" t="str">
        <f aca="false">IF($J306="","",RANK($J306,$J$6:$J$505,1))</f>
        <v/>
      </c>
    </row>
    <row r="307" customFormat="false" ht="15" hidden="false" customHeight="true" outlineLevel="0" collapsed="false">
      <c r="I307" s="26" t="b">
        <f aca="false">IF(기념일등록!$B304="",FALSE(),AND(기념일등록!$I304&gt;=0,기념일등록!$I304&lt;=90))</f>
        <v>0</v>
      </c>
      <c r="J307" s="6" t="str">
        <f aca="false">IF($I307=FALSE(),"",기념일등록!$I304*1000+ROW())</f>
        <v/>
      </c>
      <c r="K307" s="6" t="str">
        <f aca="false">IF($J307="","",RANK($J307,$J$6:$J$505,1))</f>
        <v/>
      </c>
    </row>
    <row r="308" customFormat="false" ht="15" hidden="false" customHeight="true" outlineLevel="0" collapsed="false">
      <c r="I308" s="26" t="b">
        <f aca="false">IF(기념일등록!$B305="",FALSE(),AND(기념일등록!$I305&gt;=0,기념일등록!$I305&lt;=90))</f>
        <v>0</v>
      </c>
      <c r="J308" s="6" t="str">
        <f aca="false">IF($I308=FALSE(),"",기념일등록!$I305*1000+ROW())</f>
        <v/>
      </c>
      <c r="K308" s="6" t="str">
        <f aca="false">IF($J308="","",RANK($J308,$J$6:$J$505,1))</f>
        <v/>
      </c>
    </row>
    <row r="309" customFormat="false" ht="15" hidden="false" customHeight="true" outlineLevel="0" collapsed="false">
      <c r="I309" s="26" t="b">
        <f aca="false">IF(기념일등록!$B306="",FALSE(),AND(기념일등록!$I306&gt;=0,기념일등록!$I306&lt;=90))</f>
        <v>0</v>
      </c>
      <c r="J309" s="6" t="str">
        <f aca="false">IF($I309=FALSE(),"",기념일등록!$I306*1000+ROW())</f>
        <v/>
      </c>
      <c r="K309" s="6" t="str">
        <f aca="false">IF($J309="","",RANK($J309,$J$6:$J$505,1))</f>
        <v/>
      </c>
    </row>
    <row r="310" customFormat="false" ht="15" hidden="false" customHeight="true" outlineLevel="0" collapsed="false">
      <c r="I310" s="26" t="b">
        <f aca="false">IF(기념일등록!$B307="",FALSE(),AND(기념일등록!$I307&gt;=0,기념일등록!$I307&lt;=90))</f>
        <v>0</v>
      </c>
      <c r="J310" s="6" t="str">
        <f aca="false">IF($I310=FALSE(),"",기념일등록!$I307*1000+ROW())</f>
        <v/>
      </c>
      <c r="K310" s="6" t="str">
        <f aca="false">IF($J310="","",RANK($J310,$J$6:$J$505,1))</f>
        <v/>
      </c>
    </row>
    <row r="311" customFormat="false" ht="15" hidden="false" customHeight="true" outlineLevel="0" collapsed="false">
      <c r="I311" s="26" t="b">
        <f aca="false">IF(기념일등록!$B308="",FALSE(),AND(기념일등록!$I308&gt;=0,기념일등록!$I308&lt;=90))</f>
        <v>0</v>
      </c>
      <c r="J311" s="6" t="str">
        <f aca="false">IF($I311=FALSE(),"",기념일등록!$I308*1000+ROW())</f>
        <v/>
      </c>
      <c r="K311" s="6" t="str">
        <f aca="false">IF($J311="","",RANK($J311,$J$6:$J$505,1))</f>
        <v/>
      </c>
    </row>
    <row r="312" customFormat="false" ht="15" hidden="false" customHeight="true" outlineLevel="0" collapsed="false">
      <c r="I312" s="26" t="b">
        <f aca="false">IF(기념일등록!$B309="",FALSE(),AND(기념일등록!$I309&gt;=0,기념일등록!$I309&lt;=90))</f>
        <v>0</v>
      </c>
      <c r="J312" s="6" t="str">
        <f aca="false">IF($I312=FALSE(),"",기념일등록!$I309*1000+ROW())</f>
        <v/>
      </c>
      <c r="K312" s="6" t="str">
        <f aca="false">IF($J312="","",RANK($J312,$J$6:$J$505,1))</f>
        <v/>
      </c>
    </row>
    <row r="313" customFormat="false" ht="15" hidden="false" customHeight="true" outlineLevel="0" collapsed="false">
      <c r="I313" s="26" t="b">
        <f aca="false">IF(기념일등록!$B310="",FALSE(),AND(기념일등록!$I310&gt;=0,기념일등록!$I310&lt;=90))</f>
        <v>0</v>
      </c>
      <c r="J313" s="6" t="str">
        <f aca="false">IF($I313=FALSE(),"",기념일등록!$I310*1000+ROW())</f>
        <v/>
      </c>
      <c r="K313" s="6" t="str">
        <f aca="false">IF($J313="","",RANK($J313,$J$6:$J$505,1))</f>
        <v/>
      </c>
    </row>
    <row r="314" customFormat="false" ht="15" hidden="false" customHeight="true" outlineLevel="0" collapsed="false">
      <c r="I314" s="26" t="b">
        <f aca="false">IF(기념일등록!$B311="",FALSE(),AND(기념일등록!$I311&gt;=0,기념일등록!$I311&lt;=90))</f>
        <v>0</v>
      </c>
      <c r="J314" s="6" t="str">
        <f aca="false">IF($I314=FALSE(),"",기념일등록!$I311*1000+ROW())</f>
        <v/>
      </c>
      <c r="K314" s="6" t="str">
        <f aca="false">IF($J314="","",RANK($J314,$J$6:$J$505,1))</f>
        <v/>
      </c>
    </row>
    <row r="315" customFormat="false" ht="15" hidden="false" customHeight="true" outlineLevel="0" collapsed="false">
      <c r="I315" s="26" t="b">
        <f aca="false">IF(기념일등록!$B312="",FALSE(),AND(기념일등록!$I312&gt;=0,기념일등록!$I312&lt;=90))</f>
        <v>0</v>
      </c>
      <c r="J315" s="6" t="str">
        <f aca="false">IF($I315=FALSE(),"",기념일등록!$I312*1000+ROW())</f>
        <v/>
      </c>
      <c r="K315" s="6" t="str">
        <f aca="false">IF($J315="","",RANK($J315,$J$6:$J$505,1))</f>
        <v/>
      </c>
    </row>
    <row r="316" customFormat="false" ht="15" hidden="false" customHeight="true" outlineLevel="0" collapsed="false">
      <c r="I316" s="26" t="b">
        <f aca="false">IF(기념일등록!$B313="",FALSE(),AND(기념일등록!$I313&gt;=0,기념일등록!$I313&lt;=90))</f>
        <v>0</v>
      </c>
      <c r="J316" s="6" t="str">
        <f aca="false">IF($I316=FALSE(),"",기념일등록!$I313*1000+ROW())</f>
        <v/>
      </c>
      <c r="K316" s="6" t="str">
        <f aca="false">IF($J316="","",RANK($J316,$J$6:$J$505,1))</f>
        <v/>
      </c>
    </row>
    <row r="317" customFormat="false" ht="15" hidden="false" customHeight="true" outlineLevel="0" collapsed="false">
      <c r="I317" s="26" t="b">
        <f aca="false">IF(기념일등록!$B314="",FALSE(),AND(기념일등록!$I314&gt;=0,기념일등록!$I314&lt;=90))</f>
        <v>0</v>
      </c>
      <c r="J317" s="6" t="str">
        <f aca="false">IF($I317=FALSE(),"",기념일등록!$I314*1000+ROW())</f>
        <v/>
      </c>
      <c r="K317" s="6" t="str">
        <f aca="false">IF($J317="","",RANK($J317,$J$6:$J$505,1))</f>
        <v/>
      </c>
    </row>
    <row r="318" customFormat="false" ht="15" hidden="false" customHeight="true" outlineLevel="0" collapsed="false">
      <c r="I318" s="26" t="b">
        <f aca="false">IF(기념일등록!$B315="",FALSE(),AND(기념일등록!$I315&gt;=0,기념일등록!$I315&lt;=90))</f>
        <v>0</v>
      </c>
      <c r="J318" s="6" t="str">
        <f aca="false">IF($I318=FALSE(),"",기념일등록!$I315*1000+ROW())</f>
        <v/>
      </c>
      <c r="K318" s="6" t="str">
        <f aca="false">IF($J318="","",RANK($J318,$J$6:$J$505,1))</f>
        <v/>
      </c>
    </row>
    <row r="319" customFormat="false" ht="15" hidden="false" customHeight="true" outlineLevel="0" collapsed="false">
      <c r="I319" s="26" t="b">
        <f aca="false">IF(기념일등록!$B316="",FALSE(),AND(기념일등록!$I316&gt;=0,기념일등록!$I316&lt;=90))</f>
        <v>0</v>
      </c>
      <c r="J319" s="6" t="str">
        <f aca="false">IF($I319=FALSE(),"",기념일등록!$I316*1000+ROW())</f>
        <v/>
      </c>
      <c r="K319" s="6" t="str">
        <f aca="false">IF($J319="","",RANK($J319,$J$6:$J$505,1))</f>
        <v/>
      </c>
    </row>
    <row r="320" customFormat="false" ht="15" hidden="false" customHeight="true" outlineLevel="0" collapsed="false">
      <c r="I320" s="26" t="b">
        <f aca="false">IF(기념일등록!$B317="",FALSE(),AND(기념일등록!$I317&gt;=0,기념일등록!$I317&lt;=90))</f>
        <v>0</v>
      </c>
      <c r="J320" s="6" t="str">
        <f aca="false">IF($I320=FALSE(),"",기념일등록!$I317*1000+ROW())</f>
        <v/>
      </c>
      <c r="K320" s="6" t="str">
        <f aca="false">IF($J320="","",RANK($J320,$J$6:$J$505,1))</f>
        <v/>
      </c>
    </row>
    <row r="321" customFormat="false" ht="15" hidden="false" customHeight="true" outlineLevel="0" collapsed="false">
      <c r="I321" s="26" t="b">
        <f aca="false">IF(기념일등록!$B318="",FALSE(),AND(기념일등록!$I318&gt;=0,기념일등록!$I318&lt;=90))</f>
        <v>0</v>
      </c>
      <c r="J321" s="6" t="str">
        <f aca="false">IF($I321=FALSE(),"",기념일등록!$I318*1000+ROW())</f>
        <v/>
      </c>
      <c r="K321" s="6" t="str">
        <f aca="false">IF($J321="","",RANK($J321,$J$6:$J$505,1))</f>
        <v/>
      </c>
    </row>
    <row r="322" customFormat="false" ht="15" hidden="false" customHeight="true" outlineLevel="0" collapsed="false">
      <c r="I322" s="26" t="b">
        <f aca="false">IF(기념일등록!$B319="",FALSE(),AND(기념일등록!$I319&gt;=0,기념일등록!$I319&lt;=90))</f>
        <v>0</v>
      </c>
      <c r="J322" s="6" t="str">
        <f aca="false">IF($I322=FALSE(),"",기념일등록!$I319*1000+ROW())</f>
        <v/>
      </c>
      <c r="K322" s="6" t="str">
        <f aca="false">IF($J322="","",RANK($J322,$J$6:$J$505,1))</f>
        <v/>
      </c>
    </row>
    <row r="323" customFormat="false" ht="15" hidden="false" customHeight="true" outlineLevel="0" collapsed="false">
      <c r="I323" s="26" t="b">
        <f aca="false">IF(기념일등록!$B320="",FALSE(),AND(기념일등록!$I320&gt;=0,기념일등록!$I320&lt;=90))</f>
        <v>0</v>
      </c>
      <c r="J323" s="6" t="str">
        <f aca="false">IF($I323=FALSE(),"",기념일등록!$I320*1000+ROW())</f>
        <v/>
      </c>
      <c r="K323" s="6" t="str">
        <f aca="false">IF($J323="","",RANK($J323,$J$6:$J$505,1))</f>
        <v/>
      </c>
    </row>
    <row r="324" customFormat="false" ht="15" hidden="false" customHeight="true" outlineLevel="0" collapsed="false">
      <c r="I324" s="26" t="b">
        <f aca="false">IF(기념일등록!$B321="",FALSE(),AND(기념일등록!$I321&gt;=0,기념일등록!$I321&lt;=90))</f>
        <v>0</v>
      </c>
      <c r="J324" s="6" t="str">
        <f aca="false">IF($I324=FALSE(),"",기념일등록!$I321*1000+ROW())</f>
        <v/>
      </c>
      <c r="K324" s="6" t="str">
        <f aca="false">IF($J324="","",RANK($J324,$J$6:$J$505,1))</f>
        <v/>
      </c>
    </row>
    <row r="325" customFormat="false" ht="15" hidden="false" customHeight="true" outlineLevel="0" collapsed="false">
      <c r="I325" s="26" t="b">
        <f aca="false">IF(기념일등록!$B322="",FALSE(),AND(기념일등록!$I322&gt;=0,기념일등록!$I322&lt;=90))</f>
        <v>0</v>
      </c>
      <c r="J325" s="6" t="str">
        <f aca="false">IF($I325=FALSE(),"",기념일등록!$I322*1000+ROW())</f>
        <v/>
      </c>
      <c r="K325" s="6" t="str">
        <f aca="false">IF($J325="","",RANK($J325,$J$6:$J$505,1))</f>
        <v/>
      </c>
    </row>
    <row r="326" customFormat="false" ht="15" hidden="false" customHeight="true" outlineLevel="0" collapsed="false">
      <c r="I326" s="26" t="b">
        <f aca="false">IF(기념일등록!$B323="",FALSE(),AND(기념일등록!$I323&gt;=0,기념일등록!$I323&lt;=90))</f>
        <v>0</v>
      </c>
      <c r="J326" s="6" t="str">
        <f aca="false">IF($I326=FALSE(),"",기념일등록!$I323*1000+ROW())</f>
        <v/>
      </c>
      <c r="K326" s="6" t="str">
        <f aca="false">IF($J326="","",RANK($J326,$J$6:$J$505,1))</f>
        <v/>
      </c>
    </row>
    <row r="327" customFormat="false" ht="15" hidden="false" customHeight="true" outlineLevel="0" collapsed="false">
      <c r="I327" s="26" t="b">
        <f aca="false">IF(기념일등록!$B324="",FALSE(),AND(기념일등록!$I324&gt;=0,기념일등록!$I324&lt;=90))</f>
        <v>0</v>
      </c>
      <c r="J327" s="6" t="str">
        <f aca="false">IF($I327=FALSE(),"",기념일등록!$I324*1000+ROW())</f>
        <v/>
      </c>
      <c r="K327" s="6" t="str">
        <f aca="false">IF($J327="","",RANK($J327,$J$6:$J$505,1))</f>
        <v/>
      </c>
    </row>
    <row r="328" customFormat="false" ht="15" hidden="false" customHeight="true" outlineLevel="0" collapsed="false">
      <c r="I328" s="26" t="b">
        <f aca="false">IF(기념일등록!$B325="",FALSE(),AND(기념일등록!$I325&gt;=0,기념일등록!$I325&lt;=90))</f>
        <v>0</v>
      </c>
      <c r="J328" s="6" t="str">
        <f aca="false">IF($I328=FALSE(),"",기념일등록!$I325*1000+ROW())</f>
        <v/>
      </c>
      <c r="K328" s="6" t="str">
        <f aca="false">IF($J328="","",RANK($J328,$J$6:$J$505,1))</f>
        <v/>
      </c>
    </row>
    <row r="329" customFormat="false" ht="15" hidden="false" customHeight="true" outlineLevel="0" collapsed="false">
      <c r="I329" s="26" t="b">
        <f aca="false">IF(기념일등록!$B326="",FALSE(),AND(기념일등록!$I326&gt;=0,기념일등록!$I326&lt;=90))</f>
        <v>0</v>
      </c>
      <c r="J329" s="6" t="str">
        <f aca="false">IF($I329=FALSE(),"",기념일등록!$I326*1000+ROW())</f>
        <v/>
      </c>
      <c r="K329" s="6" t="str">
        <f aca="false">IF($J329="","",RANK($J329,$J$6:$J$505,1))</f>
        <v/>
      </c>
    </row>
    <row r="330" customFormat="false" ht="15" hidden="false" customHeight="true" outlineLevel="0" collapsed="false">
      <c r="I330" s="26" t="b">
        <f aca="false">IF(기념일등록!$B327="",FALSE(),AND(기념일등록!$I327&gt;=0,기념일등록!$I327&lt;=90))</f>
        <v>0</v>
      </c>
      <c r="J330" s="6" t="str">
        <f aca="false">IF($I330=FALSE(),"",기념일등록!$I327*1000+ROW())</f>
        <v/>
      </c>
      <c r="K330" s="6" t="str">
        <f aca="false">IF($J330="","",RANK($J330,$J$6:$J$505,1))</f>
        <v/>
      </c>
    </row>
    <row r="331" customFormat="false" ht="15" hidden="false" customHeight="true" outlineLevel="0" collapsed="false">
      <c r="I331" s="26" t="b">
        <f aca="false">IF(기념일등록!$B328="",FALSE(),AND(기념일등록!$I328&gt;=0,기념일등록!$I328&lt;=90))</f>
        <v>0</v>
      </c>
      <c r="J331" s="6" t="str">
        <f aca="false">IF($I331=FALSE(),"",기념일등록!$I328*1000+ROW())</f>
        <v/>
      </c>
      <c r="K331" s="6" t="str">
        <f aca="false">IF($J331="","",RANK($J331,$J$6:$J$505,1))</f>
        <v/>
      </c>
    </row>
    <row r="332" customFormat="false" ht="15" hidden="false" customHeight="true" outlineLevel="0" collapsed="false">
      <c r="I332" s="26" t="b">
        <f aca="false">IF(기념일등록!$B329="",FALSE(),AND(기념일등록!$I329&gt;=0,기념일등록!$I329&lt;=90))</f>
        <v>0</v>
      </c>
      <c r="J332" s="6" t="str">
        <f aca="false">IF($I332=FALSE(),"",기념일등록!$I329*1000+ROW())</f>
        <v/>
      </c>
      <c r="K332" s="6" t="str">
        <f aca="false">IF($J332="","",RANK($J332,$J$6:$J$505,1))</f>
        <v/>
      </c>
    </row>
    <row r="333" customFormat="false" ht="15" hidden="false" customHeight="true" outlineLevel="0" collapsed="false">
      <c r="I333" s="26" t="b">
        <f aca="false">IF(기념일등록!$B330="",FALSE(),AND(기념일등록!$I330&gt;=0,기념일등록!$I330&lt;=90))</f>
        <v>0</v>
      </c>
      <c r="J333" s="6" t="str">
        <f aca="false">IF($I333=FALSE(),"",기념일등록!$I330*1000+ROW())</f>
        <v/>
      </c>
      <c r="K333" s="6" t="str">
        <f aca="false">IF($J333="","",RANK($J333,$J$6:$J$505,1))</f>
        <v/>
      </c>
    </row>
    <row r="334" customFormat="false" ht="15" hidden="false" customHeight="true" outlineLevel="0" collapsed="false">
      <c r="I334" s="26" t="b">
        <f aca="false">IF(기념일등록!$B331="",FALSE(),AND(기념일등록!$I331&gt;=0,기념일등록!$I331&lt;=90))</f>
        <v>0</v>
      </c>
      <c r="J334" s="6" t="str">
        <f aca="false">IF($I334=FALSE(),"",기념일등록!$I331*1000+ROW())</f>
        <v/>
      </c>
      <c r="K334" s="6" t="str">
        <f aca="false">IF($J334="","",RANK($J334,$J$6:$J$505,1))</f>
        <v/>
      </c>
    </row>
    <row r="335" customFormat="false" ht="15" hidden="false" customHeight="true" outlineLevel="0" collapsed="false">
      <c r="I335" s="26" t="b">
        <f aca="false">IF(기념일등록!$B332="",FALSE(),AND(기념일등록!$I332&gt;=0,기념일등록!$I332&lt;=90))</f>
        <v>0</v>
      </c>
      <c r="J335" s="6" t="str">
        <f aca="false">IF($I335=FALSE(),"",기념일등록!$I332*1000+ROW())</f>
        <v/>
      </c>
      <c r="K335" s="6" t="str">
        <f aca="false">IF($J335="","",RANK($J335,$J$6:$J$505,1))</f>
        <v/>
      </c>
    </row>
    <row r="336" customFormat="false" ht="15" hidden="false" customHeight="true" outlineLevel="0" collapsed="false">
      <c r="I336" s="26" t="b">
        <f aca="false">IF(기념일등록!$B333="",FALSE(),AND(기념일등록!$I333&gt;=0,기념일등록!$I333&lt;=90))</f>
        <v>0</v>
      </c>
      <c r="J336" s="6" t="str">
        <f aca="false">IF($I336=FALSE(),"",기념일등록!$I333*1000+ROW())</f>
        <v/>
      </c>
      <c r="K336" s="6" t="str">
        <f aca="false">IF($J336="","",RANK($J336,$J$6:$J$505,1))</f>
        <v/>
      </c>
    </row>
    <row r="337" customFormat="false" ht="15" hidden="false" customHeight="true" outlineLevel="0" collapsed="false">
      <c r="I337" s="26" t="b">
        <f aca="false">IF(기념일등록!$B334="",FALSE(),AND(기념일등록!$I334&gt;=0,기념일등록!$I334&lt;=90))</f>
        <v>0</v>
      </c>
      <c r="J337" s="6" t="str">
        <f aca="false">IF($I337=FALSE(),"",기념일등록!$I334*1000+ROW())</f>
        <v/>
      </c>
      <c r="K337" s="6" t="str">
        <f aca="false">IF($J337="","",RANK($J337,$J$6:$J$505,1))</f>
        <v/>
      </c>
    </row>
    <row r="338" customFormat="false" ht="15" hidden="false" customHeight="true" outlineLevel="0" collapsed="false">
      <c r="I338" s="26" t="b">
        <f aca="false">IF(기념일등록!$B335="",FALSE(),AND(기념일등록!$I335&gt;=0,기념일등록!$I335&lt;=90))</f>
        <v>0</v>
      </c>
      <c r="J338" s="6" t="str">
        <f aca="false">IF($I338=FALSE(),"",기념일등록!$I335*1000+ROW())</f>
        <v/>
      </c>
      <c r="K338" s="6" t="str">
        <f aca="false">IF($J338="","",RANK($J338,$J$6:$J$505,1))</f>
        <v/>
      </c>
    </row>
    <row r="339" customFormat="false" ht="15" hidden="false" customHeight="true" outlineLevel="0" collapsed="false">
      <c r="I339" s="26" t="b">
        <f aca="false">IF(기념일등록!$B336="",FALSE(),AND(기념일등록!$I336&gt;=0,기념일등록!$I336&lt;=90))</f>
        <v>0</v>
      </c>
      <c r="J339" s="6" t="str">
        <f aca="false">IF($I339=FALSE(),"",기념일등록!$I336*1000+ROW())</f>
        <v/>
      </c>
      <c r="K339" s="6" t="str">
        <f aca="false">IF($J339="","",RANK($J339,$J$6:$J$505,1))</f>
        <v/>
      </c>
    </row>
    <row r="340" customFormat="false" ht="15" hidden="false" customHeight="true" outlineLevel="0" collapsed="false">
      <c r="I340" s="26" t="b">
        <f aca="false">IF(기념일등록!$B337="",FALSE(),AND(기념일등록!$I337&gt;=0,기념일등록!$I337&lt;=90))</f>
        <v>0</v>
      </c>
      <c r="J340" s="6" t="str">
        <f aca="false">IF($I340=FALSE(),"",기념일등록!$I337*1000+ROW())</f>
        <v/>
      </c>
      <c r="K340" s="6" t="str">
        <f aca="false">IF($J340="","",RANK($J340,$J$6:$J$505,1))</f>
        <v/>
      </c>
    </row>
    <row r="341" customFormat="false" ht="15" hidden="false" customHeight="true" outlineLevel="0" collapsed="false">
      <c r="I341" s="26" t="b">
        <f aca="false">IF(기념일등록!$B338="",FALSE(),AND(기념일등록!$I338&gt;=0,기념일등록!$I338&lt;=90))</f>
        <v>0</v>
      </c>
      <c r="J341" s="6" t="str">
        <f aca="false">IF($I341=FALSE(),"",기념일등록!$I338*1000+ROW())</f>
        <v/>
      </c>
      <c r="K341" s="6" t="str">
        <f aca="false">IF($J341="","",RANK($J341,$J$6:$J$505,1))</f>
        <v/>
      </c>
    </row>
    <row r="342" customFormat="false" ht="15" hidden="false" customHeight="true" outlineLevel="0" collapsed="false">
      <c r="I342" s="26" t="b">
        <f aca="false">IF(기념일등록!$B339="",FALSE(),AND(기념일등록!$I339&gt;=0,기념일등록!$I339&lt;=90))</f>
        <v>0</v>
      </c>
      <c r="J342" s="6" t="str">
        <f aca="false">IF($I342=FALSE(),"",기념일등록!$I339*1000+ROW())</f>
        <v/>
      </c>
      <c r="K342" s="6" t="str">
        <f aca="false">IF($J342="","",RANK($J342,$J$6:$J$505,1))</f>
        <v/>
      </c>
    </row>
    <row r="343" customFormat="false" ht="15" hidden="false" customHeight="true" outlineLevel="0" collapsed="false">
      <c r="I343" s="26" t="b">
        <f aca="false">IF(기념일등록!$B340="",FALSE(),AND(기념일등록!$I340&gt;=0,기념일등록!$I340&lt;=90))</f>
        <v>0</v>
      </c>
      <c r="J343" s="6" t="str">
        <f aca="false">IF($I343=FALSE(),"",기념일등록!$I340*1000+ROW())</f>
        <v/>
      </c>
      <c r="K343" s="6" t="str">
        <f aca="false">IF($J343="","",RANK($J343,$J$6:$J$505,1))</f>
        <v/>
      </c>
    </row>
    <row r="344" customFormat="false" ht="15" hidden="false" customHeight="true" outlineLevel="0" collapsed="false">
      <c r="I344" s="26" t="b">
        <f aca="false">IF(기념일등록!$B341="",FALSE(),AND(기념일등록!$I341&gt;=0,기념일등록!$I341&lt;=90))</f>
        <v>0</v>
      </c>
      <c r="J344" s="6" t="str">
        <f aca="false">IF($I344=FALSE(),"",기념일등록!$I341*1000+ROW())</f>
        <v/>
      </c>
      <c r="K344" s="6" t="str">
        <f aca="false">IF($J344="","",RANK($J344,$J$6:$J$505,1))</f>
        <v/>
      </c>
    </row>
    <row r="345" customFormat="false" ht="15" hidden="false" customHeight="true" outlineLevel="0" collapsed="false">
      <c r="I345" s="26" t="b">
        <f aca="false">IF(기념일등록!$B342="",FALSE(),AND(기념일등록!$I342&gt;=0,기념일등록!$I342&lt;=90))</f>
        <v>0</v>
      </c>
      <c r="J345" s="6" t="str">
        <f aca="false">IF($I345=FALSE(),"",기념일등록!$I342*1000+ROW())</f>
        <v/>
      </c>
      <c r="K345" s="6" t="str">
        <f aca="false">IF($J345="","",RANK($J345,$J$6:$J$505,1))</f>
        <v/>
      </c>
    </row>
    <row r="346" customFormat="false" ht="15" hidden="false" customHeight="true" outlineLevel="0" collapsed="false">
      <c r="I346" s="26" t="b">
        <f aca="false">IF(기념일등록!$B343="",FALSE(),AND(기념일등록!$I343&gt;=0,기념일등록!$I343&lt;=90))</f>
        <v>0</v>
      </c>
      <c r="J346" s="6" t="str">
        <f aca="false">IF($I346=FALSE(),"",기념일등록!$I343*1000+ROW())</f>
        <v/>
      </c>
      <c r="K346" s="6" t="str">
        <f aca="false">IF($J346="","",RANK($J346,$J$6:$J$505,1))</f>
        <v/>
      </c>
    </row>
    <row r="347" customFormat="false" ht="15" hidden="false" customHeight="true" outlineLevel="0" collapsed="false">
      <c r="I347" s="26" t="b">
        <f aca="false">IF(기념일등록!$B344="",FALSE(),AND(기념일등록!$I344&gt;=0,기념일등록!$I344&lt;=90))</f>
        <v>0</v>
      </c>
      <c r="J347" s="6" t="str">
        <f aca="false">IF($I347=FALSE(),"",기념일등록!$I344*1000+ROW())</f>
        <v/>
      </c>
      <c r="K347" s="6" t="str">
        <f aca="false">IF($J347="","",RANK($J347,$J$6:$J$505,1))</f>
        <v/>
      </c>
    </row>
    <row r="348" customFormat="false" ht="15" hidden="false" customHeight="true" outlineLevel="0" collapsed="false">
      <c r="I348" s="26" t="b">
        <f aca="false">IF(기념일등록!$B345="",FALSE(),AND(기념일등록!$I345&gt;=0,기념일등록!$I345&lt;=90))</f>
        <v>0</v>
      </c>
      <c r="J348" s="6" t="str">
        <f aca="false">IF($I348=FALSE(),"",기념일등록!$I345*1000+ROW())</f>
        <v/>
      </c>
      <c r="K348" s="6" t="str">
        <f aca="false">IF($J348="","",RANK($J348,$J$6:$J$505,1))</f>
        <v/>
      </c>
    </row>
    <row r="349" customFormat="false" ht="15" hidden="false" customHeight="true" outlineLevel="0" collapsed="false">
      <c r="I349" s="26" t="b">
        <f aca="false">IF(기념일등록!$B346="",FALSE(),AND(기념일등록!$I346&gt;=0,기념일등록!$I346&lt;=90))</f>
        <v>0</v>
      </c>
      <c r="J349" s="6" t="str">
        <f aca="false">IF($I349=FALSE(),"",기념일등록!$I346*1000+ROW())</f>
        <v/>
      </c>
      <c r="K349" s="6" t="str">
        <f aca="false">IF($J349="","",RANK($J349,$J$6:$J$505,1))</f>
        <v/>
      </c>
    </row>
    <row r="350" customFormat="false" ht="15" hidden="false" customHeight="true" outlineLevel="0" collapsed="false">
      <c r="I350" s="26" t="b">
        <f aca="false">IF(기념일등록!$B347="",FALSE(),AND(기념일등록!$I347&gt;=0,기념일등록!$I347&lt;=90))</f>
        <v>0</v>
      </c>
      <c r="J350" s="6" t="str">
        <f aca="false">IF($I350=FALSE(),"",기념일등록!$I347*1000+ROW())</f>
        <v/>
      </c>
      <c r="K350" s="6" t="str">
        <f aca="false">IF($J350="","",RANK($J350,$J$6:$J$505,1))</f>
        <v/>
      </c>
    </row>
    <row r="351" customFormat="false" ht="15" hidden="false" customHeight="true" outlineLevel="0" collapsed="false">
      <c r="I351" s="26" t="b">
        <f aca="false">IF(기념일등록!$B348="",FALSE(),AND(기념일등록!$I348&gt;=0,기념일등록!$I348&lt;=90))</f>
        <v>0</v>
      </c>
      <c r="J351" s="6" t="str">
        <f aca="false">IF($I351=FALSE(),"",기념일등록!$I348*1000+ROW())</f>
        <v/>
      </c>
      <c r="K351" s="6" t="str">
        <f aca="false">IF($J351="","",RANK($J351,$J$6:$J$505,1))</f>
        <v/>
      </c>
    </row>
    <row r="352" customFormat="false" ht="15" hidden="false" customHeight="true" outlineLevel="0" collapsed="false">
      <c r="I352" s="26" t="b">
        <f aca="false">IF(기념일등록!$B349="",FALSE(),AND(기념일등록!$I349&gt;=0,기념일등록!$I349&lt;=90))</f>
        <v>0</v>
      </c>
      <c r="J352" s="6" t="str">
        <f aca="false">IF($I352=FALSE(),"",기념일등록!$I349*1000+ROW())</f>
        <v/>
      </c>
      <c r="K352" s="6" t="str">
        <f aca="false">IF($J352="","",RANK($J352,$J$6:$J$505,1))</f>
        <v/>
      </c>
    </row>
    <row r="353" customFormat="false" ht="15" hidden="false" customHeight="true" outlineLevel="0" collapsed="false">
      <c r="I353" s="26" t="b">
        <f aca="false">IF(기념일등록!$B350="",FALSE(),AND(기념일등록!$I350&gt;=0,기념일등록!$I350&lt;=90))</f>
        <v>0</v>
      </c>
      <c r="J353" s="6" t="str">
        <f aca="false">IF($I353=FALSE(),"",기념일등록!$I350*1000+ROW())</f>
        <v/>
      </c>
      <c r="K353" s="6" t="str">
        <f aca="false">IF($J353="","",RANK($J353,$J$6:$J$505,1))</f>
        <v/>
      </c>
    </row>
    <row r="354" customFormat="false" ht="15" hidden="false" customHeight="true" outlineLevel="0" collapsed="false">
      <c r="I354" s="26" t="b">
        <f aca="false">IF(기념일등록!$B351="",FALSE(),AND(기념일등록!$I351&gt;=0,기념일등록!$I351&lt;=90))</f>
        <v>0</v>
      </c>
      <c r="J354" s="6" t="str">
        <f aca="false">IF($I354=FALSE(),"",기념일등록!$I351*1000+ROW())</f>
        <v/>
      </c>
      <c r="K354" s="6" t="str">
        <f aca="false">IF($J354="","",RANK($J354,$J$6:$J$505,1))</f>
        <v/>
      </c>
    </row>
    <row r="355" customFormat="false" ht="15" hidden="false" customHeight="true" outlineLevel="0" collapsed="false">
      <c r="I355" s="26" t="b">
        <f aca="false">IF(기념일등록!$B352="",FALSE(),AND(기념일등록!$I352&gt;=0,기념일등록!$I352&lt;=90))</f>
        <v>0</v>
      </c>
      <c r="J355" s="6" t="str">
        <f aca="false">IF($I355=FALSE(),"",기념일등록!$I352*1000+ROW())</f>
        <v/>
      </c>
      <c r="K355" s="6" t="str">
        <f aca="false">IF($J355="","",RANK($J355,$J$6:$J$505,1))</f>
        <v/>
      </c>
    </row>
    <row r="356" customFormat="false" ht="15" hidden="false" customHeight="true" outlineLevel="0" collapsed="false">
      <c r="I356" s="26" t="b">
        <f aca="false">IF(기념일등록!$B353="",FALSE(),AND(기념일등록!$I353&gt;=0,기념일등록!$I353&lt;=90))</f>
        <v>0</v>
      </c>
      <c r="J356" s="6" t="str">
        <f aca="false">IF($I356=FALSE(),"",기념일등록!$I353*1000+ROW())</f>
        <v/>
      </c>
      <c r="K356" s="6" t="str">
        <f aca="false">IF($J356="","",RANK($J356,$J$6:$J$505,1))</f>
        <v/>
      </c>
    </row>
    <row r="357" customFormat="false" ht="15" hidden="false" customHeight="true" outlineLevel="0" collapsed="false">
      <c r="I357" s="26" t="b">
        <f aca="false">IF(기념일등록!$B354="",FALSE(),AND(기념일등록!$I354&gt;=0,기념일등록!$I354&lt;=90))</f>
        <v>0</v>
      </c>
      <c r="J357" s="6" t="str">
        <f aca="false">IF($I357=FALSE(),"",기념일등록!$I354*1000+ROW())</f>
        <v/>
      </c>
      <c r="K357" s="6" t="str">
        <f aca="false">IF($J357="","",RANK($J357,$J$6:$J$505,1))</f>
        <v/>
      </c>
    </row>
    <row r="358" customFormat="false" ht="15" hidden="false" customHeight="true" outlineLevel="0" collapsed="false">
      <c r="I358" s="26" t="b">
        <f aca="false">IF(기념일등록!$B355="",FALSE(),AND(기념일등록!$I355&gt;=0,기념일등록!$I355&lt;=90))</f>
        <v>0</v>
      </c>
      <c r="J358" s="6" t="str">
        <f aca="false">IF($I358=FALSE(),"",기념일등록!$I355*1000+ROW())</f>
        <v/>
      </c>
      <c r="K358" s="6" t="str">
        <f aca="false">IF($J358="","",RANK($J358,$J$6:$J$505,1))</f>
        <v/>
      </c>
    </row>
    <row r="359" customFormat="false" ht="15" hidden="false" customHeight="true" outlineLevel="0" collapsed="false">
      <c r="I359" s="26" t="b">
        <f aca="false">IF(기념일등록!$B356="",FALSE(),AND(기념일등록!$I356&gt;=0,기념일등록!$I356&lt;=90))</f>
        <v>0</v>
      </c>
      <c r="J359" s="6" t="str">
        <f aca="false">IF($I359=FALSE(),"",기념일등록!$I356*1000+ROW())</f>
        <v/>
      </c>
      <c r="K359" s="6" t="str">
        <f aca="false">IF($J359="","",RANK($J359,$J$6:$J$505,1))</f>
        <v/>
      </c>
    </row>
    <row r="360" customFormat="false" ht="15" hidden="false" customHeight="true" outlineLevel="0" collapsed="false">
      <c r="I360" s="26" t="b">
        <f aca="false">IF(기념일등록!$B357="",FALSE(),AND(기념일등록!$I357&gt;=0,기념일등록!$I357&lt;=90))</f>
        <v>0</v>
      </c>
      <c r="J360" s="6" t="str">
        <f aca="false">IF($I360=FALSE(),"",기념일등록!$I357*1000+ROW())</f>
        <v/>
      </c>
      <c r="K360" s="6" t="str">
        <f aca="false">IF($J360="","",RANK($J360,$J$6:$J$505,1))</f>
        <v/>
      </c>
    </row>
    <row r="361" customFormat="false" ht="15" hidden="false" customHeight="true" outlineLevel="0" collapsed="false">
      <c r="I361" s="26" t="b">
        <f aca="false">IF(기념일등록!$B358="",FALSE(),AND(기념일등록!$I358&gt;=0,기념일등록!$I358&lt;=90))</f>
        <v>0</v>
      </c>
      <c r="J361" s="6" t="str">
        <f aca="false">IF($I361=FALSE(),"",기념일등록!$I358*1000+ROW())</f>
        <v/>
      </c>
      <c r="K361" s="6" t="str">
        <f aca="false">IF($J361="","",RANK($J361,$J$6:$J$505,1))</f>
        <v/>
      </c>
    </row>
    <row r="362" customFormat="false" ht="15" hidden="false" customHeight="true" outlineLevel="0" collapsed="false">
      <c r="I362" s="26" t="b">
        <f aca="false">IF(기념일등록!$B359="",FALSE(),AND(기념일등록!$I359&gt;=0,기념일등록!$I359&lt;=90))</f>
        <v>0</v>
      </c>
      <c r="J362" s="6" t="str">
        <f aca="false">IF($I362=FALSE(),"",기념일등록!$I359*1000+ROW())</f>
        <v/>
      </c>
      <c r="K362" s="6" t="str">
        <f aca="false">IF($J362="","",RANK($J362,$J$6:$J$505,1))</f>
        <v/>
      </c>
    </row>
    <row r="363" customFormat="false" ht="15" hidden="false" customHeight="true" outlineLevel="0" collapsed="false">
      <c r="I363" s="26" t="b">
        <f aca="false">IF(기념일등록!$B360="",FALSE(),AND(기념일등록!$I360&gt;=0,기념일등록!$I360&lt;=90))</f>
        <v>0</v>
      </c>
      <c r="J363" s="6" t="str">
        <f aca="false">IF($I363=FALSE(),"",기념일등록!$I360*1000+ROW())</f>
        <v/>
      </c>
      <c r="K363" s="6" t="str">
        <f aca="false">IF($J363="","",RANK($J363,$J$6:$J$505,1))</f>
        <v/>
      </c>
    </row>
    <row r="364" customFormat="false" ht="15" hidden="false" customHeight="true" outlineLevel="0" collapsed="false">
      <c r="I364" s="26" t="b">
        <f aca="false">IF(기념일등록!$B361="",FALSE(),AND(기념일등록!$I361&gt;=0,기념일등록!$I361&lt;=90))</f>
        <v>0</v>
      </c>
      <c r="J364" s="6" t="str">
        <f aca="false">IF($I364=FALSE(),"",기념일등록!$I361*1000+ROW())</f>
        <v/>
      </c>
      <c r="K364" s="6" t="str">
        <f aca="false">IF($J364="","",RANK($J364,$J$6:$J$505,1))</f>
        <v/>
      </c>
    </row>
    <row r="365" customFormat="false" ht="15" hidden="false" customHeight="true" outlineLevel="0" collapsed="false">
      <c r="I365" s="26" t="b">
        <f aca="false">IF(기념일등록!$B362="",FALSE(),AND(기념일등록!$I362&gt;=0,기념일등록!$I362&lt;=90))</f>
        <v>0</v>
      </c>
      <c r="J365" s="6" t="str">
        <f aca="false">IF($I365=FALSE(),"",기념일등록!$I362*1000+ROW())</f>
        <v/>
      </c>
      <c r="K365" s="6" t="str">
        <f aca="false">IF($J365="","",RANK($J365,$J$6:$J$505,1))</f>
        <v/>
      </c>
    </row>
    <row r="366" customFormat="false" ht="15" hidden="false" customHeight="true" outlineLevel="0" collapsed="false">
      <c r="I366" s="26" t="b">
        <f aca="false">IF(기념일등록!$B363="",FALSE(),AND(기념일등록!$I363&gt;=0,기념일등록!$I363&lt;=90))</f>
        <v>0</v>
      </c>
      <c r="J366" s="6" t="str">
        <f aca="false">IF($I366=FALSE(),"",기념일등록!$I363*1000+ROW())</f>
        <v/>
      </c>
      <c r="K366" s="6" t="str">
        <f aca="false">IF($J366="","",RANK($J366,$J$6:$J$505,1))</f>
        <v/>
      </c>
    </row>
    <row r="367" customFormat="false" ht="15" hidden="false" customHeight="true" outlineLevel="0" collapsed="false">
      <c r="I367" s="26" t="b">
        <f aca="false">IF(기념일등록!$B364="",FALSE(),AND(기념일등록!$I364&gt;=0,기념일등록!$I364&lt;=90))</f>
        <v>0</v>
      </c>
      <c r="J367" s="6" t="str">
        <f aca="false">IF($I367=FALSE(),"",기념일등록!$I364*1000+ROW())</f>
        <v/>
      </c>
      <c r="K367" s="6" t="str">
        <f aca="false">IF($J367="","",RANK($J367,$J$6:$J$505,1))</f>
        <v/>
      </c>
    </row>
    <row r="368" customFormat="false" ht="15" hidden="false" customHeight="true" outlineLevel="0" collapsed="false">
      <c r="I368" s="26" t="b">
        <f aca="false">IF(기념일등록!$B365="",FALSE(),AND(기념일등록!$I365&gt;=0,기념일등록!$I365&lt;=90))</f>
        <v>0</v>
      </c>
      <c r="J368" s="6" t="str">
        <f aca="false">IF($I368=FALSE(),"",기념일등록!$I365*1000+ROW())</f>
        <v/>
      </c>
      <c r="K368" s="6" t="str">
        <f aca="false">IF($J368="","",RANK($J368,$J$6:$J$505,1))</f>
        <v/>
      </c>
    </row>
    <row r="369" customFormat="false" ht="15" hidden="false" customHeight="true" outlineLevel="0" collapsed="false">
      <c r="I369" s="26" t="b">
        <f aca="false">IF(기념일등록!$B366="",FALSE(),AND(기념일등록!$I366&gt;=0,기념일등록!$I366&lt;=90))</f>
        <v>0</v>
      </c>
      <c r="J369" s="6" t="str">
        <f aca="false">IF($I369=FALSE(),"",기념일등록!$I366*1000+ROW())</f>
        <v/>
      </c>
      <c r="K369" s="6" t="str">
        <f aca="false">IF($J369="","",RANK($J369,$J$6:$J$505,1))</f>
        <v/>
      </c>
    </row>
    <row r="370" customFormat="false" ht="15" hidden="false" customHeight="true" outlineLevel="0" collapsed="false">
      <c r="I370" s="26" t="b">
        <f aca="false">IF(기념일등록!$B367="",FALSE(),AND(기념일등록!$I367&gt;=0,기념일등록!$I367&lt;=90))</f>
        <v>0</v>
      </c>
      <c r="J370" s="6" t="str">
        <f aca="false">IF($I370=FALSE(),"",기념일등록!$I367*1000+ROW())</f>
        <v/>
      </c>
      <c r="K370" s="6" t="str">
        <f aca="false">IF($J370="","",RANK($J370,$J$6:$J$505,1))</f>
        <v/>
      </c>
    </row>
    <row r="371" customFormat="false" ht="15" hidden="false" customHeight="true" outlineLevel="0" collapsed="false">
      <c r="I371" s="26" t="b">
        <f aca="false">IF(기념일등록!$B368="",FALSE(),AND(기념일등록!$I368&gt;=0,기념일등록!$I368&lt;=90))</f>
        <v>0</v>
      </c>
      <c r="J371" s="6" t="str">
        <f aca="false">IF($I371=FALSE(),"",기념일등록!$I368*1000+ROW())</f>
        <v/>
      </c>
      <c r="K371" s="6" t="str">
        <f aca="false">IF($J371="","",RANK($J371,$J$6:$J$505,1))</f>
        <v/>
      </c>
    </row>
    <row r="372" customFormat="false" ht="15" hidden="false" customHeight="true" outlineLevel="0" collapsed="false">
      <c r="I372" s="26" t="b">
        <f aca="false">IF(기념일등록!$B369="",FALSE(),AND(기념일등록!$I369&gt;=0,기념일등록!$I369&lt;=90))</f>
        <v>0</v>
      </c>
      <c r="J372" s="6" t="str">
        <f aca="false">IF($I372=FALSE(),"",기념일등록!$I369*1000+ROW())</f>
        <v/>
      </c>
      <c r="K372" s="6" t="str">
        <f aca="false">IF($J372="","",RANK($J372,$J$6:$J$505,1))</f>
        <v/>
      </c>
    </row>
    <row r="373" customFormat="false" ht="15" hidden="false" customHeight="true" outlineLevel="0" collapsed="false">
      <c r="I373" s="26" t="b">
        <f aca="false">IF(기념일등록!$B370="",FALSE(),AND(기념일등록!$I370&gt;=0,기념일등록!$I370&lt;=90))</f>
        <v>0</v>
      </c>
      <c r="J373" s="6" t="str">
        <f aca="false">IF($I373=FALSE(),"",기념일등록!$I370*1000+ROW())</f>
        <v/>
      </c>
      <c r="K373" s="6" t="str">
        <f aca="false">IF($J373="","",RANK($J373,$J$6:$J$505,1))</f>
        <v/>
      </c>
    </row>
    <row r="374" customFormat="false" ht="15" hidden="false" customHeight="true" outlineLevel="0" collapsed="false">
      <c r="I374" s="26" t="b">
        <f aca="false">IF(기념일등록!$B371="",FALSE(),AND(기념일등록!$I371&gt;=0,기념일등록!$I371&lt;=90))</f>
        <v>0</v>
      </c>
      <c r="J374" s="6" t="str">
        <f aca="false">IF($I374=FALSE(),"",기념일등록!$I371*1000+ROW())</f>
        <v/>
      </c>
      <c r="K374" s="6" t="str">
        <f aca="false">IF($J374="","",RANK($J374,$J$6:$J$505,1))</f>
        <v/>
      </c>
    </row>
    <row r="375" customFormat="false" ht="15" hidden="false" customHeight="true" outlineLevel="0" collapsed="false">
      <c r="I375" s="26" t="b">
        <f aca="false">IF(기념일등록!$B372="",FALSE(),AND(기념일등록!$I372&gt;=0,기념일등록!$I372&lt;=90))</f>
        <v>0</v>
      </c>
      <c r="J375" s="6" t="str">
        <f aca="false">IF($I375=FALSE(),"",기념일등록!$I372*1000+ROW())</f>
        <v/>
      </c>
      <c r="K375" s="6" t="str">
        <f aca="false">IF($J375="","",RANK($J375,$J$6:$J$505,1))</f>
        <v/>
      </c>
    </row>
    <row r="376" customFormat="false" ht="15" hidden="false" customHeight="true" outlineLevel="0" collapsed="false">
      <c r="I376" s="26" t="b">
        <f aca="false">IF(기념일등록!$B373="",FALSE(),AND(기념일등록!$I373&gt;=0,기념일등록!$I373&lt;=90))</f>
        <v>0</v>
      </c>
      <c r="J376" s="6" t="str">
        <f aca="false">IF($I376=FALSE(),"",기념일등록!$I373*1000+ROW())</f>
        <v/>
      </c>
      <c r="K376" s="6" t="str">
        <f aca="false">IF($J376="","",RANK($J376,$J$6:$J$505,1))</f>
        <v/>
      </c>
    </row>
    <row r="377" customFormat="false" ht="15" hidden="false" customHeight="true" outlineLevel="0" collapsed="false">
      <c r="I377" s="26" t="b">
        <f aca="false">IF(기념일등록!$B374="",FALSE(),AND(기념일등록!$I374&gt;=0,기념일등록!$I374&lt;=90))</f>
        <v>0</v>
      </c>
      <c r="J377" s="6" t="str">
        <f aca="false">IF($I377=FALSE(),"",기념일등록!$I374*1000+ROW())</f>
        <v/>
      </c>
      <c r="K377" s="6" t="str">
        <f aca="false">IF($J377="","",RANK($J377,$J$6:$J$505,1))</f>
        <v/>
      </c>
    </row>
    <row r="378" customFormat="false" ht="15" hidden="false" customHeight="true" outlineLevel="0" collapsed="false">
      <c r="I378" s="26" t="b">
        <f aca="false">IF(기념일등록!$B375="",FALSE(),AND(기념일등록!$I375&gt;=0,기념일등록!$I375&lt;=90))</f>
        <v>0</v>
      </c>
      <c r="J378" s="6" t="str">
        <f aca="false">IF($I378=FALSE(),"",기념일등록!$I375*1000+ROW())</f>
        <v/>
      </c>
      <c r="K378" s="6" t="str">
        <f aca="false">IF($J378="","",RANK($J378,$J$6:$J$505,1))</f>
        <v/>
      </c>
    </row>
    <row r="379" customFormat="false" ht="15" hidden="false" customHeight="true" outlineLevel="0" collapsed="false">
      <c r="I379" s="26" t="b">
        <f aca="false">IF(기념일등록!$B376="",FALSE(),AND(기념일등록!$I376&gt;=0,기념일등록!$I376&lt;=90))</f>
        <v>0</v>
      </c>
      <c r="J379" s="6" t="str">
        <f aca="false">IF($I379=FALSE(),"",기념일등록!$I376*1000+ROW())</f>
        <v/>
      </c>
      <c r="K379" s="6" t="str">
        <f aca="false">IF($J379="","",RANK($J379,$J$6:$J$505,1))</f>
        <v/>
      </c>
    </row>
    <row r="380" customFormat="false" ht="15" hidden="false" customHeight="true" outlineLevel="0" collapsed="false">
      <c r="I380" s="26" t="b">
        <f aca="false">IF(기념일등록!$B377="",FALSE(),AND(기념일등록!$I377&gt;=0,기념일등록!$I377&lt;=90))</f>
        <v>0</v>
      </c>
      <c r="J380" s="6" t="str">
        <f aca="false">IF($I380=FALSE(),"",기념일등록!$I377*1000+ROW())</f>
        <v/>
      </c>
      <c r="K380" s="6" t="str">
        <f aca="false">IF($J380="","",RANK($J380,$J$6:$J$505,1))</f>
        <v/>
      </c>
    </row>
    <row r="381" customFormat="false" ht="15" hidden="false" customHeight="true" outlineLevel="0" collapsed="false">
      <c r="I381" s="26" t="b">
        <f aca="false">IF(기념일등록!$B378="",FALSE(),AND(기념일등록!$I378&gt;=0,기념일등록!$I378&lt;=90))</f>
        <v>0</v>
      </c>
      <c r="J381" s="6" t="str">
        <f aca="false">IF($I381=FALSE(),"",기념일등록!$I378*1000+ROW())</f>
        <v/>
      </c>
      <c r="K381" s="6" t="str">
        <f aca="false">IF($J381="","",RANK($J381,$J$6:$J$505,1))</f>
        <v/>
      </c>
    </row>
    <row r="382" customFormat="false" ht="15" hidden="false" customHeight="true" outlineLevel="0" collapsed="false">
      <c r="I382" s="26" t="b">
        <f aca="false">IF(기념일등록!$B379="",FALSE(),AND(기념일등록!$I379&gt;=0,기념일등록!$I379&lt;=90))</f>
        <v>0</v>
      </c>
      <c r="J382" s="6" t="str">
        <f aca="false">IF($I382=FALSE(),"",기념일등록!$I379*1000+ROW())</f>
        <v/>
      </c>
      <c r="K382" s="6" t="str">
        <f aca="false">IF($J382="","",RANK($J382,$J$6:$J$505,1))</f>
        <v/>
      </c>
    </row>
    <row r="383" customFormat="false" ht="15" hidden="false" customHeight="true" outlineLevel="0" collapsed="false">
      <c r="I383" s="26" t="b">
        <f aca="false">IF(기념일등록!$B380="",FALSE(),AND(기념일등록!$I380&gt;=0,기념일등록!$I380&lt;=90))</f>
        <v>0</v>
      </c>
      <c r="J383" s="6" t="str">
        <f aca="false">IF($I383=FALSE(),"",기념일등록!$I380*1000+ROW())</f>
        <v/>
      </c>
      <c r="K383" s="6" t="str">
        <f aca="false">IF($J383="","",RANK($J383,$J$6:$J$505,1))</f>
        <v/>
      </c>
    </row>
    <row r="384" customFormat="false" ht="15" hidden="false" customHeight="true" outlineLevel="0" collapsed="false">
      <c r="I384" s="26" t="b">
        <f aca="false">IF(기념일등록!$B381="",FALSE(),AND(기념일등록!$I381&gt;=0,기념일등록!$I381&lt;=90))</f>
        <v>0</v>
      </c>
      <c r="J384" s="6" t="str">
        <f aca="false">IF($I384=FALSE(),"",기념일등록!$I381*1000+ROW())</f>
        <v/>
      </c>
      <c r="K384" s="6" t="str">
        <f aca="false">IF($J384="","",RANK($J384,$J$6:$J$505,1))</f>
        <v/>
      </c>
    </row>
    <row r="385" customFormat="false" ht="15" hidden="false" customHeight="true" outlineLevel="0" collapsed="false">
      <c r="I385" s="26" t="b">
        <f aca="false">IF(기념일등록!$B382="",FALSE(),AND(기념일등록!$I382&gt;=0,기념일등록!$I382&lt;=90))</f>
        <v>0</v>
      </c>
      <c r="J385" s="6" t="str">
        <f aca="false">IF($I385=FALSE(),"",기념일등록!$I382*1000+ROW())</f>
        <v/>
      </c>
      <c r="K385" s="6" t="str">
        <f aca="false">IF($J385="","",RANK($J385,$J$6:$J$505,1))</f>
        <v/>
      </c>
    </row>
    <row r="386" customFormat="false" ht="15" hidden="false" customHeight="true" outlineLevel="0" collapsed="false">
      <c r="I386" s="26" t="b">
        <f aca="false">IF(기념일등록!$B383="",FALSE(),AND(기념일등록!$I383&gt;=0,기념일등록!$I383&lt;=90))</f>
        <v>0</v>
      </c>
      <c r="J386" s="6" t="str">
        <f aca="false">IF($I386=FALSE(),"",기념일등록!$I383*1000+ROW())</f>
        <v/>
      </c>
      <c r="K386" s="6" t="str">
        <f aca="false">IF($J386="","",RANK($J386,$J$6:$J$505,1))</f>
        <v/>
      </c>
    </row>
    <row r="387" customFormat="false" ht="15" hidden="false" customHeight="true" outlineLevel="0" collapsed="false">
      <c r="I387" s="26" t="b">
        <f aca="false">IF(기념일등록!$B384="",FALSE(),AND(기념일등록!$I384&gt;=0,기념일등록!$I384&lt;=90))</f>
        <v>0</v>
      </c>
      <c r="J387" s="6" t="str">
        <f aca="false">IF($I387=FALSE(),"",기념일등록!$I384*1000+ROW())</f>
        <v/>
      </c>
      <c r="K387" s="6" t="str">
        <f aca="false">IF($J387="","",RANK($J387,$J$6:$J$505,1))</f>
        <v/>
      </c>
    </row>
    <row r="388" customFormat="false" ht="15" hidden="false" customHeight="true" outlineLevel="0" collapsed="false">
      <c r="I388" s="26" t="b">
        <f aca="false">IF(기념일등록!$B385="",FALSE(),AND(기념일등록!$I385&gt;=0,기념일등록!$I385&lt;=90))</f>
        <v>0</v>
      </c>
      <c r="J388" s="6" t="str">
        <f aca="false">IF($I388=FALSE(),"",기념일등록!$I385*1000+ROW())</f>
        <v/>
      </c>
      <c r="K388" s="6" t="str">
        <f aca="false">IF($J388="","",RANK($J388,$J$6:$J$505,1))</f>
        <v/>
      </c>
    </row>
    <row r="389" customFormat="false" ht="15" hidden="false" customHeight="true" outlineLevel="0" collapsed="false">
      <c r="I389" s="26" t="b">
        <f aca="false">IF(기념일등록!$B386="",FALSE(),AND(기념일등록!$I386&gt;=0,기념일등록!$I386&lt;=90))</f>
        <v>0</v>
      </c>
      <c r="J389" s="6" t="str">
        <f aca="false">IF($I389=FALSE(),"",기념일등록!$I386*1000+ROW())</f>
        <v/>
      </c>
      <c r="K389" s="6" t="str">
        <f aca="false">IF($J389="","",RANK($J389,$J$6:$J$505,1))</f>
        <v/>
      </c>
    </row>
    <row r="390" customFormat="false" ht="15" hidden="false" customHeight="true" outlineLevel="0" collapsed="false">
      <c r="I390" s="26" t="b">
        <f aca="false">IF(기념일등록!$B387="",FALSE(),AND(기념일등록!$I387&gt;=0,기념일등록!$I387&lt;=90))</f>
        <v>0</v>
      </c>
      <c r="J390" s="6" t="str">
        <f aca="false">IF($I390=FALSE(),"",기념일등록!$I387*1000+ROW())</f>
        <v/>
      </c>
      <c r="K390" s="6" t="str">
        <f aca="false">IF($J390="","",RANK($J390,$J$6:$J$505,1))</f>
        <v/>
      </c>
    </row>
    <row r="391" customFormat="false" ht="15" hidden="false" customHeight="true" outlineLevel="0" collapsed="false">
      <c r="I391" s="26" t="b">
        <f aca="false">IF(기념일등록!$B388="",FALSE(),AND(기념일등록!$I388&gt;=0,기념일등록!$I388&lt;=90))</f>
        <v>0</v>
      </c>
      <c r="J391" s="6" t="str">
        <f aca="false">IF($I391=FALSE(),"",기념일등록!$I388*1000+ROW())</f>
        <v/>
      </c>
      <c r="K391" s="6" t="str">
        <f aca="false">IF($J391="","",RANK($J391,$J$6:$J$505,1))</f>
        <v/>
      </c>
    </row>
    <row r="392" customFormat="false" ht="15" hidden="false" customHeight="true" outlineLevel="0" collapsed="false">
      <c r="I392" s="26" t="b">
        <f aca="false">IF(기념일등록!$B389="",FALSE(),AND(기념일등록!$I389&gt;=0,기념일등록!$I389&lt;=90))</f>
        <v>0</v>
      </c>
      <c r="J392" s="6" t="str">
        <f aca="false">IF($I392=FALSE(),"",기념일등록!$I389*1000+ROW())</f>
        <v/>
      </c>
      <c r="K392" s="6" t="str">
        <f aca="false">IF($J392="","",RANK($J392,$J$6:$J$505,1))</f>
        <v/>
      </c>
    </row>
    <row r="393" customFormat="false" ht="15" hidden="false" customHeight="true" outlineLevel="0" collapsed="false">
      <c r="I393" s="26" t="b">
        <f aca="false">IF(기념일등록!$B390="",FALSE(),AND(기념일등록!$I390&gt;=0,기념일등록!$I390&lt;=90))</f>
        <v>0</v>
      </c>
      <c r="J393" s="6" t="str">
        <f aca="false">IF($I393=FALSE(),"",기념일등록!$I390*1000+ROW())</f>
        <v/>
      </c>
      <c r="K393" s="6" t="str">
        <f aca="false">IF($J393="","",RANK($J393,$J$6:$J$505,1))</f>
        <v/>
      </c>
    </row>
    <row r="394" customFormat="false" ht="15" hidden="false" customHeight="true" outlineLevel="0" collapsed="false">
      <c r="I394" s="26" t="b">
        <f aca="false">IF(기념일등록!$B391="",FALSE(),AND(기념일등록!$I391&gt;=0,기념일등록!$I391&lt;=90))</f>
        <v>0</v>
      </c>
      <c r="J394" s="6" t="str">
        <f aca="false">IF($I394=FALSE(),"",기념일등록!$I391*1000+ROW())</f>
        <v/>
      </c>
      <c r="K394" s="6" t="str">
        <f aca="false">IF($J394="","",RANK($J394,$J$6:$J$505,1))</f>
        <v/>
      </c>
    </row>
    <row r="395" customFormat="false" ht="15" hidden="false" customHeight="true" outlineLevel="0" collapsed="false">
      <c r="I395" s="26" t="b">
        <f aca="false">IF(기념일등록!$B392="",FALSE(),AND(기념일등록!$I392&gt;=0,기념일등록!$I392&lt;=90))</f>
        <v>0</v>
      </c>
      <c r="J395" s="6" t="str">
        <f aca="false">IF($I395=FALSE(),"",기념일등록!$I392*1000+ROW())</f>
        <v/>
      </c>
      <c r="K395" s="6" t="str">
        <f aca="false">IF($J395="","",RANK($J395,$J$6:$J$505,1))</f>
        <v/>
      </c>
    </row>
    <row r="396" customFormat="false" ht="15" hidden="false" customHeight="true" outlineLevel="0" collapsed="false">
      <c r="I396" s="26" t="b">
        <f aca="false">IF(기념일등록!$B393="",FALSE(),AND(기념일등록!$I393&gt;=0,기념일등록!$I393&lt;=90))</f>
        <v>0</v>
      </c>
      <c r="J396" s="6" t="str">
        <f aca="false">IF($I396=FALSE(),"",기념일등록!$I393*1000+ROW())</f>
        <v/>
      </c>
      <c r="K396" s="6" t="str">
        <f aca="false">IF($J396="","",RANK($J396,$J$6:$J$505,1))</f>
        <v/>
      </c>
    </row>
    <row r="397" customFormat="false" ht="15" hidden="false" customHeight="true" outlineLevel="0" collapsed="false">
      <c r="I397" s="26" t="b">
        <f aca="false">IF(기념일등록!$B394="",FALSE(),AND(기념일등록!$I394&gt;=0,기념일등록!$I394&lt;=90))</f>
        <v>0</v>
      </c>
      <c r="J397" s="6" t="str">
        <f aca="false">IF($I397=FALSE(),"",기념일등록!$I394*1000+ROW())</f>
        <v/>
      </c>
      <c r="K397" s="6" t="str">
        <f aca="false">IF($J397="","",RANK($J397,$J$6:$J$505,1))</f>
        <v/>
      </c>
    </row>
    <row r="398" customFormat="false" ht="15" hidden="false" customHeight="true" outlineLevel="0" collapsed="false">
      <c r="I398" s="26" t="b">
        <f aca="false">IF(기념일등록!$B395="",FALSE(),AND(기념일등록!$I395&gt;=0,기념일등록!$I395&lt;=90))</f>
        <v>0</v>
      </c>
      <c r="J398" s="6" t="str">
        <f aca="false">IF($I398=FALSE(),"",기념일등록!$I395*1000+ROW())</f>
        <v/>
      </c>
      <c r="K398" s="6" t="str">
        <f aca="false">IF($J398="","",RANK($J398,$J$6:$J$505,1))</f>
        <v/>
      </c>
    </row>
    <row r="399" customFormat="false" ht="15" hidden="false" customHeight="true" outlineLevel="0" collapsed="false">
      <c r="I399" s="26" t="b">
        <f aca="false">IF(기념일등록!$B396="",FALSE(),AND(기념일등록!$I396&gt;=0,기념일등록!$I396&lt;=90))</f>
        <v>0</v>
      </c>
      <c r="J399" s="6" t="str">
        <f aca="false">IF($I399=FALSE(),"",기념일등록!$I396*1000+ROW())</f>
        <v/>
      </c>
      <c r="K399" s="6" t="str">
        <f aca="false">IF($J399="","",RANK($J399,$J$6:$J$505,1))</f>
        <v/>
      </c>
    </row>
    <row r="400" customFormat="false" ht="15" hidden="false" customHeight="true" outlineLevel="0" collapsed="false">
      <c r="I400" s="26" t="b">
        <f aca="false">IF(기념일등록!$B397="",FALSE(),AND(기념일등록!$I397&gt;=0,기념일등록!$I397&lt;=90))</f>
        <v>0</v>
      </c>
      <c r="J400" s="6" t="str">
        <f aca="false">IF($I400=FALSE(),"",기념일등록!$I397*1000+ROW())</f>
        <v/>
      </c>
      <c r="K400" s="6" t="str">
        <f aca="false">IF($J400="","",RANK($J400,$J$6:$J$505,1))</f>
        <v/>
      </c>
    </row>
    <row r="401" customFormat="false" ht="15" hidden="false" customHeight="true" outlineLevel="0" collapsed="false">
      <c r="I401" s="26" t="b">
        <f aca="false">IF(기념일등록!$B398="",FALSE(),AND(기념일등록!$I398&gt;=0,기념일등록!$I398&lt;=90))</f>
        <v>0</v>
      </c>
      <c r="J401" s="6" t="str">
        <f aca="false">IF($I401=FALSE(),"",기념일등록!$I398*1000+ROW())</f>
        <v/>
      </c>
      <c r="K401" s="6" t="str">
        <f aca="false">IF($J401="","",RANK($J401,$J$6:$J$505,1))</f>
        <v/>
      </c>
    </row>
    <row r="402" customFormat="false" ht="15" hidden="false" customHeight="true" outlineLevel="0" collapsed="false">
      <c r="I402" s="26" t="b">
        <f aca="false">IF(기념일등록!$B399="",FALSE(),AND(기념일등록!$I399&gt;=0,기념일등록!$I399&lt;=90))</f>
        <v>0</v>
      </c>
      <c r="J402" s="6" t="str">
        <f aca="false">IF($I402=FALSE(),"",기념일등록!$I399*1000+ROW())</f>
        <v/>
      </c>
      <c r="K402" s="6" t="str">
        <f aca="false">IF($J402="","",RANK($J402,$J$6:$J$505,1))</f>
        <v/>
      </c>
    </row>
    <row r="403" customFormat="false" ht="15" hidden="false" customHeight="true" outlineLevel="0" collapsed="false">
      <c r="I403" s="26" t="b">
        <f aca="false">IF(기념일등록!$B400="",FALSE(),AND(기념일등록!$I400&gt;=0,기념일등록!$I400&lt;=90))</f>
        <v>0</v>
      </c>
      <c r="J403" s="6" t="str">
        <f aca="false">IF($I403=FALSE(),"",기념일등록!$I400*1000+ROW())</f>
        <v/>
      </c>
      <c r="K403" s="6" t="str">
        <f aca="false">IF($J403="","",RANK($J403,$J$6:$J$505,1))</f>
        <v/>
      </c>
    </row>
    <row r="404" customFormat="false" ht="15" hidden="false" customHeight="true" outlineLevel="0" collapsed="false">
      <c r="I404" s="26" t="b">
        <f aca="false">IF(기념일등록!$B401="",FALSE(),AND(기념일등록!$I401&gt;=0,기념일등록!$I401&lt;=90))</f>
        <v>0</v>
      </c>
      <c r="J404" s="6" t="str">
        <f aca="false">IF($I404=FALSE(),"",기념일등록!$I401*1000+ROW())</f>
        <v/>
      </c>
      <c r="K404" s="6" t="str">
        <f aca="false">IF($J404="","",RANK($J404,$J$6:$J$505,1))</f>
        <v/>
      </c>
    </row>
    <row r="405" customFormat="false" ht="15" hidden="false" customHeight="true" outlineLevel="0" collapsed="false">
      <c r="I405" s="26" t="b">
        <f aca="false">IF(기념일등록!$B402="",FALSE(),AND(기념일등록!$I402&gt;=0,기념일등록!$I402&lt;=90))</f>
        <v>0</v>
      </c>
      <c r="J405" s="6" t="str">
        <f aca="false">IF($I405=FALSE(),"",기념일등록!$I402*1000+ROW())</f>
        <v/>
      </c>
      <c r="K405" s="6" t="str">
        <f aca="false">IF($J405="","",RANK($J405,$J$6:$J$505,1))</f>
        <v/>
      </c>
    </row>
    <row r="406" customFormat="false" ht="15" hidden="false" customHeight="true" outlineLevel="0" collapsed="false">
      <c r="I406" s="26" t="b">
        <f aca="false">IF(기념일등록!$B403="",FALSE(),AND(기념일등록!$I403&gt;=0,기념일등록!$I403&lt;=90))</f>
        <v>0</v>
      </c>
      <c r="J406" s="6" t="str">
        <f aca="false">IF($I406=FALSE(),"",기념일등록!$I403*1000+ROW())</f>
        <v/>
      </c>
      <c r="K406" s="6" t="str">
        <f aca="false">IF($J406="","",RANK($J406,$J$6:$J$505,1))</f>
        <v/>
      </c>
    </row>
    <row r="407" customFormat="false" ht="15" hidden="false" customHeight="true" outlineLevel="0" collapsed="false">
      <c r="I407" s="26" t="b">
        <f aca="false">IF(기념일등록!$B404="",FALSE(),AND(기념일등록!$I404&gt;=0,기념일등록!$I404&lt;=90))</f>
        <v>0</v>
      </c>
      <c r="J407" s="6" t="str">
        <f aca="false">IF($I407=FALSE(),"",기념일등록!$I404*1000+ROW())</f>
        <v/>
      </c>
      <c r="K407" s="6" t="str">
        <f aca="false">IF($J407="","",RANK($J407,$J$6:$J$505,1))</f>
        <v/>
      </c>
    </row>
    <row r="408" customFormat="false" ht="15" hidden="false" customHeight="true" outlineLevel="0" collapsed="false">
      <c r="I408" s="26" t="b">
        <f aca="false">IF(기념일등록!$B405="",FALSE(),AND(기념일등록!$I405&gt;=0,기념일등록!$I405&lt;=90))</f>
        <v>0</v>
      </c>
      <c r="J408" s="6" t="str">
        <f aca="false">IF($I408=FALSE(),"",기념일등록!$I405*1000+ROW())</f>
        <v/>
      </c>
      <c r="K408" s="6" t="str">
        <f aca="false">IF($J408="","",RANK($J408,$J$6:$J$505,1))</f>
        <v/>
      </c>
    </row>
    <row r="409" customFormat="false" ht="15" hidden="false" customHeight="true" outlineLevel="0" collapsed="false">
      <c r="I409" s="26" t="b">
        <f aca="false">IF(기념일등록!$B406="",FALSE(),AND(기념일등록!$I406&gt;=0,기념일등록!$I406&lt;=90))</f>
        <v>0</v>
      </c>
      <c r="J409" s="6" t="str">
        <f aca="false">IF($I409=FALSE(),"",기념일등록!$I406*1000+ROW())</f>
        <v/>
      </c>
      <c r="K409" s="6" t="str">
        <f aca="false">IF($J409="","",RANK($J409,$J$6:$J$505,1))</f>
        <v/>
      </c>
    </row>
    <row r="410" customFormat="false" ht="15" hidden="false" customHeight="true" outlineLevel="0" collapsed="false">
      <c r="I410" s="26" t="b">
        <f aca="false">IF(기념일등록!$B407="",FALSE(),AND(기념일등록!$I407&gt;=0,기념일등록!$I407&lt;=90))</f>
        <v>0</v>
      </c>
      <c r="J410" s="6" t="str">
        <f aca="false">IF($I410=FALSE(),"",기념일등록!$I407*1000+ROW())</f>
        <v/>
      </c>
      <c r="K410" s="6" t="str">
        <f aca="false">IF($J410="","",RANK($J410,$J$6:$J$505,1))</f>
        <v/>
      </c>
    </row>
    <row r="411" customFormat="false" ht="15" hidden="false" customHeight="true" outlineLevel="0" collapsed="false">
      <c r="I411" s="26" t="b">
        <f aca="false">IF(기념일등록!$B408="",FALSE(),AND(기념일등록!$I408&gt;=0,기념일등록!$I408&lt;=90))</f>
        <v>0</v>
      </c>
      <c r="J411" s="6" t="str">
        <f aca="false">IF($I411=FALSE(),"",기념일등록!$I408*1000+ROW())</f>
        <v/>
      </c>
      <c r="K411" s="6" t="str">
        <f aca="false">IF($J411="","",RANK($J411,$J$6:$J$505,1))</f>
        <v/>
      </c>
    </row>
    <row r="412" customFormat="false" ht="15" hidden="false" customHeight="true" outlineLevel="0" collapsed="false">
      <c r="I412" s="26" t="b">
        <f aca="false">IF(기념일등록!$B409="",FALSE(),AND(기념일등록!$I409&gt;=0,기념일등록!$I409&lt;=90))</f>
        <v>0</v>
      </c>
      <c r="J412" s="6" t="str">
        <f aca="false">IF($I412=FALSE(),"",기념일등록!$I409*1000+ROW())</f>
        <v/>
      </c>
      <c r="K412" s="6" t="str">
        <f aca="false">IF($J412="","",RANK($J412,$J$6:$J$505,1))</f>
        <v/>
      </c>
    </row>
    <row r="413" customFormat="false" ht="15" hidden="false" customHeight="true" outlineLevel="0" collapsed="false">
      <c r="I413" s="26" t="b">
        <f aca="false">IF(기념일등록!$B410="",FALSE(),AND(기념일등록!$I410&gt;=0,기념일등록!$I410&lt;=90))</f>
        <v>0</v>
      </c>
      <c r="J413" s="6" t="str">
        <f aca="false">IF($I413=FALSE(),"",기념일등록!$I410*1000+ROW())</f>
        <v/>
      </c>
      <c r="K413" s="6" t="str">
        <f aca="false">IF($J413="","",RANK($J413,$J$6:$J$505,1))</f>
        <v/>
      </c>
    </row>
    <row r="414" customFormat="false" ht="15" hidden="false" customHeight="true" outlineLevel="0" collapsed="false">
      <c r="I414" s="26" t="b">
        <f aca="false">IF(기념일등록!$B411="",FALSE(),AND(기념일등록!$I411&gt;=0,기념일등록!$I411&lt;=90))</f>
        <v>0</v>
      </c>
      <c r="J414" s="6" t="str">
        <f aca="false">IF($I414=FALSE(),"",기념일등록!$I411*1000+ROW())</f>
        <v/>
      </c>
      <c r="K414" s="6" t="str">
        <f aca="false">IF($J414="","",RANK($J414,$J$6:$J$505,1))</f>
        <v/>
      </c>
    </row>
    <row r="415" customFormat="false" ht="15" hidden="false" customHeight="true" outlineLevel="0" collapsed="false">
      <c r="I415" s="26" t="b">
        <f aca="false">IF(기념일등록!$B412="",FALSE(),AND(기념일등록!$I412&gt;=0,기념일등록!$I412&lt;=90))</f>
        <v>0</v>
      </c>
      <c r="J415" s="6" t="str">
        <f aca="false">IF($I415=FALSE(),"",기념일등록!$I412*1000+ROW())</f>
        <v/>
      </c>
      <c r="K415" s="6" t="str">
        <f aca="false">IF($J415="","",RANK($J415,$J$6:$J$505,1))</f>
        <v/>
      </c>
    </row>
    <row r="416" customFormat="false" ht="15" hidden="false" customHeight="true" outlineLevel="0" collapsed="false">
      <c r="I416" s="26" t="b">
        <f aca="false">IF(기념일등록!$B413="",FALSE(),AND(기념일등록!$I413&gt;=0,기념일등록!$I413&lt;=90))</f>
        <v>0</v>
      </c>
      <c r="J416" s="6" t="str">
        <f aca="false">IF($I416=FALSE(),"",기념일등록!$I413*1000+ROW())</f>
        <v/>
      </c>
      <c r="K416" s="6" t="str">
        <f aca="false">IF($J416="","",RANK($J416,$J$6:$J$505,1))</f>
        <v/>
      </c>
    </row>
    <row r="417" customFormat="false" ht="15" hidden="false" customHeight="true" outlineLevel="0" collapsed="false">
      <c r="I417" s="26" t="b">
        <f aca="false">IF(기념일등록!$B414="",FALSE(),AND(기념일등록!$I414&gt;=0,기념일등록!$I414&lt;=90))</f>
        <v>0</v>
      </c>
      <c r="J417" s="6" t="str">
        <f aca="false">IF($I417=FALSE(),"",기념일등록!$I414*1000+ROW())</f>
        <v/>
      </c>
      <c r="K417" s="6" t="str">
        <f aca="false">IF($J417="","",RANK($J417,$J$6:$J$505,1))</f>
        <v/>
      </c>
    </row>
    <row r="418" customFormat="false" ht="15" hidden="false" customHeight="true" outlineLevel="0" collapsed="false">
      <c r="I418" s="26" t="b">
        <f aca="false">IF(기념일등록!$B415="",FALSE(),AND(기념일등록!$I415&gt;=0,기념일등록!$I415&lt;=90))</f>
        <v>0</v>
      </c>
      <c r="J418" s="6" t="str">
        <f aca="false">IF($I418=FALSE(),"",기념일등록!$I415*1000+ROW())</f>
        <v/>
      </c>
      <c r="K418" s="6" t="str">
        <f aca="false">IF($J418="","",RANK($J418,$J$6:$J$505,1))</f>
        <v/>
      </c>
    </row>
    <row r="419" customFormat="false" ht="15" hidden="false" customHeight="true" outlineLevel="0" collapsed="false">
      <c r="I419" s="26" t="b">
        <f aca="false">IF(기념일등록!$B416="",FALSE(),AND(기념일등록!$I416&gt;=0,기념일등록!$I416&lt;=90))</f>
        <v>0</v>
      </c>
      <c r="J419" s="6" t="str">
        <f aca="false">IF($I419=FALSE(),"",기념일등록!$I416*1000+ROW())</f>
        <v/>
      </c>
      <c r="K419" s="6" t="str">
        <f aca="false">IF($J419="","",RANK($J419,$J$6:$J$505,1))</f>
        <v/>
      </c>
    </row>
    <row r="420" customFormat="false" ht="15" hidden="false" customHeight="true" outlineLevel="0" collapsed="false">
      <c r="I420" s="26" t="b">
        <f aca="false">IF(기념일등록!$B417="",FALSE(),AND(기념일등록!$I417&gt;=0,기념일등록!$I417&lt;=90))</f>
        <v>0</v>
      </c>
      <c r="J420" s="6" t="str">
        <f aca="false">IF($I420=FALSE(),"",기념일등록!$I417*1000+ROW())</f>
        <v/>
      </c>
      <c r="K420" s="6" t="str">
        <f aca="false">IF($J420="","",RANK($J420,$J$6:$J$505,1))</f>
        <v/>
      </c>
    </row>
    <row r="421" customFormat="false" ht="15" hidden="false" customHeight="true" outlineLevel="0" collapsed="false">
      <c r="I421" s="26" t="b">
        <f aca="false">IF(기념일등록!$B418="",FALSE(),AND(기념일등록!$I418&gt;=0,기념일등록!$I418&lt;=90))</f>
        <v>0</v>
      </c>
      <c r="J421" s="6" t="str">
        <f aca="false">IF($I421=FALSE(),"",기념일등록!$I418*1000+ROW())</f>
        <v/>
      </c>
      <c r="K421" s="6" t="str">
        <f aca="false">IF($J421="","",RANK($J421,$J$6:$J$505,1))</f>
        <v/>
      </c>
    </row>
    <row r="422" customFormat="false" ht="15" hidden="false" customHeight="true" outlineLevel="0" collapsed="false">
      <c r="I422" s="26" t="b">
        <f aca="false">IF(기념일등록!$B419="",FALSE(),AND(기념일등록!$I419&gt;=0,기념일등록!$I419&lt;=90))</f>
        <v>0</v>
      </c>
      <c r="J422" s="6" t="str">
        <f aca="false">IF($I422=FALSE(),"",기념일등록!$I419*1000+ROW())</f>
        <v/>
      </c>
      <c r="K422" s="6" t="str">
        <f aca="false">IF($J422="","",RANK($J422,$J$6:$J$505,1))</f>
        <v/>
      </c>
    </row>
    <row r="423" customFormat="false" ht="15" hidden="false" customHeight="true" outlineLevel="0" collapsed="false">
      <c r="I423" s="26" t="b">
        <f aca="false">IF(기념일등록!$B420="",FALSE(),AND(기념일등록!$I420&gt;=0,기념일등록!$I420&lt;=90))</f>
        <v>0</v>
      </c>
      <c r="J423" s="6" t="str">
        <f aca="false">IF($I423=FALSE(),"",기념일등록!$I420*1000+ROW())</f>
        <v/>
      </c>
      <c r="K423" s="6" t="str">
        <f aca="false">IF($J423="","",RANK($J423,$J$6:$J$505,1))</f>
        <v/>
      </c>
    </row>
    <row r="424" customFormat="false" ht="15" hidden="false" customHeight="true" outlineLevel="0" collapsed="false">
      <c r="I424" s="26" t="b">
        <f aca="false">IF(기념일등록!$B421="",FALSE(),AND(기념일등록!$I421&gt;=0,기념일등록!$I421&lt;=90))</f>
        <v>0</v>
      </c>
      <c r="J424" s="6" t="str">
        <f aca="false">IF($I424=FALSE(),"",기념일등록!$I421*1000+ROW())</f>
        <v/>
      </c>
      <c r="K424" s="6" t="str">
        <f aca="false">IF($J424="","",RANK($J424,$J$6:$J$505,1))</f>
        <v/>
      </c>
    </row>
    <row r="425" customFormat="false" ht="15" hidden="false" customHeight="true" outlineLevel="0" collapsed="false">
      <c r="I425" s="26" t="b">
        <f aca="false">IF(기념일등록!$B422="",FALSE(),AND(기념일등록!$I422&gt;=0,기념일등록!$I422&lt;=90))</f>
        <v>0</v>
      </c>
      <c r="J425" s="6" t="str">
        <f aca="false">IF($I425=FALSE(),"",기념일등록!$I422*1000+ROW())</f>
        <v/>
      </c>
      <c r="K425" s="6" t="str">
        <f aca="false">IF($J425="","",RANK($J425,$J$6:$J$505,1))</f>
        <v/>
      </c>
    </row>
    <row r="426" customFormat="false" ht="15" hidden="false" customHeight="true" outlineLevel="0" collapsed="false">
      <c r="I426" s="26" t="b">
        <f aca="false">IF(기념일등록!$B423="",FALSE(),AND(기념일등록!$I423&gt;=0,기념일등록!$I423&lt;=90))</f>
        <v>0</v>
      </c>
      <c r="J426" s="6" t="str">
        <f aca="false">IF($I426=FALSE(),"",기념일등록!$I423*1000+ROW())</f>
        <v/>
      </c>
      <c r="K426" s="6" t="str">
        <f aca="false">IF($J426="","",RANK($J426,$J$6:$J$505,1))</f>
        <v/>
      </c>
    </row>
    <row r="427" customFormat="false" ht="15" hidden="false" customHeight="true" outlineLevel="0" collapsed="false">
      <c r="I427" s="26" t="b">
        <f aca="false">IF(기념일등록!$B424="",FALSE(),AND(기념일등록!$I424&gt;=0,기념일등록!$I424&lt;=90))</f>
        <v>0</v>
      </c>
      <c r="J427" s="6" t="str">
        <f aca="false">IF($I427=FALSE(),"",기념일등록!$I424*1000+ROW())</f>
        <v/>
      </c>
      <c r="K427" s="6" t="str">
        <f aca="false">IF($J427="","",RANK($J427,$J$6:$J$505,1))</f>
        <v/>
      </c>
    </row>
    <row r="428" customFormat="false" ht="15" hidden="false" customHeight="true" outlineLevel="0" collapsed="false">
      <c r="I428" s="26" t="b">
        <f aca="false">IF(기념일등록!$B425="",FALSE(),AND(기념일등록!$I425&gt;=0,기념일등록!$I425&lt;=90))</f>
        <v>0</v>
      </c>
      <c r="J428" s="6" t="str">
        <f aca="false">IF($I428=FALSE(),"",기념일등록!$I425*1000+ROW())</f>
        <v/>
      </c>
      <c r="K428" s="6" t="str">
        <f aca="false">IF($J428="","",RANK($J428,$J$6:$J$505,1))</f>
        <v/>
      </c>
    </row>
    <row r="429" customFormat="false" ht="15" hidden="false" customHeight="true" outlineLevel="0" collapsed="false">
      <c r="I429" s="26" t="b">
        <f aca="false">IF(기념일등록!$B426="",FALSE(),AND(기념일등록!$I426&gt;=0,기념일등록!$I426&lt;=90))</f>
        <v>0</v>
      </c>
      <c r="J429" s="6" t="str">
        <f aca="false">IF($I429=FALSE(),"",기념일등록!$I426*1000+ROW())</f>
        <v/>
      </c>
      <c r="K429" s="6" t="str">
        <f aca="false">IF($J429="","",RANK($J429,$J$6:$J$505,1))</f>
        <v/>
      </c>
    </row>
    <row r="430" customFormat="false" ht="15" hidden="false" customHeight="true" outlineLevel="0" collapsed="false">
      <c r="I430" s="26" t="b">
        <f aca="false">IF(기념일등록!$B427="",FALSE(),AND(기념일등록!$I427&gt;=0,기념일등록!$I427&lt;=90))</f>
        <v>0</v>
      </c>
      <c r="J430" s="6" t="str">
        <f aca="false">IF($I430=FALSE(),"",기념일등록!$I427*1000+ROW())</f>
        <v/>
      </c>
      <c r="K430" s="6" t="str">
        <f aca="false">IF($J430="","",RANK($J430,$J$6:$J$505,1))</f>
        <v/>
      </c>
    </row>
    <row r="431" customFormat="false" ht="15" hidden="false" customHeight="true" outlineLevel="0" collapsed="false">
      <c r="I431" s="26" t="b">
        <f aca="false">IF(기념일등록!$B428="",FALSE(),AND(기념일등록!$I428&gt;=0,기념일등록!$I428&lt;=90))</f>
        <v>0</v>
      </c>
      <c r="J431" s="6" t="str">
        <f aca="false">IF($I431=FALSE(),"",기념일등록!$I428*1000+ROW())</f>
        <v/>
      </c>
      <c r="K431" s="6" t="str">
        <f aca="false">IF($J431="","",RANK($J431,$J$6:$J$505,1))</f>
        <v/>
      </c>
    </row>
    <row r="432" customFormat="false" ht="15" hidden="false" customHeight="true" outlineLevel="0" collapsed="false">
      <c r="I432" s="26" t="b">
        <f aca="false">IF(기념일등록!$B429="",FALSE(),AND(기념일등록!$I429&gt;=0,기념일등록!$I429&lt;=90))</f>
        <v>0</v>
      </c>
      <c r="J432" s="6" t="str">
        <f aca="false">IF($I432=FALSE(),"",기념일등록!$I429*1000+ROW())</f>
        <v/>
      </c>
      <c r="K432" s="6" t="str">
        <f aca="false">IF($J432="","",RANK($J432,$J$6:$J$505,1))</f>
        <v/>
      </c>
    </row>
    <row r="433" customFormat="false" ht="15" hidden="false" customHeight="true" outlineLevel="0" collapsed="false">
      <c r="I433" s="26" t="b">
        <f aca="false">IF(기념일등록!$B430="",FALSE(),AND(기념일등록!$I430&gt;=0,기념일등록!$I430&lt;=90))</f>
        <v>0</v>
      </c>
      <c r="J433" s="6" t="str">
        <f aca="false">IF($I433=FALSE(),"",기념일등록!$I430*1000+ROW())</f>
        <v/>
      </c>
      <c r="K433" s="6" t="str">
        <f aca="false">IF($J433="","",RANK($J433,$J$6:$J$505,1))</f>
        <v/>
      </c>
    </row>
    <row r="434" customFormat="false" ht="15" hidden="false" customHeight="true" outlineLevel="0" collapsed="false">
      <c r="I434" s="26" t="b">
        <f aca="false">IF(기념일등록!$B431="",FALSE(),AND(기념일등록!$I431&gt;=0,기념일등록!$I431&lt;=90))</f>
        <v>0</v>
      </c>
      <c r="J434" s="6" t="str">
        <f aca="false">IF($I434=FALSE(),"",기념일등록!$I431*1000+ROW())</f>
        <v/>
      </c>
      <c r="K434" s="6" t="str">
        <f aca="false">IF($J434="","",RANK($J434,$J$6:$J$505,1))</f>
        <v/>
      </c>
    </row>
    <row r="435" customFormat="false" ht="15" hidden="false" customHeight="true" outlineLevel="0" collapsed="false">
      <c r="I435" s="26" t="b">
        <f aca="false">IF(기념일등록!$B432="",FALSE(),AND(기념일등록!$I432&gt;=0,기념일등록!$I432&lt;=90))</f>
        <v>0</v>
      </c>
      <c r="J435" s="6" t="str">
        <f aca="false">IF($I435=FALSE(),"",기념일등록!$I432*1000+ROW())</f>
        <v/>
      </c>
      <c r="K435" s="6" t="str">
        <f aca="false">IF($J435="","",RANK($J435,$J$6:$J$505,1))</f>
        <v/>
      </c>
    </row>
    <row r="436" customFormat="false" ht="15" hidden="false" customHeight="true" outlineLevel="0" collapsed="false">
      <c r="I436" s="26" t="b">
        <f aca="false">IF(기념일등록!$B433="",FALSE(),AND(기념일등록!$I433&gt;=0,기념일등록!$I433&lt;=90))</f>
        <v>0</v>
      </c>
      <c r="J436" s="6" t="str">
        <f aca="false">IF($I436=FALSE(),"",기념일등록!$I433*1000+ROW())</f>
        <v/>
      </c>
      <c r="K436" s="6" t="str">
        <f aca="false">IF($J436="","",RANK($J436,$J$6:$J$505,1))</f>
        <v/>
      </c>
    </row>
    <row r="437" customFormat="false" ht="15" hidden="false" customHeight="true" outlineLevel="0" collapsed="false">
      <c r="I437" s="26" t="b">
        <f aca="false">IF(기념일등록!$B434="",FALSE(),AND(기념일등록!$I434&gt;=0,기념일등록!$I434&lt;=90))</f>
        <v>0</v>
      </c>
      <c r="J437" s="6" t="str">
        <f aca="false">IF($I437=FALSE(),"",기념일등록!$I434*1000+ROW())</f>
        <v/>
      </c>
      <c r="K437" s="6" t="str">
        <f aca="false">IF($J437="","",RANK($J437,$J$6:$J$505,1))</f>
        <v/>
      </c>
    </row>
    <row r="438" customFormat="false" ht="15" hidden="false" customHeight="true" outlineLevel="0" collapsed="false">
      <c r="I438" s="26" t="b">
        <f aca="false">IF(기념일등록!$B435="",FALSE(),AND(기념일등록!$I435&gt;=0,기념일등록!$I435&lt;=90))</f>
        <v>0</v>
      </c>
      <c r="J438" s="6" t="str">
        <f aca="false">IF($I438=FALSE(),"",기념일등록!$I435*1000+ROW())</f>
        <v/>
      </c>
      <c r="K438" s="6" t="str">
        <f aca="false">IF($J438="","",RANK($J438,$J$6:$J$505,1))</f>
        <v/>
      </c>
    </row>
    <row r="439" customFormat="false" ht="15" hidden="false" customHeight="true" outlineLevel="0" collapsed="false">
      <c r="I439" s="26" t="b">
        <f aca="false">IF(기념일등록!$B436="",FALSE(),AND(기념일등록!$I436&gt;=0,기념일등록!$I436&lt;=90))</f>
        <v>0</v>
      </c>
      <c r="J439" s="6" t="str">
        <f aca="false">IF($I439=FALSE(),"",기념일등록!$I436*1000+ROW())</f>
        <v/>
      </c>
      <c r="K439" s="6" t="str">
        <f aca="false">IF($J439="","",RANK($J439,$J$6:$J$505,1))</f>
        <v/>
      </c>
    </row>
    <row r="440" customFormat="false" ht="15" hidden="false" customHeight="true" outlineLevel="0" collapsed="false">
      <c r="I440" s="26" t="b">
        <f aca="false">IF(기념일등록!$B437="",FALSE(),AND(기념일등록!$I437&gt;=0,기념일등록!$I437&lt;=90))</f>
        <v>0</v>
      </c>
      <c r="J440" s="6" t="str">
        <f aca="false">IF($I440=FALSE(),"",기념일등록!$I437*1000+ROW())</f>
        <v/>
      </c>
      <c r="K440" s="6" t="str">
        <f aca="false">IF($J440="","",RANK($J440,$J$6:$J$505,1))</f>
        <v/>
      </c>
    </row>
    <row r="441" customFormat="false" ht="15" hidden="false" customHeight="true" outlineLevel="0" collapsed="false">
      <c r="I441" s="26" t="b">
        <f aca="false">IF(기념일등록!$B438="",FALSE(),AND(기념일등록!$I438&gt;=0,기념일등록!$I438&lt;=90))</f>
        <v>0</v>
      </c>
      <c r="J441" s="6" t="str">
        <f aca="false">IF($I441=FALSE(),"",기념일등록!$I438*1000+ROW())</f>
        <v/>
      </c>
      <c r="K441" s="6" t="str">
        <f aca="false">IF($J441="","",RANK($J441,$J$6:$J$505,1))</f>
        <v/>
      </c>
    </row>
    <row r="442" customFormat="false" ht="15" hidden="false" customHeight="true" outlineLevel="0" collapsed="false">
      <c r="I442" s="26" t="b">
        <f aca="false">IF(기념일등록!$B439="",FALSE(),AND(기념일등록!$I439&gt;=0,기념일등록!$I439&lt;=90))</f>
        <v>0</v>
      </c>
      <c r="J442" s="6" t="str">
        <f aca="false">IF($I442=FALSE(),"",기념일등록!$I439*1000+ROW())</f>
        <v/>
      </c>
      <c r="K442" s="6" t="str">
        <f aca="false">IF($J442="","",RANK($J442,$J$6:$J$505,1))</f>
        <v/>
      </c>
    </row>
    <row r="443" customFormat="false" ht="15" hidden="false" customHeight="true" outlineLevel="0" collapsed="false">
      <c r="I443" s="26" t="b">
        <f aca="false">IF(기념일등록!$B440="",FALSE(),AND(기념일등록!$I440&gt;=0,기념일등록!$I440&lt;=90))</f>
        <v>0</v>
      </c>
      <c r="J443" s="6" t="str">
        <f aca="false">IF($I443=FALSE(),"",기념일등록!$I440*1000+ROW())</f>
        <v/>
      </c>
      <c r="K443" s="6" t="str">
        <f aca="false">IF($J443="","",RANK($J443,$J$6:$J$505,1))</f>
        <v/>
      </c>
    </row>
    <row r="444" customFormat="false" ht="15" hidden="false" customHeight="true" outlineLevel="0" collapsed="false">
      <c r="I444" s="26" t="b">
        <f aca="false">IF(기념일등록!$B441="",FALSE(),AND(기념일등록!$I441&gt;=0,기념일등록!$I441&lt;=90))</f>
        <v>0</v>
      </c>
      <c r="J444" s="6" t="str">
        <f aca="false">IF($I444=FALSE(),"",기념일등록!$I441*1000+ROW())</f>
        <v/>
      </c>
      <c r="K444" s="6" t="str">
        <f aca="false">IF($J444="","",RANK($J444,$J$6:$J$505,1))</f>
        <v/>
      </c>
    </row>
    <row r="445" customFormat="false" ht="15" hidden="false" customHeight="true" outlineLevel="0" collapsed="false">
      <c r="I445" s="26" t="b">
        <f aca="false">IF(기념일등록!$B442="",FALSE(),AND(기념일등록!$I442&gt;=0,기념일등록!$I442&lt;=90))</f>
        <v>0</v>
      </c>
      <c r="J445" s="6" t="str">
        <f aca="false">IF($I445=FALSE(),"",기념일등록!$I442*1000+ROW())</f>
        <v/>
      </c>
      <c r="K445" s="6" t="str">
        <f aca="false">IF($J445="","",RANK($J445,$J$6:$J$505,1))</f>
        <v/>
      </c>
    </row>
    <row r="446" customFormat="false" ht="15" hidden="false" customHeight="true" outlineLevel="0" collapsed="false">
      <c r="I446" s="26" t="b">
        <f aca="false">IF(기념일등록!$B443="",FALSE(),AND(기념일등록!$I443&gt;=0,기념일등록!$I443&lt;=90))</f>
        <v>0</v>
      </c>
      <c r="J446" s="6" t="str">
        <f aca="false">IF($I446=FALSE(),"",기념일등록!$I443*1000+ROW())</f>
        <v/>
      </c>
      <c r="K446" s="6" t="str">
        <f aca="false">IF($J446="","",RANK($J446,$J$6:$J$505,1))</f>
        <v/>
      </c>
    </row>
    <row r="447" customFormat="false" ht="15" hidden="false" customHeight="true" outlineLevel="0" collapsed="false">
      <c r="I447" s="26" t="b">
        <f aca="false">IF(기념일등록!$B444="",FALSE(),AND(기념일등록!$I444&gt;=0,기념일등록!$I444&lt;=90))</f>
        <v>0</v>
      </c>
      <c r="J447" s="6" t="str">
        <f aca="false">IF($I447=FALSE(),"",기념일등록!$I444*1000+ROW())</f>
        <v/>
      </c>
      <c r="K447" s="6" t="str">
        <f aca="false">IF($J447="","",RANK($J447,$J$6:$J$505,1))</f>
        <v/>
      </c>
    </row>
    <row r="448" customFormat="false" ht="15" hidden="false" customHeight="true" outlineLevel="0" collapsed="false">
      <c r="I448" s="26" t="b">
        <f aca="false">IF(기념일등록!$B445="",FALSE(),AND(기념일등록!$I445&gt;=0,기념일등록!$I445&lt;=90))</f>
        <v>0</v>
      </c>
      <c r="J448" s="6" t="str">
        <f aca="false">IF($I448=FALSE(),"",기념일등록!$I445*1000+ROW())</f>
        <v/>
      </c>
      <c r="K448" s="6" t="str">
        <f aca="false">IF($J448="","",RANK($J448,$J$6:$J$505,1))</f>
        <v/>
      </c>
    </row>
    <row r="449" customFormat="false" ht="15" hidden="false" customHeight="true" outlineLevel="0" collapsed="false">
      <c r="I449" s="26" t="b">
        <f aca="false">IF(기념일등록!$B446="",FALSE(),AND(기념일등록!$I446&gt;=0,기념일등록!$I446&lt;=90))</f>
        <v>0</v>
      </c>
      <c r="J449" s="6" t="str">
        <f aca="false">IF($I449=FALSE(),"",기념일등록!$I446*1000+ROW())</f>
        <v/>
      </c>
      <c r="K449" s="6" t="str">
        <f aca="false">IF($J449="","",RANK($J449,$J$6:$J$505,1))</f>
        <v/>
      </c>
    </row>
    <row r="450" customFormat="false" ht="15" hidden="false" customHeight="true" outlineLevel="0" collapsed="false">
      <c r="I450" s="26" t="b">
        <f aca="false">IF(기념일등록!$B447="",FALSE(),AND(기념일등록!$I447&gt;=0,기념일등록!$I447&lt;=90))</f>
        <v>0</v>
      </c>
      <c r="J450" s="6" t="str">
        <f aca="false">IF($I450=FALSE(),"",기념일등록!$I447*1000+ROW())</f>
        <v/>
      </c>
      <c r="K450" s="6" t="str">
        <f aca="false">IF($J450="","",RANK($J450,$J$6:$J$505,1))</f>
        <v/>
      </c>
    </row>
    <row r="451" customFormat="false" ht="15" hidden="false" customHeight="true" outlineLevel="0" collapsed="false">
      <c r="I451" s="26" t="b">
        <f aca="false">IF(기념일등록!$B448="",FALSE(),AND(기념일등록!$I448&gt;=0,기념일등록!$I448&lt;=90))</f>
        <v>0</v>
      </c>
      <c r="J451" s="6" t="str">
        <f aca="false">IF($I451=FALSE(),"",기념일등록!$I448*1000+ROW())</f>
        <v/>
      </c>
      <c r="K451" s="6" t="str">
        <f aca="false">IF($J451="","",RANK($J451,$J$6:$J$505,1))</f>
        <v/>
      </c>
    </row>
    <row r="452" customFormat="false" ht="15" hidden="false" customHeight="true" outlineLevel="0" collapsed="false">
      <c r="I452" s="26" t="b">
        <f aca="false">IF(기념일등록!$B449="",FALSE(),AND(기념일등록!$I449&gt;=0,기념일등록!$I449&lt;=90))</f>
        <v>0</v>
      </c>
      <c r="J452" s="6" t="str">
        <f aca="false">IF($I452=FALSE(),"",기념일등록!$I449*1000+ROW())</f>
        <v/>
      </c>
      <c r="K452" s="6" t="str">
        <f aca="false">IF($J452="","",RANK($J452,$J$6:$J$505,1))</f>
        <v/>
      </c>
    </row>
    <row r="453" customFormat="false" ht="15" hidden="false" customHeight="true" outlineLevel="0" collapsed="false">
      <c r="I453" s="26" t="b">
        <f aca="false">IF(기념일등록!$B450="",FALSE(),AND(기념일등록!$I450&gt;=0,기념일등록!$I450&lt;=90))</f>
        <v>0</v>
      </c>
      <c r="J453" s="6" t="str">
        <f aca="false">IF($I453=FALSE(),"",기념일등록!$I450*1000+ROW())</f>
        <v/>
      </c>
      <c r="K453" s="6" t="str">
        <f aca="false">IF($J453="","",RANK($J453,$J$6:$J$505,1))</f>
        <v/>
      </c>
    </row>
    <row r="454" customFormat="false" ht="15" hidden="false" customHeight="true" outlineLevel="0" collapsed="false">
      <c r="I454" s="26" t="b">
        <f aca="false">IF(기념일등록!$B451="",FALSE(),AND(기념일등록!$I451&gt;=0,기념일등록!$I451&lt;=90))</f>
        <v>0</v>
      </c>
      <c r="J454" s="6" t="str">
        <f aca="false">IF($I454=FALSE(),"",기념일등록!$I451*1000+ROW())</f>
        <v/>
      </c>
      <c r="K454" s="6" t="str">
        <f aca="false">IF($J454="","",RANK($J454,$J$6:$J$505,1))</f>
        <v/>
      </c>
    </row>
    <row r="455" customFormat="false" ht="15" hidden="false" customHeight="true" outlineLevel="0" collapsed="false">
      <c r="I455" s="26" t="b">
        <f aca="false">IF(기념일등록!$B452="",FALSE(),AND(기념일등록!$I452&gt;=0,기념일등록!$I452&lt;=90))</f>
        <v>0</v>
      </c>
      <c r="J455" s="6" t="str">
        <f aca="false">IF($I455=FALSE(),"",기념일등록!$I452*1000+ROW())</f>
        <v/>
      </c>
      <c r="K455" s="6" t="str">
        <f aca="false">IF($J455="","",RANK($J455,$J$6:$J$505,1))</f>
        <v/>
      </c>
    </row>
    <row r="456" customFormat="false" ht="15" hidden="false" customHeight="true" outlineLevel="0" collapsed="false">
      <c r="I456" s="26" t="b">
        <f aca="false">IF(기념일등록!$B453="",FALSE(),AND(기념일등록!$I453&gt;=0,기념일등록!$I453&lt;=90))</f>
        <v>0</v>
      </c>
      <c r="J456" s="6" t="str">
        <f aca="false">IF($I456=FALSE(),"",기념일등록!$I453*1000+ROW())</f>
        <v/>
      </c>
      <c r="K456" s="6" t="str">
        <f aca="false">IF($J456="","",RANK($J456,$J$6:$J$505,1))</f>
        <v/>
      </c>
    </row>
    <row r="457" customFormat="false" ht="15" hidden="false" customHeight="true" outlineLevel="0" collapsed="false">
      <c r="I457" s="26" t="b">
        <f aca="false">IF(기념일등록!$B454="",FALSE(),AND(기념일등록!$I454&gt;=0,기념일등록!$I454&lt;=90))</f>
        <v>0</v>
      </c>
      <c r="J457" s="6" t="str">
        <f aca="false">IF($I457=FALSE(),"",기념일등록!$I454*1000+ROW())</f>
        <v/>
      </c>
      <c r="K457" s="6" t="str">
        <f aca="false">IF($J457="","",RANK($J457,$J$6:$J$505,1))</f>
        <v/>
      </c>
    </row>
    <row r="458" customFormat="false" ht="15" hidden="false" customHeight="true" outlineLevel="0" collapsed="false">
      <c r="I458" s="26" t="b">
        <f aca="false">IF(기념일등록!$B455="",FALSE(),AND(기념일등록!$I455&gt;=0,기념일등록!$I455&lt;=90))</f>
        <v>0</v>
      </c>
      <c r="J458" s="6" t="str">
        <f aca="false">IF($I458=FALSE(),"",기념일등록!$I455*1000+ROW())</f>
        <v/>
      </c>
      <c r="K458" s="6" t="str">
        <f aca="false">IF($J458="","",RANK($J458,$J$6:$J$505,1))</f>
        <v/>
      </c>
    </row>
    <row r="459" customFormat="false" ht="15" hidden="false" customHeight="true" outlineLevel="0" collapsed="false">
      <c r="I459" s="26" t="b">
        <f aca="false">IF(기념일등록!$B456="",FALSE(),AND(기념일등록!$I456&gt;=0,기념일등록!$I456&lt;=90))</f>
        <v>0</v>
      </c>
      <c r="J459" s="6" t="str">
        <f aca="false">IF($I459=FALSE(),"",기념일등록!$I456*1000+ROW())</f>
        <v/>
      </c>
      <c r="K459" s="6" t="str">
        <f aca="false">IF($J459="","",RANK($J459,$J$6:$J$505,1))</f>
        <v/>
      </c>
    </row>
    <row r="460" customFormat="false" ht="15" hidden="false" customHeight="true" outlineLevel="0" collapsed="false">
      <c r="I460" s="26" t="b">
        <f aca="false">IF(기념일등록!$B457="",FALSE(),AND(기념일등록!$I457&gt;=0,기념일등록!$I457&lt;=90))</f>
        <v>0</v>
      </c>
      <c r="J460" s="6" t="str">
        <f aca="false">IF($I460=FALSE(),"",기념일등록!$I457*1000+ROW())</f>
        <v/>
      </c>
      <c r="K460" s="6" t="str">
        <f aca="false">IF($J460="","",RANK($J460,$J$6:$J$505,1))</f>
        <v/>
      </c>
    </row>
    <row r="461" customFormat="false" ht="15" hidden="false" customHeight="true" outlineLevel="0" collapsed="false">
      <c r="I461" s="26" t="b">
        <f aca="false">IF(기념일등록!$B458="",FALSE(),AND(기념일등록!$I458&gt;=0,기념일등록!$I458&lt;=90))</f>
        <v>0</v>
      </c>
      <c r="J461" s="6" t="str">
        <f aca="false">IF($I461=FALSE(),"",기념일등록!$I458*1000+ROW())</f>
        <v/>
      </c>
      <c r="K461" s="6" t="str">
        <f aca="false">IF($J461="","",RANK($J461,$J$6:$J$505,1))</f>
        <v/>
      </c>
    </row>
    <row r="462" customFormat="false" ht="15" hidden="false" customHeight="true" outlineLevel="0" collapsed="false">
      <c r="I462" s="26" t="b">
        <f aca="false">IF(기념일등록!$B459="",FALSE(),AND(기념일등록!$I459&gt;=0,기념일등록!$I459&lt;=90))</f>
        <v>0</v>
      </c>
      <c r="J462" s="6" t="str">
        <f aca="false">IF($I462=FALSE(),"",기념일등록!$I459*1000+ROW())</f>
        <v/>
      </c>
      <c r="K462" s="6" t="str">
        <f aca="false">IF($J462="","",RANK($J462,$J$6:$J$505,1))</f>
        <v/>
      </c>
    </row>
    <row r="463" customFormat="false" ht="15" hidden="false" customHeight="true" outlineLevel="0" collapsed="false">
      <c r="I463" s="26" t="b">
        <f aca="false">IF(기념일등록!$B460="",FALSE(),AND(기념일등록!$I460&gt;=0,기념일등록!$I460&lt;=90))</f>
        <v>0</v>
      </c>
      <c r="J463" s="6" t="str">
        <f aca="false">IF($I463=FALSE(),"",기념일등록!$I460*1000+ROW())</f>
        <v/>
      </c>
      <c r="K463" s="6" t="str">
        <f aca="false">IF($J463="","",RANK($J463,$J$6:$J$505,1))</f>
        <v/>
      </c>
    </row>
    <row r="464" customFormat="false" ht="15" hidden="false" customHeight="true" outlineLevel="0" collapsed="false">
      <c r="I464" s="26" t="b">
        <f aca="false">IF(기념일등록!$B461="",FALSE(),AND(기념일등록!$I461&gt;=0,기념일등록!$I461&lt;=90))</f>
        <v>0</v>
      </c>
      <c r="J464" s="6" t="str">
        <f aca="false">IF($I464=FALSE(),"",기념일등록!$I461*1000+ROW())</f>
        <v/>
      </c>
      <c r="K464" s="6" t="str">
        <f aca="false">IF($J464="","",RANK($J464,$J$6:$J$505,1))</f>
        <v/>
      </c>
    </row>
    <row r="465" customFormat="false" ht="15" hidden="false" customHeight="true" outlineLevel="0" collapsed="false">
      <c r="I465" s="26" t="b">
        <f aca="false">IF(기념일등록!$B462="",FALSE(),AND(기념일등록!$I462&gt;=0,기념일등록!$I462&lt;=90))</f>
        <v>0</v>
      </c>
      <c r="J465" s="6" t="str">
        <f aca="false">IF($I465=FALSE(),"",기념일등록!$I462*1000+ROW())</f>
        <v/>
      </c>
      <c r="K465" s="6" t="str">
        <f aca="false">IF($J465="","",RANK($J465,$J$6:$J$505,1))</f>
        <v/>
      </c>
    </row>
    <row r="466" customFormat="false" ht="15" hidden="false" customHeight="true" outlineLevel="0" collapsed="false">
      <c r="I466" s="26" t="b">
        <f aca="false">IF(기념일등록!$B463="",FALSE(),AND(기념일등록!$I463&gt;=0,기념일등록!$I463&lt;=90))</f>
        <v>0</v>
      </c>
      <c r="J466" s="6" t="str">
        <f aca="false">IF($I466=FALSE(),"",기념일등록!$I463*1000+ROW())</f>
        <v/>
      </c>
      <c r="K466" s="6" t="str">
        <f aca="false">IF($J466="","",RANK($J466,$J$6:$J$505,1))</f>
        <v/>
      </c>
    </row>
    <row r="467" customFormat="false" ht="15" hidden="false" customHeight="true" outlineLevel="0" collapsed="false">
      <c r="I467" s="26" t="b">
        <f aca="false">IF(기념일등록!$B464="",FALSE(),AND(기념일등록!$I464&gt;=0,기념일등록!$I464&lt;=90))</f>
        <v>0</v>
      </c>
      <c r="J467" s="6" t="str">
        <f aca="false">IF($I467=FALSE(),"",기념일등록!$I464*1000+ROW())</f>
        <v/>
      </c>
      <c r="K467" s="6" t="str">
        <f aca="false">IF($J467="","",RANK($J467,$J$6:$J$505,1))</f>
        <v/>
      </c>
    </row>
    <row r="468" customFormat="false" ht="15" hidden="false" customHeight="true" outlineLevel="0" collapsed="false">
      <c r="I468" s="26" t="b">
        <f aca="false">IF(기념일등록!$B465="",FALSE(),AND(기념일등록!$I465&gt;=0,기념일등록!$I465&lt;=90))</f>
        <v>0</v>
      </c>
      <c r="J468" s="6" t="str">
        <f aca="false">IF($I468=FALSE(),"",기념일등록!$I465*1000+ROW())</f>
        <v/>
      </c>
      <c r="K468" s="6" t="str">
        <f aca="false">IF($J468="","",RANK($J468,$J$6:$J$505,1))</f>
        <v/>
      </c>
    </row>
    <row r="469" customFormat="false" ht="15" hidden="false" customHeight="true" outlineLevel="0" collapsed="false">
      <c r="I469" s="26" t="b">
        <f aca="false">IF(기념일등록!$B466="",FALSE(),AND(기념일등록!$I466&gt;=0,기념일등록!$I466&lt;=90))</f>
        <v>0</v>
      </c>
      <c r="J469" s="6" t="str">
        <f aca="false">IF($I469=FALSE(),"",기념일등록!$I466*1000+ROW())</f>
        <v/>
      </c>
      <c r="K469" s="6" t="str">
        <f aca="false">IF($J469="","",RANK($J469,$J$6:$J$505,1))</f>
        <v/>
      </c>
    </row>
    <row r="470" customFormat="false" ht="15" hidden="false" customHeight="true" outlineLevel="0" collapsed="false">
      <c r="I470" s="26" t="b">
        <f aca="false">IF(기념일등록!$B467="",FALSE(),AND(기념일등록!$I467&gt;=0,기념일등록!$I467&lt;=90))</f>
        <v>0</v>
      </c>
      <c r="J470" s="6" t="str">
        <f aca="false">IF($I470=FALSE(),"",기념일등록!$I467*1000+ROW())</f>
        <v/>
      </c>
      <c r="K470" s="6" t="str">
        <f aca="false">IF($J470="","",RANK($J470,$J$6:$J$505,1))</f>
        <v/>
      </c>
    </row>
    <row r="471" customFormat="false" ht="15" hidden="false" customHeight="true" outlineLevel="0" collapsed="false">
      <c r="I471" s="26" t="b">
        <f aca="false">IF(기념일등록!$B468="",FALSE(),AND(기념일등록!$I468&gt;=0,기념일등록!$I468&lt;=90))</f>
        <v>0</v>
      </c>
      <c r="J471" s="6" t="str">
        <f aca="false">IF($I471=FALSE(),"",기념일등록!$I468*1000+ROW())</f>
        <v/>
      </c>
      <c r="K471" s="6" t="str">
        <f aca="false">IF($J471="","",RANK($J471,$J$6:$J$505,1))</f>
        <v/>
      </c>
    </row>
    <row r="472" customFormat="false" ht="15" hidden="false" customHeight="true" outlineLevel="0" collapsed="false">
      <c r="I472" s="26" t="b">
        <f aca="false">IF(기념일등록!$B469="",FALSE(),AND(기념일등록!$I469&gt;=0,기념일등록!$I469&lt;=90))</f>
        <v>0</v>
      </c>
      <c r="J472" s="6" t="str">
        <f aca="false">IF($I472=FALSE(),"",기념일등록!$I469*1000+ROW())</f>
        <v/>
      </c>
      <c r="K472" s="6" t="str">
        <f aca="false">IF($J472="","",RANK($J472,$J$6:$J$505,1))</f>
        <v/>
      </c>
    </row>
    <row r="473" customFormat="false" ht="15" hidden="false" customHeight="true" outlineLevel="0" collapsed="false">
      <c r="I473" s="26" t="b">
        <f aca="false">IF(기념일등록!$B470="",FALSE(),AND(기념일등록!$I470&gt;=0,기념일등록!$I470&lt;=90))</f>
        <v>0</v>
      </c>
      <c r="J473" s="6" t="str">
        <f aca="false">IF($I473=FALSE(),"",기념일등록!$I470*1000+ROW())</f>
        <v/>
      </c>
      <c r="K473" s="6" t="str">
        <f aca="false">IF($J473="","",RANK($J473,$J$6:$J$505,1))</f>
        <v/>
      </c>
    </row>
    <row r="474" customFormat="false" ht="15" hidden="false" customHeight="true" outlineLevel="0" collapsed="false">
      <c r="I474" s="26" t="b">
        <f aca="false">IF(기념일등록!$B471="",FALSE(),AND(기념일등록!$I471&gt;=0,기념일등록!$I471&lt;=90))</f>
        <v>0</v>
      </c>
      <c r="J474" s="6" t="str">
        <f aca="false">IF($I474=FALSE(),"",기념일등록!$I471*1000+ROW())</f>
        <v/>
      </c>
      <c r="K474" s="6" t="str">
        <f aca="false">IF($J474="","",RANK($J474,$J$6:$J$505,1))</f>
        <v/>
      </c>
    </row>
    <row r="475" customFormat="false" ht="15" hidden="false" customHeight="true" outlineLevel="0" collapsed="false">
      <c r="I475" s="26" t="b">
        <f aca="false">IF(기념일등록!$B472="",FALSE(),AND(기념일등록!$I472&gt;=0,기념일등록!$I472&lt;=90))</f>
        <v>0</v>
      </c>
      <c r="J475" s="6" t="str">
        <f aca="false">IF($I475=FALSE(),"",기념일등록!$I472*1000+ROW())</f>
        <v/>
      </c>
      <c r="K475" s="6" t="str">
        <f aca="false">IF($J475="","",RANK($J475,$J$6:$J$505,1))</f>
        <v/>
      </c>
    </row>
    <row r="476" customFormat="false" ht="15" hidden="false" customHeight="true" outlineLevel="0" collapsed="false">
      <c r="I476" s="26" t="b">
        <f aca="false">IF(기념일등록!$B473="",FALSE(),AND(기념일등록!$I473&gt;=0,기념일등록!$I473&lt;=90))</f>
        <v>0</v>
      </c>
      <c r="J476" s="6" t="str">
        <f aca="false">IF($I476=FALSE(),"",기념일등록!$I473*1000+ROW())</f>
        <v/>
      </c>
      <c r="K476" s="6" t="str">
        <f aca="false">IF($J476="","",RANK($J476,$J$6:$J$505,1))</f>
        <v/>
      </c>
    </row>
    <row r="477" customFormat="false" ht="15" hidden="false" customHeight="true" outlineLevel="0" collapsed="false">
      <c r="I477" s="26" t="b">
        <f aca="false">IF(기념일등록!$B474="",FALSE(),AND(기념일등록!$I474&gt;=0,기념일등록!$I474&lt;=90))</f>
        <v>0</v>
      </c>
      <c r="J477" s="6" t="str">
        <f aca="false">IF($I477=FALSE(),"",기념일등록!$I474*1000+ROW())</f>
        <v/>
      </c>
      <c r="K477" s="6" t="str">
        <f aca="false">IF($J477="","",RANK($J477,$J$6:$J$505,1))</f>
        <v/>
      </c>
    </row>
    <row r="478" customFormat="false" ht="15" hidden="false" customHeight="true" outlineLevel="0" collapsed="false">
      <c r="I478" s="26" t="b">
        <f aca="false">IF(기념일등록!$B475="",FALSE(),AND(기념일등록!$I475&gt;=0,기념일등록!$I475&lt;=90))</f>
        <v>0</v>
      </c>
      <c r="J478" s="6" t="str">
        <f aca="false">IF($I478=FALSE(),"",기념일등록!$I475*1000+ROW())</f>
        <v/>
      </c>
      <c r="K478" s="6" t="str">
        <f aca="false">IF($J478="","",RANK($J478,$J$6:$J$505,1))</f>
        <v/>
      </c>
    </row>
    <row r="479" customFormat="false" ht="15" hidden="false" customHeight="true" outlineLevel="0" collapsed="false">
      <c r="I479" s="26" t="b">
        <f aca="false">IF(기념일등록!$B476="",FALSE(),AND(기념일등록!$I476&gt;=0,기념일등록!$I476&lt;=90))</f>
        <v>0</v>
      </c>
      <c r="J479" s="6" t="str">
        <f aca="false">IF($I479=FALSE(),"",기념일등록!$I476*1000+ROW())</f>
        <v/>
      </c>
      <c r="K479" s="6" t="str">
        <f aca="false">IF($J479="","",RANK($J479,$J$6:$J$505,1))</f>
        <v/>
      </c>
    </row>
    <row r="480" customFormat="false" ht="15" hidden="false" customHeight="true" outlineLevel="0" collapsed="false">
      <c r="I480" s="26" t="b">
        <f aca="false">IF(기념일등록!$B477="",FALSE(),AND(기념일등록!$I477&gt;=0,기념일등록!$I477&lt;=90))</f>
        <v>0</v>
      </c>
      <c r="J480" s="6" t="str">
        <f aca="false">IF($I480=FALSE(),"",기념일등록!$I477*1000+ROW())</f>
        <v/>
      </c>
      <c r="K480" s="6" t="str">
        <f aca="false">IF($J480="","",RANK($J480,$J$6:$J$505,1))</f>
        <v/>
      </c>
    </row>
    <row r="481" customFormat="false" ht="15" hidden="false" customHeight="true" outlineLevel="0" collapsed="false">
      <c r="I481" s="26" t="b">
        <f aca="false">IF(기념일등록!$B478="",FALSE(),AND(기념일등록!$I478&gt;=0,기념일등록!$I478&lt;=90))</f>
        <v>0</v>
      </c>
      <c r="J481" s="6" t="str">
        <f aca="false">IF($I481=FALSE(),"",기념일등록!$I478*1000+ROW())</f>
        <v/>
      </c>
      <c r="K481" s="6" t="str">
        <f aca="false">IF($J481="","",RANK($J481,$J$6:$J$505,1))</f>
        <v/>
      </c>
    </row>
    <row r="482" customFormat="false" ht="15" hidden="false" customHeight="true" outlineLevel="0" collapsed="false">
      <c r="I482" s="26" t="b">
        <f aca="false">IF(기념일등록!$B479="",FALSE(),AND(기념일등록!$I479&gt;=0,기념일등록!$I479&lt;=90))</f>
        <v>0</v>
      </c>
      <c r="J482" s="6" t="str">
        <f aca="false">IF($I482=FALSE(),"",기념일등록!$I479*1000+ROW())</f>
        <v/>
      </c>
      <c r="K482" s="6" t="str">
        <f aca="false">IF($J482="","",RANK($J482,$J$6:$J$505,1))</f>
        <v/>
      </c>
    </row>
    <row r="483" customFormat="false" ht="15" hidden="false" customHeight="true" outlineLevel="0" collapsed="false">
      <c r="I483" s="26" t="b">
        <f aca="false">IF(기념일등록!$B480="",FALSE(),AND(기념일등록!$I480&gt;=0,기념일등록!$I480&lt;=90))</f>
        <v>0</v>
      </c>
      <c r="J483" s="6" t="str">
        <f aca="false">IF($I483=FALSE(),"",기념일등록!$I480*1000+ROW())</f>
        <v/>
      </c>
      <c r="K483" s="6" t="str">
        <f aca="false">IF($J483="","",RANK($J483,$J$6:$J$505,1))</f>
        <v/>
      </c>
    </row>
    <row r="484" customFormat="false" ht="15" hidden="false" customHeight="true" outlineLevel="0" collapsed="false">
      <c r="I484" s="26" t="b">
        <f aca="false">IF(기념일등록!$B481="",FALSE(),AND(기념일등록!$I481&gt;=0,기념일등록!$I481&lt;=90))</f>
        <v>0</v>
      </c>
      <c r="J484" s="6" t="str">
        <f aca="false">IF($I484=FALSE(),"",기념일등록!$I481*1000+ROW())</f>
        <v/>
      </c>
      <c r="K484" s="6" t="str">
        <f aca="false">IF($J484="","",RANK($J484,$J$6:$J$505,1))</f>
        <v/>
      </c>
    </row>
    <row r="485" customFormat="false" ht="15" hidden="false" customHeight="true" outlineLevel="0" collapsed="false">
      <c r="I485" s="26" t="b">
        <f aca="false">IF(기념일등록!$B482="",FALSE(),AND(기념일등록!$I482&gt;=0,기념일등록!$I482&lt;=90))</f>
        <v>0</v>
      </c>
      <c r="J485" s="6" t="str">
        <f aca="false">IF($I485=FALSE(),"",기념일등록!$I482*1000+ROW())</f>
        <v/>
      </c>
      <c r="K485" s="6" t="str">
        <f aca="false">IF($J485="","",RANK($J485,$J$6:$J$505,1))</f>
        <v/>
      </c>
    </row>
    <row r="486" customFormat="false" ht="15" hidden="false" customHeight="true" outlineLevel="0" collapsed="false">
      <c r="I486" s="26" t="b">
        <f aca="false">IF(기념일등록!$B483="",FALSE(),AND(기념일등록!$I483&gt;=0,기념일등록!$I483&lt;=90))</f>
        <v>0</v>
      </c>
      <c r="J486" s="6" t="str">
        <f aca="false">IF($I486=FALSE(),"",기념일등록!$I483*1000+ROW())</f>
        <v/>
      </c>
      <c r="K486" s="6" t="str">
        <f aca="false">IF($J486="","",RANK($J486,$J$6:$J$505,1))</f>
        <v/>
      </c>
    </row>
    <row r="487" customFormat="false" ht="15" hidden="false" customHeight="true" outlineLevel="0" collapsed="false">
      <c r="I487" s="26" t="b">
        <f aca="false">IF(기념일등록!$B484="",FALSE(),AND(기념일등록!$I484&gt;=0,기념일등록!$I484&lt;=90))</f>
        <v>0</v>
      </c>
      <c r="J487" s="6" t="str">
        <f aca="false">IF($I487=FALSE(),"",기념일등록!$I484*1000+ROW())</f>
        <v/>
      </c>
      <c r="K487" s="6" t="str">
        <f aca="false">IF($J487="","",RANK($J487,$J$6:$J$505,1))</f>
        <v/>
      </c>
    </row>
    <row r="488" customFormat="false" ht="15" hidden="false" customHeight="true" outlineLevel="0" collapsed="false">
      <c r="I488" s="26" t="b">
        <f aca="false">IF(기념일등록!$B485="",FALSE(),AND(기념일등록!$I485&gt;=0,기념일등록!$I485&lt;=90))</f>
        <v>0</v>
      </c>
      <c r="J488" s="6" t="str">
        <f aca="false">IF($I488=FALSE(),"",기념일등록!$I485*1000+ROW())</f>
        <v/>
      </c>
      <c r="K488" s="6" t="str">
        <f aca="false">IF($J488="","",RANK($J488,$J$6:$J$505,1))</f>
        <v/>
      </c>
    </row>
    <row r="489" customFormat="false" ht="15" hidden="false" customHeight="true" outlineLevel="0" collapsed="false">
      <c r="I489" s="26" t="b">
        <f aca="false">IF(기념일등록!$B486="",FALSE(),AND(기념일등록!$I486&gt;=0,기념일등록!$I486&lt;=90))</f>
        <v>0</v>
      </c>
      <c r="J489" s="6" t="str">
        <f aca="false">IF($I489=FALSE(),"",기념일등록!$I486*1000+ROW())</f>
        <v/>
      </c>
      <c r="K489" s="6" t="str">
        <f aca="false">IF($J489="","",RANK($J489,$J$6:$J$505,1))</f>
        <v/>
      </c>
    </row>
    <row r="490" customFormat="false" ht="15" hidden="false" customHeight="true" outlineLevel="0" collapsed="false">
      <c r="I490" s="26" t="b">
        <f aca="false">IF(기념일등록!$B487="",FALSE(),AND(기념일등록!$I487&gt;=0,기념일등록!$I487&lt;=90))</f>
        <v>0</v>
      </c>
      <c r="J490" s="6" t="str">
        <f aca="false">IF($I490=FALSE(),"",기념일등록!$I487*1000+ROW())</f>
        <v/>
      </c>
      <c r="K490" s="6" t="str">
        <f aca="false">IF($J490="","",RANK($J490,$J$6:$J$505,1))</f>
        <v/>
      </c>
    </row>
    <row r="491" customFormat="false" ht="15" hidden="false" customHeight="true" outlineLevel="0" collapsed="false">
      <c r="I491" s="26" t="b">
        <f aca="false">IF(기념일등록!$B488="",FALSE(),AND(기념일등록!$I488&gt;=0,기념일등록!$I488&lt;=90))</f>
        <v>0</v>
      </c>
      <c r="J491" s="6" t="str">
        <f aca="false">IF($I491=FALSE(),"",기념일등록!$I488*1000+ROW())</f>
        <v/>
      </c>
      <c r="K491" s="6" t="str">
        <f aca="false">IF($J491="","",RANK($J491,$J$6:$J$505,1))</f>
        <v/>
      </c>
    </row>
    <row r="492" customFormat="false" ht="15" hidden="false" customHeight="true" outlineLevel="0" collapsed="false">
      <c r="I492" s="26" t="b">
        <f aca="false">IF(기념일등록!$B489="",FALSE(),AND(기념일등록!$I489&gt;=0,기념일등록!$I489&lt;=90))</f>
        <v>0</v>
      </c>
      <c r="J492" s="6" t="str">
        <f aca="false">IF($I492=FALSE(),"",기념일등록!$I489*1000+ROW())</f>
        <v/>
      </c>
      <c r="K492" s="6" t="str">
        <f aca="false">IF($J492="","",RANK($J492,$J$6:$J$505,1))</f>
        <v/>
      </c>
    </row>
    <row r="493" customFormat="false" ht="15" hidden="false" customHeight="true" outlineLevel="0" collapsed="false">
      <c r="I493" s="26" t="b">
        <f aca="false">IF(기념일등록!$B490="",FALSE(),AND(기념일등록!$I490&gt;=0,기념일등록!$I490&lt;=90))</f>
        <v>0</v>
      </c>
      <c r="J493" s="6" t="str">
        <f aca="false">IF($I493=FALSE(),"",기념일등록!$I490*1000+ROW())</f>
        <v/>
      </c>
      <c r="K493" s="6" t="str">
        <f aca="false">IF($J493="","",RANK($J493,$J$6:$J$505,1))</f>
        <v/>
      </c>
    </row>
    <row r="494" customFormat="false" ht="15" hidden="false" customHeight="true" outlineLevel="0" collapsed="false">
      <c r="I494" s="26" t="b">
        <f aca="false">IF(기념일등록!$B491="",FALSE(),AND(기념일등록!$I491&gt;=0,기념일등록!$I491&lt;=90))</f>
        <v>0</v>
      </c>
      <c r="J494" s="6" t="str">
        <f aca="false">IF($I494=FALSE(),"",기념일등록!$I491*1000+ROW())</f>
        <v/>
      </c>
      <c r="K494" s="6" t="str">
        <f aca="false">IF($J494="","",RANK($J494,$J$6:$J$505,1))</f>
        <v/>
      </c>
    </row>
    <row r="495" customFormat="false" ht="15" hidden="false" customHeight="true" outlineLevel="0" collapsed="false">
      <c r="I495" s="26" t="b">
        <f aca="false">IF(기념일등록!$B492="",FALSE(),AND(기념일등록!$I492&gt;=0,기념일등록!$I492&lt;=90))</f>
        <v>0</v>
      </c>
      <c r="J495" s="6" t="str">
        <f aca="false">IF($I495=FALSE(),"",기념일등록!$I492*1000+ROW())</f>
        <v/>
      </c>
      <c r="K495" s="6" t="str">
        <f aca="false">IF($J495="","",RANK($J495,$J$6:$J$505,1))</f>
        <v/>
      </c>
    </row>
    <row r="496" customFormat="false" ht="15" hidden="false" customHeight="true" outlineLevel="0" collapsed="false">
      <c r="I496" s="26" t="b">
        <f aca="false">IF(기념일등록!$B493="",FALSE(),AND(기념일등록!$I493&gt;=0,기념일등록!$I493&lt;=90))</f>
        <v>0</v>
      </c>
      <c r="J496" s="6" t="str">
        <f aca="false">IF($I496=FALSE(),"",기념일등록!$I493*1000+ROW())</f>
        <v/>
      </c>
      <c r="K496" s="6" t="str">
        <f aca="false">IF($J496="","",RANK($J496,$J$6:$J$505,1))</f>
        <v/>
      </c>
    </row>
    <row r="497" customFormat="false" ht="15" hidden="false" customHeight="true" outlineLevel="0" collapsed="false">
      <c r="I497" s="26" t="b">
        <f aca="false">IF(기념일등록!$B494="",FALSE(),AND(기념일등록!$I494&gt;=0,기념일등록!$I494&lt;=90))</f>
        <v>0</v>
      </c>
      <c r="J497" s="6" t="str">
        <f aca="false">IF($I497=FALSE(),"",기념일등록!$I494*1000+ROW())</f>
        <v/>
      </c>
      <c r="K497" s="6" t="str">
        <f aca="false">IF($J497="","",RANK($J497,$J$6:$J$505,1))</f>
        <v/>
      </c>
    </row>
    <row r="498" customFormat="false" ht="15" hidden="false" customHeight="true" outlineLevel="0" collapsed="false">
      <c r="I498" s="26" t="b">
        <f aca="false">IF(기념일등록!$B495="",FALSE(),AND(기념일등록!$I495&gt;=0,기념일등록!$I495&lt;=90))</f>
        <v>0</v>
      </c>
      <c r="J498" s="6" t="str">
        <f aca="false">IF($I498=FALSE(),"",기념일등록!$I495*1000+ROW())</f>
        <v/>
      </c>
      <c r="K498" s="6" t="str">
        <f aca="false">IF($J498="","",RANK($J498,$J$6:$J$505,1))</f>
        <v/>
      </c>
    </row>
    <row r="499" customFormat="false" ht="15" hidden="false" customHeight="true" outlineLevel="0" collapsed="false">
      <c r="I499" s="26" t="b">
        <f aca="false">IF(기념일등록!$B496="",FALSE(),AND(기념일등록!$I496&gt;=0,기념일등록!$I496&lt;=90))</f>
        <v>0</v>
      </c>
      <c r="J499" s="6" t="str">
        <f aca="false">IF($I499=FALSE(),"",기념일등록!$I496*1000+ROW())</f>
        <v/>
      </c>
      <c r="K499" s="6" t="str">
        <f aca="false">IF($J499="","",RANK($J499,$J$6:$J$505,1))</f>
        <v/>
      </c>
    </row>
    <row r="500" customFormat="false" ht="15" hidden="false" customHeight="true" outlineLevel="0" collapsed="false">
      <c r="I500" s="26" t="b">
        <f aca="false">IF(기념일등록!$B497="",FALSE(),AND(기념일등록!$I497&gt;=0,기념일등록!$I497&lt;=90))</f>
        <v>0</v>
      </c>
      <c r="J500" s="6" t="str">
        <f aca="false">IF($I500=FALSE(),"",기념일등록!$I497*1000+ROW())</f>
        <v/>
      </c>
      <c r="K500" s="6" t="str">
        <f aca="false">IF($J500="","",RANK($J500,$J$6:$J$505,1))</f>
        <v/>
      </c>
    </row>
    <row r="501" customFormat="false" ht="15" hidden="false" customHeight="true" outlineLevel="0" collapsed="false">
      <c r="I501" s="26" t="b">
        <f aca="false">IF(기념일등록!$B498="",FALSE(),AND(기념일등록!$I498&gt;=0,기념일등록!$I498&lt;=90))</f>
        <v>0</v>
      </c>
      <c r="J501" s="6" t="str">
        <f aca="false">IF($I501=FALSE(),"",기념일등록!$I498*1000+ROW())</f>
        <v/>
      </c>
      <c r="K501" s="6" t="str">
        <f aca="false">IF($J501="","",RANK($J501,$J$6:$J$505,1))</f>
        <v/>
      </c>
    </row>
    <row r="502" customFormat="false" ht="15" hidden="false" customHeight="true" outlineLevel="0" collapsed="false">
      <c r="I502" s="26" t="b">
        <f aca="false">IF(기념일등록!$B499="",FALSE(),AND(기념일등록!$I499&gt;=0,기념일등록!$I499&lt;=90))</f>
        <v>0</v>
      </c>
      <c r="J502" s="6" t="str">
        <f aca="false">IF($I502=FALSE(),"",기념일등록!$I499*1000+ROW())</f>
        <v/>
      </c>
      <c r="K502" s="6" t="str">
        <f aca="false">IF($J502="","",RANK($J502,$J$6:$J$505,1))</f>
        <v/>
      </c>
    </row>
    <row r="503" customFormat="false" ht="15" hidden="false" customHeight="true" outlineLevel="0" collapsed="false">
      <c r="I503" s="26" t="b">
        <f aca="false">IF(기념일등록!$B500="",FALSE(),AND(기념일등록!$I500&gt;=0,기념일등록!$I500&lt;=90))</f>
        <v>0</v>
      </c>
      <c r="J503" s="6" t="str">
        <f aca="false">IF($I503=FALSE(),"",기념일등록!$I500*1000+ROW())</f>
        <v/>
      </c>
      <c r="K503" s="6" t="str">
        <f aca="false">IF($J503="","",RANK($J503,$J$6:$J$505,1))</f>
        <v/>
      </c>
    </row>
    <row r="504" customFormat="false" ht="15" hidden="false" customHeight="true" outlineLevel="0" collapsed="false">
      <c r="I504" s="26" t="b">
        <f aca="false">IF(기념일등록!$B501="",FALSE(),AND(기념일등록!$I501&gt;=0,기념일등록!$I501&lt;=90))</f>
        <v>0</v>
      </c>
      <c r="J504" s="6" t="str">
        <f aca="false">IF($I504=FALSE(),"",기념일등록!$I501*1000+ROW())</f>
        <v/>
      </c>
      <c r="K504" s="6" t="str">
        <f aca="false">IF($J504="","",RANK($J504,$J$6:$J$505,1))</f>
        <v/>
      </c>
    </row>
    <row r="505" customFormat="false" ht="15" hidden="false" customHeight="true" outlineLevel="0" collapsed="false">
      <c r="I505" s="26" t="b">
        <f aca="false">IF(기념일등록!$B502="",FALSE(),AND(기념일등록!$I502&gt;=0,기념일등록!$I502&lt;=90))</f>
        <v>0</v>
      </c>
      <c r="J505" s="6" t="str">
        <f aca="false">IF($I505=FALSE(),"",기념일등록!$I502*1000+ROW())</f>
        <v/>
      </c>
      <c r="K505" s="6" t="str">
        <f aca="false">IF($J505="","",RANK($J505,$J$6:$J$505,1))</f>
        <v/>
      </c>
    </row>
  </sheetData>
  <mergeCells count="1">
    <mergeCell ref="A1:G1"/>
  </mergeCells>
  <conditionalFormatting sqref="A6:G65">
    <cfRule type="expression" priority="2" aboveAverage="0" equalAverage="0" bottom="0" percent="0" rank="0" text="" dxfId="0">
      <formula>AND($C6&lt;&gt;"",$C6&lt;=사용안내!$C$16)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9" min="8" style="1" width="11"/>
    <col collapsed="false" customWidth="true" hidden="false" outlineLevel="0" max="10" min="10" style="1" width="13"/>
  </cols>
  <sheetData>
    <row r="1" customFormat="false" ht="25.5" hidden="false" customHeight="true" outlineLevel="0" collapsed="false">
      <c r="A1" s="2" t="s">
        <v>70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71</v>
      </c>
      <c r="B3" s="27" t="n">
        <v>9</v>
      </c>
      <c r="C3" s="17" t="s">
        <v>72</v>
      </c>
    </row>
    <row r="5" customFormat="false" ht="15" hidden="false" customHeight="true" outlineLevel="0" collapsed="false">
      <c r="A5" s="8" t="s">
        <v>73</v>
      </c>
      <c r="B5" s="8" t="s">
        <v>74</v>
      </c>
      <c r="C5" s="8" t="s">
        <v>25</v>
      </c>
      <c r="D5" s="8" t="s">
        <v>32</v>
      </c>
      <c r="E5" s="8" t="s">
        <v>48</v>
      </c>
      <c r="F5" s="8" t="s">
        <v>30</v>
      </c>
    </row>
    <row r="6" customFormat="false" ht="15" hidden="false" customHeight="true" outlineLevel="0" collapsed="false">
      <c r="A6" s="23" t="n">
        <f aca="false">IF($C6="","",1)</f>
        <v>1</v>
      </c>
      <c r="B6" s="24" t="n">
        <f aca="false">IFERROR(INDEX(기념일등록!$G$3:$G$502,MATCH(1,월별달력!$J$6:$J$505,0)),"")</f>
        <v>20</v>
      </c>
      <c r="C6" s="18" t="str">
        <f aca="false">IFERROR(INDEX(기념일등록!$B$3:$B$502,MATCH(1,월별달력!$J$6:$J$505,0)),"")</f>
        <v>김사장</v>
      </c>
      <c r="D6" s="18" t="str">
        <f aca="false">IF($C6="","",IFERROR(INDEX(기념일등록!$C$3:$C$502,MATCH(1,월별달력!$J$6:$J$505,0)),""))</f>
        <v>○○상사</v>
      </c>
      <c r="E6" s="23" t="str">
        <f aca="false">IF($C6="","",IFERROR(INDEX(기념일등록!$D$3:$D$502,MATCH(1,월별달력!$J$6:$J$505,0)),""))</f>
        <v>창립기념일</v>
      </c>
      <c r="F6" s="18" t="str">
        <f aca="false">IF($C6="","",IFERROR(IF(INDEX(기념일등록!$J$3:$J$502,MATCH(1,월별달력!$J$6:$J$505,0))="","",INDEX(기념일등록!$J$3:$J$502,MATCH(1,월별달력!$J$6:$J$505,0))),""))</f>
        <v/>
      </c>
      <c r="H6" s="26" t="b">
        <f aca="false">IF(기념일등록!$B3="",FALSE(),기념일등록!$F3=$B$3)</f>
        <v>1</v>
      </c>
      <c r="I6" s="6" t="n">
        <f aca="false">IF($H6=FALSE(),"",IF(기념일등록!$G3="",99999,기념일등록!$G3)*1000+ROW())</f>
        <v>25006</v>
      </c>
      <c r="J6" s="6" t="n">
        <f aca="false">IF($I6="","",RANK($I6,$I$6:$I$505,1))</f>
        <v>2</v>
      </c>
    </row>
    <row r="7" customFormat="false" ht="15" hidden="false" customHeight="true" outlineLevel="0" collapsed="false">
      <c r="A7" s="23" t="n">
        <f aca="false">IF($C7="","",2)</f>
        <v>2</v>
      </c>
      <c r="B7" s="24" t="n">
        <f aca="false">IFERROR(INDEX(기념일등록!$G$3:$G$502,MATCH(2,월별달력!$J$6:$J$505,0)),"")</f>
        <v>25</v>
      </c>
      <c r="C7" s="18" t="str">
        <f aca="false">IFERROR(INDEX(기념일등록!$B$3:$B$502,MATCH(2,월별달력!$J$6:$J$505,0)),"")</f>
        <v>김사장</v>
      </c>
      <c r="D7" s="18" t="str">
        <f aca="false">IF($C7="","",IFERROR(INDEX(기념일등록!$C$3:$C$502,MATCH(2,월별달력!$J$6:$J$505,0)),""))</f>
        <v>○○상사</v>
      </c>
      <c r="E7" s="23" t="str">
        <f aca="false">IF($C7="","",IFERROR(INDEX(기념일등록!$D$3:$D$502,MATCH(2,월별달력!$J$6:$J$505,0)),""))</f>
        <v>생일</v>
      </c>
      <c r="F7" s="18" t="str">
        <f aca="false">IF($C7="","",IFERROR(IF(INDEX(기념일등록!$J$3:$J$502,MATCH(2,월별달력!$J$6:$J$505,0))="","",INDEX(기념일등록!$J$3:$J$502,MATCH(2,월별달력!$J$6:$J$505,0))),""))</f>
        <v/>
      </c>
      <c r="H7" s="26" t="b">
        <f aca="false">IF(기념일등록!$B4="",FALSE(),기념일등록!$F4=$B$3)</f>
        <v>0</v>
      </c>
      <c r="I7" s="6" t="str">
        <f aca="false">IF($H7=FALSE(),"",IF(기념일등록!$G4="",99999,기념일등록!$G4)*1000+ROW())</f>
        <v/>
      </c>
      <c r="J7" s="6" t="str">
        <f aca="false">IF($I7="","",RANK($I7,$I$6:$I$505,1))</f>
        <v/>
      </c>
    </row>
    <row r="8" customFormat="false" ht="15" hidden="false" customHeight="true" outlineLevel="0" collapsed="false">
      <c r="A8" s="23" t="str">
        <f aca="false">IF($C8="","",3)</f>
        <v/>
      </c>
      <c r="B8" s="23" t="str">
        <f aca="false">IFERROR(INDEX(기념일등록!$G$3:$G$502,MATCH(3,월별달력!$J$6:$J$505,0)),"")</f>
        <v/>
      </c>
      <c r="C8" s="18" t="str">
        <f aca="false">IFERROR(INDEX(기념일등록!$B$3:$B$502,MATCH(3,월별달력!$J$6:$J$505,0)),"")</f>
        <v/>
      </c>
      <c r="D8" s="18" t="str">
        <f aca="false">IF($C8="","",IFERROR(INDEX(기념일등록!$C$3:$C$502,MATCH(3,월별달력!$J$6:$J$505,0)),""))</f>
        <v/>
      </c>
      <c r="E8" s="23" t="str">
        <f aca="false">IF($C8="","",IFERROR(INDEX(기념일등록!$D$3:$D$502,MATCH(3,월별달력!$J$6:$J$505,0)),""))</f>
        <v/>
      </c>
      <c r="F8" s="18" t="str">
        <f aca="false">IF($C8="","",IFERROR(IF(INDEX(기념일등록!$J$3:$J$502,MATCH(3,월별달력!$J$6:$J$505,0))="","",INDEX(기념일등록!$J$3:$J$502,MATCH(3,월별달력!$J$6:$J$505,0))),""))</f>
        <v/>
      </c>
      <c r="H8" s="26" t="b">
        <f aca="false">IF(기념일등록!$B5="",FALSE(),기념일등록!$F5=$B$3)</f>
        <v>1</v>
      </c>
      <c r="I8" s="6" t="n">
        <f aca="false">IF($H8=FALSE(),"",IF(기념일등록!$G5="",99999,기념일등록!$G5)*1000+ROW())</f>
        <v>20008</v>
      </c>
      <c r="J8" s="6" t="n">
        <f aca="false">IF($I8="","",RANK($I8,$I$6:$I$505,1))</f>
        <v>1</v>
      </c>
    </row>
    <row r="9" customFormat="false" ht="15" hidden="false" customHeight="true" outlineLevel="0" collapsed="false">
      <c r="A9" s="23" t="str">
        <f aca="false">IF($C9="","",4)</f>
        <v/>
      </c>
      <c r="B9" s="23" t="str">
        <f aca="false">IFERROR(INDEX(기념일등록!$G$3:$G$502,MATCH(4,월별달력!$J$6:$J$505,0)),"")</f>
        <v/>
      </c>
      <c r="C9" s="18" t="str">
        <f aca="false">IFERROR(INDEX(기념일등록!$B$3:$B$502,MATCH(4,월별달력!$J$6:$J$505,0)),"")</f>
        <v/>
      </c>
      <c r="D9" s="18" t="str">
        <f aca="false">IF($C9="","",IFERROR(INDEX(기념일등록!$C$3:$C$502,MATCH(4,월별달력!$J$6:$J$505,0)),""))</f>
        <v/>
      </c>
      <c r="E9" s="23" t="str">
        <f aca="false">IF($C9="","",IFERROR(INDEX(기념일등록!$D$3:$D$502,MATCH(4,월별달력!$J$6:$J$505,0)),""))</f>
        <v/>
      </c>
      <c r="F9" s="18" t="str">
        <f aca="false">IF($C9="","",IFERROR(IF(INDEX(기념일등록!$J$3:$J$502,MATCH(4,월별달력!$J$6:$J$505,0))="","",INDEX(기념일등록!$J$3:$J$502,MATCH(4,월별달력!$J$6:$J$505,0))),""))</f>
        <v/>
      </c>
      <c r="H9" s="26" t="b">
        <f aca="false">IF(기념일등록!$B6="",FALSE(),기념일등록!$F6=$B$3)</f>
        <v>0</v>
      </c>
      <c r="I9" s="6" t="str">
        <f aca="false">IF($H9=FALSE(),"",IF(기념일등록!$G6="",99999,기념일등록!$G6)*1000+ROW())</f>
        <v/>
      </c>
      <c r="J9" s="6" t="str">
        <f aca="false">IF($I9="","",RANK($I9,$I$6:$I$505,1))</f>
        <v/>
      </c>
    </row>
    <row r="10" customFormat="false" ht="15" hidden="false" customHeight="true" outlineLevel="0" collapsed="false">
      <c r="A10" s="23" t="str">
        <f aca="false">IF($C10="","",5)</f>
        <v/>
      </c>
      <c r="B10" s="23" t="str">
        <f aca="false">IFERROR(INDEX(기념일등록!$G$3:$G$502,MATCH(5,월별달력!$J$6:$J$505,0)),"")</f>
        <v/>
      </c>
      <c r="C10" s="18" t="str">
        <f aca="false">IFERROR(INDEX(기념일등록!$B$3:$B$502,MATCH(5,월별달력!$J$6:$J$505,0)),"")</f>
        <v/>
      </c>
      <c r="D10" s="18" t="str">
        <f aca="false">IF($C10="","",IFERROR(INDEX(기념일등록!$C$3:$C$502,MATCH(5,월별달력!$J$6:$J$505,0)),""))</f>
        <v/>
      </c>
      <c r="E10" s="23" t="str">
        <f aca="false">IF($C10="","",IFERROR(INDEX(기념일등록!$D$3:$D$502,MATCH(5,월별달력!$J$6:$J$505,0)),""))</f>
        <v/>
      </c>
      <c r="F10" s="18" t="str">
        <f aca="false">IF($C10="","",IFERROR(IF(INDEX(기념일등록!$J$3:$J$502,MATCH(5,월별달력!$J$6:$J$505,0))="","",INDEX(기념일등록!$J$3:$J$502,MATCH(5,월별달력!$J$6:$J$505,0))),""))</f>
        <v/>
      </c>
      <c r="H10" s="26" t="b">
        <f aca="false">IF(기념일등록!$B7="",FALSE(),기념일등록!$F7=$B$3)</f>
        <v>0</v>
      </c>
      <c r="I10" s="6" t="str">
        <f aca="false">IF($H10=FALSE(),"",IF(기념일등록!$G7="",99999,기념일등록!$G7)*1000+ROW())</f>
        <v/>
      </c>
      <c r="J10" s="6" t="str">
        <f aca="false">IF($I10="","",RANK($I10,$I$6:$I$505,1))</f>
        <v/>
      </c>
    </row>
    <row r="11" customFormat="false" ht="15" hidden="false" customHeight="true" outlineLevel="0" collapsed="false">
      <c r="A11" s="23" t="str">
        <f aca="false">IF($C11="","",6)</f>
        <v/>
      </c>
      <c r="B11" s="23" t="str">
        <f aca="false">IFERROR(INDEX(기념일등록!$G$3:$G$502,MATCH(6,월별달력!$J$6:$J$505,0)),"")</f>
        <v/>
      </c>
      <c r="C11" s="18" t="str">
        <f aca="false">IFERROR(INDEX(기념일등록!$B$3:$B$502,MATCH(6,월별달력!$J$6:$J$505,0)),"")</f>
        <v/>
      </c>
      <c r="D11" s="18" t="str">
        <f aca="false">IF($C11="","",IFERROR(INDEX(기념일등록!$C$3:$C$502,MATCH(6,월별달력!$J$6:$J$505,0)),""))</f>
        <v/>
      </c>
      <c r="E11" s="23" t="str">
        <f aca="false">IF($C11="","",IFERROR(INDEX(기념일등록!$D$3:$D$502,MATCH(6,월별달력!$J$6:$J$505,0)),""))</f>
        <v/>
      </c>
      <c r="F11" s="18" t="str">
        <f aca="false">IF($C11="","",IFERROR(IF(INDEX(기념일등록!$J$3:$J$502,MATCH(6,월별달력!$J$6:$J$505,0))="","",INDEX(기념일등록!$J$3:$J$502,MATCH(6,월별달력!$J$6:$J$505,0))),""))</f>
        <v/>
      </c>
      <c r="H11" s="26" t="b">
        <f aca="false">IF(기념일등록!$B8="",FALSE(),기념일등록!$F8=$B$3)</f>
        <v>0</v>
      </c>
      <c r="I11" s="6" t="str">
        <f aca="false">IF($H11=FALSE(),"",IF(기념일등록!$G8="",99999,기념일등록!$G8)*1000+ROW())</f>
        <v/>
      </c>
      <c r="J11" s="6" t="str">
        <f aca="false">IF($I11="","",RANK($I11,$I$6:$I$505,1))</f>
        <v/>
      </c>
    </row>
    <row r="12" customFormat="false" ht="15" hidden="false" customHeight="true" outlineLevel="0" collapsed="false">
      <c r="A12" s="23" t="str">
        <f aca="false">IF($C12="","",7)</f>
        <v/>
      </c>
      <c r="B12" s="23" t="str">
        <f aca="false">IFERROR(INDEX(기념일등록!$G$3:$G$502,MATCH(7,월별달력!$J$6:$J$505,0)),"")</f>
        <v/>
      </c>
      <c r="C12" s="18" t="str">
        <f aca="false">IFERROR(INDEX(기념일등록!$B$3:$B$502,MATCH(7,월별달력!$J$6:$J$505,0)),"")</f>
        <v/>
      </c>
      <c r="D12" s="18" t="str">
        <f aca="false">IF($C12="","",IFERROR(INDEX(기념일등록!$C$3:$C$502,MATCH(7,월별달력!$J$6:$J$505,0)),""))</f>
        <v/>
      </c>
      <c r="E12" s="23" t="str">
        <f aca="false">IF($C12="","",IFERROR(INDEX(기념일등록!$D$3:$D$502,MATCH(7,월별달력!$J$6:$J$505,0)),""))</f>
        <v/>
      </c>
      <c r="F12" s="18" t="str">
        <f aca="false">IF($C12="","",IFERROR(IF(INDEX(기념일등록!$J$3:$J$502,MATCH(7,월별달력!$J$6:$J$505,0))="","",INDEX(기념일등록!$J$3:$J$502,MATCH(7,월별달력!$J$6:$J$505,0))),""))</f>
        <v/>
      </c>
      <c r="H12" s="26" t="b">
        <f aca="false">IF(기념일등록!$B9="",FALSE(),기념일등록!$F9=$B$3)</f>
        <v>0</v>
      </c>
      <c r="I12" s="6" t="str">
        <f aca="false">IF($H12=FALSE(),"",IF(기념일등록!$G9="",99999,기념일등록!$G9)*1000+ROW())</f>
        <v/>
      </c>
      <c r="J12" s="6" t="str">
        <f aca="false">IF($I12="","",RANK($I12,$I$6:$I$505,1))</f>
        <v/>
      </c>
    </row>
    <row r="13" customFormat="false" ht="15" hidden="false" customHeight="true" outlineLevel="0" collapsed="false">
      <c r="A13" s="23" t="str">
        <f aca="false">IF($C13="","",8)</f>
        <v/>
      </c>
      <c r="B13" s="23" t="str">
        <f aca="false">IFERROR(INDEX(기념일등록!$G$3:$G$502,MATCH(8,월별달력!$J$6:$J$505,0)),"")</f>
        <v/>
      </c>
      <c r="C13" s="18" t="str">
        <f aca="false">IFERROR(INDEX(기념일등록!$B$3:$B$502,MATCH(8,월별달력!$J$6:$J$505,0)),"")</f>
        <v/>
      </c>
      <c r="D13" s="18" t="str">
        <f aca="false">IF($C13="","",IFERROR(INDEX(기념일등록!$C$3:$C$502,MATCH(8,월별달력!$J$6:$J$505,0)),""))</f>
        <v/>
      </c>
      <c r="E13" s="23" t="str">
        <f aca="false">IF($C13="","",IFERROR(INDEX(기념일등록!$D$3:$D$502,MATCH(8,월별달력!$J$6:$J$505,0)),""))</f>
        <v/>
      </c>
      <c r="F13" s="18" t="str">
        <f aca="false">IF($C13="","",IFERROR(IF(INDEX(기념일등록!$J$3:$J$502,MATCH(8,월별달력!$J$6:$J$505,0))="","",INDEX(기념일등록!$J$3:$J$502,MATCH(8,월별달력!$J$6:$J$505,0))),""))</f>
        <v/>
      </c>
      <c r="H13" s="26" t="b">
        <f aca="false">IF(기념일등록!$B10="",FALSE(),기념일등록!$F10=$B$3)</f>
        <v>0</v>
      </c>
      <c r="I13" s="6" t="str">
        <f aca="false">IF($H13=FALSE(),"",IF(기념일등록!$G10="",99999,기념일등록!$G10)*1000+ROW())</f>
        <v/>
      </c>
      <c r="J13" s="6" t="str">
        <f aca="false">IF($I13="","",RANK($I13,$I$6:$I$505,1))</f>
        <v/>
      </c>
    </row>
    <row r="14" customFormat="false" ht="15" hidden="false" customHeight="true" outlineLevel="0" collapsed="false">
      <c r="A14" s="23" t="str">
        <f aca="false">IF($C14="","",9)</f>
        <v/>
      </c>
      <c r="B14" s="23" t="str">
        <f aca="false">IFERROR(INDEX(기념일등록!$G$3:$G$502,MATCH(9,월별달력!$J$6:$J$505,0)),"")</f>
        <v/>
      </c>
      <c r="C14" s="18" t="str">
        <f aca="false">IFERROR(INDEX(기념일등록!$B$3:$B$502,MATCH(9,월별달력!$J$6:$J$505,0)),"")</f>
        <v/>
      </c>
      <c r="D14" s="18" t="str">
        <f aca="false">IF($C14="","",IFERROR(INDEX(기념일등록!$C$3:$C$502,MATCH(9,월별달력!$J$6:$J$505,0)),""))</f>
        <v/>
      </c>
      <c r="E14" s="23" t="str">
        <f aca="false">IF($C14="","",IFERROR(INDEX(기념일등록!$D$3:$D$502,MATCH(9,월별달력!$J$6:$J$505,0)),""))</f>
        <v/>
      </c>
      <c r="F14" s="18" t="str">
        <f aca="false">IF($C14="","",IFERROR(IF(INDEX(기념일등록!$J$3:$J$502,MATCH(9,월별달력!$J$6:$J$505,0))="","",INDEX(기념일등록!$J$3:$J$502,MATCH(9,월별달력!$J$6:$J$505,0))),""))</f>
        <v/>
      </c>
      <c r="H14" s="26" t="b">
        <f aca="false">IF(기념일등록!$B11="",FALSE(),기념일등록!$F11=$B$3)</f>
        <v>0</v>
      </c>
      <c r="I14" s="6" t="str">
        <f aca="false">IF($H14=FALSE(),"",IF(기념일등록!$G11="",99999,기념일등록!$G11)*1000+ROW())</f>
        <v/>
      </c>
      <c r="J14" s="6" t="str">
        <f aca="false">IF($I14="","",RANK($I14,$I$6:$I$505,1))</f>
        <v/>
      </c>
    </row>
    <row r="15" customFormat="false" ht="15" hidden="false" customHeight="true" outlineLevel="0" collapsed="false">
      <c r="A15" s="23" t="str">
        <f aca="false">IF($C15="","",10)</f>
        <v/>
      </c>
      <c r="B15" s="23" t="str">
        <f aca="false">IFERROR(INDEX(기념일등록!$G$3:$G$502,MATCH(10,월별달력!$J$6:$J$505,0)),"")</f>
        <v/>
      </c>
      <c r="C15" s="18" t="str">
        <f aca="false">IFERROR(INDEX(기념일등록!$B$3:$B$502,MATCH(10,월별달력!$J$6:$J$505,0)),"")</f>
        <v/>
      </c>
      <c r="D15" s="18" t="str">
        <f aca="false">IF($C15="","",IFERROR(INDEX(기념일등록!$C$3:$C$502,MATCH(10,월별달력!$J$6:$J$505,0)),""))</f>
        <v/>
      </c>
      <c r="E15" s="23" t="str">
        <f aca="false">IF($C15="","",IFERROR(INDEX(기념일등록!$D$3:$D$502,MATCH(10,월별달력!$J$6:$J$505,0)),""))</f>
        <v/>
      </c>
      <c r="F15" s="18" t="str">
        <f aca="false">IF($C15="","",IFERROR(IF(INDEX(기념일등록!$J$3:$J$502,MATCH(10,월별달력!$J$6:$J$505,0))="","",INDEX(기념일등록!$J$3:$J$502,MATCH(10,월별달력!$J$6:$J$505,0))),""))</f>
        <v/>
      </c>
      <c r="H15" s="26" t="b">
        <f aca="false">IF(기념일등록!$B12="",FALSE(),기념일등록!$F12=$B$3)</f>
        <v>0</v>
      </c>
      <c r="I15" s="6" t="str">
        <f aca="false">IF($H15=FALSE(),"",IF(기념일등록!$G12="",99999,기념일등록!$G12)*1000+ROW())</f>
        <v/>
      </c>
      <c r="J15" s="6" t="str">
        <f aca="false">IF($I15="","",RANK($I15,$I$6:$I$505,1))</f>
        <v/>
      </c>
    </row>
    <row r="16" customFormat="false" ht="15" hidden="false" customHeight="true" outlineLevel="0" collapsed="false">
      <c r="A16" s="23" t="str">
        <f aca="false">IF($C16="","",11)</f>
        <v/>
      </c>
      <c r="B16" s="23" t="str">
        <f aca="false">IFERROR(INDEX(기념일등록!$G$3:$G$502,MATCH(11,월별달력!$J$6:$J$505,0)),"")</f>
        <v/>
      </c>
      <c r="C16" s="18" t="str">
        <f aca="false">IFERROR(INDEX(기념일등록!$B$3:$B$502,MATCH(11,월별달력!$J$6:$J$505,0)),"")</f>
        <v/>
      </c>
      <c r="D16" s="18" t="str">
        <f aca="false">IF($C16="","",IFERROR(INDEX(기념일등록!$C$3:$C$502,MATCH(11,월별달력!$J$6:$J$505,0)),""))</f>
        <v/>
      </c>
      <c r="E16" s="23" t="str">
        <f aca="false">IF($C16="","",IFERROR(INDEX(기념일등록!$D$3:$D$502,MATCH(11,월별달력!$J$6:$J$505,0)),""))</f>
        <v/>
      </c>
      <c r="F16" s="18" t="str">
        <f aca="false">IF($C16="","",IFERROR(IF(INDEX(기념일등록!$J$3:$J$502,MATCH(11,월별달력!$J$6:$J$505,0))="","",INDEX(기념일등록!$J$3:$J$502,MATCH(11,월별달력!$J$6:$J$505,0))),""))</f>
        <v/>
      </c>
      <c r="H16" s="26" t="b">
        <f aca="false">IF(기념일등록!$B13="",FALSE(),기념일등록!$F13=$B$3)</f>
        <v>0</v>
      </c>
      <c r="I16" s="6" t="str">
        <f aca="false">IF($H16=FALSE(),"",IF(기념일등록!$G13="",99999,기념일등록!$G13)*1000+ROW())</f>
        <v/>
      </c>
      <c r="J16" s="6" t="str">
        <f aca="false">IF($I16="","",RANK($I16,$I$6:$I$505,1))</f>
        <v/>
      </c>
    </row>
    <row r="17" customFormat="false" ht="15" hidden="false" customHeight="true" outlineLevel="0" collapsed="false">
      <c r="A17" s="23" t="str">
        <f aca="false">IF($C17="","",12)</f>
        <v/>
      </c>
      <c r="B17" s="23" t="str">
        <f aca="false">IFERROR(INDEX(기념일등록!$G$3:$G$502,MATCH(12,월별달력!$J$6:$J$505,0)),"")</f>
        <v/>
      </c>
      <c r="C17" s="18" t="str">
        <f aca="false">IFERROR(INDEX(기념일등록!$B$3:$B$502,MATCH(12,월별달력!$J$6:$J$505,0)),"")</f>
        <v/>
      </c>
      <c r="D17" s="18" t="str">
        <f aca="false">IF($C17="","",IFERROR(INDEX(기념일등록!$C$3:$C$502,MATCH(12,월별달력!$J$6:$J$505,0)),""))</f>
        <v/>
      </c>
      <c r="E17" s="23" t="str">
        <f aca="false">IF($C17="","",IFERROR(INDEX(기념일등록!$D$3:$D$502,MATCH(12,월별달력!$J$6:$J$505,0)),""))</f>
        <v/>
      </c>
      <c r="F17" s="18" t="str">
        <f aca="false">IF($C17="","",IFERROR(IF(INDEX(기념일등록!$J$3:$J$502,MATCH(12,월별달력!$J$6:$J$505,0))="","",INDEX(기념일등록!$J$3:$J$502,MATCH(12,월별달력!$J$6:$J$505,0))),""))</f>
        <v/>
      </c>
      <c r="H17" s="26" t="b">
        <f aca="false">IF(기념일등록!$B14="",FALSE(),기념일등록!$F14=$B$3)</f>
        <v>0</v>
      </c>
      <c r="I17" s="6" t="str">
        <f aca="false">IF($H17=FALSE(),"",IF(기념일등록!$G14="",99999,기념일등록!$G14)*1000+ROW())</f>
        <v/>
      </c>
      <c r="J17" s="6" t="str">
        <f aca="false">IF($I17="","",RANK($I17,$I$6:$I$505,1))</f>
        <v/>
      </c>
    </row>
    <row r="18" customFormat="false" ht="15" hidden="false" customHeight="true" outlineLevel="0" collapsed="false">
      <c r="A18" s="23" t="str">
        <f aca="false">IF($C18="","",13)</f>
        <v/>
      </c>
      <c r="B18" s="23" t="str">
        <f aca="false">IFERROR(INDEX(기념일등록!$G$3:$G$502,MATCH(13,월별달력!$J$6:$J$505,0)),"")</f>
        <v/>
      </c>
      <c r="C18" s="18" t="str">
        <f aca="false">IFERROR(INDEX(기념일등록!$B$3:$B$502,MATCH(13,월별달력!$J$6:$J$505,0)),"")</f>
        <v/>
      </c>
      <c r="D18" s="18" t="str">
        <f aca="false">IF($C18="","",IFERROR(INDEX(기념일등록!$C$3:$C$502,MATCH(13,월별달력!$J$6:$J$505,0)),""))</f>
        <v/>
      </c>
      <c r="E18" s="23" t="str">
        <f aca="false">IF($C18="","",IFERROR(INDEX(기념일등록!$D$3:$D$502,MATCH(13,월별달력!$J$6:$J$505,0)),""))</f>
        <v/>
      </c>
      <c r="F18" s="18" t="str">
        <f aca="false">IF($C18="","",IFERROR(IF(INDEX(기념일등록!$J$3:$J$502,MATCH(13,월별달력!$J$6:$J$505,0))="","",INDEX(기념일등록!$J$3:$J$502,MATCH(13,월별달력!$J$6:$J$505,0))),""))</f>
        <v/>
      </c>
      <c r="H18" s="26" t="b">
        <f aca="false">IF(기념일등록!$B15="",FALSE(),기념일등록!$F15=$B$3)</f>
        <v>0</v>
      </c>
      <c r="I18" s="6" t="str">
        <f aca="false">IF($H18=FALSE(),"",IF(기념일등록!$G15="",99999,기념일등록!$G15)*1000+ROW())</f>
        <v/>
      </c>
      <c r="J18" s="6" t="str">
        <f aca="false">IF($I18="","",RANK($I18,$I$6:$I$505,1))</f>
        <v/>
      </c>
    </row>
    <row r="19" customFormat="false" ht="15" hidden="false" customHeight="true" outlineLevel="0" collapsed="false">
      <c r="A19" s="23" t="str">
        <f aca="false">IF($C19="","",14)</f>
        <v/>
      </c>
      <c r="B19" s="23" t="str">
        <f aca="false">IFERROR(INDEX(기념일등록!$G$3:$G$502,MATCH(14,월별달력!$J$6:$J$505,0)),"")</f>
        <v/>
      </c>
      <c r="C19" s="18" t="str">
        <f aca="false">IFERROR(INDEX(기념일등록!$B$3:$B$502,MATCH(14,월별달력!$J$6:$J$505,0)),"")</f>
        <v/>
      </c>
      <c r="D19" s="18" t="str">
        <f aca="false">IF($C19="","",IFERROR(INDEX(기념일등록!$C$3:$C$502,MATCH(14,월별달력!$J$6:$J$505,0)),""))</f>
        <v/>
      </c>
      <c r="E19" s="23" t="str">
        <f aca="false">IF($C19="","",IFERROR(INDEX(기념일등록!$D$3:$D$502,MATCH(14,월별달력!$J$6:$J$505,0)),""))</f>
        <v/>
      </c>
      <c r="F19" s="18" t="str">
        <f aca="false">IF($C19="","",IFERROR(IF(INDEX(기념일등록!$J$3:$J$502,MATCH(14,월별달력!$J$6:$J$505,0))="","",INDEX(기념일등록!$J$3:$J$502,MATCH(14,월별달력!$J$6:$J$505,0))),""))</f>
        <v/>
      </c>
      <c r="H19" s="26" t="b">
        <f aca="false">IF(기념일등록!$B16="",FALSE(),기념일등록!$F16=$B$3)</f>
        <v>0</v>
      </c>
      <c r="I19" s="6" t="str">
        <f aca="false">IF($H19=FALSE(),"",IF(기념일등록!$G16="",99999,기념일등록!$G16)*1000+ROW())</f>
        <v/>
      </c>
      <c r="J19" s="6" t="str">
        <f aca="false">IF($I19="","",RANK($I19,$I$6:$I$505,1))</f>
        <v/>
      </c>
    </row>
    <row r="20" customFormat="false" ht="15" hidden="false" customHeight="true" outlineLevel="0" collapsed="false">
      <c r="A20" s="23" t="str">
        <f aca="false">IF($C20="","",15)</f>
        <v/>
      </c>
      <c r="B20" s="23" t="str">
        <f aca="false">IFERROR(INDEX(기념일등록!$G$3:$G$502,MATCH(15,월별달력!$J$6:$J$505,0)),"")</f>
        <v/>
      </c>
      <c r="C20" s="18" t="str">
        <f aca="false">IFERROR(INDEX(기념일등록!$B$3:$B$502,MATCH(15,월별달력!$J$6:$J$505,0)),"")</f>
        <v/>
      </c>
      <c r="D20" s="18" t="str">
        <f aca="false">IF($C20="","",IFERROR(INDEX(기념일등록!$C$3:$C$502,MATCH(15,월별달력!$J$6:$J$505,0)),""))</f>
        <v/>
      </c>
      <c r="E20" s="23" t="str">
        <f aca="false">IF($C20="","",IFERROR(INDEX(기념일등록!$D$3:$D$502,MATCH(15,월별달력!$J$6:$J$505,0)),""))</f>
        <v/>
      </c>
      <c r="F20" s="18" t="str">
        <f aca="false">IF($C20="","",IFERROR(IF(INDEX(기념일등록!$J$3:$J$502,MATCH(15,월별달력!$J$6:$J$505,0))="","",INDEX(기념일등록!$J$3:$J$502,MATCH(15,월별달력!$J$6:$J$505,0))),""))</f>
        <v/>
      </c>
      <c r="H20" s="26" t="b">
        <f aca="false">IF(기념일등록!$B17="",FALSE(),기념일등록!$F17=$B$3)</f>
        <v>0</v>
      </c>
      <c r="I20" s="6" t="str">
        <f aca="false">IF($H20=FALSE(),"",IF(기념일등록!$G17="",99999,기념일등록!$G17)*1000+ROW())</f>
        <v/>
      </c>
      <c r="J20" s="6" t="str">
        <f aca="false">IF($I20="","",RANK($I20,$I$6:$I$505,1))</f>
        <v/>
      </c>
    </row>
    <row r="21" customFormat="false" ht="15" hidden="false" customHeight="true" outlineLevel="0" collapsed="false">
      <c r="A21" s="23" t="str">
        <f aca="false">IF($C21="","",16)</f>
        <v/>
      </c>
      <c r="B21" s="23" t="str">
        <f aca="false">IFERROR(INDEX(기념일등록!$G$3:$G$502,MATCH(16,월별달력!$J$6:$J$505,0)),"")</f>
        <v/>
      </c>
      <c r="C21" s="18" t="str">
        <f aca="false">IFERROR(INDEX(기념일등록!$B$3:$B$502,MATCH(16,월별달력!$J$6:$J$505,0)),"")</f>
        <v/>
      </c>
      <c r="D21" s="18" t="str">
        <f aca="false">IF($C21="","",IFERROR(INDEX(기념일등록!$C$3:$C$502,MATCH(16,월별달력!$J$6:$J$505,0)),""))</f>
        <v/>
      </c>
      <c r="E21" s="23" t="str">
        <f aca="false">IF($C21="","",IFERROR(INDEX(기념일등록!$D$3:$D$502,MATCH(16,월별달력!$J$6:$J$505,0)),""))</f>
        <v/>
      </c>
      <c r="F21" s="18" t="str">
        <f aca="false">IF($C21="","",IFERROR(IF(INDEX(기념일등록!$J$3:$J$502,MATCH(16,월별달력!$J$6:$J$505,0))="","",INDEX(기념일등록!$J$3:$J$502,MATCH(16,월별달력!$J$6:$J$505,0))),""))</f>
        <v/>
      </c>
      <c r="H21" s="26" t="b">
        <f aca="false">IF(기념일등록!$B18="",FALSE(),기념일등록!$F18=$B$3)</f>
        <v>0</v>
      </c>
      <c r="I21" s="6" t="str">
        <f aca="false">IF($H21=FALSE(),"",IF(기념일등록!$G18="",99999,기념일등록!$G18)*1000+ROW())</f>
        <v/>
      </c>
      <c r="J21" s="6" t="str">
        <f aca="false">IF($I21="","",RANK($I21,$I$6:$I$505,1))</f>
        <v/>
      </c>
    </row>
    <row r="22" customFormat="false" ht="15" hidden="false" customHeight="true" outlineLevel="0" collapsed="false">
      <c r="A22" s="23" t="str">
        <f aca="false">IF($C22="","",17)</f>
        <v/>
      </c>
      <c r="B22" s="23" t="str">
        <f aca="false">IFERROR(INDEX(기념일등록!$G$3:$G$502,MATCH(17,월별달력!$J$6:$J$505,0)),"")</f>
        <v/>
      </c>
      <c r="C22" s="18" t="str">
        <f aca="false">IFERROR(INDEX(기념일등록!$B$3:$B$502,MATCH(17,월별달력!$J$6:$J$505,0)),"")</f>
        <v/>
      </c>
      <c r="D22" s="18" t="str">
        <f aca="false">IF($C22="","",IFERROR(INDEX(기념일등록!$C$3:$C$502,MATCH(17,월별달력!$J$6:$J$505,0)),""))</f>
        <v/>
      </c>
      <c r="E22" s="23" t="str">
        <f aca="false">IF($C22="","",IFERROR(INDEX(기념일등록!$D$3:$D$502,MATCH(17,월별달력!$J$6:$J$505,0)),""))</f>
        <v/>
      </c>
      <c r="F22" s="18" t="str">
        <f aca="false">IF($C22="","",IFERROR(IF(INDEX(기념일등록!$J$3:$J$502,MATCH(17,월별달력!$J$6:$J$505,0))="","",INDEX(기념일등록!$J$3:$J$502,MATCH(17,월별달력!$J$6:$J$505,0))),""))</f>
        <v/>
      </c>
      <c r="H22" s="26" t="b">
        <f aca="false">IF(기념일등록!$B19="",FALSE(),기념일등록!$F19=$B$3)</f>
        <v>0</v>
      </c>
      <c r="I22" s="6" t="str">
        <f aca="false">IF($H22=FALSE(),"",IF(기념일등록!$G19="",99999,기념일등록!$G19)*1000+ROW())</f>
        <v/>
      </c>
      <c r="J22" s="6" t="str">
        <f aca="false">IF($I22="","",RANK($I22,$I$6:$I$505,1))</f>
        <v/>
      </c>
    </row>
    <row r="23" customFormat="false" ht="15" hidden="false" customHeight="true" outlineLevel="0" collapsed="false">
      <c r="A23" s="23" t="str">
        <f aca="false">IF($C23="","",18)</f>
        <v/>
      </c>
      <c r="B23" s="23" t="str">
        <f aca="false">IFERROR(INDEX(기념일등록!$G$3:$G$502,MATCH(18,월별달력!$J$6:$J$505,0)),"")</f>
        <v/>
      </c>
      <c r="C23" s="18" t="str">
        <f aca="false">IFERROR(INDEX(기념일등록!$B$3:$B$502,MATCH(18,월별달력!$J$6:$J$505,0)),"")</f>
        <v/>
      </c>
      <c r="D23" s="18" t="str">
        <f aca="false">IF($C23="","",IFERROR(INDEX(기념일등록!$C$3:$C$502,MATCH(18,월별달력!$J$6:$J$505,0)),""))</f>
        <v/>
      </c>
      <c r="E23" s="23" t="str">
        <f aca="false">IF($C23="","",IFERROR(INDEX(기념일등록!$D$3:$D$502,MATCH(18,월별달력!$J$6:$J$505,0)),""))</f>
        <v/>
      </c>
      <c r="F23" s="18" t="str">
        <f aca="false">IF($C23="","",IFERROR(IF(INDEX(기념일등록!$J$3:$J$502,MATCH(18,월별달력!$J$6:$J$505,0))="","",INDEX(기념일등록!$J$3:$J$502,MATCH(18,월별달력!$J$6:$J$505,0))),""))</f>
        <v/>
      </c>
      <c r="H23" s="26" t="b">
        <f aca="false">IF(기념일등록!$B20="",FALSE(),기념일등록!$F20=$B$3)</f>
        <v>0</v>
      </c>
      <c r="I23" s="6" t="str">
        <f aca="false">IF($H23=FALSE(),"",IF(기념일등록!$G20="",99999,기념일등록!$G20)*1000+ROW())</f>
        <v/>
      </c>
      <c r="J23" s="6" t="str">
        <f aca="false">IF($I23="","",RANK($I23,$I$6:$I$505,1))</f>
        <v/>
      </c>
    </row>
    <row r="24" customFormat="false" ht="15" hidden="false" customHeight="true" outlineLevel="0" collapsed="false">
      <c r="A24" s="23" t="str">
        <f aca="false">IF($C24="","",19)</f>
        <v/>
      </c>
      <c r="B24" s="23" t="str">
        <f aca="false">IFERROR(INDEX(기념일등록!$G$3:$G$502,MATCH(19,월별달력!$J$6:$J$505,0)),"")</f>
        <v/>
      </c>
      <c r="C24" s="18" t="str">
        <f aca="false">IFERROR(INDEX(기념일등록!$B$3:$B$502,MATCH(19,월별달력!$J$6:$J$505,0)),"")</f>
        <v/>
      </c>
      <c r="D24" s="18" t="str">
        <f aca="false">IF($C24="","",IFERROR(INDEX(기념일등록!$C$3:$C$502,MATCH(19,월별달력!$J$6:$J$505,0)),""))</f>
        <v/>
      </c>
      <c r="E24" s="23" t="str">
        <f aca="false">IF($C24="","",IFERROR(INDEX(기념일등록!$D$3:$D$502,MATCH(19,월별달력!$J$6:$J$505,0)),""))</f>
        <v/>
      </c>
      <c r="F24" s="18" t="str">
        <f aca="false">IF($C24="","",IFERROR(IF(INDEX(기념일등록!$J$3:$J$502,MATCH(19,월별달력!$J$6:$J$505,0))="","",INDEX(기념일등록!$J$3:$J$502,MATCH(19,월별달력!$J$6:$J$505,0))),""))</f>
        <v/>
      </c>
      <c r="H24" s="26" t="b">
        <f aca="false">IF(기념일등록!$B21="",FALSE(),기념일등록!$F21=$B$3)</f>
        <v>0</v>
      </c>
      <c r="I24" s="6" t="str">
        <f aca="false">IF($H24=FALSE(),"",IF(기념일등록!$G21="",99999,기념일등록!$G21)*1000+ROW())</f>
        <v/>
      </c>
      <c r="J24" s="6" t="str">
        <f aca="false">IF($I24="","",RANK($I24,$I$6:$I$505,1))</f>
        <v/>
      </c>
    </row>
    <row r="25" customFormat="false" ht="15" hidden="false" customHeight="true" outlineLevel="0" collapsed="false">
      <c r="A25" s="23" t="str">
        <f aca="false">IF($C25="","",20)</f>
        <v/>
      </c>
      <c r="B25" s="23" t="str">
        <f aca="false">IFERROR(INDEX(기념일등록!$G$3:$G$502,MATCH(20,월별달력!$J$6:$J$505,0)),"")</f>
        <v/>
      </c>
      <c r="C25" s="18" t="str">
        <f aca="false">IFERROR(INDEX(기념일등록!$B$3:$B$502,MATCH(20,월별달력!$J$6:$J$505,0)),"")</f>
        <v/>
      </c>
      <c r="D25" s="18" t="str">
        <f aca="false">IF($C25="","",IFERROR(INDEX(기념일등록!$C$3:$C$502,MATCH(20,월별달력!$J$6:$J$505,0)),""))</f>
        <v/>
      </c>
      <c r="E25" s="23" t="str">
        <f aca="false">IF($C25="","",IFERROR(INDEX(기념일등록!$D$3:$D$502,MATCH(20,월별달력!$J$6:$J$505,0)),""))</f>
        <v/>
      </c>
      <c r="F25" s="18" t="str">
        <f aca="false">IF($C25="","",IFERROR(IF(INDEX(기념일등록!$J$3:$J$502,MATCH(20,월별달력!$J$6:$J$505,0))="","",INDEX(기념일등록!$J$3:$J$502,MATCH(20,월별달력!$J$6:$J$505,0))),""))</f>
        <v/>
      </c>
      <c r="H25" s="26" t="b">
        <f aca="false">IF(기념일등록!$B22="",FALSE(),기념일등록!$F22=$B$3)</f>
        <v>0</v>
      </c>
      <c r="I25" s="6" t="str">
        <f aca="false">IF($H25=FALSE(),"",IF(기념일등록!$G22="",99999,기념일등록!$G22)*1000+ROW())</f>
        <v/>
      </c>
      <c r="J25" s="6" t="str">
        <f aca="false">IF($I25="","",RANK($I25,$I$6:$I$505,1))</f>
        <v/>
      </c>
    </row>
    <row r="26" customFormat="false" ht="15" hidden="false" customHeight="true" outlineLevel="0" collapsed="false">
      <c r="A26" s="23" t="str">
        <f aca="false">IF($C26="","",21)</f>
        <v/>
      </c>
      <c r="B26" s="23" t="str">
        <f aca="false">IFERROR(INDEX(기념일등록!$G$3:$G$502,MATCH(21,월별달력!$J$6:$J$505,0)),"")</f>
        <v/>
      </c>
      <c r="C26" s="18" t="str">
        <f aca="false">IFERROR(INDEX(기념일등록!$B$3:$B$502,MATCH(21,월별달력!$J$6:$J$505,0)),"")</f>
        <v/>
      </c>
      <c r="D26" s="18" t="str">
        <f aca="false">IF($C26="","",IFERROR(INDEX(기념일등록!$C$3:$C$502,MATCH(21,월별달력!$J$6:$J$505,0)),""))</f>
        <v/>
      </c>
      <c r="E26" s="23" t="str">
        <f aca="false">IF($C26="","",IFERROR(INDEX(기념일등록!$D$3:$D$502,MATCH(21,월별달력!$J$6:$J$505,0)),""))</f>
        <v/>
      </c>
      <c r="F26" s="18" t="str">
        <f aca="false">IF($C26="","",IFERROR(IF(INDEX(기념일등록!$J$3:$J$502,MATCH(21,월별달력!$J$6:$J$505,0))="","",INDEX(기념일등록!$J$3:$J$502,MATCH(21,월별달력!$J$6:$J$505,0))),""))</f>
        <v/>
      </c>
      <c r="H26" s="26" t="b">
        <f aca="false">IF(기념일등록!$B23="",FALSE(),기념일등록!$F23=$B$3)</f>
        <v>0</v>
      </c>
      <c r="I26" s="6" t="str">
        <f aca="false">IF($H26=FALSE(),"",IF(기념일등록!$G23="",99999,기념일등록!$G23)*1000+ROW())</f>
        <v/>
      </c>
      <c r="J26" s="6" t="str">
        <f aca="false">IF($I26="","",RANK($I26,$I$6:$I$505,1))</f>
        <v/>
      </c>
    </row>
    <row r="27" customFormat="false" ht="15" hidden="false" customHeight="true" outlineLevel="0" collapsed="false">
      <c r="A27" s="23" t="str">
        <f aca="false">IF($C27="","",22)</f>
        <v/>
      </c>
      <c r="B27" s="23" t="str">
        <f aca="false">IFERROR(INDEX(기념일등록!$G$3:$G$502,MATCH(22,월별달력!$J$6:$J$505,0)),"")</f>
        <v/>
      </c>
      <c r="C27" s="18" t="str">
        <f aca="false">IFERROR(INDEX(기념일등록!$B$3:$B$502,MATCH(22,월별달력!$J$6:$J$505,0)),"")</f>
        <v/>
      </c>
      <c r="D27" s="18" t="str">
        <f aca="false">IF($C27="","",IFERROR(INDEX(기념일등록!$C$3:$C$502,MATCH(22,월별달력!$J$6:$J$505,0)),""))</f>
        <v/>
      </c>
      <c r="E27" s="23" t="str">
        <f aca="false">IF($C27="","",IFERROR(INDEX(기념일등록!$D$3:$D$502,MATCH(22,월별달력!$J$6:$J$505,0)),""))</f>
        <v/>
      </c>
      <c r="F27" s="18" t="str">
        <f aca="false">IF($C27="","",IFERROR(IF(INDEX(기념일등록!$J$3:$J$502,MATCH(22,월별달력!$J$6:$J$505,0))="","",INDEX(기념일등록!$J$3:$J$502,MATCH(22,월별달력!$J$6:$J$505,0))),""))</f>
        <v/>
      </c>
      <c r="H27" s="26" t="b">
        <f aca="false">IF(기념일등록!$B24="",FALSE(),기념일등록!$F24=$B$3)</f>
        <v>0</v>
      </c>
      <c r="I27" s="6" t="str">
        <f aca="false">IF($H27=FALSE(),"",IF(기념일등록!$G24="",99999,기념일등록!$G24)*1000+ROW())</f>
        <v/>
      </c>
      <c r="J27" s="6" t="str">
        <f aca="false">IF($I27="","",RANK($I27,$I$6:$I$505,1))</f>
        <v/>
      </c>
    </row>
    <row r="28" customFormat="false" ht="15" hidden="false" customHeight="true" outlineLevel="0" collapsed="false">
      <c r="A28" s="23" t="str">
        <f aca="false">IF($C28="","",23)</f>
        <v/>
      </c>
      <c r="B28" s="23" t="str">
        <f aca="false">IFERROR(INDEX(기념일등록!$G$3:$G$502,MATCH(23,월별달력!$J$6:$J$505,0)),"")</f>
        <v/>
      </c>
      <c r="C28" s="18" t="str">
        <f aca="false">IFERROR(INDEX(기념일등록!$B$3:$B$502,MATCH(23,월별달력!$J$6:$J$505,0)),"")</f>
        <v/>
      </c>
      <c r="D28" s="18" t="str">
        <f aca="false">IF($C28="","",IFERROR(INDEX(기념일등록!$C$3:$C$502,MATCH(23,월별달력!$J$6:$J$505,0)),""))</f>
        <v/>
      </c>
      <c r="E28" s="23" t="str">
        <f aca="false">IF($C28="","",IFERROR(INDEX(기념일등록!$D$3:$D$502,MATCH(23,월별달력!$J$6:$J$505,0)),""))</f>
        <v/>
      </c>
      <c r="F28" s="18" t="str">
        <f aca="false">IF($C28="","",IFERROR(IF(INDEX(기념일등록!$J$3:$J$502,MATCH(23,월별달력!$J$6:$J$505,0))="","",INDEX(기념일등록!$J$3:$J$502,MATCH(23,월별달력!$J$6:$J$505,0))),""))</f>
        <v/>
      </c>
      <c r="H28" s="26" t="b">
        <f aca="false">IF(기념일등록!$B25="",FALSE(),기념일등록!$F25=$B$3)</f>
        <v>0</v>
      </c>
      <c r="I28" s="6" t="str">
        <f aca="false">IF($H28=FALSE(),"",IF(기념일등록!$G25="",99999,기념일등록!$G25)*1000+ROW())</f>
        <v/>
      </c>
      <c r="J28" s="6" t="str">
        <f aca="false">IF($I28="","",RANK($I28,$I$6:$I$505,1))</f>
        <v/>
      </c>
    </row>
    <row r="29" customFormat="false" ht="15" hidden="false" customHeight="true" outlineLevel="0" collapsed="false">
      <c r="A29" s="23" t="str">
        <f aca="false">IF($C29="","",24)</f>
        <v/>
      </c>
      <c r="B29" s="23" t="str">
        <f aca="false">IFERROR(INDEX(기념일등록!$G$3:$G$502,MATCH(24,월별달력!$J$6:$J$505,0)),"")</f>
        <v/>
      </c>
      <c r="C29" s="18" t="str">
        <f aca="false">IFERROR(INDEX(기념일등록!$B$3:$B$502,MATCH(24,월별달력!$J$6:$J$505,0)),"")</f>
        <v/>
      </c>
      <c r="D29" s="18" t="str">
        <f aca="false">IF($C29="","",IFERROR(INDEX(기념일등록!$C$3:$C$502,MATCH(24,월별달력!$J$6:$J$505,0)),""))</f>
        <v/>
      </c>
      <c r="E29" s="23" t="str">
        <f aca="false">IF($C29="","",IFERROR(INDEX(기념일등록!$D$3:$D$502,MATCH(24,월별달력!$J$6:$J$505,0)),""))</f>
        <v/>
      </c>
      <c r="F29" s="18" t="str">
        <f aca="false">IF($C29="","",IFERROR(IF(INDEX(기념일등록!$J$3:$J$502,MATCH(24,월별달력!$J$6:$J$505,0))="","",INDEX(기념일등록!$J$3:$J$502,MATCH(24,월별달력!$J$6:$J$505,0))),""))</f>
        <v/>
      </c>
      <c r="H29" s="26" t="b">
        <f aca="false">IF(기념일등록!$B26="",FALSE(),기념일등록!$F26=$B$3)</f>
        <v>0</v>
      </c>
      <c r="I29" s="6" t="str">
        <f aca="false">IF($H29=FALSE(),"",IF(기념일등록!$G26="",99999,기념일등록!$G26)*1000+ROW())</f>
        <v/>
      </c>
      <c r="J29" s="6" t="str">
        <f aca="false">IF($I29="","",RANK($I29,$I$6:$I$505,1))</f>
        <v/>
      </c>
    </row>
    <row r="30" customFormat="false" ht="15" hidden="false" customHeight="true" outlineLevel="0" collapsed="false">
      <c r="A30" s="23" t="str">
        <f aca="false">IF($C30="","",25)</f>
        <v/>
      </c>
      <c r="B30" s="23" t="str">
        <f aca="false">IFERROR(INDEX(기념일등록!$G$3:$G$502,MATCH(25,월별달력!$J$6:$J$505,0)),"")</f>
        <v/>
      </c>
      <c r="C30" s="18" t="str">
        <f aca="false">IFERROR(INDEX(기념일등록!$B$3:$B$502,MATCH(25,월별달력!$J$6:$J$505,0)),"")</f>
        <v/>
      </c>
      <c r="D30" s="18" t="str">
        <f aca="false">IF($C30="","",IFERROR(INDEX(기념일등록!$C$3:$C$502,MATCH(25,월별달력!$J$6:$J$505,0)),""))</f>
        <v/>
      </c>
      <c r="E30" s="23" t="str">
        <f aca="false">IF($C30="","",IFERROR(INDEX(기념일등록!$D$3:$D$502,MATCH(25,월별달력!$J$6:$J$505,0)),""))</f>
        <v/>
      </c>
      <c r="F30" s="18" t="str">
        <f aca="false">IF($C30="","",IFERROR(IF(INDEX(기념일등록!$J$3:$J$502,MATCH(25,월별달력!$J$6:$J$505,0))="","",INDEX(기념일등록!$J$3:$J$502,MATCH(25,월별달력!$J$6:$J$505,0))),""))</f>
        <v/>
      </c>
      <c r="H30" s="26" t="b">
        <f aca="false">IF(기념일등록!$B27="",FALSE(),기념일등록!$F27=$B$3)</f>
        <v>0</v>
      </c>
      <c r="I30" s="6" t="str">
        <f aca="false">IF($H30=FALSE(),"",IF(기념일등록!$G27="",99999,기념일등록!$G27)*1000+ROW())</f>
        <v/>
      </c>
      <c r="J30" s="6" t="str">
        <f aca="false">IF($I30="","",RANK($I30,$I$6:$I$505,1))</f>
        <v/>
      </c>
    </row>
    <row r="31" customFormat="false" ht="15" hidden="false" customHeight="true" outlineLevel="0" collapsed="false">
      <c r="A31" s="23" t="str">
        <f aca="false">IF($C31="","",26)</f>
        <v/>
      </c>
      <c r="B31" s="23" t="str">
        <f aca="false">IFERROR(INDEX(기념일등록!$G$3:$G$502,MATCH(26,월별달력!$J$6:$J$505,0)),"")</f>
        <v/>
      </c>
      <c r="C31" s="18" t="str">
        <f aca="false">IFERROR(INDEX(기념일등록!$B$3:$B$502,MATCH(26,월별달력!$J$6:$J$505,0)),"")</f>
        <v/>
      </c>
      <c r="D31" s="18" t="str">
        <f aca="false">IF($C31="","",IFERROR(INDEX(기념일등록!$C$3:$C$502,MATCH(26,월별달력!$J$6:$J$505,0)),""))</f>
        <v/>
      </c>
      <c r="E31" s="23" t="str">
        <f aca="false">IF($C31="","",IFERROR(INDEX(기념일등록!$D$3:$D$502,MATCH(26,월별달력!$J$6:$J$505,0)),""))</f>
        <v/>
      </c>
      <c r="F31" s="18" t="str">
        <f aca="false">IF($C31="","",IFERROR(IF(INDEX(기념일등록!$J$3:$J$502,MATCH(26,월별달력!$J$6:$J$505,0))="","",INDEX(기념일등록!$J$3:$J$502,MATCH(26,월별달력!$J$6:$J$505,0))),""))</f>
        <v/>
      </c>
      <c r="H31" s="26" t="b">
        <f aca="false">IF(기념일등록!$B28="",FALSE(),기념일등록!$F28=$B$3)</f>
        <v>0</v>
      </c>
      <c r="I31" s="6" t="str">
        <f aca="false">IF($H31=FALSE(),"",IF(기념일등록!$G28="",99999,기념일등록!$G28)*1000+ROW())</f>
        <v/>
      </c>
      <c r="J31" s="6" t="str">
        <f aca="false">IF($I31="","",RANK($I31,$I$6:$I$505,1))</f>
        <v/>
      </c>
    </row>
    <row r="32" customFormat="false" ht="15" hidden="false" customHeight="true" outlineLevel="0" collapsed="false">
      <c r="A32" s="23" t="str">
        <f aca="false">IF($C32="","",27)</f>
        <v/>
      </c>
      <c r="B32" s="23" t="str">
        <f aca="false">IFERROR(INDEX(기념일등록!$G$3:$G$502,MATCH(27,월별달력!$J$6:$J$505,0)),"")</f>
        <v/>
      </c>
      <c r="C32" s="18" t="str">
        <f aca="false">IFERROR(INDEX(기념일등록!$B$3:$B$502,MATCH(27,월별달력!$J$6:$J$505,0)),"")</f>
        <v/>
      </c>
      <c r="D32" s="18" t="str">
        <f aca="false">IF($C32="","",IFERROR(INDEX(기념일등록!$C$3:$C$502,MATCH(27,월별달력!$J$6:$J$505,0)),""))</f>
        <v/>
      </c>
      <c r="E32" s="23" t="str">
        <f aca="false">IF($C32="","",IFERROR(INDEX(기념일등록!$D$3:$D$502,MATCH(27,월별달력!$J$6:$J$505,0)),""))</f>
        <v/>
      </c>
      <c r="F32" s="18" t="str">
        <f aca="false">IF($C32="","",IFERROR(IF(INDEX(기념일등록!$J$3:$J$502,MATCH(27,월별달력!$J$6:$J$505,0))="","",INDEX(기념일등록!$J$3:$J$502,MATCH(27,월별달력!$J$6:$J$505,0))),""))</f>
        <v/>
      </c>
      <c r="H32" s="26" t="b">
        <f aca="false">IF(기념일등록!$B29="",FALSE(),기념일등록!$F29=$B$3)</f>
        <v>0</v>
      </c>
      <c r="I32" s="6" t="str">
        <f aca="false">IF($H32=FALSE(),"",IF(기념일등록!$G29="",99999,기념일등록!$G29)*1000+ROW())</f>
        <v/>
      </c>
      <c r="J32" s="6" t="str">
        <f aca="false">IF($I32="","",RANK($I32,$I$6:$I$505,1))</f>
        <v/>
      </c>
    </row>
    <row r="33" customFormat="false" ht="15" hidden="false" customHeight="true" outlineLevel="0" collapsed="false">
      <c r="A33" s="23" t="str">
        <f aca="false">IF($C33="","",28)</f>
        <v/>
      </c>
      <c r="B33" s="23" t="str">
        <f aca="false">IFERROR(INDEX(기념일등록!$G$3:$G$502,MATCH(28,월별달력!$J$6:$J$505,0)),"")</f>
        <v/>
      </c>
      <c r="C33" s="18" t="str">
        <f aca="false">IFERROR(INDEX(기념일등록!$B$3:$B$502,MATCH(28,월별달력!$J$6:$J$505,0)),"")</f>
        <v/>
      </c>
      <c r="D33" s="18" t="str">
        <f aca="false">IF($C33="","",IFERROR(INDEX(기념일등록!$C$3:$C$502,MATCH(28,월별달력!$J$6:$J$505,0)),""))</f>
        <v/>
      </c>
      <c r="E33" s="23" t="str">
        <f aca="false">IF($C33="","",IFERROR(INDEX(기념일등록!$D$3:$D$502,MATCH(28,월별달력!$J$6:$J$505,0)),""))</f>
        <v/>
      </c>
      <c r="F33" s="18" t="str">
        <f aca="false">IF($C33="","",IFERROR(IF(INDEX(기념일등록!$J$3:$J$502,MATCH(28,월별달력!$J$6:$J$505,0))="","",INDEX(기념일등록!$J$3:$J$502,MATCH(28,월별달력!$J$6:$J$505,0))),""))</f>
        <v/>
      </c>
      <c r="H33" s="26" t="b">
        <f aca="false">IF(기념일등록!$B30="",FALSE(),기념일등록!$F30=$B$3)</f>
        <v>0</v>
      </c>
      <c r="I33" s="6" t="str">
        <f aca="false">IF($H33=FALSE(),"",IF(기념일등록!$G30="",99999,기념일등록!$G30)*1000+ROW())</f>
        <v/>
      </c>
      <c r="J33" s="6" t="str">
        <f aca="false">IF($I33="","",RANK($I33,$I$6:$I$505,1))</f>
        <v/>
      </c>
    </row>
    <row r="34" customFormat="false" ht="15" hidden="false" customHeight="true" outlineLevel="0" collapsed="false">
      <c r="A34" s="23" t="str">
        <f aca="false">IF($C34="","",29)</f>
        <v/>
      </c>
      <c r="B34" s="23" t="str">
        <f aca="false">IFERROR(INDEX(기념일등록!$G$3:$G$502,MATCH(29,월별달력!$J$6:$J$505,0)),"")</f>
        <v/>
      </c>
      <c r="C34" s="18" t="str">
        <f aca="false">IFERROR(INDEX(기념일등록!$B$3:$B$502,MATCH(29,월별달력!$J$6:$J$505,0)),"")</f>
        <v/>
      </c>
      <c r="D34" s="18" t="str">
        <f aca="false">IF($C34="","",IFERROR(INDEX(기념일등록!$C$3:$C$502,MATCH(29,월별달력!$J$6:$J$505,0)),""))</f>
        <v/>
      </c>
      <c r="E34" s="23" t="str">
        <f aca="false">IF($C34="","",IFERROR(INDEX(기념일등록!$D$3:$D$502,MATCH(29,월별달력!$J$6:$J$505,0)),""))</f>
        <v/>
      </c>
      <c r="F34" s="18" t="str">
        <f aca="false">IF($C34="","",IFERROR(IF(INDEX(기념일등록!$J$3:$J$502,MATCH(29,월별달력!$J$6:$J$505,0))="","",INDEX(기념일등록!$J$3:$J$502,MATCH(29,월별달력!$J$6:$J$505,0))),""))</f>
        <v/>
      </c>
      <c r="H34" s="26" t="b">
        <f aca="false">IF(기념일등록!$B31="",FALSE(),기념일등록!$F31=$B$3)</f>
        <v>0</v>
      </c>
      <c r="I34" s="6" t="str">
        <f aca="false">IF($H34=FALSE(),"",IF(기념일등록!$G31="",99999,기념일등록!$G31)*1000+ROW())</f>
        <v/>
      </c>
      <c r="J34" s="6" t="str">
        <f aca="false">IF($I34="","",RANK($I34,$I$6:$I$505,1))</f>
        <v/>
      </c>
    </row>
    <row r="35" customFormat="false" ht="15" hidden="false" customHeight="true" outlineLevel="0" collapsed="false">
      <c r="A35" s="23" t="str">
        <f aca="false">IF($C35="","",30)</f>
        <v/>
      </c>
      <c r="B35" s="23" t="str">
        <f aca="false">IFERROR(INDEX(기념일등록!$G$3:$G$502,MATCH(30,월별달력!$J$6:$J$505,0)),"")</f>
        <v/>
      </c>
      <c r="C35" s="18" t="str">
        <f aca="false">IFERROR(INDEX(기념일등록!$B$3:$B$502,MATCH(30,월별달력!$J$6:$J$505,0)),"")</f>
        <v/>
      </c>
      <c r="D35" s="18" t="str">
        <f aca="false">IF($C35="","",IFERROR(INDEX(기념일등록!$C$3:$C$502,MATCH(30,월별달력!$J$6:$J$505,0)),""))</f>
        <v/>
      </c>
      <c r="E35" s="23" t="str">
        <f aca="false">IF($C35="","",IFERROR(INDEX(기념일등록!$D$3:$D$502,MATCH(30,월별달력!$J$6:$J$505,0)),""))</f>
        <v/>
      </c>
      <c r="F35" s="18" t="str">
        <f aca="false">IF($C35="","",IFERROR(IF(INDEX(기념일등록!$J$3:$J$502,MATCH(30,월별달력!$J$6:$J$505,0))="","",INDEX(기념일등록!$J$3:$J$502,MATCH(30,월별달력!$J$6:$J$505,0))),""))</f>
        <v/>
      </c>
      <c r="H35" s="26" t="b">
        <f aca="false">IF(기념일등록!$B32="",FALSE(),기념일등록!$F32=$B$3)</f>
        <v>0</v>
      </c>
      <c r="I35" s="6" t="str">
        <f aca="false">IF($H35=FALSE(),"",IF(기념일등록!$G32="",99999,기념일등록!$G32)*1000+ROW())</f>
        <v/>
      </c>
      <c r="J35" s="6" t="str">
        <f aca="false">IF($I35="","",RANK($I35,$I$6:$I$505,1))</f>
        <v/>
      </c>
    </row>
    <row r="36" customFormat="false" ht="15" hidden="false" customHeight="true" outlineLevel="0" collapsed="false">
      <c r="A36" s="23" t="str">
        <f aca="false">IF($C36="","",31)</f>
        <v/>
      </c>
      <c r="B36" s="23" t="str">
        <f aca="false">IFERROR(INDEX(기념일등록!$G$3:$G$502,MATCH(31,월별달력!$J$6:$J$505,0)),"")</f>
        <v/>
      </c>
      <c r="C36" s="18" t="str">
        <f aca="false">IFERROR(INDEX(기념일등록!$B$3:$B$502,MATCH(31,월별달력!$J$6:$J$505,0)),"")</f>
        <v/>
      </c>
      <c r="D36" s="18" t="str">
        <f aca="false">IF($C36="","",IFERROR(INDEX(기념일등록!$C$3:$C$502,MATCH(31,월별달력!$J$6:$J$505,0)),""))</f>
        <v/>
      </c>
      <c r="E36" s="23" t="str">
        <f aca="false">IF($C36="","",IFERROR(INDEX(기념일등록!$D$3:$D$502,MATCH(31,월별달력!$J$6:$J$505,0)),""))</f>
        <v/>
      </c>
      <c r="F36" s="18" t="str">
        <f aca="false">IF($C36="","",IFERROR(IF(INDEX(기념일등록!$J$3:$J$502,MATCH(31,월별달력!$J$6:$J$505,0))="","",INDEX(기념일등록!$J$3:$J$502,MATCH(31,월별달력!$J$6:$J$505,0))),""))</f>
        <v/>
      </c>
      <c r="H36" s="26" t="b">
        <f aca="false">IF(기념일등록!$B33="",FALSE(),기념일등록!$F33=$B$3)</f>
        <v>0</v>
      </c>
      <c r="I36" s="6" t="str">
        <f aca="false">IF($H36=FALSE(),"",IF(기념일등록!$G33="",99999,기념일등록!$G33)*1000+ROW())</f>
        <v/>
      </c>
      <c r="J36" s="6" t="str">
        <f aca="false">IF($I36="","",RANK($I36,$I$6:$I$505,1))</f>
        <v/>
      </c>
    </row>
    <row r="37" customFormat="false" ht="15" hidden="false" customHeight="true" outlineLevel="0" collapsed="false">
      <c r="A37" s="23" t="str">
        <f aca="false">IF($C37="","",32)</f>
        <v/>
      </c>
      <c r="B37" s="23" t="str">
        <f aca="false">IFERROR(INDEX(기념일등록!$G$3:$G$502,MATCH(32,월별달력!$J$6:$J$505,0)),"")</f>
        <v/>
      </c>
      <c r="C37" s="18" t="str">
        <f aca="false">IFERROR(INDEX(기념일등록!$B$3:$B$502,MATCH(32,월별달력!$J$6:$J$505,0)),"")</f>
        <v/>
      </c>
      <c r="D37" s="18" t="str">
        <f aca="false">IF($C37="","",IFERROR(INDEX(기념일등록!$C$3:$C$502,MATCH(32,월별달력!$J$6:$J$505,0)),""))</f>
        <v/>
      </c>
      <c r="E37" s="23" t="str">
        <f aca="false">IF($C37="","",IFERROR(INDEX(기념일등록!$D$3:$D$502,MATCH(32,월별달력!$J$6:$J$505,0)),""))</f>
        <v/>
      </c>
      <c r="F37" s="18" t="str">
        <f aca="false">IF($C37="","",IFERROR(IF(INDEX(기념일등록!$J$3:$J$502,MATCH(32,월별달력!$J$6:$J$505,0))="","",INDEX(기념일등록!$J$3:$J$502,MATCH(32,월별달력!$J$6:$J$505,0))),""))</f>
        <v/>
      </c>
      <c r="H37" s="26" t="b">
        <f aca="false">IF(기념일등록!$B34="",FALSE(),기념일등록!$F34=$B$3)</f>
        <v>0</v>
      </c>
      <c r="I37" s="6" t="str">
        <f aca="false">IF($H37=FALSE(),"",IF(기념일등록!$G34="",99999,기념일등록!$G34)*1000+ROW())</f>
        <v/>
      </c>
      <c r="J37" s="6" t="str">
        <f aca="false">IF($I37="","",RANK($I37,$I$6:$I$505,1))</f>
        <v/>
      </c>
    </row>
    <row r="38" customFormat="false" ht="15" hidden="false" customHeight="true" outlineLevel="0" collapsed="false">
      <c r="A38" s="23" t="str">
        <f aca="false">IF($C38="","",33)</f>
        <v/>
      </c>
      <c r="B38" s="23" t="str">
        <f aca="false">IFERROR(INDEX(기념일등록!$G$3:$G$502,MATCH(33,월별달력!$J$6:$J$505,0)),"")</f>
        <v/>
      </c>
      <c r="C38" s="18" t="str">
        <f aca="false">IFERROR(INDEX(기념일등록!$B$3:$B$502,MATCH(33,월별달력!$J$6:$J$505,0)),"")</f>
        <v/>
      </c>
      <c r="D38" s="18" t="str">
        <f aca="false">IF($C38="","",IFERROR(INDEX(기념일등록!$C$3:$C$502,MATCH(33,월별달력!$J$6:$J$505,0)),""))</f>
        <v/>
      </c>
      <c r="E38" s="23" t="str">
        <f aca="false">IF($C38="","",IFERROR(INDEX(기념일등록!$D$3:$D$502,MATCH(33,월별달력!$J$6:$J$505,0)),""))</f>
        <v/>
      </c>
      <c r="F38" s="18" t="str">
        <f aca="false">IF($C38="","",IFERROR(IF(INDEX(기념일등록!$J$3:$J$502,MATCH(33,월별달력!$J$6:$J$505,0))="","",INDEX(기념일등록!$J$3:$J$502,MATCH(33,월별달력!$J$6:$J$505,0))),""))</f>
        <v/>
      </c>
      <c r="H38" s="26" t="b">
        <f aca="false">IF(기념일등록!$B35="",FALSE(),기념일등록!$F35=$B$3)</f>
        <v>0</v>
      </c>
      <c r="I38" s="6" t="str">
        <f aca="false">IF($H38=FALSE(),"",IF(기념일등록!$G35="",99999,기념일등록!$G35)*1000+ROW())</f>
        <v/>
      </c>
      <c r="J38" s="6" t="str">
        <f aca="false">IF($I38="","",RANK($I38,$I$6:$I$505,1))</f>
        <v/>
      </c>
    </row>
    <row r="39" customFormat="false" ht="15" hidden="false" customHeight="true" outlineLevel="0" collapsed="false">
      <c r="A39" s="23" t="str">
        <f aca="false">IF($C39="","",34)</f>
        <v/>
      </c>
      <c r="B39" s="23" t="str">
        <f aca="false">IFERROR(INDEX(기념일등록!$G$3:$G$502,MATCH(34,월별달력!$J$6:$J$505,0)),"")</f>
        <v/>
      </c>
      <c r="C39" s="18" t="str">
        <f aca="false">IFERROR(INDEX(기념일등록!$B$3:$B$502,MATCH(34,월별달력!$J$6:$J$505,0)),"")</f>
        <v/>
      </c>
      <c r="D39" s="18" t="str">
        <f aca="false">IF($C39="","",IFERROR(INDEX(기념일등록!$C$3:$C$502,MATCH(34,월별달력!$J$6:$J$505,0)),""))</f>
        <v/>
      </c>
      <c r="E39" s="23" t="str">
        <f aca="false">IF($C39="","",IFERROR(INDEX(기념일등록!$D$3:$D$502,MATCH(34,월별달력!$J$6:$J$505,0)),""))</f>
        <v/>
      </c>
      <c r="F39" s="18" t="str">
        <f aca="false">IF($C39="","",IFERROR(IF(INDEX(기념일등록!$J$3:$J$502,MATCH(34,월별달력!$J$6:$J$505,0))="","",INDEX(기념일등록!$J$3:$J$502,MATCH(34,월별달력!$J$6:$J$505,0))),""))</f>
        <v/>
      </c>
      <c r="H39" s="26" t="b">
        <f aca="false">IF(기념일등록!$B36="",FALSE(),기념일등록!$F36=$B$3)</f>
        <v>0</v>
      </c>
      <c r="I39" s="6" t="str">
        <f aca="false">IF($H39=FALSE(),"",IF(기념일등록!$G36="",99999,기념일등록!$G36)*1000+ROW())</f>
        <v/>
      </c>
      <c r="J39" s="6" t="str">
        <f aca="false">IF($I39="","",RANK($I39,$I$6:$I$505,1))</f>
        <v/>
      </c>
    </row>
    <row r="40" customFormat="false" ht="15" hidden="false" customHeight="true" outlineLevel="0" collapsed="false">
      <c r="A40" s="23" t="str">
        <f aca="false">IF($C40="","",35)</f>
        <v/>
      </c>
      <c r="B40" s="23" t="str">
        <f aca="false">IFERROR(INDEX(기념일등록!$G$3:$G$502,MATCH(35,월별달력!$J$6:$J$505,0)),"")</f>
        <v/>
      </c>
      <c r="C40" s="18" t="str">
        <f aca="false">IFERROR(INDEX(기념일등록!$B$3:$B$502,MATCH(35,월별달력!$J$6:$J$505,0)),"")</f>
        <v/>
      </c>
      <c r="D40" s="18" t="str">
        <f aca="false">IF($C40="","",IFERROR(INDEX(기념일등록!$C$3:$C$502,MATCH(35,월별달력!$J$6:$J$505,0)),""))</f>
        <v/>
      </c>
      <c r="E40" s="23" t="str">
        <f aca="false">IF($C40="","",IFERROR(INDEX(기념일등록!$D$3:$D$502,MATCH(35,월별달력!$J$6:$J$505,0)),""))</f>
        <v/>
      </c>
      <c r="F40" s="18" t="str">
        <f aca="false">IF($C40="","",IFERROR(IF(INDEX(기념일등록!$J$3:$J$502,MATCH(35,월별달력!$J$6:$J$505,0))="","",INDEX(기념일등록!$J$3:$J$502,MATCH(35,월별달력!$J$6:$J$505,0))),""))</f>
        <v/>
      </c>
      <c r="H40" s="26" t="b">
        <f aca="false">IF(기념일등록!$B37="",FALSE(),기념일등록!$F37=$B$3)</f>
        <v>0</v>
      </c>
      <c r="I40" s="6" t="str">
        <f aca="false">IF($H40=FALSE(),"",IF(기념일등록!$G37="",99999,기념일등록!$G37)*1000+ROW())</f>
        <v/>
      </c>
      <c r="J40" s="6" t="str">
        <f aca="false">IF($I40="","",RANK($I40,$I$6:$I$505,1))</f>
        <v/>
      </c>
    </row>
    <row r="41" customFormat="false" ht="15" hidden="false" customHeight="true" outlineLevel="0" collapsed="false">
      <c r="A41" s="23" t="str">
        <f aca="false">IF($C41="","",36)</f>
        <v/>
      </c>
      <c r="B41" s="23" t="str">
        <f aca="false">IFERROR(INDEX(기념일등록!$G$3:$G$502,MATCH(36,월별달력!$J$6:$J$505,0)),"")</f>
        <v/>
      </c>
      <c r="C41" s="18" t="str">
        <f aca="false">IFERROR(INDEX(기념일등록!$B$3:$B$502,MATCH(36,월별달력!$J$6:$J$505,0)),"")</f>
        <v/>
      </c>
      <c r="D41" s="18" t="str">
        <f aca="false">IF($C41="","",IFERROR(INDEX(기념일등록!$C$3:$C$502,MATCH(36,월별달력!$J$6:$J$505,0)),""))</f>
        <v/>
      </c>
      <c r="E41" s="23" t="str">
        <f aca="false">IF($C41="","",IFERROR(INDEX(기념일등록!$D$3:$D$502,MATCH(36,월별달력!$J$6:$J$505,0)),""))</f>
        <v/>
      </c>
      <c r="F41" s="18" t="str">
        <f aca="false">IF($C41="","",IFERROR(IF(INDEX(기념일등록!$J$3:$J$502,MATCH(36,월별달력!$J$6:$J$505,0))="","",INDEX(기념일등록!$J$3:$J$502,MATCH(36,월별달력!$J$6:$J$505,0))),""))</f>
        <v/>
      </c>
      <c r="H41" s="26" t="b">
        <f aca="false">IF(기념일등록!$B38="",FALSE(),기념일등록!$F38=$B$3)</f>
        <v>0</v>
      </c>
      <c r="I41" s="6" t="str">
        <f aca="false">IF($H41=FALSE(),"",IF(기념일등록!$G38="",99999,기념일등록!$G38)*1000+ROW())</f>
        <v/>
      </c>
      <c r="J41" s="6" t="str">
        <f aca="false">IF($I41="","",RANK($I41,$I$6:$I$505,1))</f>
        <v/>
      </c>
    </row>
    <row r="42" customFormat="false" ht="15" hidden="false" customHeight="true" outlineLevel="0" collapsed="false">
      <c r="A42" s="23" t="str">
        <f aca="false">IF($C42="","",37)</f>
        <v/>
      </c>
      <c r="B42" s="23" t="str">
        <f aca="false">IFERROR(INDEX(기념일등록!$G$3:$G$502,MATCH(37,월별달력!$J$6:$J$505,0)),"")</f>
        <v/>
      </c>
      <c r="C42" s="18" t="str">
        <f aca="false">IFERROR(INDEX(기념일등록!$B$3:$B$502,MATCH(37,월별달력!$J$6:$J$505,0)),"")</f>
        <v/>
      </c>
      <c r="D42" s="18" t="str">
        <f aca="false">IF($C42="","",IFERROR(INDEX(기념일등록!$C$3:$C$502,MATCH(37,월별달력!$J$6:$J$505,0)),""))</f>
        <v/>
      </c>
      <c r="E42" s="23" t="str">
        <f aca="false">IF($C42="","",IFERROR(INDEX(기념일등록!$D$3:$D$502,MATCH(37,월별달력!$J$6:$J$505,0)),""))</f>
        <v/>
      </c>
      <c r="F42" s="18" t="str">
        <f aca="false">IF($C42="","",IFERROR(IF(INDEX(기념일등록!$J$3:$J$502,MATCH(37,월별달력!$J$6:$J$505,0))="","",INDEX(기념일등록!$J$3:$J$502,MATCH(37,월별달력!$J$6:$J$505,0))),""))</f>
        <v/>
      </c>
      <c r="H42" s="26" t="b">
        <f aca="false">IF(기념일등록!$B39="",FALSE(),기념일등록!$F39=$B$3)</f>
        <v>0</v>
      </c>
      <c r="I42" s="6" t="str">
        <f aca="false">IF($H42=FALSE(),"",IF(기념일등록!$G39="",99999,기념일등록!$G39)*1000+ROW())</f>
        <v/>
      </c>
      <c r="J42" s="6" t="str">
        <f aca="false">IF($I42="","",RANK($I42,$I$6:$I$505,1))</f>
        <v/>
      </c>
    </row>
    <row r="43" customFormat="false" ht="15" hidden="false" customHeight="true" outlineLevel="0" collapsed="false">
      <c r="A43" s="23" t="str">
        <f aca="false">IF($C43="","",38)</f>
        <v/>
      </c>
      <c r="B43" s="23" t="str">
        <f aca="false">IFERROR(INDEX(기념일등록!$G$3:$G$502,MATCH(38,월별달력!$J$6:$J$505,0)),"")</f>
        <v/>
      </c>
      <c r="C43" s="18" t="str">
        <f aca="false">IFERROR(INDEX(기념일등록!$B$3:$B$502,MATCH(38,월별달력!$J$6:$J$505,0)),"")</f>
        <v/>
      </c>
      <c r="D43" s="18" t="str">
        <f aca="false">IF($C43="","",IFERROR(INDEX(기념일등록!$C$3:$C$502,MATCH(38,월별달력!$J$6:$J$505,0)),""))</f>
        <v/>
      </c>
      <c r="E43" s="23" t="str">
        <f aca="false">IF($C43="","",IFERROR(INDEX(기념일등록!$D$3:$D$502,MATCH(38,월별달력!$J$6:$J$505,0)),""))</f>
        <v/>
      </c>
      <c r="F43" s="18" t="str">
        <f aca="false">IF($C43="","",IFERROR(IF(INDEX(기념일등록!$J$3:$J$502,MATCH(38,월별달력!$J$6:$J$505,0))="","",INDEX(기념일등록!$J$3:$J$502,MATCH(38,월별달력!$J$6:$J$505,0))),""))</f>
        <v/>
      </c>
      <c r="H43" s="26" t="b">
        <f aca="false">IF(기념일등록!$B40="",FALSE(),기념일등록!$F40=$B$3)</f>
        <v>0</v>
      </c>
      <c r="I43" s="6" t="str">
        <f aca="false">IF($H43=FALSE(),"",IF(기념일등록!$G40="",99999,기념일등록!$G40)*1000+ROW())</f>
        <v/>
      </c>
      <c r="J43" s="6" t="str">
        <f aca="false">IF($I43="","",RANK($I43,$I$6:$I$505,1))</f>
        <v/>
      </c>
    </row>
    <row r="44" customFormat="false" ht="15" hidden="false" customHeight="true" outlineLevel="0" collapsed="false">
      <c r="A44" s="23" t="str">
        <f aca="false">IF($C44="","",39)</f>
        <v/>
      </c>
      <c r="B44" s="23" t="str">
        <f aca="false">IFERROR(INDEX(기념일등록!$G$3:$G$502,MATCH(39,월별달력!$J$6:$J$505,0)),"")</f>
        <v/>
      </c>
      <c r="C44" s="18" t="str">
        <f aca="false">IFERROR(INDEX(기념일등록!$B$3:$B$502,MATCH(39,월별달력!$J$6:$J$505,0)),"")</f>
        <v/>
      </c>
      <c r="D44" s="18" t="str">
        <f aca="false">IF($C44="","",IFERROR(INDEX(기념일등록!$C$3:$C$502,MATCH(39,월별달력!$J$6:$J$505,0)),""))</f>
        <v/>
      </c>
      <c r="E44" s="23" t="str">
        <f aca="false">IF($C44="","",IFERROR(INDEX(기념일등록!$D$3:$D$502,MATCH(39,월별달력!$J$6:$J$505,0)),""))</f>
        <v/>
      </c>
      <c r="F44" s="18" t="str">
        <f aca="false">IF($C44="","",IFERROR(IF(INDEX(기념일등록!$J$3:$J$502,MATCH(39,월별달력!$J$6:$J$505,0))="","",INDEX(기념일등록!$J$3:$J$502,MATCH(39,월별달력!$J$6:$J$505,0))),""))</f>
        <v/>
      </c>
      <c r="H44" s="26" t="b">
        <f aca="false">IF(기념일등록!$B41="",FALSE(),기념일등록!$F41=$B$3)</f>
        <v>0</v>
      </c>
      <c r="I44" s="6" t="str">
        <f aca="false">IF($H44=FALSE(),"",IF(기념일등록!$G41="",99999,기념일등록!$G41)*1000+ROW())</f>
        <v/>
      </c>
      <c r="J44" s="6" t="str">
        <f aca="false">IF($I44="","",RANK($I44,$I$6:$I$505,1))</f>
        <v/>
      </c>
    </row>
    <row r="45" customFormat="false" ht="15" hidden="false" customHeight="true" outlineLevel="0" collapsed="false">
      <c r="A45" s="23" t="str">
        <f aca="false">IF($C45="","",40)</f>
        <v/>
      </c>
      <c r="B45" s="23" t="str">
        <f aca="false">IFERROR(INDEX(기념일등록!$G$3:$G$502,MATCH(40,월별달력!$J$6:$J$505,0)),"")</f>
        <v/>
      </c>
      <c r="C45" s="18" t="str">
        <f aca="false">IFERROR(INDEX(기념일등록!$B$3:$B$502,MATCH(40,월별달력!$J$6:$J$505,0)),"")</f>
        <v/>
      </c>
      <c r="D45" s="18" t="str">
        <f aca="false">IF($C45="","",IFERROR(INDEX(기념일등록!$C$3:$C$502,MATCH(40,월별달력!$J$6:$J$505,0)),""))</f>
        <v/>
      </c>
      <c r="E45" s="23" t="str">
        <f aca="false">IF($C45="","",IFERROR(INDEX(기념일등록!$D$3:$D$502,MATCH(40,월별달력!$J$6:$J$505,0)),""))</f>
        <v/>
      </c>
      <c r="F45" s="18" t="str">
        <f aca="false">IF($C45="","",IFERROR(IF(INDEX(기념일등록!$J$3:$J$502,MATCH(40,월별달력!$J$6:$J$505,0))="","",INDEX(기념일등록!$J$3:$J$502,MATCH(40,월별달력!$J$6:$J$505,0))),""))</f>
        <v/>
      </c>
      <c r="H45" s="26" t="b">
        <f aca="false">IF(기념일등록!$B42="",FALSE(),기념일등록!$F42=$B$3)</f>
        <v>0</v>
      </c>
      <c r="I45" s="6" t="str">
        <f aca="false">IF($H45=FALSE(),"",IF(기념일등록!$G42="",99999,기념일등록!$G42)*1000+ROW())</f>
        <v/>
      </c>
      <c r="J45" s="6" t="str">
        <f aca="false">IF($I45="","",RANK($I45,$I$6:$I$505,1))</f>
        <v/>
      </c>
    </row>
    <row r="46" customFormat="false" ht="15" hidden="false" customHeight="true" outlineLevel="0" collapsed="false">
      <c r="A46" s="23" t="str">
        <f aca="false">IF($C46="","",41)</f>
        <v/>
      </c>
      <c r="B46" s="23" t="str">
        <f aca="false">IFERROR(INDEX(기념일등록!$G$3:$G$502,MATCH(41,월별달력!$J$6:$J$505,0)),"")</f>
        <v/>
      </c>
      <c r="C46" s="18" t="str">
        <f aca="false">IFERROR(INDEX(기념일등록!$B$3:$B$502,MATCH(41,월별달력!$J$6:$J$505,0)),"")</f>
        <v/>
      </c>
      <c r="D46" s="18" t="str">
        <f aca="false">IF($C46="","",IFERROR(INDEX(기념일등록!$C$3:$C$502,MATCH(41,월별달력!$J$6:$J$505,0)),""))</f>
        <v/>
      </c>
      <c r="E46" s="23" t="str">
        <f aca="false">IF($C46="","",IFERROR(INDEX(기념일등록!$D$3:$D$502,MATCH(41,월별달력!$J$6:$J$505,0)),""))</f>
        <v/>
      </c>
      <c r="F46" s="18" t="str">
        <f aca="false">IF($C46="","",IFERROR(IF(INDEX(기념일등록!$J$3:$J$502,MATCH(41,월별달력!$J$6:$J$505,0))="","",INDEX(기념일등록!$J$3:$J$502,MATCH(41,월별달력!$J$6:$J$505,0))),""))</f>
        <v/>
      </c>
      <c r="H46" s="26" t="b">
        <f aca="false">IF(기념일등록!$B43="",FALSE(),기념일등록!$F43=$B$3)</f>
        <v>0</v>
      </c>
      <c r="I46" s="6" t="str">
        <f aca="false">IF($H46=FALSE(),"",IF(기념일등록!$G43="",99999,기념일등록!$G43)*1000+ROW())</f>
        <v/>
      </c>
      <c r="J46" s="6" t="str">
        <f aca="false">IF($I46="","",RANK($I46,$I$6:$I$505,1))</f>
        <v/>
      </c>
    </row>
    <row r="47" customFormat="false" ht="15" hidden="false" customHeight="true" outlineLevel="0" collapsed="false">
      <c r="A47" s="23" t="str">
        <f aca="false">IF($C47="","",42)</f>
        <v/>
      </c>
      <c r="B47" s="23" t="str">
        <f aca="false">IFERROR(INDEX(기념일등록!$G$3:$G$502,MATCH(42,월별달력!$J$6:$J$505,0)),"")</f>
        <v/>
      </c>
      <c r="C47" s="18" t="str">
        <f aca="false">IFERROR(INDEX(기념일등록!$B$3:$B$502,MATCH(42,월별달력!$J$6:$J$505,0)),"")</f>
        <v/>
      </c>
      <c r="D47" s="18" t="str">
        <f aca="false">IF($C47="","",IFERROR(INDEX(기념일등록!$C$3:$C$502,MATCH(42,월별달력!$J$6:$J$505,0)),""))</f>
        <v/>
      </c>
      <c r="E47" s="23" t="str">
        <f aca="false">IF($C47="","",IFERROR(INDEX(기념일등록!$D$3:$D$502,MATCH(42,월별달력!$J$6:$J$505,0)),""))</f>
        <v/>
      </c>
      <c r="F47" s="18" t="str">
        <f aca="false">IF($C47="","",IFERROR(IF(INDEX(기념일등록!$J$3:$J$502,MATCH(42,월별달력!$J$6:$J$505,0))="","",INDEX(기념일등록!$J$3:$J$502,MATCH(42,월별달력!$J$6:$J$505,0))),""))</f>
        <v/>
      </c>
      <c r="H47" s="26" t="b">
        <f aca="false">IF(기념일등록!$B44="",FALSE(),기념일등록!$F44=$B$3)</f>
        <v>0</v>
      </c>
      <c r="I47" s="6" t="str">
        <f aca="false">IF($H47=FALSE(),"",IF(기념일등록!$G44="",99999,기념일등록!$G44)*1000+ROW())</f>
        <v/>
      </c>
      <c r="J47" s="6" t="str">
        <f aca="false">IF($I47="","",RANK($I47,$I$6:$I$505,1))</f>
        <v/>
      </c>
    </row>
    <row r="48" customFormat="false" ht="15" hidden="false" customHeight="true" outlineLevel="0" collapsed="false">
      <c r="A48" s="23" t="str">
        <f aca="false">IF($C48="","",43)</f>
        <v/>
      </c>
      <c r="B48" s="23" t="str">
        <f aca="false">IFERROR(INDEX(기념일등록!$G$3:$G$502,MATCH(43,월별달력!$J$6:$J$505,0)),"")</f>
        <v/>
      </c>
      <c r="C48" s="18" t="str">
        <f aca="false">IFERROR(INDEX(기념일등록!$B$3:$B$502,MATCH(43,월별달력!$J$6:$J$505,0)),"")</f>
        <v/>
      </c>
      <c r="D48" s="18" t="str">
        <f aca="false">IF($C48="","",IFERROR(INDEX(기념일등록!$C$3:$C$502,MATCH(43,월별달력!$J$6:$J$505,0)),""))</f>
        <v/>
      </c>
      <c r="E48" s="23" t="str">
        <f aca="false">IF($C48="","",IFERROR(INDEX(기념일등록!$D$3:$D$502,MATCH(43,월별달력!$J$6:$J$505,0)),""))</f>
        <v/>
      </c>
      <c r="F48" s="18" t="str">
        <f aca="false">IF($C48="","",IFERROR(IF(INDEX(기념일등록!$J$3:$J$502,MATCH(43,월별달력!$J$6:$J$505,0))="","",INDEX(기념일등록!$J$3:$J$502,MATCH(43,월별달력!$J$6:$J$505,0))),""))</f>
        <v/>
      </c>
      <c r="H48" s="26" t="b">
        <f aca="false">IF(기념일등록!$B45="",FALSE(),기념일등록!$F45=$B$3)</f>
        <v>0</v>
      </c>
      <c r="I48" s="6" t="str">
        <f aca="false">IF($H48=FALSE(),"",IF(기념일등록!$G45="",99999,기념일등록!$G45)*1000+ROW())</f>
        <v/>
      </c>
      <c r="J48" s="6" t="str">
        <f aca="false">IF($I48="","",RANK($I48,$I$6:$I$505,1))</f>
        <v/>
      </c>
    </row>
    <row r="49" customFormat="false" ht="15" hidden="false" customHeight="true" outlineLevel="0" collapsed="false">
      <c r="A49" s="23" t="str">
        <f aca="false">IF($C49="","",44)</f>
        <v/>
      </c>
      <c r="B49" s="23" t="str">
        <f aca="false">IFERROR(INDEX(기념일등록!$G$3:$G$502,MATCH(44,월별달력!$J$6:$J$505,0)),"")</f>
        <v/>
      </c>
      <c r="C49" s="18" t="str">
        <f aca="false">IFERROR(INDEX(기념일등록!$B$3:$B$502,MATCH(44,월별달력!$J$6:$J$505,0)),"")</f>
        <v/>
      </c>
      <c r="D49" s="18" t="str">
        <f aca="false">IF($C49="","",IFERROR(INDEX(기념일등록!$C$3:$C$502,MATCH(44,월별달력!$J$6:$J$505,0)),""))</f>
        <v/>
      </c>
      <c r="E49" s="23" t="str">
        <f aca="false">IF($C49="","",IFERROR(INDEX(기념일등록!$D$3:$D$502,MATCH(44,월별달력!$J$6:$J$505,0)),""))</f>
        <v/>
      </c>
      <c r="F49" s="18" t="str">
        <f aca="false">IF($C49="","",IFERROR(IF(INDEX(기념일등록!$J$3:$J$502,MATCH(44,월별달력!$J$6:$J$505,0))="","",INDEX(기념일등록!$J$3:$J$502,MATCH(44,월별달력!$J$6:$J$505,0))),""))</f>
        <v/>
      </c>
      <c r="H49" s="26" t="b">
        <f aca="false">IF(기념일등록!$B46="",FALSE(),기념일등록!$F46=$B$3)</f>
        <v>0</v>
      </c>
      <c r="I49" s="6" t="str">
        <f aca="false">IF($H49=FALSE(),"",IF(기념일등록!$G46="",99999,기념일등록!$G46)*1000+ROW())</f>
        <v/>
      </c>
      <c r="J49" s="6" t="str">
        <f aca="false">IF($I49="","",RANK($I49,$I$6:$I$505,1))</f>
        <v/>
      </c>
    </row>
    <row r="50" customFormat="false" ht="15" hidden="false" customHeight="true" outlineLevel="0" collapsed="false">
      <c r="A50" s="23" t="str">
        <f aca="false">IF($C50="","",45)</f>
        <v/>
      </c>
      <c r="B50" s="23" t="str">
        <f aca="false">IFERROR(INDEX(기념일등록!$G$3:$G$502,MATCH(45,월별달력!$J$6:$J$505,0)),"")</f>
        <v/>
      </c>
      <c r="C50" s="18" t="str">
        <f aca="false">IFERROR(INDEX(기념일등록!$B$3:$B$502,MATCH(45,월별달력!$J$6:$J$505,0)),"")</f>
        <v/>
      </c>
      <c r="D50" s="18" t="str">
        <f aca="false">IF($C50="","",IFERROR(INDEX(기념일등록!$C$3:$C$502,MATCH(45,월별달력!$J$6:$J$505,0)),""))</f>
        <v/>
      </c>
      <c r="E50" s="23" t="str">
        <f aca="false">IF($C50="","",IFERROR(INDEX(기념일등록!$D$3:$D$502,MATCH(45,월별달력!$J$6:$J$505,0)),""))</f>
        <v/>
      </c>
      <c r="F50" s="18" t="str">
        <f aca="false">IF($C50="","",IFERROR(IF(INDEX(기념일등록!$J$3:$J$502,MATCH(45,월별달력!$J$6:$J$505,0))="","",INDEX(기념일등록!$J$3:$J$502,MATCH(45,월별달력!$J$6:$J$505,0))),""))</f>
        <v/>
      </c>
      <c r="H50" s="26" t="b">
        <f aca="false">IF(기념일등록!$B47="",FALSE(),기념일등록!$F47=$B$3)</f>
        <v>0</v>
      </c>
      <c r="I50" s="6" t="str">
        <f aca="false">IF($H50=FALSE(),"",IF(기념일등록!$G47="",99999,기념일등록!$G47)*1000+ROW())</f>
        <v/>
      </c>
      <c r="J50" s="6" t="str">
        <f aca="false">IF($I50="","",RANK($I50,$I$6:$I$505,1))</f>
        <v/>
      </c>
    </row>
    <row r="51" customFormat="false" ht="15" hidden="false" customHeight="true" outlineLevel="0" collapsed="false">
      <c r="A51" s="23" t="str">
        <f aca="false">IF($C51="","",46)</f>
        <v/>
      </c>
      <c r="B51" s="23" t="str">
        <f aca="false">IFERROR(INDEX(기념일등록!$G$3:$G$502,MATCH(46,월별달력!$J$6:$J$505,0)),"")</f>
        <v/>
      </c>
      <c r="C51" s="18" t="str">
        <f aca="false">IFERROR(INDEX(기념일등록!$B$3:$B$502,MATCH(46,월별달력!$J$6:$J$505,0)),"")</f>
        <v/>
      </c>
      <c r="D51" s="18" t="str">
        <f aca="false">IF($C51="","",IFERROR(INDEX(기념일등록!$C$3:$C$502,MATCH(46,월별달력!$J$6:$J$505,0)),""))</f>
        <v/>
      </c>
      <c r="E51" s="23" t="str">
        <f aca="false">IF($C51="","",IFERROR(INDEX(기념일등록!$D$3:$D$502,MATCH(46,월별달력!$J$6:$J$505,0)),""))</f>
        <v/>
      </c>
      <c r="F51" s="18" t="str">
        <f aca="false">IF($C51="","",IFERROR(IF(INDEX(기념일등록!$J$3:$J$502,MATCH(46,월별달력!$J$6:$J$505,0))="","",INDEX(기념일등록!$J$3:$J$502,MATCH(46,월별달력!$J$6:$J$505,0))),""))</f>
        <v/>
      </c>
      <c r="H51" s="26" t="b">
        <f aca="false">IF(기념일등록!$B48="",FALSE(),기념일등록!$F48=$B$3)</f>
        <v>0</v>
      </c>
      <c r="I51" s="6" t="str">
        <f aca="false">IF($H51=FALSE(),"",IF(기념일등록!$G48="",99999,기념일등록!$G48)*1000+ROW())</f>
        <v/>
      </c>
      <c r="J51" s="6" t="str">
        <f aca="false">IF($I51="","",RANK($I51,$I$6:$I$505,1))</f>
        <v/>
      </c>
    </row>
    <row r="52" customFormat="false" ht="15" hidden="false" customHeight="true" outlineLevel="0" collapsed="false">
      <c r="A52" s="23" t="str">
        <f aca="false">IF($C52="","",47)</f>
        <v/>
      </c>
      <c r="B52" s="23" t="str">
        <f aca="false">IFERROR(INDEX(기념일등록!$G$3:$G$502,MATCH(47,월별달력!$J$6:$J$505,0)),"")</f>
        <v/>
      </c>
      <c r="C52" s="18" t="str">
        <f aca="false">IFERROR(INDEX(기념일등록!$B$3:$B$502,MATCH(47,월별달력!$J$6:$J$505,0)),"")</f>
        <v/>
      </c>
      <c r="D52" s="18" t="str">
        <f aca="false">IF($C52="","",IFERROR(INDEX(기념일등록!$C$3:$C$502,MATCH(47,월별달력!$J$6:$J$505,0)),""))</f>
        <v/>
      </c>
      <c r="E52" s="23" t="str">
        <f aca="false">IF($C52="","",IFERROR(INDEX(기념일등록!$D$3:$D$502,MATCH(47,월별달력!$J$6:$J$505,0)),""))</f>
        <v/>
      </c>
      <c r="F52" s="18" t="str">
        <f aca="false">IF($C52="","",IFERROR(IF(INDEX(기념일등록!$J$3:$J$502,MATCH(47,월별달력!$J$6:$J$505,0))="","",INDEX(기념일등록!$J$3:$J$502,MATCH(47,월별달력!$J$6:$J$505,0))),""))</f>
        <v/>
      </c>
      <c r="H52" s="26" t="b">
        <f aca="false">IF(기념일등록!$B49="",FALSE(),기념일등록!$F49=$B$3)</f>
        <v>0</v>
      </c>
      <c r="I52" s="6" t="str">
        <f aca="false">IF($H52=FALSE(),"",IF(기념일등록!$G49="",99999,기념일등록!$G49)*1000+ROW())</f>
        <v/>
      </c>
      <c r="J52" s="6" t="str">
        <f aca="false">IF($I52="","",RANK($I52,$I$6:$I$505,1))</f>
        <v/>
      </c>
    </row>
    <row r="53" customFormat="false" ht="15" hidden="false" customHeight="true" outlineLevel="0" collapsed="false">
      <c r="A53" s="23" t="str">
        <f aca="false">IF($C53="","",48)</f>
        <v/>
      </c>
      <c r="B53" s="23" t="str">
        <f aca="false">IFERROR(INDEX(기념일등록!$G$3:$G$502,MATCH(48,월별달력!$J$6:$J$505,0)),"")</f>
        <v/>
      </c>
      <c r="C53" s="18" t="str">
        <f aca="false">IFERROR(INDEX(기념일등록!$B$3:$B$502,MATCH(48,월별달력!$J$6:$J$505,0)),"")</f>
        <v/>
      </c>
      <c r="D53" s="18" t="str">
        <f aca="false">IF($C53="","",IFERROR(INDEX(기념일등록!$C$3:$C$502,MATCH(48,월별달력!$J$6:$J$505,0)),""))</f>
        <v/>
      </c>
      <c r="E53" s="23" t="str">
        <f aca="false">IF($C53="","",IFERROR(INDEX(기념일등록!$D$3:$D$502,MATCH(48,월별달력!$J$6:$J$505,0)),""))</f>
        <v/>
      </c>
      <c r="F53" s="18" t="str">
        <f aca="false">IF($C53="","",IFERROR(IF(INDEX(기념일등록!$J$3:$J$502,MATCH(48,월별달력!$J$6:$J$505,0))="","",INDEX(기념일등록!$J$3:$J$502,MATCH(48,월별달력!$J$6:$J$505,0))),""))</f>
        <v/>
      </c>
      <c r="H53" s="26" t="b">
        <f aca="false">IF(기념일등록!$B50="",FALSE(),기념일등록!$F50=$B$3)</f>
        <v>0</v>
      </c>
      <c r="I53" s="6" t="str">
        <f aca="false">IF($H53=FALSE(),"",IF(기념일등록!$G50="",99999,기념일등록!$G50)*1000+ROW())</f>
        <v/>
      </c>
      <c r="J53" s="6" t="str">
        <f aca="false">IF($I53="","",RANK($I53,$I$6:$I$505,1))</f>
        <v/>
      </c>
    </row>
    <row r="54" customFormat="false" ht="15" hidden="false" customHeight="true" outlineLevel="0" collapsed="false">
      <c r="A54" s="23" t="str">
        <f aca="false">IF($C54="","",49)</f>
        <v/>
      </c>
      <c r="B54" s="23" t="str">
        <f aca="false">IFERROR(INDEX(기념일등록!$G$3:$G$502,MATCH(49,월별달력!$J$6:$J$505,0)),"")</f>
        <v/>
      </c>
      <c r="C54" s="18" t="str">
        <f aca="false">IFERROR(INDEX(기념일등록!$B$3:$B$502,MATCH(49,월별달력!$J$6:$J$505,0)),"")</f>
        <v/>
      </c>
      <c r="D54" s="18" t="str">
        <f aca="false">IF($C54="","",IFERROR(INDEX(기념일등록!$C$3:$C$502,MATCH(49,월별달력!$J$6:$J$505,0)),""))</f>
        <v/>
      </c>
      <c r="E54" s="23" t="str">
        <f aca="false">IF($C54="","",IFERROR(INDEX(기념일등록!$D$3:$D$502,MATCH(49,월별달력!$J$6:$J$505,0)),""))</f>
        <v/>
      </c>
      <c r="F54" s="18" t="str">
        <f aca="false">IF($C54="","",IFERROR(IF(INDEX(기념일등록!$J$3:$J$502,MATCH(49,월별달력!$J$6:$J$505,0))="","",INDEX(기념일등록!$J$3:$J$502,MATCH(49,월별달력!$J$6:$J$505,0))),""))</f>
        <v/>
      </c>
      <c r="H54" s="26" t="b">
        <f aca="false">IF(기념일등록!$B51="",FALSE(),기념일등록!$F51=$B$3)</f>
        <v>0</v>
      </c>
      <c r="I54" s="6" t="str">
        <f aca="false">IF($H54=FALSE(),"",IF(기념일등록!$G51="",99999,기념일등록!$G51)*1000+ROW())</f>
        <v/>
      </c>
      <c r="J54" s="6" t="str">
        <f aca="false">IF($I54="","",RANK($I54,$I$6:$I$505,1))</f>
        <v/>
      </c>
    </row>
    <row r="55" customFormat="false" ht="15" hidden="false" customHeight="true" outlineLevel="0" collapsed="false">
      <c r="A55" s="23" t="str">
        <f aca="false">IF($C55="","",50)</f>
        <v/>
      </c>
      <c r="B55" s="23" t="str">
        <f aca="false">IFERROR(INDEX(기념일등록!$G$3:$G$502,MATCH(50,월별달력!$J$6:$J$505,0)),"")</f>
        <v/>
      </c>
      <c r="C55" s="18" t="str">
        <f aca="false">IFERROR(INDEX(기념일등록!$B$3:$B$502,MATCH(50,월별달력!$J$6:$J$505,0)),"")</f>
        <v/>
      </c>
      <c r="D55" s="18" t="str">
        <f aca="false">IF($C55="","",IFERROR(INDEX(기념일등록!$C$3:$C$502,MATCH(50,월별달력!$J$6:$J$505,0)),""))</f>
        <v/>
      </c>
      <c r="E55" s="23" t="str">
        <f aca="false">IF($C55="","",IFERROR(INDEX(기념일등록!$D$3:$D$502,MATCH(50,월별달력!$J$6:$J$505,0)),""))</f>
        <v/>
      </c>
      <c r="F55" s="18" t="str">
        <f aca="false">IF($C55="","",IFERROR(IF(INDEX(기념일등록!$J$3:$J$502,MATCH(50,월별달력!$J$6:$J$505,0))="","",INDEX(기념일등록!$J$3:$J$502,MATCH(50,월별달력!$J$6:$J$505,0))),""))</f>
        <v/>
      </c>
      <c r="H55" s="26" t="b">
        <f aca="false">IF(기념일등록!$B52="",FALSE(),기념일등록!$F52=$B$3)</f>
        <v>0</v>
      </c>
      <c r="I55" s="6" t="str">
        <f aca="false">IF($H55=FALSE(),"",IF(기념일등록!$G52="",99999,기념일등록!$G52)*1000+ROW())</f>
        <v/>
      </c>
      <c r="J55" s="6" t="str">
        <f aca="false">IF($I55="","",RANK($I55,$I$6:$I$505,1))</f>
        <v/>
      </c>
    </row>
    <row r="56" customFormat="false" ht="15" hidden="false" customHeight="true" outlineLevel="0" collapsed="false">
      <c r="A56" s="23" t="str">
        <f aca="false">IF($C56="","",51)</f>
        <v/>
      </c>
      <c r="B56" s="23" t="str">
        <f aca="false">IFERROR(INDEX(기념일등록!$G$3:$G$502,MATCH(51,월별달력!$J$6:$J$505,0)),"")</f>
        <v/>
      </c>
      <c r="C56" s="18" t="str">
        <f aca="false">IFERROR(INDEX(기념일등록!$B$3:$B$502,MATCH(51,월별달력!$J$6:$J$505,0)),"")</f>
        <v/>
      </c>
      <c r="D56" s="18" t="str">
        <f aca="false">IF($C56="","",IFERROR(INDEX(기념일등록!$C$3:$C$502,MATCH(51,월별달력!$J$6:$J$505,0)),""))</f>
        <v/>
      </c>
      <c r="E56" s="23" t="str">
        <f aca="false">IF($C56="","",IFERROR(INDEX(기념일등록!$D$3:$D$502,MATCH(51,월별달력!$J$6:$J$505,0)),""))</f>
        <v/>
      </c>
      <c r="F56" s="18" t="str">
        <f aca="false">IF($C56="","",IFERROR(IF(INDEX(기념일등록!$J$3:$J$502,MATCH(51,월별달력!$J$6:$J$505,0))="","",INDEX(기념일등록!$J$3:$J$502,MATCH(51,월별달력!$J$6:$J$505,0))),""))</f>
        <v/>
      </c>
      <c r="H56" s="26" t="b">
        <f aca="false">IF(기념일등록!$B53="",FALSE(),기념일등록!$F53=$B$3)</f>
        <v>0</v>
      </c>
      <c r="I56" s="6" t="str">
        <f aca="false">IF($H56=FALSE(),"",IF(기념일등록!$G53="",99999,기념일등록!$G53)*1000+ROW())</f>
        <v/>
      </c>
      <c r="J56" s="6" t="str">
        <f aca="false">IF($I56="","",RANK($I56,$I$6:$I$505,1))</f>
        <v/>
      </c>
    </row>
    <row r="57" customFormat="false" ht="15" hidden="false" customHeight="true" outlineLevel="0" collapsed="false">
      <c r="A57" s="23" t="str">
        <f aca="false">IF($C57="","",52)</f>
        <v/>
      </c>
      <c r="B57" s="23" t="str">
        <f aca="false">IFERROR(INDEX(기념일등록!$G$3:$G$502,MATCH(52,월별달력!$J$6:$J$505,0)),"")</f>
        <v/>
      </c>
      <c r="C57" s="18" t="str">
        <f aca="false">IFERROR(INDEX(기념일등록!$B$3:$B$502,MATCH(52,월별달력!$J$6:$J$505,0)),"")</f>
        <v/>
      </c>
      <c r="D57" s="18" t="str">
        <f aca="false">IF($C57="","",IFERROR(INDEX(기념일등록!$C$3:$C$502,MATCH(52,월별달력!$J$6:$J$505,0)),""))</f>
        <v/>
      </c>
      <c r="E57" s="23" t="str">
        <f aca="false">IF($C57="","",IFERROR(INDEX(기념일등록!$D$3:$D$502,MATCH(52,월별달력!$J$6:$J$505,0)),""))</f>
        <v/>
      </c>
      <c r="F57" s="18" t="str">
        <f aca="false">IF($C57="","",IFERROR(IF(INDEX(기념일등록!$J$3:$J$502,MATCH(52,월별달력!$J$6:$J$505,0))="","",INDEX(기념일등록!$J$3:$J$502,MATCH(52,월별달력!$J$6:$J$505,0))),""))</f>
        <v/>
      </c>
      <c r="H57" s="26" t="b">
        <f aca="false">IF(기념일등록!$B54="",FALSE(),기념일등록!$F54=$B$3)</f>
        <v>0</v>
      </c>
      <c r="I57" s="6" t="str">
        <f aca="false">IF($H57=FALSE(),"",IF(기념일등록!$G54="",99999,기념일등록!$G54)*1000+ROW())</f>
        <v/>
      </c>
      <c r="J57" s="6" t="str">
        <f aca="false">IF($I57="","",RANK($I57,$I$6:$I$505,1))</f>
        <v/>
      </c>
    </row>
    <row r="58" customFormat="false" ht="15" hidden="false" customHeight="true" outlineLevel="0" collapsed="false">
      <c r="A58" s="23" t="str">
        <f aca="false">IF($C58="","",53)</f>
        <v/>
      </c>
      <c r="B58" s="23" t="str">
        <f aca="false">IFERROR(INDEX(기념일등록!$G$3:$G$502,MATCH(53,월별달력!$J$6:$J$505,0)),"")</f>
        <v/>
      </c>
      <c r="C58" s="18" t="str">
        <f aca="false">IFERROR(INDEX(기념일등록!$B$3:$B$502,MATCH(53,월별달력!$J$6:$J$505,0)),"")</f>
        <v/>
      </c>
      <c r="D58" s="18" t="str">
        <f aca="false">IF($C58="","",IFERROR(INDEX(기념일등록!$C$3:$C$502,MATCH(53,월별달력!$J$6:$J$505,0)),""))</f>
        <v/>
      </c>
      <c r="E58" s="23" t="str">
        <f aca="false">IF($C58="","",IFERROR(INDEX(기념일등록!$D$3:$D$502,MATCH(53,월별달력!$J$6:$J$505,0)),""))</f>
        <v/>
      </c>
      <c r="F58" s="18" t="str">
        <f aca="false">IF($C58="","",IFERROR(IF(INDEX(기념일등록!$J$3:$J$502,MATCH(53,월별달력!$J$6:$J$505,0))="","",INDEX(기념일등록!$J$3:$J$502,MATCH(53,월별달력!$J$6:$J$505,0))),""))</f>
        <v/>
      </c>
      <c r="H58" s="26" t="b">
        <f aca="false">IF(기념일등록!$B55="",FALSE(),기념일등록!$F55=$B$3)</f>
        <v>0</v>
      </c>
      <c r="I58" s="6" t="str">
        <f aca="false">IF($H58=FALSE(),"",IF(기념일등록!$G55="",99999,기념일등록!$G55)*1000+ROW())</f>
        <v/>
      </c>
      <c r="J58" s="6" t="str">
        <f aca="false">IF($I58="","",RANK($I58,$I$6:$I$505,1))</f>
        <v/>
      </c>
    </row>
    <row r="59" customFormat="false" ht="15" hidden="false" customHeight="true" outlineLevel="0" collapsed="false">
      <c r="A59" s="23" t="str">
        <f aca="false">IF($C59="","",54)</f>
        <v/>
      </c>
      <c r="B59" s="23" t="str">
        <f aca="false">IFERROR(INDEX(기념일등록!$G$3:$G$502,MATCH(54,월별달력!$J$6:$J$505,0)),"")</f>
        <v/>
      </c>
      <c r="C59" s="18" t="str">
        <f aca="false">IFERROR(INDEX(기념일등록!$B$3:$B$502,MATCH(54,월별달력!$J$6:$J$505,0)),"")</f>
        <v/>
      </c>
      <c r="D59" s="18" t="str">
        <f aca="false">IF($C59="","",IFERROR(INDEX(기념일등록!$C$3:$C$502,MATCH(54,월별달력!$J$6:$J$505,0)),""))</f>
        <v/>
      </c>
      <c r="E59" s="23" t="str">
        <f aca="false">IF($C59="","",IFERROR(INDEX(기념일등록!$D$3:$D$502,MATCH(54,월별달력!$J$6:$J$505,0)),""))</f>
        <v/>
      </c>
      <c r="F59" s="18" t="str">
        <f aca="false">IF($C59="","",IFERROR(IF(INDEX(기념일등록!$J$3:$J$502,MATCH(54,월별달력!$J$6:$J$505,0))="","",INDEX(기념일등록!$J$3:$J$502,MATCH(54,월별달력!$J$6:$J$505,0))),""))</f>
        <v/>
      </c>
      <c r="H59" s="26" t="b">
        <f aca="false">IF(기념일등록!$B56="",FALSE(),기념일등록!$F56=$B$3)</f>
        <v>0</v>
      </c>
      <c r="I59" s="6" t="str">
        <f aca="false">IF($H59=FALSE(),"",IF(기념일등록!$G56="",99999,기념일등록!$G56)*1000+ROW())</f>
        <v/>
      </c>
      <c r="J59" s="6" t="str">
        <f aca="false">IF($I59="","",RANK($I59,$I$6:$I$505,1))</f>
        <v/>
      </c>
    </row>
    <row r="60" customFormat="false" ht="15" hidden="false" customHeight="true" outlineLevel="0" collapsed="false">
      <c r="A60" s="23" t="str">
        <f aca="false">IF($C60="","",55)</f>
        <v/>
      </c>
      <c r="B60" s="23" t="str">
        <f aca="false">IFERROR(INDEX(기념일등록!$G$3:$G$502,MATCH(55,월별달력!$J$6:$J$505,0)),"")</f>
        <v/>
      </c>
      <c r="C60" s="18" t="str">
        <f aca="false">IFERROR(INDEX(기념일등록!$B$3:$B$502,MATCH(55,월별달력!$J$6:$J$505,0)),"")</f>
        <v/>
      </c>
      <c r="D60" s="18" t="str">
        <f aca="false">IF($C60="","",IFERROR(INDEX(기념일등록!$C$3:$C$502,MATCH(55,월별달력!$J$6:$J$505,0)),""))</f>
        <v/>
      </c>
      <c r="E60" s="23" t="str">
        <f aca="false">IF($C60="","",IFERROR(INDEX(기념일등록!$D$3:$D$502,MATCH(55,월별달력!$J$6:$J$505,0)),""))</f>
        <v/>
      </c>
      <c r="F60" s="18" t="str">
        <f aca="false">IF($C60="","",IFERROR(IF(INDEX(기념일등록!$J$3:$J$502,MATCH(55,월별달력!$J$6:$J$505,0))="","",INDEX(기념일등록!$J$3:$J$502,MATCH(55,월별달력!$J$6:$J$505,0))),""))</f>
        <v/>
      </c>
      <c r="H60" s="26" t="b">
        <f aca="false">IF(기념일등록!$B57="",FALSE(),기념일등록!$F57=$B$3)</f>
        <v>0</v>
      </c>
      <c r="I60" s="6" t="str">
        <f aca="false">IF($H60=FALSE(),"",IF(기념일등록!$G57="",99999,기념일등록!$G57)*1000+ROW())</f>
        <v/>
      </c>
      <c r="J60" s="6" t="str">
        <f aca="false">IF($I60="","",RANK($I60,$I$6:$I$505,1))</f>
        <v/>
      </c>
    </row>
    <row r="61" customFormat="false" ht="15" hidden="false" customHeight="true" outlineLevel="0" collapsed="false">
      <c r="A61" s="23" t="str">
        <f aca="false">IF($C61="","",56)</f>
        <v/>
      </c>
      <c r="B61" s="23" t="str">
        <f aca="false">IFERROR(INDEX(기념일등록!$G$3:$G$502,MATCH(56,월별달력!$J$6:$J$505,0)),"")</f>
        <v/>
      </c>
      <c r="C61" s="18" t="str">
        <f aca="false">IFERROR(INDEX(기념일등록!$B$3:$B$502,MATCH(56,월별달력!$J$6:$J$505,0)),"")</f>
        <v/>
      </c>
      <c r="D61" s="18" t="str">
        <f aca="false">IF($C61="","",IFERROR(INDEX(기념일등록!$C$3:$C$502,MATCH(56,월별달력!$J$6:$J$505,0)),""))</f>
        <v/>
      </c>
      <c r="E61" s="23" t="str">
        <f aca="false">IF($C61="","",IFERROR(INDEX(기념일등록!$D$3:$D$502,MATCH(56,월별달력!$J$6:$J$505,0)),""))</f>
        <v/>
      </c>
      <c r="F61" s="18" t="str">
        <f aca="false">IF($C61="","",IFERROR(IF(INDEX(기념일등록!$J$3:$J$502,MATCH(56,월별달력!$J$6:$J$505,0))="","",INDEX(기념일등록!$J$3:$J$502,MATCH(56,월별달력!$J$6:$J$505,0))),""))</f>
        <v/>
      </c>
      <c r="H61" s="26" t="b">
        <f aca="false">IF(기념일등록!$B58="",FALSE(),기념일등록!$F58=$B$3)</f>
        <v>0</v>
      </c>
      <c r="I61" s="6" t="str">
        <f aca="false">IF($H61=FALSE(),"",IF(기념일등록!$G58="",99999,기념일등록!$G58)*1000+ROW())</f>
        <v/>
      </c>
      <c r="J61" s="6" t="str">
        <f aca="false">IF($I61="","",RANK($I61,$I$6:$I$505,1))</f>
        <v/>
      </c>
    </row>
    <row r="62" customFormat="false" ht="15" hidden="false" customHeight="true" outlineLevel="0" collapsed="false">
      <c r="A62" s="23" t="str">
        <f aca="false">IF($C62="","",57)</f>
        <v/>
      </c>
      <c r="B62" s="23" t="str">
        <f aca="false">IFERROR(INDEX(기념일등록!$G$3:$G$502,MATCH(57,월별달력!$J$6:$J$505,0)),"")</f>
        <v/>
      </c>
      <c r="C62" s="18" t="str">
        <f aca="false">IFERROR(INDEX(기념일등록!$B$3:$B$502,MATCH(57,월별달력!$J$6:$J$505,0)),"")</f>
        <v/>
      </c>
      <c r="D62" s="18" t="str">
        <f aca="false">IF($C62="","",IFERROR(INDEX(기념일등록!$C$3:$C$502,MATCH(57,월별달력!$J$6:$J$505,0)),""))</f>
        <v/>
      </c>
      <c r="E62" s="23" t="str">
        <f aca="false">IF($C62="","",IFERROR(INDEX(기념일등록!$D$3:$D$502,MATCH(57,월별달력!$J$6:$J$505,0)),""))</f>
        <v/>
      </c>
      <c r="F62" s="18" t="str">
        <f aca="false">IF($C62="","",IFERROR(IF(INDEX(기념일등록!$J$3:$J$502,MATCH(57,월별달력!$J$6:$J$505,0))="","",INDEX(기념일등록!$J$3:$J$502,MATCH(57,월별달력!$J$6:$J$505,0))),""))</f>
        <v/>
      </c>
      <c r="H62" s="26" t="b">
        <f aca="false">IF(기념일등록!$B59="",FALSE(),기념일등록!$F59=$B$3)</f>
        <v>0</v>
      </c>
      <c r="I62" s="6" t="str">
        <f aca="false">IF($H62=FALSE(),"",IF(기념일등록!$G59="",99999,기념일등록!$G59)*1000+ROW())</f>
        <v/>
      </c>
      <c r="J62" s="6" t="str">
        <f aca="false">IF($I62="","",RANK($I62,$I$6:$I$505,1))</f>
        <v/>
      </c>
    </row>
    <row r="63" customFormat="false" ht="15" hidden="false" customHeight="true" outlineLevel="0" collapsed="false">
      <c r="A63" s="23" t="str">
        <f aca="false">IF($C63="","",58)</f>
        <v/>
      </c>
      <c r="B63" s="23" t="str">
        <f aca="false">IFERROR(INDEX(기념일등록!$G$3:$G$502,MATCH(58,월별달력!$J$6:$J$505,0)),"")</f>
        <v/>
      </c>
      <c r="C63" s="18" t="str">
        <f aca="false">IFERROR(INDEX(기념일등록!$B$3:$B$502,MATCH(58,월별달력!$J$6:$J$505,0)),"")</f>
        <v/>
      </c>
      <c r="D63" s="18" t="str">
        <f aca="false">IF($C63="","",IFERROR(INDEX(기념일등록!$C$3:$C$502,MATCH(58,월별달력!$J$6:$J$505,0)),""))</f>
        <v/>
      </c>
      <c r="E63" s="23" t="str">
        <f aca="false">IF($C63="","",IFERROR(INDEX(기념일등록!$D$3:$D$502,MATCH(58,월별달력!$J$6:$J$505,0)),""))</f>
        <v/>
      </c>
      <c r="F63" s="18" t="str">
        <f aca="false">IF($C63="","",IFERROR(IF(INDEX(기념일등록!$J$3:$J$502,MATCH(58,월별달력!$J$6:$J$505,0))="","",INDEX(기념일등록!$J$3:$J$502,MATCH(58,월별달력!$J$6:$J$505,0))),""))</f>
        <v/>
      </c>
      <c r="H63" s="26" t="b">
        <f aca="false">IF(기념일등록!$B60="",FALSE(),기념일등록!$F60=$B$3)</f>
        <v>0</v>
      </c>
      <c r="I63" s="6" t="str">
        <f aca="false">IF($H63=FALSE(),"",IF(기념일등록!$G60="",99999,기념일등록!$G60)*1000+ROW())</f>
        <v/>
      </c>
      <c r="J63" s="6" t="str">
        <f aca="false">IF($I63="","",RANK($I63,$I$6:$I$505,1))</f>
        <v/>
      </c>
    </row>
    <row r="64" customFormat="false" ht="15" hidden="false" customHeight="true" outlineLevel="0" collapsed="false">
      <c r="A64" s="23" t="str">
        <f aca="false">IF($C64="","",59)</f>
        <v/>
      </c>
      <c r="B64" s="23" t="str">
        <f aca="false">IFERROR(INDEX(기념일등록!$G$3:$G$502,MATCH(59,월별달력!$J$6:$J$505,0)),"")</f>
        <v/>
      </c>
      <c r="C64" s="18" t="str">
        <f aca="false">IFERROR(INDEX(기념일등록!$B$3:$B$502,MATCH(59,월별달력!$J$6:$J$505,0)),"")</f>
        <v/>
      </c>
      <c r="D64" s="18" t="str">
        <f aca="false">IF($C64="","",IFERROR(INDEX(기념일등록!$C$3:$C$502,MATCH(59,월별달력!$J$6:$J$505,0)),""))</f>
        <v/>
      </c>
      <c r="E64" s="23" t="str">
        <f aca="false">IF($C64="","",IFERROR(INDEX(기념일등록!$D$3:$D$502,MATCH(59,월별달력!$J$6:$J$505,0)),""))</f>
        <v/>
      </c>
      <c r="F64" s="18" t="str">
        <f aca="false">IF($C64="","",IFERROR(IF(INDEX(기념일등록!$J$3:$J$502,MATCH(59,월별달력!$J$6:$J$505,0))="","",INDEX(기념일등록!$J$3:$J$502,MATCH(59,월별달력!$J$6:$J$505,0))),""))</f>
        <v/>
      </c>
      <c r="H64" s="26" t="b">
        <f aca="false">IF(기념일등록!$B61="",FALSE(),기념일등록!$F61=$B$3)</f>
        <v>0</v>
      </c>
      <c r="I64" s="6" t="str">
        <f aca="false">IF($H64=FALSE(),"",IF(기념일등록!$G61="",99999,기념일등록!$G61)*1000+ROW())</f>
        <v/>
      </c>
      <c r="J64" s="6" t="str">
        <f aca="false">IF($I64="","",RANK($I64,$I$6:$I$505,1))</f>
        <v/>
      </c>
    </row>
    <row r="65" customFormat="false" ht="15" hidden="false" customHeight="true" outlineLevel="0" collapsed="false">
      <c r="A65" s="23" t="str">
        <f aca="false">IF($C65="","",60)</f>
        <v/>
      </c>
      <c r="B65" s="23" t="str">
        <f aca="false">IFERROR(INDEX(기념일등록!$G$3:$G$502,MATCH(60,월별달력!$J$6:$J$505,0)),"")</f>
        <v/>
      </c>
      <c r="C65" s="18" t="str">
        <f aca="false">IFERROR(INDEX(기념일등록!$B$3:$B$502,MATCH(60,월별달력!$J$6:$J$505,0)),"")</f>
        <v/>
      </c>
      <c r="D65" s="18" t="str">
        <f aca="false">IF($C65="","",IFERROR(INDEX(기념일등록!$C$3:$C$502,MATCH(60,월별달력!$J$6:$J$505,0)),""))</f>
        <v/>
      </c>
      <c r="E65" s="23" t="str">
        <f aca="false">IF($C65="","",IFERROR(INDEX(기념일등록!$D$3:$D$502,MATCH(60,월별달력!$J$6:$J$505,0)),""))</f>
        <v/>
      </c>
      <c r="F65" s="18" t="str">
        <f aca="false">IF($C65="","",IFERROR(IF(INDEX(기념일등록!$J$3:$J$502,MATCH(60,월별달력!$J$6:$J$505,0))="","",INDEX(기념일등록!$J$3:$J$502,MATCH(60,월별달력!$J$6:$J$505,0))),""))</f>
        <v/>
      </c>
      <c r="H65" s="26" t="b">
        <f aca="false">IF(기념일등록!$B62="",FALSE(),기념일등록!$F62=$B$3)</f>
        <v>0</v>
      </c>
      <c r="I65" s="6" t="str">
        <f aca="false">IF($H65=FALSE(),"",IF(기념일등록!$G62="",99999,기념일등록!$G62)*1000+ROW())</f>
        <v/>
      </c>
      <c r="J65" s="6" t="str">
        <f aca="false">IF($I65="","",RANK($I65,$I$6:$I$505,1))</f>
        <v/>
      </c>
    </row>
    <row r="66" customFormat="false" ht="15" hidden="false" customHeight="true" outlineLevel="0" collapsed="false">
      <c r="H66" s="26" t="b">
        <f aca="false">IF(기념일등록!$B63="",FALSE(),기념일등록!$F63=$B$3)</f>
        <v>0</v>
      </c>
      <c r="I66" s="6" t="str">
        <f aca="false">IF($H66=FALSE(),"",IF(기념일등록!$G63="",99999,기념일등록!$G63)*1000+ROW())</f>
        <v/>
      </c>
      <c r="J66" s="6" t="str">
        <f aca="false">IF($I66="","",RANK($I66,$I$6:$I$505,1))</f>
        <v/>
      </c>
    </row>
    <row r="67" customFormat="false" ht="15" hidden="false" customHeight="true" outlineLevel="0" collapsed="false">
      <c r="H67" s="26" t="b">
        <f aca="false">IF(기념일등록!$B64="",FALSE(),기념일등록!$F64=$B$3)</f>
        <v>0</v>
      </c>
      <c r="I67" s="6" t="str">
        <f aca="false">IF($H67=FALSE(),"",IF(기념일등록!$G64="",99999,기념일등록!$G64)*1000+ROW())</f>
        <v/>
      </c>
      <c r="J67" s="6" t="str">
        <f aca="false">IF($I67="","",RANK($I67,$I$6:$I$505,1))</f>
        <v/>
      </c>
    </row>
    <row r="68" customFormat="false" ht="15" hidden="false" customHeight="true" outlineLevel="0" collapsed="false">
      <c r="H68" s="26" t="b">
        <f aca="false">IF(기념일등록!$B65="",FALSE(),기념일등록!$F65=$B$3)</f>
        <v>0</v>
      </c>
      <c r="I68" s="6" t="str">
        <f aca="false">IF($H68=FALSE(),"",IF(기념일등록!$G65="",99999,기념일등록!$G65)*1000+ROW())</f>
        <v/>
      </c>
      <c r="J68" s="6" t="str">
        <f aca="false">IF($I68="","",RANK($I68,$I$6:$I$505,1))</f>
        <v/>
      </c>
    </row>
    <row r="69" customFormat="false" ht="15" hidden="false" customHeight="true" outlineLevel="0" collapsed="false">
      <c r="H69" s="26" t="b">
        <f aca="false">IF(기념일등록!$B66="",FALSE(),기념일등록!$F66=$B$3)</f>
        <v>0</v>
      </c>
      <c r="I69" s="6" t="str">
        <f aca="false">IF($H69=FALSE(),"",IF(기념일등록!$G66="",99999,기념일등록!$G66)*1000+ROW())</f>
        <v/>
      </c>
      <c r="J69" s="6" t="str">
        <f aca="false">IF($I69="","",RANK($I69,$I$6:$I$505,1))</f>
        <v/>
      </c>
    </row>
    <row r="70" customFormat="false" ht="15" hidden="false" customHeight="true" outlineLevel="0" collapsed="false">
      <c r="H70" s="26" t="b">
        <f aca="false">IF(기념일등록!$B67="",FALSE(),기념일등록!$F67=$B$3)</f>
        <v>0</v>
      </c>
      <c r="I70" s="6" t="str">
        <f aca="false">IF($H70=FALSE(),"",IF(기념일등록!$G67="",99999,기념일등록!$G67)*1000+ROW())</f>
        <v/>
      </c>
      <c r="J70" s="6" t="str">
        <f aca="false">IF($I70="","",RANK($I70,$I$6:$I$505,1))</f>
        <v/>
      </c>
    </row>
    <row r="71" customFormat="false" ht="15" hidden="false" customHeight="true" outlineLevel="0" collapsed="false">
      <c r="H71" s="26" t="b">
        <f aca="false">IF(기념일등록!$B68="",FALSE(),기념일등록!$F68=$B$3)</f>
        <v>0</v>
      </c>
      <c r="I71" s="6" t="str">
        <f aca="false">IF($H71=FALSE(),"",IF(기념일등록!$G68="",99999,기념일등록!$G68)*1000+ROW())</f>
        <v/>
      </c>
      <c r="J71" s="6" t="str">
        <f aca="false">IF($I71="","",RANK($I71,$I$6:$I$505,1))</f>
        <v/>
      </c>
    </row>
    <row r="72" customFormat="false" ht="15" hidden="false" customHeight="true" outlineLevel="0" collapsed="false">
      <c r="H72" s="26" t="b">
        <f aca="false">IF(기념일등록!$B69="",FALSE(),기념일등록!$F69=$B$3)</f>
        <v>0</v>
      </c>
      <c r="I72" s="6" t="str">
        <f aca="false">IF($H72=FALSE(),"",IF(기념일등록!$G69="",99999,기념일등록!$G69)*1000+ROW())</f>
        <v/>
      </c>
      <c r="J72" s="6" t="str">
        <f aca="false">IF($I72="","",RANK($I72,$I$6:$I$505,1))</f>
        <v/>
      </c>
    </row>
    <row r="73" customFormat="false" ht="15" hidden="false" customHeight="true" outlineLevel="0" collapsed="false">
      <c r="H73" s="26" t="b">
        <f aca="false">IF(기념일등록!$B70="",FALSE(),기념일등록!$F70=$B$3)</f>
        <v>0</v>
      </c>
      <c r="I73" s="6" t="str">
        <f aca="false">IF($H73=FALSE(),"",IF(기념일등록!$G70="",99999,기념일등록!$G70)*1000+ROW())</f>
        <v/>
      </c>
      <c r="J73" s="6" t="str">
        <f aca="false">IF($I73="","",RANK($I73,$I$6:$I$505,1))</f>
        <v/>
      </c>
    </row>
    <row r="74" customFormat="false" ht="15" hidden="false" customHeight="true" outlineLevel="0" collapsed="false">
      <c r="H74" s="26" t="b">
        <f aca="false">IF(기념일등록!$B71="",FALSE(),기념일등록!$F71=$B$3)</f>
        <v>0</v>
      </c>
      <c r="I74" s="6" t="str">
        <f aca="false">IF($H74=FALSE(),"",IF(기념일등록!$G71="",99999,기념일등록!$G71)*1000+ROW())</f>
        <v/>
      </c>
      <c r="J74" s="6" t="str">
        <f aca="false">IF($I74="","",RANK($I74,$I$6:$I$505,1))</f>
        <v/>
      </c>
    </row>
    <row r="75" customFormat="false" ht="15" hidden="false" customHeight="true" outlineLevel="0" collapsed="false">
      <c r="H75" s="26" t="b">
        <f aca="false">IF(기념일등록!$B72="",FALSE(),기념일등록!$F72=$B$3)</f>
        <v>0</v>
      </c>
      <c r="I75" s="6" t="str">
        <f aca="false">IF($H75=FALSE(),"",IF(기념일등록!$G72="",99999,기념일등록!$G72)*1000+ROW())</f>
        <v/>
      </c>
      <c r="J75" s="6" t="str">
        <f aca="false">IF($I75="","",RANK($I75,$I$6:$I$505,1))</f>
        <v/>
      </c>
    </row>
    <row r="76" customFormat="false" ht="15" hidden="false" customHeight="true" outlineLevel="0" collapsed="false">
      <c r="H76" s="26" t="b">
        <f aca="false">IF(기념일등록!$B73="",FALSE(),기념일등록!$F73=$B$3)</f>
        <v>0</v>
      </c>
      <c r="I76" s="6" t="str">
        <f aca="false">IF($H76=FALSE(),"",IF(기념일등록!$G73="",99999,기념일등록!$G73)*1000+ROW())</f>
        <v/>
      </c>
      <c r="J76" s="6" t="str">
        <f aca="false">IF($I76="","",RANK($I76,$I$6:$I$505,1))</f>
        <v/>
      </c>
    </row>
    <row r="77" customFormat="false" ht="15" hidden="false" customHeight="true" outlineLevel="0" collapsed="false">
      <c r="H77" s="26" t="b">
        <f aca="false">IF(기념일등록!$B74="",FALSE(),기념일등록!$F74=$B$3)</f>
        <v>0</v>
      </c>
      <c r="I77" s="6" t="str">
        <f aca="false">IF($H77=FALSE(),"",IF(기념일등록!$G74="",99999,기념일등록!$G74)*1000+ROW())</f>
        <v/>
      </c>
      <c r="J77" s="6" t="str">
        <f aca="false">IF($I77="","",RANK($I77,$I$6:$I$505,1))</f>
        <v/>
      </c>
    </row>
    <row r="78" customFormat="false" ht="15" hidden="false" customHeight="true" outlineLevel="0" collapsed="false">
      <c r="H78" s="26" t="b">
        <f aca="false">IF(기념일등록!$B75="",FALSE(),기념일등록!$F75=$B$3)</f>
        <v>0</v>
      </c>
      <c r="I78" s="6" t="str">
        <f aca="false">IF($H78=FALSE(),"",IF(기념일등록!$G75="",99999,기념일등록!$G75)*1000+ROW())</f>
        <v/>
      </c>
      <c r="J78" s="6" t="str">
        <f aca="false">IF($I78="","",RANK($I78,$I$6:$I$505,1))</f>
        <v/>
      </c>
    </row>
    <row r="79" customFormat="false" ht="15" hidden="false" customHeight="true" outlineLevel="0" collapsed="false">
      <c r="H79" s="26" t="b">
        <f aca="false">IF(기념일등록!$B76="",FALSE(),기념일등록!$F76=$B$3)</f>
        <v>0</v>
      </c>
      <c r="I79" s="6" t="str">
        <f aca="false">IF($H79=FALSE(),"",IF(기념일등록!$G76="",99999,기념일등록!$G76)*1000+ROW())</f>
        <v/>
      </c>
      <c r="J79" s="6" t="str">
        <f aca="false">IF($I79="","",RANK($I79,$I$6:$I$505,1))</f>
        <v/>
      </c>
    </row>
    <row r="80" customFormat="false" ht="15" hidden="false" customHeight="true" outlineLevel="0" collapsed="false">
      <c r="H80" s="26" t="b">
        <f aca="false">IF(기념일등록!$B77="",FALSE(),기념일등록!$F77=$B$3)</f>
        <v>0</v>
      </c>
      <c r="I80" s="6" t="str">
        <f aca="false">IF($H80=FALSE(),"",IF(기념일등록!$G77="",99999,기념일등록!$G77)*1000+ROW())</f>
        <v/>
      </c>
      <c r="J80" s="6" t="str">
        <f aca="false">IF($I80="","",RANK($I80,$I$6:$I$505,1))</f>
        <v/>
      </c>
    </row>
    <row r="81" customFormat="false" ht="15" hidden="false" customHeight="true" outlineLevel="0" collapsed="false">
      <c r="H81" s="26" t="b">
        <f aca="false">IF(기념일등록!$B78="",FALSE(),기념일등록!$F78=$B$3)</f>
        <v>0</v>
      </c>
      <c r="I81" s="6" t="str">
        <f aca="false">IF($H81=FALSE(),"",IF(기념일등록!$G78="",99999,기념일등록!$G78)*1000+ROW())</f>
        <v/>
      </c>
      <c r="J81" s="6" t="str">
        <f aca="false">IF($I81="","",RANK($I81,$I$6:$I$505,1))</f>
        <v/>
      </c>
    </row>
    <row r="82" customFormat="false" ht="15" hidden="false" customHeight="true" outlineLevel="0" collapsed="false">
      <c r="H82" s="26" t="b">
        <f aca="false">IF(기념일등록!$B79="",FALSE(),기념일등록!$F79=$B$3)</f>
        <v>0</v>
      </c>
      <c r="I82" s="6" t="str">
        <f aca="false">IF($H82=FALSE(),"",IF(기념일등록!$G79="",99999,기념일등록!$G79)*1000+ROW())</f>
        <v/>
      </c>
      <c r="J82" s="6" t="str">
        <f aca="false">IF($I82="","",RANK($I82,$I$6:$I$505,1))</f>
        <v/>
      </c>
    </row>
    <row r="83" customFormat="false" ht="15" hidden="false" customHeight="true" outlineLevel="0" collapsed="false">
      <c r="H83" s="26" t="b">
        <f aca="false">IF(기념일등록!$B80="",FALSE(),기념일등록!$F80=$B$3)</f>
        <v>0</v>
      </c>
      <c r="I83" s="6" t="str">
        <f aca="false">IF($H83=FALSE(),"",IF(기념일등록!$G80="",99999,기념일등록!$G80)*1000+ROW())</f>
        <v/>
      </c>
      <c r="J83" s="6" t="str">
        <f aca="false">IF($I83="","",RANK($I83,$I$6:$I$505,1))</f>
        <v/>
      </c>
    </row>
    <row r="84" customFormat="false" ht="15" hidden="false" customHeight="true" outlineLevel="0" collapsed="false">
      <c r="H84" s="26" t="b">
        <f aca="false">IF(기념일등록!$B81="",FALSE(),기념일등록!$F81=$B$3)</f>
        <v>0</v>
      </c>
      <c r="I84" s="6" t="str">
        <f aca="false">IF($H84=FALSE(),"",IF(기념일등록!$G81="",99999,기념일등록!$G81)*1000+ROW())</f>
        <v/>
      </c>
      <c r="J84" s="6" t="str">
        <f aca="false">IF($I84="","",RANK($I84,$I$6:$I$505,1))</f>
        <v/>
      </c>
    </row>
    <row r="85" customFormat="false" ht="15" hidden="false" customHeight="true" outlineLevel="0" collapsed="false">
      <c r="H85" s="26" t="b">
        <f aca="false">IF(기념일등록!$B82="",FALSE(),기념일등록!$F82=$B$3)</f>
        <v>0</v>
      </c>
      <c r="I85" s="6" t="str">
        <f aca="false">IF($H85=FALSE(),"",IF(기념일등록!$G82="",99999,기념일등록!$G82)*1000+ROW())</f>
        <v/>
      </c>
      <c r="J85" s="6" t="str">
        <f aca="false">IF($I85="","",RANK($I85,$I$6:$I$505,1))</f>
        <v/>
      </c>
    </row>
    <row r="86" customFormat="false" ht="15" hidden="false" customHeight="true" outlineLevel="0" collapsed="false">
      <c r="H86" s="26" t="b">
        <f aca="false">IF(기념일등록!$B83="",FALSE(),기념일등록!$F83=$B$3)</f>
        <v>0</v>
      </c>
      <c r="I86" s="6" t="str">
        <f aca="false">IF($H86=FALSE(),"",IF(기념일등록!$G83="",99999,기념일등록!$G83)*1000+ROW())</f>
        <v/>
      </c>
      <c r="J86" s="6" t="str">
        <f aca="false">IF($I86="","",RANK($I86,$I$6:$I$505,1))</f>
        <v/>
      </c>
    </row>
    <row r="87" customFormat="false" ht="15" hidden="false" customHeight="true" outlineLevel="0" collapsed="false">
      <c r="H87" s="26" t="b">
        <f aca="false">IF(기념일등록!$B84="",FALSE(),기념일등록!$F84=$B$3)</f>
        <v>0</v>
      </c>
      <c r="I87" s="6" t="str">
        <f aca="false">IF($H87=FALSE(),"",IF(기념일등록!$G84="",99999,기념일등록!$G84)*1000+ROW())</f>
        <v/>
      </c>
      <c r="J87" s="6" t="str">
        <f aca="false">IF($I87="","",RANK($I87,$I$6:$I$505,1))</f>
        <v/>
      </c>
    </row>
    <row r="88" customFormat="false" ht="15" hidden="false" customHeight="true" outlineLevel="0" collapsed="false">
      <c r="H88" s="26" t="b">
        <f aca="false">IF(기념일등록!$B85="",FALSE(),기념일등록!$F85=$B$3)</f>
        <v>0</v>
      </c>
      <c r="I88" s="6" t="str">
        <f aca="false">IF($H88=FALSE(),"",IF(기념일등록!$G85="",99999,기념일등록!$G85)*1000+ROW())</f>
        <v/>
      </c>
      <c r="J88" s="6" t="str">
        <f aca="false">IF($I88="","",RANK($I88,$I$6:$I$505,1))</f>
        <v/>
      </c>
    </row>
    <row r="89" customFormat="false" ht="15" hidden="false" customHeight="true" outlineLevel="0" collapsed="false">
      <c r="H89" s="26" t="b">
        <f aca="false">IF(기념일등록!$B86="",FALSE(),기념일등록!$F86=$B$3)</f>
        <v>0</v>
      </c>
      <c r="I89" s="6" t="str">
        <f aca="false">IF($H89=FALSE(),"",IF(기념일등록!$G86="",99999,기념일등록!$G86)*1000+ROW())</f>
        <v/>
      </c>
      <c r="J89" s="6" t="str">
        <f aca="false">IF($I89="","",RANK($I89,$I$6:$I$505,1))</f>
        <v/>
      </c>
    </row>
    <row r="90" customFormat="false" ht="15" hidden="false" customHeight="true" outlineLevel="0" collapsed="false">
      <c r="H90" s="26" t="b">
        <f aca="false">IF(기념일등록!$B87="",FALSE(),기념일등록!$F87=$B$3)</f>
        <v>0</v>
      </c>
      <c r="I90" s="6" t="str">
        <f aca="false">IF($H90=FALSE(),"",IF(기념일등록!$G87="",99999,기념일등록!$G87)*1000+ROW())</f>
        <v/>
      </c>
      <c r="J90" s="6" t="str">
        <f aca="false">IF($I90="","",RANK($I90,$I$6:$I$505,1))</f>
        <v/>
      </c>
    </row>
    <row r="91" customFormat="false" ht="15" hidden="false" customHeight="true" outlineLevel="0" collapsed="false">
      <c r="H91" s="26" t="b">
        <f aca="false">IF(기념일등록!$B88="",FALSE(),기념일등록!$F88=$B$3)</f>
        <v>0</v>
      </c>
      <c r="I91" s="6" t="str">
        <f aca="false">IF($H91=FALSE(),"",IF(기념일등록!$G88="",99999,기념일등록!$G88)*1000+ROW())</f>
        <v/>
      </c>
      <c r="J91" s="6" t="str">
        <f aca="false">IF($I91="","",RANK($I91,$I$6:$I$505,1))</f>
        <v/>
      </c>
    </row>
    <row r="92" customFormat="false" ht="15" hidden="false" customHeight="true" outlineLevel="0" collapsed="false">
      <c r="H92" s="26" t="b">
        <f aca="false">IF(기념일등록!$B89="",FALSE(),기념일등록!$F89=$B$3)</f>
        <v>0</v>
      </c>
      <c r="I92" s="6" t="str">
        <f aca="false">IF($H92=FALSE(),"",IF(기념일등록!$G89="",99999,기념일등록!$G89)*1000+ROW())</f>
        <v/>
      </c>
      <c r="J92" s="6" t="str">
        <f aca="false">IF($I92="","",RANK($I92,$I$6:$I$505,1))</f>
        <v/>
      </c>
    </row>
    <row r="93" customFormat="false" ht="15" hidden="false" customHeight="true" outlineLevel="0" collapsed="false">
      <c r="H93" s="26" t="b">
        <f aca="false">IF(기념일등록!$B90="",FALSE(),기념일등록!$F90=$B$3)</f>
        <v>0</v>
      </c>
      <c r="I93" s="6" t="str">
        <f aca="false">IF($H93=FALSE(),"",IF(기념일등록!$G90="",99999,기념일등록!$G90)*1000+ROW())</f>
        <v/>
      </c>
      <c r="J93" s="6" t="str">
        <f aca="false">IF($I93="","",RANK($I93,$I$6:$I$505,1))</f>
        <v/>
      </c>
    </row>
    <row r="94" customFormat="false" ht="15" hidden="false" customHeight="true" outlineLevel="0" collapsed="false">
      <c r="H94" s="26" t="b">
        <f aca="false">IF(기념일등록!$B91="",FALSE(),기념일등록!$F91=$B$3)</f>
        <v>0</v>
      </c>
      <c r="I94" s="6" t="str">
        <f aca="false">IF($H94=FALSE(),"",IF(기념일등록!$G91="",99999,기념일등록!$G91)*1000+ROW())</f>
        <v/>
      </c>
      <c r="J94" s="6" t="str">
        <f aca="false">IF($I94="","",RANK($I94,$I$6:$I$505,1))</f>
        <v/>
      </c>
    </row>
    <row r="95" customFormat="false" ht="15" hidden="false" customHeight="true" outlineLevel="0" collapsed="false">
      <c r="H95" s="26" t="b">
        <f aca="false">IF(기념일등록!$B92="",FALSE(),기념일등록!$F92=$B$3)</f>
        <v>0</v>
      </c>
      <c r="I95" s="6" t="str">
        <f aca="false">IF($H95=FALSE(),"",IF(기념일등록!$G92="",99999,기념일등록!$G92)*1000+ROW())</f>
        <v/>
      </c>
      <c r="J95" s="6" t="str">
        <f aca="false">IF($I95="","",RANK($I95,$I$6:$I$505,1))</f>
        <v/>
      </c>
    </row>
    <row r="96" customFormat="false" ht="15" hidden="false" customHeight="true" outlineLevel="0" collapsed="false">
      <c r="H96" s="26" t="b">
        <f aca="false">IF(기념일등록!$B93="",FALSE(),기념일등록!$F93=$B$3)</f>
        <v>0</v>
      </c>
      <c r="I96" s="6" t="str">
        <f aca="false">IF($H96=FALSE(),"",IF(기념일등록!$G93="",99999,기념일등록!$G93)*1000+ROW())</f>
        <v/>
      </c>
      <c r="J96" s="6" t="str">
        <f aca="false">IF($I96="","",RANK($I96,$I$6:$I$505,1))</f>
        <v/>
      </c>
    </row>
    <row r="97" customFormat="false" ht="15" hidden="false" customHeight="true" outlineLevel="0" collapsed="false">
      <c r="H97" s="26" t="b">
        <f aca="false">IF(기념일등록!$B94="",FALSE(),기념일등록!$F94=$B$3)</f>
        <v>0</v>
      </c>
      <c r="I97" s="6" t="str">
        <f aca="false">IF($H97=FALSE(),"",IF(기념일등록!$G94="",99999,기념일등록!$G94)*1000+ROW())</f>
        <v/>
      </c>
      <c r="J97" s="6" t="str">
        <f aca="false">IF($I97="","",RANK($I97,$I$6:$I$505,1))</f>
        <v/>
      </c>
    </row>
    <row r="98" customFormat="false" ht="15" hidden="false" customHeight="true" outlineLevel="0" collapsed="false">
      <c r="H98" s="26" t="b">
        <f aca="false">IF(기념일등록!$B95="",FALSE(),기념일등록!$F95=$B$3)</f>
        <v>0</v>
      </c>
      <c r="I98" s="6" t="str">
        <f aca="false">IF($H98=FALSE(),"",IF(기념일등록!$G95="",99999,기념일등록!$G95)*1000+ROW())</f>
        <v/>
      </c>
      <c r="J98" s="6" t="str">
        <f aca="false">IF($I98="","",RANK($I98,$I$6:$I$505,1))</f>
        <v/>
      </c>
    </row>
    <row r="99" customFormat="false" ht="15" hidden="false" customHeight="true" outlineLevel="0" collapsed="false">
      <c r="H99" s="26" t="b">
        <f aca="false">IF(기념일등록!$B96="",FALSE(),기념일등록!$F96=$B$3)</f>
        <v>0</v>
      </c>
      <c r="I99" s="6" t="str">
        <f aca="false">IF($H99=FALSE(),"",IF(기념일등록!$G96="",99999,기념일등록!$G96)*1000+ROW())</f>
        <v/>
      </c>
      <c r="J99" s="6" t="str">
        <f aca="false">IF($I99="","",RANK($I99,$I$6:$I$505,1))</f>
        <v/>
      </c>
    </row>
    <row r="100" customFormat="false" ht="15" hidden="false" customHeight="true" outlineLevel="0" collapsed="false">
      <c r="H100" s="26" t="b">
        <f aca="false">IF(기념일등록!$B97="",FALSE(),기념일등록!$F97=$B$3)</f>
        <v>0</v>
      </c>
      <c r="I100" s="6" t="str">
        <f aca="false">IF($H100=FALSE(),"",IF(기념일등록!$G97="",99999,기념일등록!$G97)*1000+ROW())</f>
        <v/>
      </c>
      <c r="J100" s="6" t="str">
        <f aca="false">IF($I100="","",RANK($I100,$I$6:$I$505,1))</f>
        <v/>
      </c>
    </row>
    <row r="101" customFormat="false" ht="15" hidden="false" customHeight="true" outlineLevel="0" collapsed="false">
      <c r="H101" s="26" t="b">
        <f aca="false">IF(기념일등록!$B98="",FALSE(),기념일등록!$F98=$B$3)</f>
        <v>0</v>
      </c>
      <c r="I101" s="6" t="str">
        <f aca="false">IF($H101=FALSE(),"",IF(기념일등록!$G98="",99999,기념일등록!$G98)*1000+ROW())</f>
        <v/>
      </c>
      <c r="J101" s="6" t="str">
        <f aca="false">IF($I101="","",RANK($I101,$I$6:$I$505,1))</f>
        <v/>
      </c>
    </row>
    <row r="102" customFormat="false" ht="15" hidden="false" customHeight="true" outlineLevel="0" collapsed="false">
      <c r="H102" s="26" t="b">
        <f aca="false">IF(기념일등록!$B99="",FALSE(),기념일등록!$F99=$B$3)</f>
        <v>0</v>
      </c>
      <c r="I102" s="6" t="str">
        <f aca="false">IF($H102=FALSE(),"",IF(기념일등록!$G99="",99999,기념일등록!$G99)*1000+ROW())</f>
        <v/>
      </c>
      <c r="J102" s="6" t="str">
        <f aca="false">IF($I102="","",RANK($I102,$I$6:$I$505,1))</f>
        <v/>
      </c>
    </row>
    <row r="103" customFormat="false" ht="15" hidden="false" customHeight="true" outlineLevel="0" collapsed="false">
      <c r="H103" s="26" t="b">
        <f aca="false">IF(기념일등록!$B100="",FALSE(),기념일등록!$F100=$B$3)</f>
        <v>0</v>
      </c>
      <c r="I103" s="6" t="str">
        <f aca="false">IF($H103=FALSE(),"",IF(기념일등록!$G100="",99999,기념일등록!$G100)*1000+ROW())</f>
        <v/>
      </c>
      <c r="J103" s="6" t="str">
        <f aca="false">IF($I103="","",RANK($I103,$I$6:$I$505,1))</f>
        <v/>
      </c>
    </row>
    <row r="104" customFormat="false" ht="15" hidden="false" customHeight="true" outlineLevel="0" collapsed="false">
      <c r="H104" s="26" t="b">
        <f aca="false">IF(기념일등록!$B101="",FALSE(),기념일등록!$F101=$B$3)</f>
        <v>0</v>
      </c>
      <c r="I104" s="6" t="str">
        <f aca="false">IF($H104=FALSE(),"",IF(기념일등록!$G101="",99999,기념일등록!$G101)*1000+ROW())</f>
        <v/>
      </c>
      <c r="J104" s="6" t="str">
        <f aca="false">IF($I104="","",RANK($I104,$I$6:$I$505,1))</f>
        <v/>
      </c>
    </row>
    <row r="105" customFormat="false" ht="15" hidden="false" customHeight="true" outlineLevel="0" collapsed="false">
      <c r="H105" s="26" t="b">
        <f aca="false">IF(기념일등록!$B102="",FALSE(),기념일등록!$F102=$B$3)</f>
        <v>0</v>
      </c>
      <c r="I105" s="6" t="str">
        <f aca="false">IF($H105=FALSE(),"",IF(기념일등록!$G102="",99999,기념일등록!$G102)*1000+ROW())</f>
        <v/>
      </c>
      <c r="J105" s="6" t="str">
        <f aca="false">IF($I105="","",RANK($I105,$I$6:$I$505,1))</f>
        <v/>
      </c>
    </row>
    <row r="106" customFormat="false" ht="15" hidden="false" customHeight="true" outlineLevel="0" collapsed="false">
      <c r="H106" s="26" t="b">
        <f aca="false">IF(기념일등록!$B103="",FALSE(),기념일등록!$F103=$B$3)</f>
        <v>0</v>
      </c>
      <c r="I106" s="6" t="str">
        <f aca="false">IF($H106=FALSE(),"",IF(기념일등록!$G103="",99999,기념일등록!$G103)*1000+ROW())</f>
        <v/>
      </c>
      <c r="J106" s="6" t="str">
        <f aca="false">IF($I106="","",RANK($I106,$I$6:$I$505,1))</f>
        <v/>
      </c>
    </row>
    <row r="107" customFormat="false" ht="15" hidden="false" customHeight="true" outlineLevel="0" collapsed="false">
      <c r="H107" s="26" t="b">
        <f aca="false">IF(기념일등록!$B104="",FALSE(),기념일등록!$F104=$B$3)</f>
        <v>0</v>
      </c>
      <c r="I107" s="6" t="str">
        <f aca="false">IF($H107=FALSE(),"",IF(기념일등록!$G104="",99999,기념일등록!$G104)*1000+ROW())</f>
        <v/>
      </c>
      <c r="J107" s="6" t="str">
        <f aca="false">IF($I107="","",RANK($I107,$I$6:$I$505,1))</f>
        <v/>
      </c>
    </row>
    <row r="108" customFormat="false" ht="15" hidden="false" customHeight="true" outlineLevel="0" collapsed="false">
      <c r="H108" s="26" t="b">
        <f aca="false">IF(기념일등록!$B105="",FALSE(),기념일등록!$F105=$B$3)</f>
        <v>0</v>
      </c>
      <c r="I108" s="6" t="str">
        <f aca="false">IF($H108=FALSE(),"",IF(기념일등록!$G105="",99999,기념일등록!$G105)*1000+ROW())</f>
        <v/>
      </c>
      <c r="J108" s="6" t="str">
        <f aca="false">IF($I108="","",RANK($I108,$I$6:$I$505,1))</f>
        <v/>
      </c>
    </row>
    <row r="109" customFormat="false" ht="15" hidden="false" customHeight="true" outlineLevel="0" collapsed="false">
      <c r="H109" s="26" t="b">
        <f aca="false">IF(기념일등록!$B106="",FALSE(),기념일등록!$F106=$B$3)</f>
        <v>0</v>
      </c>
      <c r="I109" s="6" t="str">
        <f aca="false">IF($H109=FALSE(),"",IF(기념일등록!$G106="",99999,기념일등록!$G106)*1000+ROW())</f>
        <v/>
      </c>
      <c r="J109" s="6" t="str">
        <f aca="false">IF($I109="","",RANK($I109,$I$6:$I$505,1))</f>
        <v/>
      </c>
    </row>
    <row r="110" customFormat="false" ht="15" hidden="false" customHeight="true" outlineLevel="0" collapsed="false">
      <c r="H110" s="26" t="b">
        <f aca="false">IF(기념일등록!$B107="",FALSE(),기념일등록!$F107=$B$3)</f>
        <v>0</v>
      </c>
      <c r="I110" s="6" t="str">
        <f aca="false">IF($H110=FALSE(),"",IF(기념일등록!$G107="",99999,기념일등록!$G107)*1000+ROW())</f>
        <v/>
      </c>
      <c r="J110" s="6" t="str">
        <f aca="false">IF($I110="","",RANK($I110,$I$6:$I$505,1))</f>
        <v/>
      </c>
    </row>
    <row r="111" customFormat="false" ht="15" hidden="false" customHeight="true" outlineLevel="0" collapsed="false">
      <c r="H111" s="26" t="b">
        <f aca="false">IF(기념일등록!$B108="",FALSE(),기념일등록!$F108=$B$3)</f>
        <v>0</v>
      </c>
      <c r="I111" s="6" t="str">
        <f aca="false">IF($H111=FALSE(),"",IF(기념일등록!$G108="",99999,기념일등록!$G108)*1000+ROW())</f>
        <v/>
      </c>
      <c r="J111" s="6" t="str">
        <f aca="false">IF($I111="","",RANK($I111,$I$6:$I$505,1))</f>
        <v/>
      </c>
    </row>
    <row r="112" customFormat="false" ht="15" hidden="false" customHeight="true" outlineLevel="0" collapsed="false">
      <c r="H112" s="26" t="b">
        <f aca="false">IF(기념일등록!$B109="",FALSE(),기념일등록!$F109=$B$3)</f>
        <v>0</v>
      </c>
      <c r="I112" s="6" t="str">
        <f aca="false">IF($H112=FALSE(),"",IF(기념일등록!$G109="",99999,기념일등록!$G109)*1000+ROW())</f>
        <v/>
      </c>
      <c r="J112" s="6" t="str">
        <f aca="false">IF($I112="","",RANK($I112,$I$6:$I$505,1))</f>
        <v/>
      </c>
    </row>
    <row r="113" customFormat="false" ht="15" hidden="false" customHeight="true" outlineLevel="0" collapsed="false">
      <c r="H113" s="26" t="b">
        <f aca="false">IF(기념일등록!$B110="",FALSE(),기념일등록!$F110=$B$3)</f>
        <v>0</v>
      </c>
      <c r="I113" s="6" t="str">
        <f aca="false">IF($H113=FALSE(),"",IF(기념일등록!$G110="",99999,기념일등록!$G110)*1000+ROW())</f>
        <v/>
      </c>
      <c r="J113" s="6" t="str">
        <f aca="false">IF($I113="","",RANK($I113,$I$6:$I$505,1))</f>
        <v/>
      </c>
    </row>
    <row r="114" customFormat="false" ht="15" hidden="false" customHeight="true" outlineLevel="0" collapsed="false">
      <c r="H114" s="26" t="b">
        <f aca="false">IF(기념일등록!$B111="",FALSE(),기념일등록!$F111=$B$3)</f>
        <v>0</v>
      </c>
      <c r="I114" s="6" t="str">
        <f aca="false">IF($H114=FALSE(),"",IF(기념일등록!$G111="",99999,기념일등록!$G111)*1000+ROW())</f>
        <v/>
      </c>
      <c r="J114" s="6" t="str">
        <f aca="false">IF($I114="","",RANK($I114,$I$6:$I$505,1))</f>
        <v/>
      </c>
    </row>
    <row r="115" customFormat="false" ht="15" hidden="false" customHeight="true" outlineLevel="0" collapsed="false">
      <c r="H115" s="26" t="b">
        <f aca="false">IF(기념일등록!$B112="",FALSE(),기념일등록!$F112=$B$3)</f>
        <v>0</v>
      </c>
      <c r="I115" s="6" t="str">
        <f aca="false">IF($H115=FALSE(),"",IF(기념일등록!$G112="",99999,기념일등록!$G112)*1000+ROW())</f>
        <v/>
      </c>
      <c r="J115" s="6" t="str">
        <f aca="false">IF($I115="","",RANK($I115,$I$6:$I$505,1))</f>
        <v/>
      </c>
    </row>
    <row r="116" customFormat="false" ht="15" hidden="false" customHeight="true" outlineLevel="0" collapsed="false">
      <c r="H116" s="26" t="b">
        <f aca="false">IF(기념일등록!$B113="",FALSE(),기념일등록!$F113=$B$3)</f>
        <v>0</v>
      </c>
      <c r="I116" s="6" t="str">
        <f aca="false">IF($H116=FALSE(),"",IF(기념일등록!$G113="",99999,기념일등록!$G113)*1000+ROW())</f>
        <v/>
      </c>
      <c r="J116" s="6" t="str">
        <f aca="false">IF($I116="","",RANK($I116,$I$6:$I$505,1))</f>
        <v/>
      </c>
    </row>
    <row r="117" customFormat="false" ht="15" hidden="false" customHeight="true" outlineLevel="0" collapsed="false">
      <c r="H117" s="26" t="b">
        <f aca="false">IF(기념일등록!$B114="",FALSE(),기념일등록!$F114=$B$3)</f>
        <v>0</v>
      </c>
      <c r="I117" s="6" t="str">
        <f aca="false">IF($H117=FALSE(),"",IF(기념일등록!$G114="",99999,기념일등록!$G114)*1000+ROW())</f>
        <v/>
      </c>
      <c r="J117" s="6" t="str">
        <f aca="false">IF($I117="","",RANK($I117,$I$6:$I$505,1))</f>
        <v/>
      </c>
    </row>
    <row r="118" customFormat="false" ht="15" hidden="false" customHeight="true" outlineLevel="0" collapsed="false">
      <c r="H118" s="26" t="b">
        <f aca="false">IF(기념일등록!$B115="",FALSE(),기념일등록!$F115=$B$3)</f>
        <v>0</v>
      </c>
      <c r="I118" s="6" t="str">
        <f aca="false">IF($H118=FALSE(),"",IF(기념일등록!$G115="",99999,기념일등록!$G115)*1000+ROW())</f>
        <v/>
      </c>
      <c r="J118" s="6" t="str">
        <f aca="false">IF($I118="","",RANK($I118,$I$6:$I$505,1))</f>
        <v/>
      </c>
    </row>
    <row r="119" customFormat="false" ht="15" hidden="false" customHeight="true" outlineLevel="0" collapsed="false">
      <c r="H119" s="26" t="b">
        <f aca="false">IF(기념일등록!$B116="",FALSE(),기념일등록!$F116=$B$3)</f>
        <v>0</v>
      </c>
      <c r="I119" s="6" t="str">
        <f aca="false">IF($H119=FALSE(),"",IF(기념일등록!$G116="",99999,기념일등록!$G116)*1000+ROW())</f>
        <v/>
      </c>
      <c r="J119" s="6" t="str">
        <f aca="false">IF($I119="","",RANK($I119,$I$6:$I$505,1))</f>
        <v/>
      </c>
    </row>
    <row r="120" customFormat="false" ht="15" hidden="false" customHeight="true" outlineLevel="0" collapsed="false">
      <c r="H120" s="26" t="b">
        <f aca="false">IF(기념일등록!$B117="",FALSE(),기념일등록!$F117=$B$3)</f>
        <v>0</v>
      </c>
      <c r="I120" s="6" t="str">
        <f aca="false">IF($H120=FALSE(),"",IF(기념일등록!$G117="",99999,기념일등록!$G117)*1000+ROW())</f>
        <v/>
      </c>
      <c r="J120" s="6" t="str">
        <f aca="false">IF($I120="","",RANK($I120,$I$6:$I$505,1))</f>
        <v/>
      </c>
    </row>
    <row r="121" customFormat="false" ht="15" hidden="false" customHeight="true" outlineLevel="0" collapsed="false">
      <c r="H121" s="26" t="b">
        <f aca="false">IF(기념일등록!$B118="",FALSE(),기념일등록!$F118=$B$3)</f>
        <v>0</v>
      </c>
      <c r="I121" s="6" t="str">
        <f aca="false">IF($H121=FALSE(),"",IF(기념일등록!$G118="",99999,기념일등록!$G118)*1000+ROW())</f>
        <v/>
      </c>
      <c r="J121" s="6" t="str">
        <f aca="false">IF($I121="","",RANK($I121,$I$6:$I$505,1))</f>
        <v/>
      </c>
    </row>
    <row r="122" customFormat="false" ht="15" hidden="false" customHeight="true" outlineLevel="0" collapsed="false">
      <c r="H122" s="26" t="b">
        <f aca="false">IF(기념일등록!$B119="",FALSE(),기념일등록!$F119=$B$3)</f>
        <v>0</v>
      </c>
      <c r="I122" s="6" t="str">
        <f aca="false">IF($H122=FALSE(),"",IF(기념일등록!$G119="",99999,기념일등록!$G119)*1000+ROW())</f>
        <v/>
      </c>
      <c r="J122" s="6" t="str">
        <f aca="false">IF($I122="","",RANK($I122,$I$6:$I$505,1))</f>
        <v/>
      </c>
    </row>
    <row r="123" customFormat="false" ht="15" hidden="false" customHeight="true" outlineLevel="0" collapsed="false">
      <c r="H123" s="26" t="b">
        <f aca="false">IF(기념일등록!$B120="",FALSE(),기념일등록!$F120=$B$3)</f>
        <v>0</v>
      </c>
      <c r="I123" s="6" t="str">
        <f aca="false">IF($H123=FALSE(),"",IF(기념일등록!$G120="",99999,기념일등록!$G120)*1000+ROW())</f>
        <v/>
      </c>
      <c r="J123" s="6" t="str">
        <f aca="false">IF($I123="","",RANK($I123,$I$6:$I$505,1))</f>
        <v/>
      </c>
    </row>
    <row r="124" customFormat="false" ht="15" hidden="false" customHeight="true" outlineLevel="0" collapsed="false">
      <c r="H124" s="26" t="b">
        <f aca="false">IF(기념일등록!$B121="",FALSE(),기념일등록!$F121=$B$3)</f>
        <v>0</v>
      </c>
      <c r="I124" s="6" t="str">
        <f aca="false">IF($H124=FALSE(),"",IF(기념일등록!$G121="",99999,기념일등록!$G121)*1000+ROW())</f>
        <v/>
      </c>
      <c r="J124" s="6" t="str">
        <f aca="false">IF($I124="","",RANK($I124,$I$6:$I$505,1))</f>
        <v/>
      </c>
    </row>
    <row r="125" customFormat="false" ht="15" hidden="false" customHeight="true" outlineLevel="0" collapsed="false">
      <c r="H125" s="26" t="b">
        <f aca="false">IF(기념일등록!$B122="",FALSE(),기념일등록!$F122=$B$3)</f>
        <v>0</v>
      </c>
      <c r="I125" s="6" t="str">
        <f aca="false">IF($H125=FALSE(),"",IF(기념일등록!$G122="",99999,기념일등록!$G122)*1000+ROW())</f>
        <v/>
      </c>
      <c r="J125" s="6" t="str">
        <f aca="false">IF($I125="","",RANK($I125,$I$6:$I$505,1))</f>
        <v/>
      </c>
    </row>
    <row r="126" customFormat="false" ht="15" hidden="false" customHeight="true" outlineLevel="0" collapsed="false">
      <c r="H126" s="26" t="b">
        <f aca="false">IF(기념일등록!$B123="",FALSE(),기념일등록!$F123=$B$3)</f>
        <v>0</v>
      </c>
      <c r="I126" s="6" t="str">
        <f aca="false">IF($H126=FALSE(),"",IF(기념일등록!$G123="",99999,기념일등록!$G123)*1000+ROW())</f>
        <v/>
      </c>
      <c r="J126" s="6" t="str">
        <f aca="false">IF($I126="","",RANK($I126,$I$6:$I$505,1))</f>
        <v/>
      </c>
    </row>
    <row r="127" customFormat="false" ht="15" hidden="false" customHeight="true" outlineLevel="0" collapsed="false">
      <c r="H127" s="26" t="b">
        <f aca="false">IF(기념일등록!$B124="",FALSE(),기념일등록!$F124=$B$3)</f>
        <v>0</v>
      </c>
      <c r="I127" s="6" t="str">
        <f aca="false">IF($H127=FALSE(),"",IF(기념일등록!$G124="",99999,기념일등록!$G124)*1000+ROW())</f>
        <v/>
      </c>
      <c r="J127" s="6" t="str">
        <f aca="false">IF($I127="","",RANK($I127,$I$6:$I$505,1))</f>
        <v/>
      </c>
    </row>
    <row r="128" customFormat="false" ht="15" hidden="false" customHeight="true" outlineLevel="0" collapsed="false">
      <c r="H128" s="26" t="b">
        <f aca="false">IF(기념일등록!$B125="",FALSE(),기념일등록!$F125=$B$3)</f>
        <v>0</v>
      </c>
      <c r="I128" s="6" t="str">
        <f aca="false">IF($H128=FALSE(),"",IF(기념일등록!$G125="",99999,기념일등록!$G125)*1000+ROW())</f>
        <v/>
      </c>
      <c r="J128" s="6" t="str">
        <f aca="false">IF($I128="","",RANK($I128,$I$6:$I$505,1))</f>
        <v/>
      </c>
    </row>
    <row r="129" customFormat="false" ht="15" hidden="false" customHeight="true" outlineLevel="0" collapsed="false">
      <c r="H129" s="26" t="b">
        <f aca="false">IF(기념일등록!$B126="",FALSE(),기념일등록!$F126=$B$3)</f>
        <v>0</v>
      </c>
      <c r="I129" s="6" t="str">
        <f aca="false">IF($H129=FALSE(),"",IF(기념일등록!$G126="",99999,기념일등록!$G126)*1000+ROW())</f>
        <v/>
      </c>
      <c r="J129" s="6" t="str">
        <f aca="false">IF($I129="","",RANK($I129,$I$6:$I$505,1))</f>
        <v/>
      </c>
    </row>
    <row r="130" customFormat="false" ht="15" hidden="false" customHeight="true" outlineLevel="0" collapsed="false">
      <c r="H130" s="26" t="b">
        <f aca="false">IF(기념일등록!$B127="",FALSE(),기념일등록!$F127=$B$3)</f>
        <v>0</v>
      </c>
      <c r="I130" s="6" t="str">
        <f aca="false">IF($H130=FALSE(),"",IF(기념일등록!$G127="",99999,기념일등록!$G127)*1000+ROW())</f>
        <v/>
      </c>
      <c r="J130" s="6" t="str">
        <f aca="false">IF($I130="","",RANK($I130,$I$6:$I$505,1))</f>
        <v/>
      </c>
    </row>
    <row r="131" customFormat="false" ht="15" hidden="false" customHeight="true" outlineLevel="0" collapsed="false">
      <c r="H131" s="26" t="b">
        <f aca="false">IF(기념일등록!$B128="",FALSE(),기념일등록!$F128=$B$3)</f>
        <v>0</v>
      </c>
      <c r="I131" s="6" t="str">
        <f aca="false">IF($H131=FALSE(),"",IF(기념일등록!$G128="",99999,기념일등록!$G128)*1000+ROW())</f>
        <v/>
      </c>
      <c r="J131" s="6" t="str">
        <f aca="false">IF($I131="","",RANK($I131,$I$6:$I$505,1))</f>
        <v/>
      </c>
    </row>
    <row r="132" customFormat="false" ht="15" hidden="false" customHeight="true" outlineLevel="0" collapsed="false">
      <c r="H132" s="26" t="b">
        <f aca="false">IF(기념일등록!$B129="",FALSE(),기념일등록!$F129=$B$3)</f>
        <v>0</v>
      </c>
      <c r="I132" s="6" t="str">
        <f aca="false">IF($H132=FALSE(),"",IF(기념일등록!$G129="",99999,기념일등록!$G129)*1000+ROW())</f>
        <v/>
      </c>
      <c r="J132" s="6" t="str">
        <f aca="false">IF($I132="","",RANK($I132,$I$6:$I$505,1))</f>
        <v/>
      </c>
    </row>
    <row r="133" customFormat="false" ht="15" hidden="false" customHeight="true" outlineLevel="0" collapsed="false">
      <c r="H133" s="26" t="b">
        <f aca="false">IF(기념일등록!$B130="",FALSE(),기념일등록!$F130=$B$3)</f>
        <v>0</v>
      </c>
      <c r="I133" s="6" t="str">
        <f aca="false">IF($H133=FALSE(),"",IF(기념일등록!$G130="",99999,기념일등록!$G130)*1000+ROW())</f>
        <v/>
      </c>
      <c r="J133" s="6" t="str">
        <f aca="false">IF($I133="","",RANK($I133,$I$6:$I$505,1))</f>
        <v/>
      </c>
    </row>
    <row r="134" customFormat="false" ht="15" hidden="false" customHeight="true" outlineLevel="0" collapsed="false">
      <c r="H134" s="26" t="b">
        <f aca="false">IF(기념일등록!$B131="",FALSE(),기념일등록!$F131=$B$3)</f>
        <v>0</v>
      </c>
      <c r="I134" s="6" t="str">
        <f aca="false">IF($H134=FALSE(),"",IF(기념일등록!$G131="",99999,기념일등록!$G131)*1000+ROW())</f>
        <v/>
      </c>
      <c r="J134" s="6" t="str">
        <f aca="false">IF($I134="","",RANK($I134,$I$6:$I$505,1))</f>
        <v/>
      </c>
    </row>
    <row r="135" customFormat="false" ht="15" hidden="false" customHeight="true" outlineLevel="0" collapsed="false">
      <c r="H135" s="26" t="b">
        <f aca="false">IF(기념일등록!$B132="",FALSE(),기념일등록!$F132=$B$3)</f>
        <v>0</v>
      </c>
      <c r="I135" s="6" t="str">
        <f aca="false">IF($H135=FALSE(),"",IF(기념일등록!$G132="",99999,기념일등록!$G132)*1000+ROW())</f>
        <v/>
      </c>
      <c r="J135" s="6" t="str">
        <f aca="false">IF($I135="","",RANK($I135,$I$6:$I$505,1))</f>
        <v/>
      </c>
    </row>
    <row r="136" customFormat="false" ht="15" hidden="false" customHeight="true" outlineLevel="0" collapsed="false">
      <c r="H136" s="26" t="b">
        <f aca="false">IF(기념일등록!$B133="",FALSE(),기념일등록!$F133=$B$3)</f>
        <v>0</v>
      </c>
      <c r="I136" s="6" t="str">
        <f aca="false">IF($H136=FALSE(),"",IF(기념일등록!$G133="",99999,기념일등록!$G133)*1000+ROW())</f>
        <v/>
      </c>
      <c r="J136" s="6" t="str">
        <f aca="false">IF($I136="","",RANK($I136,$I$6:$I$505,1))</f>
        <v/>
      </c>
    </row>
    <row r="137" customFormat="false" ht="15" hidden="false" customHeight="true" outlineLevel="0" collapsed="false">
      <c r="H137" s="26" t="b">
        <f aca="false">IF(기념일등록!$B134="",FALSE(),기념일등록!$F134=$B$3)</f>
        <v>0</v>
      </c>
      <c r="I137" s="6" t="str">
        <f aca="false">IF($H137=FALSE(),"",IF(기념일등록!$G134="",99999,기념일등록!$G134)*1000+ROW())</f>
        <v/>
      </c>
      <c r="J137" s="6" t="str">
        <f aca="false">IF($I137="","",RANK($I137,$I$6:$I$505,1))</f>
        <v/>
      </c>
    </row>
    <row r="138" customFormat="false" ht="15" hidden="false" customHeight="true" outlineLevel="0" collapsed="false">
      <c r="H138" s="26" t="b">
        <f aca="false">IF(기념일등록!$B135="",FALSE(),기념일등록!$F135=$B$3)</f>
        <v>0</v>
      </c>
      <c r="I138" s="6" t="str">
        <f aca="false">IF($H138=FALSE(),"",IF(기념일등록!$G135="",99999,기념일등록!$G135)*1000+ROW())</f>
        <v/>
      </c>
      <c r="J138" s="6" t="str">
        <f aca="false">IF($I138="","",RANK($I138,$I$6:$I$505,1))</f>
        <v/>
      </c>
    </row>
    <row r="139" customFormat="false" ht="15" hidden="false" customHeight="true" outlineLevel="0" collapsed="false">
      <c r="H139" s="26" t="b">
        <f aca="false">IF(기념일등록!$B136="",FALSE(),기념일등록!$F136=$B$3)</f>
        <v>0</v>
      </c>
      <c r="I139" s="6" t="str">
        <f aca="false">IF($H139=FALSE(),"",IF(기념일등록!$G136="",99999,기념일등록!$G136)*1000+ROW())</f>
        <v/>
      </c>
      <c r="J139" s="6" t="str">
        <f aca="false">IF($I139="","",RANK($I139,$I$6:$I$505,1))</f>
        <v/>
      </c>
    </row>
    <row r="140" customFormat="false" ht="15" hidden="false" customHeight="true" outlineLevel="0" collapsed="false">
      <c r="H140" s="26" t="b">
        <f aca="false">IF(기념일등록!$B137="",FALSE(),기념일등록!$F137=$B$3)</f>
        <v>0</v>
      </c>
      <c r="I140" s="6" t="str">
        <f aca="false">IF($H140=FALSE(),"",IF(기념일등록!$G137="",99999,기념일등록!$G137)*1000+ROW())</f>
        <v/>
      </c>
      <c r="J140" s="6" t="str">
        <f aca="false">IF($I140="","",RANK($I140,$I$6:$I$505,1))</f>
        <v/>
      </c>
    </row>
    <row r="141" customFormat="false" ht="15" hidden="false" customHeight="true" outlineLevel="0" collapsed="false">
      <c r="H141" s="26" t="b">
        <f aca="false">IF(기념일등록!$B138="",FALSE(),기념일등록!$F138=$B$3)</f>
        <v>0</v>
      </c>
      <c r="I141" s="6" t="str">
        <f aca="false">IF($H141=FALSE(),"",IF(기념일등록!$G138="",99999,기념일등록!$G138)*1000+ROW())</f>
        <v/>
      </c>
      <c r="J141" s="6" t="str">
        <f aca="false">IF($I141="","",RANK($I141,$I$6:$I$505,1))</f>
        <v/>
      </c>
    </row>
    <row r="142" customFormat="false" ht="15" hidden="false" customHeight="true" outlineLevel="0" collapsed="false">
      <c r="H142" s="26" t="b">
        <f aca="false">IF(기념일등록!$B139="",FALSE(),기념일등록!$F139=$B$3)</f>
        <v>0</v>
      </c>
      <c r="I142" s="6" t="str">
        <f aca="false">IF($H142=FALSE(),"",IF(기념일등록!$G139="",99999,기념일등록!$G139)*1000+ROW())</f>
        <v/>
      </c>
      <c r="J142" s="6" t="str">
        <f aca="false">IF($I142="","",RANK($I142,$I$6:$I$505,1))</f>
        <v/>
      </c>
    </row>
    <row r="143" customFormat="false" ht="15" hidden="false" customHeight="true" outlineLevel="0" collapsed="false">
      <c r="H143" s="26" t="b">
        <f aca="false">IF(기념일등록!$B140="",FALSE(),기념일등록!$F140=$B$3)</f>
        <v>0</v>
      </c>
      <c r="I143" s="6" t="str">
        <f aca="false">IF($H143=FALSE(),"",IF(기념일등록!$G140="",99999,기념일등록!$G140)*1000+ROW())</f>
        <v/>
      </c>
      <c r="J143" s="6" t="str">
        <f aca="false">IF($I143="","",RANK($I143,$I$6:$I$505,1))</f>
        <v/>
      </c>
    </row>
    <row r="144" customFormat="false" ht="15" hidden="false" customHeight="true" outlineLevel="0" collapsed="false">
      <c r="H144" s="26" t="b">
        <f aca="false">IF(기념일등록!$B141="",FALSE(),기념일등록!$F141=$B$3)</f>
        <v>0</v>
      </c>
      <c r="I144" s="6" t="str">
        <f aca="false">IF($H144=FALSE(),"",IF(기념일등록!$G141="",99999,기념일등록!$G141)*1000+ROW())</f>
        <v/>
      </c>
      <c r="J144" s="6" t="str">
        <f aca="false">IF($I144="","",RANK($I144,$I$6:$I$505,1))</f>
        <v/>
      </c>
    </row>
    <row r="145" customFormat="false" ht="15" hidden="false" customHeight="true" outlineLevel="0" collapsed="false">
      <c r="H145" s="26" t="b">
        <f aca="false">IF(기념일등록!$B142="",FALSE(),기념일등록!$F142=$B$3)</f>
        <v>0</v>
      </c>
      <c r="I145" s="6" t="str">
        <f aca="false">IF($H145=FALSE(),"",IF(기념일등록!$G142="",99999,기념일등록!$G142)*1000+ROW())</f>
        <v/>
      </c>
      <c r="J145" s="6" t="str">
        <f aca="false">IF($I145="","",RANK($I145,$I$6:$I$505,1))</f>
        <v/>
      </c>
    </row>
    <row r="146" customFormat="false" ht="15" hidden="false" customHeight="true" outlineLevel="0" collapsed="false">
      <c r="H146" s="26" t="b">
        <f aca="false">IF(기념일등록!$B143="",FALSE(),기념일등록!$F143=$B$3)</f>
        <v>0</v>
      </c>
      <c r="I146" s="6" t="str">
        <f aca="false">IF($H146=FALSE(),"",IF(기념일등록!$G143="",99999,기념일등록!$G143)*1000+ROW())</f>
        <v/>
      </c>
      <c r="J146" s="6" t="str">
        <f aca="false">IF($I146="","",RANK($I146,$I$6:$I$505,1))</f>
        <v/>
      </c>
    </row>
    <row r="147" customFormat="false" ht="15" hidden="false" customHeight="true" outlineLevel="0" collapsed="false">
      <c r="H147" s="26" t="b">
        <f aca="false">IF(기념일등록!$B144="",FALSE(),기념일등록!$F144=$B$3)</f>
        <v>0</v>
      </c>
      <c r="I147" s="6" t="str">
        <f aca="false">IF($H147=FALSE(),"",IF(기념일등록!$G144="",99999,기념일등록!$G144)*1000+ROW())</f>
        <v/>
      </c>
      <c r="J147" s="6" t="str">
        <f aca="false">IF($I147="","",RANK($I147,$I$6:$I$505,1))</f>
        <v/>
      </c>
    </row>
    <row r="148" customFormat="false" ht="15" hidden="false" customHeight="true" outlineLevel="0" collapsed="false">
      <c r="H148" s="26" t="b">
        <f aca="false">IF(기념일등록!$B145="",FALSE(),기념일등록!$F145=$B$3)</f>
        <v>0</v>
      </c>
      <c r="I148" s="6" t="str">
        <f aca="false">IF($H148=FALSE(),"",IF(기념일등록!$G145="",99999,기념일등록!$G145)*1000+ROW())</f>
        <v/>
      </c>
      <c r="J148" s="6" t="str">
        <f aca="false">IF($I148="","",RANK($I148,$I$6:$I$505,1))</f>
        <v/>
      </c>
    </row>
    <row r="149" customFormat="false" ht="15" hidden="false" customHeight="true" outlineLevel="0" collapsed="false">
      <c r="H149" s="26" t="b">
        <f aca="false">IF(기념일등록!$B146="",FALSE(),기념일등록!$F146=$B$3)</f>
        <v>0</v>
      </c>
      <c r="I149" s="6" t="str">
        <f aca="false">IF($H149=FALSE(),"",IF(기념일등록!$G146="",99999,기념일등록!$G146)*1000+ROW())</f>
        <v/>
      </c>
      <c r="J149" s="6" t="str">
        <f aca="false">IF($I149="","",RANK($I149,$I$6:$I$505,1))</f>
        <v/>
      </c>
    </row>
    <row r="150" customFormat="false" ht="15" hidden="false" customHeight="true" outlineLevel="0" collapsed="false">
      <c r="H150" s="26" t="b">
        <f aca="false">IF(기념일등록!$B147="",FALSE(),기념일등록!$F147=$B$3)</f>
        <v>0</v>
      </c>
      <c r="I150" s="6" t="str">
        <f aca="false">IF($H150=FALSE(),"",IF(기념일등록!$G147="",99999,기념일등록!$G147)*1000+ROW())</f>
        <v/>
      </c>
      <c r="J150" s="6" t="str">
        <f aca="false">IF($I150="","",RANK($I150,$I$6:$I$505,1))</f>
        <v/>
      </c>
    </row>
    <row r="151" customFormat="false" ht="15" hidden="false" customHeight="true" outlineLevel="0" collapsed="false">
      <c r="H151" s="26" t="b">
        <f aca="false">IF(기념일등록!$B148="",FALSE(),기념일등록!$F148=$B$3)</f>
        <v>0</v>
      </c>
      <c r="I151" s="6" t="str">
        <f aca="false">IF($H151=FALSE(),"",IF(기념일등록!$G148="",99999,기념일등록!$G148)*1000+ROW())</f>
        <v/>
      </c>
      <c r="J151" s="6" t="str">
        <f aca="false">IF($I151="","",RANK($I151,$I$6:$I$505,1))</f>
        <v/>
      </c>
    </row>
    <row r="152" customFormat="false" ht="15" hidden="false" customHeight="true" outlineLevel="0" collapsed="false">
      <c r="H152" s="26" t="b">
        <f aca="false">IF(기념일등록!$B149="",FALSE(),기념일등록!$F149=$B$3)</f>
        <v>0</v>
      </c>
      <c r="I152" s="6" t="str">
        <f aca="false">IF($H152=FALSE(),"",IF(기념일등록!$G149="",99999,기념일등록!$G149)*1000+ROW())</f>
        <v/>
      </c>
      <c r="J152" s="6" t="str">
        <f aca="false">IF($I152="","",RANK($I152,$I$6:$I$505,1))</f>
        <v/>
      </c>
    </row>
    <row r="153" customFormat="false" ht="15" hidden="false" customHeight="true" outlineLevel="0" collapsed="false">
      <c r="H153" s="26" t="b">
        <f aca="false">IF(기념일등록!$B150="",FALSE(),기념일등록!$F150=$B$3)</f>
        <v>0</v>
      </c>
      <c r="I153" s="6" t="str">
        <f aca="false">IF($H153=FALSE(),"",IF(기념일등록!$G150="",99999,기념일등록!$G150)*1000+ROW())</f>
        <v/>
      </c>
      <c r="J153" s="6" t="str">
        <f aca="false">IF($I153="","",RANK($I153,$I$6:$I$505,1))</f>
        <v/>
      </c>
    </row>
    <row r="154" customFormat="false" ht="15" hidden="false" customHeight="true" outlineLevel="0" collapsed="false">
      <c r="H154" s="26" t="b">
        <f aca="false">IF(기념일등록!$B151="",FALSE(),기념일등록!$F151=$B$3)</f>
        <v>0</v>
      </c>
      <c r="I154" s="6" t="str">
        <f aca="false">IF($H154=FALSE(),"",IF(기념일등록!$G151="",99999,기념일등록!$G151)*1000+ROW())</f>
        <v/>
      </c>
      <c r="J154" s="6" t="str">
        <f aca="false">IF($I154="","",RANK($I154,$I$6:$I$505,1))</f>
        <v/>
      </c>
    </row>
    <row r="155" customFormat="false" ht="15" hidden="false" customHeight="true" outlineLevel="0" collapsed="false">
      <c r="H155" s="26" t="b">
        <f aca="false">IF(기념일등록!$B152="",FALSE(),기념일등록!$F152=$B$3)</f>
        <v>0</v>
      </c>
      <c r="I155" s="6" t="str">
        <f aca="false">IF($H155=FALSE(),"",IF(기념일등록!$G152="",99999,기념일등록!$G152)*1000+ROW())</f>
        <v/>
      </c>
      <c r="J155" s="6" t="str">
        <f aca="false">IF($I155="","",RANK($I155,$I$6:$I$505,1))</f>
        <v/>
      </c>
    </row>
    <row r="156" customFormat="false" ht="15" hidden="false" customHeight="true" outlineLevel="0" collapsed="false">
      <c r="H156" s="26" t="b">
        <f aca="false">IF(기념일등록!$B153="",FALSE(),기념일등록!$F153=$B$3)</f>
        <v>0</v>
      </c>
      <c r="I156" s="6" t="str">
        <f aca="false">IF($H156=FALSE(),"",IF(기념일등록!$G153="",99999,기념일등록!$G153)*1000+ROW())</f>
        <v/>
      </c>
      <c r="J156" s="6" t="str">
        <f aca="false">IF($I156="","",RANK($I156,$I$6:$I$505,1))</f>
        <v/>
      </c>
    </row>
    <row r="157" customFormat="false" ht="15" hidden="false" customHeight="true" outlineLevel="0" collapsed="false">
      <c r="H157" s="26" t="b">
        <f aca="false">IF(기념일등록!$B154="",FALSE(),기념일등록!$F154=$B$3)</f>
        <v>0</v>
      </c>
      <c r="I157" s="6" t="str">
        <f aca="false">IF($H157=FALSE(),"",IF(기념일등록!$G154="",99999,기념일등록!$G154)*1000+ROW())</f>
        <v/>
      </c>
      <c r="J157" s="6" t="str">
        <f aca="false">IF($I157="","",RANK($I157,$I$6:$I$505,1))</f>
        <v/>
      </c>
    </row>
    <row r="158" customFormat="false" ht="15" hidden="false" customHeight="true" outlineLevel="0" collapsed="false">
      <c r="H158" s="26" t="b">
        <f aca="false">IF(기념일등록!$B155="",FALSE(),기념일등록!$F155=$B$3)</f>
        <v>0</v>
      </c>
      <c r="I158" s="6" t="str">
        <f aca="false">IF($H158=FALSE(),"",IF(기념일등록!$G155="",99999,기념일등록!$G155)*1000+ROW())</f>
        <v/>
      </c>
      <c r="J158" s="6" t="str">
        <f aca="false">IF($I158="","",RANK($I158,$I$6:$I$505,1))</f>
        <v/>
      </c>
    </row>
    <row r="159" customFormat="false" ht="15" hidden="false" customHeight="true" outlineLevel="0" collapsed="false">
      <c r="H159" s="26" t="b">
        <f aca="false">IF(기념일등록!$B156="",FALSE(),기념일등록!$F156=$B$3)</f>
        <v>0</v>
      </c>
      <c r="I159" s="6" t="str">
        <f aca="false">IF($H159=FALSE(),"",IF(기념일등록!$G156="",99999,기념일등록!$G156)*1000+ROW())</f>
        <v/>
      </c>
      <c r="J159" s="6" t="str">
        <f aca="false">IF($I159="","",RANK($I159,$I$6:$I$505,1))</f>
        <v/>
      </c>
    </row>
    <row r="160" customFormat="false" ht="15" hidden="false" customHeight="true" outlineLevel="0" collapsed="false">
      <c r="H160" s="26" t="b">
        <f aca="false">IF(기념일등록!$B157="",FALSE(),기념일등록!$F157=$B$3)</f>
        <v>0</v>
      </c>
      <c r="I160" s="6" t="str">
        <f aca="false">IF($H160=FALSE(),"",IF(기념일등록!$G157="",99999,기념일등록!$G157)*1000+ROW())</f>
        <v/>
      </c>
      <c r="J160" s="6" t="str">
        <f aca="false">IF($I160="","",RANK($I160,$I$6:$I$505,1))</f>
        <v/>
      </c>
    </row>
    <row r="161" customFormat="false" ht="15" hidden="false" customHeight="true" outlineLevel="0" collapsed="false">
      <c r="H161" s="26" t="b">
        <f aca="false">IF(기념일등록!$B158="",FALSE(),기념일등록!$F158=$B$3)</f>
        <v>0</v>
      </c>
      <c r="I161" s="6" t="str">
        <f aca="false">IF($H161=FALSE(),"",IF(기념일등록!$G158="",99999,기념일등록!$G158)*1000+ROW())</f>
        <v/>
      </c>
      <c r="J161" s="6" t="str">
        <f aca="false">IF($I161="","",RANK($I161,$I$6:$I$505,1))</f>
        <v/>
      </c>
    </row>
    <row r="162" customFormat="false" ht="15" hidden="false" customHeight="true" outlineLevel="0" collapsed="false">
      <c r="H162" s="26" t="b">
        <f aca="false">IF(기념일등록!$B159="",FALSE(),기념일등록!$F159=$B$3)</f>
        <v>0</v>
      </c>
      <c r="I162" s="6" t="str">
        <f aca="false">IF($H162=FALSE(),"",IF(기념일등록!$G159="",99999,기념일등록!$G159)*1000+ROW())</f>
        <v/>
      </c>
      <c r="J162" s="6" t="str">
        <f aca="false">IF($I162="","",RANK($I162,$I$6:$I$505,1))</f>
        <v/>
      </c>
    </row>
    <row r="163" customFormat="false" ht="15" hidden="false" customHeight="true" outlineLevel="0" collapsed="false">
      <c r="H163" s="26" t="b">
        <f aca="false">IF(기념일등록!$B160="",FALSE(),기념일등록!$F160=$B$3)</f>
        <v>0</v>
      </c>
      <c r="I163" s="6" t="str">
        <f aca="false">IF($H163=FALSE(),"",IF(기념일등록!$G160="",99999,기념일등록!$G160)*1000+ROW())</f>
        <v/>
      </c>
      <c r="J163" s="6" t="str">
        <f aca="false">IF($I163="","",RANK($I163,$I$6:$I$505,1))</f>
        <v/>
      </c>
    </row>
    <row r="164" customFormat="false" ht="15" hidden="false" customHeight="true" outlineLevel="0" collapsed="false">
      <c r="H164" s="26" t="b">
        <f aca="false">IF(기념일등록!$B161="",FALSE(),기념일등록!$F161=$B$3)</f>
        <v>0</v>
      </c>
      <c r="I164" s="6" t="str">
        <f aca="false">IF($H164=FALSE(),"",IF(기념일등록!$G161="",99999,기념일등록!$G161)*1000+ROW())</f>
        <v/>
      </c>
      <c r="J164" s="6" t="str">
        <f aca="false">IF($I164="","",RANK($I164,$I$6:$I$505,1))</f>
        <v/>
      </c>
    </row>
    <row r="165" customFormat="false" ht="15" hidden="false" customHeight="true" outlineLevel="0" collapsed="false">
      <c r="H165" s="26" t="b">
        <f aca="false">IF(기념일등록!$B162="",FALSE(),기념일등록!$F162=$B$3)</f>
        <v>0</v>
      </c>
      <c r="I165" s="6" t="str">
        <f aca="false">IF($H165=FALSE(),"",IF(기념일등록!$G162="",99999,기념일등록!$G162)*1000+ROW())</f>
        <v/>
      </c>
      <c r="J165" s="6" t="str">
        <f aca="false">IF($I165="","",RANK($I165,$I$6:$I$505,1))</f>
        <v/>
      </c>
    </row>
    <row r="166" customFormat="false" ht="15" hidden="false" customHeight="true" outlineLevel="0" collapsed="false">
      <c r="H166" s="26" t="b">
        <f aca="false">IF(기념일등록!$B163="",FALSE(),기념일등록!$F163=$B$3)</f>
        <v>0</v>
      </c>
      <c r="I166" s="6" t="str">
        <f aca="false">IF($H166=FALSE(),"",IF(기념일등록!$G163="",99999,기념일등록!$G163)*1000+ROW())</f>
        <v/>
      </c>
      <c r="J166" s="6" t="str">
        <f aca="false">IF($I166="","",RANK($I166,$I$6:$I$505,1))</f>
        <v/>
      </c>
    </row>
    <row r="167" customFormat="false" ht="15" hidden="false" customHeight="true" outlineLevel="0" collapsed="false">
      <c r="H167" s="26" t="b">
        <f aca="false">IF(기념일등록!$B164="",FALSE(),기념일등록!$F164=$B$3)</f>
        <v>0</v>
      </c>
      <c r="I167" s="6" t="str">
        <f aca="false">IF($H167=FALSE(),"",IF(기념일등록!$G164="",99999,기념일등록!$G164)*1000+ROW())</f>
        <v/>
      </c>
      <c r="J167" s="6" t="str">
        <f aca="false">IF($I167="","",RANK($I167,$I$6:$I$505,1))</f>
        <v/>
      </c>
    </row>
    <row r="168" customFormat="false" ht="15" hidden="false" customHeight="true" outlineLevel="0" collapsed="false">
      <c r="H168" s="26" t="b">
        <f aca="false">IF(기념일등록!$B165="",FALSE(),기념일등록!$F165=$B$3)</f>
        <v>0</v>
      </c>
      <c r="I168" s="6" t="str">
        <f aca="false">IF($H168=FALSE(),"",IF(기념일등록!$G165="",99999,기념일등록!$G165)*1000+ROW())</f>
        <v/>
      </c>
      <c r="J168" s="6" t="str">
        <f aca="false">IF($I168="","",RANK($I168,$I$6:$I$505,1))</f>
        <v/>
      </c>
    </row>
    <row r="169" customFormat="false" ht="15" hidden="false" customHeight="true" outlineLevel="0" collapsed="false">
      <c r="H169" s="26" t="b">
        <f aca="false">IF(기념일등록!$B166="",FALSE(),기념일등록!$F166=$B$3)</f>
        <v>0</v>
      </c>
      <c r="I169" s="6" t="str">
        <f aca="false">IF($H169=FALSE(),"",IF(기념일등록!$G166="",99999,기념일등록!$G166)*1000+ROW())</f>
        <v/>
      </c>
      <c r="J169" s="6" t="str">
        <f aca="false">IF($I169="","",RANK($I169,$I$6:$I$505,1))</f>
        <v/>
      </c>
    </row>
    <row r="170" customFormat="false" ht="15" hidden="false" customHeight="true" outlineLevel="0" collapsed="false">
      <c r="H170" s="26" t="b">
        <f aca="false">IF(기념일등록!$B167="",FALSE(),기념일등록!$F167=$B$3)</f>
        <v>0</v>
      </c>
      <c r="I170" s="6" t="str">
        <f aca="false">IF($H170=FALSE(),"",IF(기념일등록!$G167="",99999,기념일등록!$G167)*1000+ROW())</f>
        <v/>
      </c>
      <c r="J170" s="6" t="str">
        <f aca="false">IF($I170="","",RANK($I170,$I$6:$I$505,1))</f>
        <v/>
      </c>
    </row>
    <row r="171" customFormat="false" ht="15" hidden="false" customHeight="true" outlineLevel="0" collapsed="false">
      <c r="H171" s="26" t="b">
        <f aca="false">IF(기념일등록!$B168="",FALSE(),기념일등록!$F168=$B$3)</f>
        <v>0</v>
      </c>
      <c r="I171" s="6" t="str">
        <f aca="false">IF($H171=FALSE(),"",IF(기념일등록!$G168="",99999,기념일등록!$G168)*1000+ROW())</f>
        <v/>
      </c>
      <c r="J171" s="6" t="str">
        <f aca="false">IF($I171="","",RANK($I171,$I$6:$I$505,1))</f>
        <v/>
      </c>
    </row>
    <row r="172" customFormat="false" ht="15" hidden="false" customHeight="true" outlineLevel="0" collapsed="false">
      <c r="H172" s="26" t="b">
        <f aca="false">IF(기념일등록!$B169="",FALSE(),기념일등록!$F169=$B$3)</f>
        <v>0</v>
      </c>
      <c r="I172" s="6" t="str">
        <f aca="false">IF($H172=FALSE(),"",IF(기념일등록!$G169="",99999,기념일등록!$G169)*1000+ROW())</f>
        <v/>
      </c>
      <c r="J172" s="6" t="str">
        <f aca="false">IF($I172="","",RANK($I172,$I$6:$I$505,1))</f>
        <v/>
      </c>
    </row>
    <row r="173" customFormat="false" ht="15" hidden="false" customHeight="true" outlineLevel="0" collapsed="false">
      <c r="H173" s="26" t="b">
        <f aca="false">IF(기념일등록!$B170="",FALSE(),기념일등록!$F170=$B$3)</f>
        <v>0</v>
      </c>
      <c r="I173" s="6" t="str">
        <f aca="false">IF($H173=FALSE(),"",IF(기념일등록!$G170="",99999,기념일등록!$G170)*1000+ROW())</f>
        <v/>
      </c>
      <c r="J173" s="6" t="str">
        <f aca="false">IF($I173="","",RANK($I173,$I$6:$I$505,1))</f>
        <v/>
      </c>
    </row>
    <row r="174" customFormat="false" ht="15" hidden="false" customHeight="true" outlineLevel="0" collapsed="false">
      <c r="H174" s="26" t="b">
        <f aca="false">IF(기념일등록!$B171="",FALSE(),기념일등록!$F171=$B$3)</f>
        <v>0</v>
      </c>
      <c r="I174" s="6" t="str">
        <f aca="false">IF($H174=FALSE(),"",IF(기념일등록!$G171="",99999,기념일등록!$G171)*1000+ROW())</f>
        <v/>
      </c>
      <c r="J174" s="6" t="str">
        <f aca="false">IF($I174="","",RANK($I174,$I$6:$I$505,1))</f>
        <v/>
      </c>
    </row>
    <row r="175" customFormat="false" ht="15" hidden="false" customHeight="true" outlineLevel="0" collapsed="false">
      <c r="H175" s="26" t="b">
        <f aca="false">IF(기념일등록!$B172="",FALSE(),기념일등록!$F172=$B$3)</f>
        <v>0</v>
      </c>
      <c r="I175" s="6" t="str">
        <f aca="false">IF($H175=FALSE(),"",IF(기념일등록!$G172="",99999,기념일등록!$G172)*1000+ROW())</f>
        <v/>
      </c>
      <c r="J175" s="6" t="str">
        <f aca="false">IF($I175="","",RANK($I175,$I$6:$I$505,1))</f>
        <v/>
      </c>
    </row>
    <row r="176" customFormat="false" ht="15" hidden="false" customHeight="true" outlineLevel="0" collapsed="false">
      <c r="H176" s="26" t="b">
        <f aca="false">IF(기념일등록!$B173="",FALSE(),기념일등록!$F173=$B$3)</f>
        <v>0</v>
      </c>
      <c r="I176" s="6" t="str">
        <f aca="false">IF($H176=FALSE(),"",IF(기념일등록!$G173="",99999,기념일등록!$G173)*1000+ROW())</f>
        <v/>
      </c>
      <c r="J176" s="6" t="str">
        <f aca="false">IF($I176="","",RANK($I176,$I$6:$I$505,1))</f>
        <v/>
      </c>
    </row>
    <row r="177" customFormat="false" ht="15" hidden="false" customHeight="true" outlineLevel="0" collapsed="false">
      <c r="H177" s="26" t="b">
        <f aca="false">IF(기념일등록!$B174="",FALSE(),기념일등록!$F174=$B$3)</f>
        <v>0</v>
      </c>
      <c r="I177" s="6" t="str">
        <f aca="false">IF($H177=FALSE(),"",IF(기념일등록!$G174="",99999,기념일등록!$G174)*1000+ROW())</f>
        <v/>
      </c>
      <c r="J177" s="6" t="str">
        <f aca="false">IF($I177="","",RANK($I177,$I$6:$I$505,1))</f>
        <v/>
      </c>
    </row>
    <row r="178" customFormat="false" ht="15" hidden="false" customHeight="true" outlineLevel="0" collapsed="false">
      <c r="H178" s="26" t="b">
        <f aca="false">IF(기념일등록!$B175="",FALSE(),기념일등록!$F175=$B$3)</f>
        <v>0</v>
      </c>
      <c r="I178" s="6" t="str">
        <f aca="false">IF($H178=FALSE(),"",IF(기념일등록!$G175="",99999,기념일등록!$G175)*1000+ROW())</f>
        <v/>
      </c>
      <c r="J178" s="6" t="str">
        <f aca="false">IF($I178="","",RANK($I178,$I$6:$I$505,1))</f>
        <v/>
      </c>
    </row>
    <row r="179" customFormat="false" ht="15" hidden="false" customHeight="true" outlineLevel="0" collapsed="false">
      <c r="H179" s="26" t="b">
        <f aca="false">IF(기념일등록!$B176="",FALSE(),기념일등록!$F176=$B$3)</f>
        <v>0</v>
      </c>
      <c r="I179" s="6" t="str">
        <f aca="false">IF($H179=FALSE(),"",IF(기념일등록!$G176="",99999,기념일등록!$G176)*1000+ROW())</f>
        <v/>
      </c>
      <c r="J179" s="6" t="str">
        <f aca="false">IF($I179="","",RANK($I179,$I$6:$I$505,1))</f>
        <v/>
      </c>
    </row>
    <row r="180" customFormat="false" ht="15" hidden="false" customHeight="true" outlineLevel="0" collapsed="false">
      <c r="H180" s="26" t="b">
        <f aca="false">IF(기념일등록!$B177="",FALSE(),기념일등록!$F177=$B$3)</f>
        <v>0</v>
      </c>
      <c r="I180" s="6" t="str">
        <f aca="false">IF($H180=FALSE(),"",IF(기념일등록!$G177="",99999,기념일등록!$G177)*1000+ROW())</f>
        <v/>
      </c>
      <c r="J180" s="6" t="str">
        <f aca="false">IF($I180="","",RANK($I180,$I$6:$I$505,1))</f>
        <v/>
      </c>
    </row>
    <row r="181" customFormat="false" ht="15" hidden="false" customHeight="true" outlineLevel="0" collapsed="false">
      <c r="H181" s="26" t="b">
        <f aca="false">IF(기념일등록!$B178="",FALSE(),기념일등록!$F178=$B$3)</f>
        <v>0</v>
      </c>
      <c r="I181" s="6" t="str">
        <f aca="false">IF($H181=FALSE(),"",IF(기념일등록!$G178="",99999,기념일등록!$G178)*1000+ROW())</f>
        <v/>
      </c>
      <c r="J181" s="6" t="str">
        <f aca="false">IF($I181="","",RANK($I181,$I$6:$I$505,1))</f>
        <v/>
      </c>
    </row>
    <row r="182" customFormat="false" ht="15" hidden="false" customHeight="true" outlineLevel="0" collapsed="false">
      <c r="H182" s="26" t="b">
        <f aca="false">IF(기념일등록!$B179="",FALSE(),기념일등록!$F179=$B$3)</f>
        <v>0</v>
      </c>
      <c r="I182" s="6" t="str">
        <f aca="false">IF($H182=FALSE(),"",IF(기념일등록!$G179="",99999,기념일등록!$G179)*1000+ROW())</f>
        <v/>
      </c>
      <c r="J182" s="6" t="str">
        <f aca="false">IF($I182="","",RANK($I182,$I$6:$I$505,1))</f>
        <v/>
      </c>
    </row>
    <row r="183" customFormat="false" ht="15" hidden="false" customHeight="true" outlineLevel="0" collapsed="false">
      <c r="H183" s="26" t="b">
        <f aca="false">IF(기념일등록!$B180="",FALSE(),기념일등록!$F180=$B$3)</f>
        <v>0</v>
      </c>
      <c r="I183" s="6" t="str">
        <f aca="false">IF($H183=FALSE(),"",IF(기념일등록!$G180="",99999,기념일등록!$G180)*1000+ROW())</f>
        <v/>
      </c>
      <c r="J183" s="6" t="str">
        <f aca="false">IF($I183="","",RANK($I183,$I$6:$I$505,1))</f>
        <v/>
      </c>
    </row>
    <row r="184" customFormat="false" ht="15" hidden="false" customHeight="true" outlineLevel="0" collapsed="false">
      <c r="H184" s="26" t="b">
        <f aca="false">IF(기념일등록!$B181="",FALSE(),기념일등록!$F181=$B$3)</f>
        <v>0</v>
      </c>
      <c r="I184" s="6" t="str">
        <f aca="false">IF($H184=FALSE(),"",IF(기념일등록!$G181="",99999,기념일등록!$G181)*1000+ROW())</f>
        <v/>
      </c>
      <c r="J184" s="6" t="str">
        <f aca="false">IF($I184="","",RANK($I184,$I$6:$I$505,1))</f>
        <v/>
      </c>
    </row>
    <row r="185" customFormat="false" ht="15" hidden="false" customHeight="true" outlineLevel="0" collapsed="false">
      <c r="H185" s="26" t="b">
        <f aca="false">IF(기념일등록!$B182="",FALSE(),기념일등록!$F182=$B$3)</f>
        <v>0</v>
      </c>
      <c r="I185" s="6" t="str">
        <f aca="false">IF($H185=FALSE(),"",IF(기념일등록!$G182="",99999,기념일등록!$G182)*1000+ROW())</f>
        <v/>
      </c>
      <c r="J185" s="6" t="str">
        <f aca="false">IF($I185="","",RANK($I185,$I$6:$I$505,1))</f>
        <v/>
      </c>
    </row>
    <row r="186" customFormat="false" ht="15" hidden="false" customHeight="true" outlineLevel="0" collapsed="false">
      <c r="H186" s="26" t="b">
        <f aca="false">IF(기념일등록!$B183="",FALSE(),기념일등록!$F183=$B$3)</f>
        <v>0</v>
      </c>
      <c r="I186" s="6" t="str">
        <f aca="false">IF($H186=FALSE(),"",IF(기념일등록!$G183="",99999,기념일등록!$G183)*1000+ROW())</f>
        <v/>
      </c>
      <c r="J186" s="6" t="str">
        <f aca="false">IF($I186="","",RANK($I186,$I$6:$I$505,1))</f>
        <v/>
      </c>
    </row>
    <row r="187" customFormat="false" ht="15" hidden="false" customHeight="true" outlineLevel="0" collapsed="false">
      <c r="H187" s="26" t="b">
        <f aca="false">IF(기념일등록!$B184="",FALSE(),기념일등록!$F184=$B$3)</f>
        <v>0</v>
      </c>
      <c r="I187" s="6" t="str">
        <f aca="false">IF($H187=FALSE(),"",IF(기념일등록!$G184="",99999,기념일등록!$G184)*1000+ROW())</f>
        <v/>
      </c>
      <c r="J187" s="6" t="str">
        <f aca="false">IF($I187="","",RANK($I187,$I$6:$I$505,1))</f>
        <v/>
      </c>
    </row>
    <row r="188" customFormat="false" ht="15" hidden="false" customHeight="true" outlineLevel="0" collapsed="false">
      <c r="H188" s="26" t="b">
        <f aca="false">IF(기념일등록!$B185="",FALSE(),기념일등록!$F185=$B$3)</f>
        <v>0</v>
      </c>
      <c r="I188" s="6" t="str">
        <f aca="false">IF($H188=FALSE(),"",IF(기념일등록!$G185="",99999,기념일등록!$G185)*1000+ROW())</f>
        <v/>
      </c>
      <c r="J188" s="6" t="str">
        <f aca="false">IF($I188="","",RANK($I188,$I$6:$I$505,1))</f>
        <v/>
      </c>
    </row>
    <row r="189" customFormat="false" ht="15" hidden="false" customHeight="true" outlineLevel="0" collapsed="false">
      <c r="H189" s="26" t="b">
        <f aca="false">IF(기념일등록!$B186="",FALSE(),기념일등록!$F186=$B$3)</f>
        <v>0</v>
      </c>
      <c r="I189" s="6" t="str">
        <f aca="false">IF($H189=FALSE(),"",IF(기념일등록!$G186="",99999,기념일등록!$G186)*1000+ROW())</f>
        <v/>
      </c>
      <c r="J189" s="6" t="str">
        <f aca="false">IF($I189="","",RANK($I189,$I$6:$I$505,1))</f>
        <v/>
      </c>
    </row>
    <row r="190" customFormat="false" ht="15" hidden="false" customHeight="true" outlineLevel="0" collapsed="false">
      <c r="H190" s="26" t="b">
        <f aca="false">IF(기념일등록!$B187="",FALSE(),기념일등록!$F187=$B$3)</f>
        <v>0</v>
      </c>
      <c r="I190" s="6" t="str">
        <f aca="false">IF($H190=FALSE(),"",IF(기념일등록!$G187="",99999,기념일등록!$G187)*1000+ROW())</f>
        <v/>
      </c>
      <c r="J190" s="6" t="str">
        <f aca="false">IF($I190="","",RANK($I190,$I$6:$I$505,1))</f>
        <v/>
      </c>
    </row>
    <row r="191" customFormat="false" ht="15" hidden="false" customHeight="true" outlineLevel="0" collapsed="false">
      <c r="H191" s="26" t="b">
        <f aca="false">IF(기념일등록!$B188="",FALSE(),기념일등록!$F188=$B$3)</f>
        <v>0</v>
      </c>
      <c r="I191" s="6" t="str">
        <f aca="false">IF($H191=FALSE(),"",IF(기념일등록!$G188="",99999,기념일등록!$G188)*1000+ROW())</f>
        <v/>
      </c>
      <c r="J191" s="6" t="str">
        <f aca="false">IF($I191="","",RANK($I191,$I$6:$I$505,1))</f>
        <v/>
      </c>
    </row>
    <row r="192" customFormat="false" ht="15" hidden="false" customHeight="true" outlineLevel="0" collapsed="false">
      <c r="H192" s="26" t="b">
        <f aca="false">IF(기념일등록!$B189="",FALSE(),기념일등록!$F189=$B$3)</f>
        <v>0</v>
      </c>
      <c r="I192" s="6" t="str">
        <f aca="false">IF($H192=FALSE(),"",IF(기념일등록!$G189="",99999,기념일등록!$G189)*1000+ROW())</f>
        <v/>
      </c>
      <c r="J192" s="6" t="str">
        <f aca="false">IF($I192="","",RANK($I192,$I$6:$I$505,1))</f>
        <v/>
      </c>
    </row>
    <row r="193" customFormat="false" ht="15" hidden="false" customHeight="true" outlineLevel="0" collapsed="false">
      <c r="H193" s="26" t="b">
        <f aca="false">IF(기념일등록!$B190="",FALSE(),기념일등록!$F190=$B$3)</f>
        <v>0</v>
      </c>
      <c r="I193" s="6" t="str">
        <f aca="false">IF($H193=FALSE(),"",IF(기념일등록!$G190="",99999,기념일등록!$G190)*1000+ROW())</f>
        <v/>
      </c>
      <c r="J193" s="6" t="str">
        <f aca="false">IF($I193="","",RANK($I193,$I$6:$I$505,1))</f>
        <v/>
      </c>
    </row>
    <row r="194" customFormat="false" ht="15" hidden="false" customHeight="true" outlineLevel="0" collapsed="false">
      <c r="H194" s="26" t="b">
        <f aca="false">IF(기념일등록!$B191="",FALSE(),기념일등록!$F191=$B$3)</f>
        <v>0</v>
      </c>
      <c r="I194" s="6" t="str">
        <f aca="false">IF($H194=FALSE(),"",IF(기념일등록!$G191="",99999,기념일등록!$G191)*1000+ROW())</f>
        <v/>
      </c>
      <c r="J194" s="6" t="str">
        <f aca="false">IF($I194="","",RANK($I194,$I$6:$I$505,1))</f>
        <v/>
      </c>
    </row>
    <row r="195" customFormat="false" ht="15" hidden="false" customHeight="true" outlineLevel="0" collapsed="false">
      <c r="H195" s="26" t="b">
        <f aca="false">IF(기념일등록!$B192="",FALSE(),기념일등록!$F192=$B$3)</f>
        <v>0</v>
      </c>
      <c r="I195" s="6" t="str">
        <f aca="false">IF($H195=FALSE(),"",IF(기념일등록!$G192="",99999,기념일등록!$G192)*1000+ROW())</f>
        <v/>
      </c>
      <c r="J195" s="6" t="str">
        <f aca="false">IF($I195="","",RANK($I195,$I$6:$I$505,1))</f>
        <v/>
      </c>
    </row>
    <row r="196" customFormat="false" ht="15" hidden="false" customHeight="true" outlineLevel="0" collapsed="false">
      <c r="H196" s="26" t="b">
        <f aca="false">IF(기념일등록!$B193="",FALSE(),기념일등록!$F193=$B$3)</f>
        <v>0</v>
      </c>
      <c r="I196" s="6" t="str">
        <f aca="false">IF($H196=FALSE(),"",IF(기념일등록!$G193="",99999,기념일등록!$G193)*1000+ROW())</f>
        <v/>
      </c>
      <c r="J196" s="6" t="str">
        <f aca="false">IF($I196="","",RANK($I196,$I$6:$I$505,1))</f>
        <v/>
      </c>
    </row>
    <row r="197" customFormat="false" ht="15" hidden="false" customHeight="true" outlineLevel="0" collapsed="false">
      <c r="H197" s="26" t="b">
        <f aca="false">IF(기념일등록!$B194="",FALSE(),기념일등록!$F194=$B$3)</f>
        <v>0</v>
      </c>
      <c r="I197" s="6" t="str">
        <f aca="false">IF($H197=FALSE(),"",IF(기념일등록!$G194="",99999,기념일등록!$G194)*1000+ROW())</f>
        <v/>
      </c>
      <c r="J197" s="6" t="str">
        <f aca="false">IF($I197="","",RANK($I197,$I$6:$I$505,1))</f>
        <v/>
      </c>
    </row>
    <row r="198" customFormat="false" ht="15" hidden="false" customHeight="true" outlineLevel="0" collapsed="false">
      <c r="H198" s="26" t="b">
        <f aca="false">IF(기념일등록!$B195="",FALSE(),기념일등록!$F195=$B$3)</f>
        <v>0</v>
      </c>
      <c r="I198" s="6" t="str">
        <f aca="false">IF($H198=FALSE(),"",IF(기념일등록!$G195="",99999,기념일등록!$G195)*1000+ROW())</f>
        <v/>
      </c>
      <c r="J198" s="6" t="str">
        <f aca="false">IF($I198="","",RANK($I198,$I$6:$I$505,1))</f>
        <v/>
      </c>
    </row>
    <row r="199" customFormat="false" ht="15" hidden="false" customHeight="true" outlineLevel="0" collapsed="false">
      <c r="H199" s="26" t="b">
        <f aca="false">IF(기념일등록!$B196="",FALSE(),기념일등록!$F196=$B$3)</f>
        <v>0</v>
      </c>
      <c r="I199" s="6" t="str">
        <f aca="false">IF($H199=FALSE(),"",IF(기념일등록!$G196="",99999,기념일등록!$G196)*1000+ROW())</f>
        <v/>
      </c>
      <c r="J199" s="6" t="str">
        <f aca="false">IF($I199="","",RANK($I199,$I$6:$I$505,1))</f>
        <v/>
      </c>
    </row>
    <row r="200" customFormat="false" ht="15" hidden="false" customHeight="true" outlineLevel="0" collapsed="false">
      <c r="H200" s="26" t="b">
        <f aca="false">IF(기념일등록!$B197="",FALSE(),기념일등록!$F197=$B$3)</f>
        <v>0</v>
      </c>
      <c r="I200" s="6" t="str">
        <f aca="false">IF($H200=FALSE(),"",IF(기념일등록!$G197="",99999,기념일등록!$G197)*1000+ROW())</f>
        <v/>
      </c>
      <c r="J200" s="6" t="str">
        <f aca="false">IF($I200="","",RANK($I200,$I$6:$I$505,1))</f>
        <v/>
      </c>
    </row>
    <row r="201" customFormat="false" ht="15" hidden="false" customHeight="true" outlineLevel="0" collapsed="false">
      <c r="H201" s="26" t="b">
        <f aca="false">IF(기념일등록!$B198="",FALSE(),기념일등록!$F198=$B$3)</f>
        <v>0</v>
      </c>
      <c r="I201" s="6" t="str">
        <f aca="false">IF($H201=FALSE(),"",IF(기념일등록!$G198="",99999,기념일등록!$G198)*1000+ROW())</f>
        <v/>
      </c>
      <c r="J201" s="6" t="str">
        <f aca="false">IF($I201="","",RANK($I201,$I$6:$I$505,1))</f>
        <v/>
      </c>
    </row>
    <row r="202" customFormat="false" ht="15" hidden="false" customHeight="true" outlineLevel="0" collapsed="false">
      <c r="H202" s="26" t="b">
        <f aca="false">IF(기념일등록!$B199="",FALSE(),기념일등록!$F199=$B$3)</f>
        <v>0</v>
      </c>
      <c r="I202" s="6" t="str">
        <f aca="false">IF($H202=FALSE(),"",IF(기념일등록!$G199="",99999,기념일등록!$G199)*1000+ROW())</f>
        <v/>
      </c>
      <c r="J202" s="6" t="str">
        <f aca="false">IF($I202="","",RANK($I202,$I$6:$I$505,1))</f>
        <v/>
      </c>
    </row>
    <row r="203" customFormat="false" ht="15" hidden="false" customHeight="true" outlineLevel="0" collapsed="false">
      <c r="H203" s="26" t="b">
        <f aca="false">IF(기념일등록!$B200="",FALSE(),기념일등록!$F200=$B$3)</f>
        <v>0</v>
      </c>
      <c r="I203" s="6" t="str">
        <f aca="false">IF($H203=FALSE(),"",IF(기념일등록!$G200="",99999,기념일등록!$G200)*1000+ROW())</f>
        <v/>
      </c>
      <c r="J203" s="6" t="str">
        <f aca="false">IF($I203="","",RANK($I203,$I$6:$I$505,1))</f>
        <v/>
      </c>
    </row>
    <row r="204" customFormat="false" ht="15" hidden="false" customHeight="true" outlineLevel="0" collapsed="false">
      <c r="H204" s="26" t="b">
        <f aca="false">IF(기념일등록!$B201="",FALSE(),기념일등록!$F201=$B$3)</f>
        <v>0</v>
      </c>
      <c r="I204" s="6" t="str">
        <f aca="false">IF($H204=FALSE(),"",IF(기념일등록!$G201="",99999,기념일등록!$G201)*1000+ROW())</f>
        <v/>
      </c>
      <c r="J204" s="6" t="str">
        <f aca="false">IF($I204="","",RANK($I204,$I$6:$I$505,1))</f>
        <v/>
      </c>
    </row>
    <row r="205" customFormat="false" ht="15" hidden="false" customHeight="true" outlineLevel="0" collapsed="false">
      <c r="H205" s="26" t="b">
        <f aca="false">IF(기념일등록!$B202="",FALSE(),기념일등록!$F202=$B$3)</f>
        <v>0</v>
      </c>
      <c r="I205" s="6" t="str">
        <f aca="false">IF($H205=FALSE(),"",IF(기념일등록!$G202="",99999,기념일등록!$G202)*1000+ROW())</f>
        <v/>
      </c>
      <c r="J205" s="6" t="str">
        <f aca="false">IF($I205="","",RANK($I205,$I$6:$I$505,1))</f>
        <v/>
      </c>
    </row>
    <row r="206" customFormat="false" ht="15" hidden="false" customHeight="true" outlineLevel="0" collapsed="false">
      <c r="H206" s="26" t="b">
        <f aca="false">IF(기념일등록!$B203="",FALSE(),기념일등록!$F203=$B$3)</f>
        <v>0</v>
      </c>
      <c r="I206" s="6" t="str">
        <f aca="false">IF($H206=FALSE(),"",IF(기념일등록!$G203="",99999,기념일등록!$G203)*1000+ROW())</f>
        <v/>
      </c>
      <c r="J206" s="6" t="str">
        <f aca="false">IF($I206="","",RANK($I206,$I$6:$I$505,1))</f>
        <v/>
      </c>
    </row>
    <row r="207" customFormat="false" ht="15" hidden="false" customHeight="true" outlineLevel="0" collapsed="false">
      <c r="H207" s="26" t="b">
        <f aca="false">IF(기념일등록!$B204="",FALSE(),기념일등록!$F204=$B$3)</f>
        <v>0</v>
      </c>
      <c r="I207" s="6" t="str">
        <f aca="false">IF($H207=FALSE(),"",IF(기념일등록!$G204="",99999,기념일등록!$G204)*1000+ROW())</f>
        <v/>
      </c>
      <c r="J207" s="6" t="str">
        <f aca="false">IF($I207="","",RANK($I207,$I$6:$I$505,1))</f>
        <v/>
      </c>
    </row>
    <row r="208" customFormat="false" ht="15" hidden="false" customHeight="true" outlineLevel="0" collapsed="false">
      <c r="H208" s="26" t="b">
        <f aca="false">IF(기념일등록!$B205="",FALSE(),기념일등록!$F205=$B$3)</f>
        <v>0</v>
      </c>
      <c r="I208" s="6" t="str">
        <f aca="false">IF($H208=FALSE(),"",IF(기념일등록!$G205="",99999,기념일등록!$G205)*1000+ROW())</f>
        <v/>
      </c>
      <c r="J208" s="6" t="str">
        <f aca="false">IF($I208="","",RANK($I208,$I$6:$I$505,1))</f>
        <v/>
      </c>
    </row>
    <row r="209" customFormat="false" ht="15" hidden="false" customHeight="true" outlineLevel="0" collapsed="false">
      <c r="H209" s="26" t="b">
        <f aca="false">IF(기념일등록!$B206="",FALSE(),기념일등록!$F206=$B$3)</f>
        <v>0</v>
      </c>
      <c r="I209" s="6" t="str">
        <f aca="false">IF($H209=FALSE(),"",IF(기념일등록!$G206="",99999,기념일등록!$G206)*1000+ROW())</f>
        <v/>
      </c>
      <c r="J209" s="6" t="str">
        <f aca="false">IF($I209="","",RANK($I209,$I$6:$I$505,1))</f>
        <v/>
      </c>
    </row>
    <row r="210" customFormat="false" ht="15" hidden="false" customHeight="true" outlineLevel="0" collapsed="false">
      <c r="H210" s="26" t="b">
        <f aca="false">IF(기념일등록!$B207="",FALSE(),기념일등록!$F207=$B$3)</f>
        <v>0</v>
      </c>
      <c r="I210" s="6" t="str">
        <f aca="false">IF($H210=FALSE(),"",IF(기념일등록!$G207="",99999,기념일등록!$G207)*1000+ROW())</f>
        <v/>
      </c>
      <c r="J210" s="6" t="str">
        <f aca="false">IF($I210="","",RANK($I210,$I$6:$I$505,1))</f>
        <v/>
      </c>
    </row>
    <row r="211" customFormat="false" ht="15" hidden="false" customHeight="true" outlineLevel="0" collapsed="false">
      <c r="H211" s="26" t="b">
        <f aca="false">IF(기념일등록!$B208="",FALSE(),기념일등록!$F208=$B$3)</f>
        <v>0</v>
      </c>
      <c r="I211" s="6" t="str">
        <f aca="false">IF($H211=FALSE(),"",IF(기념일등록!$G208="",99999,기념일등록!$G208)*1000+ROW())</f>
        <v/>
      </c>
      <c r="J211" s="6" t="str">
        <f aca="false">IF($I211="","",RANK($I211,$I$6:$I$505,1))</f>
        <v/>
      </c>
    </row>
    <row r="212" customFormat="false" ht="15" hidden="false" customHeight="true" outlineLevel="0" collapsed="false">
      <c r="H212" s="26" t="b">
        <f aca="false">IF(기념일등록!$B209="",FALSE(),기념일등록!$F209=$B$3)</f>
        <v>0</v>
      </c>
      <c r="I212" s="6" t="str">
        <f aca="false">IF($H212=FALSE(),"",IF(기념일등록!$G209="",99999,기념일등록!$G209)*1000+ROW())</f>
        <v/>
      </c>
      <c r="J212" s="6" t="str">
        <f aca="false">IF($I212="","",RANK($I212,$I$6:$I$505,1))</f>
        <v/>
      </c>
    </row>
    <row r="213" customFormat="false" ht="15" hidden="false" customHeight="true" outlineLevel="0" collapsed="false">
      <c r="H213" s="26" t="b">
        <f aca="false">IF(기념일등록!$B210="",FALSE(),기념일등록!$F210=$B$3)</f>
        <v>0</v>
      </c>
      <c r="I213" s="6" t="str">
        <f aca="false">IF($H213=FALSE(),"",IF(기념일등록!$G210="",99999,기념일등록!$G210)*1000+ROW())</f>
        <v/>
      </c>
      <c r="J213" s="6" t="str">
        <f aca="false">IF($I213="","",RANK($I213,$I$6:$I$505,1))</f>
        <v/>
      </c>
    </row>
    <row r="214" customFormat="false" ht="15" hidden="false" customHeight="true" outlineLevel="0" collapsed="false">
      <c r="H214" s="26" t="b">
        <f aca="false">IF(기념일등록!$B211="",FALSE(),기념일등록!$F211=$B$3)</f>
        <v>0</v>
      </c>
      <c r="I214" s="6" t="str">
        <f aca="false">IF($H214=FALSE(),"",IF(기념일등록!$G211="",99999,기념일등록!$G211)*1000+ROW())</f>
        <v/>
      </c>
      <c r="J214" s="6" t="str">
        <f aca="false">IF($I214="","",RANK($I214,$I$6:$I$505,1))</f>
        <v/>
      </c>
    </row>
    <row r="215" customFormat="false" ht="15" hidden="false" customHeight="true" outlineLevel="0" collapsed="false">
      <c r="H215" s="26" t="b">
        <f aca="false">IF(기념일등록!$B212="",FALSE(),기념일등록!$F212=$B$3)</f>
        <v>0</v>
      </c>
      <c r="I215" s="6" t="str">
        <f aca="false">IF($H215=FALSE(),"",IF(기념일등록!$G212="",99999,기념일등록!$G212)*1000+ROW())</f>
        <v/>
      </c>
      <c r="J215" s="6" t="str">
        <f aca="false">IF($I215="","",RANK($I215,$I$6:$I$505,1))</f>
        <v/>
      </c>
    </row>
    <row r="216" customFormat="false" ht="15" hidden="false" customHeight="true" outlineLevel="0" collapsed="false">
      <c r="H216" s="26" t="b">
        <f aca="false">IF(기념일등록!$B213="",FALSE(),기념일등록!$F213=$B$3)</f>
        <v>0</v>
      </c>
      <c r="I216" s="6" t="str">
        <f aca="false">IF($H216=FALSE(),"",IF(기념일등록!$G213="",99999,기념일등록!$G213)*1000+ROW())</f>
        <v/>
      </c>
      <c r="J216" s="6" t="str">
        <f aca="false">IF($I216="","",RANK($I216,$I$6:$I$505,1))</f>
        <v/>
      </c>
    </row>
    <row r="217" customFormat="false" ht="15" hidden="false" customHeight="true" outlineLevel="0" collapsed="false">
      <c r="H217" s="26" t="b">
        <f aca="false">IF(기념일등록!$B214="",FALSE(),기념일등록!$F214=$B$3)</f>
        <v>0</v>
      </c>
      <c r="I217" s="6" t="str">
        <f aca="false">IF($H217=FALSE(),"",IF(기념일등록!$G214="",99999,기념일등록!$G214)*1000+ROW())</f>
        <v/>
      </c>
      <c r="J217" s="6" t="str">
        <f aca="false">IF($I217="","",RANK($I217,$I$6:$I$505,1))</f>
        <v/>
      </c>
    </row>
    <row r="218" customFormat="false" ht="15" hidden="false" customHeight="true" outlineLevel="0" collapsed="false">
      <c r="H218" s="26" t="b">
        <f aca="false">IF(기념일등록!$B215="",FALSE(),기념일등록!$F215=$B$3)</f>
        <v>0</v>
      </c>
      <c r="I218" s="6" t="str">
        <f aca="false">IF($H218=FALSE(),"",IF(기념일등록!$G215="",99999,기념일등록!$G215)*1000+ROW())</f>
        <v/>
      </c>
      <c r="J218" s="6" t="str">
        <f aca="false">IF($I218="","",RANK($I218,$I$6:$I$505,1))</f>
        <v/>
      </c>
    </row>
    <row r="219" customFormat="false" ht="15" hidden="false" customHeight="true" outlineLevel="0" collapsed="false">
      <c r="H219" s="26" t="b">
        <f aca="false">IF(기념일등록!$B216="",FALSE(),기념일등록!$F216=$B$3)</f>
        <v>0</v>
      </c>
      <c r="I219" s="6" t="str">
        <f aca="false">IF($H219=FALSE(),"",IF(기념일등록!$G216="",99999,기념일등록!$G216)*1000+ROW())</f>
        <v/>
      </c>
      <c r="J219" s="6" t="str">
        <f aca="false">IF($I219="","",RANK($I219,$I$6:$I$505,1))</f>
        <v/>
      </c>
    </row>
    <row r="220" customFormat="false" ht="15" hidden="false" customHeight="true" outlineLevel="0" collapsed="false">
      <c r="H220" s="26" t="b">
        <f aca="false">IF(기념일등록!$B217="",FALSE(),기념일등록!$F217=$B$3)</f>
        <v>0</v>
      </c>
      <c r="I220" s="6" t="str">
        <f aca="false">IF($H220=FALSE(),"",IF(기념일등록!$G217="",99999,기념일등록!$G217)*1000+ROW())</f>
        <v/>
      </c>
      <c r="J220" s="6" t="str">
        <f aca="false">IF($I220="","",RANK($I220,$I$6:$I$505,1))</f>
        <v/>
      </c>
    </row>
    <row r="221" customFormat="false" ht="15" hidden="false" customHeight="true" outlineLevel="0" collapsed="false">
      <c r="H221" s="26" t="b">
        <f aca="false">IF(기념일등록!$B218="",FALSE(),기념일등록!$F218=$B$3)</f>
        <v>0</v>
      </c>
      <c r="I221" s="6" t="str">
        <f aca="false">IF($H221=FALSE(),"",IF(기념일등록!$G218="",99999,기념일등록!$G218)*1000+ROW())</f>
        <v/>
      </c>
      <c r="J221" s="6" t="str">
        <f aca="false">IF($I221="","",RANK($I221,$I$6:$I$505,1))</f>
        <v/>
      </c>
    </row>
    <row r="222" customFormat="false" ht="15" hidden="false" customHeight="true" outlineLevel="0" collapsed="false">
      <c r="H222" s="26" t="b">
        <f aca="false">IF(기념일등록!$B219="",FALSE(),기념일등록!$F219=$B$3)</f>
        <v>0</v>
      </c>
      <c r="I222" s="6" t="str">
        <f aca="false">IF($H222=FALSE(),"",IF(기념일등록!$G219="",99999,기념일등록!$G219)*1000+ROW())</f>
        <v/>
      </c>
      <c r="J222" s="6" t="str">
        <f aca="false">IF($I222="","",RANK($I222,$I$6:$I$505,1))</f>
        <v/>
      </c>
    </row>
    <row r="223" customFormat="false" ht="15" hidden="false" customHeight="true" outlineLevel="0" collapsed="false">
      <c r="H223" s="26" t="b">
        <f aca="false">IF(기념일등록!$B220="",FALSE(),기념일등록!$F220=$B$3)</f>
        <v>0</v>
      </c>
      <c r="I223" s="6" t="str">
        <f aca="false">IF($H223=FALSE(),"",IF(기념일등록!$G220="",99999,기념일등록!$G220)*1000+ROW())</f>
        <v/>
      </c>
      <c r="J223" s="6" t="str">
        <f aca="false">IF($I223="","",RANK($I223,$I$6:$I$505,1))</f>
        <v/>
      </c>
    </row>
    <row r="224" customFormat="false" ht="15" hidden="false" customHeight="true" outlineLevel="0" collapsed="false">
      <c r="H224" s="26" t="b">
        <f aca="false">IF(기념일등록!$B221="",FALSE(),기념일등록!$F221=$B$3)</f>
        <v>0</v>
      </c>
      <c r="I224" s="6" t="str">
        <f aca="false">IF($H224=FALSE(),"",IF(기념일등록!$G221="",99999,기념일등록!$G221)*1000+ROW())</f>
        <v/>
      </c>
      <c r="J224" s="6" t="str">
        <f aca="false">IF($I224="","",RANK($I224,$I$6:$I$505,1))</f>
        <v/>
      </c>
    </row>
    <row r="225" customFormat="false" ht="15" hidden="false" customHeight="true" outlineLevel="0" collapsed="false">
      <c r="H225" s="26" t="b">
        <f aca="false">IF(기념일등록!$B222="",FALSE(),기념일등록!$F222=$B$3)</f>
        <v>0</v>
      </c>
      <c r="I225" s="6" t="str">
        <f aca="false">IF($H225=FALSE(),"",IF(기념일등록!$G222="",99999,기념일등록!$G222)*1000+ROW())</f>
        <v/>
      </c>
      <c r="J225" s="6" t="str">
        <f aca="false">IF($I225="","",RANK($I225,$I$6:$I$505,1))</f>
        <v/>
      </c>
    </row>
    <row r="226" customFormat="false" ht="15" hidden="false" customHeight="true" outlineLevel="0" collapsed="false">
      <c r="H226" s="26" t="b">
        <f aca="false">IF(기념일등록!$B223="",FALSE(),기념일등록!$F223=$B$3)</f>
        <v>0</v>
      </c>
      <c r="I226" s="6" t="str">
        <f aca="false">IF($H226=FALSE(),"",IF(기념일등록!$G223="",99999,기념일등록!$G223)*1000+ROW())</f>
        <v/>
      </c>
      <c r="J226" s="6" t="str">
        <f aca="false">IF($I226="","",RANK($I226,$I$6:$I$505,1))</f>
        <v/>
      </c>
    </row>
    <row r="227" customFormat="false" ht="15" hidden="false" customHeight="true" outlineLevel="0" collapsed="false">
      <c r="H227" s="26" t="b">
        <f aca="false">IF(기념일등록!$B224="",FALSE(),기념일등록!$F224=$B$3)</f>
        <v>0</v>
      </c>
      <c r="I227" s="6" t="str">
        <f aca="false">IF($H227=FALSE(),"",IF(기념일등록!$G224="",99999,기념일등록!$G224)*1000+ROW())</f>
        <v/>
      </c>
      <c r="J227" s="6" t="str">
        <f aca="false">IF($I227="","",RANK($I227,$I$6:$I$505,1))</f>
        <v/>
      </c>
    </row>
    <row r="228" customFormat="false" ht="15" hidden="false" customHeight="true" outlineLevel="0" collapsed="false">
      <c r="H228" s="26" t="b">
        <f aca="false">IF(기념일등록!$B225="",FALSE(),기념일등록!$F225=$B$3)</f>
        <v>0</v>
      </c>
      <c r="I228" s="6" t="str">
        <f aca="false">IF($H228=FALSE(),"",IF(기념일등록!$G225="",99999,기념일등록!$G225)*1000+ROW())</f>
        <v/>
      </c>
      <c r="J228" s="6" t="str">
        <f aca="false">IF($I228="","",RANK($I228,$I$6:$I$505,1))</f>
        <v/>
      </c>
    </row>
    <row r="229" customFormat="false" ht="15" hidden="false" customHeight="true" outlineLevel="0" collapsed="false">
      <c r="H229" s="26" t="b">
        <f aca="false">IF(기념일등록!$B226="",FALSE(),기념일등록!$F226=$B$3)</f>
        <v>0</v>
      </c>
      <c r="I229" s="6" t="str">
        <f aca="false">IF($H229=FALSE(),"",IF(기념일등록!$G226="",99999,기념일등록!$G226)*1000+ROW())</f>
        <v/>
      </c>
      <c r="J229" s="6" t="str">
        <f aca="false">IF($I229="","",RANK($I229,$I$6:$I$505,1))</f>
        <v/>
      </c>
    </row>
    <row r="230" customFormat="false" ht="15" hidden="false" customHeight="true" outlineLevel="0" collapsed="false">
      <c r="H230" s="26" t="b">
        <f aca="false">IF(기념일등록!$B227="",FALSE(),기념일등록!$F227=$B$3)</f>
        <v>0</v>
      </c>
      <c r="I230" s="6" t="str">
        <f aca="false">IF($H230=FALSE(),"",IF(기념일등록!$G227="",99999,기념일등록!$G227)*1000+ROW())</f>
        <v/>
      </c>
      <c r="J230" s="6" t="str">
        <f aca="false">IF($I230="","",RANK($I230,$I$6:$I$505,1))</f>
        <v/>
      </c>
    </row>
    <row r="231" customFormat="false" ht="15" hidden="false" customHeight="true" outlineLevel="0" collapsed="false">
      <c r="H231" s="26" t="b">
        <f aca="false">IF(기념일등록!$B228="",FALSE(),기념일등록!$F228=$B$3)</f>
        <v>0</v>
      </c>
      <c r="I231" s="6" t="str">
        <f aca="false">IF($H231=FALSE(),"",IF(기념일등록!$G228="",99999,기념일등록!$G228)*1000+ROW())</f>
        <v/>
      </c>
      <c r="J231" s="6" t="str">
        <f aca="false">IF($I231="","",RANK($I231,$I$6:$I$505,1))</f>
        <v/>
      </c>
    </row>
    <row r="232" customFormat="false" ht="15" hidden="false" customHeight="true" outlineLevel="0" collapsed="false">
      <c r="H232" s="26" t="b">
        <f aca="false">IF(기념일등록!$B229="",FALSE(),기념일등록!$F229=$B$3)</f>
        <v>0</v>
      </c>
      <c r="I232" s="6" t="str">
        <f aca="false">IF($H232=FALSE(),"",IF(기념일등록!$G229="",99999,기념일등록!$G229)*1000+ROW())</f>
        <v/>
      </c>
      <c r="J232" s="6" t="str">
        <f aca="false">IF($I232="","",RANK($I232,$I$6:$I$505,1))</f>
        <v/>
      </c>
    </row>
    <row r="233" customFormat="false" ht="15" hidden="false" customHeight="true" outlineLevel="0" collapsed="false">
      <c r="H233" s="26" t="b">
        <f aca="false">IF(기념일등록!$B230="",FALSE(),기념일등록!$F230=$B$3)</f>
        <v>0</v>
      </c>
      <c r="I233" s="6" t="str">
        <f aca="false">IF($H233=FALSE(),"",IF(기념일등록!$G230="",99999,기념일등록!$G230)*1000+ROW())</f>
        <v/>
      </c>
      <c r="J233" s="6" t="str">
        <f aca="false">IF($I233="","",RANK($I233,$I$6:$I$505,1))</f>
        <v/>
      </c>
    </row>
    <row r="234" customFormat="false" ht="15" hidden="false" customHeight="true" outlineLevel="0" collapsed="false">
      <c r="H234" s="26" t="b">
        <f aca="false">IF(기념일등록!$B231="",FALSE(),기념일등록!$F231=$B$3)</f>
        <v>0</v>
      </c>
      <c r="I234" s="6" t="str">
        <f aca="false">IF($H234=FALSE(),"",IF(기념일등록!$G231="",99999,기념일등록!$G231)*1000+ROW())</f>
        <v/>
      </c>
      <c r="J234" s="6" t="str">
        <f aca="false">IF($I234="","",RANK($I234,$I$6:$I$505,1))</f>
        <v/>
      </c>
    </row>
    <row r="235" customFormat="false" ht="15" hidden="false" customHeight="true" outlineLevel="0" collapsed="false">
      <c r="H235" s="26" t="b">
        <f aca="false">IF(기념일등록!$B232="",FALSE(),기념일등록!$F232=$B$3)</f>
        <v>0</v>
      </c>
      <c r="I235" s="6" t="str">
        <f aca="false">IF($H235=FALSE(),"",IF(기념일등록!$G232="",99999,기념일등록!$G232)*1000+ROW())</f>
        <v/>
      </c>
      <c r="J235" s="6" t="str">
        <f aca="false">IF($I235="","",RANK($I235,$I$6:$I$505,1))</f>
        <v/>
      </c>
    </row>
    <row r="236" customFormat="false" ht="15" hidden="false" customHeight="true" outlineLevel="0" collapsed="false">
      <c r="H236" s="26" t="b">
        <f aca="false">IF(기념일등록!$B233="",FALSE(),기념일등록!$F233=$B$3)</f>
        <v>0</v>
      </c>
      <c r="I236" s="6" t="str">
        <f aca="false">IF($H236=FALSE(),"",IF(기념일등록!$G233="",99999,기념일등록!$G233)*1000+ROW())</f>
        <v/>
      </c>
      <c r="J236" s="6" t="str">
        <f aca="false">IF($I236="","",RANK($I236,$I$6:$I$505,1))</f>
        <v/>
      </c>
    </row>
    <row r="237" customFormat="false" ht="15" hidden="false" customHeight="true" outlineLevel="0" collapsed="false">
      <c r="H237" s="26" t="b">
        <f aca="false">IF(기념일등록!$B234="",FALSE(),기념일등록!$F234=$B$3)</f>
        <v>0</v>
      </c>
      <c r="I237" s="6" t="str">
        <f aca="false">IF($H237=FALSE(),"",IF(기념일등록!$G234="",99999,기념일등록!$G234)*1000+ROW())</f>
        <v/>
      </c>
      <c r="J237" s="6" t="str">
        <f aca="false">IF($I237="","",RANK($I237,$I$6:$I$505,1))</f>
        <v/>
      </c>
    </row>
    <row r="238" customFormat="false" ht="15" hidden="false" customHeight="true" outlineLevel="0" collapsed="false">
      <c r="H238" s="26" t="b">
        <f aca="false">IF(기념일등록!$B235="",FALSE(),기념일등록!$F235=$B$3)</f>
        <v>0</v>
      </c>
      <c r="I238" s="6" t="str">
        <f aca="false">IF($H238=FALSE(),"",IF(기념일등록!$G235="",99999,기념일등록!$G235)*1000+ROW())</f>
        <v/>
      </c>
      <c r="J238" s="6" t="str">
        <f aca="false">IF($I238="","",RANK($I238,$I$6:$I$505,1))</f>
        <v/>
      </c>
    </row>
    <row r="239" customFormat="false" ht="15" hidden="false" customHeight="true" outlineLevel="0" collapsed="false">
      <c r="H239" s="26" t="b">
        <f aca="false">IF(기념일등록!$B236="",FALSE(),기념일등록!$F236=$B$3)</f>
        <v>0</v>
      </c>
      <c r="I239" s="6" t="str">
        <f aca="false">IF($H239=FALSE(),"",IF(기념일등록!$G236="",99999,기념일등록!$G236)*1000+ROW())</f>
        <v/>
      </c>
      <c r="J239" s="6" t="str">
        <f aca="false">IF($I239="","",RANK($I239,$I$6:$I$505,1))</f>
        <v/>
      </c>
    </row>
    <row r="240" customFormat="false" ht="15" hidden="false" customHeight="true" outlineLevel="0" collapsed="false">
      <c r="H240" s="26" t="b">
        <f aca="false">IF(기념일등록!$B237="",FALSE(),기념일등록!$F237=$B$3)</f>
        <v>0</v>
      </c>
      <c r="I240" s="6" t="str">
        <f aca="false">IF($H240=FALSE(),"",IF(기념일등록!$G237="",99999,기념일등록!$G237)*1000+ROW())</f>
        <v/>
      </c>
      <c r="J240" s="6" t="str">
        <f aca="false">IF($I240="","",RANK($I240,$I$6:$I$505,1))</f>
        <v/>
      </c>
    </row>
    <row r="241" customFormat="false" ht="15" hidden="false" customHeight="true" outlineLevel="0" collapsed="false">
      <c r="H241" s="26" t="b">
        <f aca="false">IF(기념일등록!$B238="",FALSE(),기념일등록!$F238=$B$3)</f>
        <v>0</v>
      </c>
      <c r="I241" s="6" t="str">
        <f aca="false">IF($H241=FALSE(),"",IF(기념일등록!$G238="",99999,기념일등록!$G238)*1000+ROW())</f>
        <v/>
      </c>
      <c r="J241" s="6" t="str">
        <f aca="false">IF($I241="","",RANK($I241,$I$6:$I$505,1))</f>
        <v/>
      </c>
    </row>
    <row r="242" customFormat="false" ht="15" hidden="false" customHeight="true" outlineLevel="0" collapsed="false">
      <c r="H242" s="26" t="b">
        <f aca="false">IF(기념일등록!$B239="",FALSE(),기념일등록!$F239=$B$3)</f>
        <v>0</v>
      </c>
      <c r="I242" s="6" t="str">
        <f aca="false">IF($H242=FALSE(),"",IF(기념일등록!$G239="",99999,기념일등록!$G239)*1000+ROW())</f>
        <v/>
      </c>
      <c r="J242" s="6" t="str">
        <f aca="false">IF($I242="","",RANK($I242,$I$6:$I$505,1))</f>
        <v/>
      </c>
    </row>
    <row r="243" customFormat="false" ht="15" hidden="false" customHeight="true" outlineLevel="0" collapsed="false">
      <c r="H243" s="26" t="b">
        <f aca="false">IF(기념일등록!$B240="",FALSE(),기념일등록!$F240=$B$3)</f>
        <v>0</v>
      </c>
      <c r="I243" s="6" t="str">
        <f aca="false">IF($H243=FALSE(),"",IF(기념일등록!$G240="",99999,기념일등록!$G240)*1000+ROW())</f>
        <v/>
      </c>
      <c r="J243" s="6" t="str">
        <f aca="false">IF($I243="","",RANK($I243,$I$6:$I$505,1))</f>
        <v/>
      </c>
    </row>
    <row r="244" customFormat="false" ht="15" hidden="false" customHeight="true" outlineLevel="0" collapsed="false">
      <c r="H244" s="26" t="b">
        <f aca="false">IF(기념일등록!$B241="",FALSE(),기념일등록!$F241=$B$3)</f>
        <v>0</v>
      </c>
      <c r="I244" s="6" t="str">
        <f aca="false">IF($H244=FALSE(),"",IF(기념일등록!$G241="",99999,기념일등록!$G241)*1000+ROW())</f>
        <v/>
      </c>
      <c r="J244" s="6" t="str">
        <f aca="false">IF($I244="","",RANK($I244,$I$6:$I$505,1))</f>
        <v/>
      </c>
    </row>
    <row r="245" customFormat="false" ht="15" hidden="false" customHeight="true" outlineLevel="0" collapsed="false">
      <c r="H245" s="26" t="b">
        <f aca="false">IF(기념일등록!$B242="",FALSE(),기념일등록!$F242=$B$3)</f>
        <v>0</v>
      </c>
      <c r="I245" s="6" t="str">
        <f aca="false">IF($H245=FALSE(),"",IF(기념일등록!$G242="",99999,기념일등록!$G242)*1000+ROW())</f>
        <v/>
      </c>
      <c r="J245" s="6" t="str">
        <f aca="false">IF($I245="","",RANK($I245,$I$6:$I$505,1))</f>
        <v/>
      </c>
    </row>
    <row r="246" customFormat="false" ht="15" hidden="false" customHeight="true" outlineLevel="0" collapsed="false">
      <c r="H246" s="26" t="b">
        <f aca="false">IF(기념일등록!$B243="",FALSE(),기념일등록!$F243=$B$3)</f>
        <v>0</v>
      </c>
      <c r="I246" s="6" t="str">
        <f aca="false">IF($H246=FALSE(),"",IF(기념일등록!$G243="",99999,기념일등록!$G243)*1000+ROW())</f>
        <v/>
      </c>
      <c r="J246" s="6" t="str">
        <f aca="false">IF($I246="","",RANK($I246,$I$6:$I$505,1))</f>
        <v/>
      </c>
    </row>
    <row r="247" customFormat="false" ht="15" hidden="false" customHeight="true" outlineLevel="0" collapsed="false">
      <c r="H247" s="26" t="b">
        <f aca="false">IF(기념일등록!$B244="",FALSE(),기념일등록!$F244=$B$3)</f>
        <v>0</v>
      </c>
      <c r="I247" s="6" t="str">
        <f aca="false">IF($H247=FALSE(),"",IF(기념일등록!$G244="",99999,기념일등록!$G244)*1000+ROW())</f>
        <v/>
      </c>
      <c r="J247" s="6" t="str">
        <f aca="false">IF($I247="","",RANK($I247,$I$6:$I$505,1))</f>
        <v/>
      </c>
    </row>
    <row r="248" customFormat="false" ht="15" hidden="false" customHeight="true" outlineLevel="0" collapsed="false">
      <c r="H248" s="26" t="b">
        <f aca="false">IF(기념일등록!$B245="",FALSE(),기념일등록!$F245=$B$3)</f>
        <v>0</v>
      </c>
      <c r="I248" s="6" t="str">
        <f aca="false">IF($H248=FALSE(),"",IF(기념일등록!$G245="",99999,기념일등록!$G245)*1000+ROW())</f>
        <v/>
      </c>
      <c r="J248" s="6" t="str">
        <f aca="false">IF($I248="","",RANK($I248,$I$6:$I$505,1))</f>
        <v/>
      </c>
    </row>
    <row r="249" customFormat="false" ht="15" hidden="false" customHeight="true" outlineLevel="0" collapsed="false">
      <c r="H249" s="26" t="b">
        <f aca="false">IF(기념일등록!$B246="",FALSE(),기념일등록!$F246=$B$3)</f>
        <v>0</v>
      </c>
      <c r="I249" s="6" t="str">
        <f aca="false">IF($H249=FALSE(),"",IF(기념일등록!$G246="",99999,기념일등록!$G246)*1000+ROW())</f>
        <v/>
      </c>
      <c r="J249" s="6" t="str">
        <f aca="false">IF($I249="","",RANK($I249,$I$6:$I$505,1))</f>
        <v/>
      </c>
    </row>
    <row r="250" customFormat="false" ht="15" hidden="false" customHeight="true" outlineLevel="0" collapsed="false">
      <c r="H250" s="26" t="b">
        <f aca="false">IF(기념일등록!$B247="",FALSE(),기념일등록!$F247=$B$3)</f>
        <v>0</v>
      </c>
      <c r="I250" s="6" t="str">
        <f aca="false">IF($H250=FALSE(),"",IF(기념일등록!$G247="",99999,기념일등록!$G247)*1000+ROW())</f>
        <v/>
      </c>
      <c r="J250" s="6" t="str">
        <f aca="false">IF($I250="","",RANK($I250,$I$6:$I$505,1))</f>
        <v/>
      </c>
    </row>
    <row r="251" customFormat="false" ht="15" hidden="false" customHeight="true" outlineLevel="0" collapsed="false">
      <c r="H251" s="26" t="b">
        <f aca="false">IF(기념일등록!$B248="",FALSE(),기념일등록!$F248=$B$3)</f>
        <v>0</v>
      </c>
      <c r="I251" s="6" t="str">
        <f aca="false">IF($H251=FALSE(),"",IF(기념일등록!$G248="",99999,기념일등록!$G248)*1000+ROW())</f>
        <v/>
      </c>
      <c r="J251" s="6" t="str">
        <f aca="false">IF($I251="","",RANK($I251,$I$6:$I$505,1))</f>
        <v/>
      </c>
    </row>
    <row r="252" customFormat="false" ht="15" hidden="false" customHeight="true" outlineLevel="0" collapsed="false">
      <c r="H252" s="26" t="b">
        <f aca="false">IF(기념일등록!$B249="",FALSE(),기념일등록!$F249=$B$3)</f>
        <v>0</v>
      </c>
      <c r="I252" s="6" t="str">
        <f aca="false">IF($H252=FALSE(),"",IF(기념일등록!$G249="",99999,기념일등록!$G249)*1000+ROW())</f>
        <v/>
      </c>
      <c r="J252" s="6" t="str">
        <f aca="false">IF($I252="","",RANK($I252,$I$6:$I$505,1))</f>
        <v/>
      </c>
    </row>
    <row r="253" customFormat="false" ht="15" hidden="false" customHeight="true" outlineLevel="0" collapsed="false">
      <c r="H253" s="26" t="b">
        <f aca="false">IF(기념일등록!$B250="",FALSE(),기념일등록!$F250=$B$3)</f>
        <v>0</v>
      </c>
      <c r="I253" s="6" t="str">
        <f aca="false">IF($H253=FALSE(),"",IF(기념일등록!$G250="",99999,기념일등록!$G250)*1000+ROW())</f>
        <v/>
      </c>
      <c r="J253" s="6" t="str">
        <f aca="false">IF($I253="","",RANK($I253,$I$6:$I$505,1))</f>
        <v/>
      </c>
    </row>
    <row r="254" customFormat="false" ht="15" hidden="false" customHeight="true" outlineLevel="0" collapsed="false">
      <c r="H254" s="26" t="b">
        <f aca="false">IF(기념일등록!$B251="",FALSE(),기념일등록!$F251=$B$3)</f>
        <v>0</v>
      </c>
      <c r="I254" s="6" t="str">
        <f aca="false">IF($H254=FALSE(),"",IF(기념일등록!$G251="",99999,기념일등록!$G251)*1000+ROW())</f>
        <v/>
      </c>
      <c r="J254" s="6" t="str">
        <f aca="false">IF($I254="","",RANK($I254,$I$6:$I$505,1))</f>
        <v/>
      </c>
    </row>
    <row r="255" customFormat="false" ht="15" hidden="false" customHeight="true" outlineLevel="0" collapsed="false">
      <c r="H255" s="26" t="b">
        <f aca="false">IF(기념일등록!$B252="",FALSE(),기념일등록!$F252=$B$3)</f>
        <v>0</v>
      </c>
      <c r="I255" s="6" t="str">
        <f aca="false">IF($H255=FALSE(),"",IF(기념일등록!$G252="",99999,기념일등록!$G252)*1000+ROW())</f>
        <v/>
      </c>
      <c r="J255" s="6" t="str">
        <f aca="false">IF($I255="","",RANK($I255,$I$6:$I$505,1))</f>
        <v/>
      </c>
    </row>
    <row r="256" customFormat="false" ht="15" hidden="false" customHeight="true" outlineLevel="0" collapsed="false">
      <c r="H256" s="26" t="b">
        <f aca="false">IF(기념일등록!$B253="",FALSE(),기념일등록!$F253=$B$3)</f>
        <v>0</v>
      </c>
      <c r="I256" s="6" t="str">
        <f aca="false">IF($H256=FALSE(),"",IF(기념일등록!$G253="",99999,기념일등록!$G253)*1000+ROW())</f>
        <v/>
      </c>
      <c r="J256" s="6" t="str">
        <f aca="false">IF($I256="","",RANK($I256,$I$6:$I$505,1))</f>
        <v/>
      </c>
    </row>
    <row r="257" customFormat="false" ht="15" hidden="false" customHeight="true" outlineLevel="0" collapsed="false">
      <c r="H257" s="26" t="b">
        <f aca="false">IF(기념일등록!$B254="",FALSE(),기념일등록!$F254=$B$3)</f>
        <v>0</v>
      </c>
      <c r="I257" s="6" t="str">
        <f aca="false">IF($H257=FALSE(),"",IF(기념일등록!$G254="",99999,기념일등록!$G254)*1000+ROW())</f>
        <v/>
      </c>
      <c r="J257" s="6" t="str">
        <f aca="false">IF($I257="","",RANK($I257,$I$6:$I$505,1))</f>
        <v/>
      </c>
    </row>
    <row r="258" customFormat="false" ht="15" hidden="false" customHeight="true" outlineLevel="0" collapsed="false">
      <c r="H258" s="26" t="b">
        <f aca="false">IF(기념일등록!$B255="",FALSE(),기념일등록!$F255=$B$3)</f>
        <v>0</v>
      </c>
      <c r="I258" s="6" t="str">
        <f aca="false">IF($H258=FALSE(),"",IF(기념일등록!$G255="",99999,기념일등록!$G255)*1000+ROW())</f>
        <v/>
      </c>
      <c r="J258" s="6" t="str">
        <f aca="false">IF($I258="","",RANK($I258,$I$6:$I$505,1))</f>
        <v/>
      </c>
    </row>
    <row r="259" customFormat="false" ht="15" hidden="false" customHeight="true" outlineLevel="0" collapsed="false">
      <c r="H259" s="26" t="b">
        <f aca="false">IF(기념일등록!$B256="",FALSE(),기념일등록!$F256=$B$3)</f>
        <v>0</v>
      </c>
      <c r="I259" s="6" t="str">
        <f aca="false">IF($H259=FALSE(),"",IF(기념일등록!$G256="",99999,기념일등록!$G256)*1000+ROW())</f>
        <v/>
      </c>
      <c r="J259" s="6" t="str">
        <f aca="false">IF($I259="","",RANK($I259,$I$6:$I$505,1))</f>
        <v/>
      </c>
    </row>
    <row r="260" customFormat="false" ht="15" hidden="false" customHeight="true" outlineLevel="0" collapsed="false">
      <c r="H260" s="26" t="b">
        <f aca="false">IF(기념일등록!$B257="",FALSE(),기념일등록!$F257=$B$3)</f>
        <v>0</v>
      </c>
      <c r="I260" s="6" t="str">
        <f aca="false">IF($H260=FALSE(),"",IF(기념일등록!$G257="",99999,기념일등록!$G257)*1000+ROW())</f>
        <v/>
      </c>
      <c r="J260" s="6" t="str">
        <f aca="false">IF($I260="","",RANK($I260,$I$6:$I$505,1))</f>
        <v/>
      </c>
    </row>
    <row r="261" customFormat="false" ht="15" hidden="false" customHeight="true" outlineLevel="0" collapsed="false">
      <c r="H261" s="26" t="b">
        <f aca="false">IF(기념일등록!$B258="",FALSE(),기념일등록!$F258=$B$3)</f>
        <v>0</v>
      </c>
      <c r="I261" s="6" t="str">
        <f aca="false">IF($H261=FALSE(),"",IF(기념일등록!$G258="",99999,기념일등록!$G258)*1000+ROW())</f>
        <v/>
      </c>
      <c r="J261" s="6" t="str">
        <f aca="false">IF($I261="","",RANK($I261,$I$6:$I$505,1))</f>
        <v/>
      </c>
    </row>
    <row r="262" customFormat="false" ht="15" hidden="false" customHeight="true" outlineLevel="0" collapsed="false">
      <c r="H262" s="26" t="b">
        <f aca="false">IF(기념일등록!$B259="",FALSE(),기념일등록!$F259=$B$3)</f>
        <v>0</v>
      </c>
      <c r="I262" s="6" t="str">
        <f aca="false">IF($H262=FALSE(),"",IF(기념일등록!$G259="",99999,기념일등록!$G259)*1000+ROW())</f>
        <v/>
      </c>
      <c r="J262" s="6" t="str">
        <f aca="false">IF($I262="","",RANK($I262,$I$6:$I$505,1))</f>
        <v/>
      </c>
    </row>
    <row r="263" customFormat="false" ht="15" hidden="false" customHeight="true" outlineLevel="0" collapsed="false">
      <c r="H263" s="26" t="b">
        <f aca="false">IF(기념일등록!$B260="",FALSE(),기념일등록!$F260=$B$3)</f>
        <v>0</v>
      </c>
      <c r="I263" s="6" t="str">
        <f aca="false">IF($H263=FALSE(),"",IF(기념일등록!$G260="",99999,기념일등록!$G260)*1000+ROW())</f>
        <v/>
      </c>
      <c r="J263" s="6" t="str">
        <f aca="false">IF($I263="","",RANK($I263,$I$6:$I$505,1))</f>
        <v/>
      </c>
    </row>
    <row r="264" customFormat="false" ht="15" hidden="false" customHeight="true" outlineLevel="0" collapsed="false">
      <c r="H264" s="26" t="b">
        <f aca="false">IF(기념일등록!$B261="",FALSE(),기념일등록!$F261=$B$3)</f>
        <v>0</v>
      </c>
      <c r="I264" s="6" t="str">
        <f aca="false">IF($H264=FALSE(),"",IF(기념일등록!$G261="",99999,기념일등록!$G261)*1000+ROW())</f>
        <v/>
      </c>
      <c r="J264" s="6" t="str">
        <f aca="false">IF($I264="","",RANK($I264,$I$6:$I$505,1))</f>
        <v/>
      </c>
    </row>
    <row r="265" customFormat="false" ht="15" hidden="false" customHeight="true" outlineLevel="0" collapsed="false">
      <c r="H265" s="26" t="b">
        <f aca="false">IF(기념일등록!$B262="",FALSE(),기념일등록!$F262=$B$3)</f>
        <v>0</v>
      </c>
      <c r="I265" s="6" t="str">
        <f aca="false">IF($H265=FALSE(),"",IF(기념일등록!$G262="",99999,기념일등록!$G262)*1000+ROW())</f>
        <v/>
      </c>
      <c r="J265" s="6" t="str">
        <f aca="false">IF($I265="","",RANK($I265,$I$6:$I$505,1))</f>
        <v/>
      </c>
    </row>
    <row r="266" customFormat="false" ht="15" hidden="false" customHeight="true" outlineLevel="0" collapsed="false">
      <c r="H266" s="26" t="b">
        <f aca="false">IF(기념일등록!$B263="",FALSE(),기념일등록!$F263=$B$3)</f>
        <v>0</v>
      </c>
      <c r="I266" s="6" t="str">
        <f aca="false">IF($H266=FALSE(),"",IF(기념일등록!$G263="",99999,기념일등록!$G263)*1000+ROW())</f>
        <v/>
      </c>
      <c r="J266" s="6" t="str">
        <f aca="false">IF($I266="","",RANK($I266,$I$6:$I$505,1))</f>
        <v/>
      </c>
    </row>
    <row r="267" customFormat="false" ht="15" hidden="false" customHeight="true" outlineLevel="0" collapsed="false">
      <c r="H267" s="26" t="b">
        <f aca="false">IF(기념일등록!$B264="",FALSE(),기념일등록!$F264=$B$3)</f>
        <v>0</v>
      </c>
      <c r="I267" s="6" t="str">
        <f aca="false">IF($H267=FALSE(),"",IF(기념일등록!$G264="",99999,기념일등록!$G264)*1000+ROW())</f>
        <v/>
      </c>
      <c r="J267" s="6" t="str">
        <f aca="false">IF($I267="","",RANK($I267,$I$6:$I$505,1))</f>
        <v/>
      </c>
    </row>
    <row r="268" customFormat="false" ht="15" hidden="false" customHeight="true" outlineLevel="0" collapsed="false">
      <c r="H268" s="26" t="b">
        <f aca="false">IF(기념일등록!$B265="",FALSE(),기념일등록!$F265=$B$3)</f>
        <v>0</v>
      </c>
      <c r="I268" s="6" t="str">
        <f aca="false">IF($H268=FALSE(),"",IF(기념일등록!$G265="",99999,기념일등록!$G265)*1000+ROW())</f>
        <v/>
      </c>
      <c r="J268" s="6" t="str">
        <f aca="false">IF($I268="","",RANK($I268,$I$6:$I$505,1))</f>
        <v/>
      </c>
    </row>
    <row r="269" customFormat="false" ht="15" hidden="false" customHeight="true" outlineLevel="0" collapsed="false">
      <c r="H269" s="26" t="b">
        <f aca="false">IF(기념일등록!$B266="",FALSE(),기념일등록!$F266=$B$3)</f>
        <v>0</v>
      </c>
      <c r="I269" s="6" t="str">
        <f aca="false">IF($H269=FALSE(),"",IF(기념일등록!$G266="",99999,기념일등록!$G266)*1000+ROW())</f>
        <v/>
      </c>
      <c r="J269" s="6" t="str">
        <f aca="false">IF($I269="","",RANK($I269,$I$6:$I$505,1))</f>
        <v/>
      </c>
    </row>
    <row r="270" customFormat="false" ht="15" hidden="false" customHeight="true" outlineLevel="0" collapsed="false">
      <c r="H270" s="26" t="b">
        <f aca="false">IF(기념일등록!$B267="",FALSE(),기념일등록!$F267=$B$3)</f>
        <v>0</v>
      </c>
      <c r="I270" s="6" t="str">
        <f aca="false">IF($H270=FALSE(),"",IF(기념일등록!$G267="",99999,기념일등록!$G267)*1000+ROW())</f>
        <v/>
      </c>
      <c r="J270" s="6" t="str">
        <f aca="false">IF($I270="","",RANK($I270,$I$6:$I$505,1))</f>
        <v/>
      </c>
    </row>
    <row r="271" customFormat="false" ht="15" hidden="false" customHeight="true" outlineLevel="0" collapsed="false">
      <c r="H271" s="26" t="b">
        <f aca="false">IF(기념일등록!$B268="",FALSE(),기념일등록!$F268=$B$3)</f>
        <v>0</v>
      </c>
      <c r="I271" s="6" t="str">
        <f aca="false">IF($H271=FALSE(),"",IF(기념일등록!$G268="",99999,기념일등록!$G268)*1000+ROW())</f>
        <v/>
      </c>
      <c r="J271" s="6" t="str">
        <f aca="false">IF($I271="","",RANK($I271,$I$6:$I$505,1))</f>
        <v/>
      </c>
    </row>
    <row r="272" customFormat="false" ht="15" hidden="false" customHeight="true" outlineLevel="0" collapsed="false">
      <c r="H272" s="26" t="b">
        <f aca="false">IF(기념일등록!$B269="",FALSE(),기념일등록!$F269=$B$3)</f>
        <v>0</v>
      </c>
      <c r="I272" s="6" t="str">
        <f aca="false">IF($H272=FALSE(),"",IF(기념일등록!$G269="",99999,기념일등록!$G269)*1000+ROW())</f>
        <v/>
      </c>
      <c r="J272" s="6" t="str">
        <f aca="false">IF($I272="","",RANK($I272,$I$6:$I$505,1))</f>
        <v/>
      </c>
    </row>
    <row r="273" customFormat="false" ht="15" hidden="false" customHeight="true" outlineLevel="0" collapsed="false">
      <c r="H273" s="26" t="b">
        <f aca="false">IF(기념일등록!$B270="",FALSE(),기념일등록!$F270=$B$3)</f>
        <v>0</v>
      </c>
      <c r="I273" s="6" t="str">
        <f aca="false">IF($H273=FALSE(),"",IF(기념일등록!$G270="",99999,기념일등록!$G270)*1000+ROW())</f>
        <v/>
      </c>
      <c r="J273" s="6" t="str">
        <f aca="false">IF($I273="","",RANK($I273,$I$6:$I$505,1))</f>
        <v/>
      </c>
    </row>
    <row r="274" customFormat="false" ht="15" hidden="false" customHeight="true" outlineLevel="0" collapsed="false">
      <c r="H274" s="26" t="b">
        <f aca="false">IF(기념일등록!$B271="",FALSE(),기념일등록!$F271=$B$3)</f>
        <v>0</v>
      </c>
      <c r="I274" s="6" t="str">
        <f aca="false">IF($H274=FALSE(),"",IF(기념일등록!$G271="",99999,기념일등록!$G271)*1000+ROW())</f>
        <v/>
      </c>
      <c r="J274" s="6" t="str">
        <f aca="false">IF($I274="","",RANK($I274,$I$6:$I$505,1))</f>
        <v/>
      </c>
    </row>
    <row r="275" customFormat="false" ht="15" hidden="false" customHeight="true" outlineLevel="0" collapsed="false">
      <c r="H275" s="26" t="b">
        <f aca="false">IF(기념일등록!$B272="",FALSE(),기념일등록!$F272=$B$3)</f>
        <v>0</v>
      </c>
      <c r="I275" s="6" t="str">
        <f aca="false">IF($H275=FALSE(),"",IF(기념일등록!$G272="",99999,기념일등록!$G272)*1000+ROW())</f>
        <v/>
      </c>
      <c r="J275" s="6" t="str">
        <f aca="false">IF($I275="","",RANK($I275,$I$6:$I$505,1))</f>
        <v/>
      </c>
    </row>
    <row r="276" customFormat="false" ht="15" hidden="false" customHeight="true" outlineLevel="0" collapsed="false">
      <c r="H276" s="26" t="b">
        <f aca="false">IF(기념일등록!$B273="",FALSE(),기념일등록!$F273=$B$3)</f>
        <v>0</v>
      </c>
      <c r="I276" s="6" t="str">
        <f aca="false">IF($H276=FALSE(),"",IF(기념일등록!$G273="",99999,기념일등록!$G273)*1000+ROW())</f>
        <v/>
      </c>
      <c r="J276" s="6" t="str">
        <f aca="false">IF($I276="","",RANK($I276,$I$6:$I$505,1))</f>
        <v/>
      </c>
    </row>
    <row r="277" customFormat="false" ht="15" hidden="false" customHeight="true" outlineLevel="0" collapsed="false">
      <c r="H277" s="26" t="b">
        <f aca="false">IF(기념일등록!$B274="",FALSE(),기념일등록!$F274=$B$3)</f>
        <v>0</v>
      </c>
      <c r="I277" s="6" t="str">
        <f aca="false">IF($H277=FALSE(),"",IF(기념일등록!$G274="",99999,기념일등록!$G274)*1000+ROW())</f>
        <v/>
      </c>
      <c r="J277" s="6" t="str">
        <f aca="false">IF($I277="","",RANK($I277,$I$6:$I$505,1))</f>
        <v/>
      </c>
    </row>
    <row r="278" customFormat="false" ht="15" hidden="false" customHeight="true" outlineLevel="0" collapsed="false">
      <c r="H278" s="26" t="b">
        <f aca="false">IF(기념일등록!$B275="",FALSE(),기념일등록!$F275=$B$3)</f>
        <v>0</v>
      </c>
      <c r="I278" s="6" t="str">
        <f aca="false">IF($H278=FALSE(),"",IF(기념일등록!$G275="",99999,기념일등록!$G275)*1000+ROW())</f>
        <v/>
      </c>
      <c r="J278" s="6" t="str">
        <f aca="false">IF($I278="","",RANK($I278,$I$6:$I$505,1))</f>
        <v/>
      </c>
    </row>
    <row r="279" customFormat="false" ht="15" hidden="false" customHeight="true" outlineLevel="0" collapsed="false">
      <c r="H279" s="26" t="b">
        <f aca="false">IF(기념일등록!$B276="",FALSE(),기념일등록!$F276=$B$3)</f>
        <v>0</v>
      </c>
      <c r="I279" s="6" t="str">
        <f aca="false">IF($H279=FALSE(),"",IF(기념일등록!$G276="",99999,기념일등록!$G276)*1000+ROW())</f>
        <v/>
      </c>
      <c r="J279" s="6" t="str">
        <f aca="false">IF($I279="","",RANK($I279,$I$6:$I$505,1))</f>
        <v/>
      </c>
    </row>
    <row r="280" customFormat="false" ht="15" hidden="false" customHeight="true" outlineLevel="0" collapsed="false">
      <c r="H280" s="26" t="b">
        <f aca="false">IF(기념일등록!$B277="",FALSE(),기념일등록!$F277=$B$3)</f>
        <v>0</v>
      </c>
      <c r="I280" s="6" t="str">
        <f aca="false">IF($H280=FALSE(),"",IF(기념일등록!$G277="",99999,기념일등록!$G277)*1000+ROW())</f>
        <v/>
      </c>
      <c r="J280" s="6" t="str">
        <f aca="false">IF($I280="","",RANK($I280,$I$6:$I$505,1))</f>
        <v/>
      </c>
    </row>
    <row r="281" customFormat="false" ht="15" hidden="false" customHeight="true" outlineLevel="0" collapsed="false">
      <c r="H281" s="26" t="b">
        <f aca="false">IF(기념일등록!$B278="",FALSE(),기념일등록!$F278=$B$3)</f>
        <v>0</v>
      </c>
      <c r="I281" s="6" t="str">
        <f aca="false">IF($H281=FALSE(),"",IF(기념일등록!$G278="",99999,기념일등록!$G278)*1000+ROW())</f>
        <v/>
      </c>
      <c r="J281" s="6" t="str">
        <f aca="false">IF($I281="","",RANK($I281,$I$6:$I$505,1))</f>
        <v/>
      </c>
    </row>
    <row r="282" customFormat="false" ht="15" hidden="false" customHeight="true" outlineLevel="0" collapsed="false">
      <c r="H282" s="26" t="b">
        <f aca="false">IF(기념일등록!$B279="",FALSE(),기념일등록!$F279=$B$3)</f>
        <v>0</v>
      </c>
      <c r="I282" s="6" t="str">
        <f aca="false">IF($H282=FALSE(),"",IF(기념일등록!$G279="",99999,기념일등록!$G279)*1000+ROW())</f>
        <v/>
      </c>
      <c r="J282" s="6" t="str">
        <f aca="false">IF($I282="","",RANK($I282,$I$6:$I$505,1))</f>
        <v/>
      </c>
    </row>
    <row r="283" customFormat="false" ht="15" hidden="false" customHeight="true" outlineLevel="0" collapsed="false">
      <c r="H283" s="26" t="b">
        <f aca="false">IF(기념일등록!$B280="",FALSE(),기념일등록!$F280=$B$3)</f>
        <v>0</v>
      </c>
      <c r="I283" s="6" t="str">
        <f aca="false">IF($H283=FALSE(),"",IF(기념일등록!$G280="",99999,기념일등록!$G280)*1000+ROW())</f>
        <v/>
      </c>
      <c r="J283" s="6" t="str">
        <f aca="false">IF($I283="","",RANK($I283,$I$6:$I$505,1))</f>
        <v/>
      </c>
    </row>
    <row r="284" customFormat="false" ht="15" hidden="false" customHeight="true" outlineLevel="0" collapsed="false">
      <c r="H284" s="26" t="b">
        <f aca="false">IF(기념일등록!$B281="",FALSE(),기념일등록!$F281=$B$3)</f>
        <v>0</v>
      </c>
      <c r="I284" s="6" t="str">
        <f aca="false">IF($H284=FALSE(),"",IF(기념일등록!$G281="",99999,기념일등록!$G281)*1000+ROW())</f>
        <v/>
      </c>
      <c r="J284" s="6" t="str">
        <f aca="false">IF($I284="","",RANK($I284,$I$6:$I$505,1))</f>
        <v/>
      </c>
    </row>
    <row r="285" customFormat="false" ht="15" hidden="false" customHeight="true" outlineLevel="0" collapsed="false">
      <c r="H285" s="26" t="b">
        <f aca="false">IF(기념일등록!$B282="",FALSE(),기념일등록!$F282=$B$3)</f>
        <v>0</v>
      </c>
      <c r="I285" s="6" t="str">
        <f aca="false">IF($H285=FALSE(),"",IF(기념일등록!$G282="",99999,기념일등록!$G282)*1000+ROW())</f>
        <v/>
      </c>
      <c r="J285" s="6" t="str">
        <f aca="false">IF($I285="","",RANK($I285,$I$6:$I$505,1))</f>
        <v/>
      </c>
    </row>
    <row r="286" customFormat="false" ht="15" hidden="false" customHeight="true" outlineLevel="0" collapsed="false">
      <c r="H286" s="26" t="b">
        <f aca="false">IF(기념일등록!$B283="",FALSE(),기념일등록!$F283=$B$3)</f>
        <v>0</v>
      </c>
      <c r="I286" s="6" t="str">
        <f aca="false">IF($H286=FALSE(),"",IF(기념일등록!$G283="",99999,기념일등록!$G283)*1000+ROW())</f>
        <v/>
      </c>
      <c r="J286" s="6" t="str">
        <f aca="false">IF($I286="","",RANK($I286,$I$6:$I$505,1))</f>
        <v/>
      </c>
    </row>
    <row r="287" customFormat="false" ht="15" hidden="false" customHeight="true" outlineLevel="0" collapsed="false">
      <c r="H287" s="26" t="b">
        <f aca="false">IF(기념일등록!$B284="",FALSE(),기념일등록!$F284=$B$3)</f>
        <v>0</v>
      </c>
      <c r="I287" s="6" t="str">
        <f aca="false">IF($H287=FALSE(),"",IF(기념일등록!$G284="",99999,기념일등록!$G284)*1000+ROW())</f>
        <v/>
      </c>
      <c r="J287" s="6" t="str">
        <f aca="false">IF($I287="","",RANK($I287,$I$6:$I$505,1))</f>
        <v/>
      </c>
    </row>
    <row r="288" customFormat="false" ht="15" hidden="false" customHeight="true" outlineLevel="0" collapsed="false">
      <c r="H288" s="26" t="b">
        <f aca="false">IF(기념일등록!$B285="",FALSE(),기념일등록!$F285=$B$3)</f>
        <v>0</v>
      </c>
      <c r="I288" s="6" t="str">
        <f aca="false">IF($H288=FALSE(),"",IF(기념일등록!$G285="",99999,기념일등록!$G285)*1000+ROW())</f>
        <v/>
      </c>
      <c r="J288" s="6" t="str">
        <f aca="false">IF($I288="","",RANK($I288,$I$6:$I$505,1))</f>
        <v/>
      </c>
    </row>
    <row r="289" customFormat="false" ht="15" hidden="false" customHeight="true" outlineLevel="0" collapsed="false">
      <c r="H289" s="26" t="b">
        <f aca="false">IF(기념일등록!$B286="",FALSE(),기념일등록!$F286=$B$3)</f>
        <v>0</v>
      </c>
      <c r="I289" s="6" t="str">
        <f aca="false">IF($H289=FALSE(),"",IF(기념일등록!$G286="",99999,기념일등록!$G286)*1000+ROW())</f>
        <v/>
      </c>
      <c r="J289" s="6" t="str">
        <f aca="false">IF($I289="","",RANK($I289,$I$6:$I$505,1))</f>
        <v/>
      </c>
    </row>
    <row r="290" customFormat="false" ht="15" hidden="false" customHeight="true" outlineLevel="0" collapsed="false">
      <c r="H290" s="26" t="b">
        <f aca="false">IF(기념일등록!$B287="",FALSE(),기념일등록!$F287=$B$3)</f>
        <v>0</v>
      </c>
      <c r="I290" s="6" t="str">
        <f aca="false">IF($H290=FALSE(),"",IF(기념일등록!$G287="",99999,기념일등록!$G287)*1000+ROW())</f>
        <v/>
      </c>
      <c r="J290" s="6" t="str">
        <f aca="false">IF($I290="","",RANK($I290,$I$6:$I$505,1))</f>
        <v/>
      </c>
    </row>
    <row r="291" customFormat="false" ht="15" hidden="false" customHeight="true" outlineLevel="0" collapsed="false">
      <c r="H291" s="26" t="b">
        <f aca="false">IF(기념일등록!$B288="",FALSE(),기념일등록!$F288=$B$3)</f>
        <v>0</v>
      </c>
      <c r="I291" s="6" t="str">
        <f aca="false">IF($H291=FALSE(),"",IF(기념일등록!$G288="",99999,기념일등록!$G288)*1000+ROW())</f>
        <v/>
      </c>
      <c r="J291" s="6" t="str">
        <f aca="false">IF($I291="","",RANK($I291,$I$6:$I$505,1))</f>
        <v/>
      </c>
    </row>
    <row r="292" customFormat="false" ht="15" hidden="false" customHeight="true" outlineLevel="0" collapsed="false">
      <c r="H292" s="26" t="b">
        <f aca="false">IF(기념일등록!$B289="",FALSE(),기념일등록!$F289=$B$3)</f>
        <v>0</v>
      </c>
      <c r="I292" s="6" t="str">
        <f aca="false">IF($H292=FALSE(),"",IF(기념일등록!$G289="",99999,기념일등록!$G289)*1000+ROW())</f>
        <v/>
      </c>
      <c r="J292" s="6" t="str">
        <f aca="false">IF($I292="","",RANK($I292,$I$6:$I$505,1))</f>
        <v/>
      </c>
    </row>
    <row r="293" customFormat="false" ht="15" hidden="false" customHeight="true" outlineLevel="0" collapsed="false">
      <c r="H293" s="26" t="b">
        <f aca="false">IF(기념일등록!$B290="",FALSE(),기념일등록!$F290=$B$3)</f>
        <v>0</v>
      </c>
      <c r="I293" s="6" t="str">
        <f aca="false">IF($H293=FALSE(),"",IF(기념일등록!$G290="",99999,기념일등록!$G290)*1000+ROW())</f>
        <v/>
      </c>
      <c r="J293" s="6" t="str">
        <f aca="false">IF($I293="","",RANK($I293,$I$6:$I$505,1))</f>
        <v/>
      </c>
    </row>
    <row r="294" customFormat="false" ht="15" hidden="false" customHeight="true" outlineLevel="0" collapsed="false">
      <c r="H294" s="26" t="b">
        <f aca="false">IF(기념일등록!$B291="",FALSE(),기념일등록!$F291=$B$3)</f>
        <v>0</v>
      </c>
      <c r="I294" s="6" t="str">
        <f aca="false">IF($H294=FALSE(),"",IF(기념일등록!$G291="",99999,기념일등록!$G291)*1000+ROW())</f>
        <v/>
      </c>
      <c r="J294" s="6" t="str">
        <f aca="false">IF($I294="","",RANK($I294,$I$6:$I$505,1))</f>
        <v/>
      </c>
    </row>
    <row r="295" customFormat="false" ht="15" hidden="false" customHeight="true" outlineLevel="0" collapsed="false">
      <c r="H295" s="26" t="b">
        <f aca="false">IF(기념일등록!$B292="",FALSE(),기념일등록!$F292=$B$3)</f>
        <v>0</v>
      </c>
      <c r="I295" s="6" t="str">
        <f aca="false">IF($H295=FALSE(),"",IF(기념일등록!$G292="",99999,기념일등록!$G292)*1000+ROW())</f>
        <v/>
      </c>
      <c r="J295" s="6" t="str">
        <f aca="false">IF($I295="","",RANK($I295,$I$6:$I$505,1))</f>
        <v/>
      </c>
    </row>
    <row r="296" customFormat="false" ht="15" hidden="false" customHeight="true" outlineLevel="0" collapsed="false">
      <c r="H296" s="26" t="b">
        <f aca="false">IF(기념일등록!$B293="",FALSE(),기념일등록!$F293=$B$3)</f>
        <v>0</v>
      </c>
      <c r="I296" s="6" t="str">
        <f aca="false">IF($H296=FALSE(),"",IF(기념일등록!$G293="",99999,기념일등록!$G293)*1000+ROW())</f>
        <v/>
      </c>
      <c r="J296" s="6" t="str">
        <f aca="false">IF($I296="","",RANK($I296,$I$6:$I$505,1))</f>
        <v/>
      </c>
    </row>
    <row r="297" customFormat="false" ht="15" hidden="false" customHeight="true" outlineLevel="0" collapsed="false">
      <c r="H297" s="26" t="b">
        <f aca="false">IF(기념일등록!$B294="",FALSE(),기념일등록!$F294=$B$3)</f>
        <v>0</v>
      </c>
      <c r="I297" s="6" t="str">
        <f aca="false">IF($H297=FALSE(),"",IF(기념일등록!$G294="",99999,기념일등록!$G294)*1000+ROW())</f>
        <v/>
      </c>
      <c r="J297" s="6" t="str">
        <f aca="false">IF($I297="","",RANK($I297,$I$6:$I$505,1))</f>
        <v/>
      </c>
    </row>
    <row r="298" customFormat="false" ht="15" hidden="false" customHeight="true" outlineLevel="0" collapsed="false">
      <c r="H298" s="26" t="b">
        <f aca="false">IF(기념일등록!$B295="",FALSE(),기념일등록!$F295=$B$3)</f>
        <v>0</v>
      </c>
      <c r="I298" s="6" t="str">
        <f aca="false">IF($H298=FALSE(),"",IF(기념일등록!$G295="",99999,기념일등록!$G295)*1000+ROW())</f>
        <v/>
      </c>
      <c r="J298" s="6" t="str">
        <f aca="false">IF($I298="","",RANK($I298,$I$6:$I$505,1))</f>
        <v/>
      </c>
    </row>
    <row r="299" customFormat="false" ht="15" hidden="false" customHeight="true" outlineLevel="0" collapsed="false">
      <c r="H299" s="26" t="b">
        <f aca="false">IF(기념일등록!$B296="",FALSE(),기념일등록!$F296=$B$3)</f>
        <v>0</v>
      </c>
      <c r="I299" s="6" t="str">
        <f aca="false">IF($H299=FALSE(),"",IF(기념일등록!$G296="",99999,기념일등록!$G296)*1000+ROW())</f>
        <v/>
      </c>
      <c r="J299" s="6" t="str">
        <f aca="false">IF($I299="","",RANK($I299,$I$6:$I$505,1))</f>
        <v/>
      </c>
    </row>
    <row r="300" customFormat="false" ht="15" hidden="false" customHeight="true" outlineLevel="0" collapsed="false">
      <c r="H300" s="26" t="b">
        <f aca="false">IF(기념일등록!$B297="",FALSE(),기념일등록!$F297=$B$3)</f>
        <v>0</v>
      </c>
      <c r="I300" s="6" t="str">
        <f aca="false">IF($H300=FALSE(),"",IF(기념일등록!$G297="",99999,기념일등록!$G297)*1000+ROW())</f>
        <v/>
      </c>
      <c r="J300" s="6" t="str">
        <f aca="false">IF($I300="","",RANK($I300,$I$6:$I$505,1))</f>
        <v/>
      </c>
    </row>
    <row r="301" customFormat="false" ht="15" hidden="false" customHeight="true" outlineLevel="0" collapsed="false">
      <c r="H301" s="26" t="b">
        <f aca="false">IF(기념일등록!$B298="",FALSE(),기념일등록!$F298=$B$3)</f>
        <v>0</v>
      </c>
      <c r="I301" s="6" t="str">
        <f aca="false">IF($H301=FALSE(),"",IF(기념일등록!$G298="",99999,기념일등록!$G298)*1000+ROW())</f>
        <v/>
      </c>
      <c r="J301" s="6" t="str">
        <f aca="false">IF($I301="","",RANK($I301,$I$6:$I$505,1))</f>
        <v/>
      </c>
    </row>
    <row r="302" customFormat="false" ht="15" hidden="false" customHeight="true" outlineLevel="0" collapsed="false">
      <c r="H302" s="26" t="b">
        <f aca="false">IF(기념일등록!$B299="",FALSE(),기념일등록!$F299=$B$3)</f>
        <v>0</v>
      </c>
      <c r="I302" s="6" t="str">
        <f aca="false">IF($H302=FALSE(),"",IF(기념일등록!$G299="",99999,기념일등록!$G299)*1000+ROW())</f>
        <v/>
      </c>
      <c r="J302" s="6" t="str">
        <f aca="false">IF($I302="","",RANK($I302,$I$6:$I$505,1))</f>
        <v/>
      </c>
    </row>
    <row r="303" customFormat="false" ht="15" hidden="false" customHeight="true" outlineLevel="0" collapsed="false">
      <c r="H303" s="26" t="b">
        <f aca="false">IF(기념일등록!$B300="",FALSE(),기념일등록!$F300=$B$3)</f>
        <v>0</v>
      </c>
      <c r="I303" s="6" t="str">
        <f aca="false">IF($H303=FALSE(),"",IF(기념일등록!$G300="",99999,기념일등록!$G300)*1000+ROW())</f>
        <v/>
      </c>
      <c r="J303" s="6" t="str">
        <f aca="false">IF($I303="","",RANK($I303,$I$6:$I$505,1))</f>
        <v/>
      </c>
    </row>
    <row r="304" customFormat="false" ht="15" hidden="false" customHeight="true" outlineLevel="0" collapsed="false">
      <c r="H304" s="26" t="b">
        <f aca="false">IF(기념일등록!$B301="",FALSE(),기념일등록!$F301=$B$3)</f>
        <v>0</v>
      </c>
      <c r="I304" s="6" t="str">
        <f aca="false">IF($H304=FALSE(),"",IF(기념일등록!$G301="",99999,기념일등록!$G301)*1000+ROW())</f>
        <v/>
      </c>
      <c r="J304" s="6" t="str">
        <f aca="false">IF($I304="","",RANK($I304,$I$6:$I$505,1))</f>
        <v/>
      </c>
    </row>
    <row r="305" customFormat="false" ht="15" hidden="false" customHeight="true" outlineLevel="0" collapsed="false">
      <c r="H305" s="26" t="b">
        <f aca="false">IF(기념일등록!$B302="",FALSE(),기념일등록!$F302=$B$3)</f>
        <v>0</v>
      </c>
      <c r="I305" s="6" t="str">
        <f aca="false">IF($H305=FALSE(),"",IF(기념일등록!$G302="",99999,기념일등록!$G302)*1000+ROW())</f>
        <v/>
      </c>
      <c r="J305" s="6" t="str">
        <f aca="false">IF($I305="","",RANK($I305,$I$6:$I$505,1))</f>
        <v/>
      </c>
    </row>
    <row r="306" customFormat="false" ht="15" hidden="false" customHeight="true" outlineLevel="0" collapsed="false">
      <c r="H306" s="26" t="b">
        <f aca="false">IF(기념일등록!$B303="",FALSE(),기념일등록!$F303=$B$3)</f>
        <v>0</v>
      </c>
      <c r="I306" s="6" t="str">
        <f aca="false">IF($H306=FALSE(),"",IF(기념일등록!$G303="",99999,기념일등록!$G303)*1000+ROW())</f>
        <v/>
      </c>
      <c r="J306" s="6" t="str">
        <f aca="false">IF($I306="","",RANK($I306,$I$6:$I$505,1))</f>
        <v/>
      </c>
    </row>
    <row r="307" customFormat="false" ht="15" hidden="false" customHeight="true" outlineLevel="0" collapsed="false">
      <c r="H307" s="26" t="b">
        <f aca="false">IF(기념일등록!$B304="",FALSE(),기념일등록!$F304=$B$3)</f>
        <v>0</v>
      </c>
      <c r="I307" s="6" t="str">
        <f aca="false">IF($H307=FALSE(),"",IF(기념일등록!$G304="",99999,기념일등록!$G304)*1000+ROW())</f>
        <v/>
      </c>
      <c r="J307" s="6" t="str">
        <f aca="false">IF($I307="","",RANK($I307,$I$6:$I$505,1))</f>
        <v/>
      </c>
    </row>
    <row r="308" customFormat="false" ht="15" hidden="false" customHeight="true" outlineLevel="0" collapsed="false">
      <c r="H308" s="26" t="b">
        <f aca="false">IF(기념일등록!$B305="",FALSE(),기념일등록!$F305=$B$3)</f>
        <v>0</v>
      </c>
      <c r="I308" s="6" t="str">
        <f aca="false">IF($H308=FALSE(),"",IF(기념일등록!$G305="",99999,기념일등록!$G305)*1000+ROW())</f>
        <v/>
      </c>
      <c r="J308" s="6" t="str">
        <f aca="false">IF($I308="","",RANK($I308,$I$6:$I$505,1))</f>
        <v/>
      </c>
    </row>
    <row r="309" customFormat="false" ht="15" hidden="false" customHeight="true" outlineLevel="0" collapsed="false">
      <c r="H309" s="26" t="b">
        <f aca="false">IF(기념일등록!$B306="",FALSE(),기념일등록!$F306=$B$3)</f>
        <v>0</v>
      </c>
      <c r="I309" s="6" t="str">
        <f aca="false">IF($H309=FALSE(),"",IF(기념일등록!$G306="",99999,기념일등록!$G306)*1000+ROW())</f>
        <v/>
      </c>
      <c r="J309" s="6" t="str">
        <f aca="false">IF($I309="","",RANK($I309,$I$6:$I$505,1))</f>
        <v/>
      </c>
    </row>
    <row r="310" customFormat="false" ht="15" hidden="false" customHeight="true" outlineLevel="0" collapsed="false">
      <c r="H310" s="26" t="b">
        <f aca="false">IF(기념일등록!$B307="",FALSE(),기념일등록!$F307=$B$3)</f>
        <v>0</v>
      </c>
      <c r="I310" s="6" t="str">
        <f aca="false">IF($H310=FALSE(),"",IF(기념일등록!$G307="",99999,기념일등록!$G307)*1000+ROW())</f>
        <v/>
      </c>
      <c r="J310" s="6" t="str">
        <f aca="false">IF($I310="","",RANK($I310,$I$6:$I$505,1))</f>
        <v/>
      </c>
    </row>
    <row r="311" customFormat="false" ht="15" hidden="false" customHeight="true" outlineLevel="0" collapsed="false">
      <c r="H311" s="26" t="b">
        <f aca="false">IF(기념일등록!$B308="",FALSE(),기념일등록!$F308=$B$3)</f>
        <v>0</v>
      </c>
      <c r="I311" s="6" t="str">
        <f aca="false">IF($H311=FALSE(),"",IF(기념일등록!$G308="",99999,기념일등록!$G308)*1000+ROW())</f>
        <v/>
      </c>
      <c r="J311" s="6" t="str">
        <f aca="false">IF($I311="","",RANK($I311,$I$6:$I$505,1))</f>
        <v/>
      </c>
    </row>
    <row r="312" customFormat="false" ht="15" hidden="false" customHeight="true" outlineLevel="0" collapsed="false">
      <c r="H312" s="26" t="b">
        <f aca="false">IF(기념일등록!$B309="",FALSE(),기념일등록!$F309=$B$3)</f>
        <v>0</v>
      </c>
      <c r="I312" s="6" t="str">
        <f aca="false">IF($H312=FALSE(),"",IF(기념일등록!$G309="",99999,기념일등록!$G309)*1000+ROW())</f>
        <v/>
      </c>
      <c r="J312" s="6" t="str">
        <f aca="false">IF($I312="","",RANK($I312,$I$6:$I$505,1))</f>
        <v/>
      </c>
    </row>
    <row r="313" customFormat="false" ht="15" hidden="false" customHeight="true" outlineLevel="0" collapsed="false">
      <c r="H313" s="26" t="b">
        <f aca="false">IF(기념일등록!$B310="",FALSE(),기념일등록!$F310=$B$3)</f>
        <v>0</v>
      </c>
      <c r="I313" s="6" t="str">
        <f aca="false">IF($H313=FALSE(),"",IF(기념일등록!$G310="",99999,기념일등록!$G310)*1000+ROW())</f>
        <v/>
      </c>
      <c r="J313" s="6" t="str">
        <f aca="false">IF($I313="","",RANK($I313,$I$6:$I$505,1))</f>
        <v/>
      </c>
    </row>
    <row r="314" customFormat="false" ht="15" hidden="false" customHeight="true" outlineLevel="0" collapsed="false">
      <c r="H314" s="26" t="b">
        <f aca="false">IF(기념일등록!$B311="",FALSE(),기념일등록!$F311=$B$3)</f>
        <v>0</v>
      </c>
      <c r="I314" s="6" t="str">
        <f aca="false">IF($H314=FALSE(),"",IF(기념일등록!$G311="",99999,기념일등록!$G311)*1000+ROW())</f>
        <v/>
      </c>
      <c r="J314" s="6" t="str">
        <f aca="false">IF($I314="","",RANK($I314,$I$6:$I$505,1))</f>
        <v/>
      </c>
    </row>
    <row r="315" customFormat="false" ht="15" hidden="false" customHeight="true" outlineLevel="0" collapsed="false">
      <c r="H315" s="26" t="b">
        <f aca="false">IF(기념일등록!$B312="",FALSE(),기념일등록!$F312=$B$3)</f>
        <v>0</v>
      </c>
      <c r="I315" s="6" t="str">
        <f aca="false">IF($H315=FALSE(),"",IF(기념일등록!$G312="",99999,기념일등록!$G312)*1000+ROW())</f>
        <v/>
      </c>
      <c r="J315" s="6" t="str">
        <f aca="false">IF($I315="","",RANK($I315,$I$6:$I$505,1))</f>
        <v/>
      </c>
    </row>
    <row r="316" customFormat="false" ht="15" hidden="false" customHeight="true" outlineLevel="0" collapsed="false">
      <c r="H316" s="26" t="b">
        <f aca="false">IF(기념일등록!$B313="",FALSE(),기념일등록!$F313=$B$3)</f>
        <v>0</v>
      </c>
      <c r="I316" s="6" t="str">
        <f aca="false">IF($H316=FALSE(),"",IF(기념일등록!$G313="",99999,기념일등록!$G313)*1000+ROW())</f>
        <v/>
      </c>
      <c r="J316" s="6" t="str">
        <f aca="false">IF($I316="","",RANK($I316,$I$6:$I$505,1))</f>
        <v/>
      </c>
    </row>
    <row r="317" customFormat="false" ht="15" hidden="false" customHeight="true" outlineLevel="0" collapsed="false">
      <c r="H317" s="26" t="b">
        <f aca="false">IF(기념일등록!$B314="",FALSE(),기념일등록!$F314=$B$3)</f>
        <v>0</v>
      </c>
      <c r="I317" s="6" t="str">
        <f aca="false">IF($H317=FALSE(),"",IF(기념일등록!$G314="",99999,기념일등록!$G314)*1000+ROW())</f>
        <v/>
      </c>
      <c r="J317" s="6" t="str">
        <f aca="false">IF($I317="","",RANK($I317,$I$6:$I$505,1))</f>
        <v/>
      </c>
    </row>
    <row r="318" customFormat="false" ht="15" hidden="false" customHeight="true" outlineLevel="0" collapsed="false">
      <c r="H318" s="26" t="b">
        <f aca="false">IF(기념일등록!$B315="",FALSE(),기념일등록!$F315=$B$3)</f>
        <v>0</v>
      </c>
      <c r="I318" s="6" t="str">
        <f aca="false">IF($H318=FALSE(),"",IF(기념일등록!$G315="",99999,기념일등록!$G315)*1000+ROW())</f>
        <v/>
      </c>
      <c r="J318" s="6" t="str">
        <f aca="false">IF($I318="","",RANK($I318,$I$6:$I$505,1))</f>
        <v/>
      </c>
    </row>
    <row r="319" customFormat="false" ht="15" hidden="false" customHeight="true" outlineLevel="0" collapsed="false">
      <c r="H319" s="26" t="b">
        <f aca="false">IF(기념일등록!$B316="",FALSE(),기념일등록!$F316=$B$3)</f>
        <v>0</v>
      </c>
      <c r="I319" s="6" t="str">
        <f aca="false">IF($H319=FALSE(),"",IF(기념일등록!$G316="",99999,기념일등록!$G316)*1000+ROW())</f>
        <v/>
      </c>
      <c r="J319" s="6" t="str">
        <f aca="false">IF($I319="","",RANK($I319,$I$6:$I$505,1))</f>
        <v/>
      </c>
    </row>
    <row r="320" customFormat="false" ht="15" hidden="false" customHeight="true" outlineLevel="0" collapsed="false">
      <c r="H320" s="26" t="b">
        <f aca="false">IF(기념일등록!$B317="",FALSE(),기념일등록!$F317=$B$3)</f>
        <v>0</v>
      </c>
      <c r="I320" s="6" t="str">
        <f aca="false">IF($H320=FALSE(),"",IF(기념일등록!$G317="",99999,기념일등록!$G317)*1000+ROW())</f>
        <v/>
      </c>
      <c r="J320" s="6" t="str">
        <f aca="false">IF($I320="","",RANK($I320,$I$6:$I$505,1))</f>
        <v/>
      </c>
    </row>
    <row r="321" customFormat="false" ht="15" hidden="false" customHeight="true" outlineLevel="0" collapsed="false">
      <c r="H321" s="26" t="b">
        <f aca="false">IF(기념일등록!$B318="",FALSE(),기념일등록!$F318=$B$3)</f>
        <v>0</v>
      </c>
      <c r="I321" s="6" t="str">
        <f aca="false">IF($H321=FALSE(),"",IF(기념일등록!$G318="",99999,기념일등록!$G318)*1000+ROW())</f>
        <v/>
      </c>
      <c r="J321" s="6" t="str">
        <f aca="false">IF($I321="","",RANK($I321,$I$6:$I$505,1))</f>
        <v/>
      </c>
    </row>
    <row r="322" customFormat="false" ht="15" hidden="false" customHeight="true" outlineLevel="0" collapsed="false">
      <c r="H322" s="26" t="b">
        <f aca="false">IF(기념일등록!$B319="",FALSE(),기념일등록!$F319=$B$3)</f>
        <v>0</v>
      </c>
      <c r="I322" s="6" t="str">
        <f aca="false">IF($H322=FALSE(),"",IF(기념일등록!$G319="",99999,기념일등록!$G319)*1000+ROW())</f>
        <v/>
      </c>
      <c r="J322" s="6" t="str">
        <f aca="false">IF($I322="","",RANK($I322,$I$6:$I$505,1))</f>
        <v/>
      </c>
    </row>
    <row r="323" customFormat="false" ht="15" hidden="false" customHeight="true" outlineLevel="0" collapsed="false">
      <c r="H323" s="26" t="b">
        <f aca="false">IF(기념일등록!$B320="",FALSE(),기념일등록!$F320=$B$3)</f>
        <v>0</v>
      </c>
      <c r="I323" s="6" t="str">
        <f aca="false">IF($H323=FALSE(),"",IF(기념일등록!$G320="",99999,기념일등록!$G320)*1000+ROW())</f>
        <v/>
      </c>
      <c r="J323" s="6" t="str">
        <f aca="false">IF($I323="","",RANK($I323,$I$6:$I$505,1))</f>
        <v/>
      </c>
    </row>
    <row r="324" customFormat="false" ht="15" hidden="false" customHeight="true" outlineLevel="0" collapsed="false">
      <c r="H324" s="26" t="b">
        <f aca="false">IF(기념일등록!$B321="",FALSE(),기념일등록!$F321=$B$3)</f>
        <v>0</v>
      </c>
      <c r="I324" s="6" t="str">
        <f aca="false">IF($H324=FALSE(),"",IF(기념일등록!$G321="",99999,기념일등록!$G321)*1000+ROW())</f>
        <v/>
      </c>
      <c r="J324" s="6" t="str">
        <f aca="false">IF($I324="","",RANK($I324,$I$6:$I$505,1))</f>
        <v/>
      </c>
    </row>
    <row r="325" customFormat="false" ht="15" hidden="false" customHeight="true" outlineLevel="0" collapsed="false">
      <c r="H325" s="26" t="b">
        <f aca="false">IF(기념일등록!$B322="",FALSE(),기념일등록!$F322=$B$3)</f>
        <v>0</v>
      </c>
      <c r="I325" s="6" t="str">
        <f aca="false">IF($H325=FALSE(),"",IF(기념일등록!$G322="",99999,기념일등록!$G322)*1000+ROW())</f>
        <v/>
      </c>
      <c r="J325" s="6" t="str">
        <f aca="false">IF($I325="","",RANK($I325,$I$6:$I$505,1))</f>
        <v/>
      </c>
    </row>
    <row r="326" customFormat="false" ht="15" hidden="false" customHeight="true" outlineLevel="0" collapsed="false">
      <c r="H326" s="26" t="b">
        <f aca="false">IF(기념일등록!$B323="",FALSE(),기념일등록!$F323=$B$3)</f>
        <v>0</v>
      </c>
      <c r="I326" s="6" t="str">
        <f aca="false">IF($H326=FALSE(),"",IF(기념일등록!$G323="",99999,기념일등록!$G323)*1000+ROW())</f>
        <v/>
      </c>
      <c r="J326" s="6" t="str">
        <f aca="false">IF($I326="","",RANK($I326,$I$6:$I$505,1))</f>
        <v/>
      </c>
    </row>
    <row r="327" customFormat="false" ht="15" hidden="false" customHeight="true" outlineLevel="0" collapsed="false">
      <c r="H327" s="26" t="b">
        <f aca="false">IF(기념일등록!$B324="",FALSE(),기념일등록!$F324=$B$3)</f>
        <v>0</v>
      </c>
      <c r="I327" s="6" t="str">
        <f aca="false">IF($H327=FALSE(),"",IF(기념일등록!$G324="",99999,기념일등록!$G324)*1000+ROW())</f>
        <v/>
      </c>
      <c r="J327" s="6" t="str">
        <f aca="false">IF($I327="","",RANK($I327,$I$6:$I$505,1))</f>
        <v/>
      </c>
    </row>
    <row r="328" customFormat="false" ht="15" hidden="false" customHeight="true" outlineLevel="0" collapsed="false">
      <c r="H328" s="26" t="b">
        <f aca="false">IF(기념일등록!$B325="",FALSE(),기념일등록!$F325=$B$3)</f>
        <v>0</v>
      </c>
      <c r="I328" s="6" t="str">
        <f aca="false">IF($H328=FALSE(),"",IF(기념일등록!$G325="",99999,기념일등록!$G325)*1000+ROW())</f>
        <v/>
      </c>
      <c r="J328" s="6" t="str">
        <f aca="false">IF($I328="","",RANK($I328,$I$6:$I$505,1))</f>
        <v/>
      </c>
    </row>
    <row r="329" customFormat="false" ht="15" hidden="false" customHeight="true" outlineLevel="0" collapsed="false">
      <c r="H329" s="26" t="b">
        <f aca="false">IF(기념일등록!$B326="",FALSE(),기념일등록!$F326=$B$3)</f>
        <v>0</v>
      </c>
      <c r="I329" s="6" t="str">
        <f aca="false">IF($H329=FALSE(),"",IF(기념일등록!$G326="",99999,기념일등록!$G326)*1000+ROW())</f>
        <v/>
      </c>
      <c r="J329" s="6" t="str">
        <f aca="false">IF($I329="","",RANK($I329,$I$6:$I$505,1))</f>
        <v/>
      </c>
    </row>
    <row r="330" customFormat="false" ht="15" hidden="false" customHeight="true" outlineLevel="0" collapsed="false">
      <c r="H330" s="26" t="b">
        <f aca="false">IF(기념일등록!$B327="",FALSE(),기념일등록!$F327=$B$3)</f>
        <v>0</v>
      </c>
      <c r="I330" s="6" t="str">
        <f aca="false">IF($H330=FALSE(),"",IF(기념일등록!$G327="",99999,기념일등록!$G327)*1000+ROW())</f>
        <v/>
      </c>
      <c r="J330" s="6" t="str">
        <f aca="false">IF($I330="","",RANK($I330,$I$6:$I$505,1))</f>
        <v/>
      </c>
    </row>
    <row r="331" customFormat="false" ht="15" hidden="false" customHeight="true" outlineLevel="0" collapsed="false">
      <c r="H331" s="26" t="b">
        <f aca="false">IF(기념일등록!$B328="",FALSE(),기념일등록!$F328=$B$3)</f>
        <v>0</v>
      </c>
      <c r="I331" s="6" t="str">
        <f aca="false">IF($H331=FALSE(),"",IF(기념일등록!$G328="",99999,기념일등록!$G328)*1000+ROW())</f>
        <v/>
      </c>
      <c r="J331" s="6" t="str">
        <f aca="false">IF($I331="","",RANK($I331,$I$6:$I$505,1))</f>
        <v/>
      </c>
    </row>
    <row r="332" customFormat="false" ht="15" hidden="false" customHeight="true" outlineLevel="0" collapsed="false">
      <c r="H332" s="26" t="b">
        <f aca="false">IF(기념일등록!$B329="",FALSE(),기념일등록!$F329=$B$3)</f>
        <v>0</v>
      </c>
      <c r="I332" s="6" t="str">
        <f aca="false">IF($H332=FALSE(),"",IF(기념일등록!$G329="",99999,기념일등록!$G329)*1000+ROW())</f>
        <v/>
      </c>
      <c r="J332" s="6" t="str">
        <f aca="false">IF($I332="","",RANK($I332,$I$6:$I$505,1))</f>
        <v/>
      </c>
    </row>
    <row r="333" customFormat="false" ht="15" hidden="false" customHeight="true" outlineLevel="0" collapsed="false">
      <c r="H333" s="26" t="b">
        <f aca="false">IF(기념일등록!$B330="",FALSE(),기념일등록!$F330=$B$3)</f>
        <v>0</v>
      </c>
      <c r="I333" s="6" t="str">
        <f aca="false">IF($H333=FALSE(),"",IF(기념일등록!$G330="",99999,기념일등록!$G330)*1000+ROW())</f>
        <v/>
      </c>
      <c r="J333" s="6" t="str">
        <f aca="false">IF($I333="","",RANK($I333,$I$6:$I$505,1))</f>
        <v/>
      </c>
    </row>
    <row r="334" customFormat="false" ht="15" hidden="false" customHeight="true" outlineLevel="0" collapsed="false">
      <c r="H334" s="26" t="b">
        <f aca="false">IF(기념일등록!$B331="",FALSE(),기념일등록!$F331=$B$3)</f>
        <v>0</v>
      </c>
      <c r="I334" s="6" t="str">
        <f aca="false">IF($H334=FALSE(),"",IF(기념일등록!$G331="",99999,기념일등록!$G331)*1000+ROW())</f>
        <v/>
      </c>
      <c r="J334" s="6" t="str">
        <f aca="false">IF($I334="","",RANK($I334,$I$6:$I$505,1))</f>
        <v/>
      </c>
    </row>
    <row r="335" customFormat="false" ht="15" hidden="false" customHeight="true" outlineLevel="0" collapsed="false">
      <c r="H335" s="26" t="b">
        <f aca="false">IF(기념일등록!$B332="",FALSE(),기념일등록!$F332=$B$3)</f>
        <v>0</v>
      </c>
      <c r="I335" s="6" t="str">
        <f aca="false">IF($H335=FALSE(),"",IF(기념일등록!$G332="",99999,기념일등록!$G332)*1000+ROW())</f>
        <v/>
      </c>
      <c r="J335" s="6" t="str">
        <f aca="false">IF($I335="","",RANK($I335,$I$6:$I$505,1))</f>
        <v/>
      </c>
    </row>
    <row r="336" customFormat="false" ht="15" hidden="false" customHeight="true" outlineLevel="0" collapsed="false">
      <c r="H336" s="26" t="b">
        <f aca="false">IF(기념일등록!$B333="",FALSE(),기념일등록!$F333=$B$3)</f>
        <v>0</v>
      </c>
      <c r="I336" s="6" t="str">
        <f aca="false">IF($H336=FALSE(),"",IF(기념일등록!$G333="",99999,기념일등록!$G333)*1000+ROW())</f>
        <v/>
      </c>
      <c r="J336" s="6" t="str">
        <f aca="false">IF($I336="","",RANK($I336,$I$6:$I$505,1))</f>
        <v/>
      </c>
    </row>
    <row r="337" customFormat="false" ht="15" hidden="false" customHeight="true" outlineLevel="0" collapsed="false">
      <c r="H337" s="26" t="b">
        <f aca="false">IF(기념일등록!$B334="",FALSE(),기념일등록!$F334=$B$3)</f>
        <v>0</v>
      </c>
      <c r="I337" s="6" t="str">
        <f aca="false">IF($H337=FALSE(),"",IF(기념일등록!$G334="",99999,기념일등록!$G334)*1000+ROW())</f>
        <v/>
      </c>
      <c r="J337" s="6" t="str">
        <f aca="false">IF($I337="","",RANK($I337,$I$6:$I$505,1))</f>
        <v/>
      </c>
    </row>
    <row r="338" customFormat="false" ht="15" hidden="false" customHeight="true" outlineLevel="0" collapsed="false">
      <c r="H338" s="26" t="b">
        <f aca="false">IF(기념일등록!$B335="",FALSE(),기념일등록!$F335=$B$3)</f>
        <v>0</v>
      </c>
      <c r="I338" s="6" t="str">
        <f aca="false">IF($H338=FALSE(),"",IF(기념일등록!$G335="",99999,기념일등록!$G335)*1000+ROW())</f>
        <v/>
      </c>
      <c r="J338" s="6" t="str">
        <f aca="false">IF($I338="","",RANK($I338,$I$6:$I$505,1))</f>
        <v/>
      </c>
    </row>
    <row r="339" customFormat="false" ht="15" hidden="false" customHeight="true" outlineLevel="0" collapsed="false">
      <c r="H339" s="26" t="b">
        <f aca="false">IF(기념일등록!$B336="",FALSE(),기념일등록!$F336=$B$3)</f>
        <v>0</v>
      </c>
      <c r="I339" s="6" t="str">
        <f aca="false">IF($H339=FALSE(),"",IF(기념일등록!$G336="",99999,기념일등록!$G336)*1000+ROW())</f>
        <v/>
      </c>
      <c r="J339" s="6" t="str">
        <f aca="false">IF($I339="","",RANK($I339,$I$6:$I$505,1))</f>
        <v/>
      </c>
    </row>
    <row r="340" customFormat="false" ht="15" hidden="false" customHeight="true" outlineLevel="0" collapsed="false">
      <c r="H340" s="26" t="b">
        <f aca="false">IF(기념일등록!$B337="",FALSE(),기념일등록!$F337=$B$3)</f>
        <v>0</v>
      </c>
      <c r="I340" s="6" t="str">
        <f aca="false">IF($H340=FALSE(),"",IF(기념일등록!$G337="",99999,기념일등록!$G337)*1000+ROW())</f>
        <v/>
      </c>
      <c r="J340" s="6" t="str">
        <f aca="false">IF($I340="","",RANK($I340,$I$6:$I$505,1))</f>
        <v/>
      </c>
    </row>
    <row r="341" customFormat="false" ht="15" hidden="false" customHeight="true" outlineLevel="0" collapsed="false">
      <c r="H341" s="26" t="b">
        <f aca="false">IF(기념일등록!$B338="",FALSE(),기념일등록!$F338=$B$3)</f>
        <v>0</v>
      </c>
      <c r="I341" s="6" t="str">
        <f aca="false">IF($H341=FALSE(),"",IF(기념일등록!$G338="",99999,기념일등록!$G338)*1000+ROW())</f>
        <v/>
      </c>
      <c r="J341" s="6" t="str">
        <f aca="false">IF($I341="","",RANK($I341,$I$6:$I$505,1))</f>
        <v/>
      </c>
    </row>
    <row r="342" customFormat="false" ht="15" hidden="false" customHeight="true" outlineLevel="0" collapsed="false">
      <c r="H342" s="26" t="b">
        <f aca="false">IF(기념일등록!$B339="",FALSE(),기념일등록!$F339=$B$3)</f>
        <v>0</v>
      </c>
      <c r="I342" s="6" t="str">
        <f aca="false">IF($H342=FALSE(),"",IF(기념일등록!$G339="",99999,기념일등록!$G339)*1000+ROW())</f>
        <v/>
      </c>
      <c r="J342" s="6" t="str">
        <f aca="false">IF($I342="","",RANK($I342,$I$6:$I$505,1))</f>
        <v/>
      </c>
    </row>
    <row r="343" customFormat="false" ht="15" hidden="false" customHeight="true" outlineLevel="0" collapsed="false">
      <c r="H343" s="26" t="b">
        <f aca="false">IF(기념일등록!$B340="",FALSE(),기념일등록!$F340=$B$3)</f>
        <v>0</v>
      </c>
      <c r="I343" s="6" t="str">
        <f aca="false">IF($H343=FALSE(),"",IF(기념일등록!$G340="",99999,기념일등록!$G340)*1000+ROW())</f>
        <v/>
      </c>
      <c r="J343" s="6" t="str">
        <f aca="false">IF($I343="","",RANK($I343,$I$6:$I$505,1))</f>
        <v/>
      </c>
    </row>
    <row r="344" customFormat="false" ht="15" hidden="false" customHeight="true" outlineLevel="0" collapsed="false">
      <c r="H344" s="26" t="b">
        <f aca="false">IF(기념일등록!$B341="",FALSE(),기념일등록!$F341=$B$3)</f>
        <v>0</v>
      </c>
      <c r="I344" s="6" t="str">
        <f aca="false">IF($H344=FALSE(),"",IF(기념일등록!$G341="",99999,기념일등록!$G341)*1000+ROW())</f>
        <v/>
      </c>
      <c r="J344" s="6" t="str">
        <f aca="false">IF($I344="","",RANK($I344,$I$6:$I$505,1))</f>
        <v/>
      </c>
    </row>
    <row r="345" customFormat="false" ht="15" hidden="false" customHeight="true" outlineLevel="0" collapsed="false">
      <c r="H345" s="26" t="b">
        <f aca="false">IF(기념일등록!$B342="",FALSE(),기념일등록!$F342=$B$3)</f>
        <v>0</v>
      </c>
      <c r="I345" s="6" t="str">
        <f aca="false">IF($H345=FALSE(),"",IF(기념일등록!$G342="",99999,기념일등록!$G342)*1000+ROW())</f>
        <v/>
      </c>
      <c r="J345" s="6" t="str">
        <f aca="false">IF($I345="","",RANK($I345,$I$6:$I$505,1))</f>
        <v/>
      </c>
    </row>
    <row r="346" customFormat="false" ht="15" hidden="false" customHeight="true" outlineLevel="0" collapsed="false">
      <c r="H346" s="26" t="b">
        <f aca="false">IF(기념일등록!$B343="",FALSE(),기념일등록!$F343=$B$3)</f>
        <v>0</v>
      </c>
      <c r="I346" s="6" t="str">
        <f aca="false">IF($H346=FALSE(),"",IF(기념일등록!$G343="",99999,기념일등록!$G343)*1000+ROW())</f>
        <v/>
      </c>
      <c r="J346" s="6" t="str">
        <f aca="false">IF($I346="","",RANK($I346,$I$6:$I$505,1))</f>
        <v/>
      </c>
    </row>
    <row r="347" customFormat="false" ht="15" hidden="false" customHeight="true" outlineLevel="0" collapsed="false">
      <c r="H347" s="26" t="b">
        <f aca="false">IF(기념일등록!$B344="",FALSE(),기념일등록!$F344=$B$3)</f>
        <v>0</v>
      </c>
      <c r="I347" s="6" t="str">
        <f aca="false">IF($H347=FALSE(),"",IF(기념일등록!$G344="",99999,기념일등록!$G344)*1000+ROW())</f>
        <v/>
      </c>
      <c r="J347" s="6" t="str">
        <f aca="false">IF($I347="","",RANK($I347,$I$6:$I$505,1))</f>
        <v/>
      </c>
    </row>
    <row r="348" customFormat="false" ht="15" hidden="false" customHeight="true" outlineLevel="0" collapsed="false">
      <c r="H348" s="26" t="b">
        <f aca="false">IF(기념일등록!$B345="",FALSE(),기념일등록!$F345=$B$3)</f>
        <v>0</v>
      </c>
      <c r="I348" s="6" t="str">
        <f aca="false">IF($H348=FALSE(),"",IF(기념일등록!$G345="",99999,기념일등록!$G345)*1000+ROW())</f>
        <v/>
      </c>
      <c r="J348" s="6" t="str">
        <f aca="false">IF($I348="","",RANK($I348,$I$6:$I$505,1))</f>
        <v/>
      </c>
    </row>
    <row r="349" customFormat="false" ht="15" hidden="false" customHeight="true" outlineLevel="0" collapsed="false">
      <c r="H349" s="26" t="b">
        <f aca="false">IF(기념일등록!$B346="",FALSE(),기념일등록!$F346=$B$3)</f>
        <v>0</v>
      </c>
      <c r="I349" s="6" t="str">
        <f aca="false">IF($H349=FALSE(),"",IF(기념일등록!$G346="",99999,기념일등록!$G346)*1000+ROW())</f>
        <v/>
      </c>
      <c r="J349" s="6" t="str">
        <f aca="false">IF($I349="","",RANK($I349,$I$6:$I$505,1))</f>
        <v/>
      </c>
    </row>
    <row r="350" customFormat="false" ht="15" hidden="false" customHeight="true" outlineLevel="0" collapsed="false">
      <c r="H350" s="26" t="b">
        <f aca="false">IF(기념일등록!$B347="",FALSE(),기념일등록!$F347=$B$3)</f>
        <v>0</v>
      </c>
      <c r="I350" s="6" t="str">
        <f aca="false">IF($H350=FALSE(),"",IF(기념일등록!$G347="",99999,기념일등록!$G347)*1000+ROW())</f>
        <v/>
      </c>
      <c r="J350" s="6" t="str">
        <f aca="false">IF($I350="","",RANK($I350,$I$6:$I$505,1))</f>
        <v/>
      </c>
    </row>
    <row r="351" customFormat="false" ht="15" hidden="false" customHeight="true" outlineLevel="0" collapsed="false">
      <c r="H351" s="26" t="b">
        <f aca="false">IF(기념일등록!$B348="",FALSE(),기념일등록!$F348=$B$3)</f>
        <v>0</v>
      </c>
      <c r="I351" s="6" t="str">
        <f aca="false">IF($H351=FALSE(),"",IF(기념일등록!$G348="",99999,기념일등록!$G348)*1000+ROW())</f>
        <v/>
      </c>
      <c r="J351" s="6" t="str">
        <f aca="false">IF($I351="","",RANK($I351,$I$6:$I$505,1))</f>
        <v/>
      </c>
    </row>
    <row r="352" customFormat="false" ht="15" hidden="false" customHeight="true" outlineLevel="0" collapsed="false">
      <c r="H352" s="26" t="b">
        <f aca="false">IF(기념일등록!$B349="",FALSE(),기념일등록!$F349=$B$3)</f>
        <v>0</v>
      </c>
      <c r="I352" s="6" t="str">
        <f aca="false">IF($H352=FALSE(),"",IF(기념일등록!$G349="",99999,기념일등록!$G349)*1000+ROW())</f>
        <v/>
      </c>
      <c r="J352" s="6" t="str">
        <f aca="false">IF($I352="","",RANK($I352,$I$6:$I$505,1))</f>
        <v/>
      </c>
    </row>
    <row r="353" customFormat="false" ht="15" hidden="false" customHeight="true" outlineLevel="0" collapsed="false">
      <c r="H353" s="26" t="b">
        <f aca="false">IF(기념일등록!$B350="",FALSE(),기념일등록!$F350=$B$3)</f>
        <v>0</v>
      </c>
      <c r="I353" s="6" t="str">
        <f aca="false">IF($H353=FALSE(),"",IF(기념일등록!$G350="",99999,기념일등록!$G350)*1000+ROW())</f>
        <v/>
      </c>
      <c r="J353" s="6" t="str">
        <f aca="false">IF($I353="","",RANK($I353,$I$6:$I$505,1))</f>
        <v/>
      </c>
    </row>
    <row r="354" customFormat="false" ht="15" hidden="false" customHeight="true" outlineLevel="0" collapsed="false">
      <c r="H354" s="26" t="b">
        <f aca="false">IF(기념일등록!$B351="",FALSE(),기념일등록!$F351=$B$3)</f>
        <v>0</v>
      </c>
      <c r="I354" s="6" t="str">
        <f aca="false">IF($H354=FALSE(),"",IF(기념일등록!$G351="",99999,기념일등록!$G351)*1000+ROW())</f>
        <v/>
      </c>
      <c r="J354" s="6" t="str">
        <f aca="false">IF($I354="","",RANK($I354,$I$6:$I$505,1))</f>
        <v/>
      </c>
    </row>
    <row r="355" customFormat="false" ht="15" hidden="false" customHeight="true" outlineLevel="0" collapsed="false">
      <c r="H355" s="26" t="b">
        <f aca="false">IF(기념일등록!$B352="",FALSE(),기념일등록!$F352=$B$3)</f>
        <v>0</v>
      </c>
      <c r="I355" s="6" t="str">
        <f aca="false">IF($H355=FALSE(),"",IF(기념일등록!$G352="",99999,기념일등록!$G352)*1000+ROW())</f>
        <v/>
      </c>
      <c r="J355" s="6" t="str">
        <f aca="false">IF($I355="","",RANK($I355,$I$6:$I$505,1))</f>
        <v/>
      </c>
    </row>
    <row r="356" customFormat="false" ht="15" hidden="false" customHeight="true" outlineLevel="0" collapsed="false">
      <c r="H356" s="26" t="b">
        <f aca="false">IF(기념일등록!$B353="",FALSE(),기념일등록!$F353=$B$3)</f>
        <v>0</v>
      </c>
      <c r="I356" s="6" t="str">
        <f aca="false">IF($H356=FALSE(),"",IF(기념일등록!$G353="",99999,기념일등록!$G353)*1000+ROW())</f>
        <v/>
      </c>
      <c r="J356" s="6" t="str">
        <f aca="false">IF($I356="","",RANK($I356,$I$6:$I$505,1))</f>
        <v/>
      </c>
    </row>
    <row r="357" customFormat="false" ht="15" hidden="false" customHeight="true" outlineLevel="0" collapsed="false">
      <c r="H357" s="26" t="b">
        <f aca="false">IF(기념일등록!$B354="",FALSE(),기념일등록!$F354=$B$3)</f>
        <v>0</v>
      </c>
      <c r="I357" s="6" t="str">
        <f aca="false">IF($H357=FALSE(),"",IF(기념일등록!$G354="",99999,기념일등록!$G354)*1000+ROW())</f>
        <v/>
      </c>
      <c r="J357" s="6" t="str">
        <f aca="false">IF($I357="","",RANK($I357,$I$6:$I$505,1))</f>
        <v/>
      </c>
    </row>
    <row r="358" customFormat="false" ht="15" hidden="false" customHeight="true" outlineLevel="0" collapsed="false">
      <c r="H358" s="26" t="b">
        <f aca="false">IF(기념일등록!$B355="",FALSE(),기념일등록!$F355=$B$3)</f>
        <v>0</v>
      </c>
      <c r="I358" s="6" t="str">
        <f aca="false">IF($H358=FALSE(),"",IF(기념일등록!$G355="",99999,기념일등록!$G355)*1000+ROW())</f>
        <v/>
      </c>
      <c r="J358" s="6" t="str">
        <f aca="false">IF($I358="","",RANK($I358,$I$6:$I$505,1))</f>
        <v/>
      </c>
    </row>
    <row r="359" customFormat="false" ht="15" hidden="false" customHeight="true" outlineLevel="0" collapsed="false">
      <c r="H359" s="26" t="b">
        <f aca="false">IF(기념일등록!$B356="",FALSE(),기념일등록!$F356=$B$3)</f>
        <v>0</v>
      </c>
      <c r="I359" s="6" t="str">
        <f aca="false">IF($H359=FALSE(),"",IF(기념일등록!$G356="",99999,기념일등록!$G356)*1000+ROW())</f>
        <v/>
      </c>
      <c r="J359" s="6" t="str">
        <f aca="false">IF($I359="","",RANK($I359,$I$6:$I$505,1))</f>
        <v/>
      </c>
    </row>
    <row r="360" customFormat="false" ht="15" hidden="false" customHeight="true" outlineLevel="0" collapsed="false">
      <c r="H360" s="26" t="b">
        <f aca="false">IF(기념일등록!$B357="",FALSE(),기념일등록!$F357=$B$3)</f>
        <v>0</v>
      </c>
      <c r="I360" s="6" t="str">
        <f aca="false">IF($H360=FALSE(),"",IF(기념일등록!$G357="",99999,기념일등록!$G357)*1000+ROW())</f>
        <v/>
      </c>
      <c r="J360" s="6" t="str">
        <f aca="false">IF($I360="","",RANK($I360,$I$6:$I$505,1))</f>
        <v/>
      </c>
    </row>
    <row r="361" customFormat="false" ht="15" hidden="false" customHeight="true" outlineLevel="0" collapsed="false">
      <c r="H361" s="26" t="b">
        <f aca="false">IF(기념일등록!$B358="",FALSE(),기념일등록!$F358=$B$3)</f>
        <v>0</v>
      </c>
      <c r="I361" s="6" t="str">
        <f aca="false">IF($H361=FALSE(),"",IF(기념일등록!$G358="",99999,기념일등록!$G358)*1000+ROW())</f>
        <v/>
      </c>
      <c r="J361" s="6" t="str">
        <f aca="false">IF($I361="","",RANK($I361,$I$6:$I$505,1))</f>
        <v/>
      </c>
    </row>
    <row r="362" customFormat="false" ht="15" hidden="false" customHeight="true" outlineLevel="0" collapsed="false">
      <c r="H362" s="26" t="b">
        <f aca="false">IF(기념일등록!$B359="",FALSE(),기념일등록!$F359=$B$3)</f>
        <v>0</v>
      </c>
      <c r="I362" s="6" t="str">
        <f aca="false">IF($H362=FALSE(),"",IF(기념일등록!$G359="",99999,기념일등록!$G359)*1000+ROW())</f>
        <v/>
      </c>
      <c r="J362" s="6" t="str">
        <f aca="false">IF($I362="","",RANK($I362,$I$6:$I$505,1))</f>
        <v/>
      </c>
    </row>
    <row r="363" customFormat="false" ht="15" hidden="false" customHeight="true" outlineLevel="0" collapsed="false">
      <c r="H363" s="26" t="b">
        <f aca="false">IF(기념일등록!$B360="",FALSE(),기념일등록!$F360=$B$3)</f>
        <v>0</v>
      </c>
      <c r="I363" s="6" t="str">
        <f aca="false">IF($H363=FALSE(),"",IF(기념일등록!$G360="",99999,기념일등록!$G360)*1000+ROW())</f>
        <v/>
      </c>
      <c r="J363" s="6" t="str">
        <f aca="false">IF($I363="","",RANK($I363,$I$6:$I$505,1))</f>
        <v/>
      </c>
    </row>
    <row r="364" customFormat="false" ht="15" hidden="false" customHeight="true" outlineLevel="0" collapsed="false">
      <c r="H364" s="26" t="b">
        <f aca="false">IF(기념일등록!$B361="",FALSE(),기념일등록!$F361=$B$3)</f>
        <v>0</v>
      </c>
      <c r="I364" s="6" t="str">
        <f aca="false">IF($H364=FALSE(),"",IF(기념일등록!$G361="",99999,기념일등록!$G361)*1000+ROW())</f>
        <v/>
      </c>
      <c r="J364" s="6" t="str">
        <f aca="false">IF($I364="","",RANK($I364,$I$6:$I$505,1))</f>
        <v/>
      </c>
    </row>
    <row r="365" customFormat="false" ht="15" hidden="false" customHeight="true" outlineLevel="0" collapsed="false">
      <c r="H365" s="26" t="b">
        <f aca="false">IF(기념일등록!$B362="",FALSE(),기념일등록!$F362=$B$3)</f>
        <v>0</v>
      </c>
      <c r="I365" s="6" t="str">
        <f aca="false">IF($H365=FALSE(),"",IF(기념일등록!$G362="",99999,기념일등록!$G362)*1000+ROW())</f>
        <v/>
      </c>
      <c r="J365" s="6" t="str">
        <f aca="false">IF($I365="","",RANK($I365,$I$6:$I$505,1))</f>
        <v/>
      </c>
    </row>
    <row r="366" customFormat="false" ht="15" hidden="false" customHeight="true" outlineLevel="0" collapsed="false">
      <c r="H366" s="26" t="b">
        <f aca="false">IF(기념일등록!$B363="",FALSE(),기념일등록!$F363=$B$3)</f>
        <v>0</v>
      </c>
      <c r="I366" s="6" t="str">
        <f aca="false">IF($H366=FALSE(),"",IF(기념일등록!$G363="",99999,기념일등록!$G363)*1000+ROW())</f>
        <v/>
      </c>
      <c r="J366" s="6" t="str">
        <f aca="false">IF($I366="","",RANK($I366,$I$6:$I$505,1))</f>
        <v/>
      </c>
    </row>
    <row r="367" customFormat="false" ht="15" hidden="false" customHeight="true" outlineLevel="0" collapsed="false">
      <c r="H367" s="26" t="b">
        <f aca="false">IF(기념일등록!$B364="",FALSE(),기념일등록!$F364=$B$3)</f>
        <v>0</v>
      </c>
      <c r="I367" s="6" t="str">
        <f aca="false">IF($H367=FALSE(),"",IF(기념일등록!$G364="",99999,기념일등록!$G364)*1000+ROW())</f>
        <v/>
      </c>
      <c r="J367" s="6" t="str">
        <f aca="false">IF($I367="","",RANK($I367,$I$6:$I$505,1))</f>
        <v/>
      </c>
    </row>
    <row r="368" customFormat="false" ht="15" hidden="false" customHeight="true" outlineLevel="0" collapsed="false">
      <c r="H368" s="26" t="b">
        <f aca="false">IF(기념일등록!$B365="",FALSE(),기념일등록!$F365=$B$3)</f>
        <v>0</v>
      </c>
      <c r="I368" s="6" t="str">
        <f aca="false">IF($H368=FALSE(),"",IF(기념일등록!$G365="",99999,기념일등록!$G365)*1000+ROW())</f>
        <v/>
      </c>
      <c r="J368" s="6" t="str">
        <f aca="false">IF($I368="","",RANK($I368,$I$6:$I$505,1))</f>
        <v/>
      </c>
    </row>
    <row r="369" customFormat="false" ht="15" hidden="false" customHeight="true" outlineLevel="0" collapsed="false">
      <c r="H369" s="26" t="b">
        <f aca="false">IF(기념일등록!$B366="",FALSE(),기념일등록!$F366=$B$3)</f>
        <v>0</v>
      </c>
      <c r="I369" s="6" t="str">
        <f aca="false">IF($H369=FALSE(),"",IF(기념일등록!$G366="",99999,기념일등록!$G366)*1000+ROW())</f>
        <v/>
      </c>
      <c r="J369" s="6" t="str">
        <f aca="false">IF($I369="","",RANK($I369,$I$6:$I$505,1))</f>
        <v/>
      </c>
    </row>
    <row r="370" customFormat="false" ht="15" hidden="false" customHeight="true" outlineLevel="0" collapsed="false">
      <c r="H370" s="26" t="b">
        <f aca="false">IF(기념일등록!$B367="",FALSE(),기념일등록!$F367=$B$3)</f>
        <v>0</v>
      </c>
      <c r="I370" s="6" t="str">
        <f aca="false">IF($H370=FALSE(),"",IF(기념일등록!$G367="",99999,기념일등록!$G367)*1000+ROW())</f>
        <v/>
      </c>
      <c r="J370" s="6" t="str">
        <f aca="false">IF($I370="","",RANK($I370,$I$6:$I$505,1))</f>
        <v/>
      </c>
    </row>
    <row r="371" customFormat="false" ht="15" hidden="false" customHeight="true" outlineLevel="0" collapsed="false">
      <c r="H371" s="26" t="b">
        <f aca="false">IF(기념일등록!$B368="",FALSE(),기념일등록!$F368=$B$3)</f>
        <v>0</v>
      </c>
      <c r="I371" s="6" t="str">
        <f aca="false">IF($H371=FALSE(),"",IF(기념일등록!$G368="",99999,기념일등록!$G368)*1000+ROW())</f>
        <v/>
      </c>
      <c r="J371" s="6" t="str">
        <f aca="false">IF($I371="","",RANK($I371,$I$6:$I$505,1))</f>
        <v/>
      </c>
    </row>
    <row r="372" customFormat="false" ht="15" hidden="false" customHeight="true" outlineLevel="0" collapsed="false">
      <c r="H372" s="26" t="b">
        <f aca="false">IF(기념일등록!$B369="",FALSE(),기념일등록!$F369=$B$3)</f>
        <v>0</v>
      </c>
      <c r="I372" s="6" t="str">
        <f aca="false">IF($H372=FALSE(),"",IF(기념일등록!$G369="",99999,기념일등록!$G369)*1000+ROW())</f>
        <v/>
      </c>
      <c r="J372" s="6" t="str">
        <f aca="false">IF($I372="","",RANK($I372,$I$6:$I$505,1))</f>
        <v/>
      </c>
    </row>
    <row r="373" customFormat="false" ht="15" hidden="false" customHeight="true" outlineLevel="0" collapsed="false">
      <c r="H373" s="26" t="b">
        <f aca="false">IF(기념일등록!$B370="",FALSE(),기념일등록!$F370=$B$3)</f>
        <v>0</v>
      </c>
      <c r="I373" s="6" t="str">
        <f aca="false">IF($H373=FALSE(),"",IF(기념일등록!$G370="",99999,기념일등록!$G370)*1000+ROW())</f>
        <v/>
      </c>
      <c r="J373" s="6" t="str">
        <f aca="false">IF($I373="","",RANK($I373,$I$6:$I$505,1))</f>
        <v/>
      </c>
    </row>
    <row r="374" customFormat="false" ht="15" hidden="false" customHeight="true" outlineLevel="0" collapsed="false">
      <c r="H374" s="26" t="b">
        <f aca="false">IF(기념일등록!$B371="",FALSE(),기념일등록!$F371=$B$3)</f>
        <v>0</v>
      </c>
      <c r="I374" s="6" t="str">
        <f aca="false">IF($H374=FALSE(),"",IF(기념일등록!$G371="",99999,기념일등록!$G371)*1000+ROW())</f>
        <v/>
      </c>
      <c r="J374" s="6" t="str">
        <f aca="false">IF($I374="","",RANK($I374,$I$6:$I$505,1))</f>
        <v/>
      </c>
    </row>
    <row r="375" customFormat="false" ht="15" hidden="false" customHeight="true" outlineLevel="0" collapsed="false">
      <c r="H375" s="26" t="b">
        <f aca="false">IF(기념일등록!$B372="",FALSE(),기념일등록!$F372=$B$3)</f>
        <v>0</v>
      </c>
      <c r="I375" s="6" t="str">
        <f aca="false">IF($H375=FALSE(),"",IF(기념일등록!$G372="",99999,기념일등록!$G372)*1000+ROW())</f>
        <v/>
      </c>
      <c r="J375" s="6" t="str">
        <f aca="false">IF($I375="","",RANK($I375,$I$6:$I$505,1))</f>
        <v/>
      </c>
    </row>
    <row r="376" customFormat="false" ht="15" hidden="false" customHeight="true" outlineLevel="0" collapsed="false">
      <c r="H376" s="26" t="b">
        <f aca="false">IF(기념일등록!$B373="",FALSE(),기념일등록!$F373=$B$3)</f>
        <v>0</v>
      </c>
      <c r="I376" s="6" t="str">
        <f aca="false">IF($H376=FALSE(),"",IF(기념일등록!$G373="",99999,기념일등록!$G373)*1000+ROW())</f>
        <v/>
      </c>
      <c r="J376" s="6" t="str">
        <f aca="false">IF($I376="","",RANK($I376,$I$6:$I$505,1))</f>
        <v/>
      </c>
    </row>
    <row r="377" customFormat="false" ht="15" hidden="false" customHeight="true" outlineLevel="0" collapsed="false">
      <c r="H377" s="26" t="b">
        <f aca="false">IF(기념일등록!$B374="",FALSE(),기념일등록!$F374=$B$3)</f>
        <v>0</v>
      </c>
      <c r="I377" s="6" t="str">
        <f aca="false">IF($H377=FALSE(),"",IF(기념일등록!$G374="",99999,기념일등록!$G374)*1000+ROW())</f>
        <v/>
      </c>
      <c r="J377" s="6" t="str">
        <f aca="false">IF($I377="","",RANK($I377,$I$6:$I$505,1))</f>
        <v/>
      </c>
    </row>
    <row r="378" customFormat="false" ht="15" hidden="false" customHeight="true" outlineLevel="0" collapsed="false">
      <c r="H378" s="26" t="b">
        <f aca="false">IF(기념일등록!$B375="",FALSE(),기념일등록!$F375=$B$3)</f>
        <v>0</v>
      </c>
      <c r="I378" s="6" t="str">
        <f aca="false">IF($H378=FALSE(),"",IF(기념일등록!$G375="",99999,기념일등록!$G375)*1000+ROW())</f>
        <v/>
      </c>
      <c r="J378" s="6" t="str">
        <f aca="false">IF($I378="","",RANK($I378,$I$6:$I$505,1))</f>
        <v/>
      </c>
    </row>
    <row r="379" customFormat="false" ht="15" hidden="false" customHeight="true" outlineLevel="0" collapsed="false">
      <c r="H379" s="26" t="b">
        <f aca="false">IF(기념일등록!$B376="",FALSE(),기념일등록!$F376=$B$3)</f>
        <v>0</v>
      </c>
      <c r="I379" s="6" t="str">
        <f aca="false">IF($H379=FALSE(),"",IF(기념일등록!$G376="",99999,기념일등록!$G376)*1000+ROW())</f>
        <v/>
      </c>
      <c r="J379" s="6" t="str">
        <f aca="false">IF($I379="","",RANK($I379,$I$6:$I$505,1))</f>
        <v/>
      </c>
    </row>
    <row r="380" customFormat="false" ht="15" hidden="false" customHeight="true" outlineLevel="0" collapsed="false">
      <c r="H380" s="26" t="b">
        <f aca="false">IF(기념일등록!$B377="",FALSE(),기념일등록!$F377=$B$3)</f>
        <v>0</v>
      </c>
      <c r="I380" s="6" t="str">
        <f aca="false">IF($H380=FALSE(),"",IF(기념일등록!$G377="",99999,기념일등록!$G377)*1000+ROW())</f>
        <v/>
      </c>
      <c r="J380" s="6" t="str">
        <f aca="false">IF($I380="","",RANK($I380,$I$6:$I$505,1))</f>
        <v/>
      </c>
    </row>
    <row r="381" customFormat="false" ht="15" hidden="false" customHeight="true" outlineLevel="0" collapsed="false">
      <c r="H381" s="26" t="b">
        <f aca="false">IF(기념일등록!$B378="",FALSE(),기념일등록!$F378=$B$3)</f>
        <v>0</v>
      </c>
      <c r="I381" s="6" t="str">
        <f aca="false">IF($H381=FALSE(),"",IF(기념일등록!$G378="",99999,기념일등록!$G378)*1000+ROW())</f>
        <v/>
      </c>
      <c r="J381" s="6" t="str">
        <f aca="false">IF($I381="","",RANK($I381,$I$6:$I$505,1))</f>
        <v/>
      </c>
    </row>
    <row r="382" customFormat="false" ht="15" hidden="false" customHeight="true" outlineLevel="0" collapsed="false">
      <c r="H382" s="26" t="b">
        <f aca="false">IF(기념일등록!$B379="",FALSE(),기념일등록!$F379=$B$3)</f>
        <v>0</v>
      </c>
      <c r="I382" s="6" t="str">
        <f aca="false">IF($H382=FALSE(),"",IF(기념일등록!$G379="",99999,기념일등록!$G379)*1000+ROW())</f>
        <v/>
      </c>
      <c r="J382" s="6" t="str">
        <f aca="false">IF($I382="","",RANK($I382,$I$6:$I$505,1))</f>
        <v/>
      </c>
    </row>
    <row r="383" customFormat="false" ht="15" hidden="false" customHeight="true" outlineLevel="0" collapsed="false">
      <c r="H383" s="26" t="b">
        <f aca="false">IF(기념일등록!$B380="",FALSE(),기념일등록!$F380=$B$3)</f>
        <v>0</v>
      </c>
      <c r="I383" s="6" t="str">
        <f aca="false">IF($H383=FALSE(),"",IF(기념일등록!$G380="",99999,기념일등록!$G380)*1000+ROW())</f>
        <v/>
      </c>
      <c r="J383" s="6" t="str">
        <f aca="false">IF($I383="","",RANK($I383,$I$6:$I$505,1))</f>
        <v/>
      </c>
    </row>
    <row r="384" customFormat="false" ht="15" hidden="false" customHeight="true" outlineLevel="0" collapsed="false">
      <c r="H384" s="26" t="b">
        <f aca="false">IF(기념일등록!$B381="",FALSE(),기념일등록!$F381=$B$3)</f>
        <v>0</v>
      </c>
      <c r="I384" s="6" t="str">
        <f aca="false">IF($H384=FALSE(),"",IF(기념일등록!$G381="",99999,기념일등록!$G381)*1000+ROW())</f>
        <v/>
      </c>
      <c r="J384" s="6" t="str">
        <f aca="false">IF($I384="","",RANK($I384,$I$6:$I$505,1))</f>
        <v/>
      </c>
    </row>
    <row r="385" customFormat="false" ht="15" hidden="false" customHeight="true" outlineLevel="0" collapsed="false">
      <c r="H385" s="26" t="b">
        <f aca="false">IF(기념일등록!$B382="",FALSE(),기념일등록!$F382=$B$3)</f>
        <v>0</v>
      </c>
      <c r="I385" s="6" t="str">
        <f aca="false">IF($H385=FALSE(),"",IF(기념일등록!$G382="",99999,기념일등록!$G382)*1000+ROW())</f>
        <v/>
      </c>
      <c r="J385" s="6" t="str">
        <f aca="false">IF($I385="","",RANK($I385,$I$6:$I$505,1))</f>
        <v/>
      </c>
    </row>
    <row r="386" customFormat="false" ht="15" hidden="false" customHeight="true" outlineLevel="0" collapsed="false">
      <c r="H386" s="26" t="b">
        <f aca="false">IF(기념일등록!$B383="",FALSE(),기념일등록!$F383=$B$3)</f>
        <v>0</v>
      </c>
      <c r="I386" s="6" t="str">
        <f aca="false">IF($H386=FALSE(),"",IF(기념일등록!$G383="",99999,기념일등록!$G383)*1000+ROW())</f>
        <v/>
      </c>
      <c r="J386" s="6" t="str">
        <f aca="false">IF($I386="","",RANK($I386,$I$6:$I$505,1))</f>
        <v/>
      </c>
    </row>
    <row r="387" customFormat="false" ht="15" hidden="false" customHeight="true" outlineLevel="0" collapsed="false">
      <c r="H387" s="26" t="b">
        <f aca="false">IF(기념일등록!$B384="",FALSE(),기념일등록!$F384=$B$3)</f>
        <v>0</v>
      </c>
      <c r="I387" s="6" t="str">
        <f aca="false">IF($H387=FALSE(),"",IF(기념일등록!$G384="",99999,기념일등록!$G384)*1000+ROW())</f>
        <v/>
      </c>
      <c r="J387" s="6" t="str">
        <f aca="false">IF($I387="","",RANK($I387,$I$6:$I$505,1))</f>
        <v/>
      </c>
    </row>
    <row r="388" customFormat="false" ht="15" hidden="false" customHeight="true" outlineLevel="0" collapsed="false">
      <c r="H388" s="26" t="b">
        <f aca="false">IF(기념일등록!$B385="",FALSE(),기념일등록!$F385=$B$3)</f>
        <v>0</v>
      </c>
      <c r="I388" s="6" t="str">
        <f aca="false">IF($H388=FALSE(),"",IF(기념일등록!$G385="",99999,기념일등록!$G385)*1000+ROW())</f>
        <v/>
      </c>
      <c r="J388" s="6" t="str">
        <f aca="false">IF($I388="","",RANK($I388,$I$6:$I$505,1))</f>
        <v/>
      </c>
    </row>
    <row r="389" customFormat="false" ht="15" hidden="false" customHeight="true" outlineLevel="0" collapsed="false">
      <c r="H389" s="26" t="b">
        <f aca="false">IF(기념일등록!$B386="",FALSE(),기념일등록!$F386=$B$3)</f>
        <v>0</v>
      </c>
      <c r="I389" s="6" t="str">
        <f aca="false">IF($H389=FALSE(),"",IF(기념일등록!$G386="",99999,기념일등록!$G386)*1000+ROW())</f>
        <v/>
      </c>
      <c r="J389" s="6" t="str">
        <f aca="false">IF($I389="","",RANK($I389,$I$6:$I$505,1))</f>
        <v/>
      </c>
    </row>
    <row r="390" customFormat="false" ht="15" hidden="false" customHeight="true" outlineLevel="0" collapsed="false">
      <c r="H390" s="26" t="b">
        <f aca="false">IF(기념일등록!$B387="",FALSE(),기념일등록!$F387=$B$3)</f>
        <v>0</v>
      </c>
      <c r="I390" s="6" t="str">
        <f aca="false">IF($H390=FALSE(),"",IF(기념일등록!$G387="",99999,기념일등록!$G387)*1000+ROW())</f>
        <v/>
      </c>
      <c r="J390" s="6" t="str">
        <f aca="false">IF($I390="","",RANK($I390,$I$6:$I$505,1))</f>
        <v/>
      </c>
    </row>
    <row r="391" customFormat="false" ht="15" hidden="false" customHeight="true" outlineLevel="0" collapsed="false">
      <c r="H391" s="26" t="b">
        <f aca="false">IF(기념일등록!$B388="",FALSE(),기념일등록!$F388=$B$3)</f>
        <v>0</v>
      </c>
      <c r="I391" s="6" t="str">
        <f aca="false">IF($H391=FALSE(),"",IF(기념일등록!$G388="",99999,기념일등록!$G388)*1000+ROW())</f>
        <v/>
      </c>
      <c r="J391" s="6" t="str">
        <f aca="false">IF($I391="","",RANK($I391,$I$6:$I$505,1))</f>
        <v/>
      </c>
    </row>
    <row r="392" customFormat="false" ht="15" hidden="false" customHeight="true" outlineLevel="0" collapsed="false">
      <c r="H392" s="26" t="b">
        <f aca="false">IF(기념일등록!$B389="",FALSE(),기념일등록!$F389=$B$3)</f>
        <v>0</v>
      </c>
      <c r="I392" s="6" t="str">
        <f aca="false">IF($H392=FALSE(),"",IF(기념일등록!$G389="",99999,기념일등록!$G389)*1000+ROW())</f>
        <v/>
      </c>
      <c r="J392" s="6" t="str">
        <f aca="false">IF($I392="","",RANK($I392,$I$6:$I$505,1))</f>
        <v/>
      </c>
    </row>
    <row r="393" customFormat="false" ht="15" hidden="false" customHeight="true" outlineLevel="0" collapsed="false">
      <c r="H393" s="26" t="b">
        <f aca="false">IF(기념일등록!$B390="",FALSE(),기념일등록!$F390=$B$3)</f>
        <v>0</v>
      </c>
      <c r="I393" s="6" t="str">
        <f aca="false">IF($H393=FALSE(),"",IF(기념일등록!$G390="",99999,기념일등록!$G390)*1000+ROW())</f>
        <v/>
      </c>
      <c r="J393" s="6" t="str">
        <f aca="false">IF($I393="","",RANK($I393,$I$6:$I$505,1))</f>
        <v/>
      </c>
    </row>
    <row r="394" customFormat="false" ht="15" hidden="false" customHeight="true" outlineLevel="0" collapsed="false">
      <c r="H394" s="26" t="b">
        <f aca="false">IF(기념일등록!$B391="",FALSE(),기념일등록!$F391=$B$3)</f>
        <v>0</v>
      </c>
      <c r="I394" s="6" t="str">
        <f aca="false">IF($H394=FALSE(),"",IF(기념일등록!$G391="",99999,기념일등록!$G391)*1000+ROW())</f>
        <v/>
      </c>
      <c r="J394" s="6" t="str">
        <f aca="false">IF($I394="","",RANK($I394,$I$6:$I$505,1))</f>
        <v/>
      </c>
    </row>
    <row r="395" customFormat="false" ht="15" hidden="false" customHeight="true" outlineLevel="0" collapsed="false">
      <c r="H395" s="26" t="b">
        <f aca="false">IF(기념일등록!$B392="",FALSE(),기념일등록!$F392=$B$3)</f>
        <v>0</v>
      </c>
      <c r="I395" s="6" t="str">
        <f aca="false">IF($H395=FALSE(),"",IF(기념일등록!$G392="",99999,기념일등록!$G392)*1000+ROW())</f>
        <v/>
      </c>
      <c r="J395" s="6" t="str">
        <f aca="false">IF($I395="","",RANK($I395,$I$6:$I$505,1))</f>
        <v/>
      </c>
    </row>
    <row r="396" customFormat="false" ht="15" hidden="false" customHeight="true" outlineLevel="0" collapsed="false">
      <c r="H396" s="26" t="b">
        <f aca="false">IF(기념일등록!$B393="",FALSE(),기념일등록!$F393=$B$3)</f>
        <v>0</v>
      </c>
      <c r="I396" s="6" t="str">
        <f aca="false">IF($H396=FALSE(),"",IF(기념일등록!$G393="",99999,기념일등록!$G393)*1000+ROW())</f>
        <v/>
      </c>
      <c r="J396" s="6" t="str">
        <f aca="false">IF($I396="","",RANK($I396,$I$6:$I$505,1))</f>
        <v/>
      </c>
    </row>
    <row r="397" customFormat="false" ht="15" hidden="false" customHeight="true" outlineLevel="0" collapsed="false">
      <c r="H397" s="26" t="b">
        <f aca="false">IF(기념일등록!$B394="",FALSE(),기념일등록!$F394=$B$3)</f>
        <v>0</v>
      </c>
      <c r="I397" s="6" t="str">
        <f aca="false">IF($H397=FALSE(),"",IF(기념일등록!$G394="",99999,기념일등록!$G394)*1000+ROW())</f>
        <v/>
      </c>
      <c r="J397" s="6" t="str">
        <f aca="false">IF($I397="","",RANK($I397,$I$6:$I$505,1))</f>
        <v/>
      </c>
    </row>
    <row r="398" customFormat="false" ht="15" hidden="false" customHeight="true" outlineLevel="0" collapsed="false">
      <c r="H398" s="26" t="b">
        <f aca="false">IF(기념일등록!$B395="",FALSE(),기념일등록!$F395=$B$3)</f>
        <v>0</v>
      </c>
      <c r="I398" s="6" t="str">
        <f aca="false">IF($H398=FALSE(),"",IF(기념일등록!$G395="",99999,기념일등록!$G395)*1000+ROW())</f>
        <v/>
      </c>
      <c r="J398" s="6" t="str">
        <f aca="false">IF($I398="","",RANK($I398,$I$6:$I$505,1))</f>
        <v/>
      </c>
    </row>
    <row r="399" customFormat="false" ht="15" hidden="false" customHeight="true" outlineLevel="0" collapsed="false">
      <c r="H399" s="26" t="b">
        <f aca="false">IF(기념일등록!$B396="",FALSE(),기념일등록!$F396=$B$3)</f>
        <v>0</v>
      </c>
      <c r="I399" s="6" t="str">
        <f aca="false">IF($H399=FALSE(),"",IF(기념일등록!$G396="",99999,기념일등록!$G396)*1000+ROW())</f>
        <v/>
      </c>
      <c r="J399" s="6" t="str">
        <f aca="false">IF($I399="","",RANK($I399,$I$6:$I$505,1))</f>
        <v/>
      </c>
    </row>
    <row r="400" customFormat="false" ht="15" hidden="false" customHeight="true" outlineLevel="0" collapsed="false">
      <c r="H400" s="26" t="b">
        <f aca="false">IF(기념일등록!$B397="",FALSE(),기념일등록!$F397=$B$3)</f>
        <v>0</v>
      </c>
      <c r="I400" s="6" t="str">
        <f aca="false">IF($H400=FALSE(),"",IF(기념일등록!$G397="",99999,기념일등록!$G397)*1000+ROW())</f>
        <v/>
      </c>
      <c r="J400" s="6" t="str">
        <f aca="false">IF($I400="","",RANK($I400,$I$6:$I$505,1))</f>
        <v/>
      </c>
    </row>
    <row r="401" customFormat="false" ht="15" hidden="false" customHeight="true" outlineLevel="0" collapsed="false">
      <c r="H401" s="26" t="b">
        <f aca="false">IF(기념일등록!$B398="",FALSE(),기념일등록!$F398=$B$3)</f>
        <v>0</v>
      </c>
      <c r="I401" s="6" t="str">
        <f aca="false">IF($H401=FALSE(),"",IF(기념일등록!$G398="",99999,기념일등록!$G398)*1000+ROW())</f>
        <v/>
      </c>
      <c r="J401" s="6" t="str">
        <f aca="false">IF($I401="","",RANK($I401,$I$6:$I$505,1))</f>
        <v/>
      </c>
    </row>
    <row r="402" customFormat="false" ht="15" hidden="false" customHeight="true" outlineLevel="0" collapsed="false">
      <c r="H402" s="26" t="b">
        <f aca="false">IF(기념일등록!$B399="",FALSE(),기념일등록!$F399=$B$3)</f>
        <v>0</v>
      </c>
      <c r="I402" s="6" t="str">
        <f aca="false">IF($H402=FALSE(),"",IF(기념일등록!$G399="",99999,기념일등록!$G399)*1000+ROW())</f>
        <v/>
      </c>
      <c r="J402" s="6" t="str">
        <f aca="false">IF($I402="","",RANK($I402,$I$6:$I$505,1))</f>
        <v/>
      </c>
    </row>
    <row r="403" customFormat="false" ht="15" hidden="false" customHeight="true" outlineLevel="0" collapsed="false">
      <c r="H403" s="26" t="b">
        <f aca="false">IF(기념일등록!$B400="",FALSE(),기념일등록!$F400=$B$3)</f>
        <v>0</v>
      </c>
      <c r="I403" s="6" t="str">
        <f aca="false">IF($H403=FALSE(),"",IF(기념일등록!$G400="",99999,기념일등록!$G400)*1000+ROW())</f>
        <v/>
      </c>
      <c r="J403" s="6" t="str">
        <f aca="false">IF($I403="","",RANK($I403,$I$6:$I$505,1))</f>
        <v/>
      </c>
    </row>
    <row r="404" customFormat="false" ht="15" hidden="false" customHeight="true" outlineLevel="0" collapsed="false">
      <c r="H404" s="26" t="b">
        <f aca="false">IF(기념일등록!$B401="",FALSE(),기념일등록!$F401=$B$3)</f>
        <v>0</v>
      </c>
      <c r="I404" s="6" t="str">
        <f aca="false">IF($H404=FALSE(),"",IF(기념일등록!$G401="",99999,기념일등록!$G401)*1000+ROW())</f>
        <v/>
      </c>
      <c r="J404" s="6" t="str">
        <f aca="false">IF($I404="","",RANK($I404,$I$6:$I$505,1))</f>
        <v/>
      </c>
    </row>
    <row r="405" customFormat="false" ht="15" hidden="false" customHeight="true" outlineLevel="0" collapsed="false">
      <c r="H405" s="26" t="b">
        <f aca="false">IF(기념일등록!$B402="",FALSE(),기념일등록!$F402=$B$3)</f>
        <v>0</v>
      </c>
      <c r="I405" s="6" t="str">
        <f aca="false">IF($H405=FALSE(),"",IF(기념일등록!$G402="",99999,기념일등록!$G402)*1000+ROW())</f>
        <v/>
      </c>
      <c r="J405" s="6" t="str">
        <f aca="false">IF($I405="","",RANK($I405,$I$6:$I$505,1))</f>
        <v/>
      </c>
    </row>
    <row r="406" customFormat="false" ht="15" hidden="false" customHeight="true" outlineLevel="0" collapsed="false">
      <c r="H406" s="26" t="b">
        <f aca="false">IF(기념일등록!$B403="",FALSE(),기념일등록!$F403=$B$3)</f>
        <v>0</v>
      </c>
      <c r="I406" s="6" t="str">
        <f aca="false">IF($H406=FALSE(),"",IF(기념일등록!$G403="",99999,기념일등록!$G403)*1000+ROW())</f>
        <v/>
      </c>
      <c r="J406" s="6" t="str">
        <f aca="false">IF($I406="","",RANK($I406,$I$6:$I$505,1))</f>
        <v/>
      </c>
    </row>
    <row r="407" customFormat="false" ht="15" hidden="false" customHeight="true" outlineLevel="0" collapsed="false">
      <c r="H407" s="26" t="b">
        <f aca="false">IF(기념일등록!$B404="",FALSE(),기념일등록!$F404=$B$3)</f>
        <v>0</v>
      </c>
      <c r="I407" s="6" t="str">
        <f aca="false">IF($H407=FALSE(),"",IF(기념일등록!$G404="",99999,기념일등록!$G404)*1000+ROW())</f>
        <v/>
      </c>
      <c r="J407" s="6" t="str">
        <f aca="false">IF($I407="","",RANK($I407,$I$6:$I$505,1))</f>
        <v/>
      </c>
    </row>
    <row r="408" customFormat="false" ht="15" hidden="false" customHeight="true" outlineLevel="0" collapsed="false">
      <c r="H408" s="26" t="b">
        <f aca="false">IF(기념일등록!$B405="",FALSE(),기념일등록!$F405=$B$3)</f>
        <v>0</v>
      </c>
      <c r="I408" s="6" t="str">
        <f aca="false">IF($H408=FALSE(),"",IF(기념일등록!$G405="",99999,기념일등록!$G405)*1000+ROW())</f>
        <v/>
      </c>
      <c r="J408" s="6" t="str">
        <f aca="false">IF($I408="","",RANK($I408,$I$6:$I$505,1))</f>
        <v/>
      </c>
    </row>
    <row r="409" customFormat="false" ht="15" hidden="false" customHeight="true" outlineLevel="0" collapsed="false">
      <c r="H409" s="26" t="b">
        <f aca="false">IF(기념일등록!$B406="",FALSE(),기념일등록!$F406=$B$3)</f>
        <v>0</v>
      </c>
      <c r="I409" s="6" t="str">
        <f aca="false">IF($H409=FALSE(),"",IF(기념일등록!$G406="",99999,기념일등록!$G406)*1000+ROW())</f>
        <v/>
      </c>
      <c r="J409" s="6" t="str">
        <f aca="false">IF($I409="","",RANK($I409,$I$6:$I$505,1))</f>
        <v/>
      </c>
    </row>
    <row r="410" customFormat="false" ht="15" hidden="false" customHeight="true" outlineLevel="0" collapsed="false">
      <c r="H410" s="26" t="b">
        <f aca="false">IF(기념일등록!$B407="",FALSE(),기념일등록!$F407=$B$3)</f>
        <v>0</v>
      </c>
      <c r="I410" s="6" t="str">
        <f aca="false">IF($H410=FALSE(),"",IF(기념일등록!$G407="",99999,기념일등록!$G407)*1000+ROW())</f>
        <v/>
      </c>
      <c r="J410" s="6" t="str">
        <f aca="false">IF($I410="","",RANK($I410,$I$6:$I$505,1))</f>
        <v/>
      </c>
    </row>
    <row r="411" customFormat="false" ht="15" hidden="false" customHeight="true" outlineLevel="0" collapsed="false">
      <c r="H411" s="26" t="b">
        <f aca="false">IF(기념일등록!$B408="",FALSE(),기념일등록!$F408=$B$3)</f>
        <v>0</v>
      </c>
      <c r="I411" s="6" t="str">
        <f aca="false">IF($H411=FALSE(),"",IF(기념일등록!$G408="",99999,기념일등록!$G408)*1000+ROW())</f>
        <v/>
      </c>
      <c r="J411" s="6" t="str">
        <f aca="false">IF($I411="","",RANK($I411,$I$6:$I$505,1))</f>
        <v/>
      </c>
    </row>
    <row r="412" customFormat="false" ht="15" hidden="false" customHeight="true" outlineLevel="0" collapsed="false">
      <c r="H412" s="26" t="b">
        <f aca="false">IF(기념일등록!$B409="",FALSE(),기념일등록!$F409=$B$3)</f>
        <v>0</v>
      </c>
      <c r="I412" s="6" t="str">
        <f aca="false">IF($H412=FALSE(),"",IF(기념일등록!$G409="",99999,기념일등록!$G409)*1000+ROW())</f>
        <v/>
      </c>
      <c r="J412" s="6" t="str">
        <f aca="false">IF($I412="","",RANK($I412,$I$6:$I$505,1))</f>
        <v/>
      </c>
    </row>
    <row r="413" customFormat="false" ht="15" hidden="false" customHeight="true" outlineLevel="0" collapsed="false">
      <c r="H413" s="26" t="b">
        <f aca="false">IF(기념일등록!$B410="",FALSE(),기념일등록!$F410=$B$3)</f>
        <v>0</v>
      </c>
      <c r="I413" s="6" t="str">
        <f aca="false">IF($H413=FALSE(),"",IF(기념일등록!$G410="",99999,기념일등록!$G410)*1000+ROW())</f>
        <v/>
      </c>
      <c r="J413" s="6" t="str">
        <f aca="false">IF($I413="","",RANK($I413,$I$6:$I$505,1))</f>
        <v/>
      </c>
    </row>
    <row r="414" customFormat="false" ht="15" hidden="false" customHeight="true" outlineLevel="0" collapsed="false">
      <c r="H414" s="26" t="b">
        <f aca="false">IF(기념일등록!$B411="",FALSE(),기념일등록!$F411=$B$3)</f>
        <v>0</v>
      </c>
      <c r="I414" s="6" t="str">
        <f aca="false">IF($H414=FALSE(),"",IF(기념일등록!$G411="",99999,기념일등록!$G411)*1000+ROW())</f>
        <v/>
      </c>
      <c r="J414" s="6" t="str">
        <f aca="false">IF($I414="","",RANK($I414,$I$6:$I$505,1))</f>
        <v/>
      </c>
    </row>
    <row r="415" customFormat="false" ht="15" hidden="false" customHeight="true" outlineLevel="0" collapsed="false">
      <c r="H415" s="26" t="b">
        <f aca="false">IF(기념일등록!$B412="",FALSE(),기념일등록!$F412=$B$3)</f>
        <v>0</v>
      </c>
      <c r="I415" s="6" t="str">
        <f aca="false">IF($H415=FALSE(),"",IF(기념일등록!$G412="",99999,기념일등록!$G412)*1000+ROW())</f>
        <v/>
      </c>
      <c r="J415" s="6" t="str">
        <f aca="false">IF($I415="","",RANK($I415,$I$6:$I$505,1))</f>
        <v/>
      </c>
    </row>
    <row r="416" customFormat="false" ht="15" hidden="false" customHeight="true" outlineLevel="0" collapsed="false">
      <c r="H416" s="26" t="b">
        <f aca="false">IF(기념일등록!$B413="",FALSE(),기념일등록!$F413=$B$3)</f>
        <v>0</v>
      </c>
      <c r="I416" s="6" t="str">
        <f aca="false">IF($H416=FALSE(),"",IF(기념일등록!$G413="",99999,기념일등록!$G413)*1000+ROW())</f>
        <v/>
      </c>
      <c r="J416" s="6" t="str">
        <f aca="false">IF($I416="","",RANK($I416,$I$6:$I$505,1))</f>
        <v/>
      </c>
    </row>
    <row r="417" customFormat="false" ht="15" hidden="false" customHeight="true" outlineLevel="0" collapsed="false">
      <c r="H417" s="26" t="b">
        <f aca="false">IF(기념일등록!$B414="",FALSE(),기념일등록!$F414=$B$3)</f>
        <v>0</v>
      </c>
      <c r="I417" s="6" t="str">
        <f aca="false">IF($H417=FALSE(),"",IF(기념일등록!$G414="",99999,기념일등록!$G414)*1000+ROW())</f>
        <v/>
      </c>
      <c r="J417" s="6" t="str">
        <f aca="false">IF($I417="","",RANK($I417,$I$6:$I$505,1))</f>
        <v/>
      </c>
    </row>
    <row r="418" customFormat="false" ht="15" hidden="false" customHeight="true" outlineLevel="0" collapsed="false">
      <c r="H418" s="26" t="b">
        <f aca="false">IF(기념일등록!$B415="",FALSE(),기념일등록!$F415=$B$3)</f>
        <v>0</v>
      </c>
      <c r="I418" s="6" t="str">
        <f aca="false">IF($H418=FALSE(),"",IF(기념일등록!$G415="",99999,기념일등록!$G415)*1000+ROW())</f>
        <v/>
      </c>
      <c r="J418" s="6" t="str">
        <f aca="false">IF($I418="","",RANK($I418,$I$6:$I$505,1))</f>
        <v/>
      </c>
    </row>
    <row r="419" customFormat="false" ht="15" hidden="false" customHeight="true" outlineLevel="0" collapsed="false">
      <c r="H419" s="26" t="b">
        <f aca="false">IF(기념일등록!$B416="",FALSE(),기념일등록!$F416=$B$3)</f>
        <v>0</v>
      </c>
      <c r="I419" s="6" t="str">
        <f aca="false">IF($H419=FALSE(),"",IF(기념일등록!$G416="",99999,기념일등록!$G416)*1000+ROW())</f>
        <v/>
      </c>
      <c r="J419" s="6" t="str">
        <f aca="false">IF($I419="","",RANK($I419,$I$6:$I$505,1))</f>
        <v/>
      </c>
    </row>
    <row r="420" customFormat="false" ht="15" hidden="false" customHeight="true" outlineLevel="0" collapsed="false">
      <c r="H420" s="26" t="b">
        <f aca="false">IF(기념일등록!$B417="",FALSE(),기념일등록!$F417=$B$3)</f>
        <v>0</v>
      </c>
      <c r="I420" s="6" t="str">
        <f aca="false">IF($H420=FALSE(),"",IF(기념일등록!$G417="",99999,기념일등록!$G417)*1000+ROW())</f>
        <v/>
      </c>
      <c r="J420" s="6" t="str">
        <f aca="false">IF($I420="","",RANK($I420,$I$6:$I$505,1))</f>
        <v/>
      </c>
    </row>
    <row r="421" customFormat="false" ht="15" hidden="false" customHeight="true" outlineLevel="0" collapsed="false">
      <c r="H421" s="26" t="b">
        <f aca="false">IF(기념일등록!$B418="",FALSE(),기념일등록!$F418=$B$3)</f>
        <v>0</v>
      </c>
      <c r="I421" s="6" t="str">
        <f aca="false">IF($H421=FALSE(),"",IF(기념일등록!$G418="",99999,기념일등록!$G418)*1000+ROW())</f>
        <v/>
      </c>
      <c r="J421" s="6" t="str">
        <f aca="false">IF($I421="","",RANK($I421,$I$6:$I$505,1))</f>
        <v/>
      </c>
    </row>
    <row r="422" customFormat="false" ht="15" hidden="false" customHeight="true" outlineLevel="0" collapsed="false">
      <c r="H422" s="26" t="b">
        <f aca="false">IF(기념일등록!$B419="",FALSE(),기념일등록!$F419=$B$3)</f>
        <v>0</v>
      </c>
      <c r="I422" s="6" t="str">
        <f aca="false">IF($H422=FALSE(),"",IF(기념일등록!$G419="",99999,기념일등록!$G419)*1000+ROW())</f>
        <v/>
      </c>
      <c r="J422" s="6" t="str">
        <f aca="false">IF($I422="","",RANK($I422,$I$6:$I$505,1))</f>
        <v/>
      </c>
    </row>
    <row r="423" customFormat="false" ht="15" hidden="false" customHeight="true" outlineLevel="0" collapsed="false">
      <c r="H423" s="26" t="b">
        <f aca="false">IF(기념일등록!$B420="",FALSE(),기념일등록!$F420=$B$3)</f>
        <v>0</v>
      </c>
      <c r="I423" s="6" t="str">
        <f aca="false">IF($H423=FALSE(),"",IF(기념일등록!$G420="",99999,기념일등록!$G420)*1000+ROW())</f>
        <v/>
      </c>
      <c r="J423" s="6" t="str">
        <f aca="false">IF($I423="","",RANK($I423,$I$6:$I$505,1))</f>
        <v/>
      </c>
    </row>
    <row r="424" customFormat="false" ht="15" hidden="false" customHeight="true" outlineLevel="0" collapsed="false">
      <c r="H424" s="26" t="b">
        <f aca="false">IF(기념일등록!$B421="",FALSE(),기념일등록!$F421=$B$3)</f>
        <v>0</v>
      </c>
      <c r="I424" s="6" t="str">
        <f aca="false">IF($H424=FALSE(),"",IF(기념일등록!$G421="",99999,기념일등록!$G421)*1000+ROW())</f>
        <v/>
      </c>
      <c r="J424" s="6" t="str">
        <f aca="false">IF($I424="","",RANK($I424,$I$6:$I$505,1))</f>
        <v/>
      </c>
    </row>
    <row r="425" customFormat="false" ht="15" hidden="false" customHeight="true" outlineLevel="0" collapsed="false">
      <c r="H425" s="26" t="b">
        <f aca="false">IF(기념일등록!$B422="",FALSE(),기념일등록!$F422=$B$3)</f>
        <v>0</v>
      </c>
      <c r="I425" s="6" t="str">
        <f aca="false">IF($H425=FALSE(),"",IF(기념일등록!$G422="",99999,기념일등록!$G422)*1000+ROW())</f>
        <v/>
      </c>
      <c r="J425" s="6" t="str">
        <f aca="false">IF($I425="","",RANK($I425,$I$6:$I$505,1))</f>
        <v/>
      </c>
    </row>
    <row r="426" customFormat="false" ht="15" hidden="false" customHeight="true" outlineLevel="0" collapsed="false">
      <c r="H426" s="26" t="b">
        <f aca="false">IF(기념일등록!$B423="",FALSE(),기념일등록!$F423=$B$3)</f>
        <v>0</v>
      </c>
      <c r="I426" s="6" t="str">
        <f aca="false">IF($H426=FALSE(),"",IF(기념일등록!$G423="",99999,기념일등록!$G423)*1000+ROW())</f>
        <v/>
      </c>
      <c r="J426" s="6" t="str">
        <f aca="false">IF($I426="","",RANK($I426,$I$6:$I$505,1))</f>
        <v/>
      </c>
    </row>
    <row r="427" customFormat="false" ht="15" hidden="false" customHeight="true" outlineLevel="0" collapsed="false">
      <c r="H427" s="26" t="b">
        <f aca="false">IF(기념일등록!$B424="",FALSE(),기념일등록!$F424=$B$3)</f>
        <v>0</v>
      </c>
      <c r="I427" s="6" t="str">
        <f aca="false">IF($H427=FALSE(),"",IF(기념일등록!$G424="",99999,기념일등록!$G424)*1000+ROW())</f>
        <v/>
      </c>
      <c r="J427" s="6" t="str">
        <f aca="false">IF($I427="","",RANK($I427,$I$6:$I$505,1))</f>
        <v/>
      </c>
    </row>
    <row r="428" customFormat="false" ht="15" hidden="false" customHeight="true" outlineLevel="0" collapsed="false">
      <c r="H428" s="26" t="b">
        <f aca="false">IF(기념일등록!$B425="",FALSE(),기념일등록!$F425=$B$3)</f>
        <v>0</v>
      </c>
      <c r="I428" s="6" t="str">
        <f aca="false">IF($H428=FALSE(),"",IF(기념일등록!$G425="",99999,기념일등록!$G425)*1000+ROW())</f>
        <v/>
      </c>
      <c r="J428" s="6" t="str">
        <f aca="false">IF($I428="","",RANK($I428,$I$6:$I$505,1))</f>
        <v/>
      </c>
    </row>
    <row r="429" customFormat="false" ht="15" hidden="false" customHeight="true" outlineLevel="0" collapsed="false">
      <c r="H429" s="26" t="b">
        <f aca="false">IF(기념일등록!$B426="",FALSE(),기념일등록!$F426=$B$3)</f>
        <v>0</v>
      </c>
      <c r="I429" s="6" t="str">
        <f aca="false">IF($H429=FALSE(),"",IF(기념일등록!$G426="",99999,기념일등록!$G426)*1000+ROW())</f>
        <v/>
      </c>
      <c r="J429" s="6" t="str">
        <f aca="false">IF($I429="","",RANK($I429,$I$6:$I$505,1))</f>
        <v/>
      </c>
    </row>
    <row r="430" customFormat="false" ht="15" hidden="false" customHeight="true" outlineLevel="0" collapsed="false">
      <c r="H430" s="26" t="b">
        <f aca="false">IF(기념일등록!$B427="",FALSE(),기념일등록!$F427=$B$3)</f>
        <v>0</v>
      </c>
      <c r="I430" s="6" t="str">
        <f aca="false">IF($H430=FALSE(),"",IF(기념일등록!$G427="",99999,기념일등록!$G427)*1000+ROW())</f>
        <v/>
      </c>
      <c r="J430" s="6" t="str">
        <f aca="false">IF($I430="","",RANK($I430,$I$6:$I$505,1))</f>
        <v/>
      </c>
    </row>
    <row r="431" customFormat="false" ht="15" hidden="false" customHeight="true" outlineLevel="0" collapsed="false">
      <c r="H431" s="26" t="b">
        <f aca="false">IF(기념일등록!$B428="",FALSE(),기념일등록!$F428=$B$3)</f>
        <v>0</v>
      </c>
      <c r="I431" s="6" t="str">
        <f aca="false">IF($H431=FALSE(),"",IF(기념일등록!$G428="",99999,기념일등록!$G428)*1000+ROW())</f>
        <v/>
      </c>
      <c r="J431" s="6" t="str">
        <f aca="false">IF($I431="","",RANK($I431,$I$6:$I$505,1))</f>
        <v/>
      </c>
    </row>
    <row r="432" customFormat="false" ht="15" hidden="false" customHeight="true" outlineLevel="0" collapsed="false">
      <c r="H432" s="26" t="b">
        <f aca="false">IF(기념일등록!$B429="",FALSE(),기념일등록!$F429=$B$3)</f>
        <v>0</v>
      </c>
      <c r="I432" s="6" t="str">
        <f aca="false">IF($H432=FALSE(),"",IF(기념일등록!$G429="",99999,기념일등록!$G429)*1000+ROW())</f>
        <v/>
      </c>
      <c r="J432" s="6" t="str">
        <f aca="false">IF($I432="","",RANK($I432,$I$6:$I$505,1))</f>
        <v/>
      </c>
    </row>
    <row r="433" customFormat="false" ht="15" hidden="false" customHeight="true" outlineLevel="0" collapsed="false">
      <c r="H433" s="26" t="b">
        <f aca="false">IF(기념일등록!$B430="",FALSE(),기념일등록!$F430=$B$3)</f>
        <v>0</v>
      </c>
      <c r="I433" s="6" t="str">
        <f aca="false">IF($H433=FALSE(),"",IF(기념일등록!$G430="",99999,기념일등록!$G430)*1000+ROW())</f>
        <v/>
      </c>
      <c r="J433" s="6" t="str">
        <f aca="false">IF($I433="","",RANK($I433,$I$6:$I$505,1))</f>
        <v/>
      </c>
    </row>
    <row r="434" customFormat="false" ht="15" hidden="false" customHeight="true" outlineLevel="0" collapsed="false">
      <c r="H434" s="26" t="b">
        <f aca="false">IF(기념일등록!$B431="",FALSE(),기념일등록!$F431=$B$3)</f>
        <v>0</v>
      </c>
      <c r="I434" s="6" t="str">
        <f aca="false">IF($H434=FALSE(),"",IF(기념일등록!$G431="",99999,기념일등록!$G431)*1000+ROW())</f>
        <v/>
      </c>
      <c r="J434" s="6" t="str">
        <f aca="false">IF($I434="","",RANK($I434,$I$6:$I$505,1))</f>
        <v/>
      </c>
    </row>
    <row r="435" customFormat="false" ht="15" hidden="false" customHeight="true" outlineLevel="0" collapsed="false">
      <c r="H435" s="26" t="b">
        <f aca="false">IF(기념일등록!$B432="",FALSE(),기념일등록!$F432=$B$3)</f>
        <v>0</v>
      </c>
      <c r="I435" s="6" t="str">
        <f aca="false">IF($H435=FALSE(),"",IF(기념일등록!$G432="",99999,기념일등록!$G432)*1000+ROW())</f>
        <v/>
      </c>
      <c r="J435" s="6" t="str">
        <f aca="false">IF($I435="","",RANK($I435,$I$6:$I$505,1))</f>
        <v/>
      </c>
    </row>
    <row r="436" customFormat="false" ht="15" hidden="false" customHeight="true" outlineLevel="0" collapsed="false">
      <c r="H436" s="26" t="b">
        <f aca="false">IF(기념일등록!$B433="",FALSE(),기념일등록!$F433=$B$3)</f>
        <v>0</v>
      </c>
      <c r="I436" s="6" t="str">
        <f aca="false">IF($H436=FALSE(),"",IF(기념일등록!$G433="",99999,기념일등록!$G433)*1000+ROW())</f>
        <v/>
      </c>
      <c r="J436" s="6" t="str">
        <f aca="false">IF($I436="","",RANK($I436,$I$6:$I$505,1))</f>
        <v/>
      </c>
    </row>
    <row r="437" customFormat="false" ht="15" hidden="false" customHeight="true" outlineLevel="0" collapsed="false">
      <c r="H437" s="26" t="b">
        <f aca="false">IF(기념일등록!$B434="",FALSE(),기념일등록!$F434=$B$3)</f>
        <v>0</v>
      </c>
      <c r="I437" s="6" t="str">
        <f aca="false">IF($H437=FALSE(),"",IF(기념일등록!$G434="",99999,기념일등록!$G434)*1000+ROW())</f>
        <v/>
      </c>
      <c r="J437" s="6" t="str">
        <f aca="false">IF($I437="","",RANK($I437,$I$6:$I$505,1))</f>
        <v/>
      </c>
    </row>
    <row r="438" customFormat="false" ht="15" hidden="false" customHeight="true" outlineLevel="0" collapsed="false">
      <c r="H438" s="26" t="b">
        <f aca="false">IF(기념일등록!$B435="",FALSE(),기념일등록!$F435=$B$3)</f>
        <v>0</v>
      </c>
      <c r="I438" s="6" t="str">
        <f aca="false">IF($H438=FALSE(),"",IF(기념일등록!$G435="",99999,기념일등록!$G435)*1000+ROW())</f>
        <v/>
      </c>
      <c r="J438" s="6" t="str">
        <f aca="false">IF($I438="","",RANK($I438,$I$6:$I$505,1))</f>
        <v/>
      </c>
    </row>
    <row r="439" customFormat="false" ht="15" hidden="false" customHeight="true" outlineLevel="0" collapsed="false">
      <c r="H439" s="26" t="b">
        <f aca="false">IF(기념일등록!$B436="",FALSE(),기념일등록!$F436=$B$3)</f>
        <v>0</v>
      </c>
      <c r="I439" s="6" t="str">
        <f aca="false">IF($H439=FALSE(),"",IF(기념일등록!$G436="",99999,기념일등록!$G436)*1000+ROW())</f>
        <v/>
      </c>
      <c r="J439" s="6" t="str">
        <f aca="false">IF($I439="","",RANK($I439,$I$6:$I$505,1))</f>
        <v/>
      </c>
    </row>
    <row r="440" customFormat="false" ht="15" hidden="false" customHeight="true" outlineLevel="0" collapsed="false">
      <c r="H440" s="26" t="b">
        <f aca="false">IF(기념일등록!$B437="",FALSE(),기념일등록!$F437=$B$3)</f>
        <v>0</v>
      </c>
      <c r="I440" s="6" t="str">
        <f aca="false">IF($H440=FALSE(),"",IF(기념일등록!$G437="",99999,기념일등록!$G437)*1000+ROW())</f>
        <v/>
      </c>
      <c r="J440" s="6" t="str">
        <f aca="false">IF($I440="","",RANK($I440,$I$6:$I$505,1))</f>
        <v/>
      </c>
    </row>
    <row r="441" customFormat="false" ht="15" hidden="false" customHeight="true" outlineLevel="0" collapsed="false">
      <c r="H441" s="26" t="b">
        <f aca="false">IF(기념일등록!$B438="",FALSE(),기념일등록!$F438=$B$3)</f>
        <v>0</v>
      </c>
      <c r="I441" s="6" t="str">
        <f aca="false">IF($H441=FALSE(),"",IF(기념일등록!$G438="",99999,기념일등록!$G438)*1000+ROW())</f>
        <v/>
      </c>
      <c r="J441" s="6" t="str">
        <f aca="false">IF($I441="","",RANK($I441,$I$6:$I$505,1))</f>
        <v/>
      </c>
    </row>
    <row r="442" customFormat="false" ht="15" hidden="false" customHeight="true" outlineLevel="0" collapsed="false">
      <c r="H442" s="26" t="b">
        <f aca="false">IF(기념일등록!$B439="",FALSE(),기념일등록!$F439=$B$3)</f>
        <v>0</v>
      </c>
      <c r="I442" s="6" t="str">
        <f aca="false">IF($H442=FALSE(),"",IF(기념일등록!$G439="",99999,기념일등록!$G439)*1000+ROW())</f>
        <v/>
      </c>
      <c r="J442" s="6" t="str">
        <f aca="false">IF($I442="","",RANK($I442,$I$6:$I$505,1))</f>
        <v/>
      </c>
    </row>
    <row r="443" customFormat="false" ht="15" hidden="false" customHeight="true" outlineLevel="0" collapsed="false">
      <c r="H443" s="26" t="b">
        <f aca="false">IF(기념일등록!$B440="",FALSE(),기념일등록!$F440=$B$3)</f>
        <v>0</v>
      </c>
      <c r="I443" s="6" t="str">
        <f aca="false">IF($H443=FALSE(),"",IF(기념일등록!$G440="",99999,기념일등록!$G440)*1000+ROW())</f>
        <v/>
      </c>
      <c r="J443" s="6" t="str">
        <f aca="false">IF($I443="","",RANK($I443,$I$6:$I$505,1))</f>
        <v/>
      </c>
    </row>
    <row r="444" customFormat="false" ht="15" hidden="false" customHeight="true" outlineLevel="0" collapsed="false">
      <c r="H444" s="26" t="b">
        <f aca="false">IF(기념일등록!$B441="",FALSE(),기념일등록!$F441=$B$3)</f>
        <v>0</v>
      </c>
      <c r="I444" s="6" t="str">
        <f aca="false">IF($H444=FALSE(),"",IF(기념일등록!$G441="",99999,기념일등록!$G441)*1000+ROW())</f>
        <v/>
      </c>
      <c r="J444" s="6" t="str">
        <f aca="false">IF($I444="","",RANK($I444,$I$6:$I$505,1))</f>
        <v/>
      </c>
    </row>
    <row r="445" customFormat="false" ht="15" hidden="false" customHeight="true" outlineLevel="0" collapsed="false">
      <c r="H445" s="26" t="b">
        <f aca="false">IF(기념일등록!$B442="",FALSE(),기념일등록!$F442=$B$3)</f>
        <v>0</v>
      </c>
      <c r="I445" s="6" t="str">
        <f aca="false">IF($H445=FALSE(),"",IF(기념일등록!$G442="",99999,기념일등록!$G442)*1000+ROW())</f>
        <v/>
      </c>
      <c r="J445" s="6" t="str">
        <f aca="false">IF($I445="","",RANK($I445,$I$6:$I$505,1))</f>
        <v/>
      </c>
    </row>
    <row r="446" customFormat="false" ht="15" hidden="false" customHeight="true" outlineLevel="0" collapsed="false">
      <c r="H446" s="26" t="b">
        <f aca="false">IF(기념일등록!$B443="",FALSE(),기념일등록!$F443=$B$3)</f>
        <v>0</v>
      </c>
      <c r="I446" s="6" t="str">
        <f aca="false">IF($H446=FALSE(),"",IF(기념일등록!$G443="",99999,기념일등록!$G443)*1000+ROW())</f>
        <v/>
      </c>
      <c r="J446" s="6" t="str">
        <f aca="false">IF($I446="","",RANK($I446,$I$6:$I$505,1))</f>
        <v/>
      </c>
    </row>
    <row r="447" customFormat="false" ht="15" hidden="false" customHeight="true" outlineLevel="0" collapsed="false">
      <c r="H447" s="26" t="b">
        <f aca="false">IF(기념일등록!$B444="",FALSE(),기념일등록!$F444=$B$3)</f>
        <v>0</v>
      </c>
      <c r="I447" s="6" t="str">
        <f aca="false">IF($H447=FALSE(),"",IF(기념일등록!$G444="",99999,기념일등록!$G444)*1000+ROW())</f>
        <v/>
      </c>
      <c r="J447" s="6" t="str">
        <f aca="false">IF($I447="","",RANK($I447,$I$6:$I$505,1))</f>
        <v/>
      </c>
    </row>
    <row r="448" customFormat="false" ht="15" hidden="false" customHeight="true" outlineLevel="0" collapsed="false">
      <c r="H448" s="26" t="b">
        <f aca="false">IF(기념일등록!$B445="",FALSE(),기념일등록!$F445=$B$3)</f>
        <v>0</v>
      </c>
      <c r="I448" s="6" t="str">
        <f aca="false">IF($H448=FALSE(),"",IF(기념일등록!$G445="",99999,기념일등록!$G445)*1000+ROW())</f>
        <v/>
      </c>
      <c r="J448" s="6" t="str">
        <f aca="false">IF($I448="","",RANK($I448,$I$6:$I$505,1))</f>
        <v/>
      </c>
    </row>
    <row r="449" customFormat="false" ht="15" hidden="false" customHeight="true" outlineLevel="0" collapsed="false">
      <c r="H449" s="26" t="b">
        <f aca="false">IF(기념일등록!$B446="",FALSE(),기념일등록!$F446=$B$3)</f>
        <v>0</v>
      </c>
      <c r="I449" s="6" t="str">
        <f aca="false">IF($H449=FALSE(),"",IF(기념일등록!$G446="",99999,기념일등록!$G446)*1000+ROW())</f>
        <v/>
      </c>
      <c r="J449" s="6" t="str">
        <f aca="false">IF($I449="","",RANK($I449,$I$6:$I$505,1))</f>
        <v/>
      </c>
    </row>
    <row r="450" customFormat="false" ht="15" hidden="false" customHeight="true" outlineLevel="0" collapsed="false">
      <c r="H450" s="26" t="b">
        <f aca="false">IF(기념일등록!$B447="",FALSE(),기념일등록!$F447=$B$3)</f>
        <v>0</v>
      </c>
      <c r="I450" s="6" t="str">
        <f aca="false">IF($H450=FALSE(),"",IF(기념일등록!$G447="",99999,기념일등록!$G447)*1000+ROW())</f>
        <v/>
      </c>
      <c r="J450" s="6" t="str">
        <f aca="false">IF($I450="","",RANK($I450,$I$6:$I$505,1))</f>
        <v/>
      </c>
    </row>
    <row r="451" customFormat="false" ht="15" hidden="false" customHeight="true" outlineLevel="0" collapsed="false">
      <c r="H451" s="26" t="b">
        <f aca="false">IF(기념일등록!$B448="",FALSE(),기념일등록!$F448=$B$3)</f>
        <v>0</v>
      </c>
      <c r="I451" s="6" t="str">
        <f aca="false">IF($H451=FALSE(),"",IF(기념일등록!$G448="",99999,기념일등록!$G448)*1000+ROW())</f>
        <v/>
      </c>
      <c r="J451" s="6" t="str">
        <f aca="false">IF($I451="","",RANK($I451,$I$6:$I$505,1))</f>
        <v/>
      </c>
    </row>
    <row r="452" customFormat="false" ht="15" hidden="false" customHeight="true" outlineLevel="0" collapsed="false">
      <c r="H452" s="26" t="b">
        <f aca="false">IF(기념일등록!$B449="",FALSE(),기념일등록!$F449=$B$3)</f>
        <v>0</v>
      </c>
      <c r="I452" s="6" t="str">
        <f aca="false">IF($H452=FALSE(),"",IF(기념일등록!$G449="",99999,기념일등록!$G449)*1000+ROW())</f>
        <v/>
      </c>
      <c r="J452" s="6" t="str">
        <f aca="false">IF($I452="","",RANK($I452,$I$6:$I$505,1))</f>
        <v/>
      </c>
    </row>
    <row r="453" customFormat="false" ht="15" hidden="false" customHeight="true" outlineLevel="0" collapsed="false">
      <c r="H453" s="26" t="b">
        <f aca="false">IF(기념일등록!$B450="",FALSE(),기념일등록!$F450=$B$3)</f>
        <v>0</v>
      </c>
      <c r="I453" s="6" t="str">
        <f aca="false">IF($H453=FALSE(),"",IF(기념일등록!$G450="",99999,기념일등록!$G450)*1000+ROW())</f>
        <v/>
      </c>
      <c r="J453" s="6" t="str">
        <f aca="false">IF($I453="","",RANK($I453,$I$6:$I$505,1))</f>
        <v/>
      </c>
    </row>
    <row r="454" customFormat="false" ht="15" hidden="false" customHeight="true" outlineLevel="0" collapsed="false">
      <c r="H454" s="26" t="b">
        <f aca="false">IF(기념일등록!$B451="",FALSE(),기념일등록!$F451=$B$3)</f>
        <v>0</v>
      </c>
      <c r="I454" s="6" t="str">
        <f aca="false">IF($H454=FALSE(),"",IF(기념일등록!$G451="",99999,기념일등록!$G451)*1000+ROW())</f>
        <v/>
      </c>
      <c r="J454" s="6" t="str">
        <f aca="false">IF($I454="","",RANK($I454,$I$6:$I$505,1))</f>
        <v/>
      </c>
    </row>
    <row r="455" customFormat="false" ht="15" hidden="false" customHeight="true" outlineLevel="0" collapsed="false">
      <c r="H455" s="26" t="b">
        <f aca="false">IF(기념일등록!$B452="",FALSE(),기념일등록!$F452=$B$3)</f>
        <v>0</v>
      </c>
      <c r="I455" s="6" t="str">
        <f aca="false">IF($H455=FALSE(),"",IF(기념일등록!$G452="",99999,기념일등록!$G452)*1000+ROW())</f>
        <v/>
      </c>
      <c r="J455" s="6" t="str">
        <f aca="false">IF($I455="","",RANK($I455,$I$6:$I$505,1))</f>
        <v/>
      </c>
    </row>
    <row r="456" customFormat="false" ht="15" hidden="false" customHeight="true" outlineLevel="0" collapsed="false">
      <c r="H456" s="26" t="b">
        <f aca="false">IF(기념일등록!$B453="",FALSE(),기념일등록!$F453=$B$3)</f>
        <v>0</v>
      </c>
      <c r="I456" s="6" t="str">
        <f aca="false">IF($H456=FALSE(),"",IF(기념일등록!$G453="",99999,기념일등록!$G453)*1000+ROW())</f>
        <v/>
      </c>
      <c r="J456" s="6" t="str">
        <f aca="false">IF($I456="","",RANK($I456,$I$6:$I$505,1))</f>
        <v/>
      </c>
    </row>
    <row r="457" customFormat="false" ht="15" hidden="false" customHeight="true" outlineLevel="0" collapsed="false">
      <c r="H457" s="26" t="b">
        <f aca="false">IF(기념일등록!$B454="",FALSE(),기념일등록!$F454=$B$3)</f>
        <v>0</v>
      </c>
      <c r="I457" s="6" t="str">
        <f aca="false">IF($H457=FALSE(),"",IF(기념일등록!$G454="",99999,기념일등록!$G454)*1000+ROW())</f>
        <v/>
      </c>
      <c r="J457" s="6" t="str">
        <f aca="false">IF($I457="","",RANK($I457,$I$6:$I$505,1))</f>
        <v/>
      </c>
    </row>
    <row r="458" customFormat="false" ht="15" hidden="false" customHeight="true" outlineLevel="0" collapsed="false">
      <c r="H458" s="26" t="b">
        <f aca="false">IF(기념일등록!$B455="",FALSE(),기념일등록!$F455=$B$3)</f>
        <v>0</v>
      </c>
      <c r="I458" s="6" t="str">
        <f aca="false">IF($H458=FALSE(),"",IF(기념일등록!$G455="",99999,기념일등록!$G455)*1000+ROW())</f>
        <v/>
      </c>
      <c r="J458" s="6" t="str">
        <f aca="false">IF($I458="","",RANK($I458,$I$6:$I$505,1))</f>
        <v/>
      </c>
    </row>
    <row r="459" customFormat="false" ht="15" hidden="false" customHeight="true" outlineLevel="0" collapsed="false">
      <c r="H459" s="26" t="b">
        <f aca="false">IF(기념일등록!$B456="",FALSE(),기념일등록!$F456=$B$3)</f>
        <v>0</v>
      </c>
      <c r="I459" s="6" t="str">
        <f aca="false">IF($H459=FALSE(),"",IF(기념일등록!$G456="",99999,기념일등록!$G456)*1000+ROW())</f>
        <v/>
      </c>
      <c r="J459" s="6" t="str">
        <f aca="false">IF($I459="","",RANK($I459,$I$6:$I$505,1))</f>
        <v/>
      </c>
    </row>
    <row r="460" customFormat="false" ht="15" hidden="false" customHeight="true" outlineLevel="0" collapsed="false">
      <c r="H460" s="26" t="b">
        <f aca="false">IF(기념일등록!$B457="",FALSE(),기념일등록!$F457=$B$3)</f>
        <v>0</v>
      </c>
      <c r="I460" s="6" t="str">
        <f aca="false">IF($H460=FALSE(),"",IF(기념일등록!$G457="",99999,기념일등록!$G457)*1000+ROW())</f>
        <v/>
      </c>
      <c r="J460" s="6" t="str">
        <f aca="false">IF($I460="","",RANK($I460,$I$6:$I$505,1))</f>
        <v/>
      </c>
    </row>
    <row r="461" customFormat="false" ht="15" hidden="false" customHeight="true" outlineLevel="0" collapsed="false">
      <c r="H461" s="26" t="b">
        <f aca="false">IF(기념일등록!$B458="",FALSE(),기념일등록!$F458=$B$3)</f>
        <v>0</v>
      </c>
      <c r="I461" s="6" t="str">
        <f aca="false">IF($H461=FALSE(),"",IF(기념일등록!$G458="",99999,기념일등록!$G458)*1000+ROW())</f>
        <v/>
      </c>
      <c r="J461" s="6" t="str">
        <f aca="false">IF($I461="","",RANK($I461,$I$6:$I$505,1))</f>
        <v/>
      </c>
    </row>
    <row r="462" customFormat="false" ht="15" hidden="false" customHeight="true" outlineLevel="0" collapsed="false">
      <c r="H462" s="26" t="b">
        <f aca="false">IF(기념일등록!$B459="",FALSE(),기념일등록!$F459=$B$3)</f>
        <v>0</v>
      </c>
      <c r="I462" s="6" t="str">
        <f aca="false">IF($H462=FALSE(),"",IF(기념일등록!$G459="",99999,기념일등록!$G459)*1000+ROW())</f>
        <v/>
      </c>
      <c r="J462" s="6" t="str">
        <f aca="false">IF($I462="","",RANK($I462,$I$6:$I$505,1))</f>
        <v/>
      </c>
    </row>
    <row r="463" customFormat="false" ht="15" hidden="false" customHeight="true" outlineLevel="0" collapsed="false">
      <c r="H463" s="26" t="b">
        <f aca="false">IF(기념일등록!$B460="",FALSE(),기념일등록!$F460=$B$3)</f>
        <v>0</v>
      </c>
      <c r="I463" s="6" t="str">
        <f aca="false">IF($H463=FALSE(),"",IF(기념일등록!$G460="",99999,기념일등록!$G460)*1000+ROW())</f>
        <v/>
      </c>
      <c r="J463" s="6" t="str">
        <f aca="false">IF($I463="","",RANK($I463,$I$6:$I$505,1))</f>
        <v/>
      </c>
    </row>
    <row r="464" customFormat="false" ht="15" hidden="false" customHeight="true" outlineLevel="0" collapsed="false">
      <c r="H464" s="26" t="b">
        <f aca="false">IF(기념일등록!$B461="",FALSE(),기념일등록!$F461=$B$3)</f>
        <v>0</v>
      </c>
      <c r="I464" s="6" t="str">
        <f aca="false">IF($H464=FALSE(),"",IF(기념일등록!$G461="",99999,기념일등록!$G461)*1000+ROW())</f>
        <v/>
      </c>
      <c r="J464" s="6" t="str">
        <f aca="false">IF($I464="","",RANK($I464,$I$6:$I$505,1))</f>
        <v/>
      </c>
    </row>
    <row r="465" customFormat="false" ht="15" hidden="false" customHeight="true" outlineLevel="0" collapsed="false">
      <c r="H465" s="26" t="b">
        <f aca="false">IF(기념일등록!$B462="",FALSE(),기념일등록!$F462=$B$3)</f>
        <v>0</v>
      </c>
      <c r="I465" s="6" t="str">
        <f aca="false">IF($H465=FALSE(),"",IF(기념일등록!$G462="",99999,기념일등록!$G462)*1000+ROW())</f>
        <v/>
      </c>
      <c r="J465" s="6" t="str">
        <f aca="false">IF($I465="","",RANK($I465,$I$6:$I$505,1))</f>
        <v/>
      </c>
    </row>
    <row r="466" customFormat="false" ht="15" hidden="false" customHeight="true" outlineLevel="0" collapsed="false">
      <c r="H466" s="26" t="b">
        <f aca="false">IF(기념일등록!$B463="",FALSE(),기념일등록!$F463=$B$3)</f>
        <v>0</v>
      </c>
      <c r="I466" s="6" t="str">
        <f aca="false">IF($H466=FALSE(),"",IF(기념일등록!$G463="",99999,기념일등록!$G463)*1000+ROW())</f>
        <v/>
      </c>
      <c r="J466" s="6" t="str">
        <f aca="false">IF($I466="","",RANK($I466,$I$6:$I$505,1))</f>
        <v/>
      </c>
    </row>
    <row r="467" customFormat="false" ht="15" hidden="false" customHeight="true" outlineLevel="0" collapsed="false">
      <c r="H467" s="26" t="b">
        <f aca="false">IF(기념일등록!$B464="",FALSE(),기념일등록!$F464=$B$3)</f>
        <v>0</v>
      </c>
      <c r="I467" s="6" t="str">
        <f aca="false">IF($H467=FALSE(),"",IF(기념일등록!$G464="",99999,기념일등록!$G464)*1000+ROW())</f>
        <v/>
      </c>
      <c r="J467" s="6" t="str">
        <f aca="false">IF($I467="","",RANK($I467,$I$6:$I$505,1))</f>
        <v/>
      </c>
    </row>
    <row r="468" customFormat="false" ht="15" hidden="false" customHeight="true" outlineLevel="0" collapsed="false">
      <c r="H468" s="26" t="b">
        <f aca="false">IF(기념일등록!$B465="",FALSE(),기념일등록!$F465=$B$3)</f>
        <v>0</v>
      </c>
      <c r="I468" s="6" t="str">
        <f aca="false">IF($H468=FALSE(),"",IF(기념일등록!$G465="",99999,기념일등록!$G465)*1000+ROW())</f>
        <v/>
      </c>
      <c r="J468" s="6" t="str">
        <f aca="false">IF($I468="","",RANK($I468,$I$6:$I$505,1))</f>
        <v/>
      </c>
    </row>
    <row r="469" customFormat="false" ht="15" hidden="false" customHeight="true" outlineLevel="0" collapsed="false">
      <c r="H469" s="26" t="b">
        <f aca="false">IF(기념일등록!$B466="",FALSE(),기념일등록!$F466=$B$3)</f>
        <v>0</v>
      </c>
      <c r="I469" s="6" t="str">
        <f aca="false">IF($H469=FALSE(),"",IF(기념일등록!$G466="",99999,기념일등록!$G466)*1000+ROW())</f>
        <v/>
      </c>
      <c r="J469" s="6" t="str">
        <f aca="false">IF($I469="","",RANK($I469,$I$6:$I$505,1))</f>
        <v/>
      </c>
    </row>
    <row r="470" customFormat="false" ht="15" hidden="false" customHeight="true" outlineLevel="0" collapsed="false">
      <c r="H470" s="26" t="b">
        <f aca="false">IF(기념일등록!$B467="",FALSE(),기념일등록!$F467=$B$3)</f>
        <v>0</v>
      </c>
      <c r="I470" s="6" t="str">
        <f aca="false">IF($H470=FALSE(),"",IF(기념일등록!$G467="",99999,기념일등록!$G467)*1000+ROW())</f>
        <v/>
      </c>
      <c r="J470" s="6" t="str">
        <f aca="false">IF($I470="","",RANK($I470,$I$6:$I$505,1))</f>
        <v/>
      </c>
    </row>
    <row r="471" customFormat="false" ht="15" hidden="false" customHeight="true" outlineLevel="0" collapsed="false">
      <c r="H471" s="26" t="b">
        <f aca="false">IF(기념일등록!$B468="",FALSE(),기념일등록!$F468=$B$3)</f>
        <v>0</v>
      </c>
      <c r="I471" s="6" t="str">
        <f aca="false">IF($H471=FALSE(),"",IF(기념일등록!$G468="",99999,기념일등록!$G468)*1000+ROW())</f>
        <v/>
      </c>
      <c r="J471" s="6" t="str">
        <f aca="false">IF($I471="","",RANK($I471,$I$6:$I$505,1))</f>
        <v/>
      </c>
    </row>
    <row r="472" customFormat="false" ht="15" hidden="false" customHeight="true" outlineLevel="0" collapsed="false">
      <c r="H472" s="26" t="b">
        <f aca="false">IF(기념일등록!$B469="",FALSE(),기념일등록!$F469=$B$3)</f>
        <v>0</v>
      </c>
      <c r="I472" s="6" t="str">
        <f aca="false">IF($H472=FALSE(),"",IF(기념일등록!$G469="",99999,기념일등록!$G469)*1000+ROW())</f>
        <v/>
      </c>
      <c r="J472" s="6" t="str">
        <f aca="false">IF($I472="","",RANK($I472,$I$6:$I$505,1))</f>
        <v/>
      </c>
    </row>
    <row r="473" customFormat="false" ht="15" hidden="false" customHeight="true" outlineLevel="0" collapsed="false">
      <c r="H473" s="26" t="b">
        <f aca="false">IF(기념일등록!$B470="",FALSE(),기념일등록!$F470=$B$3)</f>
        <v>0</v>
      </c>
      <c r="I473" s="6" t="str">
        <f aca="false">IF($H473=FALSE(),"",IF(기념일등록!$G470="",99999,기념일등록!$G470)*1000+ROW())</f>
        <v/>
      </c>
      <c r="J473" s="6" t="str">
        <f aca="false">IF($I473="","",RANK($I473,$I$6:$I$505,1))</f>
        <v/>
      </c>
    </row>
    <row r="474" customFormat="false" ht="15" hidden="false" customHeight="true" outlineLevel="0" collapsed="false">
      <c r="H474" s="26" t="b">
        <f aca="false">IF(기념일등록!$B471="",FALSE(),기념일등록!$F471=$B$3)</f>
        <v>0</v>
      </c>
      <c r="I474" s="6" t="str">
        <f aca="false">IF($H474=FALSE(),"",IF(기념일등록!$G471="",99999,기념일등록!$G471)*1000+ROW())</f>
        <v/>
      </c>
      <c r="J474" s="6" t="str">
        <f aca="false">IF($I474="","",RANK($I474,$I$6:$I$505,1))</f>
        <v/>
      </c>
    </row>
    <row r="475" customFormat="false" ht="15" hidden="false" customHeight="true" outlineLevel="0" collapsed="false">
      <c r="H475" s="26" t="b">
        <f aca="false">IF(기념일등록!$B472="",FALSE(),기념일등록!$F472=$B$3)</f>
        <v>0</v>
      </c>
      <c r="I475" s="6" t="str">
        <f aca="false">IF($H475=FALSE(),"",IF(기념일등록!$G472="",99999,기념일등록!$G472)*1000+ROW())</f>
        <v/>
      </c>
      <c r="J475" s="6" t="str">
        <f aca="false">IF($I475="","",RANK($I475,$I$6:$I$505,1))</f>
        <v/>
      </c>
    </row>
    <row r="476" customFormat="false" ht="15" hidden="false" customHeight="true" outlineLevel="0" collapsed="false">
      <c r="H476" s="26" t="b">
        <f aca="false">IF(기념일등록!$B473="",FALSE(),기념일등록!$F473=$B$3)</f>
        <v>0</v>
      </c>
      <c r="I476" s="6" t="str">
        <f aca="false">IF($H476=FALSE(),"",IF(기념일등록!$G473="",99999,기념일등록!$G473)*1000+ROW())</f>
        <v/>
      </c>
      <c r="J476" s="6" t="str">
        <f aca="false">IF($I476="","",RANK($I476,$I$6:$I$505,1))</f>
        <v/>
      </c>
    </row>
    <row r="477" customFormat="false" ht="15" hidden="false" customHeight="true" outlineLevel="0" collapsed="false">
      <c r="H477" s="26" t="b">
        <f aca="false">IF(기념일등록!$B474="",FALSE(),기념일등록!$F474=$B$3)</f>
        <v>0</v>
      </c>
      <c r="I477" s="6" t="str">
        <f aca="false">IF($H477=FALSE(),"",IF(기념일등록!$G474="",99999,기념일등록!$G474)*1000+ROW())</f>
        <v/>
      </c>
      <c r="J477" s="6" t="str">
        <f aca="false">IF($I477="","",RANK($I477,$I$6:$I$505,1))</f>
        <v/>
      </c>
    </row>
    <row r="478" customFormat="false" ht="15" hidden="false" customHeight="true" outlineLevel="0" collapsed="false">
      <c r="H478" s="26" t="b">
        <f aca="false">IF(기념일등록!$B475="",FALSE(),기념일등록!$F475=$B$3)</f>
        <v>0</v>
      </c>
      <c r="I478" s="6" t="str">
        <f aca="false">IF($H478=FALSE(),"",IF(기념일등록!$G475="",99999,기념일등록!$G475)*1000+ROW())</f>
        <v/>
      </c>
      <c r="J478" s="6" t="str">
        <f aca="false">IF($I478="","",RANK($I478,$I$6:$I$505,1))</f>
        <v/>
      </c>
    </row>
    <row r="479" customFormat="false" ht="15" hidden="false" customHeight="true" outlineLevel="0" collapsed="false">
      <c r="H479" s="26" t="b">
        <f aca="false">IF(기념일등록!$B476="",FALSE(),기념일등록!$F476=$B$3)</f>
        <v>0</v>
      </c>
      <c r="I479" s="6" t="str">
        <f aca="false">IF($H479=FALSE(),"",IF(기념일등록!$G476="",99999,기념일등록!$G476)*1000+ROW())</f>
        <v/>
      </c>
      <c r="J479" s="6" t="str">
        <f aca="false">IF($I479="","",RANK($I479,$I$6:$I$505,1))</f>
        <v/>
      </c>
    </row>
    <row r="480" customFormat="false" ht="15" hidden="false" customHeight="true" outlineLevel="0" collapsed="false">
      <c r="H480" s="26" t="b">
        <f aca="false">IF(기념일등록!$B477="",FALSE(),기념일등록!$F477=$B$3)</f>
        <v>0</v>
      </c>
      <c r="I480" s="6" t="str">
        <f aca="false">IF($H480=FALSE(),"",IF(기념일등록!$G477="",99999,기념일등록!$G477)*1000+ROW())</f>
        <v/>
      </c>
      <c r="J480" s="6" t="str">
        <f aca="false">IF($I480="","",RANK($I480,$I$6:$I$505,1))</f>
        <v/>
      </c>
    </row>
    <row r="481" customFormat="false" ht="15" hidden="false" customHeight="true" outlineLevel="0" collapsed="false">
      <c r="H481" s="26" t="b">
        <f aca="false">IF(기념일등록!$B478="",FALSE(),기념일등록!$F478=$B$3)</f>
        <v>0</v>
      </c>
      <c r="I481" s="6" t="str">
        <f aca="false">IF($H481=FALSE(),"",IF(기념일등록!$G478="",99999,기념일등록!$G478)*1000+ROW())</f>
        <v/>
      </c>
      <c r="J481" s="6" t="str">
        <f aca="false">IF($I481="","",RANK($I481,$I$6:$I$505,1))</f>
        <v/>
      </c>
    </row>
    <row r="482" customFormat="false" ht="15" hidden="false" customHeight="true" outlineLevel="0" collapsed="false">
      <c r="H482" s="26" t="b">
        <f aca="false">IF(기념일등록!$B479="",FALSE(),기념일등록!$F479=$B$3)</f>
        <v>0</v>
      </c>
      <c r="I482" s="6" t="str">
        <f aca="false">IF($H482=FALSE(),"",IF(기념일등록!$G479="",99999,기념일등록!$G479)*1000+ROW())</f>
        <v/>
      </c>
      <c r="J482" s="6" t="str">
        <f aca="false">IF($I482="","",RANK($I482,$I$6:$I$505,1))</f>
        <v/>
      </c>
    </row>
    <row r="483" customFormat="false" ht="15" hidden="false" customHeight="true" outlineLevel="0" collapsed="false">
      <c r="H483" s="26" t="b">
        <f aca="false">IF(기념일등록!$B480="",FALSE(),기념일등록!$F480=$B$3)</f>
        <v>0</v>
      </c>
      <c r="I483" s="6" t="str">
        <f aca="false">IF($H483=FALSE(),"",IF(기념일등록!$G480="",99999,기념일등록!$G480)*1000+ROW())</f>
        <v/>
      </c>
      <c r="J483" s="6" t="str">
        <f aca="false">IF($I483="","",RANK($I483,$I$6:$I$505,1))</f>
        <v/>
      </c>
    </row>
    <row r="484" customFormat="false" ht="15" hidden="false" customHeight="true" outlineLevel="0" collapsed="false">
      <c r="H484" s="26" t="b">
        <f aca="false">IF(기념일등록!$B481="",FALSE(),기념일등록!$F481=$B$3)</f>
        <v>0</v>
      </c>
      <c r="I484" s="6" t="str">
        <f aca="false">IF($H484=FALSE(),"",IF(기념일등록!$G481="",99999,기념일등록!$G481)*1000+ROW())</f>
        <v/>
      </c>
      <c r="J484" s="6" t="str">
        <f aca="false">IF($I484="","",RANK($I484,$I$6:$I$505,1))</f>
        <v/>
      </c>
    </row>
    <row r="485" customFormat="false" ht="15" hidden="false" customHeight="true" outlineLevel="0" collapsed="false">
      <c r="H485" s="26" t="b">
        <f aca="false">IF(기념일등록!$B482="",FALSE(),기념일등록!$F482=$B$3)</f>
        <v>0</v>
      </c>
      <c r="I485" s="6" t="str">
        <f aca="false">IF($H485=FALSE(),"",IF(기념일등록!$G482="",99999,기념일등록!$G482)*1000+ROW())</f>
        <v/>
      </c>
      <c r="J485" s="6" t="str">
        <f aca="false">IF($I485="","",RANK($I485,$I$6:$I$505,1))</f>
        <v/>
      </c>
    </row>
    <row r="486" customFormat="false" ht="15" hidden="false" customHeight="true" outlineLevel="0" collapsed="false">
      <c r="H486" s="26" t="b">
        <f aca="false">IF(기념일등록!$B483="",FALSE(),기념일등록!$F483=$B$3)</f>
        <v>0</v>
      </c>
      <c r="I486" s="6" t="str">
        <f aca="false">IF($H486=FALSE(),"",IF(기념일등록!$G483="",99999,기념일등록!$G483)*1000+ROW())</f>
        <v/>
      </c>
      <c r="J486" s="6" t="str">
        <f aca="false">IF($I486="","",RANK($I486,$I$6:$I$505,1))</f>
        <v/>
      </c>
    </row>
    <row r="487" customFormat="false" ht="15" hidden="false" customHeight="true" outlineLevel="0" collapsed="false">
      <c r="H487" s="26" t="b">
        <f aca="false">IF(기념일등록!$B484="",FALSE(),기념일등록!$F484=$B$3)</f>
        <v>0</v>
      </c>
      <c r="I487" s="6" t="str">
        <f aca="false">IF($H487=FALSE(),"",IF(기념일등록!$G484="",99999,기념일등록!$G484)*1000+ROW())</f>
        <v/>
      </c>
      <c r="J487" s="6" t="str">
        <f aca="false">IF($I487="","",RANK($I487,$I$6:$I$505,1))</f>
        <v/>
      </c>
    </row>
    <row r="488" customFormat="false" ht="15" hidden="false" customHeight="true" outlineLevel="0" collapsed="false">
      <c r="H488" s="26" t="b">
        <f aca="false">IF(기념일등록!$B485="",FALSE(),기념일등록!$F485=$B$3)</f>
        <v>0</v>
      </c>
      <c r="I488" s="6" t="str">
        <f aca="false">IF($H488=FALSE(),"",IF(기념일등록!$G485="",99999,기념일등록!$G485)*1000+ROW())</f>
        <v/>
      </c>
      <c r="J488" s="6" t="str">
        <f aca="false">IF($I488="","",RANK($I488,$I$6:$I$505,1))</f>
        <v/>
      </c>
    </row>
    <row r="489" customFormat="false" ht="15" hidden="false" customHeight="true" outlineLevel="0" collapsed="false">
      <c r="H489" s="26" t="b">
        <f aca="false">IF(기념일등록!$B486="",FALSE(),기념일등록!$F486=$B$3)</f>
        <v>0</v>
      </c>
      <c r="I489" s="6" t="str">
        <f aca="false">IF($H489=FALSE(),"",IF(기념일등록!$G486="",99999,기념일등록!$G486)*1000+ROW())</f>
        <v/>
      </c>
      <c r="J489" s="6" t="str">
        <f aca="false">IF($I489="","",RANK($I489,$I$6:$I$505,1))</f>
        <v/>
      </c>
    </row>
    <row r="490" customFormat="false" ht="15" hidden="false" customHeight="true" outlineLevel="0" collapsed="false">
      <c r="H490" s="26" t="b">
        <f aca="false">IF(기념일등록!$B487="",FALSE(),기념일등록!$F487=$B$3)</f>
        <v>0</v>
      </c>
      <c r="I490" s="6" t="str">
        <f aca="false">IF($H490=FALSE(),"",IF(기념일등록!$G487="",99999,기념일등록!$G487)*1000+ROW())</f>
        <v/>
      </c>
      <c r="J490" s="6" t="str">
        <f aca="false">IF($I490="","",RANK($I490,$I$6:$I$505,1))</f>
        <v/>
      </c>
    </row>
    <row r="491" customFormat="false" ht="15" hidden="false" customHeight="true" outlineLevel="0" collapsed="false">
      <c r="H491" s="26" t="b">
        <f aca="false">IF(기념일등록!$B488="",FALSE(),기념일등록!$F488=$B$3)</f>
        <v>0</v>
      </c>
      <c r="I491" s="6" t="str">
        <f aca="false">IF($H491=FALSE(),"",IF(기념일등록!$G488="",99999,기념일등록!$G488)*1000+ROW())</f>
        <v/>
      </c>
      <c r="J491" s="6" t="str">
        <f aca="false">IF($I491="","",RANK($I491,$I$6:$I$505,1))</f>
        <v/>
      </c>
    </row>
    <row r="492" customFormat="false" ht="15" hidden="false" customHeight="true" outlineLevel="0" collapsed="false">
      <c r="H492" s="26" t="b">
        <f aca="false">IF(기념일등록!$B489="",FALSE(),기념일등록!$F489=$B$3)</f>
        <v>0</v>
      </c>
      <c r="I492" s="6" t="str">
        <f aca="false">IF($H492=FALSE(),"",IF(기념일등록!$G489="",99999,기념일등록!$G489)*1000+ROW())</f>
        <v/>
      </c>
      <c r="J492" s="6" t="str">
        <f aca="false">IF($I492="","",RANK($I492,$I$6:$I$505,1))</f>
        <v/>
      </c>
    </row>
    <row r="493" customFormat="false" ht="15" hidden="false" customHeight="true" outlineLevel="0" collapsed="false">
      <c r="H493" s="26" t="b">
        <f aca="false">IF(기념일등록!$B490="",FALSE(),기념일등록!$F490=$B$3)</f>
        <v>0</v>
      </c>
      <c r="I493" s="6" t="str">
        <f aca="false">IF($H493=FALSE(),"",IF(기념일등록!$G490="",99999,기념일등록!$G490)*1000+ROW())</f>
        <v/>
      </c>
      <c r="J493" s="6" t="str">
        <f aca="false">IF($I493="","",RANK($I493,$I$6:$I$505,1))</f>
        <v/>
      </c>
    </row>
    <row r="494" customFormat="false" ht="15" hidden="false" customHeight="true" outlineLevel="0" collapsed="false">
      <c r="H494" s="26" t="b">
        <f aca="false">IF(기념일등록!$B491="",FALSE(),기념일등록!$F491=$B$3)</f>
        <v>0</v>
      </c>
      <c r="I494" s="6" t="str">
        <f aca="false">IF($H494=FALSE(),"",IF(기념일등록!$G491="",99999,기념일등록!$G491)*1000+ROW())</f>
        <v/>
      </c>
      <c r="J494" s="6" t="str">
        <f aca="false">IF($I494="","",RANK($I494,$I$6:$I$505,1))</f>
        <v/>
      </c>
    </row>
    <row r="495" customFormat="false" ht="15" hidden="false" customHeight="true" outlineLevel="0" collapsed="false">
      <c r="H495" s="26" t="b">
        <f aca="false">IF(기념일등록!$B492="",FALSE(),기념일등록!$F492=$B$3)</f>
        <v>0</v>
      </c>
      <c r="I495" s="6" t="str">
        <f aca="false">IF($H495=FALSE(),"",IF(기념일등록!$G492="",99999,기념일등록!$G492)*1000+ROW())</f>
        <v/>
      </c>
      <c r="J495" s="6" t="str">
        <f aca="false">IF($I495="","",RANK($I495,$I$6:$I$505,1))</f>
        <v/>
      </c>
    </row>
    <row r="496" customFormat="false" ht="15" hidden="false" customHeight="true" outlineLevel="0" collapsed="false">
      <c r="H496" s="26" t="b">
        <f aca="false">IF(기념일등록!$B493="",FALSE(),기념일등록!$F493=$B$3)</f>
        <v>0</v>
      </c>
      <c r="I496" s="6" t="str">
        <f aca="false">IF($H496=FALSE(),"",IF(기념일등록!$G493="",99999,기념일등록!$G493)*1000+ROW())</f>
        <v/>
      </c>
      <c r="J496" s="6" t="str">
        <f aca="false">IF($I496="","",RANK($I496,$I$6:$I$505,1))</f>
        <v/>
      </c>
    </row>
    <row r="497" customFormat="false" ht="15" hidden="false" customHeight="true" outlineLevel="0" collapsed="false">
      <c r="H497" s="26" t="b">
        <f aca="false">IF(기념일등록!$B494="",FALSE(),기념일등록!$F494=$B$3)</f>
        <v>0</v>
      </c>
      <c r="I497" s="6" t="str">
        <f aca="false">IF($H497=FALSE(),"",IF(기념일등록!$G494="",99999,기념일등록!$G494)*1000+ROW())</f>
        <v/>
      </c>
      <c r="J497" s="6" t="str">
        <f aca="false">IF($I497="","",RANK($I497,$I$6:$I$505,1))</f>
        <v/>
      </c>
    </row>
    <row r="498" customFormat="false" ht="15" hidden="false" customHeight="true" outlineLevel="0" collapsed="false">
      <c r="H498" s="26" t="b">
        <f aca="false">IF(기념일등록!$B495="",FALSE(),기념일등록!$F495=$B$3)</f>
        <v>0</v>
      </c>
      <c r="I498" s="6" t="str">
        <f aca="false">IF($H498=FALSE(),"",IF(기념일등록!$G495="",99999,기념일등록!$G495)*1000+ROW())</f>
        <v/>
      </c>
      <c r="J498" s="6" t="str">
        <f aca="false">IF($I498="","",RANK($I498,$I$6:$I$505,1))</f>
        <v/>
      </c>
    </row>
    <row r="499" customFormat="false" ht="15" hidden="false" customHeight="true" outlineLevel="0" collapsed="false">
      <c r="H499" s="26" t="b">
        <f aca="false">IF(기념일등록!$B496="",FALSE(),기념일등록!$F496=$B$3)</f>
        <v>0</v>
      </c>
      <c r="I499" s="6" t="str">
        <f aca="false">IF($H499=FALSE(),"",IF(기념일등록!$G496="",99999,기념일등록!$G496)*1000+ROW())</f>
        <v/>
      </c>
      <c r="J499" s="6" t="str">
        <f aca="false">IF($I499="","",RANK($I499,$I$6:$I$505,1))</f>
        <v/>
      </c>
    </row>
    <row r="500" customFormat="false" ht="15" hidden="false" customHeight="true" outlineLevel="0" collapsed="false">
      <c r="H500" s="26" t="b">
        <f aca="false">IF(기념일등록!$B497="",FALSE(),기념일등록!$F497=$B$3)</f>
        <v>0</v>
      </c>
      <c r="I500" s="6" t="str">
        <f aca="false">IF($H500=FALSE(),"",IF(기념일등록!$G497="",99999,기념일등록!$G497)*1000+ROW())</f>
        <v/>
      </c>
      <c r="J500" s="6" t="str">
        <f aca="false">IF($I500="","",RANK($I500,$I$6:$I$505,1))</f>
        <v/>
      </c>
    </row>
    <row r="501" customFormat="false" ht="15" hidden="false" customHeight="true" outlineLevel="0" collapsed="false">
      <c r="H501" s="26" t="b">
        <f aca="false">IF(기념일등록!$B498="",FALSE(),기념일등록!$F498=$B$3)</f>
        <v>0</v>
      </c>
      <c r="I501" s="6" t="str">
        <f aca="false">IF($H501=FALSE(),"",IF(기념일등록!$G498="",99999,기념일등록!$G498)*1000+ROW())</f>
        <v/>
      </c>
      <c r="J501" s="6" t="str">
        <f aca="false">IF($I501="","",RANK($I501,$I$6:$I$505,1))</f>
        <v/>
      </c>
    </row>
    <row r="502" customFormat="false" ht="15" hidden="false" customHeight="true" outlineLevel="0" collapsed="false">
      <c r="H502" s="26" t="b">
        <f aca="false">IF(기념일등록!$B499="",FALSE(),기념일등록!$F499=$B$3)</f>
        <v>0</v>
      </c>
      <c r="I502" s="6" t="str">
        <f aca="false">IF($H502=FALSE(),"",IF(기념일등록!$G499="",99999,기념일등록!$G499)*1000+ROW())</f>
        <v/>
      </c>
      <c r="J502" s="6" t="str">
        <f aca="false">IF($I502="","",RANK($I502,$I$6:$I$505,1))</f>
        <v/>
      </c>
    </row>
    <row r="503" customFormat="false" ht="15" hidden="false" customHeight="true" outlineLevel="0" collapsed="false">
      <c r="H503" s="26" t="b">
        <f aca="false">IF(기념일등록!$B500="",FALSE(),기념일등록!$F500=$B$3)</f>
        <v>0</v>
      </c>
      <c r="I503" s="6" t="str">
        <f aca="false">IF($H503=FALSE(),"",IF(기념일등록!$G500="",99999,기념일등록!$G500)*1000+ROW())</f>
        <v/>
      </c>
      <c r="J503" s="6" t="str">
        <f aca="false">IF($I503="","",RANK($I503,$I$6:$I$505,1))</f>
        <v/>
      </c>
    </row>
    <row r="504" customFormat="false" ht="15" hidden="false" customHeight="true" outlineLevel="0" collapsed="false">
      <c r="H504" s="26" t="b">
        <f aca="false">IF(기념일등록!$B501="",FALSE(),기념일등록!$F501=$B$3)</f>
        <v>0</v>
      </c>
      <c r="I504" s="6" t="str">
        <f aca="false">IF($H504=FALSE(),"",IF(기념일등록!$G501="",99999,기념일등록!$G501)*1000+ROW())</f>
        <v/>
      </c>
      <c r="J504" s="6" t="str">
        <f aca="false">IF($I504="","",RANK($I504,$I$6:$I$505,1))</f>
        <v/>
      </c>
    </row>
    <row r="505" customFormat="false" ht="15" hidden="false" customHeight="true" outlineLevel="0" collapsed="false">
      <c r="H505" s="26" t="b">
        <f aca="false">IF(기념일등록!$B502="",FALSE(),기념일등록!$F502=$B$3)</f>
        <v>0</v>
      </c>
      <c r="I505" s="6" t="str">
        <f aca="false">IF($H505=FALSE(),"",IF(기념일등록!$G502="",99999,기념일등록!$G502)*1000+ROW())</f>
        <v/>
      </c>
      <c r="J505" s="6" t="str">
        <f aca="false">IF($I505="","",RANK($I505,$I$6:$I$505,1))</f>
        <v/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7"/>
    <col collapsed="false" customWidth="true" hidden="false" outlineLevel="0" max="5" min="5" style="1" width="14"/>
    <col collapsed="false" customWidth="true" hidden="false" outlineLevel="0" max="7" min="7" style="1" width="26"/>
  </cols>
  <sheetData>
    <row r="1" customFormat="false" ht="25.5" hidden="false" customHeight="true" outlineLevel="0" collapsed="false">
      <c r="A1" s="2" t="s">
        <v>75</v>
      </c>
      <c r="B1" s="2"/>
      <c r="C1" s="2"/>
      <c r="D1" s="2"/>
      <c r="E1" s="2"/>
    </row>
    <row r="3" customFormat="false" ht="15" hidden="false" customHeight="true" outlineLevel="0" collapsed="false">
      <c r="A3" s="3" t="s">
        <v>76</v>
      </c>
      <c r="B3" s="27" t="n">
        <v>2026</v>
      </c>
    </row>
    <row r="5" customFormat="false" ht="15" hidden="false" customHeight="true" outlineLevel="0" collapsed="false">
      <c r="A5" s="8" t="s">
        <v>27</v>
      </c>
      <c r="B5" s="8" t="s">
        <v>77</v>
      </c>
      <c r="C5" s="8" t="s">
        <v>78</v>
      </c>
      <c r="D5" s="8" t="s">
        <v>79</v>
      </c>
      <c r="E5" s="8" t="s">
        <v>80</v>
      </c>
      <c r="G5" s="6" t="s">
        <v>81</v>
      </c>
    </row>
    <row r="6" customFormat="false" ht="15" hidden="false" customHeight="true" outlineLevel="0" collapsed="false">
      <c r="A6" s="18" t="str">
        <f aca="false">IF($G6="","",$G6)</f>
        <v>○○상사</v>
      </c>
      <c r="B6" s="23" t="n">
        <f aca="false">IF($A6="","",COUNTIFS(대상목록!$C$3:$C$302,$A6))</f>
        <v>1</v>
      </c>
      <c r="C6" s="23" t="n">
        <f aca="false">IF($A6="","",COUNTIFS(경조사내역!$C$3:$C$1002,$A6,경조사내역!$A$3:$A$1002,"&gt;="&amp;DATE($B$3,1,1),경조사내역!$A$3:$A$1002,"&lt;="&amp;DATE($B$3,12,31)))</f>
        <v>1</v>
      </c>
      <c r="D6" s="28" t="n">
        <f aca="false">IF($A6="","",SUMIFS(경조사내역!$F$3:$F$1002,경조사내역!$C$3:$C$1002,$A6,경조사내역!$A$3:$A$1002,"&gt;="&amp;DATE($B$3,1,1),경조사내역!$A$3:$A$1002,"&lt;="&amp;DATE($B$3,12,31)))</f>
        <v>200000</v>
      </c>
      <c r="E6" s="29" t="n">
        <f aca="false">IF($A6="","",IF(COUNTIFS(경조사내역!$C$3:$C$1002,$A6)=0,"",SUMPRODUCT(MAX((경조사내역!$C$3:$C$1002=$A6)*경조사내역!$A$3:$A$1002))))</f>
        <v>46160</v>
      </c>
      <c r="G6" s="6" t="str">
        <f aca="false">IF(대상목록!$C3="","",IF(COUNTIF(대상목록!$C$3:$C3,대상목록!$C3)=1,대상목록!$C3,""))</f>
        <v>○○상사</v>
      </c>
    </row>
    <row r="7" customFormat="false" ht="15" hidden="false" customHeight="true" outlineLevel="0" collapsed="false">
      <c r="A7" s="18" t="str">
        <f aca="false">IF($G7="","",$G7)</f>
        <v>△△유통</v>
      </c>
      <c r="B7" s="23" t="n">
        <f aca="false">IF($A7="","",COUNTIFS(대상목록!$C$3:$C$302,$A7))</f>
        <v>1</v>
      </c>
      <c r="C7" s="23" t="n">
        <f aca="false">IF($A7="","",COUNTIFS(경조사내역!$C$3:$C$1002,$A7,경조사내역!$A$3:$A$1002,"&gt;="&amp;DATE($B$3,1,1),경조사내역!$A$3:$A$1002,"&lt;="&amp;DATE($B$3,12,31)))</f>
        <v>2</v>
      </c>
      <c r="D7" s="28" t="n">
        <f aca="false">IF($A7="","",SUMIFS(경조사내역!$F$3:$F$1002,경조사내역!$C$3:$C$1002,$A7,경조사내역!$A$3:$A$1002,"&gt;="&amp;DATE($B$3,1,1),경조사내역!$A$3:$A$1002,"&lt;="&amp;DATE($B$3,12,31)))</f>
        <v>150000</v>
      </c>
      <c r="E7" s="29" t="n">
        <f aca="false">IF($A7="","",IF(COUNTIFS(경조사내역!$C$3:$C$1002,$A7)=0,"",SUMPRODUCT(MAX((경조사내역!$C$3:$C$1002=$A7)*경조사내역!$A$3:$A$1002))))</f>
        <v>46248</v>
      </c>
      <c r="G7" s="6" t="str">
        <f aca="false">IF(대상목록!$C4="","",IF(COUNTIF(대상목록!$C$3:$C4,대상목록!$C4)=1,대상목록!$C4,""))</f>
        <v>△△유통</v>
      </c>
    </row>
    <row r="8" customFormat="false" ht="15" hidden="false" customHeight="true" outlineLevel="0" collapsed="false">
      <c r="A8" s="18" t="str">
        <f aca="false">IF($G8="","",$G8)</f>
        <v>영업팀</v>
      </c>
      <c r="B8" s="23" t="n">
        <f aca="false">IF($A8="","",COUNTIFS(대상목록!$C$3:$C$302,$A8))</f>
        <v>1</v>
      </c>
      <c r="C8" s="23" t="n">
        <f aca="false">IF($A8="","",COUNTIFS(경조사내역!$C$3:$C$1002,$A8,경조사내역!$A$3:$A$1002,"&gt;="&amp;DATE($B$3,1,1),경조사내역!$A$3:$A$1002,"&lt;="&amp;DATE($B$3,12,31)))</f>
        <v>1</v>
      </c>
      <c r="D8" s="28" t="n">
        <f aca="false">IF($A8="","",SUMIFS(경조사내역!$F$3:$F$1002,경조사내역!$C$3:$C$1002,$A8,경조사내역!$A$3:$A$1002,"&gt;="&amp;DATE($B$3,1,1),경조사내역!$A$3:$A$1002,"&lt;="&amp;DATE($B$3,12,31)))</f>
        <v>300000</v>
      </c>
      <c r="E8" s="29" t="n">
        <f aca="false">IF($A8="","",IF(COUNTIFS(경조사내역!$C$3:$C$1002,$A8)=0,"",SUMPRODUCT(MAX((경조사내역!$C$3:$C$1002=$A8)*경조사내역!$A$3:$A$1002))))</f>
        <v>46195</v>
      </c>
      <c r="G8" s="6" t="str">
        <f aca="false">IF(대상목록!$C5="","",IF(COUNTIF(대상목록!$C$3:$C5,대상목록!$C5)=1,대상목록!$C5,""))</f>
        <v>영업팀</v>
      </c>
    </row>
    <row r="9" customFormat="false" ht="15" hidden="false" customHeight="true" outlineLevel="0" collapsed="false">
      <c r="A9" s="18" t="str">
        <f aca="false">IF($G9="","",$G9)</f>
        <v/>
      </c>
      <c r="B9" s="23" t="str">
        <f aca="false">IF($A9="","",COUNTIFS(대상목록!$C$3:$C$302,$A9))</f>
        <v/>
      </c>
      <c r="C9" s="23" t="str">
        <f aca="false">IF($A9="","",COUNTIFS(경조사내역!$C$3:$C$1002,$A9,경조사내역!$A$3:$A$1002,"&gt;="&amp;DATE($B$3,1,1),경조사내역!$A$3:$A$1002,"&lt;="&amp;DATE($B$3,12,31)))</f>
        <v/>
      </c>
      <c r="D9" s="28" t="str">
        <f aca="false">IF($A9="","",SUMIFS(경조사내역!$F$3:$F$1002,경조사내역!$C$3:$C$1002,$A9,경조사내역!$A$3:$A$1002,"&gt;="&amp;DATE($B$3,1,1),경조사내역!$A$3:$A$1002,"&lt;="&amp;DATE($B$3,12,31)))</f>
        <v/>
      </c>
      <c r="E9" s="29" t="str">
        <f aca="false">IF($A9="","",IF(COUNTIFS(경조사내역!$C$3:$C$1002,$A9)=0,"",SUMPRODUCT(MAX((경조사내역!$C$3:$C$1002=$A9)*경조사내역!$A$3:$A$1002))))</f>
        <v/>
      </c>
      <c r="G9" s="6" t="str">
        <f aca="false">IF(대상목록!$C6="","",IF(COUNTIF(대상목록!$C$3:$C6,대상목록!$C6)=1,대상목록!$C6,""))</f>
        <v/>
      </c>
    </row>
    <row r="10" customFormat="false" ht="15" hidden="false" customHeight="true" outlineLevel="0" collapsed="false">
      <c r="A10" s="18" t="str">
        <f aca="false">IF($G10="","",$G10)</f>
        <v/>
      </c>
      <c r="B10" s="23" t="str">
        <f aca="false">IF($A10="","",COUNTIFS(대상목록!$C$3:$C$302,$A10))</f>
        <v/>
      </c>
      <c r="C10" s="23" t="str">
        <f aca="false">IF($A10="","",COUNTIFS(경조사내역!$C$3:$C$1002,$A10,경조사내역!$A$3:$A$1002,"&gt;="&amp;DATE($B$3,1,1),경조사내역!$A$3:$A$1002,"&lt;="&amp;DATE($B$3,12,31)))</f>
        <v/>
      </c>
      <c r="D10" s="28" t="str">
        <f aca="false">IF($A10="","",SUMIFS(경조사내역!$F$3:$F$1002,경조사내역!$C$3:$C$1002,$A10,경조사내역!$A$3:$A$1002,"&gt;="&amp;DATE($B$3,1,1),경조사내역!$A$3:$A$1002,"&lt;="&amp;DATE($B$3,12,31)))</f>
        <v/>
      </c>
      <c r="E10" s="29" t="str">
        <f aca="false">IF($A10="","",IF(COUNTIFS(경조사내역!$C$3:$C$1002,$A10)=0,"",SUMPRODUCT(MAX((경조사내역!$C$3:$C$1002=$A10)*경조사내역!$A$3:$A$1002))))</f>
        <v/>
      </c>
      <c r="G10" s="6" t="str">
        <f aca="false">IF(대상목록!$C7="","",IF(COUNTIF(대상목록!$C$3:$C7,대상목록!$C7)=1,대상목록!$C7,""))</f>
        <v/>
      </c>
    </row>
    <row r="11" customFormat="false" ht="15" hidden="false" customHeight="true" outlineLevel="0" collapsed="false">
      <c r="A11" s="18" t="str">
        <f aca="false">IF($G11="","",$G11)</f>
        <v/>
      </c>
      <c r="B11" s="23" t="str">
        <f aca="false">IF($A11="","",COUNTIFS(대상목록!$C$3:$C$302,$A11))</f>
        <v/>
      </c>
      <c r="C11" s="23" t="str">
        <f aca="false">IF($A11="","",COUNTIFS(경조사내역!$C$3:$C$1002,$A11,경조사내역!$A$3:$A$1002,"&gt;="&amp;DATE($B$3,1,1),경조사내역!$A$3:$A$1002,"&lt;="&amp;DATE($B$3,12,31)))</f>
        <v/>
      </c>
      <c r="D11" s="28" t="str">
        <f aca="false">IF($A11="","",SUMIFS(경조사내역!$F$3:$F$1002,경조사내역!$C$3:$C$1002,$A11,경조사내역!$A$3:$A$1002,"&gt;="&amp;DATE($B$3,1,1),경조사내역!$A$3:$A$1002,"&lt;="&amp;DATE($B$3,12,31)))</f>
        <v/>
      </c>
      <c r="E11" s="29" t="str">
        <f aca="false">IF($A11="","",IF(COUNTIFS(경조사내역!$C$3:$C$1002,$A11)=0,"",SUMPRODUCT(MAX((경조사내역!$C$3:$C$1002=$A11)*경조사내역!$A$3:$A$1002))))</f>
        <v/>
      </c>
      <c r="G11" s="6" t="str">
        <f aca="false">IF(대상목록!$C8="","",IF(COUNTIF(대상목록!$C$3:$C8,대상목록!$C8)=1,대상목록!$C8,""))</f>
        <v/>
      </c>
    </row>
    <row r="12" customFormat="false" ht="15" hidden="false" customHeight="true" outlineLevel="0" collapsed="false">
      <c r="A12" s="18" t="str">
        <f aca="false">IF($G12="","",$G12)</f>
        <v/>
      </c>
      <c r="B12" s="23" t="str">
        <f aca="false">IF($A12="","",COUNTIFS(대상목록!$C$3:$C$302,$A12))</f>
        <v/>
      </c>
      <c r="C12" s="23" t="str">
        <f aca="false">IF($A12="","",COUNTIFS(경조사내역!$C$3:$C$1002,$A12,경조사내역!$A$3:$A$1002,"&gt;="&amp;DATE($B$3,1,1),경조사내역!$A$3:$A$1002,"&lt;="&amp;DATE($B$3,12,31)))</f>
        <v/>
      </c>
      <c r="D12" s="28" t="str">
        <f aca="false">IF($A12="","",SUMIFS(경조사내역!$F$3:$F$1002,경조사내역!$C$3:$C$1002,$A12,경조사내역!$A$3:$A$1002,"&gt;="&amp;DATE($B$3,1,1),경조사내역!$A$3:$A$1002,"&lt;="&amp;DATE($B$3,12,31)))</f>
        <v/>
      </c>
      <c r="E12" s="29" t="str">
        <f aca="false">IF($A12="","",IF(COUNTIFS(경조사내역!$C$3:$C$1002,$A12)=0,"",SUMPRODUCT(MAX((경조사내역!$C$3:$C$1002=$A12)*경조사내역!$A$3:$A$1002))))</f>
        <v/>
      </c>
      <c r="G12" s="6" t="str">
        <f aca="false">IF(대상목록!$C9="","",IF(COUNTIF(대상목록!$C$3:$C9,대상목록!$C9)=1,대상목록!$C9,""))</f>
        <v/>
      </c>
    </row>
    <row r="13" customFormat="false" ht="15" hidden="false" customHeight="true" outlineLevel="0" collapsed="false">
      <c r="A13" s="18" t="str">
        <f aca="false">IF($G13="","",$G13)</f>
        <v/>
      </c>
      <c r="B13" s="23" t="str">
        <f aca="false">IF($A13="","",COUNTIFS(대상목록!$C$3:$C$302,$A13))</f>
        <v/>
      </c>
      <c r="C13" s="23" t="str">
        <f aca="false">IF($A13="","",COUNTIFS(경조사내역!$C$3:$C$1002,$A13,경조사내역!$A$3:$A$1002,"&gt;="&amp;DATE($B$3,1,1),경조사내역!$A$3:$A$1002,"&lt;="&amp;DATE($B$3,12,31)))</f>
        <v/>
      </c>
      <c r="D13" s="28" t="str">
        <f aca="false">IF($A13="","",SUMIFS(경조사내역!$F$3:$F$1002,경조사내역!$C$3:$C$1002,$A13,경조사내역!$A$3:$A$1002,"&gt;="&amp;DATE($B$3,1,1),경조사내역!$A$3:$A$1002,"&lt;="&amp;DATE($B$3,12,31)))</f>
        <v/>
      </c>
      <c r="E13" s="29" t="str">
        <f aca="false">IF($A13="","",IF(COUNTIFS(경조사내역!$C$3:$C$1002,$A13)=0,"",SUMPRODUCT(MAX((경조사내역!$C$3:$C$1002=$A13)*경조사내역!$A$3:$A$1002))))</f>
        <v/>
      </c>
      <c r="G13" s="6" t="str">
        <f aca="false">IF(대상목록!$C10="","",IF(COUNTIF(대상목록!$C$3:$C10,대상목록!$C10)=1,대상목록!$C10,""))</f>
        <v/>
      </c>
    </row>
    <row r="14" customFormat="false" ht="15" hidden="false" customHeight="true" outlineLevel="0" collapsed="false">
      <c r="A14" s="18" t="str">
        <f aca="false">IF($G14="","",$G14)</f>
        <v/>
      </c>
      <c r="B14" s="23" t="str">
        <f aca="false">IF($A14="","",COUNTIFS(대상목록!$C$3:$C$302,$A14))</f>
        <v/>
      </c>
      <c r="C14" s="23" t="str">
        <f aca="false">IF($A14="","",COUNTIFS(경조사내역!$C$3:$C$1002,$A14,경조사내역!$A$3:$A$1002,"&gt;="&amp;DATE($B$3,1,1),경조사내역!$A$3:$A$1002,"&lt;="&amp;DATE($B$3,12,31)))</f>
        <v/>
      </c>
      <c r="D14" s="28" t="str">
        <f aca="false">IF($A14="","",SUMIFS(경조사내역!$F$3:$F$1002,경조사내역!$C$3:$C$1002,$A14,경조사내역!$A$3:$A$1002,"&gt;="&amp;DATE($B$3,1,1),경조사내역!$A$3:$A$1002,"&lt;="&amp;DATE($B$3,12,31)))</f>
        <v/>
      </c>
      <c r="E14" s="29" t="str">
        <f aca="false">IF($A14="","",IF(COUNTIFS(경조사내역!$C$3:$C$1002,$A14)=0,"",SUMPRODUCT(MAX((경조사내역!$C$3:$C$1002=$A14)*경조사내역!$A$3:$A$1002))))</f>
        <v/>
      </c>
      <c r="G14" s="6" t="str">
        <f aca="false">IF(대상목록!$C11="","",IF(COUNTIF(대상목록!$C$3:$C11,대상목록!$C11)=1,대상목록!$C11,""))</f>
        <v/>
      </c>
    </row>
    <row r="15" customFormat="false" ht="15" hidden="false" customHeight="true" outlineLevel="0" collapsed="false">
      <c r="A15" s="18" t="str">
        <f aca="false">IF($G15="","",$G15)</f>
        <v/>
      </c>
      <c r="B15" s="23" t="str">
        <f aca="false">IF($A15="","",COUNTIFS(대상목록!$C$3:$C$302,$A15))</f>
        <v/>
      </c>
      <c r="C15" s="23" t="str">
        <f aca="false">IF($A15="","",COUNTIFS(경조사내역!$C$3:$C$1002,$A15,경조사내역!$A$3:$A$1002,"&gt;="&amp;DATE($B$3,1,1),경조사내역!$A$3:$A$1002,"&lt;="&amp;DATE($B$3,12,31)))</f>
        <v/>
      </c>
      <c r="D15" s="28" t="str">
        <f aca="false">IF($A15="","",SUMIFS(경조사내역!$F$3:$F$1002,경조사내역!$C$3:$C$1002,$A15,경조사내역!$A$3:$A$1002,"&gt;="&amp;DATE($B$3,1,1),경조사내역!$A$3:$A$1002,"&lt;="&amp;DATE($B$3,12,31)))</f>
        <v/>
      </c>
      <c r="E15" s="29" t="str">
        <f aca="false">IF($A15="","",IF(COUNTIFS(경조사내역!$C$3:$C$1002,$A15)=0,"",SUMPRODUCT(MAX((경조사내역!$C$3:$C$1002=$A15)*경조사내역!$A$3:$A$1002))))</f>
        <v/>
      </c>
      <c r="G15" s="6" t="str">
        <f aca="false">IF(대상목록!$C12="","",IF(COUNTIF(대상목록!$C$3:$C12,대상목록!$C12)=1,대상목록!$C12,""))</f>
        <v/>
      </c>
    </row>
    <row r="16" customFormat="false" ht="15" hidden="false" customHeight="true" outlineLevel="0" collapsed="false">
      <c r="A16" s="18" t="str">
        <f aca="false">IF($G16="","",$G16)</f>
        <v/>
      </c>
      <c r="B16" s="23" t="str">
        <f aca="false">IF($A16="","",COUNTIFS(대상목록!$C$3:$C$302,$A16))</f>
        <v/>
      </c>
      <c r="C16" s="23" t="str">
        <f aca="false">IF($A16="","",COUNTIFS(경조사내역!$C$3:$C$1002,$A16,경조사내역!$A$3:$A$1002,"&gt;="&amp;DATE($B$3,1,1),경조사내역!$A$3:$A$1002,"&lt;="&amp;DATE($B$3,12,31)))</f>
        <v/>
      </c>
      <c r="D16" s="28" t="str">
        <f aca="false">IF($A16="","",SUMIFS(경조사내역!$F$3:$F$1002,경조사내역!$C$3:$C$1002,$A16,경조사내역!$A$3:$A$1002,"&gt;="&amp;DATE($B$3,1,1),경조사내역!$A$3:$A$1002,"&lt;="&amp;DATE($B$3,12,31)))</f>
        <v/>
      </c>
      <c r="E16" s="29" t="str">
        <f aca="false">IF($A16="","",IF(COUNTIFS(경조사내역!$C$3:$C$1002,$A16)=0,"",SUMPRODUCT(MAX((경조사내역!$C$3:$C$1002=$A16)*경조사내역!$A$3:$A$1002))))</f>
        <v/>
      </c>
      <c r="G16" s="6" t="str">
        <f aca="false">IF(대상목록!$C13="","",IF(COUNTIF(대상목록!$C$3:$C13,대상목록!$C13)=1,대상목록!$C13,""))</f>
        <v/>
      </c>
    </row>
    <row r="17" customFormat="false" ht="15" hidden="false" customHeight="true" outlineLevel="0" collapsed="false">
      <c r="A17" s="18" t="str">
        <f aca="false">IF($G17="","",$G17)</f>
        <v/>
      </c>
      <c r="B17" s="23" t="str">
        <f aca="false">IF($A17="","",COUNTIFS(대상목록!$C$3:$C$302,$A17))</f>
        <v/>
      </c>
      <c r="C17" s="23" t="str">
        <f aca="false">IF($A17="","",COUNTIFS(경조사내역!$C$3:$C$1002,$A17,경조사내역!$A$3:$A$1002,"&gt;="&amp;DATE($B$3,1,1),경조사내역!$A$3:$A$1002,"&lt;="&amp;DATE($B$3,12,31)))</f>
        <v/>
      </c>
      <c r="D17" s="28" t="str">
        <f aca="false">IF($A17="","",SUMIFS(경조사내역!$F$3:$F$1002,경조사내역!$C$3:$C$1002,$A17,경조사내역!$A$3:$A$1002,"&gt;="&amp;DATE($B$3,1,1),경조사내역!$A$3:$A$1002,"&lt;="&amp;DATE($B$3,12,31)))</f>
        <v/>
      </c>
      <c r="E17" s="29" t="str">
        <f aca="false">IF($A17="","",IF(COUNTIFS(경조사내역!$C$3:$C$1002,$A17)=0,"",SUMPRODUCT(MAX((경조사내역!$C$3:$C$1002=$A17)*경조사내역!$A$3:$A$1002))))</f>
        <v/>
      </c>
      <c r="G17" s="6" t="str">
        <f aca="false">IF(대상목록!$C14="","",IF(COUNTIF(대상목록!$C$3:$C14,대상목록!$C14)=1,대상목록!$C14,""))</f>
        <v/>
      </c>
    </row>
    <row r="18" customFormat="false" ht="15" hidden="false" customHeight="true" outlineLevel="0" collapsed="false">
      <c r="A18" s="18" t="str">
        <f aca="false">IF($G18="","",$G18)</f>
        <v/>
      </c>
      <c r="B18" s="23" t="str">
        <f aca="false">IF($A18="","",COUNTIFS(대상목록!$C$3:$C$302,$A18))</f>
        <v/>
      </c>
      <c r="C18" s="23" t="str">
        <f aca="false">IF($A18="","",COUNTIFS(경조사내역!$C$3:$C$1002,$A18,경조사내역!$A$3:$A$1002,"&gt;="&amp;DATE($B$3,1,1),경조사내역!$A$3:$A$1002,"&lt;="&amp;DATE($B$3,12,31)))</f>
        <v/>
      </c>
      <c r="D18" s="28" t="str">
        <f aca="false">IF($A18="","",SUMIFS(경조사내역!$F$3:$F$1002,경조사내역!$C$3:$C$1002,$A18,경조사내역!$A$3:$A$1002,"&gt;="&amp;DATE($B$3,1,1),경조사내역!$A$3:$A$1002,"&lt;="&amp;DATE($B$3,12,31)))</f>
        <v/>
      </c>
      <c r="E18" s="29" t="str">
        <f aca="false">IF($A18="","",IF(COUNTIFS(경조사내역!$C$3:$C$1002,$A18)=0,"",SUMPRODUCT(MAX((경조사내역!$C$3:$C$1002=$A18)*경조사내역!$A$3:$A$1002))))</f>
        <v/>
      </c>
      <c r="G18" s="6" t="str">
        <f aca="false">IF(대상목록!$C15="","",IF(COUNTIF(대상목록!$C$3:$C15,대상목록!$C15)=1,대상목록!$C15,""))</f>
        <v/>
      </c>
    </row>
    <row r="19" customFormat="false" ht="15" hidden="false" customHeight="true" outlineLevel="0" collapsed="false">
      <c r="A19" s="18" t="str">
        <f aca="false">IF($G19="","",$G19)</f>
        <v/>
      </c>
      <c r="B19" s="23" t="str">
        <f aca="false">IF($A19="","",COUNTIFS(대상목록!$C$3:$C$302,$A19))</f>
        <v/>
      </c>
      <c r="C19" s="23" t="str">
        <f aca="false">IF($A19="","",COUNTIFS(경조사내역!$C$3:$C$1002,$A19,경조사내역!$A$3:$A$1002,"&gt;="&amp;DATE($B$3,1,1),경조사내역!$A$3:$A$1002,"&lt;="&amp;DATE($B$3,12,31)))</f>
        <v/>
      </c>
      <c r="D19" s="28" t="str">
        <f aca="false">IF($A19="","",SUMIFS(경조사내역!$F$3:$F$1002,경조사내역!$C$3:$C$1002,$A19,경조사내역!$A$3:$A$1002,"&gt;="&amp;DATE($B$3,1,1),경조사내역!$A$3:$A$1002,"&lt;="&amp;DATE($B$3,12,31)))</f>
        <v/>
      </c>
      <c r="E19" s="29" t="str">
        <f aca="false">IF($A19="","",IF(COUNTIFS(경조사내역!$C$3:$C$1002,$A19)=0,"",SUMPRODUCT(MAX((경조사내역!$C$3:$C$1002=$A19)*경조사내역!$A$3:$A$1002))))</f>
        <v/>
      </c>
      <c r="G19" s="6" t="str">
        <f aca="false">IF(대상목록!$C16="","",IF(COUNTIF(대상목록!$C$3:$C16,대상목록!$C16)=1,대상목록!$C16,""))</f>
        <v/>
      </c>
    </row>
    <row r="20" customFormat="false" ht="15" hidden="false" customHeight="true" outlineLevel="0" collapsed="false">
      <c r="A20" s="18" t="str">
        <f aca="false">IF($G20="","",$G20)</f>
        <v/>
      </c>
      <c r="B20" s="23" t="str">
        <f aca="false">IF($A20="","",COUNTIFS(대상목록!$C$3:$C$302,$A20))</f>
        <v/>
      </c>
      <c r="C20" s="23" t="str">
        <f aca="false">IF($A20="","",COUNTIFS(경조사내역!$C$3:$C$1002,$A20,경조사내역!$A$3:$A$1002,"&gt;="&amp;DATE($B$3,1,1),경조사내역!$A$3:$A$1002,"&lt;="&amp;DATE($B$3,12,31)))</f>
        <v/>
      </c>
      <c r="D20" s="28" t="str">
        <f aca="false">IF($A20="","",SUMIFS(경조사내역!$F$3:$F$1002,경조사내역!$C$3:$C$1002,$A20,경조사내역!$A$3:$A$1002,"&gt;="&amp;DATE($B$3,1,1),경조사내역!$A$3:$A$1002,"&lt;="&amp;DATE($B$3,12,31)))</f>
        <v/>
      </c>
      <c r="E20" s="29" t="str">
        <f aca="false">IF($A20="","",IF(COUNTIFS(경조사내역!$C$3:$C$1002,$A20)=0,"",SUMPRODUCT(MAX((경조사내역!$C$3:$C$1002=$A20)*경조사내역!$A$3:$A$1002))))</f>
        <v/>
      </c>
      <c r="G20" s="6" t="str">
        <f aca="false">IF(대상목록!$C17="","",IF(COUNTIF(대상목록!$C$3:$C17,대상목록!$C17)=1,대상목록!$C17,""))</f>
        <v/>
      </c>
    </row>
    <row r="21" customFormat="false" ht="15" hidden="false" customHeight="true" outlineLevel="0" collapsed="false">
      <c r="A21" s="18" t="str">
        <f aca="false">IF($G21="","",$G21)</f>
        <v/>
      </c>
      <c r="B21" s="23" t="str">
        <f aca="false">IF($A21="","",COUNTIFS(대상목록!$C$3:$C$302,$A21))</f>
        <v/>
      </c>
      <c r="C21" s="23" t="str">
        <f aca="false">IF($A21="","",COUNTIFS(경조사내역!$C$3:$C$1002,$A21,경조사내역!$A$3:$A$1002,"&gt;="&amp;DATE($B$3,1,1),경조사내역!$A$3:$A$1002,"&lt;="&amp;DATE($B$3,12,31)))</f>
        <v/>
      </c>
      <c r="D21" s="28" t="str">
        <f aca="false">IF($A21="","",SUMIFS(경조사내역!$F$3:$F$1002,경조사내역!$C$3:$C$1002,$A21,경조사내역!$A$3:$A$1002,"&gt;="&amp;DATE($B$3,1,1),경조사내역!$A$3:$A$1002,"&lt;="&amp;DATE($B$3,12,31)))</f>
        <v/>
      </c>
      <c r="E21" s="29" t="str">
        <f aca="false">IF($A21="","",IF(COUNTIFS(경조사내역!$C$3:$C$1002,$A21)=0,"",SUMPRODUCT(MAX((경조사내역!$C$3:$C$1002=$A21)*경조사내역!$A$3:$A$1002))))</f>
        <v/>
      </c>
      <c r="G21" s="6" t="str">
        <f aca="false">IF(대상목록!$C18="","",IF(COUNTIF(대상목록!$C$3:$C18,대상목록!$C18)=1,대상목록!$C18,""))</f>
        <v/>
      </c>
    </row>
    <row r="22" customFormat="false" ht="15" hidden="false" customHeight="true" outlineLevel="0" collapsed="false">
      <c r="A22" s="18" t="str">
        <f aca="false">IF($G22="","",$G22)</f>
        <v/>
      </c>
      <c r="B22" s="23" t="str">
        <f aca="false">IF($A22="","",COUNTIFS(대상목록!$C$3:$C$302,$A22))</f>
        <v/>
      </c>
      <c r="C22" s="23" t="str">
        <f aca="false">IF($A22="","",COUNTIFS(경조사내역!$C$3:$C$1002,$A22,경조사내역!$A$3:$A$1002,"&gt;="&amp;DATE($B$3,1,1),경조사내역!$A$3:$A$1002,"&lt;="&amp;DATE($B$3,12,31)))</f>
        <v/>
      </c>
      <c r="D22" s="28" t="str">
        <f aca="false">IF($A22="","",SUMIFS(경조사내역!$F$3:$F$1002,경조사내역!$C$3:$C$1002,$A22,경조사내역!$A$3:$A$1002,"&gt;="&amp;DATE($B$3,1,1),경조사내역!$A$3:$A$1002,"&lt;="&amp;DATE($B$3,12,31)))</f>
        <v/>
      </c>
      <c r="E22" s="29" t="str">
        <f aca="false">IF($A22="","",IF(COUNTIFS(경조사내역!$C$3:$C$1002,$A22)=0,"",SUMPRODUCT(MAX((경조사내역!$C$3:$C$1002=$A22)*경조사내역!$A$3:$A$1002))))</f>
        <v/>
      </c>
      <c r="G22" s="6" t="str">
        <f aca="false">IF(대상목록!$C19="","",IF(COUNTIF(대상목록!$C$3:$C19,대상목록!$C19)=1,대상목록!$C19,""))</f>
        <v/>
      </c>
    </row>
    <row r="23" customFormat="false" ht="15" hidden="false" customHeight="true" outlineLevel="0" collapsed="false">
      <c r="A23" s="18" t="str">
        <f aca="false">IF($G23="","",$G23)</f>
        <v/>
      </c>
      <c r="B23" s="23" t="str">
        <f aca="false">IF($A23="","",COUNTIFS(대상목록!$C$3:$C$302,$A23))</f>
        <v/>
      </c>
      <c r="C23" s="23" t="str">
        <f aca="false">IF($A23="","",COUNTIFS(경조사내역!$C$3:$C$1002,$A23,경조사내역!$A$3:$A$1002,"&gt;="&amp;DATE($B$3,1,1),경조사내역!$A$3:$A$1002,"&lt;="&amp;DATE($B$3,12,31)))</f>
        <v/>
      </c>
      <c r="D23" s="28" t="str">
        <f aca="false">IF($A23="","",SUMIFS(경조사내역!$F$3:$F$1002,경조사내역!$C$3:$C$1002,$A23,경조사내역!$A$3:$A$1002,"&gt;="&amp;DATE($B$3,1,1),경조사내역!$A$3:$A$1002,"&lt;="&amp;DATE($B$3,12,31)))</f>
        <v/>
      </c>
      <c r="E23" s="29" t="str">
        <f aca="false">IF($A23="","",IF(COUNTIFS(경조사내역!$C$3:$C$1002,$A23)=0,"",SUMPRODUCT(MAX((경조사내역!$C$3:$C$1002=$A23)*경조사내역!$A$3:$A$1002))))</f>
        <v/>
      </c>
      <c r="G23" s="6" t="str">
        <f aca="false">IF(대상목록!$C20="","",IF(COUNTIF(대상목록!$C$3:$C20,대상목록!$C20)=1,대상목록!$C20,""))</f>
        <v/>
      </c>
    </row>
    <row r="24" customFormat="false" ht="15" hidden="false" customHeight="true" outlineLevel="0" collapsed="false">
      <c r="A24" s="18" t="str">
        <f aca="false">IF($G24="","",$G24)</f>
        <v/>
      </c>
      <c r="B24" s="23" t="str">
        <f aca="false">IF($A24="","",COUNTIFS(대상목록!$C$3:$C$302,$A24))</f>
        <v/>
      </c>
      <c r="C24" s="23" t="str">
        <f aca="false">IF($A24="","",COUNTIFS(경조사내역!$C$3:$C$1002,$A24,경조사내역!$A$3:$A$1002,"&gt;="&amp;DATE($B$3,1,1),경조사내역!$A$3:$A$1002,"&lt;="&amp;DATE($B$3,12,31)))</f>
        <v/>
      </c>
      <c r="D24" s="28" t="str">
        <f aca="false">IF($A24="","",SUMIFS(경조사내역!$F$3:$F$1002,경조사내역!$C$3:$C$1002,$A24,경조사내역!$A$3:$A$1002,"&gt;="&amp;DATE($B$3,1,1),경조사내역!$A$3:$A$1002,"&lt;="&amp;DATE($B$3,12,31)))</f>
        <v/>
      </c>
      <c r="E24" s="29" t="str">
        <f aca="false">IF($A24="","",IF(COUNTIFS(경조사내역!$C$3:$C$1002,$A24)=0,"",SUMPRODUCT(MAX((경조사내역!$C$3:$C$1002=$A24)*경조사내역!$A$3:$A$1002))))</f>
        <v/>
      </c>
      <c r="G24" s="6" t="str">
        <f aca="false">IF(대상목록!$C21="","",IF(COUNTIF(대상목록!$C$3:$C21,대상목록!$C21)=1,대상목록!$C21,""))</f>
        <v/>
      </c>
    </row>
    <row r="25" customFormat="false" ht="15" hidden="false" customHeight="true" outlineLevel="0" collapsed="false">
      <c r="A25" s="18" t="str">
        <f aca="false">IF($G25="","",$G25)</f>
        <v/>
      </c>
      <c r="B25" s="23" t="str">
        <f aca="false">IF($A25="","",COUNTIFS(대상목록!$C$3:$C$302,$A25))</f>
        <v/>
      </c>
      <c r="C25" s="23" t="str">
        <f aca="false">IF($A25="","",COUNTIFS(경조사내역!$C$3:$C$1002,$A25,경조사내역!$A$3:$A$1002,"&gt;="&amp;DATE($B$3,1,1),경조사내역!$A$3:$A$1002,"&lt;="&amp;DATE($B$3,12,31)))</f>
        <v/>
      </c>
      <c r="D25" s="28" t="str">
        <f aca="false">IF($A25="","",SUMIFS(경조사내역!$F$3:$F$1002,경조사내역!$C$3:$C$1002,$A25,경조사내역!$A$3:$A$1002,"&gt;="&amp;DATE($B$3,1,1),경조사내역!$A$3:$A$1002,"&lt;="&amp;DATE($B$3,12,31)))</f>
        <v/>
      </c>
      <c r="E25" s="29" t="str">
        <f aca="false">IF($A25="","",IF(COUNTIFS(경조사내역!$C$3:$C$1002,$A25)=0,"",SUMPRODUCT(MAX((경조사내역!$C$3:$C$1002=$A25)*경조사내역!$A$3:$A$1002))))</f>
        <v/>
      </c>
      <c r="G25" s="6" t="str">
        <f aca="false">IF(대상목록!$C22="","",IF(COUNTIF(대상목록!$C$3:$C22,대상목록!$C22)=1,대상목록!$C22,""))</f>
        <v/>
      </c>
    </row>
    <row r="26" customFormat="false" ht="15" hidden="false" customHeight="true" outlineLevel="0" collapsed="false">
      <c r="A26" s="18" t="str">
        <f aca="false">IF($G26="","",$G26)</f>
        <v/>
      </c>
      <c r="B26" s="23" t="str">
        <f aca="false">IF($A26="","",COUNTIFS(대상목록!$C$3:$C$302,$A26))</f>
        <v/>
      </c>
      <c r="C26" s="23" t="str">
        <f aca="false">IF($A26="","",COUNTIFS(경조사내역!$C$3:$C$1002,$A26,경조사내역!$A$3:$A$1002,"&gt;="&amp;DATE($B$3,1,1),경조사내역!$A$3:$A$1002,"&lt;="&amp;DATE($B$3,12,31)))</f>
        <v/>
      </c>
      <c r="D26" s="28" t="str">
        <f aca="false">IF($A26="","",SUMIFS(경조사내역!$F$3:$F$1002,경조사내역!$C$3:$C$1002,$A26,경조사내역!$A$3:$A$1002,"&gt;="&amp;DATE($B$3,1,1),경조사내역!$A$3:$A$1002,"&lt;="&amp;DATE($B$3,12,31)))</f>
        <v/>
      </c>
      <c r="E26" s="29" t="str">
        <f aca="false">IF($A26="","",IF(COUNTIFS(경조사내역!$C$3:$C$1002,$A26)=0,"",SUMPRODUCT(MAX((경조사내역!$C$3:$C$1002=$A26)*경조사내역!$A$3:$A$1002))))</f>
        <v/>
      </c>
      <c r="G26" s="6" t="str">
        <f aca="false">IF(대상목록!$C23="","",IF(COUNTIF(대상목록!$C$3:$C23,대상목록!$C23)=1,대상목록!$C23,""))</f>
        <v/>
      </c>
    </row>
    <row r="27" customFormat="false" ht="15" hidden="false" customHeight="true" outlineLevel="0" collapsed="false">
      <c r="A27" s="18" t="str">
        <f aca="false">IF($G27="","",$G27)</f>
        <v/>
      </c>
      <c r="B27" s="23" t="str">
        <f aca="false">IF($A27="","",COUNTIFS(대상목록!$C$3:$C$302,$A27))</f>
        <v/>
      </c>
      <c r="C27" s="23" t="str">
        <f aca="false">IF($A27="","",COUNTIFS(경조사내역!$C$3:$C$1002,$A27,경조사내역!$A$3:$A$1002,"&gt;="&amp;DATE($B$3,1,1),경조사내역!$A$3:$A$1002,"&lt;="&amp;DATE($B$3,12,31)))</f>
        <v/>
      </c>
      <c r="D27" s="28" t="str">
        <f aca="false">IF($A27="","",SUMIFS(경조사내역!$F$3:$F$1002,경조사내역!$C$3:$C$1002,$A27,경조사내역!$A$3:$A$1002,"&gt;="&amp;DATE($B$3,1,1),경조사내역!$A$3:$A$1002,"&lt;="&amp;DATE($B$3,12,31)))</f>
        <v/>
      </c>
      <c r="E27" s="29" t="str">
        <f aca="false">IF($A27="","",IF(COUNTIFS(경조사내역!$C$3:$C$1002,$A27)=0,"",SUMPRODUCT(MAX((경조사내역!$C$3:$C$1002=$A27)*경조사내역!$A$3:$A$1002))))</f>
        <v/>
      </c>
      <c r="G27" s="6" t="str">
        <f aca="false">IF(대상목록!$C24="","",IF(COUNTIF(대상목록!$C$3:$C24,대상목록!$C24)=1,대상목록!$C24,""))</f>
        <v/>
      </c>
    </row>
    <row r="28" customFormat="false" ht="15" hidden="false" customHeight="true" outlineLevel="0" collapsed="false">
      <c r="A28" s="18" t="str">
        <f aca="false">IF($G28="","",$G28)</f>
        <v/>
      </c>
      <c r="B28" s="23" t="str">
        <f aca="false">IF($A28="","",COUNTIFS(대상목록!$C$3:$C$302,$A28))</f>
        <v/>
      </c>
      <c r="C28" s="23" t="str">
        <f aca="false">IF($A28="","",COUNTIFS(경조사내역!$C$3:$C$1002,$A28,경조사내역!$A$3:$A$1002,"&gt;="&amp;DATE($B$3,1,1),경조사내역!$A$3:$A$1002,"&lt;="&amp;DATE($B$3,12,31)))</f>
        <v/>
      </c>
      <c r="D28" s="28" t="str">
        <f aca="false">IF($A28="","",SUMIFS(경조사내역!$F$3:$F$1002,경조사내역!$C$3:$C$1002,$A28,경조사내역!$A$3:$A$1002,"&gt;="&amp;DATE($B$3,1,1),경조사내역!$A$3:$A$1002,"&lt;="&amp;DATE($B$3,12,31)))</f>
        <v/>
      </c>
      <c r="E28" s="29" t="str">
        <f aca="false">IF($A28="","",IF(COUNTIFS(경조사내역!$C$3:$C$1002,$A28)=0,"",SUMPRODUCT(MAX((경조사내역!$C$3:$C$1002=$A28)*경조사내역!$A$3:$A$1002))))</f>
        <v/>
      </c>
      <c r="G28" s="6" t="str">
        <f aca="false">IF(대상목록!$C25="","",IF(COUNTIF(대상목록!$C$3:$C25,대상목록!$C25)=1,대상목록!$C25,""))</f>
        <v/>
      </c>
    </row>
    <row r="29" customFormat="false" ht="15" hidden="false" customHeight="true" outlineLevel="0" collapsed="false">
      <c r="A29" s="18" t="str">
        <f aca="false">IF($G29="","",$G29)</f>
        <v/>
      </c>
      <c r="B29" s="23" t="str">
        <f aca="false">IF($A29="","",COUNTIFS(대상목록!$C$3:$C$302,$A29))</f>
        <v/>
      </c>
      <c r="C29" s="23" t="str">
        <f aca="false">IF($A29="","",COUNTIFS(경조사내역!$C$3:$C$1002,$A29,경조사내역!$A$3:$A$1002,"&gt;="&amp;DATE($B$3,1,1),경조사내역!$A$3:$A$1002,"&lt;="&amp;DATE($B$3,12,31)))</f>
        <v/>
      </c>
      <c r="D29" s="28" t="str">
        <f aca="false">IF($A29="","",SUMIFS(경조사내역!$F$3:$F$1002,경조사내역!$C$3:$C$1002,$A29,경조사내역!$A$3:$A$1002,"&gt;="&amp;DATE($B$3,1,1),경조사내역!$A$3:$A$1002,"&lt;="&amp;DATE($B$3,12,31)))</f>
        <v/>
      </c>
      <c r="E29" s="29" t="str">
        <f aca="false">IF($A29="","",IF(COUNTIFS(경조사내역!$C$3:$C$1002,$A29)=0,"",SUMPRODUCT(MAX((경조사내역!$C$3:$C$1002=$A29)*경조사내역!$A$3:$A$1002))))</f>
        <v/>
      </c>
      <c r="G29" s="6" t="str">
        <f aca="false">IF(대상목록!$C26="","",IF(COUNTIF(대상목록!$C$3:$C26,대상목록!$C26)=1,대상목록!$C26,""))</f>
        <v/>
      </c>
    </row>
    <row r="30" customFormat="false" ht="15" hidden="false" customHeight="true" outlineLevel="0" collapsed="false">
      <c r="A30" s="18" t="str">
        <f aca="false">IF($G30="","",$G30)</f>
        <v/>
      </c>
      <c r="B30" s="23" t="str">
        <f aca="false">IF($A30="","",COUNTIFS(대상목록!$C$3:$C$302,$A30))</f>
        <v/>
      </c>
      <c r="C30" s="23" t="str">
        <f aca="false">IF($A30="","",COUNTIFS(경조사내역!$C$3:$C$1002,$A30,경조사내역!$A$3:$A$1002,"&gt;="&amp;DATE($B$3,1,1),경조사내역!$A$3:$A$1002,"&lt;="&amp;DATE($B$3,12,31)))</f>
        <v/>
      </c>
      <c r="D30" s="28" t="str">
        <f aca="false">IF($A30="","",SUMIFS(경조사내역!$F$3:$F$1002,경조사내역!$C$3:$C$1002,$A30,경조사내역!$A$3:$A$1002,"&gt;="&amp;DATE($B$3,1,1),경조사내역!$A$3:$A$1002,"&lt;="&amp;DATE($B$3,12,31)))</f>
        <v/>
      </c>
      <c r="E30" s="29" t="str">
        <f aca="false">IF($A30="","",IF(COUNTIFS(경조사내역!$C$3:$C$1002,$A30)=0,"",SUMPRODUCT(MAX((경조사내역!$C$3:$C$1002=$A30)*경조사내역!$A$3:$A$1002))))</f>
        <v/>
      </c>
      <c r="G30" s="6" t="str">
        <f aca="false">IF(대상목록!$C27="","",IF(COUNTIF(대상목록!$C$3:$C27,대상목록!$C27)=1,대상목록!$C27,""))</f>
        <v/>
      </c>
    </row>
    <row r="31" customFormat="false" ht="15" hidden="false" customHeight="true" outlineLevel="0" collapsed="false">
      <c r="A31" s="18" t="str">
        <f aca="false">IF($G31="","",$G31)</f>
        <v/>
      </c>
      <c r="B31" s="23" t="str">
        <f aca="false">IF($A31="","",COUNTIFS(대상목록!$C$3:$C$302,$A31))</f>
        <v/>
      </c>
      <c r="C31" s="23" t="str">
        <f aca="false">IF($A31="","",COUNTIFS(경조사내역!$C$3:$C$1002,$A31,경조사내역!$A$3:$A$1002,"&gt;="&amp;DATE($B$3,1,1),경조사내역!$A$3:$A$1002,"&lt;="&amp;DATE($B$3,12,31)))</f>
        <v/>
      </c>
      <c r="D31" s="28" t="str">
        <f aca="false">IF($A31="","",SUMIFS(경조사내역!$F$3:$F$1002,경조사내역!$C$3:$C$1002,$A31,경조사내역!$A$3:$A$1002,"&gt;="&amp;DATE($B$3,1,1),경조사내역!$A$3:$A$1002,"&lt;="&amp;DATE($B$3,12,31)))</f>
        <v/>
      </c>
      <c r="E31" s="29" t="str">
        <f aca="false">IF($A31="","",IF(COUNTIFS(경조사내역!$C$3:$C$1002,$A31)=0,"",SUMPRODUCT(MAX((경조사내역!$C$3:$C$1002=$A31)*경조사내역!$A$3:$A$1002))))</f>
        <v/>
      </c>
      <c r="G31" s="6" t="str">
        <f aca="false">IF(대상목록!$C28="","",IF(COUNTIF(대상목록!$C$3:$C28,대상목록!$C28)=1,대상목록!$C28,""))</f>
        <v/>
      </c>
    </row>
    <row r="32" customFormat="false" ht="15" hidden="false" customHeight="true" outlineLevel="0" collapsed="false">
      <c r="A32" s="18" t="str">
        <f aca="false">IF($G32="","",$G32)</f>
        <v/>
      </c>
      <c r="B32" s="23" t="str">
        <f aca="false">IF($A32="","",COUNTIFS(대상목록!$C$3:$C$302,$A32))</f>
        <v/>
      </c>
      <c r="C32" s="23" t="str">
        <f aca="false">IF($A32="","",COUNTIFS(경조사내역!$C$3:$C$1002,$A32,경조사내역!$A$3:$A$1002,"&gt;="&amp;DATE($B$3,1,1),경조사내역!$A$3:$A$1002,"&lt;="&amp;DATE($B$3,12,31)))</f>
        <v/>
      </c>
      <c r="D32" s="28" t="str">
        <f aca="false">IF($A32="","",SUMIFS(경조사내역!$F$3:$F$1002,경조사내역!$C$3:$C$1002,$A32,경조사내역!$A$3:$A$1002,"&gt;="&amp;DATE($B$3,1,1),경조사내역!$A$3:$A$1002,"&lt;="&amp;DATE($B$3,12,31)))</f>
        <v/>
      </c>
      <c r="E32" s="29" t="str">
        <f aca="false">IF($A32="","",IF(COUNTIFS(경조사내역!$C$3:$C$1002,$A32)=0,"",SUMPRODUCT(MAX((경조사내역!$C$3:$C$1002=$A32)*경조사내역!$A$3:$A$1002))))</f>
        <v/>
      </c>
      <c r="G32" s="6" t="str">
        <f aca="false">IF(대상목록!$C29="","",IF(COUNTIF(대상목록!$C$3:$C29,대상목록!$C29)=1,대상목록!$C29,""))</f>
        <v/>
      </c>
    </row>
    <row r="33" customFormat="false" ht="15" hidden="false" customHeight="true" outlineLevel="0" collapsed="false">
      <c r="A33" s="18" t="str">
        <f aca="false">IF($G33="","",$G33)</f>
        <v/>
      </c>
      <c r="B33" s="23" t="str">
        <f aca="false">IF($A33="","",COUNTIFS(대상목록!$C$3:$C$302,$A33))</f>
        <v/>
      </c>
      <c r="C33" s="23" t="str">
        <f aca="false">IF($A33="","",COUNTIFS(경조사내역!$C$3:$C$1002,$A33,경조사내역!$A$3:$A$1002,"&gt;="&amp;DATE($B$3,1,1),경조사내역!$A$3:$A$1002,"&lt;="&amp;DATE($B$3,12,31)))</f>
        <v/>
      </c>
      <c r="D33" s="28" t="str">
        <f aca="false">IF($A33="","",SUMIFS(경조사내역!$F$3:$F$1002,경조사내역!$C$3:$C$1002,$A33,경조사내역!$A$3:$A$1002,"&gt;="&amp;DATE($B$3,1,1),경조사내역!$A$3:$A$1002,"&lt;="&amp;DATE($B$3,12,31)))</f>
        <v/>
      </c>
      <c r="E33" s="29" t="str">
        <f aca="false">IF($A33="","",IF(COUNTIFS(경조사내역!$C$3:$C$1002,$A33)=0,"",SUMPRODUCT(MAX((경조사내역!$C$3:$C$1002=$A33)*경조사내역!$A$3:$A$1002))))</f>
        <v/>
      </c>
      <c r="G33" s="6" t="str">
        <f aca="false">IF(대상목록!$C30="","",IF(COUNTIF(대상목록!$C$3:$C30,대상목록!$C30)=1,대상목록!$C30,""))</f>
        <v/>
      </c>
    </row>
    <row r="34" customFormat="false" ht="15" hidden="false" customHeight="true" outlineLevel="0" collapsed="false">
      <c r="A34" s="18" t="str">
        <f aca="false">IF($G34="","",$G34)</f>
        <v/>
      </c>
      <c r="B34" s="23" t="str">
        <f aca="false">IF($A34="","",COUNTIFS(대상목록!$C$3:$C$302,$A34))</f>
        <v/>
      </c>
      <c r="C34" s="23" t="str">
        <f aca="false">IF($A34="","",COUNTIFS(경조사내역!$C$3:$C$1002,$A34,경조사내역!$A$3:$A$1002,"&gt;="&amp;DATE($B$3,1,1),경조사내역!$A$3:$A$1002,"&lt;="&amp;DATE($B$3,12,31)))</f>
        <v/>
      </c>
      <c r="D34" s="28" t="str">
        <f aca="false">IF($A34="","",SUMIFS(경조사내역!$F$3:$F$1002,경조사내역!$C$3:$C$1002,$A34,경조사내역!$A$3:$A$1002,"&gt;="&amp;DATE($B$3,1,1),경조사내역!$A$3:$A$1002,"&lt;="&amp;DATE($B$3,12,31)))</f>
        <v/>
      </c>
      <c r="E34" s="29" t="str">
        <f aca="false">IF($A34="","",IF(COUNTIFS(경조사내역!$C$3:$C$1002,$A34)=0,"",SUMPRODUCT(MAX((경조사내역!$C$3:$C$1002=$A34)*경조사내역!$A$3:$A$1002))))</f>
        <v/>
      </c>
      <c r="G34" s="6" t="str">
        <f aca="false">IF(대상목록!$C31="","",IF(COUNTIF(대상목록!$C$3:$C31,대상목록!$C31)=1,대상목록!$C31,""))</f>
        <v/>
      </c>
    </row>
    <row r="35" customFormat="false" ht="15" hidden="false" customHeight="true" outlineLevel="0" collapsed="false">
      <c r="A35" s="18" t="str">
        <f aca="false">IF($G35="","",$G35)</f>
        <v/>
      </c>
      <c r="B35" s="23" t="str">
        <f aca="false">IF($A35="","",COUNTIFS(대상목록!$C$3:$C$302,$A35))</f>
        <v/>
      </c>
      <c r="C35" s="23" t="str">
        <f aca="false">IF($A35="","",COUNTIFS(경조사내역!$C$3:$C$1002,$A35,경조사내역!$A$3:$A$1002,"&gt;="&amp;DATE($B$3,1,1),경조사내역!$A$3:$A$1002,"&lt;="&amp;DATE($B$3,12,31)))</f>
        <v/>
      </c>
      <c r="D35" s="28" t="str">
        <f aca="false">IF($A35="","",SUMIFS(경조사내역!$F$3:$F$1002,경조사내역!$C$3:$C$1002,$A35,경조사내역!$A$3:$A$1002,"&gt;="&amp;DATE($B$3,1,1),경조사내역!$A$3:$A$1002,"&lt;="&amp;DATE($B$3,12,31)))</f>
        <v/>
      </c>
      <c r="E35" s="29" t="str">
        <f aca="false">IF($A35="","",IF(COUNTIFS(경조사내역!$C$3:$C$1002,$A35)=0,"",SUMPRODUCT(MAX((경조사내역!$C$3:$C$1002=$A35)*경조사내역!$A$3:$A$1002))))</f>
        <v/>
      </c>
      <c r="G35" s="6" t="str">
        <f aca="false">IF(대상목록!$C32="","",IF(COUNTIF(대상목록!$C$3:$C32,대상목록!$C32)=1,대상목록!$C32,""))</f>
        <v/>
      </c>
    </row>
    <row r="36" customFormat="false" ht="15" hidden="false" customHeight="true" outlineLevel="0" collapsed="false">
      <c r="A36" s="18" t="str">
        <f aca="false">IF($G36="","",$G36)</f>
        <v/>
      </c>
      <c r="B36" s="23" t="str">
        <f aca="false">IF($A36="","",COUNTIFS(대상목록!$C$3:$C$302,$A36))</f>
        <v/>
      </c>
      <c r="C36" s="23" t="str">
        <f aca="false">IF($A36="","",COUNTIFS(경조사내역!$C$3:$C$1002,$A36,경조사내역!$A$3:$A$1002,"&gt;="&amp;DATE($B$3,1,1),경조사내역!$A$3:$A$1002,"&lt;="&amp;DATE($B$3,12,31)))</f>
        <v/>
      </c>
      <c r="D36" s="28" t="str">
        <f aca="false">IF($A36="","",SUMIFS(경조사내역!$F$3:$F$1002,경조사내역!$C$3:$C$1002,$A36,경조사내역!$A$3:$A$1002,"&gt;="&amp;DATE($B$3,1,1),경조사내역!$A$3:$A$1002,"&lt;="&amp;DATE($B$3,12,31)))</f>
        <v/>
      </c>
      <c r="E36" s="29" t="str">
        <f aca="false">IF($A36="","",IF(COUNTIFS(경조사내역!$C$3:$C$1002,$A36)=0,"",SUMPRODUCT(MAX((경조사내역!$C$3:$C$1002=$A36)*경조사내역!$A$3:$A$1002))))</f>
        <v/>
      </c>
      <c r="G36" s="6" t="str">
        <f aca="false">IF(대상목록!$C33="","",IF(COUNTIF(대상목록!$C$3:$C33,대상목록!$C33)=1,대상목록!$C33,""))</f>
        <v/>
      </c>
    </row>
    <row r="37" customFormat="false" ht="15" hidden="false" customHeight="true" outlineLevel="0" collapsed="false">
      <c r="A37" s="18" t="str">
        <f aca="false">IF($G37="","",$G37)</f>
        <v/>
      </c>
      <c r="B37" s="23" t="str">
        <f aca="false">IF($A37="","",COUNTIFS(대상목록!$C$3:$C$302,$A37))</f>
        <v/>
      </c>
      <c r="C37" s="23" t="str">
        <f aca="false">IF($A37="","",COUNTIFS(경조사내역!$C$3:$C$1002,$A37,경조사내역!$A$3:$A$1002,"&gt;="&amp;DATE($B$3,1,1),경조사내역!$A$3:$A$1002,"&lt;="&amp;DATE($B$3,12,31)))</f>
        <v/>
      </c>
      <c r="D37" s="28" t="str">
        <f aca="false">IF($A37="","",SUMIFS(경조사내역!$F$3:$F$1002,경조사내역!$C$3:$C$1002,$A37,경조사내역!$A$3:$A$1002,"&gt;="&amp;DATE($B$3,1,1),경조사내역!$A$3:$A$1002,"&lt;="&amp;DATE($B$3,12,31)))</f>
        <v/>
      </c>
      <c r="E37" s="29" t="str">
        <f aca="false">IF($A37="","",IF(COUNTIFS(경조사내역!$C$3:$C$1002,$A37)=0,"",SUMPRODUCT(MAX((경조사내역!$C$3:$C$1002=$A37)*경조사내역!$A$3:$A$1002))))</f>
        <v/>
      </c>
      <c r="G37" s="6" t="str">
        <f aca="false">IF(대상목록!$C34="","",IF(COUNTIF(대상목록!$C$3:$C34,대상목록!$C34)=1,대상목록!$C34,""))</f>
        <v/>
      </c>
    </row>
    <row r="38" customFormat="false" ht="15" hidden="false" customHeight="true" outlineLevel="0" collapsed="false">
      <c r="A38" s="18" t="str">
        <f aca="false">IF($G38="","",$G38)</f>
        <v/>
      </c>
      <c r="B38" s="23" t="str">
        <f aca="false">IF($A38="","",COUNTIFS(대상목록!$C$3:$C$302,$A38))</f>
        <v/>
      </c>
      <c r="C38" s="23" t="str">
        <f aca="false">IF($A38="","",COUNTIFS(경조사내역!$C$3:$C$1002,$A38,경조사내역!$A$3:$A$1002,"&gt;="&amp;DATE($B$3,1,1),경조사내역!$A$3:$A$1002,"&lt;="&amp;DATE($B$3,12,31)))</f>
        <v/>
      </c>
      <c r="D38" s="28" t="str">
        <f aca="false">IF($A38="","",SUMIFS(경조사내역!$F$3:$F$1002,경조사내역!$C$3:$C$1002,$A38,경조사내역!$A$3:$A$1002,"&gt;="&amp;DATE($B$3,1,1),경조사내역!$A$3:$A$1002,"&lt;="&amp;DATE($B$3,12,31)))</f>
        <v/>
      </c>
      <c r="E38" s="29" t="str">
        <f aca="false">IF($A38="","",IF(COUNTIFS(경조사내역!$C$3:$C$1002,$A38)=0,"",SUMPRODUCT(MAX((경조사내역!$C$3:$C$1002=$A38)*경조사내역!$A$3:$A$1002))))</f>
        <v/>
      </c>
      <c r="G38" s="6" t="str">
        <f aca="false">IF(대상목록!$C35="","",IF(COUNTIF(대상목록!$C$3:$C35,대상목록!$C35)=1,대상목록!$C35,""))</f>
        <v/>
      </c>
    </row>
    <row r="39" customFormat="false" ht="15" hidden="false" customHeight="true" outlineLevel="0" collapsed="false">
      <c r="A39" s="18" t="str">
        <f aca="false">IF($G39="","",$G39)</f>
        <v/>
      </c>
      <c r="B39" s="23" t="str">
        <f aca="false">IF($A39="","",COUNTIFS(대상목록!$C$3:$C$302,$A39))</f>
        <v/>
      </c>
      <c r="C39" s="23" t="str">
        <f aca="false">IF($A39="","",COUNTIFS(경조사내역!$C$3:$C$1002,$A39,경조사내역!$A$3:$A$1002,"&gt;="&amp;DATE($B$3,1,1),경조사내역!$A$3:$A$1002,"&lt;="&amp;DATE($B$3,12,31)))</f>
        <v/>
      </c>
      <c r="D39" s="28" t="str">
        <f aca="false">IF($A39="","",SUMIFS(경조사내역!$F$3:$F$1002,경조사내역!$C$3:$C$1002,$A39,경조사내역!$A$3:$A$1002,"&gt;="&amp;DATE($B$3,1,1),경조사내역!$A$3:$A$1002,"&lt;="&amp;DATE($B$3,12,31)))</f>
        <v/>
      </c>
      <c r="E39" s="29" t="str">
        <f aca="false">IF($A39="","",IF(COUNTIFS(경조사내역!$C$3:$C$1002,$A39)=0,"",SUMPRODUCT(MAX((경조사내역!$C$3:$C$1002=$A39)*경조사내역!$A$3:$A$1002))))</f>
        <v/>
      </c>
      <c r="G39" s="6" t="str">
        <f aca="false">IF(대상목록!$C36="","",IF(COUNTIF(대상목록!$C$3:$C36,대상목록!$C36)=1,대상목록!$C36,""))</f>
        <v/>
      </c>
    </row>
    <row r="40" customFormat="false" ht="15" hidden="false" customHeight="true" outlineLevel="0" collapsed="false">
      <c r="A40" s="18" t="str">
        <f aca="false">IF($G40="","",$G40)</f>
        <v/>
      </c>
      <c r="B40" s="23" t="str">
        <f aca="false">IF($A40="","",COUNTIFS(대상목록!$C$3:$C$302,$A40))</f>
        <v/>
      </c>
      <c r="C40" s="23" t="str">
        <f aca="false">IF($A40="","",COUNTIFS(경조사내역!$C$3:$C$1002,$A40,경조사내역!$A$3:$A$1002,"&gt;="&amp;DATE($B$3,1,1),경조사내역!$A$3:$A$1002,"&lt;="&amp;DATE($B$3,12,31)))</f>
        <v/>
      </c>
      <c r="D40" s="28" t="str">
        <f aca="false">IF($A40="","",SUMIFS(경조사내역!$F$3:$F$1002,경조사내역!$C$3:$C$1002,$A40,경조사내역!$A$3:$A$1002,"&gt;="&amp;DATE($B$3,1,1),경조사내역!$A$3:$A$1002,"&lt;="&amp;DATE($B$3,12,31)))</f>
        <v/>
      </c>
      <c r="E40" s="29" t="str">
        <f aca="false">IF($A40="","",IF(COUNTIFS(경조사내역!$C$3:$C$1002,$A40)=0,"",SUMPRODUCT(MAX((경조사내역!$C$3:$C$1002=$A40)*경조사내역!$A$3:$A$1002))))</f>
        <v/>
      </c>
      <c r="G40" s="6" t="str">
        <f aca="false">IF(대상목록!$C37="","",IF(COUNTIF(대상목록!$C$3:$C37,대상목록!$C37)=1,대상목록!$C37,""))</f>
        <v/>
      </c>
    </row>
    <row r="41" customFormat="false" ht="15" hidden="false" customHeight="true" outlineLevel="0" collapsed="false">
      <c r="A41" s="18" t="str">
        <f aca="false">IF($G41="","",$G41)</f>
        <v/>
      </c>
      <c r="B41" s="23" t="str">
        <f aca="false">IF($A41="","",COUNTIFS(대상목록!$C$3:$C$302,$A41))</f>
        <v/>
      </c>
      <c r="C41" s="23" t="str">
        <f aca="false">IF($A41="","",COUNTIFS(경조사내역!$C$3:$C$1002,$A41,경조사내역!$A$3:$A$1002,"&gt;="&amp;DATE($B$3,1,1),경조사내역!$A$3:$A$1002,"&lt;="&amp;DATE($B$3,12,31)))</f>
        <v/>
      </c>
      <c r="D41" s="28" t="str">
        <f aca="false">IF($A41="","",SUMIFS(경조사내역!$F$3:$F$1002,경조사내역!$C$3:$C$1002,$A41,경조사내역!$A$3:$A$1002,"&gt;="&amp;DATE($B$3,1,1),경조사내역!$A$3:$A$1002,"&lt;="&amp;DATE($B$3,12,31)))</f>
        <v/>
      </c>
      <c r="E41" s="29" t="str">
        <f aca="false">IF($A41="","",IF(COUNTIFS(경조사내역!$C$3:$C$1002,$A41)=0,"",SUMPRODUCT(MAX((경조사내역!$C$3:$C$1002=$A41)*경조사내역!$A$3:$A$1002))))</f>
        <v/>
      </c>
      <c r="G41" s="6" t="str">
        <f aca="false">IF(대상목록!$C38="","",IF(COUNTIF(대상목록!$C$3:$C38,대상목록!$C38)=1,대상목록!$C38,""))</f>
        <v/>
      </c>
    </row>
    <row r="42" customFormat="false" ht="15" hidden="false" customHeight="true" outlineLevel="0" collapsed="false">
      <c r="A42" s="18" t="str">
        <f aca="false">IF($G42="","",$G42)</f>
        <v/>
      </c>
      <c r="B42" s="23" t="str">
        <f aca="false">IF($A42="","",COUNTIFS(대상목록!$C$3:$C$302,$A42))</f>
        <v/>
      </c>
      <c r="C42" s="23" t="str">
        <f aca="false">IF($A42="","",COUNTIFS(경조사내역!$C$3:$C$1002,$A42,경조사내역!$A$3:$A$1002,"&gt;="&amp;DATE($B$3,1,1),경조사내역!$A$3:$A$1002,"&lt;="&amp;DATE($B$3,12,31)))</f>
        <v/>
      </c>
      <c r="D42" s="28" t="str">
        <f aca="false">IF($A42="","",SUMIFS(경조사내역!$F$3:$F$1002,경조사내역!$C$3:$C$1002,$A42,경조사내역!$A$3:$A$1002,"&gt;="&amp;DATE($B$3,1,1),경조사내역!$A$3:$A$1002,"&lt;="&amp;DATE($B$3,12,31)))</f>
        <v/>
      </c>
      <c r="E42" s="29" t="str">
        <f aca="false">IF($A42="","",IF(COUNTIFS(경조사내역!$C$3:$C$1002,$A42)=0,"",SUMPRODUCT(MAX((경조사내역!$C$3:$C$1002=$A42)*경조사내역!$A$3:$A$1002))))</f>
        <v/>
      </c>
      <c r="G42" s="6" t="str">
        <f aca="false">IF(대상목록!$C39="","",IF(COUNTIF(대상목록!$C$3:$C39,대상목록!$C39)=1,대상목록!$C39,""))</f>
        <v/>
      </c>
    </row>
    <row r="43" customFormat="false" ht="15" hidden="false" customHeight="true" outlineLevel="0" collapsed="false">
      <c r="A43" s="18" t="str">
        <f aca="false">IF($G43="","",$G43)</f>
        <v/>
      </c>
      <c r="B43" s="23" t="str">
        <f aca="false">IF($A43="","",COUNTIFS(대상목록!$C$3:$C$302,$A43))</f>
        <v/>
      </c>
      <c r="C43" s="23" t="str">
        <f aca="false">IF($A43="","",COUNTIFS(경조사내역!$C$3:$C$1002,$A43,경조사내역!$A$3:$A$1002,"&gt;="&amp;DATE($B$3,1,1),경조사내역!$A$3:$A$1002,"&lt;="&amp;DATE($B$3,12,31)))</f>
        <v/>
      </c>
      <c r="D43" s="28" t="str">
        <f aca="false">IF($A43="","",SUMIFS(경조사내역!$F$3:$F$1002,경조사내역!$C$3:$C$1002,$A43,경조사내역!$A$3:$A$1002,"&gt;="&amp;DATE($B$3,1,1),경조사내역!$A$3:$A$1002,"&lt;="&amp;DATE($B$3,12,31)))</f>
        <v/>
      </c>
      <c r="E43" s="29" t="str">
        <f aca="false">IF($A43="","",IF(COUNTIFS(경조사내역!$C$3:$C$1002,$A43)=0,"",SUMPRODUCT(MAX((경조사내역!$C$3:$C$1002=$A43)*경조사내역!$A$3:$A$1002))))</f>
        <v/>
      </c>
      <c r="G43" s="6" t="str">
        <f aca="false">IF(대상목록!$C40="","",IF(COUNTIF(대상목록!$C$3:$C40,대상목록!$C40)=1,대상목록!$C40,""))</f>
        <v/>
      </c>
    </row>
    <row r="44" customFormat="false" ht="15" hidden="false" customHeight="true" outlineLevel="0" collapsed="false">
      <c r="A44" s="18" t="str">
        <f aca="false">IF($G44="","",$G44)</f>
        <v/>
      </c>
      <c r="B44" s="23" t="str">
        <f aca="false">IF($A44="","",COUNTIFS(대상목록!$C$3:$C$302,$A44))</f>
        <v/>
      </c>
      <c r="C44" s="23" t="str">
        <f aca="false">IF($A44="","",COUNTIFS(경조사내역!$C$3:$C$1002,$A44,경조사내역!$A$3:$A$1002,"&gt;="&amp;DATE($B$3,1,1),경조사내역!$A$3:$A$1002,"&lt;="&amp;DATE($B$3,12,31)))</f>
        <v/>
      </c>
      <c r="D44" s="28" t="str">
        <f aca="false">IF($A44="","",SUMIFS(경조사내역!$F$3:$F$1002,경조사내역!$C$3:$C$1002,$A44,경조사내역!$A$3:$A$1002,"&gt;="&amp;DATE($B$3,1,1),경조사내역!$A$3:$A$1002,"&lt;="&amp;DATE($B$3,12,31)))</f>
        <v/>
      </c>
      <c r="E44" s="29" t="str">
        <f aca="false">IF($A44="","",IF(COUNTIFS(경조사내역!$C$3:$C$1002,$A44)=0,"",SUMPRODUCT(MAX((경조사내역!$C$3:$C$1002=$A44)*경조사내역!$A$3:$A$1002))))</f>
        <v/>
      </c>
      <c r="G44" s="6" t="str">
        <f aca="false">IF(대상목록!$C41="","",IF(COUNTIF(대상목록!$C$3:$C41,대상목록!$C41)=1,대상목록!$C41,""))</f>
        <v/>
      </c>
    </row>
    <row r="45" customFormat="false" ht="15" hidden="false" customHeight="true" outlineLevel="0" collapsed="false">
      <c r="A45" s="18" t="str">
        <f aca="false">IF($G45="","",$G45)</f>
        <v/>
      </c>
      <c r="B45" s="23" t="str">
        <f aca="false">IF($A45="","",COUNTIFS(대상목록!$C$3:$C$302,$A45))</f>
        <v/>
      </c>
      <c r="C45" s="23" t="str">
        <f aca="false">IF($A45="","",COUNTIFS(경조사내역!$C$3:$C$1002,$A45,경조사내역!$A$3:$A$1002,"&gt;="&amp;DATE($B$3,1,1),경조사내역!$A$3:$A$1002,"&lt;="&amp;DATE($B$3,12,31)))</f>
        <v/>
      </c>
      <c r="D45" s="28" t="str">
        <f aca="false">IF($A45="","",SUMIFS(경조사내역!$F$3:$F$1002,경조사내역!$C$3:$C$1002,$A45,경조사내역!$A$3:$A$1002,"&gt;="&amp;DATE($B$3,1,1),경조사내역!$A$3:$A$1002,"&lt;="&amp;DATE($B$3,12,31)))</f>
        <v/>
      </c>
      <c r="E45" s="29" t="str">
        <f aca="false">IF($A45="","",IF(COUNTIFS(경조사내역!$C$3:$C$1002,$A45)=0,"",SUMPRODUCT(MAX((경조사내역!$C$3:$C$1002=$A45)*경조사내역!$A$3:$A$1002))))</f>
        <v/>
      </c>
      <c r="G45" s="6" t="str">
        <f aca="false">IF(대상목록!$C42="","",IF(COUNTIF(대상목록!$C$3:$C42,대상목록!$C42)=1,대상목록!$C42,""))</f>
        <v/>
      </c>
    </row>
    <row r="46" customFormat="false" ht="15" hidden="false" customHeight="true" outlineLevel="0" collapsed="false">
      <c r="A46" s="18" t="str">
        <f aca="false">IF($G46="","",$G46)</f>
        <v/>
      </c>
      <c r="B46" s="23" t="str">
        <f aca="false">IF($A46="","",COUNTIFS(대상목록!$C$3:$C$302,$A46))</f>
        <v/>
      </c>
      <c r="C46" s="23" t="str">
        <f aca="false">IF($A46="","",COUNTIFS(경조사내역!$C$3:$C$1002,$A46,경조사내역!$A$3:$A$1002,"&gt;="&amp;DATE($B$3,1,1),경조사내역!$A$3:$A$1002,"&lt;="&amp;DATE($B$3,12,31)))</f>
        <v/>
      </c>
      <c r="D46" s="28" t="str">
        <f aca="false">IF($A46="","",SUMIFS(경조사내역!$F$3:$F$1002,경조사내역!$C$3:$C$1002,$A46,경조사내역!$A$3:$A$1002,"&gt;="&amp;DATE($B$3,1,1),경조사내역!$A$3:$A$1002,"&lt;="&amp;DATE($B$3,12,31)))</f>
        <v/>
      </c>
      <c r="E46" s="29" t="str">
        <f aca="false">IF($A46="","",IF(COUNTIFS(경조사내역!$C$3:$C$1002,$A46)=0,"",SUMPRODUCT(MAX((경조사내역!$C$3:$C$1002=$A46)*경조사내역!$A$3:$A$1002))))</f>
        <v/>
      </c>
      <c r="G46" s="6" t="str">
        <f aca="false">IF(대상목록!$C43="","",IF(COUNTIF(대상목록!$C$3:$C43,대상목록!$C43)=1,대상목록!$C43,""))</f>
        <v/>
      </c>
    </row>
    <row r="47" customFormat="false" ht="15" hidden="false" customHeight="true" outlineLevel="0" collapsed="false">
      <c r="A47" s="18" t="str">
        <f aca="false">IF($G47="","",$G47)</f>
        <v/>
      </c>
      <c r="B47" s="23" t="str">
        <f aca="false">IF($A47="","",COUNTIFS(대상목록!$C$3:$C$302,$A47))</f>
        <v/>
      </c>
      <c r="C47" s="23" t="str">
        <f aca="false">IF($A47="","",COUNTIFS(경조사내역!$C$3:$C$1002,$A47,경조사내역!$A$3:$A$1002,"&gt;="&amp;DATE($B$3,1,1),경조사내역!$A$3:$A$1002,"&lt;="&amp;DATE($B$3,12,31)))</f>
        <v/>
      </c>
      <c r="D47" s="28" t="str">
        <f aca="false">IF($A47="","",SUMIFS(경조사내역!$F$3:$F$1002,경조사내역!$C$3:$C$1002,$A47,경조사내역!$A$3:$A$1002,"&gt;="&amp;DATE($B$3,1,1),경조사내역!$A$3:$A$1002,"&lt;="&amp;DATE($B$3,12,31)))</f>
        <v/>
      </c>
      <c r="E47" s="29" t="str">
        <f aca="false">IF($A47="","",IF(COUNTIFS(경조사내역!$C$3:$C$1002,$A47)=0,"",SUMPRODUCT(MAX((경조사내역!$C$3:$C$1002=$A47)*경조사내역!$A$3:$A$1002))))</f>
        <v/>
      </c>
      <c r="G47" s="6" t="str">
        <f aca="false">IF(대상목록!$C44="","",IF(COUNTIF(대상목록!$C$3:$C44,대상목록!$C44)=1,대상목록!$C44,""))</f>
        <v/>
      </c>
    </row>
    <row r="48" customFormat="false" ht="15" hidden="false" customHeight="true" outlineLevel="0" collapsed="false">
      <c r="A48" s="18" t="str">
        <f aca="false">IF($G48="","",$G48)</f>
        <v/>
      </c>
      <c r="B48" s="23" t="str">
        <f aca="false">IF($A48="","",COUNTIFS(대상목록!$C$3:$C$302,$A48))</f>
        <v/>
      </c>
      <c r="C48" s="23" t="str">
        <f aca="false">IF($A48="","",COUNTIFS(경조사내역!$C$3:$C$1002,$A48,경조사내역!$A$3:$A$1002,"&gt;="&amp;DATE($B$3,1,1),경조사내역!$A$3:$A$1002,"&lt;="&amp;DATE($B$3,12,31)))</f>
        <v/>
      </c>
      <c r="D48" s="28" t="str">
        <f aca="false">IF($A48="","",SUMIFS(경조사내역!$F$3:$F$1002,경조사내역!$C$3:$C$1002,$A48,경조사내역!$A$3:$A$1002,"&gt;="&amp;DATE($B$3,1,1),경조사내역!$A$3:$A$1002,"&lt;="&amp;DATE($B$3,12,31)))</f>
        <v/>
      </c>
      <c r="E48" s="29" t="str">
        <f aca="false">IF($A48="","",IF(COUNTIFS(경조사내역!$C$3:$C$1002,$A48)=0,"",SUMPRODUCT(MAX((경조사내역!$C$3:$C$1002=$A48)*경조사내역!$A$3:$A$1002))))</f>
        <v/>
      </c>
      <c r="G48" s="6" t="str">
        <f aca="false">IF(대상목록!$C45="","",IF(COUNTIF(대상목록!$C$3:$C45,대상목록!$C45)=1,대상목록!$C45,""))</f>
        <v/>
      </c>
    </row>
    <row r="49" customFormat="false" ht="15" hidden="false" customHeight="true" outlineLevel="0" collapsed="false">
      <c r="A49" s="18" t="str">
        <f aca="false">IF($G49="","",$G49)</f>
        <v/>
      </c>
      <c r="B49" s="23" t="str">
        <f aca="false">IF($A49="","",COUNTIFS(대상목록!$C$3:$C$302,$A49))</f>
        <v/>
      </c>
      <c r="C49" s="23" t="str">
        <f aca="false">IF($A49="","",COUNTIFS(경조사내역!$C$3:$C$1002,$A49,경조사내역!$A$3:$A$1002,"&gt;="&amp;DATE($B$3,1,1),경조사내역!$A$3:$A$1002,"&lt;="&amp;DATE($B$3,12,31)))</f>
        <v/>
      </c>
      <c r="D49" s="28" t="str">
        <f aca="false">IF($A49="","",SUMIFS(경조사내역!$F$3:$F$1002,경조사내역!$C$3:$C$1002,$A49,경조사내역!$A$3:$A$1002,"&gt;="&amp;DATE($B$3,1,1),경조사내역!$A$3:$A$1002,"&lt;="&amp;DATE($B$3,12,31)))</f>
        <v/>
      </c>
      <c r="E49" s="29" t="str">
        <f aca="false">IF($A49="","",IF(COUNTIFS(경조사내역!$C$3:$C$1002,$A49)=0,"",SUMPRODUCT(MAX((경조사내역!$C$3:$C$1002=$A49)*경조사내역!$A$3:$A$1002))))</f>
        <v/>
      </c>
      <c r="G49" s="6" t="str">
        <f aca="false">IF(대상목록!$C46="","",IF(COUNTIF(대상목록!$C$3:$C46,대상목록!$C46)=1,대상목록!$C46,""))</f>
        <v/>
      </c>
    </row>
    <row r="50" customFormat="false" ht="15" hidden="false" customHeight="true" outlineLevel="0" collapsed="false">
      <c r="A50" s="18" t="str">
        <f aca="false">IF($G50="","",$G50)</f>
        <v/>
      </c>
      <c r="B50" s="23" t="str">
        <f aca="false">IF($A50="","",COUNTIFS(대상목록!$C$3:$C$302,$A50))</f>
        <v/>
      </c>
      <c r="C50" s="23" t="str">
        <f aca="false">IF($A50="","",COUNTIFS(경조사내역!$C$3:$C$1002,$A50,경조사내역!$A$3:$A$1002,"&gt;="&amp;DATE($B$3,1,1),경조사내역!$A$3:$A$1002,"&lt;="&amp;DATE($B$3,12,31)))</f>
        <v/>
      </c>
      <c r="D50" s="28" t="str">
        <f aca="false">IF($A50="","",SUMIFS(경조사내역!$F$3:$F$1002,경조사내역!$C$3:$C$1002,$A50,경조사내역!$A$3:$A$1002,"&gt;="&amp;DATE($B$3,1,1),경조사내역!$A$3:$A$1002,"&lt;="&amp;DATE($B$3,12,31)))</f>
        <v/>
      </c>
      <c r="E50" s="29" t="str">
        <f aca="false">IF($A50="","",IF(COUNTIFS(경조사내역!$C$3:$C$1002,$A50)=0,"",SUMPRODUCT(MAX((경조사내역!$C$3:$C$1002=$A50)*경조사내역!$A$3:$A$1002))))</f>
        <v/>
      </c>
      <c r="G50" s="6" t="str">
        <f aca="false">IF(대상목록!$C47="","",IF(COUNTIF(대상목록!$C$3:$C47,대상목록!$C47)=1,대상목록!$C47,""))</f>
        <v/>
      </c>
    </row>
    <row r="51" customFormat="false" ht="15" hidden="false" customHeight="true" outlineLevel="0" collapsed="false">
      <c r="A51" s="18" t="str">
        <f aca="false">IF($G51="","",$G51)</f>
        <v/>
      </c>
      <c r="B51" s="23" t="str">
        <f aca="false">IF($A51="","",COUNTIFS(대상목록!$C$3:$C$302,$A51))</f>
        <v/>
      </c>
      <c r="C51" s="23" t="str">
        <f aca="false">IF($A51="","",COUNTIFS(경조사내역!$C$3:$C$1002,$A51,경조사내역!$A$3:$A$1002,"&gt;="&amp;DATE($B$3,1,1),경조사내역!$A$3:$A$1002,"&lt;="&amp;DATE($B$3,12,31)))</f>
        <v/>
      </c>
      <c r="D51" s="28" t="str">
        <f aca="false">IF($A51="","",SUMIFS(경조사내역!$F$3:$F$1002,경조사내역!$C$3:$C$1002,$A51,경조사내역!$A$3:$A$1002,"&gt;="&amp;DATE($B$3,1,1),경조사내역!$A$3:$A$1002,"&lt;="&amp;DATE($B$3,12,31)))</f>
        <v/>
      </c>
      <c r="E51" s="29" t="str">
        <f aca="false">IF($A51="","",IF(COUNTIFS(경조사내역!$C$3:$C$1002,$A51)=0,"",SUMPRODUCT(MAX((경조사내역!$C$3:$C$1002=$A51)*경조사내역!$A$3:$A$1002))))</f>
        <v/>
      </c>
      <c r="G51" s="6" t="str">
        <f aca="false">IF(대상목록!$C48="","",IF(COUNTIF(대상목록!$C$3:$C48,대상목록!$C48)=1,대상목록!$C48,""))</f>
        <v/>
      </c>
    </row>
    <row r="52" customFormat="false" ht="15" hidden="false" customHeight="true" outlineLevel="0" collapsed="false">
      <c r="A52" s="18" t="str">
        <f aca="false">IF($G52="","",$G52)</f>
        <v/>
      </c>
      <c r="B52" s="23" t="str">
        <f aca="false">IF($A52="","",COUNTIFS(대상목록!$C$3:$C$302,$A52))</f>
        <v/>
      </c>
      <c r="C52" s="23" t="str">
        <f aca="false">IF($A52="","",COUNTIFS(경조사내역!$C$3:$C$1002,$A52,경조사내역!$A$3:$A$1002,"&gt;="&amp;DATE($B$3,1,1),경조사내역!$A$3:$A$1002,"&lt;="&amp;DATE($B$3,12,31)))</f>
        <v/>
      </c>
      <c r="D52" s="28" t="str">
        <f aca="false">IF($A52="","",SUMIFS(경조사내역!$F$3:$F$1002,경조사내역!$C$3:$C$1002,$A52,경조사내역!$A$3:$A$1002,"&gt;="&amp;DATE($B$3,1,1),경조사내역!$A$3:$A$1002,"&lt;="&amp;DATE($B$3,12,31)))</f>
        <v/>
      </c>
      <c r="E52" s="29" t="str">
        <f aca="false">IF($A52="","",IF(COUNTIFS(경조사내역!$C$3:$C$1002,$A52)=0,"",SUMPRODUCT(MAX((경조사내역!$C$3:$C$1002=$A52)*경조사내역!$A$3:$A$1002))))</f>
        <v/>
      </c>
      <c r="G52" s="6" t="str">
        <f aca="false">IF(대상목록!$C49="","",IF(COUNTIF(대상목록!$C$3:$C49,대상목록!$C49)=1,대상목록!$C49,""))</f>
        <v/>
      </c>
    </row>
    <row r="53" customFormat="false" ht="15" hidden="false" customHeight="true" outlineLevel="0" collapsed="false">
      <c r="A53" s="18" t="str">
        <f aca="false">IF($G53="","",$G53)</f>
        <v/>
      </c>
      <c r="B53" s="23" t="str">
        <f aca="false">IF($A53="","",COUNTIFS(대상목록!$C$3:$C$302,$A53))</f>
        <v/>
      </c>
      <c r="C53" s="23" t="str">
        <f aca="false">IF($A53="","",COUNTIFS(경조사내역!$C$3:$C$1002,$A53,경조사내역!$A$3:$A$1002,"&gt;="&amp;DATE($B$3,1,1),경조사내역!$A$3:$A$1002,"&lt;="&amp;DATE($B$3,12,31)))</f>
        <v/>
      </c>
      <c r="D53" s="28" t="str">
        <f aca="false">IF($A53="","",SUMIFS(경조사내역!$F$3:$F$1002,경조사내역!$C$3:$C$1002,$A53,경조사내역!$A$3:$A$1002,"&gt;="&amp;DATE($B$3,1,1),경조사내역!$A$3:$A$1002,"&lt;="&amp;DATE($B$3,12,31)))</f>
        <v/>
      </c>
      <c r="E53" s="29" t="str">
        <f aca="false">IF($A53="","",IF(COUNTIFS(경조사내역!$C$3:$C$1002,$A53)=0,"",SUMPRODUCT(MAX((경조사내역!$C$3:$C$1002=$A53)*경조사내역!$A$3:$A$1002))))</f>
        <v/>
      </c>
      <c r="G53" s="6" t="str">
        <f aca="false">IF(대상목록!$C50="","",IF(COUNTIF(대상목록!$C$3:$C50,대상목록!$C50)=1,대상목록!$C50,""))</f>
        <v/>
      </c>
    </row>
    <row r="54" customFormat="false" ht="15" hidden="false" customHeight="true" outlineLevel="0" collapsed="false">
      <c r="A54" s="18" t="str">
        <f aca="false">IF($G54="","",$G54)</f>
        <v/>
      </c>
      <c r="B54" s="23" t="str">
        <f aca="false">IF($A54="","",COUNTIFS(대상목록!$C$3:$C$302,$A54))</f>
        <v/>
      </c>
      <c r="C54" s="23" t="str">
        <f aca="false">IF($A54="","",COUNTIFS(경조사내역!$C$3:$C$1002,$A54,경조사내역!$A$3:$A$1002,"&gt;="&amp;DATE($B$3,1,1),경조사내역!$A$3:$A$1002,"&lt;="&amp;DATE($B$3,12,31)))</f>
        <v/>
      </c>
      <c r="D54" s="28" t="str">
        <f aca="false">IF($A54="","",SUMIFS(경조사내역!$F$3:$F$1002,경조사내역!$C$3:$C$1002,$A54,경조사내역!$A$3:$A$1002,"&gt;="&amp;DATE($B$3,1,1),경조사내역!$A$3:$A$1002,"&lt;="&amp;DATE($B$3,12,31)))</f>
        <v/>
      </c>
      <c r="E54" s="29" t="str">
        <f aca="false">IF($A54="","",IF(COUNTIFS(경조사내역!$C$3:$C$1002,$A54)=0,"",SUMPRODUCT(MAX((경조사내역!$C$3:$C$1002=$A54)*경조사내역!$A$3:$A$1002))))</f>
        <v/>
      </c>
      <c r="G54" s="6" t="str">
        <f aca="false">IF(대상목록!$C51="","",IF(COUNTIF(대상목록!$C$3:$C51,대상목록!$C51)=1,대상목록!$C51,""))</f>
        <v/>
      </c>
    </row>
    <row r="55" customFormat="false" ht="15" hidden="false" customHeight="true" outlineLevel="0" collapsed="false">
      <c r="A55" s="18" t="str">
        <f aca="false">IF($G55="","",$G55)</f>
        <v/>
      </c>
      <c r="B55" s="23" t="str">
        <f aca="false">IF($A55="","",COUNTIFS(대상목록!$C$3:$C$302,$A55))</f>
        <v/>
      </c>
      <c r="C55" s="23" t="str">
        <f aca="false">IF($A55="","",COUNTIFS(경조사내역!$C$3:$C$1002,$A55,경조사내역!$A$3:$A$1002,"&gt;="&amp;DATE($B$3,1,1),경조사내역!$A$3:$A$1002,"&lt;="&amp;DATE($B$3,12,31)))</f>
        <v/>
      </c>
      <c r="D55" s="28" t="str">
        <f aca="false">IF($A55="","",SUMIFS(경조사내역!$F$3:$F$1002,경조사내역!$C$3:$C$1002,$A55,경조사내역!$A$3:$A$1002,"&gt;="&amp;DATE($B$3,1,1),경조사내역!$A$3:$A$1002,"&lt;="&amp;DATE($B$3,12,31)))</f>
        <v/>
      </c>
      <c r="E55" s="29" t="str">
        <f aca="false">IF($A55="","",IF(COUNTIFS(경조사내역!$C$3:$C$1002,$A55)=0,"",SUMPRODUCT(MAX((경조사내역!$C$3:$C$1002=$A55)*경조사내역!$A$3:$A$1002))))</f>
        <v/>
      </c>
      <c r="G55" s="6" t="str">
        <f aca="false">IF(대상목록!$C52="","",IF(COUNTIF(대상목록!$C$3:$C52,대상목록!$C52)=1,대상목록!$C52,""))</f>
        <v/>
      </c>
    </row>
    <row r="56" customFormat="false" ht="15" hidden="false" customHeight="true" outlineLevel="0" collapsed="false">
      <c r="A56" s="18" t="str">
        <f aca="false">IF($G56="","",$G56)</f>
        <v/>
      </c>
      <c r="B56" s="23" t="str">
        <f aca="false">IF($A56="","",COUNTIFS(대상목록!$C$3:$C$302,$A56))</f>
        <v/>
      </c>
      <c r="C56" s="23" t="str">
        <f aca="false">IF($A56="","",COUNTIFS(경조사내역!$C$3:$C$1002,$A56,경조사내역!$A$3:$A$1002,"&gt;="&amp;DATE($B$3,1,1),경조사내역!$A$3:$A$1002,"&lt;="&amp;DATE($B$3,12,31)))</f>
        <v/>
      </c>
      <c r="D56" s="28" t="str">
        <f aca="false">IF($A56="","",SUMIFS(경조사내역!$F$3:$F$1002,경조사내역!$C$3:$C$1002,$A56,경조사내역!$A$3:$A$1002,"&gt;="&amp;DATE($B$3,1,1),경조사내역!$A$3:$A$1002,"&lt;="&amp;DATE($B$3,12,31)))</f>
        <v/>
      </c>
      <c r="E56" s="29" t="str">
        <f aca="false">IF($A56="","",IF(COUNTIFS(경조사내역!$C$3:$C$1002,$A56)=0,"",SUMPRODUCT(MAX((경조사내역!$C$3:$C$1002=$A56)*경조사내역!$A$3:$A$1002))))</f>
        <v/>
      </c>
      <c r="G56" s="6" t="str">
        <f aca="false">IF(대상목록!$C53="","",IF(COUNTIF(대상목록!$C$3:$C53,대상목록!$C53)=1,대상목록!$C53,""))</f>
        <v/>
      </c>
    </row>
    <row r="57" customFormat="false" ht="15" hidden="false" customHeight="true" outlineLevel="0" collapsed="false">
      <c r="A57" s="18" t="str">
        <f aca="false">IF($G57="","",$G57)</f>
        <v/>
      </c>
      <c r="B57" s="23" t="str">
        <f aca="false">IF($A57="","",COUNTIFS(대상목록!$C$3:$C$302,$A57))</f>
        <v/>
      </c>
      <c r="C57" s="23" t="str">
        <f aca="false">IF($A57="","",COUNTIFS(경조사내역!$C$3:$C$1002,$A57,경조사내역!$A$3:$A$1002,"&gt;="&amp;DATE($B$3,1,1),경조사내역!$A$3:$A$1002,"&lt;="&amp;DATE($B$3,12,31)))</f>
        <v/>
      </c>
      <c r="D57" s="28" t="str">
        <f aca="false">IF($A57="","",SUMIFS(경조사내역!$F$3:$F$1002,경조사내역!$C$3:$C$1002,$A57,경조사내역!$A$3:$A$1002,"&gt;="&amp;DATE($B$3,1,1),경조사내역!$A$3:$A$1002,"&lt;="&amp;DATE($B$3,12,31)))</f>
        <v/>
      </c>
      <c r="E57" s="29" t="str">
        <f aca="false">IF($A57="","",IF(COUNTIFS(경조사내역!$C$3:$C$1002,$A57)=0,"",SUMPRODUCT(MAX((경조사내역!$C$3:$C$1002=$A57)*경조사내역!$A$3:$A$1002))))</f>
        <v/>
      </c>
      <c r="G57" s="6" t="str">
        <f aca="false">IF(대상목록!$C54="","",IF(COUNTIF(대상목록!$C$3:$C54,대상목록!$C54)=1,대상목록!$C54,""))</f>
        <v/>
      </c>
    </row>
    <row r="58" customFormat="false" ht="15" hidden="false" customHeight="true" outlineLevel="0" collapsed="false">
      <c r="A58" s="18" t="str">
        <f aca="false">IF($G58="","",$G58)</f>
        <v/>
      </c>
      <c r="B58" s="23" t="str">
        <f aca="false">IF($A58="","",COUNTIFS(대상목록!$C$3:$C$302,$A58))</f>
        <v/>
      </c>
      <c r="C58" s="23" t="str">
        <f aca="false">IF($A58="","",COUNTIFS(경조사내역!$C$3:$C$1002,$A58,경조사내역!$A$3:$A$1002,"&gt;="&amp;DATE($B$3,1,1),경조사내역!$A$3:$A$1002,"&lt;="&amp;DATE($B$3,12,31)))</f>
        <v/>
      </c>
      <c r="D58" s="28" t="str">
        <f aca="false">IF($A58="","",SUMIFS(경조사내역!$F$3:$F$1002,경조사내역!$C$3:$C$1002,$A58,경조사내역!$A$3:$A$1002,"&gt;="&amp;DATE($B$3,1,1),경조사내역!$A$3:$A$1002,"&lt;="&amp;DATE($B$3,12,31)))</f>
        <v/>
      </c>
      <c r="E58" s="29" t="str">
        <f aca="false">IF($A58="","",IF(COUNTIFS(경조사내역!$C$3:$C$1002,$A58)=0,"",SUMPRODUCT(MAX((경조사내역!$C$3:$C$1002=$A58)*경조사내역!$A$3:$A$1002))))</f>
        <v/>
      </c>
      <c r="G58" s="6" t="str">
        <f aca="false">IF(대상목록!$C55="","",IF(COUNTIF(대상목록!$C$3:$C55,대상목록!$C55)=1,대상목록!$C55,""))</f>
        <v/>
      </c>
    </row>
    <row r="59" customFormat="false" ht="15" hidden="false" customHeight="true" outlineLevel="0" collapsed="false">
      <c r="A59" s="18" t="str">
        <f aca="false">IF($G59="","",$G59)</f>
        <v/>
      </c>
      <c r="B59" s="23" t="str">
        <f aca="false">IF($A59="","",COUNTIFS(대상목록!$C$3:$C$302,$A59))</f>
        <v/>
      </c>
      <c r="C59" s="23" t="str">
        <f aca="false">IF($A59="","",COUNTIFS(경조사내역!$C$3:$C$1002,$A59,경조사내역!$A$3:$A$1002,"&gt;="&amp;DATE($B$3,1,1),경조사내역!$A$3:$A$1002,"&lt;="&amp;DATE($B$3,12,31)))</f>
        <v/>
      </c>
      <c r="D59" s="28" t="str">
        <f aca="false">IF($A59="","",SUMIFS(경조사내역!$F$3:$F$1002,경조사내역!$C$3:$C$1002,$A59,경조사내역!$A$3:$A$1002,"&gt;="&amp;DATE($B$3,1,1),경조사내역!$A$3:$A$1002,"&lt;="&amp;DATE($B$3,12,31)))</f>
        <v/>
      </c>
      <c r="E59" s="29" t="str">
        <f aca="false">IF($A59="","",IF(COUNTIFS(경조사내역!$C$3:$C$1002,$A59)=0,"",SUMPRODUCT(MAX((경조사내역!$C$3:$C$1002=$A59)*경조사내역!$A$3:$A$1002))))</f>
        <v/>
      </c>
      <c r="G59" s="6" t="str">
        <f aca="false">IF(대상목록!$C56="","",IF(COUNTIF(대상목록!$C$3:$C56,대상목록!$C56)=1,대상목록!$C56,""))</f>
        <v/>
      </c>
    </row>
    <row r="60" customFormat="false" ht="15" hidden="false" customHeight="true" outlineLevel="0" collapsed="false">
      <c r="A60" s="18" t="str">
        <f aca="false">IF($G60="","",$G60)</f>
        <v/>
      </c>
      <c r="B60" s="23" t="str">
        <f aca="false">IF($A60="","",COUNTIFS(대상목록!$C$3:$C$302,$A60))</f>
        <v/>
      </c>
      <c r="C60" s="23" t="str">
        <f aca="false">IF($A60="","",COUNTIFS(경조사내역!$C$3:$C$1002,$A60,경조사내역!$A$3:$A$1002,"&gt;="&amp;DATE($B$3,1,1),경조사내역!$A$3:$A$1002,"&lt;="&amp;DATE($B$3,12,31)))</f>
        <v/>
      </c>
      <c r="D60" s="28" t="str">
        <f aca="false">IF($A60="","",SUMIFS(경조사내역!$F$3:$F$1002,경조사내역!$C$3:$C$1002,$A60,경조사내역!$A$3:$A$1002,"&gt;="&amp;DATE($B$3,1,1),경조사내역!$A$3:$A$1002,"&lt;="&amp;DATE($B$3,12,31)))</f>
        <v/>
      </c>
      <c r="E60" s="29" t="str">
        <f aca="false">IF($A60="","",IF(COUNTIFS(경조사내역!$C$3:$C$1002,$A60)=0,"",SUMPRODUCT(MAX((경조사내역!$C$3:$C$1002=$A60)*경조사내역!$A$3:$A$1002))))</f>
        <v/>
      </c>
      <c r="G60" s="6" t="str">
        <f aca="false">IF(대상목록!$C57="","",IF(COUNTIF(대상목록!$C$3:$C57,대상목록!$C57)=1,대상목록!$C57,""))</f>
        <v/>
      </c>
    </row>
    <row r="61" customFormat="false" ht="15" hidden="false" customHeight="true" outlineLevel="0" collapsed="false">
      <c r="A61" s="18" t="str">
        <f aca="false">IF($G61="","",$G61)</f>
        <v/>
      </c>
      <c r="B61" s="23" t="str">
        <f aca="false">IF($A61="","",COUNTIFS(대상목록!$C$3:$C$302,$A61))</f>
        <v/>
      </c>
      <c r="C61" s="23" t="str">
        <f aca="false">IF($A61="","",COUNTIFS(경조사내역!$C$3:$C$1002,$A61,경조사내역!$A$3:$A$1002,"&gt;="&amp;DATE($B$3,1,1),경조사내역!$A$3:$A$1002,"&lt;="&amp;DATE($B$3,12,31)))</f>
        <v/>
      </c>
      <c r="D61" s="28" t="str">
        <f aca="false">IF($A61="","",SUMIFS(경조사내역!$F$3:$F$1002,경조사내역!$C$3:$C$1002,$A61,경조사내역!$A$3:$A$1002,"&gt;="&amp;DATE($B$3,1,1),경조사내역!$A$3:$A$1002,"&lt;="&amp;DATE($B$3,12,31)))</f>
        <v/>
      </c>
      <c r="E61" s="29" t="str">
        <f aca="false">IF($A61="","",IF(COUNTIFS(경조사내역!$C$3:$C$1002,$A61)=0,"",SUMPRODUCT(MAX((경조사내역!$C$3:$C$1002=$A61)*경조사내역!$A$3:$A$1002))))</f>
        <v/>
      </c>
      <c r="G61" s="6" t="str">
        <f aca="false">IF(대상목록!$C58="","",IF(COUNTIF(대상목록!$C$3:$C58,대상목록!$C58)=1,대상목록!$C58,""))</f>
        <v/>
      </c>
    </row>
    <row r="62" customFormat="false" ht="15" hidden="false" customHeight="true" outlineLevel="0" collapsed="false">
      <c r="A62" s="18" t="str">
        <f aca="false">IF($G62="","",$G62)</f>
        <v/>
      </c>
      <c r="B62" s="23" t="str">
        <f aca="false">IF($A62="","",COUNTIFS(대상목록!$C$3:$C$302,$A62))</f>
        <v/>
      </c>
      <c r="C62" s="23" t="str">
        <f aca="false">IF($A62="","",COUNTIFS(경조사내역!$C$3:$C$1002,$A62,경조사내역!$A$3:$A$1002,"&gt;="&amp;DATE($B$3,1,1),경조사내역!$A$3:$A$1002,"&lt;="&amp;DATE($B$3,12,31)))</f>
        <v/>
      </c>
      <c r="D62" s="28" t="str">
        <f aca="false">IF($A62="","",SUMIFS(경조사내역!$F$3:$F$1002,경조사내역!$C$3:$C$1002,$A62,경조사내역!$A$3:$A$1002,"&gt;="&amp;DATE($B$3,1,1),경조사내역!$A$3:$A$1002,"&lt;="&amp;DATE($B$3,12,31)))</f>
        <v/>
      </c>
      <c r="E62" s="29" t="str">
        <f aca="false">IF($A62="","",IF(COUNTIFS(경조사내역!$C$3:$C$1002,$A62)=0,"",SUMPRODUCT(MAX((경조사내역!$C$3:$C$1002=$A62)*경조사내역!$A$3:$A$1002))))</f>
        <v/>
      </c>
      <c r="G62" s="6" t="str">
        <f aca="false">IF(대상목록!$C59="","",IF(COUNTIF(대상목록!$C$3:$C59,대상목록!$C59)=1,대상목록!$C59,""))</f>
        <v/>
      </c>
    </row>
    <row r="63" customFormat="false" ht="15" hidden="false" customHeight="true" outlineLevel="0" collapsed="false">
      <c r="A63" s="18" t="str">
        <f aca="false">IF($G63="","",$G63)</f>
        <v/>
      </c>
      <c r="B63" s="23" t="str">
        <f aca="false">IF($A63="","",COUNTIFS(대상목록!$C$3:$C$302,$A63))</f>
        <v/>
      </c>
      <c r="C63" s="23" t="str">
        <f aca="false">IF($A63="","",COUNTIFS(경조사내역!$C$3:$C$1002,$A63,경조사내역!$A$3:$A$1002,"&gt;="&amp;DATE($B$3,1,1),경조사내역!$A$3:$A$1002,"&lt;="&amp;DATE($B$3,12,31)))</f>
        <v/>
      </c>
      <c r="D63" s="28" t="str">
        <f aca="false">IF($A63="","",SUMIFS(경조사내역!$F$3:$F$1002,경조사내역!$C$3:$C$1002,$A63,경조사내역!$A$3:$A$1002,"&gt;="&amp;DATE($B$3,1,1),경조사내역!$A$3:$A$1002,"&lt;="&amp;DATE($B$3,12,31)))</f>
        <v/>
      </c>
      <c r="E63" s="29" t="str">
        <f aca="false">IF($A63="","",IF(COUNTIFS(경조사내역!$C$3:$C$1002,$A63)=0,"",SUMPRODUCT(MAX((경조사내역!$C$3:$C$1002=$A63)*경조사내역!$A$3:$A$1002))))</f>
        <v/>
      </c>
      <c r="G63" s="6" t="str">
        <f aca="false">IF(대상목록!$C60="","",IF(COUNTIF(대상목록!$C$3:$C60,대상목록!$C60)=1,대상목록!$C60,""))</f>
        <v/>
      </c>
    </row>
    <row r="64" customFormat="false" ht="15" hidden="false" customHeight="true" outlineLevel="0" collapsed="false">
      <c r="A64" s="18" t="str">
        <f aca="false">IF($G64="","",$G64)</f>
        <v/>
      </c>
      <c r="B64" s="23" t="str">
        <f aca="false">IF($A64="","",COUNTIFS(대상목록!$C$3:$C$302,$A64))</f>
        <v/>
      </c>
      <c r="C64" s="23" t="str">
        <f aca="false">IF($A64="","",COUNTIFS(경조사내역!$C$3:$C$1002,$A64,경조사내역!$A$3:$A$1002,"&gt;="&amp;DATE($B$3,1,1),경조사내역!$A$3:$A$1002,"&lt;="&amp;DATE($B$3,12,31)))</f>
        <v/>
      </c>
      <c r="D64" s="28" t="str">
        <f aca="false">IF($A64="","",SUMIFS(경조사내역!$F$3:$F$1002,경조사내역!$C$3:$C$1002,$A64,경조사내역!$A$3:$A$1002,"&gt;="&amp;DATE($B$3,1,1),경조사내역!$A$3:$A$1002,"&lt;="&amp;DATE($B$3,12,31)))</f>
        <v/>
      </c>
      <c r="E64" s="29" t="str">
        <f aca="false">IF($A64="","",IF(COUNTIFS(경조사내역!$C$3:$C$1002,$A64)=0,"",SUMPRODUCT(MAX((경조사내역!$C$3:$C$1002=$A64)*경조사내역!$A$3:$A$1002))))</f>
        <v/>
      </c>
      <c r="G64" s="6" t="str">
        <f aca="false">IF(대상목록!$C61="","",IF(COUNTIF(대상목록!$C$3:$C61,대상목록!$C61)=1,대상목록!$C61,""))</f>
        <v/>
      </c>
    </row>
    <row r="65" customFormat="false" ht="15" hidden="false" customHeight="true" outlineLevel="0" collapsed="false">
      <c r="A65" s="18" t="str">
        <f aca="false">IF($G65="","",$G65)</f>
        <v/>
      </c>
      <c r="B65" s="23" t="str">
        <f aca="false">IF($A65="","",COUNTIFS(대상목록!$C$3:$C$302,$A65))</f>
        <v/>
      </c>
      <c r="C65" s="23" t="str">
        <f aca="false">IF($A65="","",COUNTIFS(경조사내역!$C$3:$C$1002,$A65,경조사내역!$A$3:$A$1002,"&gt;="&amp;DATE($B$3,1,1),경조사내역!$A$3:$A$1002,"&lt;="&amp;DATE($B$3,12,31)))</f>
        <v/>
      </c>
      <c r="D65" s="28" t="str">
        <f aca="false">IF($A65="","",SUMIFS(경조사내역!$F$3:$F$1002,경조사내역!$C$3:$C$1002,$A65,경조사내역!$A$3:$A$1002,"&gt;="&amp;DATE($B$3,1,1),경조사내역!$A$3:$A$1002,"&lt;="&amp;DATE($B$3,12,31)))</f>
        <v/>
      </c>
      <c r="E65" s="29" t="str">
        <f aca="false">IF($A65="","",IF(COUNTIFS(경조사내역!$C$3:$C$1002,$A65)=0,"",SUMPRODUCT(MAX((경조사내역!$C$3:$C$1002=$A65)*경조사내역!$A$3:$A$1002))))</f>
        <v/>
      </c>
      <c r="G65" s="6" t="str">
        <f aca="false">IF(대상목록!$C62="","",IF(COUNTIF(대상목록!$C$3:$C62,대상목록!$C62)=1,대상목록!$C62,""))</f>
        <v/>
      </c>
    </row>
    <row r="66" customFormat="false" ht="15" hidden="false" customHeight="true" outlineLevel="0" collapsed="false">
      <c r="A66" s="18" t="str">
        <f aca="false">IF($G66="","",$G66)</f>
        <v/>
      </c>
      <c r="B66" s="23" t="str">
        <f aca="false">IF($A66="","",COUNTIFS(대상목록!$C$3:$C$302,$A66))</f>
        <v/>
      </c>
      <c r="C66" s="23" t="str">
        <f aca="false">IF($A66="","",COUNTIFS(경조사내역!$C$3:$C$1002,$A66,경조사내역!$A$3:$A$1002,"&gt;="&amp;DATE($B$3,1,1),경조사내역!$A$3:$A$1002,"&lt;="&amp;DATE($B$3,12,31)))</f>
        <v/>
      </c>
      <c r="D66" s="28" t="str">
        <f aca="false">IF($A66="","",SUMIFS(경조사내역!$F$3:$F$1002,경조사내역!$C$3:$C$1002,$A66,경조사내역!$A$3:$A$1002,"&gt;="&amp;DATE($B$3,1,1),경조사내역!$A$3:$A$1002,"&lt;="&amp;DATE($B$3,12,31)))</f>
        <v/>
      </c>
      <c r="E66" s="29" t="str">
        <f aca="false">IF($A66="","",IF(COUNTIFS(경조사내역!$C$3:$C$1002,$A66)=0,"",SUMPRODUCT(MAX((경조사내역!$C$3:$C$1002=$A66)*경조사내역!$A$3:$A$1002))))</f>
        <v/>
      </c>
      <c r="G66" s="6" t="str">
        <f aca="false">IF(대상목록!$C63="","",IF(COUNTIF(대상목록!$C$3:$C63,대상목록!$C63)=1,대상목록!$C63,""))</f>
        <v/>
      </c>
    </row>
    <row r="67" customFormat="false" ht="15" hidden="false" customHeight="true" outlineLevel="0" collapsed="false">
      <c r="A67" s="18" t="str">
        <f aca="false">IF($G67="","",$G67)</f>
        <v/>
      </c>
      <c r="B67" s="23" t="str">
        <f aca="false">IF($A67="","",COUNTIFS(대상목록!$C$3:$C$302,$A67))</f>
        <v/>
      </c>
      <c r="C67" s="23" t="str">
        <f aca="false">IF($A67="","",COUNTIFS(경조사내역!$C$3:$C$1002,$A67,경조사내역!$A$3:$A$1002,"&gt;="&amp;DATE($B$3,1,1),경조사내역!$A$3:$A$1002,"&lt;="&amp;DATE($B$3,12,31)))</f>
        <v/>
      </c>
      <c r="D67" s="28" t="str">
        <f aca="false">IF($A67="","",SUMIFS(경조사내역!$F$3:$F$1002,경조사내역!$C$3:$C$1002,$A67,경조사내역!$A$3:$A$1002,"&gt;="&amp;DATE($B$3,1,1),경조사내역!$A$3:$A$1002,"&lt;="&amp;DATE($B$3,12,31)))</f>
        <v/>
      </c>
      <c r="E67" s="29" t="str">
        <f aca="false">IF($A67="","",IF(COUNTIFS(경조사내역!$C$3:$C$1002,$A67)=0,"",SUMPRODUCT(MAX((경조사내역!$C$3:$C$1002=$A67)*경조사내역!$A$3:$A$1002))))</f>
        <v/>
      </c>
      <c r="G67" s="6" t="str">
        <f aca="false">IF(대상목록!$C64="","",IF(COUNTIF(대상목록!$C$3:$C64,대상목록!$C64)=1,대상목록!$C64,""))</f>
        <v/>
      </c>
    </row>
    <row r="68" customFormat="false" ht="15" hidden="false" customHeight="true" outlineLevel="0" collapsed="false">
      <c r="A68" s="18" t="str">
        <f aca="false">IF($G68="","",$G68)</f>
        <v/>
      </c>
      <c r="B68" s="23" t="str">
        <f aca="false">IF($A68="","",COUNTIFS(대상목록!$C$3:$C$302,$A68))</f>
        <v/>
      </c>
      <c r="C68" s="23" t="str">
        <f aca="false">IF($A68="","",COUNTIFS(경조사내역!$C$3:$C$1002,$A68,경조사내역!$A$3:$A$1002,"&gt;="&amp;DATE($B$3,1,1),경조사내역!$A$3:$A$1002,"&lt;="&amp;DATE($B$3,12,31)))</f>
        <v/>
      </c>
      <c r="D68" s="28" t="str">
        <f aca="false">IF($A68="","",SUMIFS(경조사내역!$F$3:$F$1002,경조사내역!$C$3:$C$1002,$A68,경조사내역!$A$3:$A$1002,"&gt;="&amp;DATE($B$3,1,1),경조사내역!$A$3:$A$1002,"&lt;="&amp;DATE($B$3,12,31)))</f>
        <v/>
      </c>
      <c r="E68" s="29" t="str">
        <f aca="false">IF($A68="","",IF(COUNTIFS(경조사내역!$C$3:$C$1002,$A68)=0,"",SUMPRODUCT(MAX((경조사내역!$C$3:$C$1002=$A68)*경조사내역!$A$3:$A$1002))))</f>
        <v/>
      </c>
      <c r="G68" s="6" t="str">
        <f aca="false">IF(대상목록!$C65="","",IF(COUNTIF(대상목록!$C$3:$C65,대상목록!$C65)=1,대상목록!$C65,""))</f>
        <v/>
      </c>
    </row>
    <row r="69" customFormat="false" ht="15" hidden="false" customHeight="true" outlineLevel="0" collapsed="false">
      <c r="A69" s="18" t="str">
        <f aca="false">IF($G69="","",$G69)</f>
        <v/>
      </c>
      <c r="B69" s="23" t="str">
        <f aca="false">IF($A69="","",COUNTIFS(대상목록!$C$3:$C$302,$A69))</f>
        <v/>
      </c>
      <c r="C69" s="23" t="str">
        <f aca="false">IF($A69="","",COUNTIFS(경조사내역!$C$3:$C$1002,$A69,경조사내역!$A$3:$A$1002,"&gt;="&amp;DATE($B$3,1,1),경조사내역!$A$3:$A$1002,"&lt;="&amp;DATE($B$3,12,31)))</f>
        <v/>
      </c>
      <c r="D69" s="28" t="str">
        <f aca="false">IF($A69="","",SUMIFS(경조사내역!$F$3:$F$1002,경조사내역!$C$3:$C$1002,$A69,경조사내역!$A$3:$A$1002,"&gt;="&amp;DATE($B$3,1,1),경조사내역!$A$3:$A$1002,"&lt;="&amp;DATE($B$3,12,31)))</f>
        <v/>
      </c>
      <c r="E69" s="29" t="str">
        <f aca="false">IF($A69="","",IF(COUNTIFS(경조사내역!$C$3:$C$1002,$A69)=0,"",SUMPRODUCT(MAX((경조사내역!$C$3:$C$1002=$A69)*경조사내역!$A$3:$A$1002))))</f>
        <v/>
      </c>
      <c r="G69" s="6" t="str">
        <f aca="false">IF(대상목록!$C66="","",IF(COUNTIF(대상목록!$C$3:$C66,대상목록!$C66)=1,대상목록!$C66,""))</f>
        <v/>
      </c>
    </row>
    <row r="70" customFormat="false" ht="15" hidden="false" customHeight="true" outlineLevel="0" collapsed="false">
      <c r="A70" s="18" t="str">
        <f aca="false">IF($G70="","",$G70)</f>
        <v/>
      </c>
      <c r="B70" s="23" t="str">
        <f aca="false">IF($A70="","",COUNTIFS(대상목록!$C$3:$C$302,$A70))</f>
        <v/>
      </c>
      <c r="C70" s="23" t="str">
        <f aca="false">IF($A70="","",COUNTIFS(경조사내역!$C$3:$C$1002,$A70,경조사내역!$A$3:$A$1002,"&gt;="&amp;DATE($B$3,1,1),경조사내역!$A$3:$A$1002,"&lt;="&amp;DATE($B$3,12,31)))</f>
        <v/>
      </c>
      <c r="D70" s="28" t="str">
        <f aca="false">IF($A70="","",SUMIFS(경조사내역!$F$3:$F$1002,경조사내역!$C$3:$C$1002,$A70,경조사내역!$A$3:$A$1002,"&gt;="&amp;DATE($B$3,1,1),경조사내역!$A$3:$A$1002,"&lt;="&amp;DATE($B$3,12,31)))</f>
        <v/>
      </c>
      <c r="E70" s="29" t="str">
        <f aca="false">IF($A70="","",IF(COUNTIFS(경조사내역!$C$3:$C$1002,$A70)=0,"",SUMPRODUCT(MAX((경조사내역!$C$3:$C$1002=$A70)*경조사내역!$A$3:$A$1002))))</f>
        <v/>
      </c>
      <c r="G70" s="6" t="str">
        <f aca="false">IF(대상목록!$C67="","",IF(COUNTIF(대상목록!$C$3:$C67,대상목록!$C67)=1,대상목록!$C67,""))</f>
        <v/>
      </c>
    </row>
    <row r="71" customFormat="false" ht="15" hidden="false" customHeight="true" outlineLevel="0" collapsed="false">
      <c r="A71" s="18" t="str">
        <f aca="false">IF($G71="","",$G71)</f>
        <v/>
      </c>
      <c r="B71" s="23" t="str">
        <f aca="false">IF($A71="","",COUNTIFS(대상목록!$C$3:$C$302,$A71))</f>
        <v/>
      </c>
      <c r="C71" s="23" t="str">
        <f aca="false">IF($A71="","",COUNTIFS(경조사내역!$C$3:$C$1002,$A71,경조사내역!$A$3:$A$1002,"&gt;="&amp;DATE($B$3,1,1),경조사내역!$A$3:$A$1002,"&lt;="&amp;DATE($B$3,12,31)))</f>
        <v/>
      </c>
      <c r="D71" s="28" t="str">
        <f aca="false">IF($A71="","",SUMIFS(경조사내역!$F$3:$F$1002,경조사내역!$C$3:$C$1002,$A71,경조사내역!$A$3:$A$1002,"&gt;="&amp;DATE($B$3,1,1),경조사내역!$A$3:$A$1002,"&lt;="&amp;DATE($B$3,12,31)))</f>
        <v/>
      </c>
      <c r="E71" s="29" t="str">
        <f aca="false">IF($A71="","",IF(COUNTIFS(경조사내역!$C$3:$C$1002,$A71)=0,"",SUMPRODUCT(MAX((경조사내역!$C$3:$C$1002=$A71)*경조사내역!$A$3:$A$1002))))</f>
        <v/>
      </c>
      <c r="G71" s="6" t="str">
        <f aca="false">IF(대상목록!$C68="","",IF(COUNTIF(대상목록!$C$3:$C68,대상목록!$C68)=1,대상목록!$C68,""))</f>
        <v/>
      </c>
    </row>
    <row r="72" customFormat="false" ht="15" hidden="false" customHeight="true" outlineLevel="0" collapsed="false">
      <c r="A72" s="18" t="str">
        <f aca="false">IF($G72="","",$G72)</f>
        <v/>
      </c>
      <c r="B72" s="23" t="str">
        <f aca="false">IF($A72="","",COUNTIFS(대상목록!$C$3:$C$302,$A72))</f>
        <v/>
      </c>
      <c r="C72" s="23" t="str">
        <f aca="false">IF($A72="","",COUNTIFS(경조사내역!$C$3:$C$1002,$A72,경조사내역!$A$3:$A$1002,"&gt;="&amp;DATE($B$3,1,1),경조사내역!$A$3:$A$1002,"&lt;="&amp;DATE($B$3,12,31)))</f>
        <v/>
      </c>
      <c r="D72" s="28" t="str">
        <f aca="false">IF($A72="","",SUMIFS(경조사내역!$F$3:$F$1002,경조사내역!$C$3:$C$1002,$A72,경조사내역!$A$3:$A$1002,"&gt;="&amp;DATE($B$3,1,1),경조사내역!$A$3:$A$1002,"&lt;="&amp;DATE($B$3,12,31)))</f>
        <v/>
      </c>
      <c r="E72" s="29" t="str">
        <f aca="false">IF($A72="","",IF(COUNTIFS(경조사내역!$C$3:$C$1002,$A72)=0,"",SUMPRODUCT(MAX((경조사내역!$C$3:$C$1002=$A72)*경조사내역!$A$3:$A$1002))))</f>
        <v/>
      </c>
      <c r="G72" s="6" t="str">
        <f aca="false">IF(대상목록!$C69="","",IF(COUNTIF(대상목록!$C$3:$C69,대상목록!$C69)=1,대상목록!$C69,""))</f>
        <v/>
      </c>
    </row>
    <row r="73" customFormat="false" ht="15" hidden="false" customHeight="true" outlineLevel="0" collapsed="false">
      <c r="A73" s="18" t="str">
        <f aca="false">IF($G73="","",$G73)</f>
        <v/>
      </c>
      <c r="B73" s="23" t="str">
        <f aca="false">IF($A73="","",COUNTIFS(대상목록!$C$3:$C$302,$A73))</f>
        <v/>
      </c>
      <c r="C73" s="23" t="str">
        <f aca="false">IF($A73="","",COUNTIFS(경조사내역!$C$3:$C$1002,$A73,경조사내역!$A$3:$A$1002,"&gt;="&amp;DATE($B$3,1,1),경조사내역!$A$3:$A$1002,"&lt;="&amp;DATE($B$3,12,31)))</f>
        <v/>
      </c>
      <c r="D73" s="28" t="str">
        <f aca="false">IF($A73="","",SUMIFS(경조사내역!$F$3:$F$1002,경조사내역!$C$3:$C$1002,$A73,경조사내역!$A$3:$A$1002,"&gt;="&amp;DATE($B$3,1,1),경조사내역!$A$3:$A$1002,"&lt;="&amp;DATE($B$3,12,31)))</f>
        <v/>
      </c>
      <c r="E73" s="29" t="str">
        <f aca="false">IF($A73="","",IF(COUNTIFS(경조사내역!$C$3:$C$1002,$A73)=0,"",SUMPRODUCT(MAX((경조사내역!$C$3:$C$1002=$A73)*경조사내역!$A$3:$A$1002))))</f>
        <v/>
      </c>
      <c r="G73" s="6" t="str">
        <f aca="false">IF(대상목록!$C70="","",IF(COUNTIF(대상목록!$C$3:$C70,대상목록!$C70)=1,대상목록!$C70,""))</f>
        <v/>
      </c>
    </row>
    <row r="74" customFormat="false" ht="15" hidden="false" customHeight="true" outlineLevel="0" collapsed="false">
      <c r="A74" s="18" t="str">
        <f aca="false">IF($G74="","",$G74)</f>
        <v/>
      </c>
      <c r="B74" s="23" t="str">
        <f aca="false">IF($A74="","",COUNTIFS(대상목록!$C$3:$C$302,$A74))</f>
        <v/>
      </c>
      <c r="C74" s="23" t="str">
        <f aca="false">IF($A74="","",COUNTIFS(경조사내역!$C$3:$C$1002,$A74,경조사내역!$A$3:$A$1002,"&gt;="&amp;DATE($B$3,1,1),경조사내역!$A$3:$A$1002,"&lt;="&amp;DATE($B$3,12,31)))</f>
        <v/>
      </c>
      <c r="D74" s="28" t="str">
        <f aca="false">IF($A74="","",SUMIFS(경조사내역!$F$3:$F$1002,경조사내역!$C$3:$C$1002,$A74,경조사내역!$A$3:$A$1002,"&gt;="&amp;DATE($B$3,1,1),경조사내역!$A$3:$A$1002,"&lt;="&amp;DATE($B$3,12,31)))</f>
        <v/>
      </c>
      <c r="E74" s="29" t="str">
        <f aca="false">IF($A74="","",IF(COUNTIFS(경조사내역!$C$3:$C$1002,$A74)=0,"",SUMPRODUCT(MAX((경조사내역!$C$3:$C$1002=$A74)*경조사내역!$A$3:$A$1002))))</f>
        <v/>
      </c>
      <c r="G74" s="6" t="str">
        <f aca="false">IF(대상목록!$C71="","",IF(COUNTIF(대상목록!$C$3:$C71,대상목록!$C71)=1,대상목록!$C71,""))</f>
        <v/>
      </c>
    </row>
    <row r="75" customFormat="false" ht="15" hidden="false" customHeight="true" outlineLevel="0" collapsed="false">
      <c r="A75" s="18" t="str">
        <f aca="false">IF($G75="","",$G75)</f>
        <v/>
      </c>
      <c r="B75" s="23" t="str">
        <f aca="false">IF($A75="","",COUNTIFS(대상목록!$C$3:$C$302,$A75))</f>
        <v/>
      </c>
      <c r="C75" s="23" t="str">
        <f aca="false">IF($A75="","",COUNTIFS(경조사내역!$C$3:$C$1002,$A75,경조사내역!$A$3:$A$1002,"&gt;="&amp;DATE($B$3,1,1),경조사내역!$A$3:$A$1002,"&lt;="&amp;DATE($B$3,12,31)))</f>
        <v/>
      </c>
      <c r="D75" s="28" t="str">
        <f aca="false">IF($A75="","",SUMIFS(경조사내역!$F$3:$F$1002,경조사내역!$C$3:$C$1002,$A75,경조사내역!$A$3:$A$1002,"&gt;="&amp;DATE($B$3,1,1),경조사내역!$A$3:$A$1002,"&lt;="&amp;DATE($B$3,12,31)))</f>
        <v/>
      </c>
      <c r="E75" s="29" t="str">
        <f aca="false">IF($A75="","",IF(COUNTIFS(경조사내역!$C$3:$C$1002,$A75)=0,"",SUMPRODUCT(MAX((경조사내역!$C$3:$C$1002=$A75)*경조사내역!$A$3:$A$1002))))</f>
        <v/>
      </c>
      <c r="G75" s="6" t="str">
        <f aca="false">IF(대상목록!$C72="","",IF(COUNTIF(대상목록!$C$3:$C72,대상목록!$C72)=1,대상목록!$C72,""))</f>
        <v/>
      </c>
    </row>
    <row r="76" customFormat="false" ht="15" hidden="false" customHeight="true" outlineLevel="0" collapsed="false">
      <c r="A76" s="18" t="str">
        <f aca="false">IF($G76="","",$G76)</f>
        <v/>
      </c>
      <c r="B76" s="23" t="str">
        <f aca="false">IF($A76="","",COUNTIFS(대상목록!$C$3:$C$302,$A76))</f>
        <v/>
      </c>
      <c r="C76" s="23" t="str">
        <f aca="false">IF($A76="","",COUNTIFS(경조사내역!$C$3:$C$1002,$A76,경조사내역!$A$3:$A$1002,"&gt;="&amp;DATE($B$3,1,1),경조사내역!$A$3:$A$1002,"&lt;="&amp;DATE($B$3,12,31)))</f>
        <v/>
      </c>
      <c r="D76" s="28" t="str">
        <f aca="false">IF($A76="","",SUMIFS(경조사내역!$F$3:$F$1002,경조사내역!$C$3:$C$1002,$A76,경조사내역!$A$3:$A$1002,"&gt;="&amp;DATE($B$3,1,1),경조사내역!$A$3:$A$1002,"&lt;="&amp;DATE($B$3,12,31)))</f>
        <v/>
      </c>
      <c r="E76" s="29" t="str">
        <f aca="false">IF($A76="","",IF(COUNTIFS(경조사내역!$C$3:$C$1002,$A76)=0,"",SUMPRODUCT(MAX((경조사내역!$C$3:$C$1002=$A76)*경조사내역!$A$3:$A$1002))))</f>
        <v/>
      </c>
      <c r="G76" s="6" t="str">
        <f aca="false">IF(대상목록!$C73="","",IF(COUNTIF(대상목록!$C$3:$C73,대상목록!$C73)=1,대상목록!$C73,""))</f>
        <v/>
      </c>
    </row>
    <row r="77" customFormat="false" ht="15" hidden="false" customHeight="true" outlineLevel="0" collapsed="false">
      <c r="A77" s="18" t="str">
        <f aca="false">IF($G77="","",$G77)</f>
        <v/>
      </c>
      <c r="B77" s="23" t="str">
        <f aca="false">IF($A77="","",COUNTIFS(대상목록!$C$3:$C$302,$A77))</f>
        <v/>
      </c>
      <c r="C77" s="23" t="str">
        <f aca="false">IF($A77="","",COUNTIFS(경조사내역!$C$3:$C$1002,$A77,경조사내역!$A$3:$A$1002,"&gt;="&amp;DATE($B$3,1,1),경조사내역!$A$3:$A$1002,"&lt;="&amp;DATE($B$3,12,31)))</f>
        <v/>
      </c>
      <c r="D77" s="28" t="str">
        <f aca="false">IF($A77="","",SUMIFS(경조사내역!$F$3:$F$1002,경조사내역!$C$3:$C$1002,$A77,경조사내역!$A$3:$A$1002,"&gt;="&amp;DATE($B$3,1,1),경조사내역!$A$3:$A$1002,"&lt;="&amp;DATE($B$3,12,31)))</f>
        <v/>
      </c>
      <c r="E77" s="29" t="str">
        <f aca="false">IF($A77="","",IF(COUNTIFS(경조사내역!$C$3:$C$1002,$A77)=0,"",SUMPRODUCT(MAX((경조사내역!$C$3:$C$1002=$A77)*경조사내역!$A$3:$A$1002))))</f>
        <v/>
      </c>
      <c r="G77" s="6" t="str">
        <f aca="false">IF(대상목록!$C74="","",IF(COUNTIF(대상목록!$C$3:$C74,대상목록!$C74)=1,대상목록!$C74,""))</f>
        <v/>
      </c>
    </row>
    <row r="78" customFormat="false" ht="15" hidden="false" customHeight="true" outlineLevel="0" collapsed="false">
      <c r="A78" s="18" t="str">
        <f aca="false">IF($G78="","",$G78)</f>
        <v/>
      </c>
      <c r="B78" s="23" t="str">
        <f aca="false">IF($A78="","",COUNTIFS(대상목록!$C$3:$C$302,$A78))</f>
        <v/>
      </c>
      <c r="C78" s="23" t="str">
        <f aca="false">IF($A78="","",COUNTIFS(경조사내역!$C$3:$C$1002,$A78,경조사내역!$A$3:$A$1002,"&gt;="&amp;DATE($B$3,1,1),경조사내역!$A$3:$A$1002,"&lt;="&amp;DATE($B$3,12,31)))</f>
        <v/>
      </c>
      <c r="D78" s="28" t="str">
        <f aca="false">IF($A78="","",SUMIFS(경조사내역!$F$3:$F$1002,경조사내역!$C$3:$C$1002,$A78,경조사내역!$A$3:$A$1002,"&gt;="&amp;DATE($B$3,1,1),경조사내역!$A$3:$A$1002,"&lt;="&amp;DATE($B$3,12,31)))</f>
        <v/>
      </c>
      <c r="E78" s="29" t="str">
        <f aca="false">IF($A78="","",IF(COUNTIFS(경조사내역!$C$3:$C$1002,$A78)=0,"",SUMPRODUCT(MAX((경조사내역!$C$3:$C$1002=$A78)*경조사내역!$A$3:$A$1002))))</f>
        <v/>
      </c>
      <c r="G78" s="6" t="str">
        <f aca="false">IF(대상목록!$C75="","",IF(COUNTIF(대상목록!$C$3:$C75,대상목록!$C75)=1,대상목록!$C75,""))</f>
        <v/>
      </c>
    </row>
    <row r="79" customFormat="false" ht="15" hidden="false" customHeight="true" outlineLevel="0" collapsed="false">
      <c r="A79" s="18" t="str">
        <f aca="false">IF($G79="","",$G79)</f>
        <v/>
      </c>
      <c r="B79" s="23" t="str">
        <f aca="false">IF($A79="","",COUNTIFS(대상목록!$C$3:$C$302,$A79))</f>
        <v/>
      </c>
      <c r="C79" s="23" t="str">
        <f aca="false">IF($A79="","",COUNTIFS(경조사내역!$C$3:$C$1002,$A79,경조사내역!$A$3:$A$1002,"&gt;="&amp;DATE($B$3,1,1),경조사내역!$A$3:$A$1002,"&lt;="&amp;DATE($B$3,12,31)))</f>
        <v/>
      </c>
      <c r="D79" s="28" t="str">
        <f aca="false">IF($A79="","",SUMIFS(경조사내역!$F$3:$F$1002,경조사내역!$C$3:$C$1002,$A79,경조사내역!$A$3:$A$1002,"&gt;="&amp;DATE($B$3,1,1),경조사내역!$A$3:$A$1002,"&lt;="&amp;DATE($B$3,12,31)))</f>
        <v/>
      </c>
      <c r="E79" s="29" t="str">
        <f aca="false">IF($A79="","",IF(COUNTIFS(경조사내역!$C$3:$C$1002,$A79)=0,"",SUMPRODUCT(MAX((경조사내역!$C$3:$C$1002=$A79)*경조사내역!$A$3:$A$1002))))</f>
        <v/>
      </c>
      <c r="G79" s="6" t="str">
        <f aca="false">IF(대상목록!$C76="","",IF(COUNTIF(대상목록!$C$3:$C76,대상목록!$C76)=1,대상목록!$C76,""))</f>
        <v/>
      </c>
    </row>
    <row r="80" customFormat="false" ht="15" hidden="false" customHeight="true" outlineLevel="0" collapsed="false">
      <c r="A80" s="18" t="str">
        <f aca="false">IF($G80="","",$G80)</f>
        <v/>
      </c>
      <c r="B80" s="23" t="str">
        <f aca="false">IF($A80="","",COUNTIFS(대상목록!$C$3:$C$302,$A80))</f>
        <v/>
      </c>
      <c r="C80" s="23" t="str">
        <f aca="false">IF($A80="","",COUNTIFS(경조사내역!$C$3:$C$1002,$A80,경조사내역!$A$3:$A$1002,"&gt;="&amp;DATE($B$3,1,1),경조사내역!$A$3:$A$1002,"&lt;="&amp;DATE($B$3,12,31)))</f>
        <v/>
      </c>
      <c r="D80" s="28" t="str">
        <f aca="false">IF($A80="","",SUMIFS(경조사내역!$F$3:$F$1002,경조사내역!$C$3:$C$1002,$A80,경조사내역!$A$3:$A$1002,"&gt;="&amp;DATE($B$3,1,1),경조사내역!$A$3:$A$1002,"&lt;="&amp;DATE($B$3,12,31)))</f>
        <v/>
      </c>
      <c r="E80" s="29" t="str">
        <f aca="false">IF($A80="","",IF(COUNTIFS(경조사내역!$C$3:$C$1002,$A80)=0,"",SUMPRODUCT(MAX((경조사내역!$C$3:$C$1002=$A80)*경조사내역!$A$3:$A$1002))))</f>
        <v/>
      </c>
      <c r="G80" s="6" t="str">
        <f aca="false">IF(대상목록!$C77="","",IF(COUNTIF(대상목록!$C$3:$C77,대상목록!$C77)=1,대상목록!$C77,""))</f>
        <v/>
      </c>
    </row>
    <row r="81" customFormat="false" ht="15" hidden="false" customHeight="true" outlineLevel="0" collapsed="false">
      <c r="A81" s="18" t="str">
        <f aca="false">IF($G81="","",$G81)</f>
        <v/>
      </c>
      <c r="B81" s="23" t="str">
        <f aca="false">IF($A81="","",COUNTIFS(대상목록!$C$3:$C$302,$A81))</f>
        <v/>
      </c>
      <c r="C81" s="23" t="str">
        <f aca="false">IF($A81="","",COUNTIFS(경조사내역!$C$3:$C$1002,$A81,경조사내역!$A$3:$A$1002,"&gt;="&amp;DATE($B$3,1,1),경조사내역!$A$3:$A$1002,"&lt;="&amp;DATE($B$3,12,31)))</f>
        <v/>
      </c>
      <c r="D81" s="28" t="str">
        <f aca="false">IF($A81="","",SUMIFS(경조사내역!$F$3:$F$1002,경조사내역!$C$3:$C$1002,$A81,경조사내역!$A$3:$A$1002,"&gt;="&amp;DATE($B$3,1,1),경조사내역!$A$3:$A$1002,"&lt;="&amp;DATE($B$3,12,31)))</f>
        <v/>
      </c>
      <c r="E81" s="29" t="str">
        <f aca="false">IF($A81="","",IF(COUNTIFS(경조사내역!$C$3:$C$1002,$A81)=0,"",SUMPRODUCT(MAX((경조사내역!$C$3:$C$1002=$A81)*경조사내역!$A$3:$A$1002))))</f>
        <v/>
      </c>
      <c r="G81" s="6" t="str">
        <f aca="false">IF(대상목록!$C78="","",IF(COUNTIF(대상목록!$C$3:$C78,대상목록!$C78)=1,대상목록!$C78,""))</f>
        <v/>
      </c>
    </row>
    <row r="82" customFormat="false" ht="15" hidden="false" customHeight="true" outlineLevel="0" collapsed="false">
      <c r="A82" s="18" t="str">
        <f aca="false">IF($G82="","",$G82)</f>
        <v/>
      </c>
      <c r="B82" s="23" t="str">
        <f aca="false">IF($A82="","",COUNTIFS(대상목록!$C$3:$C$302,$A82))</f>
        <v/>
      </c>
      <c r="C82" s="23" t="str">
        <f aca="false">IF($A82="","",COUNTIFS(경조사내역!$C$3:$C$1002,$A82,경조사내역!$A$3:$A$1002,"&gt;="&amp;DATE($B$3,1,1),경조사내역!$A$3:$A$1002,"&lt;="&amp;DATE($B$3,12,31)))</f>
        <v/>
      </c>
      <c r="D82" s="28" t="str">
        <f aca="false">IF($A82="","",SUMIFS(경조사내역!$F$3:$F$1002,경조사내역!$C$3:$C$1002,$A82,경조사내역!$A$3:$A$1002,"&gt;="&amp;DATE($B$3,1,1),경조사내역!$A$3:$A$1002,"&lt;="&amp;DATE($B$3,12,31)))</f>
        <v/>
      </c>
      <c r="E82" s="29" t="str">
        <f aca="false">IF($A82="","",IF(COUNTIFS(경조사내역!$C$3:$C$1002,$A82)=0,"",SUMPRODUCT(MAX((경조사내역!$C$3:$C$1002=$A82)*경조사내역!$A$3:$A$1002))))</f>
        <v/>
      </c>
      <c r="G82" s="6" t="str">
        <f aca="false">IF(대상목록!$C79="","",IF(COUNTIF(대상목록!$C$3:$C79,대상목록!$C79)=1,대상목록!$C79,""))</f>
        <v/>
      </c>
    </row>
    <row r="83" customFormat="false" ht="15" hidden="false" customHeight="true" outlineLevel="0" collapsed="false">
      <c r="A83" s="18" t="str">
        <f aca="false">IF($G83="","",$G83)</f>
        <v/>
      </c>
      <c r="B83" s="23" t="str">
        <f aca="false">IF($A83="","",COUNTIFS(대상목록!$C$3:$C$302,$A83))</f>
        <v/>
      </c>
      <c r="C83" s="23" t="str">
        <f aca="false">IF($A83="","",COUNTIFS(경조사내역!$C$3:$C$1002,$A83,경조사내역!$A$3:$A$1002,"&gt;="&amp;DATE($B$3,1,1),경조사내역!$A$3:$A$1002,"&lt;="&amp;DATE($B$3,12,31)))</f>
        <v/>
      </c>
      <c r="D83" s="28" t="str">
        <f aca="false">IF($A83="","",SUMIFS(경조사내역!$F$3:$F$1002,경조사내역!$C$3:$C$1002,$A83,경조사내역!$A$3:$A$1002,"&gt;="&amp;DATE($B$3,1,1),경조사내역!$A$3:$A$1002,"&lt;="&amp;DATE($B$3,12,31)))</f>
        <v/>
      </c>
      <c r="E83" s="29" t="str">
        <f aca="false">IF($A83="","",IF(COUNTIFS(경조사내역!$C$3:$C$1002,$A83)=0,"",SUMPRODUCT(MAX((경조사내역!$C$3:$C$1002=$A83)*경조사내역!$A$3:$A$1002))))</f>
        <v/>
      </c>
      <c r="G83" s="6" t="str">
        <f aca="false">IF(대상목록!$C80="","",IF(COUNTIF(대상목록!$C$3:$C80,대상목록!$C80)=1,대상목록!$C80,""))</f>
        <v/>
      </c>
    </row>
    <row r="84" customFormat="false" ht="15" hidden="false" customHeight="true" outlineLevel="0" collapsed="false">
      <c r="A84" s="18" t="str">
        <f aca="false">IF($G84="","",$G84)</f>
        <v/>
      </c>
      <c r="B84" s="23" t="str">
        <f aca="false">IF($A84="","",COUNTIFS(대상목록!$C$3:$C$302,$A84))</f>
        <v/>
      </c>
      <c r="C84" s="23" t="str">
        <f aca="false">IF($A84="","",COUNTIFS(경조사내역!$C$3:$C$1002,$A84,경조사내역!$A$3:$A$1002,"&gt;="&amp;DATE($B$3,1,1),경조사내역!$A$3:$A$1002,"&lt;="&amp;DATE($B$3,12,31)))</f>
        <v/>
      </c>
      <c r="D84" s="28" t="str">
        <f aca="false">IF($A84="","",SUMIFS(경조사내역!$F$3:$F$1002,경조사내역!$C$3:$C$1002,$A84,경조사내역!$A$3:$A$1002,"&gt;="&amp;DATE($B$3,1,1),경조사내역!$A$3:$A$1002,"&lt;="&amp;DATE($B$3,12,31)))</f>
        <v/>
      </c>
      <c r="E84" s="29" t="str">
        <f aca="false">IF($A84="","",IF(COUNTIFS(경조사내역!$C$3:$C$1002,$A84)=0,"",SUMPRODUCT(MAX((경조사내역!$C$3:$C$1002=$A84)*경조사내역!$A$3:$A$1002))))</f>
        <v/>
      </c>
      <c r="G84" s="6" t="str">
        <f aca="false">IF(대상목록!$C81="","",IF(COUNTIF(대상목록!$C$3:$C81,대상목록!$C81)=1,대상목록!$C81,""))</f>
        <v/>
      </c>
    </row>
    <row r="85" customFormat="false" ht="15" hidden="false" customHeight="true" outlineLevel="0" collapsed="false">
      <c r="A85" s="18" t="str">
        <f aca="false">IF($G85="","",$G85)</f>
        <v/>
      </c>
      <c r="B85" s="23" t="str">
        <f aca="false">IF($A85="","",COUNTIFS(대상목록!$C$3:$C$302,$A85))</f>
        <v/>
      </c>
      <c r="C85" s="23" t="str">
        <f aca="false">IF($A85="","",COUNTIFS(경조사내역!$C$3:$C$1002,$A85,경조사내역!$A$3:$A$1002,"&gt;="&amp;DATE($B$3,1,1),경조사내역!$A$3:$A$1002,"&lt;="&amp;DATE($B$3,12,31)))</f>
        <v/>
      </c>
      <c r="D85" s="28" t="str">
        <f aca="false">IF($A85="","",SUMIFS(경조사내역!$F$3:$F$1002,경조사내역!$C$3:$C$1002,$A85,경조사내역!$A$3:$A$1002,"&gt;="&amp;DATE($B$3,1,1),경조사내역!$A$3:$A$1002,"&lt;="&amp;DATE($B$3,12,31)))</f>
        <v/>
      </c>
      <c r="E85" s="29" t="str">
        <f aca="false">IF($A85="","",IF(COUNTIFS(경조사내역!$C$3:$C$1002,$A85)=0,"",SUMPRODUCT(MAX((경조사내역!$C$3:$C$1002=$A85)*경조사내역!$A$3:$A$1002))))</f>
        <v/>
      </c>
      <c r="G85" s="6" t="str">
        <f aca="false">IF(대상목록!$C82="","",IF(COUNTIF(대상목록!$C$3:$C82,대상목록!$C82)=1,대상목록!$C82,""))</f>
        <v/>
      </c>
    </row>
    <row r="86" customFormat="false" ht="15" hidden="false" customHeight="true" outlineLevel="0" collapsed="false">
      <c r="A86" s="18" t="str">
        <f aca="false">IF($G86="","",$G86)</f>
        <v/>
      </c>
      <c r="B86" s="23" t="str">
        <f aca="false">IF($A86="","",COUNTIFS(대상목록!$C$3:$C$302,$A86))</f>
        <v/>
      </c>
      <c r="C86" s="23" t="str">
        <f aca="false">IF($A86="","",COUNTIFS(경조사내역!$C$3:$C$1002,$A86,경조사내역!$A$3:$A$1002,"&gt;="&amp;DATE($B$3,1,1),경조사내역!$A$3:$A$1002,"&lt;="&amp;DATE($B$3,12,31)))</f>
        <v/>
      </c>
      <c r="D86" s="28" t="str">
        <f aca="false">IF($A86="","",SUMIFS(경조사내역!$F$3:$F$1002,경조사내역!$C$3:$C$1002,$A86,경조사내역!$A$3:$A$1002,"&gt;="&amp;DATE($B$3,1,1),경조사내역!$A$3:$A$1002,"&lt;="&amp;DATE($B$3,12,31)))</f>
        <v/>
      </c>
      <c r="E86" s="29" t="str">
        <f aca="false">IF($A86="","",IF(COUNTIFS(경조사내역!$C$3:$C$1002,$A86)=0,"",SUMPRODUCT(MAX((경조사내역!$C$3:$C$1002=$A86)*경조사내역!$A$3:$A$1002))))</f>
        <v/>
      </c>
      <c r="G86" s="6" t="str">
        <f aca="false">IF(대상목록!$C83="","",IF(COUNTIF(대상목록!$C$3:$C83,대상목록!$C83)=1,대상목록!$C83,""))</f>
        <v/>
      </c>
    </row>
    <row r="87" customFormat="false" ht="15" hidden="false" customHeight="true" outlineLevel="0" collapsed="false">
      <c r="A87" s="18" t="str">
        <f aca="false">IF($G87="","",$G87)</f>
        <v/>
      </c>
      <c r="B87" s="23" t="str">
        <f aca="false">IF($A87="","",COUNTIFS(대상목록!$C$3:$C$302,$A87))</f>
        <v/>
      </c>
      <c r="C87" s="23" t="str">
        <f aca="false">IF($A87="","",COUNTIFS(경조사내역!$C$3:$C$1002,$A87,경조사내역!$A$3:$A$1002,"&gt;="&amp;DATE($B$3,1,1),경조사내역!$A$3:$A$1002,"&lt;="&amp;DATE($B$3,12,31)))</f>
        <v/>
      </c>
      <c r="D87" s="28" t="str">
        <f aca="false">IF($A87="","",SUMIFS(경조사내역!$F$3:$F$1002,경조사내역!$C$3:$C$1002,$A87,경조사내역!$A$3:$A$1002,"&gt;="&amp;DATE($B$3,1,1),경조사내역!$A$3:$A$1002,"&lt;="&amp;DATE($B$3,12,31)))</f>
        <v/>
      </c>
      <c r="E87" s="29" t="str">
        <f aca="false">IF($A87="","",IF(COUNTIFS(경조사내역!$C$3:$C$1002,$A87)=0,"",SUMPRODUCT(MAX((경조사내역!$C$3:$C$1002=$A87)*경조사내역!$A$3:$A$1002))))</f>
        <v/>
      </c>
      <c r="G87" s="6" t="str">
        <f aca="false">IF(대상목록!$C84="","",IF(COUNTIF(대상목록!$C$3:$C84,대상목록!$C84)=1,대상목록!$C84,""))</f>
        <v/>
      </c>
    </row>
    <row r="88" customFormat="false" ht="15" hidden="false" customHeight="true" outlineLevel="0" collapsed="false">
      <c r="A88" s="18" t="str">
        <f aca="false">IF($G88="","",$G88)</f>
        <v/>
      </c>
      <c r="B88" s="23" t="str">
        <f aca="false">IF($A88="","",COUNTIFS(대상목록!$C$3:$C$302,$A88))</f>
        <v/>
      </c>
      <c r="C88" s="23" t="str">
        <f aca="false">IF($A88="","",COUNTIFS(경조사내역!$C$3:$C$1002,$A88,경조사내역!$A$3:$A$1002,"&gt;="&amp;DATE($B$3,1,1),경조사내역!$A$3:$A$1002,"&lt;="&amp;DATE($B$3,12,31)))</f>
        <v/>
      </c>
      <c r="D88" s="28" t="str">
        <f aca="false">IF($A88="","",SUMIFS(경조사내역!$F$3:$F$1002,경조사내역!$C$3:$C$1002,$A88,경조사내역!$A$3:$A$1002,"&gt;="&amp;DATE($B$3,1,1),경조사내역!$A$3:$A$1002,"&lt;="&amp;DATE($B$3,12,31)))</f>
        <v/>
      </c>
      <c r="E88" s="29" t="str">
        <f aca="false">IF($A88="","",IF(COUNTIFS(경조사내역!$C$3:$C$1002,$A88)=0,"",SUMPRODUCT(MAX((경조사내역!$C$3:$C$1002=$A88)*경조사내역!$A$3:$A$1002))))</f>
        <v/>
      </c>
      <c r="G88" s="6" t="str">
        <f aca="false">IF(대상목록!$C85="","",IF(COUNTIF(대상목록!$C$3:$C85,대상목록!$C85)=1,대상목록!$C85,""))</f>
        <v/>
      </c>
    </row>
    <row r="89" customFormat="false" ht="15" hidden="false" customHeight="true" outlineLevel="0" collapsed="false">
      <c r="A89" s="18" t="str">
        <f aca="false">IF($G89="","",$G89)</f>
        <v/>
      </c>
      <c r="B89" s="23" t="str">
        <f aca="false">IF($A89="","",COUNTIFS(대상목록!$C$3:$C$302,$A89))</f>
        <v/>
      </c>
      <c r="C89" s="23" t="str">
        <f aca="false">IF($A89="","",COUNTIFS(경조사내역!$C$3:$C$1002,$A89,경조사내역!$A$3:$A$1002,"&gt;="&amp;DATE($B$3,1,1),경조사내역!$A$3:$A$1002,"&lt;="&amp;DATE($B$3,12,31)))</f>
        <v/>
      </c>
      <c r="D89" s="28" t="str">
        <f aca="false">IF($A89="","",SUMIFS(경조사내역!$F$3:$F$1002,경조사내역!$C$3:$C$1002,$A89,경조사내역!$A$3:$A$1002,"&gt;="&amp;DATE($B$3,1,1),경조사내역!$A$3:$A$1002,"&lt;="&amp;DATE($B$3,12,31)))</f>
        <v/>
      </c>
      <c r="E89" s="29" t="str">
        <f aca="false">IF($A89="","",IF(COUNTIFS(경조사내역!$C$3:$C$1002,$A89)=0,"",SUMPRODUCT(MAX((경조사내역!$C$3:$C$1002=$A89)*경조사내역!$A$3:$A$1002))))</f>
        <v/>
      </c>
      <c r="G89" s="6" t="str">
        <f aca="false">IF(대상목록!$C86="","",IF(COUNTIF(대상목록!$C$3:$C86,대상목록!$C86)=1,대상목록!$C86,""))</f>
        <v/>
      </c>
    </row>
    <row r="90" customFormat="false" ht="15" hidden="false" customHeight="true" outlineLevel="0" collapsed="false">
      <c r="A90" s="18" t="str">
        <f aca="false">IF($G90="","",$G90)</f>
        <v/>
      </c>
      <c r="B90" s="23" t="str">
        <f aca="false">IF($A90="","",COUNTIFS(대상목록!$C$3:$C$302,$A90))</f>
        <v/>
      </c>
      <c r="C90" s="23" t="str">
        <f aca="false">IF($A90="","",COUNTIFS(경조사내역!$C$3:$C$1002,$A90,경조사내역!$A$3:$A$1002,"&gt;="&amp;DATE($B$3,1,1),경조사내역!$A$3:$A$1002,"&lt;="&amp;DATE($B$3,12,31)))</f>
        <v/>
      </c>
      <c r="D90" s="28" t="str">
        <f aca="false">IF($A90="","",SUMIFS(경조사내역!$F$3:$F$1002,경조사내역!$C$3:$C$1002,$A90,경조사내역!$A$3:$A$1002,"&gt;="&amp;DATE($B$3,1,1),경조사내역!$A$3:$A$1002,"&lt;="&amp;DATE($B$3,12,31)))</f>
        <v/>
      </c>
      <c r="E90" s="29" t="str">
        <f aca="false">IF($A90="","",IF(COUNTIFS(경조사내역!$C$3:$C$1002,$A90)=0,"",SUMPRODUCT(MAX((경조사내역!$C$3:$C$1002=$A90)*경조사내역!$A$3:$A$1002))))</f>
        <v/>
      </c>
      <c r="G90" s="6" t="str">
        <f aca="false">IF(대상목록!$C87="","",IF(COUNTIF(대상목록!$C$3:$C87,대상목록!$C87)=1,대상목록!$C87,""))</f>
        <v/>
      </c>
    </row>
    <row r="91" customFormat="false" ht="15" hidden="false" customHeight="true" outlineLevel="0" collapsed="false">
      <c r="A91" s="18" t="str">
        <f aca="false">IF($G91="","",$G91)</f>
        <v/>
      </c>
      <c r="B91" s="23" t="str">
        <f aca="false">IF($A91="","",COUNTIFS(대상목록!$C$3:$C$302,$A91))</f>
        <v/>
      </c>
      <c r="C91" s="23" t="str">
        <f aca="false">IF($A91="","",COUNTIFS(경조사내역!$C$3:$C$1002,$A91,경조사내역!$A$3:$A$1002,"&gt;="&amp;DATE($B$3,1,1),경조사내역!$A$3:$A$1002,"&lt;="&amp;DATE($B$3,12,31)))</f>
        <v/>
      </c>
      <c r="D91" s="28" t="str">
        <f aca="false">IF($A91="","",SUMIFS(경조사내역!$F$3:$F$1002,경조사내역!$C$3:$C$1002,$A91,경조사내역!$A$3:$A$1002,"&gt;="&amp;DATE($B$3,1,1),경조사내역!$A$3:$A$1002,"&lt;="&amp;DATE($B$3,12,31)))</f>
        <v/>
      </c>
      <c r="E91" s="29" t="str">
        <f aca="false">IF($A91="","",IF(COUNTIFS(경조사내역!$C$3:$C$1002,$A91)=0,"",SUMPRODUCT(MAX((경조사내역!$C$3:$C$1002=$A91)*경조사내역!$A$3:$A$1002))))</f>
        <v/>
      </c>
      <c r="G91" s="6" t="str">
        <f aca="false">IF(대상목록!$C88="","",IF(COUNTIF(대상목록!$C$3:$C88,대상목록!$C88)=1,대상목록!$C88,""))</f>
        <v/>
      </c>
    </row>
    <row r="92" customFormat="false" ht="15" hidden="false" customHeight="true" outlineLevel="0" collapsed="false">
      <c r="A92" s="18" t="str">
        <f aca="false">IF($G92="","",$G92)</f>
        <v/>
      </c>
      <c r="B92" s="23" t="str">
        <f aca="false">IF($A92="","",COUNTIFS(대상목록!$C$3:$C$302,$A92))</f>
        <v/>
      </c>
      <c r="C92" s="23" t="str">
        <f aca="false">IF($A92="","",COUNTIFS(경조사내역!$C$3:$C$1002,$A92,경조사내역!$A$3:$A$1002,"&gt;="&amp;DATE($B$3,1,1),경조사내역!$A$3:$A$1002,"&lt;="&amp;DATE($B$3,12,31)))</f>
        <v/>
      </c>
      <c r="D92" s="28" t="str">
        <f aca="false">IF($A92="","",SUMIFS(경조사내역!$F$3:$F$1002,경조사내역!$C$3:$C$1002,$A92,경조사내역!$A$3:$A$1002,"&gt;="&amp;DATE($B$3,1,1),경조사내역!$A$3:$A$1002,"&lt;="&amp;DATE($B$3,12,31)))</f>
        <v/>
      </c>
      <c r="E92" s="29" t="str">
        <f aca="false">IF($A92="","",IF(COUNTIFS(경조사내역!$C$3:$C$1002,$A92)=0,"",SUMPRODUCT(MAX((경조사내역!$C$3:$C$1002=$A92)*경조사내역!$A$3:$A$1002))))</f>
        <v/>
      </c>
      <c r="G92" s="6" t="str">
        <f aca="false">IF(대상목록!$C89="","",IF(COUNTIF(대상목록!$C$3:$C89,대상목록!$C89)=1,대상목록!$C89,""))</f>
        <v/>
      </c>
    </row>
    <row r="93" customFormat="false" ht="15" hidden="false" customHeight="true" outlineLevel="0" collapsed="false">
      <c r="A93" s="18" t="str">
        <f aca="false">IF($G93="","",$G93)</f>
        <v/>
      </c>
      <c r="B93" s="23" t="str">
        <f aca="false">IF($A93="","",COUNTIFS(대상목록!$C$3:$C$302,$A93))</f>
        <v/>
      </c>
      <c r="C93" s="23" t="str">
        <f aca="false">IF($A93="","",COUNTIFS(경조사내역!$C$3:$C$1002,$A93,경조사내역!$A$3:$A$1002,"&gt;="&amp;DATE($B$3,1,1),경조사내역!$A$3:$A$1002,"&lt;="&amp;DATE($B$3,12,31)))</f>
        <v/>
      </c>
      <c r="D93" s="28" t="str">
        <f aca="false">IF($A93="","",SUMIFS(경조사내역!$F$3:$F$1002,경조사내역!$C$3:$C$1002,$A93,경조사내역!$A$3:$A$1002,"&gt;="&amp;DATE($B$3,1,1),경조사내역!$A$3:$A$1002,"&lt;="&amp;DATE($B$3,12,31)))</f>
        <v/>
      </c>
      <c r="E93" s="29" t="str">
        <f aca="false">IF($A93="","",IF(COUNTIFS(경조사내역!$C$3:$C$1002,$A93)=0,"",SUMPRODUCT(MAX((경조사내역!$C$3:$C$1002=$A93)*경조사내역!$A$3:$A$1002))))</f>
        <v/>
      </c>
      <c r="G93" s="6" t="str">
        <f aca="false">IF(대상목록!$C90="","",IF(COUNTIF(대상목록!$C$3:$C90,대상목록!$C90)=1,대상목록!$C90,""))</f>
        <v/>
      </c>
    </row>
    <row r="94" customFormat="false" ht="15" hidden="false" customHeight="true" outlineLevel="0" collapsed="false">
      <c r="A94" s="18" t="str">
        <f aca="false">IF($G94="","",$G94)</f>
        <v/>
      </c>
      <c r="B94" s="23" t="str">
        <f aca="false">IF($A94="","",COUNTIFS(대상목록!$C$3:$C$302,$A94))</f>
        <v/>
      </c>
      <c r="C94" s="23" t="str">
        <f aca="false">IF($A94="","",COUNTIFS(경조사내역!$C$3:$C$1002,$A94,경조사내역!$A$3:$A$1002,"&gt;="&amp;DATE($B$3,1,1),경조사내역!$A$3:$A$1002,"&lt;="&amp;DATE($B$3,12,31)))</f>
        <v/>
      </c>
      <c r="D94" s="28" t="str">
        <f aca="false">IF($A94="","",SUMIFS(경조사내역!$F$3:$F$1002,경조사내역!$C$3:$C$1002,$A94,경조사내역!$A$3:$A$1002,"&gt;="&amp;DATE($B$3,1,1),경조사내역!$A$3:$A$1002,"&lt;="&amp;DATE($B$3,12,31)))</f>
        <v/>
      </c>
      <c r="E94" s="29" t="str">
        <f aca="false">IF($A94="","",IF(COUNTIFS(경조사내역!$C$3:$C$1002,$A94)=0,"",SUMPRODUCT(MAX((경조사내역!$C$3:$C$1002=$A94)*경조사내역!$A$3:$A$1002))))</f>
        <v/>
      </c>
      <c r="G94" s="6" t="str">
        <f aca="false">IF(대상목록!$C91="","",IF(COUNTIF(대상목록!$C$3:$C91,대상목록!$C91)=1,대상목록!$C91,""))</f>
        <v/>
      </c>
    </row>
    <row r="95" customFormat="false" ht="15" hidden="false" customHeight="true" outlineLevel="0" collapsed="false">
      <c r="A95" s="18" t="str">
        <f aca="false">IF($G95="","",$G95)</f>
        <v/>
      </c>
      <c r="B95" s="23" t="str">
        <f aca="false">IF($A95="","",COUNTIFS(대상목록!$C$3:$C$302,$A95))</f>
        <v/>
      </c>
      <c r="C95" s="23" t="str">
        <f aca="false">IF($A95="","",COUNTIFS(경조사내역!$C$3:$C$1002,$A95,경조사내역!$A$3:$A$1002,"&gt;="&amp;DATE($B$3,1,1),경조사내역!$A$3:$A$1002,"&lt;="&amp;DATE($B$3,12,31)))</f>
        <v/>
      </c>
      <c r="D95" s="28" t="str">
        <f aca="false">IF($A95="","",SUMIFS(경조사내역!$F$3:$F$1002,경조사내역!$C$3:$C$1002,$A95,경조사내역!$A$3:$A$1002,"&gt;="&amp;DATE($B$3,1,1),경조사내역!$A$3:$A$1002,"&lt;="&amp;DATE($B$3,12,31)))</f>
        <v/>
      </c>
      <c r="E95" s="29" t="str">
        <f aca="false">IF($A95="","",IF(COUNTIFS(경조사내역!$C$3:$C$1002,$A95)=0,"",SUMPRODUCT(MAX((경조사내역!$C$3:$C$1002=$A95)*경조사내역!$A$3:$A$1002))))</f>
        <v/>
      </c>
      <c r="G95" s="6" t="str">
        <f aca="false">IF(대상목록!$C92="","",IF(COUNTIF(대상목록!$C$3:$C92,대상목록!$C92)=1,대상목록!$C92,""))</f>
        <v/>
      </c>
    </row>
    <row r="96" customFormat="false" ht="15" hidden="false" customHeight="true" outlineLevel="0" collapsed="false">
      <c r="A96" s="18" t="str">
        <f aca="false">IF($G96="","",$G96)</f>
        <v/>
      </c>
      <c r="B96" s="23" t="str">
        <f aca="false">IF($A96="","",COUNTIFS(대상목록!$C$3:$C$302,$A96))</f>
        <v/>
      </c>
      <c r="C96" s="23" t="str">
        <f aca="false">IF($A96="","",COUNTIFS(경조사내역!$C$3:$C$1002,$A96,경조사내역!$A$3:$A$1002,"&gt;="&amp;DATE($B$3,1,1),경조사내역!$A$3:$A$1002,"&lt;="&amp;DATE($B$3,12,31)))</f>
        <v/>
      </c>
      <c r="D96" s="28" t="str">
        <f aca="false">IF($A96="","",SUMIFS(경조사내역!$F$3:$F$1002,경조사내역!$C$3:$C$1002,$A96,경조사내역!$A$3:$A$1002,"&gt;="&amp;DATE($B$3,1,1),경조사내역!$A$3:$A$1002,"&lt;="&amp;DATE($B$3,12,31)))</f>
        <v/>
      </c>
      <c r="E96" s="29" t="str">
        <f aca="false">IF($A96="","",IF(COUNTIFS(경조사내역!$C$3:$C$1002,$A96)=0,"",SUMPRODUCT(MAX((경조사내역!$C$3:$C$1002=$A96)*경조사내역!$A$3:$A$1002))))</f>
        <v/>
      </c>
      <c r="G96" s="6" t="str">
        <f aca="false">IF(대상목록!$C93="","",IF(COUNTIF(대상목록!$C$3:$C93,대상목록!$C93)=1,대상목록!$C93,""))</f>
        <v/>
      </c>
    </row>
    <row r="97" customFormat="false" ht="15" hidden="false" customHeight="true" outlineLevel="0" collapsed="false">
      <c r="A97" s="18" t="str">
        <f aca="false">IF($G97="","",$G97)</f>
        <v/>
      </c>
      <c r="B97" s="23" t="str">
        <f aca="false">IF($A97="","",COUNTIFS(대상목록!$C$3:$C$302,$A97))</f>
        <v/>
      </c>
      <c r="C97" s="23" t="str">
        <f aca="false">IF($A97="","",COUNTIFS(경조사내역!$C$3:$C$1002,$A97,경조사내역!$A$3:$A$1002,"&gt;="&amp;DATE($B$3,1,1),경조사내역!$A$3:$A$1002,"&lt;="&amp;DATE($B$3,12,31)))</f>
        <v/>
      </c>
      <c r="D97" s="28" t="str">
        <f aca="false">IF($A97="","",SUMIFS(경조사내역!$F$3:$F$1002,경조사내역!$C$3:$C$1002,$A97,경조사내역!$A$3:$A$1002,"&gt;="&amp;DATE($B$3,1,1),경조사내역!$A$3:$A$1002,"&lt;="&amp;DATE($B$3,12,31)))</f>
        <v/>
      </c>
      <c r="E97" s="29" t="str">
        <f aca="false">IF($A97="","",IF(COUNTIFS(경조사내역!$C$3:$C$1002,$A97)=0,"",SUMPRODUCT(MAX((경조사내역!$C$3:$C$1002=$A97)*경조사내역!$A$3:$A$1002))))</f>
        <v/>
      </c>
      <c r="G97" s="6" t="str">
        <f aca="false">IF(대상목록!$C94="","",IF(COUNTIF(대상목록!$C$3:$C94,대상목록!$C94)=1,대상목록!$C94,""))</f>
        <v/>
      </c>
    </row>
    <row r="98" customFormat="false" ht="15" hidden="false" customHeight="true" outlineLevel="0" collapsed="false">
      <c r="A98" s="18" t="str">
        <f aca="false">IF($G98="","",$G98)</f>
        <v/>
      </c>
      <c r="B98" s="23" t="str">
        <f aca="false">IF($A98="","",COUNTIFS(대상목록!$C$3:$C$302,$A98))</f>
        <v/>
      </c>
      <c r="C98" s="23" t="str">
        <f aca="false">IF($A98="","",COUNTIFS(경조사내역!$C$3:$C$1002,$A98,경조사내역!$A$3:$A$1002,"&gt;="&amp;DATE($B$3,1,1),경조사내역!$A$3:$A$1002,"&lt;="&amp;DATE($B$3,12,31)))</f>
        <v/>
      </c>
      <c r="D98" s="28" t="str">
        <f aca="false">IF($A98="","",SUMIFS(경조사내역!$F$3:$F$1002,경조사내역!$C$3:$C$1002,$A98,경조사내역!$A$3:$A$1002,"&gt;="&amp;DATE($B$3,1,1),경조사내역!$A$3:$A$1002,"&lt;="&amp;DATE($B$3,12,31)))</f>
        <v/>
      </c>
      <c r="E98" s="29" t="str">
        <f aca="false">IF($A98="","",IF(COUNTIFS(경조사내역!$C$3:$C$1002,$A98)=0,"",SUMPRODUCT(MAX((경조사내역!$C$3:$C$1002=$A98)*경조사내역!$A$3:$A$1002))))</f>
        <v/>
      </c>
      <c r="G98" s="6" t="str">
        <f aca="false">IF(대상목록!$C95="","",IF(COUNTIF(대상목록!$C$3:$C95,대상목록!$C95)=1,대상목록!$C95,""))</f>
        <v/>
      </c>
    </row>
    <row r="99" customFormat="false" ht="15" hidden="false" customHeight="true" outlineLevel="0" collapsed="false">
      <c r="A99" s="18" t="str">
        <f aca="false">IF($G99="","",$G99)</f>
        <v/>
      </c>
      <c r="B99" s="23" t="str">
        <f aca="false">IF($A99="","",COUNTIFS(대상목록!$C$3:$C$302,$A99))</f>
        <v/>
      </c>
      <c r="C99" s="23" t="str">
        <f aca="false">IF($A99="","",COUNTIFS(경조사내역!$C$3:$C$1002,$A99,경조사내역!$A$3:$A$1002,"&gt;="&amp;DATE($B$3,1,1),경조사내역!$A$3:$A$1002,"&lt;="&amp;DATE($B$3,12,31)))</f>
        <v/>
      </c>
      <c r="D99" s="28" t="str">
        <f aca="false">IF($A99="","",SUMIFS(경조사내역!$F$3:$F$1002,경조사내역!$C$3:$C$1002,$A99,경조사내역!$A$3:$A$1002,"&gt;="&amp;DATE($B$3,1,1),경조사내역!$A$3:$A$1002,"&lt;="&amp;DATE($B$3,12,31)))</f>
        <v/>
      </c>
      <c r="E99" s="29" t="str">
        <f aca="false">IF($A99="","",IF(COUNTIFS(경조사내역!$C$3:$C$1002,$A99)=0,"",SUMPRODUCT(MAX((경조사내역!$C$3:$C$1002=$A99)*경조사내역!$A$3:$A$1002))))</f>
        <v/>
      </c>
      <c r="G99" s="6" t="str">
        <f aca="false">IF(대상목록!$C96="","",IF(COUNTIF(대상목록!$C$3:$C96,대상목록!$C96)=1,대상목록!$C96,""))</f>
        <v/>
      </c>
    </row>
    <row r="100" customFormat="false" ht="15" hidden="false" customHeight="true" outlineLevel="0" collapsed="false">
      <c r="A100" s="18" t="str">
        <f aca="false">IF($G100="","",$G100)</f>
        <v/>
      </c>
      <c r="B100" s="23" t="str">
        <f aca="false">IF($A100="","",COUNTIFS(대상목록!$C$3:$C$302,$A100))</f>
        <v/>
      </c>
      <c r="C100" s="23" t="str">
        <f aca="false">IF($A100="","",COUNTIFS(경조사내역!$C$3:$C$1002,$A100,경조사내역!$A$3:$A$1002,"&gt;="&amp;DATE($B$3,1,1),경조사내역!$A$3:$A$1002,"&lt;="&amp;DATE($B$3,12,31)))</f>
        <v/>
      </c>
      <c r="D100" s="28" t="str">
        <f aca="false">IF($A100="","",SUMIFS(경조사내역!$F$3:$F$1002,경조사내역!$C$3:$C$1002,$A100,경조사내역!$A$3:$A$1002,"&gt;="&amp;DATE($B$3,1,1),경조사내역!$A$3:$A$1002,"&lt;="&amp;DATE($B$3,12,31)))</f>
        <v/>
      </c>
      <c r="E100" s="29" t="str">
        <f aca="false">IF($A100="","",IF(COUNTIFS(경조사내역!$C$3:$C$1002,$A100)=0,"",SUMPRODUCT(MAX((경조사내역!$C$3:$C$1002=$A100)*경조사내역!$A$3:$A$1002))))</f>
        <v/>
      </c>
      <c r="G100" s="6" t="str">
        <f aca="false">IF(대상목록!$C97="","",IF(COUNTIF(대상목록!$C$3:$C97,대상목록!$C97)=1,대상목록!$C97,""))</f>
        <v/>
      </c>
    </row>
    <row r="101" customFormat="false" ht="15" hidden="false" customHeight="true" outlineLevel="0" collapsed="false">
      <c r="A101" s="18" t="str">
        <f aca="false">IF($G101="","",$G101)</f>
        <v/>
      </c>
      <c r="B101" s="23" t="str">
        <f aca="false">IF($A101="","",COUNTIFS(대상목록!$C$3:$C$302,$A101))</f>
        <v/>
      </c>
      <c r="C101" s="23" t="str">
        <f aca="false">IF($A101="","",COUNTIFS(경조사내역!$C$3:$C$1002,$A101,경조사내역!$A$3:$A$1002,"&gt;="&amp;DATE($B$3,1,1),경조사내역!$A$3:$A$1002,"&lt;="&amp;DATE($B$3,12,31)))</f>
        <v/>
      </c>
      <c r="D101" s="28" t="str">
        <f aca="false">IF($A101="","",SUMIFS(경조사내역!$F$3:$F$1002,경조사내역!$C$3:$C$1002,$A101,경조사내역!$A$3:$A$1002,"&gt;="&amp;DATE($B$3,1,1),경조사내역!$A$3:$A$1002,"&lt;="&amp;DATE($B$3,12,31)))</f>
        <v/>
      </c>
      <c r="E101" s="29" t="str">
        <f aca="false">IF($A101="","",IF(COUNTIFS(경조사내역!$C$3:$C$1002,$A101)=0,"",SUMPRODUCT(MAX((경조사내역!$C$3:$C$1002=$A101)*경조사내역!$A$3:$A$1002))))</f>
        <v/>
      </c>
      <c r="G101" s="6" t="str">
        <f aca="false">IF(대상목록!$C98="","",IF(COUNTIF(대상목록!$C$3:$C98,대상목록!$C98)=1,대상목록!$C98,""))</f>
        <v/>
      </c>
    </row>
    <row r="102" customFormat="false" ht="15" hidden="false" customHeight="true" outlineLevel="0" collapsed="false">
      <c r="A102" s="18" t="str">
        <f aca="false">IF($G102="","",$G102)</f>
        <v/>
      </c>
      <c r="B102" s="23" t="str">
        <f aca="false">IF($A102="","",COUNTIFS(대상목록!$C$3:$C$302,$A102))</f>
        <v/>
      </c>
      <c r="C102" s="23" t="str">
        <f aca="false">IF($A102="","",COUNTIFS(경조사내역!$C$3:$C$1002,$A102,경조사내역!$A$3:$A$1002,"&gt;="&amp;DATE($B$3,1,1),경조사내역!$A$3:$A$1002,"&lt;="&amp;DATE($B$3,12,31)))</f>
        <v/>
      </c>
      <c r="D102" s="28" t="str">
        <f aca="false">IF($A102="","",SUMIFS(경조사내역!$F$3:$F$1002,경조사내역!$C$3:$C$1002,$A102,경조사내역!$A$3:$A$1002,"&gt;="&amp;DATE($B$3,1,1),경조사내역!$A$3:$A$1002,"&lt;="&amp;DATE($B$3,12,31)))</f>
        <v/>
      </c>
      <c r="E102" s="29" t="str">
        <f aca="false">IF($A102="","",IF(COUNTIFS(경조사내역!$C$3:$C$1002,$A102)=0,"",SUMPRODUCT(MAX((경조사내역!$C$3:$C$1002=$A102)*경조사내역!$A$3:$A$1002))))</f>
        <v/>
      </c>
      <c r="G102" s="6" t="str">
        <f aca="false">IF(대상목록!$C99="","",IF(COUNTIF(대상목록!$C$3:$C99,대상목록!$C99)=1,대상목록!$C99,""))</f>
        <v/>
      </c>
    </row>
    <row r="103" customFormat="false" ht="15" hidden="false" customHeight="true" outlineLevel="0" collapsed="false">
      <c r="A103" s="18" t="str">
        <f aca="false">IF($G103="","",$G103)</f>
        <v/>
      </c>
      <c r="B103" s="23" t="str">
        <f aca="false">IF($A103="","",COUNTIFS(대상목록!$C$3:$C$302,$A103))</f>
        <v/>
      </c>
      <c r="C103" s="23" t="str">
        <f aca="false">IF($A103="","",COUNTIFS(경조사내역!$C$3:$C$1002,$A103,경조사내역!$A$3:$A$1002,"&gt;="&amp;DATE($B$3,1,1),경조사내역!$A$3:$A$1002,"&lt;="&amp;DATE($B$3,12,31)))</f>
        <v/>
      </c>
      <c r="D103" s="28" t="str">
        <f aca="false">IF($A103="","",SUMIFS(경조사내역!$F$3:$F$1002,경조사내역!$C$3:$C$1002,$A103,경조사내역!$A$3:$A$1002,"&gt;="&amp;DATE($B$3,1,1),경조사내역!$A$3:$A$1002,"&lt;="&amp;DATE($B$3,12,31)))</f>
        <v/>
      </c>
      <c r="E103" s="29" t="str">
        <f aca="false">IF($A103="","",IF(COUNTIFS(경조사내역!$C$3:$C$1002,$A103)=0,"",SUMPRODUCT(MAX((경조사내역!$C$3:$C$1002=$A103)*경조사내역!$A$3:$A$1002))))</f>
        <v/>
      </c>
      <c r="G103" s="6" t="str">
        <f aca="false">IF(대상목록!$C100="","",IF(COUNTIF(대상목록!$C$3:$C100,대상목록!$C100)=1,대상목록!$C100,""))</f>
        <v/>
      </c>
    </row>
    <row r="104" customFormat="false" ht="15" hidden="false" customHeight="true" outlineLevel="0" collapsed="false">
      <c r="A104" s="18" t="str">
        <f aca="false">IF($G104="","",$G104)</f>
        <v/>
      </c>
      <c r="B104" s="23" t="str">
        <f aca="false">IF($A104="","",COUNTIFS(대상목록!$C$3:$C$302,$A104))</f>
        <v/>
      </c>
      <c r="C104" s="23" t="str">
        <f aca="false">IF($A104="","",COUNTIFS(경조사내역!$C$3:$C$1002,$A104,경조사내역!$A$3:$A$1002,"&gt;="&amp;DATE($B$3,1,1),경조사내역!$A$3:$A$1002,"&lt;="&amp;DATE($B$3,12,31)))</f>
        <v/>
      </c>
      <c r="D104" s="28" t="str">
        <f aca="false">IF($A104="","",SUMIFS(경조사내역!$F$3:$F$1002,경조사내역!$C$3:$C$1002,$A104,경조사내역!$A$3:$A$1002,"&gt;="&amp;DATE($B$3,1,1),경조사내역!$A$3:$A$1002,"&lt;="&amp;DATE($B$3,12,31)))</f>
        <v/>
      </c>
      <c r="E104" s="29" t="str">
        <f aca="false">IF($A104="","",IF(COUNTIFS(경조사내역!$C$3:$C$1002,$A104)=0,"",SUMPRODUCT(MAX((경조사내역!$C$3:$C$1002=$A104)*경조사내역!$A$3:$A$1002))))</f>
        <v/>
      </c>
      <c r="G104" s="6" t="str">
        <f aca="false">IF(대상목록!$C101="","",IF(COUNTIF(대상목록!$C$3:$C101,대상목록!$C101)=1,대상목록!$C101,""))</f>
        <v/>
      </c>
    </row>
    <row r="105" customFormat="false" ht="15" hidden="false" customHeight="true" outlineLevel="0" collapsed="false">
      <c r="A105" s="18" t="str">
        <f aca="false">IF($G105="","",$G105)</f>
        <v/>
      </c>
      <c r="B105" s="23" t="str">
        <f aca="false">IF($A105="","",COUNTIFS(대상목록!$C$3:$C$302,$A105))</f>
        <v/>
      </c>
      <c r="C105" s="23" t="str">
        <f aca="false">IF($A105="","",COUNTIFS(경조사내역!$C$3:$C$1002,$A105,경조사내역!$A$3:$A$1002,"&gt;="&amp;DATE($B$3,1,1),경조사내역!$A$3:$A$1002,"&lt;="&amp;DATE($B$3,12,31)))</f>
        <v/>
      </c>
      <c r="D105" s="28" t="str">
        <f aca="false">IF($A105="","",SUMIFS(경조사내역!$F$3:$F$1002,경조사내역!$C$3:$C$1002,$A105,경조사내역!$A$3:$A$1002,"&gt;="&amp;DATE($B$3,1,1),경조사내역!$A$3:$A$1002,"&lt;="&amp;DATE($B$3,12,31)))</f>
        <v/>
      </c>
      <c r="E105" s="29" t="str">
        <f aca="false">IF($A105="","",IF(COUNTIFS(경조사내역!$C$3:$C$1002,$A105)=0,"",SUMPRODUCT(MAX((경조사내역!$C$3:$C$1002=$A105)*경조사내역!$A$3:$A$1002))))</f>
        <v/>
      </c>
      <c r="G105" s="6" t="str">
        <f aca="false">IF(대상목록!$C102="","",IF(COUNTIF(대상목록!$C$3:$C102,대상목록!$C102)=1,대상목록!$C102,""))</f>
        <v/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2026-09-14T10:19:08Z</dcterms:created>
  <dc:creator>openpyxl</dc:creator>
  <dc:description/>
  <dc:language>en-US</dc:language>
  <cp:lastModifiedBy/>
  <dcterms:modified xsi:type="dcterms:W3CDTF">2026-09-14T10:21:07Z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