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기초정보" sheetId="2" state="visible" r:id="rId4"/>
    <sheet name="현장목록" sheetId="3" state="visible" r:id="rId5"/>
    <sheet name="품목마스터" sheetId="4" state="visible" r:id="rId6"/>
    <sheet name="내역입력" sheetId="5" state="visible" r:id="rId7"/>
    <sheet name="견적서" sheetId="6" state="visible" r:id="rId8"/>
    <sheet name="기성청구서" sheetId="7" state="visible" r:id="rId9"/>
  </sheets>
  <definedNames>
    <definedName function="false" hidden="false" localSheetId="5" name="_xlnm.Print_Area" vbProcedure="false">견적서!$A$1:$G$35</definedName>
    <definedName function="false" hidden="false" localSheetId="6" name="_xlnm.Print_Area" vbProcedure="false">기성청구서!$A$1:$G$35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<sst xmlns="http://schemas.openxmlformats.org/spreadsheetml/2006/main" count="125" uniqueCount="93">
  <si>
    <t xml:space="preserve">견적서 · 기성청구서 통합 관리</t>
  </si>
  <si>
    <t xml:space="preserve">핵심</t>
  </si>
  <si>
    <t xml:space="preserve">내역은 [내역입력] 시트 한 곳에만 넣습니다. 견적서와 기성청구서가 그것을 그대로 가져다 씁니다.</t>
  </si>
  <si>
    <t xml:space="preserve">입력 규칙</t>
  </si>
  <si>
    <t xml:space="preserve">파란색 글씨 칸만 입력하세요. 검은색은 자동 계산이라 건드리면 안 됩니다.</t>
  </si>
  <si>
    <t xml:space="preserve">① 기초정보</t>
  </si>
  <si>
    <t xml:space="preserve">우리 회사 정보와 부가세율을 등록합니다. 한 번만 하면 됩니다.</t>
  </si>
  <si>
    <t xml:space="preserve">② 현장목록</t>
  </si>
  <si>
    <t xml:space="preserve">현장명·발주처·현장주소를 등록합니다. 여기 등록해야 내역입력에서 고를 수 있습니다.</t>
  </si>
  <si>
    <t xml:space="preserve">③ 품목마스터</t>
  </si>
  <si>
    <t xml:space="preserve">자주 쓰는 품목의 규격·단위·기본단가를 등록해두면 내역입력이 빨라집니다.</t>
  </si>
  <si>
    <t xml:space="preserve">④ 내역입력</t>
  </si>
  <si>
    <t xml:space="preserve">현장을 고르고 품목을 고르면 규격·단위·단가가 자동으로 붙습니다.</t>
  </si>
  <si>
    <t xml:space="preserve">수량과 기성률(%)만 직접 넣으면 금액이 자동 계산됩니다.</t>
  </si>
  <si>
    <t xml:space="preserve">⑤ 견적서</t>
  </si>
  <si>
    <t xml:space="preserve">출력할 현장을 고르면 그 현장의 내역이 자동으로 채워집니다. 그대로 인쇄하세요.</t>
  </si>
  <si>
    <t xml:space="preserve">⑥ 기성청구서</t>
  </si>
  <si>
    <t xml:space="preserve">같은 현장을 고르면 기성률이 반영된 청구 금액이 나옵니다.</t>
  </si>
  <si>
    <t xml:space="preserve">기성률이란</t>
  </si>
  <si>
    <t xml:space="preserve">전체 공사 중 이번에 청구할 비율입니다. 100%면 전액 청구, 50%면 절반만 청구합니다.</t>
  </si>
  <si>
    <t xml:space="preserve">※ 견적서·기성청구서의 한 장당 최대 항목 수는 20개입니다.</t>
  </si>
  <si>
    <t xml:space="preserve">기초정보  (파란색 칸에 입력)</t>
  </si>
  <si>
    <t xml:space="preserve">상호</t>
  </si>
  <si>
    <t xml:space="preserve">○○이엔지</t>
  </si>
  <si>
    <t xml:space="preserve">사업자등록번호</t>
  </si>
  <si>
    <t xml:space="preserve">000-00-00000</t>
  </si>
  <si>
    <t xml:space="preserve">대표자</t>
  </si>
  <si>
    <t xml:space="preserve">홍길동</t>
  </si>
  <si>
    <t xml:space="preserve">주소</t>
  </si>
  <si>
    <t xml:space="preserve">서울시 ○○구 ○○로 00</t>
  </si>
  <si>
    <t xml:space="preserve">업태</t>
  </si>
  <si>
    <t xml:space="preserve">제조, 건설</t>
  </si>
  <si>
    <t xml:space="preserve">종목</t>
  </si>
  <si>
    <t xml:space="preserve">환기설비</t>
  </si>
  <si>
    <t xml:space="preserve">전화</t>
  </si>
  <si>
    <t xml:space="preserve">02-000-0000</t>
  </si>
  <si>
    <t xml:space="preserve">팩스</t>
  </si>
  <si>
    <t xml:space="preserve">02-000-0001</t>
  </si>
  <si>
    <t xml:space="preserve">담당자</t>
  </si>
  <si>
    <t xml:space="preserve">부가세율</t>
  </si>
  <si>
    <t xml:space="preserve">※ 예시값입니다. 실제 회사 정보로 바꿔주세요.</t>
  </si>
  <si>
    <t xml:space="preserve">현장목록  (여기 등록해야 내역입력에서 선택 가능)</t>
  </si>
  <si>
    <t xml:space="preserve">현장명</t>
  </si>
  <si>
    <t xml:space="preserve">발주처</t>
  </si>
  <si>
    <t xml:space="preserve">현장주소</t>
  </si>
  <si>
    <t xml:space="preserve">착공일</t>
  </si>
  <si>
    <t xml:space="preserve">비고</t>
  </si>
  <si>
    <t xml:space="preserve">○○아파트 지하주차장</t>
  </si>
  <si>
    <t xml:space="preserve">○○종합건설</t>
  </si>
  <si>
    <t xml:space="preserve">경기도 ○○시 ○○동</t>
  </si>
  <si>
    <t xml:space="preserve">← 예시 행</t>
  </si>
  <si>
    <t xml:space="preserve">품목마스터  (자주 쓰는 품목을 등록해두면 내역입력이 빨라집니다)</t>
  </si>
  <si>
    <t xml:space="preserve">품목명</t>
  </si>
  <si>
    <t xml:space="preserve">규격</t>
  </si>
  <si>
    <t xml:space="preserve">단위</t>
  </si>
  <si>
    <t xml:space="preserve">기본단가</t>
  </si>
  <si>
    <t xml:space="preserve">주차장 환기휀</t>
  </si>
  <si>
    <t xml:space="preserve">SF-500 / 1HP</t>
  </si>
  <si>
    <t xml:space="preserve">대</t>
  </si>
  <si>
    <t xml:space="preserve">← 예시 행입니다</t>
  </si>
  <si>
    <t xml:space="preserve">급기 덕트</t>
  </si>
  <si>
    <t xml:space="preserve">SPCC 0.6T</t>
  </si>
  <si>
    <t xml:space="preserve">M</t>
  </si>
  <si>
    <t xml:space="preserve">배기 그릴</t>
  </si>
  <si>
    <t xml:space="preserve">300x300</t>
  </si>
  <si>
    <t xml:space="preserve">EA</t>
  </si>
  <si>
    <t xml:space="preserve">내역입력  (현장·품목·수량·기성률만 입력 / 나머지 자동)</t>
  </si>
  <si>
    <t xml:space="preserve">규격(자동)</t>
  </si>
  <si>
    <t xml:space="preserve">단위(자동)</t>
  </si>
  <si>
    <t xml:space="preserve">단가</t>
  </si>
  <si>
    <t xml:space="preserve">수량</t>
  </si>
  <si>
    <t xml:space="preserve">공급가액(자동)</t>
  </si>
  <si>
    <t xml:space="preserve">기성률(%)</t>
  </si>
  <si>
    <t xml:space="preserve">기성금액(자동)</t>
  </si>
  <si>
    <t xml:space="preserve">정렬순번(자동)</t>
  </si>
  <si>
    <t xml:space="preserve">조회키(자동)</t>
  </si>
  <si>
    <t xml:space="preserve">견  적  서</t>
  </si>
  <si>
    <t xml:space="preserve">출력할 현장</t>
  </si>
  <si>
    <t xml:space="preserve">작성일</t>
  </si>
  <si>
    <t xml:space="preserve">※ 위의 [출력할 현장]만 바꾸면 아래 내용이 전부 자동으로 바뀝니다.</t>
  </si>
  <si>
    <t xml:space="preserve">수 신</t>
  </si>
  <si>
    <t xml:space="preserve">현 장</t>
  </si>
  <si>
    <t xml:space="preserve">사업자번호</t>
  </si>
  <si>
    <t xml:space="preserve">No</t>
  </si>
  <si>
    <t xml:space="preserve">품 목</t>
  </si>
  <si>
    <t xml:space="preserve">규 격</t>
  </si>
  <si>
    <t xml:space="preserve">공급가액</t>
  </si>
  <si>
    <t xml:space="preserve">공 급 가 액</t>
  </si>
  <si>
    <t xml:space="preserve">부 가 세</t>
  </si>
  <si>
    <t xml:space="preserve">합 계 금 액</t>
  </si>
  <si>
    <t xml:space="preserve">※ 항목이 20개를 넘으면 표시되지 않습니다. 내역입력 시트에서 현장별 항목 수를 확인하세요.</t>
  </si>
  <si>
    <t xml:space="preserve">기 성 청 구 서</t>
  </si>
  <si>
    <t xml:space="preserve">기성금액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</si>
</sst>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yyyy\-mm\-dd"/>
    <numFmt numFmtId="167" formatCode="#,##0"/>
    <numFmt numFmtId="168" formatCode="0"/>
    <numFmt numFmtId="169" formatCode="#,##0.##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name val="맑은 고딕"/>
      <family val="0"/>
      <charset val="1"/>
    </font>
    <font>
      <b val="true"/>
      <sz val="20"/>
      <name val="Noto Sans CJK SC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1"/>
      <name val="Noto Sans CJK S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2F2F2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/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 t="s">
        <v>18</v>
      </c>
      <c r="C13" s="4" t="s">
        <v>19</v>
      </c>
    </row>
    <row r="15" customFormat="false" ht="15" hidden="false" customHeight="true" outlineLevel="0" collapsed="false">
      <c r="B15" s="5" t="s">
        <v>20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44"/>
  </cols>
  <sheetData>
    <row r="2" customFormat="false" ht="25.5" hidden="false" customHeight="true" outlineLevel="0" collapsed="false">
      <c r="B2" s="2" t="s">
        <v>21</v>
      </c>
      <c r="C2" s="2"/>
    </row>
    <row r="4" customFormat="false" ht="15" hidden="false" customHeight="true" outlineLevel="0" collapsed="false">
      <c r="B4" s="3" t="s">
        <v>22</v>
      </c>
      <c r="C4" s="6" t="s">
        <v>23</v>
      </c>
    </row>
    <row r="5" customFormat="false" ht="15" hidden="false" customHeight="true" outlineLevel="0" collapsed="false">
      <c r="B5" s="3" t="s">
        <v>24</v>
      </c>
      <c r="C5" s="7" t="s">
        <v>25</v>
      </c>
    </row>
    <row r="6" customFormat="false" ht="15" hidden="false" customHeight="true" outlineLevel="0" collapsed="false">
      <c r="B6" s="3" t="s">
        <v>26</v>
      </c>
      <c r="C6" s="6" t="s">
        <v>27</v>
      </c>
    </row>
    <row r="7" customFormat="false" ht="15" hidden="false" customHeight="true" outlineLevel="0" collapsed="false">
      <c r="B7" s="3" t="s">
        <v>28</v>
      </c>
      <c r="C7" s="6" t="s">
        <v>29</v>
      </c>
    </row>
    <row r="8" customFormat="false" ht="15" hidden="false" customHeight="true" outlineLevel="0" collapsed="false">
      <c r="B8" s="3" t="s">
        <v>30</v>
      </c>
      <c r="C8" s="6" t="s">
        <v>31</v>
      </c>
    </row>
    <row r="9" customFormat="false" ht="15" hidden="false" customHeight="true" outlineLevel="0" collapsed="false">
      <c r="B9" s="3" t="s">
        <v>32</v>
      </c>
      <c r="C9" s="6" t="s">
        <v>33</v>
      </c>
    </row>
    <row r="10" customFormat="false" ht="15" hidden="false" customHeight="true" outlineLevel="0" collapsed="false">
      <c r="B10" s="3" t="s">
        <v>34</v>
      </c>
      <c r="C10" s="7" t="s">
        <v>35</v>
      </c>
    </row>
    <row r="11" customFormat="false" ht="15" hidden="false" customHeight="true" outlineLevel="0" collapsed="false">
      <c r="B11" s="3" t="s">
        <v>36</v>
      </c>
      <c r="C11" s="7" t="s">
        <v>37</v>
      </c>
    </row>
    <row r="12" customFormat="false" ht="15" hidden="false" customHeight="true" outlineLevel="0" collapsed="false">
      <c r="B12" s="3" t="s">
        <v>38</v>
      </c>
      <c r="C12" s="6" t="s">
        <v>27</v>
      </c>
    </row>
    <row r="13" customFormat="false" ht="15" hidden="false" customHeight="true" outlineLevel="0" collapsed="false">
      <c r="B13" s="3" t="s">
        <v>39</v>
      </c>
      <c r="C13" s="8" t="n">
        <v>0.1</v>
      </c>
    </row>
    <row r="15" customFormat="false" ht="15" hidden="false" customHeight="true" outlineLevel="0" collapsed="false">
      <c r="B15" s="5" t="s">
        <v>40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13"/>
    <col collapsed="false" customWidth="true" hidden="false" outlineLevel="0" max="5" min="5" style="1" width="22"/>
  </cols>
  <sheetData>
    <row r="1" customFormat="false" ht="25.5" hidden="false" customHeight="true" outlineLevel="0" collapsed="false">
      <c r="A1" s="2" t="s">
        <v>41</v>
      </c>
      <c r="B1" s="2"/>
      <c r="C1" s="2"/>
      <c r="D1" s="2"/>
      <c r="E1" s="2"/>
    </row>
    <row r="2" customFormat="false" ht="15" hidden="false" customHeight="true" outlineLevel="0" collapsed="false">
      <c r="A2" s="9" t="s">
        <v>42</v>
      </c>
      <c r="B2" s="9" t="s">
        <v>43</v>
      </c>
      <c r="C2" s="9" t="s">
        <v>44</v>
      </c>
      <c r="D2" s="9" t="s">
        <v>45</v>
      </c>
      <c r="E2" s="9" t="s">
        <v>46</v>
      </c>
    </row>
    <row r="3" customFormat="false" ht="15" hidden="false" customHeight="true" outlineLevel="0" collapsed="false">
      <c r="A3" s="10" t="s">
        <v>47</v>
      </c>
      <c r="B3" s="10" t="s">
        <v>48</v>
      </c>
      <c r="C3" s="10" t="s">
        <v>49</v>
      </c>
      <c r="D3" s="11"/>
      <c r="E3" s="10" t="s">
        <v>50</v>
      </c>
    </row>
    <row r="4" customFormat="false" ht="15" hidden="false" customHeight="true" outlineLevel="0" collapsed="false">
      <c r="A4" s="10"/>
      <c r="B4" s="10"/>
      <c r="C4" s="10"/>
      <c r="D4" s="11"/>
      <c r="E4" s="10"/>
    </row>
    <row r="5" customFormat="false" ht="15" hidden="false" customHeight="true" outlineLevel="0" collapsed="false">
      <c r="A5" s="10"/>
      <c r="B5" s="10"/>
      <c r="C5" s="10"/>
      <c r="D5" s="11"/>
      <c r="E5" s="10"/>
    </row>
    <row r="6" customFormat="false" ht="15" hidden="false" customHeight="true" outlineLevel="0" collapsed="false">
      <c r="A6" s="10"/>
      <c r="B6" s="10"/>
      <c r="C6" s="10"/>
      <c r="D6" s="11"/>
      <c r="E6" s="10"/>
    </row>
    <row r="7" customFormat="false" ht="15" hidden="false" customHeight="true" outlineLevel="0" collapsed="false">
      <c r="A7" s="10"/>
      <c r="B7" s="10"/>
      <c r="C7" s="10"/>
      <c r="D7" s="11"/>
      <c r="E7" s="10"/>
    </row>
    <row r="8" customFormat="false" ht="15" hidden="false" customHeight="true" outlineLevel="0" collapsed="false">
      <c r="A8" s="10"/>
      <c r="B8" s="10"/>
      <c r="C8" s="10"/>
      <c r="D8" s="11"/>
      <c r="E8" s="10"/>
    </row>
    <row r="9" customFormat="false" ht="15" hidden="false" customHeight="true" outlineLevel="0" collapsed="false">
      <c r="A9" s="10"/>
      <c r="B9" s="10"/>
      <c r="C9" s="10"/>
      <c r="D9" s="11"/>
      <c r="E9" s="10"/>
    </row>
    <row r="10" customFormat="false" ht="15" hidden="false" customHeight="true" outlineLevel="0" collapsed="false">
      <c r="A10" s="10"/>
      <c r="B10" s="10"/>
      <c r="C10" s="10"/>
      <c r="D10" s="11"/>
      <c r="E10" s="10"/>
    </row>
    <row r="11" customFormat="false" ht="15" hidden="false" customHeight="true" outlineLevel="0" collapsed="false">
      <c r="A11" s="10"/>
      <c r="B11" s="10"/>
      <c r="C11" s="10"/>
      <c r="D11" s="11"/>
      <c r="E11" s="10"/>
    </row>
    <row r="12" customFormat="false" ht="15" hidden="false" customHeight="true" outlineLevel="0" collapsed="false">
      <c r="A12" s="10"/>
      <c r="B12" s="10"/>
      <c r="C12" s="10"/>
      <c r="D12" s="11"/>
      <c r="E12" s="10"/>
    </row>
    <row r="13" customFormat="false" ht="15" hidden="false" customHeight="true" outlineLevel="0" collapsed="false">
      <c r="A13" s="10"/>
      <c r="B13" s="10"/>
      <c r="C13" s="10"/>
      <c r="D13" s="11"/>
      <c r="E13" s="10"/>
    </row>
    <row r="14" customFormat="false" ht="15" hidden="false" customHeight="true" outlineLevel="0" collapsed="false">
      <c r="A14" s="10"/>
      <c r="B14" s="10"/>
      <c r="C14" s="10"/>
      <c r="D14" s="11"/>
      <c r="E14" s="10"/>
    </row>
    <row r="15" customFormat="false" ht="15" hidden="false" customHeight="true" outlineLevel="0" collapsed="false">
      <c r="A15" s="10"/>
      <c r="B15" s="10"/>
      <c r="C15" s="10"/>
      <c r="D15" s="11"/>
      <c r="E15" s="10"/>
    </row>
    <row r="16" customFormat="false" ht="15" hidden="false" customHeight="true" outlineLevel="0" collapsed="false">
      <c r="A16" s="10"/>
      <c r="B16" s="10"/>
      <c r="C16" s="10"/>
      <c r="D16" s="11"/>
      <c r="E16" s="10"/>
    </row>
    <row r="17" customFormat="false" ht="15" hidden="false" customHeight="true" outlineLevel="0" collapsed="false">
      <c r="A17" s="10"/>
      <c r="B17" s="10"/>
      <c r="C17" s="10"/>
      <c r="D17" s="11"/>
      <c r="E17" s="10"/>
    </row>
    <row r="18" customFormat="false" ht="15" hidden="false" customHeight="true" outlineLevel="0" collapsed="false">
      <c r="A18" s="10"/>
      <c r="B18" s="10"/>
      <c r="C18" s="10"/>
      <c r="D18" s="11"/>
      <c r="E18" s="10"/>
    </row>
    <row r="19" customFormat="false" ht="15" hidden="false" customHeight="true" outlineLevel="0" collapsed="false">
      <c r="A19" s="10"/>
      <c r="B19" s="10"/>
      <c r="C19" s="10"/>
      <c r="D19" s="11"/>
      <c r="E19" s="10"/>
    </row>
    <row r="20" customFormat="false" ht="15" hidden="false" customHeight="true" outlineLevel="0" collapsed="false">
      <c r="A20" s="10"/>
      <c r="B20" s="10"/>
      <c r="C20" s="10"/>
      <c r="D20" s="11"/>
      <c r="E20" s="10"/>
    </row>
    <row r="21" customFormat="false" ht="15" hidden="false" customHeight="true" outlineLevel="0" collapsed="false">
      <c r="A21" s="10"/>
      <c r="B21" s="10"/>
      <c r="C21" s="10"/>
      <c r="D21" s="11"/>
      <c r="E21" s="10"/>
    </row>
    <row r="22" customFormat="false" ht="15" hidden="false" customHeight="true" outlineLevel="0" collapsed="false">
      <c r="A22" s="10"/>
      <c r="B22" s="10"/>
      <c r="C22" s="10"/>
      <c r="D22" s="11"/>
      <c r="E22" s="10"/>
    </row>
    <row r="23" customFormat="false" ht="15" hidden="false" customHeight="true" outlineLevel="0" collapsed="false">
      <c r="A23" s="10"/>
      <c r="B23" s="10"/>
      <c r="C23" s="10"/>
      <c r="D23" s="11"/>
      <c r="E23" s="10"/>
    </row>
    <row r="24" customFormat="false" ht="15" hidden="false" customHeight="true" outlineLevel="0" collapsed="false">
      <c r="A24" s="10"/>
      <c r="B24" s="10"/>
      <c r="C24" s="10"/>
      <c r="D24" s="11"/>
      <c r="E24" s="10"/>
    </row>
    <row r="25" customFormat="false" ht="15" hidden="false" customHeight="true" outlineLevel="0" collapsed="false">
      <c r="A25" s="10"/>
      <c r="B25" s="10"/>
      <c r="C25" s="10"/>
      <c r="D25" s="11"/>
      <c r="E25" s="10"/>
    </row>
    <row r="26" customFormat="false" ht="15" hidden="false" customHeight="true" outlineLevel="0" collapsed="false">
      <c r="A26" s="10"/>
      <c r="B26" s="10"/>
      <c r="C26" s="10"/>
      <c r="D26" s="11"/>
      <c r="E26" s="10"/>
    </row>
    <row r="27" customFormat="false" ht="15" hidden="false" customHeight="true" outlineLevel="0" collapsed="false">
      <c r="A27" s="10"/>
      <c r="B27" s="10"/>
      <c r="C27" s="10"/>
      <c r="D27" s="11"/>
      <c r="E27" s="10"/>
    </row>
    <row r="28" customFormat="false" ht="15" hidden="false" customHeight="true" outlineLevel="0" collapsed="false">
      <c r="A28" s="10"/>
      <c r="B28" s="10"/>
      <c r="C28" s="10"/>
      <c r="D28" s="11"/>
      <c r="E28" s="10"/>
    </row>
    <row r="29" customFormat="false" ht="15" hidden="false" customHeight="true" outlineLevel="0" collapsed="false">
      <c r="A29" s="10"/>
      <c r="B29" s="10"/>
      <c r="C29" s="10"/>
      <c r="D29" s="11"/>
      <c r="E29" s="10"/>
    </row>
    <row r="30" customFormat="false" ht="15" hidden="false" customHeight="true" outlineLevel="0" collapsed="false">
      <c r="A30" s="10"/>
      <c r="B30" s="10"/>
      <c r="C30" s="10"/>
      <c r="D30" s="11"/>
      <c r="E30" s="10"/>
    </row>
    <row r="31" customFormat="false" ht="15" hidden="false" customHeight="true" outlineLevel="0" collapsed="false">
      <c r="A31" s="10"/>
      <c r="B31" s="10"/>
      <c r="C31" s="10"/>
      <c r="D31" s="11"/>
      <c r="E31" s="10"/>
    </row>
    <row r="32" customFormat="false" ht="15" hidden="false" customHeight="true" outlineLevel="0" collapsed="false">
      <c r="A32" s="10"/>
      <c r="B32" s="10"/>
      <c r="C32" s="10"/>
      <c r="D32" s="11"/>
      <c r="E32" s="10"/>
    </row>
    <row r="33" customFormat="false" ht="15" hidden="false" customHeight="true" outlineLevel="0" collapsed="false">
      <c r="A33" s="10"/>
      <c r="B33" s="10"/>
      <c r="C33" s="10"/>
      <c r="D33" s="11"/>
      <c r="E33" s="10"/>
    </row>
    <row r="34" customFormat="false" ht="15" hidden="false" customHeight="true" outlineLevel="0" collapsed="false">
      <c r="A34" s="10"/>
      <c r="B34" s="10"/>
      <c r="C34" s="10"/>
      <c r="D34" s="11"/>
      <c r="E34" s="10"/>
    </row>
    <row r="35" customFormat="false" ht="15" hidden="false" customHeight="true" outlineLevel="0" collapsed="false">
      <c r="A35" s="10"/>
      <c r="B35" s="10"/>
      <c r="C35" s="10"/>
      <c r="D35" s="11"/>
      <c r="E35" s="10"/>
    </row>
    <row r="36" customFormat="false" ht="15" hidden="false" customHeight="true" outlineLevel="0" collapsed="false">
      <c r="A36" s="10"/>
      <c r="B36" s="10"/>
      <c r="C36" s="10"/>
      <c r="D36" s="11"/>
      <c r="E36" s="10"/>
    </row>
    <row r="37" customFormat="false" ht="15" hidden="false" customHeight="true" outlineLevel="0" collapsed="false">
      <c r="A37" s="10"/>
      <c r="B37" s="10"/>
      <c r="C37" s="10"/>
      <c r="D37" s="11"/>
      <c r="E37" s="10"/>
    </row>
    <row r="38" customFormat="false" ht="15" hidden="false" customHeight="true" outlineLevel="0" collapsed="false">
      <c r="A38" s="10"/>
      <c r="B38" s="10"/>
      <c r="C38" s="10"/>
      <c r="D38" s="11"/>
      <c r="E38" s="10"/>
    </row>
    <row r="39" customFormat="false" ht="15" hidden="false" customHeight="true" outlineLevel="0" collapsed="false">
      <c r="A39" s="10"/>
      <c r="B39" s="10"/>
      <c r="C39" s="10"/>
      <c r="D39" s="11"/>
      <c r="E39" s="10"/>
    </row>
    <row r="40" customFormat="false" ht="15" hidden="false" customHeight="true" outlineLevel="0" collapsed="false">
      <c r="A40" s="10"/>
      <c r="B40" s="10"/>
      <c r="C40" s="10"/>
      <c r="D40" s="11"/>
      <c r="E40" s="10"/>
    </row>
    <row r="41" customFormat="false" ht="15" hidden="false" customHeight="true" outlineLevel="0" collapsed="false">
      <c r="A41" s="10"/>
      <c r="B41" s="10"/>
      <c r="C41" s="10"/>
      <c r="D41" s="11"/>
      <c r="E41" s="10"/>
    </row>
    <row r="42" customFormat="false" ht="15" hidden="false" customHeight="true" outlineLevel="0" collapsed="false">
      <c r="A42" s="10"/>
      <c r="B42" s="10"/>
      <c r="C42" s="10"/>
      <c r="D42" s="11"/>
      <c r="E42" s="10"/>
    </row>
    <row r="43" customFormat="false" ht="15" hidden="false" customHeight="true" outlineLevel="0" collapsed="false">
      <c r="A43" s="10"/>
      <c r="B43" s="10"/>
      <c r="C43" s="10"/>
      <c r="D43" s="11"/>
      <c r="E43" s="10"/>
    </row>
    <row r="44" customFormat="false" ht="15" hidden="false" customHeight="true" outlineLevel="0" collapsed="false">
      <c r="A44" s="10"/>
      <c r="B44" s="10"/>
      <c r="C44" s="10"/>
      <c r="D44" s="11"/>
      <c r="E44" s="10"/>
    </row>
    <row r="45" customFormat="false" ht="15" hidden="false" customHeight="true" outlineLevel="0" collapsed="false">
      <c r="A45" s="10"/>
      <c r="B45" s="10"/>
      <c r="C45" s="10"/>
      <c r="D45" s="11"/>
      <c r="E45" s="10"/>
    </row>
    <row r="46" customFormat="false" ht="15" hidden="false" customHeight="true" outlineLevel="0" collapsed="false">
      <c r="A46" s="10"/>
      <c r="B46" s="10"/>
      <c r="C46" s="10"/>
      <c r="D46" s="11"/>
      <c r="E46" s="10"/>
    </row>
    <row r="47" customFormat="false" ht="15" hidden="false" customHeight="true" outlineLevel="0" collapsed="false">
      <c r="A47" s="10"/>
      <c r="B47" s="10"/>
      <c r="C47" s="10"/>
      <c r="D47" s="11"/>
      <c r="E47" s="10"/>
    </row>
    <row r="48" customFormat="false" ht="15" hidden="false" customHeight="true" outlineLevel="0" collapsed="false">
      <c r="A48" s="10"/>
      <c r="B48" s="10"/>
      <c r="C48" s="10"/>
      <c r="D48" s="11"/>
      <c r="E48" s="10"/>
    </row>
    <row r="49" customFormat="false" ht="15" hidden="false" customHeight="true" outlineLevel="0" collapsed="false">
      <c r="A49" s="10"/>
      <c r="B49" s="10"/>
      <c r="C49" s="10"/>
      <c r="D49" s="11"/>
      <c r="E49" s="10"/>
    </row>
    <row r="50" customFormat="false" ht="15" hidden="false" customHeight="true" outlineLevel="0" collapsed="false">
      <c r="A50" s="10"/>
      <c r="B50" s="10"/>
      <c r="C50" s="10"/>
      <c r="D50" s="11"/>
      <c r="E50" s="10"/>
    </row>
    <row r="51" customFormat="false" ht="15" hidden="false" customHeight="true" outlineLevel="0" collapsed="false">
      <c r="A51" s="10"/>
      <c r="B51" s="10"/>
      <c r="C51" s="10"/>
      <c r="D51" s="11"/>
      <c r="E51" s="10"/>
    </row>
    <row r="52" customFormat="false" ht="15" hidden="false" customHeight="true" outlineLevel="0" collapsed="false">
      <c r="A52" s="10"/>
      <c r="B52" s="10"/>
      <c r="C52" s="10"/>
      <c r="D52" s="11"/>
      <c r="E52" s="10"/>
    </row>
    <row r="53" customFormat="false" ht="15" hidden="false" customHeight="true" outlineLevel="0" collapsed="false">
      <c r="A53" s="10"/>
      <c r="B53" s="10"/>
      <c r="C53" s="10"/>
      <c r="D53" s="11"/>
      <c r="E53" s="10"/>
    </row>
    <row r="54" customFormat="false" ht="15" hidden="false" customHeight="true" outlineLevel="0" collapsed="false">
      <c r="A54" s="10"/>
      <c r="B54" s="10"/>
      <c r="C54" s="10"/>
      <c r="D54" s="11"/>
      <c r="E54" s="10"/>
    </row>
    <row r="55" customFormat="false" ht="15" hidden="false" customHeight="true" outlineLevel="0" collapsed="false">
      <c r="A55" s="10"/>
      <c r="B55" s="10"/>
      <c r="C55" s="10"/>
      <c r="D55" s="11"/>
      <c r="E55" s="10"/>
    </row>
    <row r="56" customFormat="false" ht="15" hidden="false" customHeight="true" outlineLevel="0" collapsed="false">
      <c r="A56" s="10"/>
      <c r="B56" s="10"/>
      <c r="C56" s="10"/>
      <c r="D56" s="11"/>
      <c r="E56" s="10"/>
    </row>
    <row r="57" customFormat="false" ht="15" hidden="false" customHeight="true" outlineLevel="0" collapsed="false">
      <c r="A57" s="10"/>
      <c r="B57" s="10"/>
      <c r="C57" s="10"/>
      <c r="D57" s="11"/>
      <c r="E57" s="10"/>
    </row>
    <row r="58" customFormat="false" ht="15" hidden="false" customHeight="true" outlineLevel="0" collapsed="false">
      <c r="A58" s="10"/>
      <c r="B58" s="10"/>
      <c r="C58" s="10"/>
      <c r="D58" s="11"/>
      <c r="E58" s="10"/>
    </row>
    <row r="59" customFormat="false" ht="15" hidden="false" customHeight="true" outlineLevel="0" collapsed="false">
      <c r="A59" s="10"/>
      <c r="B59" s="10"/>
      <c r="C59" s="10"/>
      <c r="D59" s="11"/>
      <c r="E59" s="10"/>
    </row>
    <row r="60" customFormat="false" ht="15" hidden="false" customHeight="true" outlineLevel="0" collapsed="false">
      <c r="A60" s="10"/>
      <c r="B60" s="10"/>
      <c r="C60" s="10"/>
      <c r="D60" s="11"/>
      <c r="E60" s="10"/>
    </row>
    <row r="61" customFormat="false" ht="15" hidden="false" customHeight="true" outlineLevel="0" collapsed="false">
      <c r="A61" s="10"/>
      <c r="B61" s="10"/>
      <c r="C61" s="10"/>
      <c r="D61" s="11"/>
      <c r="E61" s="10"/>
    </row>
    <row r="62" customFormat="false" ht="15" hidden="false" customHeight="true" outlineLevel="0" collapsed="false">
      <c r="A62" s="10"/>
      <c r="B62" s="10"/>
      <c r="C62" s="10"/>
      <c r="D62" s="11"/>
      <c r="E62" s="10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24"/>
  </cols>
  <sheetData>
    <row r="1" customFormat="false" ht="25.5" hidden="false" customHeight="true" outlineLevel="0" collapsed="false">
      <c r="A1" s="2" t="s">
        <v>51</v>
      </c>
      <c r="B1" s="2"/>
      <c r="C1" s="2"/>
      <c r="D1" s="2"/>
      <c r="E1" s="2"/>
    </row>
    <row r="2" customFormat="false" ht="15" hidden="false" customHeight="true" outlineLevel="0" collapsed="false">
      <c r="A2" s="9" t="s">
        <v>52</v>
      </c>
      <c r="B2" s="9" t="s">
        <v>53</v>
      </c>
      <c r="C2" s="9" t="s">
        <v>54</v>
      </c>
      <c r="D2" s="9" t="s">
        <v>55</v>
      </c>
      <c r="E2" s="9" t="s">
        <v>46</v>
      </c>
    </row>
    <row r="3" customFormat="false" ht="15" hidden="false" customHeight="true" outlineLevel="0" collapsed="false">
      <c r="A3" s="10" t="s">
        <v>56</v>
      </c>
      <c r="B3" s="12" t="s">
        <v>57</v>
      </c>
      <c r="C3" s="10" t="s">
        <v>58</v>
      </c>
      <c r="D3" s="13" t="n">
        <v>850000</v>
      </c>
      <c r="E3" s="10" t="s">
        <v>59</v>
      </c>
    </row>
    <row r="4" customFormat="false" ht="15" hidden="false" customHeight="true" outlineLevel="0" collapsed="false">
      <c r="A4" s="10" t="s">
        <v>60</v>
      </c>
      <c r="B4" s="12" t="s">
        <v>61</v>
      </c>
      <c r="C4" s="12" t="s">
        <v>62</v>
      </c>
      <c r="D4" s="13" t="n">
        <v>42000</v>
      </c>
      <c r="E4" s="10"/>
    </row>
    <row r="5" customFormat="false" ht="15" hidden="false" customHeight="true" outlineLevel="0" collapsed="false">
      <c r="A5" s="10" t="s">
        <v>63</v>
      </c>
      <c r="B5" s="12" t="s">
        <v>64</v>
      </c>
      <c r="C5" s="12" t="s">
        <v>65</v>
      </c>
      <c r="D5" s="13" t="n">
        <v>18000</v>
      </c>
      <c r="E5" s="10"/>
    </row>
    <row r="6" customFormat="false" ht="15" hidden="false" customHeight="true" outlineLevel="0" collapsed="false">
      <c r="A6" s="10"/>
      <c r="B6" s="10"/>
      <c r="C6" s="10"/>
      <c r="D6" s="13"/>
      <c r="E6" s="10"/>
    </row>
    <row r="7" customFormat="false" ht="15" hidden="false" customHeight="true" outlineLevel="0" collapsed="false">
      <c r="A7" s="10"/>
      <c r="B7" s="10"/>
      <c r="C7" s="10"/>
      <c r="D7" s="13"/>
      <c r="E7" s="10"/>
    </row>
    <row r="8" customFormat="false" ht="15" hidden="false" customHeight="true" outlineLevel="0" collapsed="false">
      <c r="A8" s="10"/>
      <c r="B8" s="10"/>
      <c r="C8" s="10"/>
      <c r="D8" s="13"/>
      <c r="E8" s="10"/>
    </row>
    <row r="9" customFormat="false" ht="15" hidden="false" customHeight="true" outlineLevel="0" collapsed="false">
      <c r="A9" s="10"/>
      <c r="B9" s="10"/>
      <c r="C9" s="10"/>
      <c r="D9" s="13"/>
      <c r="E9" s="10"/>
    </row>
    <row r="10" customFormat="false" ht="15" hidden="false" customHeight="true" outlineLevel="0" collapsed="false">
      <c r="A10" s="10"/>
      <c r="B10" s="10"/>
      <c r="C10" s="10"/>
      <c r="D10" s="13"/>
      <c r="E10" s="10"/>
    </row>
    <row r="11" customFormat="false" ht="15" hidden="false" customHeight="true" outlineLevel="0" collapsed="false">
      <c r="A11" s="10"/>
      <c r="B11" s="10"/>
      <c r="C11" s="10"/>
      <c r="D11" s="13"/>
      <c r="E11" s="10"/>
    </row>
    <row r="12" customFormat="false" ht="15" hidden="false" customHeight="true" outlineLevel="0" collapsed="false">
      <c r="A12" s="10"/>
      <c r="B12" s="10"/>
      <c r="C12" s="10"/>
      <c r="D12" s="13"/>
      <c r="E12" s="10"/>
    </row>
    <row r="13" customFormat="false" ht="15" hidden="false" customHeight="true" outlineLevel="0" collapsed="false">
      <c r="A13" s="10"/>
      <c r="B13" s="10"/>
      <c r="C13" s="10"/>
      <c r="D13" s="13"/>
      <c r="E13" s="10"/>
    </row>
    <row r="14" customFormat="false" ht="15" hidden="false" customHeight="true" outlineLevel="0" collapsed="false">
      <c r="A14" s="10"/>
      <c r="B14" s="10"/>
      <c r="C14" s="10"/>
      <c r="D14" s="13"/>
      <c r="E14" s="10"/>
    </row>
    <row r="15" customFormat="false" ht="15" hidden="false" customHeight="true" outlineLevel="0" collapsed="false">
      <c r="A15" s="10"/>
      <c r="B15" s="10"/>
      <c r="C15" s="10"/>
      <c r="D15" s="13"/>
      <c r="E15" s="10"/>
    </row>
    <row r="16" customFormat="false" ht="15" hidden="false" customHeight="true" outlineLevel="0" collapsed="false">
      <c r="A16" s="10"/>
      <c r="B16" s="10"/>
      <c r="C16" s="10"/>
      <c r="D16" s="13"/>
      <c r="E16" s="10"/>
    </row>
    <row r="17" customFormat="false" ht="15" hidden="false" customHeight="true" outlineLevel="0" collapsed="false">
      <c r="A17" s="10"/>
      <c r="B17" s="10"/>
      <c r="C17" s="10"/>
      <c r="D17" s="13"/>
      <c r="E17" s="10"/>
    </row>
    <row r="18" customFormat="false" ht="15" hidden="false" customHeight="true" outlineLevel="0" collapsed="false">
      <c r="A18" s="10"/>
      <c r="B18" s="10"/>
      <c r="C18" s="10"/>
      <c r="D18" s="13"/>
      <c r="E18" s="10"/>
    </row>
    <row r="19" customFormat="false" ht="15" hidden="false" customHeight="true" outlineLevel="0" collapsed="false">
      <c r="A19" s="10"/>
      <c r="B19" s="10"/>
      <c r="C19" s="10"/>
      <c r="D19" s="13"/>
      <c r="E19" s="10"/>
    </row>
    <row r="20" customFormat="false" ht="15" hidden="false" customHeight="true" outlineLevel="0" collapsed="false">
      <c r="A20" s="10"/>
      <c r="B20" s="10"/>
      <c r="C20" s="10"/>
      <c r="D20" s="13"/>
      <c r="E20" s="10"/>
    </row>
    <row r="21" customFormat="false" ht="15" hidden="false" customHeight="true" outlineLevel="0" collapsed="false">
      <c r="A21" s="10"/>
      <c r="B21" s="10"/>
      <c r="C21" s="10"/>
      <c r="D21" s="13"/>
      <c r="E21" s="10"/>
    </row>
    <row r="22" customFormat="false" ht="15" hidden="false" customHeight="true" outlineLevel="0" collapsed="false">
      <c r="A22" s="10"/>
      <c r="B22" s="10"/>
      <c r="C22" s="10"/>
      <c r="D22" s="13"/>
      <c r="E22" s="10"/>
    </row>
    <row r="23" customFormat="false" ht="15" hidden="false" customHeight="true" outlineLevel="0" collapsed="false">
      <c r="A23" s="10"/>
      <c r="B23" s="10"/>
      <c r="C23" s="10"/>
      <c r="D23" s="13"/>
      <c r="E23" s="10"/>
    </row>
    <row r="24" customFormat="false" ht="15" hidden="false" customHeight="true" outlineLevel="0" collapsed="false">
      <c r="A24" s="10"/>
      <c r="B24" s="10"/>
      <c r="C24" s="10"/>
      <c r="D24" s="13"/>
      <c r="E24" s="10"/>
    </row>
    <row r="25" customFormat="false" ht="15" hidden="false" customHeight="true" outlineLevel="0" collapsed="false">
      <c r="A25" s="10"/>
      <c r="B25" s="10"/>
      <c r="C25" s="10"/>
      <c r="D25" s="13"/>
      <c r="E25" s="10"/>
    </row>
    <row r="26" customFormat="false" ht="15" hidden="false" customHeight="true" outlineLevel="0" collapsed="false">
      <c r="A26" s="10"/>
      <c r="B26" s="10"/>
      <c r="C26" s="10"/>
      <c r="D26" s="13"/>
      <c r="E26" s="10"/>
    </row>
    <row r="27" customFormat="false" ht="15" hidden="false" customHeight="true" outlineLevel="0" collapsed="false">
      <c r="A27" s="10"/>
      <c r="B27" s="10"/>
      <c r="C27" s="10"/>
      <c r="D27" s="13"/>
      <c r="E27" s="10"/>
    </row>
    <row r="28" customFormat="false" ht="15" hidden="false" customHeight="true" outlineLevel="0" collapsed="false">
      <c r="A28" s="10"/>
      <c r="B28" s="10"/>
      <c r="C28" s="10"/>
      <c r="D28" s="13"/>
      <c r="E28" s="10"/>
    </row>
    <row r="29" customFormat="false" ht="15" hidden="false" customHeight="true" outlineLevel="0" collapsed="false">
      <c r="A29" s="10"/>
      <c r="B29" s="10"/>
      <c r="C29" s="10"/>
      <c r="D29" s="13"/>
      <c r="E29" s="10"/>
    </row>
    <row r="30" customFormat="false" ht="15" hidden="false" customHeight="true" outlineLevel="0" collapsed="false">
      <c r="A30" s="10"/>
      <c r="B30" s="10"/>
      <c r="C30" s="10"/>
      <c r="D30" s="13"/>
      <c r="E30" s="10"/>
    </row>
    <row r="31" customFormat="false" ht="15" hidden="false" customHeight="true" outlineLevel="0" collapsed="false">
      <c r="A31" s="10"/>
      <c r="B31" s="10"/>
      <c r="C31" s="10"/>
      <c r="D31" s="13"/>
      <c r="E31" s="10"/>
    </row>
    <row r="32" customFormat="false" ht="15" hidden="false" customHeight="true" outlineLevel="0" collapsed="false">
      <c r="A32" s="10"/>
      <c r="B32" s="10"/>
      <c r="C32" s="10"/>
      <c r="D32" s="13"/>
      <c r="E32" s="10"/>
    </row>
    <row r="33" customFormat="false" ht="15" hidden="false" customHeight="true" outlineLevel="0" collapsed="false">
      <c r="A33" s="10"/>
      <c r="B33" s="10"/>
      <c r="C33" s="10"/>
      <c r="D33" s="13"/>
      <c r="E33" s="10"/>
    </row>
    <row r="34" customFormat="false" ht="15" hidden="false" customHeight="true" outlineLevel="0" collapsed="false">
      <c r="A34" s="10"/>
      <c r="B34" s="10"/>
      <c r="C34" s="10"/>
      <c r="D34" s="13"/>
      <c r="E34" s="10"/>
    </row>
    <row r="35" customFormat="false" ht="15" hidden="false" customHeight="true" outlineLevel="0" collapsed="false">
      <c r="A35" s="10"/>
      <c r="B35" s="10"/>
      <c r="C35" s="10"/>
      <c r="D35" s="13"/>
      <c r="E35" s="10"/>
    </row>
    <row r="36" customFormat="false" ht="15" hidden="false" customHeight="true" outlineLevel="0" collapsed="false">
      <c r="A36" s="10"/>
      <c r="B36" s="10"/>
      <c r="C36" s="10"/>
      <c r="D36" s="13"/>
      <c r="E36" s="10"/>
    </row>
    <row r="37" customFormat="false" ht="15" hidden="false" customHeight="true" outlineLevel="0" collapsed="false">
      <c r="A37" s="10"/>
      <c r="B37" s="10"/>
      <c r="C37" s="10"/>
      <c r="D37" s="13"/>
      <c r="E37" s="10"/>
    </row>
    <row r="38" customFormat="false" ht="15" hidden="false" customHeight="true" outlineLevel="0" collapsed="false">
      <c r="A38" s="10"/>
      <c r="B38" s="10"/>
      <c r="C38" s="10"/>
      <c r="D38" s="13"/>
      <c r="E38" s="10"/>
    </row>
    <row r="39" customFormat="false" ht="15" hidden="false" customHeight="true" outlineLevel="0" collapsed="false">
      <c r="A39" s="10"/>
      <c r="B39" s="10"/>
      <c r="C39" s="10"/>
      <c r="D39" s="13"/>
      <c r="E39" s="10"/>
    </row>
    <row r="40" customFormat="false" ht="15" hidden="false" customHeight="true" outlineLevel="0" collapsed="false">
      <c r="A40" s="10"/>
      <c r="B40" s="10"/>
      <c r="C40" s="10"/>
      <c r="D40" s="13"/>
      <c r="E40" s="10"/>
    </row>
    <row r="41" customFormat="false" ht="15" hidden="false" customHeight="true" outlineLevel="0" collapsed="false">
      <c r="A41" s="10"/>
      <c r="B41" s="10"/>
      <c r="C41" s="10"/>
      <c r="D41" s="13"/>
      <c r="E41" s="10"/>
    </row>
    <row r="42" customFormat="false" ht="15" hidden="false" customHeight="true" outlineLevel="0" collapsed="false">
      <c r="A42" s="10"/>
      <c r="B42" s="10"/>
      <c r="C42" s="10"/>
      <c r="D42" s="13"/>
      <c r="E42" s="10"/>
    </row>
    <row r="43" customFormat="false" ht="15" hidden="false" customHeight="true" outlineLevel="0" collapsed="false">
      <c r="A43" s="10"/>
      <c r="B43" s="10"/>
      <c r="C43" s="10"/>
      <c r="D43" s="13"/>
      <c r="E43" s="10"/>
    </row>
    <row r="44" customFormat="false" ht="15" hidden="false" customHeight="true" outlineLevel="0" collapsed="false">
      <c r="A44" s="10"/>
      <c r="B44" s="10"/>
      <c r="C44" s="10"/>
      <c r="D44" s="13"/>
      <c r="E44" s="10"/>
    </row>
    <row r="45" customFormat="false" ht="15" hidden="false" customHeight="true" outlineLevel="0" collapsed="false">
      <c r="A45" s="10"/>
      <c r="B45" s="10"/>
      <c r="C45" s="10"/>
      <c r="D45" s="13"/>
      <c r="E45" s="10"/>
    </row>
    <row r="46" customFormat="false" ht="15" hidden="false" customHeight="true" outlineLevel="0" collapsed="false">
      <c r="A46" s="10"/>
      <c r="B46" s="10"/>
      <c r="C46" s="10"/>
      <c r="D46" s="13"/>
      <c r="E46" s="10"/>
    </row>
    <row r="47" customFormat="false" ht="15" hidden="false" customHeight="true" outlineLevel="0" collapsed="false">
      <c r="A47" s="10"/>
      <c r="B47" s="10"/>
      <c r="C47" s="10"/>
      <c r="D47" s="13"/>
      <c r="E47" s="10"/>
    </row>
    <row r="48" customFormat="false" ht="15" hidden="false" customHeight="true" outlineLevel="0" collapsed="false">
      <c r="A48" s="10"/>
      <c r="B48" s="10"/>
      <c r="C48" s="10"/>
      <c r="D48" s="13"/>
      <c r="E48" s="10"/>
    </row>
    <row r="49" customFormat="false" ht="15" hidden="false" customHeight="true" outlineLevel="0" collapsed="false">
      <c r="A49" s="10"/>
      <c r="B49" s="10"/>
      <c r="C49" s="10"/>
      <c r="D49" s="13"/>
      <c r="E49" s="10"/>
    </row>
    <row r="50" customFormat="false" ht="15" hidden="false" customHeight="true" outlineLevel="0" collapsed="false">
      <c r="A50" s="10"/>
      <c r="B50" s="10"/>
      <c r="C50" s="10"/>
      <c r="D50" s="13"/>
      <c r="E50" s="10"/>
    </row>
    <row r="51" customFormat="false" ht="15" hidden="false" customHeight="true" outlineLevel="0" collapsed="false">
      <c r="A51" s="10"/>
      <c r="B51" s="10"/>
      <c r="C51" s="10"/>
      <c r="D51" s="13"/>
      <c r="E51" s="10"/>
    </row>
    <row r="52" customFormat="false" ht="15" hidden="false" customHeight="true" outlineLevel="0" collapsed="false">
      <c r="A52" s="10"/>
      <c r="B52" s="10"/>
      <c r="C52" s="10"/>
      <c r="D52" s="13"/>
      <c r="E52" s="10"/>
    </row>
    <row r="53" customFormat="false" ht="15" hidden="false" customHeight="true" outlineLevel="0" collapsed="false">
      <c r="A53" s="10"/>
      <c r="B53" s="10"/>
      <c r="C53" s="10"/>
      <c r="D53" s="13"/>
      <c r="E53" s="10"/>
    </row>
    <row r="54" customFormat="false" ht="15" hidden="false" customHeight="true" outlineLevel="0" collapsed="false">
      <c r="A54" s="10"/>
      <c r="B54" s="10"/>
      <c r="C54" s="10"/>
      <c r="D54" s="13"/>
      <c r="E54" s="10"/>
    </row>
    <row r="55" customFormat="false" ht="15" hidden="false" customHeight="true" outlineLevel="0" collapsed="false">
      <c r="A55" s="10"/>
      <c r="B55" s="10"/>
      <c r="C55" s="10"/>
      <c r="D55" s="13"/>
      <c r="E55" s="10"/>
    </row>
    <row r="56" customFormat="false" ht="15" hidden="false" customHeight="true" outlineLevel="0" collapsed="false">
      <c r="A56" s="10"/>
      <c r="B56" s="10"/>
      <c r="C56" s="10"/>
      <c r="D56" s="13"/>
      <c r="E56" s="10"/>
    </row>
    <row r="57" customFormat="false" ht="15" hidden="false" customHeight="true" outlineLevel="0" collapsed="false">
      <c r="A57" s="10"/>
      <c r="B57" s="10"/>
      <c r="C57" s="10"/>
      <c r="D57" s="13"/>
      <c r="E57" s="10"/>
    </row>
    <row r="58" customFormat="false" ht="15" hidden="false" customHeight="true" outlineLevel="0" collapsed="false">
      <c r="A58" s="10"/>
      <c r="B58" s="10"/>
      <c r="C58" s="10"/>
      <c r="D58" s="13"/>
      <c r="E58" s="10"/>
    </row>
    <row r="59" customFormat="false" ht="15" hidden="false" customHeight="true" outlineLevel="0" collapsed="false">
      <c r="A59" s="10"/>
      <c r="B59" s="10"/>
      <c r="C59" s="10"/>
      <c r="D59" s="13"/>
      <c r="E59" s="10"/>
    </row>
    <row r="60" customFormat="false" ht="15" hidden="false" customHeight="true" outlineLevel="0" collapsed="false">
      <c r="A60" s="10"/>
      <c r="B60" s="10"/>
      <c r="C60" s="10"/>
      <c r="D60" s="13"/>
      <c r="E60" s="10"/>
    </row>
    <row r="61" customFormat="false" ht="15" hidden="false" customHeight="true" outlineLevel="0" collapsed="false">
      <c r="A61" s="10"/>
      <c r="B61" s="10"/>
      <c r="C61" s="10"/>
      <c r="D61" s="13"/>
      <c r="E61" s="10"/>
    </row>
    <row r="62" customFormat="false" ht="15" hidden="false" customHeight="true" outlineLevel="0" collapsed="false">
      <c r="A62" s="10"/>
      <c r="B62" s="10"/>
      <c r="C62" s="10"/>
      <c r="D62" s="13"/>
      <c r="E62" s="10"/>
    </row>
    <row r="63" customFormat="false" ht="15" hidden="false" customHeight="true" outlineLevel="0" collapsed="false">
      <c r="A63" s="10"/>
      <c r="B63" s="10"/>
      <c r="C63" s="10"/>
      <c r="D63" s="13"/>
      <c r="E63" s="10"/>
    </row>
    <row r="64" customFormat="false" ht="15" hidden="false" customHeight="true" outlineLevel="0" collapsed="false">
      <c r="A64" s="10"/>
      <c r="B64" s="10"/>
      <c r="C64" s="10"/>
      <c r="D64" s="13"/>
      <c r="E64" s="10"/>
    </row>
    <row r="65" customFormat="false" ht="15" hidden="false" customHeight="true" outlineLevel="0" collapsed="false">
      <c r="A65" s="10"/>
      <c r="B65" s="10"/>
      <c r="C65" s="10"/>
      <c r="D65" s="13"/>
      <c r="E65" s="10"/>
    </row>
    <row r="66" customFormat="false" ht="15" hidden="false" customHeight="true" outlineLevel="0" collapsed="false">
      <c r="A66" s="10"/>
      <c r="B66" s="10"/>
      <c r="C66" s="10"/>
      <c r="D66" s="13"/>
      <c r="E66" s="10"/>
    </row>
    <row r="67" customFormat="false" ht="15" hidden="false" customHeight="true" outlineLevel="0" collapsed="false">
      <c r="A67" s="10"/>
      <c r="B67" s="10"/>
      <c r="C67" s="10"/>
      <c r="D67" s="13"/>
      <c r="E67" s="10"/>
    </row>
    <row r="68" customFormat="false" ht="15" hidden="false" customHeight="true" outlineLevel="0" collapsed="false">
      <c r="A68" s="10"/>
      <c r="B68" s="10"/>
      <c r="C68" s="10"/>
      <c r="D68" s="13"/>
      <c r="E68" s="10"/>
    </row>
    <row r="69" customFormat="false" ht="15" hidden="false" customHeight="true" outlineLevel="0" collapsed="false">
      <c r="A69" s="10"/>
      <c r="B69" s="10"/>
      <c r="C69" s="10"/>
      <c r="D69" s="13"/>
      <c r="E69" s="10"/>
    </row>
    <row r="70" customFormat="false" ht="15" hidden="false" customHeight="true" outlineLevel="0" collapsed="false">
      <c r="A70" s="10"/>
      <c r="B70" s="10"/>
      <c r="C70" s="10"/>
      <c r="D70" s="13"/>
      <c r="E70" s="10"/>
    </row>
    <row r="71" customFormat="false" ht="15" hidden="false" customHeight="true" outlineLevel="0" collapsed="false">
      <c r="A71" s="10"/>
      <c r="B71" s="10"/>
      <c r="C71" s="10"/>
      <c r="D71" s="13"/>
      <c r="E71" s="10"/>
    </row>
    <row r="72" customFormat="false" ht="15" hidden="false" customHeight="true" outlineLevel="0" collapsed="false">
      <c r="A72" s="10"/>
      <c r="B72" s="10"/>
      <c r="C72" s="10"/>
      <c r="D72" s="13"/>
      <c r="E72" s="10"/>
    </row>
    <row r="73" customFormat="false" ht="15" hidden="false" customHeight="true" outlineLevel="0" collapsed="false">
      <c r="A73" s="10"/>
      <c r="B73" s="10"/>
      <c r="C73" s="10"/>
      <c r="D73" s="13"/>
      <c r="E73" s="10"/>
    </row>
    <row r="74" customFormat="false" ht="15" hidden="false" customHeight="true" outlineLevel="0" collapsed="false">
      <c r="A74" s="10"/>
      <c r="B74" s="10"/>
      <c r="C74" s="10"/>
      <c r="D74" s="13"/>
      <c r="E74" s="10"/>
    </row>
    <row r="75" customFormat="false" ht="15" hidden="false" customHeight="true" outlineLevel="0" collapsed="false">
      <c r="A75" s="10"/>
      <c r="B75" s="10"/>
      <c r="C75" s="10"/>
      <c r="D75" s="13"/>
      <c r="E75" s="10"/>
    </row>
    <row r="76" customFormat="false" ht="15" hidden="false" customHeight="true" outlineLevel="0" collapsed="false">
      <c r="A76" s="10"/>
      <c r="B76" s="10"/>
      <c r="C76" s="10"/>
      <c r="D76" s="13"/>
      <c r="E76" s="10"/>
    </row>
    <row r="77" customFormat="false" ht="15" hidden="false" customHeight="true" outlineLevel="0" collapsed="false">
      <c r="A77" s="10"/>
      <c r="B77" s="10"/>
      <c r="C77" s="10"/>
      <c r="D77" s="13"/>
      <c r="E77" s="10"/>
    </row>
    <row r="78" customFormat="false" ht="15" hidden="false" customHeight="true" outlineLevel="0" collapsed="false">
      <c r="A78" s="10"/>
      <c r="B78" s="10"/>
      <c r="C78" s="10"/>
      <c r="D78" s="13"/>
      <c r="E78" s="10"/>
    </row>
    <row r="79" customFormat="false" ht="15" hidden="false" customHeight="true" outlineLevel="0" collapsed="false">
      <c r="A79" s="10"/>
      <c r="B79" s="10"/>
      <c r="C79" s="10"/>
      <c r="D79" s="13"/>
      <c r="E79" s="10"/>
    </row>
    <row r="80" customFormat="false" ht="15" hidden="false" customHeight="true" outlineLevel="0" collapsed="false">
      <c r="A80" s="10"/>
      <c r="B80" s="10"/>
      <c r="C80" s="10"/>
      <c r="D80" s="13"/>
      <c r="E80" s="10"/>
    </row>
    <row r="81" customFormat="false" ht="15" hidden="false" customHeight="true" outlineLevel="0" collapsed="false">
      <c r="A81" s="10"/>
      <c r="B81" s="10"/>
      <c r="C81" s="10"/>
      <c r="D81" s="13"/>
      <c r="E81" s="10"/>
    </row>
    <row r="82" customFormat="false" ht="15" hidden="false" customHeight="true" outlineLevel="0" collapsed="false">
      <c r="A82" s="10"/>
      <c r="B82" s="10"/>
      <c r="C82" s="10"/>
      <c r="D82" s="13"/>
      <c r="E82" s="10"/>
    </row>
    <row r="83" customFormat="false" ht="15" hidden="false" customHeight="true" outlineLevel="0" collapsed="false">
      <c r="A83" s="10"/>
      <c r="B83" s="10"/>
      <c r="C83" s="10"/>
      <c r="D83" s="13"/>
      <c r="E83" s="10"/>
    </row>
    <row r="84" customFormat="false" ht="15" hidden="false" customHeight="true" outlineLevel="0" collapsed="false">
      <c r="A84" s="10"/>
      <c r="B84" s="10"/>
      <c r="C84" s="10"/>
      <c r="D84" s="13"/>
      <c r="E84" s="10"/>
    </row>
    <row r="85" customFormat="false" ht="15" hidden="false" customHeight="true" outlineLevel="0" collapsed="false">
      <c r="A85" s="10"/>
      <c r="B85" s="10"/>
      <c r="C85" s="10"/>
      <c r="D85" s="13"/>
      <c r="E85" s="10"/>
    </row>
    <row r="86" customFormat="false" ht="15" hidden="false" customHeight="true" outlineLevel="0" collapsed="false">
      <c r="A86" s="10"/>
      <c r="B86" s="10"/>
      <c r="C86" s="10"/>
      <c r="D86" s="13"/>
      <c r="E86" s="10"/>
    </row>
    <row r="87" customFormat="false" ht="15" hidden="false" customHeight="true" outlineLevel="0" collapsed="false">
      <c r="A87" s="10"/>
      <c r="B87" s="10"/>
      <c r="C87" s="10"/>
      <c r="D87" s="13"/>
      <c r="E87" s="10"/>
    </row>
    <row r="88" customFormat="false" ht="15" hidden="false" customHeight="true" outlineLevel="0" collapsed="false">
      <c r="A88" s="10"/>
      <c r="B88" s="10"/>
      <c r="C88" s="10"/>
      <c r="D88" s="13"/>
      <c r="E88" s="10"/>
    </row>
    <row r="89" customFormat="false" ht="15" hidden="false" customHeight="true" outlineLevel="0" collapsed="false">
      <c r="A89" s="10"/>
      <c r="B89" s="10"/>
      <c r="C89" s="10"/>
      <c r="D89" s="13"/>
      <c r="E89" s="10"/>
    </row>
    <row r="90" customFormat="false" ht="15" hidden="false" customHeight="true" outlineLevel="0" collapsed="false">
      <c r="A90" s="10"/>
      <c r="B90" s="10"/>
      <c r="C90" s="10"/>
      <c r="D90" s="13"/>
      <c r="E90" s="10"/>
    </row>
    <row r="91" customFormat="false" ht="15" hidden="false" customHeight="true" outlineLevel="0" collapsed="false">
      <c r="A91" s="10"/>
      <c r="B91" s="10"/>
      <c r="C91" s="10"/>
      <c r="D91" s="13"/>
      <c r="E91" s="10"/>
    </row>
    <row r="92" customFormat="false" ht="15" hidden="false" customHeight="true" outlineLevel="0" collapsed="false">
      <c r="A92" s="10"/>
      <c r="B92" s="10"/>
      <c r="C92" s="10"/>
      <c r="D92" s="13"/>
      <c r="E92" s="10"/>
    </row>
    <row r="93" customFormat="false" ht="15" hidden="false" customHeight="true" outlineLevel="0" collapsed="false">
      <c r="A93" s="10"/>
      <c r="B93" s="10"/>
      <c r="C93" s="10"/>
      <c r="D93" s="13"/>
      <c r="E93" s="10"/>
    </row>
    <row r="94" customFormat="false" ht="15" hidden="false" customHeight="true" outlineLevel="0" collapsed="false">
      <c r="A94" s="10"/>
      <c r="B94" s="10"/>
      <c r="C94" s="10"/>
      <c r="D94" s="13"/>
      <c r="E94" s="10"/>
    </row>
    <row r="95" customFormat="false" ht="15" hidden="false" customHeight="true" outlineLevel="0" collapsed="false">
      <c r="A95" s="10"/>
      <c r="B95" s="10"/>
      <c r="C95" s="10"/>
      <c r="D95" s="13"/>
      <c r="E95" s="10"/>
    </row>
    <row r="96" customFormat="false" ht="15" hidden="false" customHeight="true" outlineLevel="0" collapsed="false">
      <c r="A96" s="10"/>
      <c r="B96" s="10"/>
      <c r="C96" s="10"/>
      <c r="D96" s="13"/>
      <c r="E96" s="10"/>
    </row>
    <row r="97" customFormat="false" ht="15" hidden="false" customHeight="true" outlineLevel="0" collapsed="false">
      <c r="A97" s="10"/>
      <c r="B97" s="10"/>
      <c r="C97" s="10"/>
      <c r="D97" s="13"/>
      <c r="E97" s="10"/>
    </row>
    <row r="98" customFormat="false" ht="15" hidden="false" customHeight="true" outlineLevel="0" collapsed="false">
      <c r="A98" s="10"/>
      <c r="B98" s="10"/>
      <c r="C98" s="10"/>
      <c r="D98" s="13"/>
      <c r="E98" s="10"/>
    </row>
    <row r="99" customFormat="false" ht="15" hidden="false" customHeight="true" outlineLevel="0" collapsed="false">
      <c r="A99" s="10"/>
      <c r="B99" s="10"/>
      <c r="C99" s="10"/>
      <c r="D99" s="13"/>
      <c r="E99" s="10"/>
    </row>
    <row r="100" customFormat="false" ht="15" hidden="false" customHeight="true" outlineLevel="0" collapsed="false">
      <c r="A100" s="10"/>
      <c r="B100" s="10"/>
      <c r="C100" s="10"/>
      <c r="D100" s="13"/>
      <c r="E100" s="10"/>
    </row>
    <row r="101" customFormat="false" ht="15" hidden="false" customHeight="true" outlineLevel="0" collapsed="false">
      <c r="A101" s="10"/>
      <c r="B101" s="10"/>
      <c r="C101" s="10"/>
      <c r="D101" s="13"/>
      <c r="E101" s="10"/>
    </row>
    <row r="102" customFormat="false" ht="15" hidden="false" customHeight="true" outlineLevel="0" collapsed="false">
      <c r="A102" s="10"/>
      <c r="B102" s="10"/>
      <c r="C102" s="10"/>
      <c r="D102" s="13"/>
      <c r="E102" s="10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9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9" min="9" style="1" width="16"/>
    <col collapsed="false" customWidth="true" hidden="false" outlineLevel="0" max="10" min="10" style="1" width="18"/>
    <col collapsed="false" customWidth="true" hidden="false" outlineLevel="0" max="11" min="11" style="1" width="16"/>
    <col collapsed="false" customWidth="true" hidden="false" outlineLevel="0" max="12" min="12" style="1" width="24"/>
  </cols>
  <sheetData>
    <row r="1" customFormat="false" ht="25.5" hidden="false" customHeight="true" outlineLevel="0" collapsed="false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9" t="s">
        <v>42</v>
      </c>
      <c r="B2" s="9" t="s">
        <v>52</v>
      </c>
      <c r="C2" s="14" t="s">
        <v>67</v>
      </c>
      <c r="D2" s="14" t="s">
        <v>68</v>
      </c>
      <c r="E2" s="9" t="s">
        <v>69</v>
      </c>
      <c r="F2" s="9" t="s">
        <v>70</v>
      </c>
      <c r="G2" s="14" t="s">
        <v>71</v>
      </c>
      <c r="H2" s="9" t="s">
        <v>72</v>
      </c>
      <c r="I2" s="14" t="s">
        <v>73</v>
      </c>
      <c r="J2" s="9" t="s">
        <v>46</v>
      </c>
      <c r="K2" s="14" t="s">
        <v>74</v>
      </c>
      <c r="L2" s="14" t="s">
        <v>75</v>
      </c>
    </row>
    <row r="3" customFormat="false" ht="15" hidden="false" customHeight="true" outlineLevel="0" collapsed="false">
      <c r="A3" s="12" t="inlineStr">
        <is>
          <t>○○아파트 지하주차장</t>
        </is>
      </c>
      <c r="B3" s="12" t="inlineStr">
        <is>
          <t>주차장 환기휀</t>
        </is>
      </c>
      <c r="C3" s="15" t="str">
        <f aca="false">IF($B3="","",IFERROR(INDEX(품목마스터!$B$3:$B$102,MATCH($B3,품목마스터!$A$3:$A$102,0)),""))</f>
        <v>SF-500 / 1HP</v>
      </c>
      <c r="D3" s="15" t="str">
        <f aca="false">IF($B3="","",IFERROR(INDEX(품목마스터!$C$3:$C$102,MATCH($B3,품목마스터!$A$3:$A$102,0)),""))</f>
        <v>대</v>
      </c>
      <c r="E3" s="13" t="n">
        <f aca="false">IF($B3="","",IFERROR(INDEX(품목마스터!$D$3:$D$102,MATCH($B3,품목마스터!$A$3:$A$102,0)),0))</f>
        <v>850000</v>
      </c>
      <c r="F3" s="10" t="n">
        <v>4</v>
      </c>
      <c r="G3" s="16" t="n">
        <f aca="false">IF(OR($E3="",$F3=""),"",ROUND($E3*$F3,0))</f>
        <v>3400000</v>
      </c>
      <c r="H3" s="17" t="n">
        <v>60</v>
      </c>
      <c r="I3" s="16" t="n">
        <f aca="false">IF($G3="","",ROUND($G3*IF($H3="",0,$H3)/100,0))</f>
        <v>2040000</v>
      </c>
      <c r="J3" s="10" t="inlineStr">
        <is>
          <t>← 예시 행입니다. 지우고 쓰세요.</t>
        </is>
      </c>
      <c r="K3" s="15" t="n">
        <f aca="false">IF($A3="","",COUNTIFS($A$3:$A3,$A3))</f>
        <v>1</v>
      </c>
      <c r="L3" s="15" t="str">
        <f aca="false">IF($A3="","",$A3&amp;"|"&amp;$K3)</f>
        <v>○○아파트 지하주차장|1</v>
      </c>
    </row>
    <row r="4" customFormat="false" ht="15" hidden="false" customHeight="true" outlineLevel="0" collapsed="false">
      <c r="A4" s="12" t="inlineStr">
        <is>
          <t>○○아파트 지하주차장</t>
        </is>
      </c>
      <c r="B4" s="12" t="inlineStr">
        <is>
          <t>급기 덕트</t>
        </is>
      </c>
      <c r="C4" s="15" t="str">
        <f aca="false">IF($B4="","",IFERROR(INDEX(품목마스터!$B$3:$B$102,MATCH($B4,품목마스터!$A$3:$A$102,0)),""))</f>
        <v>SPCC 0.6T</v>
      </c>
      <c r="D4" s="15" t="str">
        <f aca="false">IF($B4="","",IFERROR(INDEX(품목마스터!$C$3:$C$102,MATCH($B4,품목마스터!$A$3:$A$102,0)),""))</f>
        <v>M</v>
      </c>
      <c r="E4" s="13" t="n">
        <f aca="false">IF($B4="","",IFERROR(INDEX(품목마스터!$D$3:$D$102,MATCH($B4,품목마스터!$A$3:$A$102,0)),0))</f>
        <v>42000</v>
      </c>
      <c r="F4" s="10" t="n">
        <v>120</v>
      </c>
      <c r="G4" s="16" t="n">
        <f aca="false">IF(OR($E4="",$F4=""),"",ROUND($E4*$F4,0))</f>
        <v>5040000</v>
      </c>
      <c r="H4" s="17" t="n">
        <v>60</v>
      </c>
      <c r="I4" s="16" t="n">
        <f aca="false">IF($G4="","",ROUND($G4*IF($H4="",0,$H4)/100,0))</f>
        <v>3024000</v>
      </c>
      <c r="J4" s="10"/>
      <c r="K4" s="15" t="n">
        <f aca="false">IF($A4="","",COUNTIFS($A$3:$A4,$A4))</f>
        <v>2</v>
      </c>
      <c r="L4" s="15" t="str">
        <f aca="false">IF($A4="","",$A4&amp;"|"&amp;$K4)</f>
        <v>○○아파트 지하주차장|2</v>
      </c>
    </row>
    <row r="5" customFormat="false" ht="15" hidden="false" customHeight="true" outlineLevel="0" collapsed="false">
      <c r="A5" s="12" t="inlineStr">
        <is>
          <t>○○아파트 지하주차장</t>
        </is>
      </c>
      <c r="B5" s="12" t="inlineStr">
        <is>
          <t>배기 그릴</t>
        </is>
      </c>
      <c r="C5" s="15" t="str">
        <f aca="false">IF($B5="","",IFERROR(INDEX(품목마스터!$B$3:$B$102,MATCH($B5,품목마스터!$A$3:$A$102,0)),""))</f>
        <v>300x300</v>
      </c>
      <c r="D5" s="15" t="str">
        <f aca="false">IF($B5="","",IFERROR(INDEX(품목마스터!$C$3:$C$102,MATCH($B5,품목마스터!$A$3:$A$102,0)),""))</f>
        <v>EA</v>
      </c>
      <c r="E5" s="13" t="n">
        <f aca="false">IF($B5="","",IFERROR(INDEX(품목마스터!$D$3:$D$102,MATCH($B5,품목마스터!$A$3:$A$102,0)),0))</f>
        <v>18000</v>
      </c>
      <c r="F5" s="10" t="n">
        <v>24</v>
      </c>
      <c r="G5" s="16" t="n">
        <f aca="false">IF(OR($E5="",$F5=""),"",ROUND($E5*$F5,0))</f>
        <v>432000</v>
      </c>
      <c r="H5" s="17" t="n">
        <v>50</v>
      </c>
      <c r="I5" s="16" t="n">
        <f aca="false">IF($G5="","",ROUND($G5*IF($H5="",0,$H5)/100,0))</f>
        <v>216000</v>
      </c>
      <c r="J5" s="10"/>
      <c r="K5" s="15" t="n">
        <f aca="false">IF($A5="","",COUNTIFS($A$3:$A5,$A5))</f>
        <v>3</v>
      </c>
      <c r="L5" s="15" t="str">
        <f aca="false">IF($A5="","",$A5&amp;"|"&amp;$K5)</f>
        <v>○○아파트 지하주차장|3</v>
      </c>
    </row>
    <row r="6" customFormat="false" ht="15" hidden="false" customHeight="true" outlineLevel="0" collapsed="false">
      <c r="A6" s="12"/>
      <c r="B6" s="12"/>
      <c r="C6" s="15" t="str">
        <f aca="false">IF($B6="","",IFERROR(INDEX(품목마스터!$B$3:$B$102,MATCH($B6,품목마스터!$A$3:$A$102,0)),""))</f>
        <v/>
      </c>
      <c r="D6" s="15" t="str">
        <f aca="false">IF($B6="","",IFERROR(INDEX(품목마스터!$C$3:$C$102,MATCH($B6,품목마스터!$A$3:$A$102,0)),""))</f>
        <v/>
      </c>
      <c r="E6" s="13" t="str">
        <f aca="false">IF($B6="","",IFERROR(INDEX(품목마스터!$D$3:$D$102,MATCH($B6,품목마스터!$A$3:$A$102,0)),0))</f>
        <v/>
      </c>
      <c r="F6" s="10"/>
      <c r="G6" s="16" t="str">
        <f aca="false">IF(OR($E6="",$F6=""),"",ROUND($E6*$F6,0))</f>
        <v/>
      </c>
      <c r="H6" s="17"/>
      <c r="I6" s="16" t="str">
        <f aca="false">IF($G6="","",ROUND($G6*IF($H6="",0,$H6)/100,0))</f>
        <v/>
      </c>
      <c r="J6" s="10"/>
      <c r="K6" s="15" t="str">
        <f aca="false">IF($A6="","",COUNTIFS($A$3:$A6,$A6))</f>
        <v/>
      </c>
      <c r="L6" s="15" t="str">
        <f aca="false">IF($A6="","",$A6&amp;"|"&amp;$K6)</f>
        <v/>
      </c>
    </row>
    <row r="7" customFormat="false" ht="15" hidden="false" customHeight="true" outlineLevel="0" collapsed="false">
      <c r="A7" s="12"/>
      <c r="B7" s="12"/>
      <c r="C7" s="15" t="str">
        <f aca="false">IF($B7="","",IFERROR(INDEX(품목마스터!$B$3:$B$102,MATCH($B7,품목마스터!$A$3:$A$102,0)),""))</f>
        <v/>
      </c>
      <c r="D7" s="15" t="str">
        <f aca="false">IF($B7="","",IFERROR(INDEX(품목마스터!$C$3:$C$102,MATCH($B7,품목마스터!$A$3:$A$102,0)),""))</f>
        <v/>
      </c>
      <c r="E7" s="13" t="str">
        <f aca="false">IF($B7="","",IFERROR(INDEX(품목마스터!$D$3:$D$102,MATCH($B7,품목마스터!$A$3:$A$102,0)),0))</f>
        <v/>
      </c>
      <c r="F7" s="10"/>
      <c r="G7" s="16" t="str">
        <f aca="false">IF(OR($E7="",$F7=""),"",ROUND($E7*$F7,0))</f>
        <v/>
      </c>
      <c r="H7" s="17"/>
      <c r="I7" s="16" t="str">
        <f aca="false">IF($G7="","",ROUND($G7*IF($H7="",0,$H7)/100,0))</f>
        <v/>
      </c>
      <c r="J7" s="10"/>
      <c r="K7" s="15" t="str">
        <f aca="false">IF($A7="","",COUNTIFS($A$3:$A7,$A7))</f>
        <v/>
      </c>
      <c r="L7" s="15" t="str">
        <f aca="false">IF($A7="","",$A7&amp;"|"&amp;$K7)</f>
        <v/>
      </c>
    </row>
    <row r="8" customFormat="false" ht="15" hidden="false" customHeight="true" outlineLevel="0" collapsed="false">
      <c r="A8" s="12"/>
      <c r="B8" s="12"/>
      <c r="C8" s="15" t="str">
        <f aca="false">IF($B8="","",IFERROR(INDEX(품목마스터!$B$3:$B$102,MATCH($B8,품목마스터!$A$3:$A$102,0)),""))</f>
        <v/>
      </c>
      <c r="D8" s="15" t="str">
        <f aca="false">IF($B8="","",IFERROR(INDEX(품목마스터!$C$3:$C$102,MATCH($B8,품목마스터!$A$3:$A$102,0)),""))</f>
        <v/>
      </c>
      <c r="E8" s="13" t="str">
        <f aca="false">IF($B8="","",IFERROR(INDEX(품목마스터!$D$3:$D$102,MATCH($B8,품목마스터!$A$3:$A$102,0)),0))</f>
        <v/>
      </c>
      <c r="F8" s="10"/>
      <c r="G8" s="16" t="str">
        <f aca="false">IF(OR($E8="",$F8=""),"",ROUND($E8*$F8,0))</f>
        <v/>
      </c>
      <c r="H8" s="17"/>
      <c r="I8" s="16" t="str">
        <f aca="false">IF($G8="","",ROUND($G8*IF($H8="",0,$H8)/100,0))</f>
        <v/>
      </c>
      <c r="J8" s="10"/>
      <c r="K8" s="15" t="str">
        <f aca="false">IF($A8="","",COUNTIFS($A$3:$A8,$A8))</f>
        <v/>
      </c>
      <c r="L8" s="15" t="str">
        <f aca="false">IF($A8="","",$A8&amp;"|"&amp;$K8)</f>
        <v/>
      </c>
    </row>
    <row r="9" customFormat="false" ht="15" hidden="false" customHeight="true" outlineLevel="0" collapsed="false">
      <c r="A9" s="12"/>
      <c r="B9" s="12"/>
      <c r="C9" s="15" t="str">
        <f aca="false">IF($B9="","",IFERROR(INDEX(품목마스터!$B$3:$B$102,MATCH($B9,품목마스터!$A$3:$A$102,0)),""))</f>
        <v/>
      </c>
      <c r="D9" s="15" t="str">
        <f aca="false">IF($B9="","",IFERROR(INDEX(품목마스터!$C$3:$C$102,MATCH($B9,품목마스터!$A$3:$A$102,0)),""))</f>
        <v/>
      </c>
      <c r="E9" s="13" t="str">
        <f aca="false">IF($B9="","",IFERROR(INDEX(품목마스터!$D$3:$D$102,MATCH($B9,품목마스터!$A$3:$A$102,0)),0))</f>
        <v/>
      </c>
      <c r="F9" s="10"/>
      <c r="G9" s="16" t="str">
        <f aca="false">IF(OR($E9="",$F9=""),"",ROUND($E9*$F9,0))</f>
        <v/>
      </c>
      <c r="H9" s="17"/>
      <c r="I9" s="16" t="str">
        <f aca="false">IF($G9="","",ROUND($G9*IF($H9="",0,$H9)/100,0))</f>
        <v/>
      </c>
      <c r="J9" s="10"/>
      <c r="K9" s="15" t="str">
        <f aca="false">IF($A9="","",COUNTIFS($A$3:$A9,$A9))</f>
        <v/>
      </c>
      <c r="L9" s="15" t="str">
        <f aca="false">IF($A9="","",$A9&amp;"|"&amp;$K9)</f>
        <v/>
      </c>
    </row>
    <row r="10" customFormat="false" ht="15" hidden="false" customHeight="true" outlineLevel="0" collapsed="false">
      <c r="A10" s="12"/>
      <c r="B10" s="12"/>
      <c r="C10" s="15" t="str">
        <f aca="false">IF($B10="","",IFERROR(INDEX(품목마스터!$B$3:$B$102,MATCH($B10,품목마스터!$A$3:$A$102,0)),""))</f>
        <v/>
      </c>
      <c r="D10" s="15" t="str">
        <f aca="false">IF($B10="","",IFERROR(INDEX(품목마스터!$C$3:$C$102,MATCH($B10,품목마스터!$A$3:$A$102,0)),""))</f>
        <v/>
      </c>
      <c r="E10" s="13" t="str">
        <f aca="false">IF($B10="","",IFERROR(INDEX(품목마스터!$D$3:$D$102,MATCH($B10,품목마스터!$A$3:$A$102,0)),0))</f>
        <v/>
      </c>
      <c r="F10" s="10"/>
      <c r="G10" s="16" t="str">
        <f aca="false">IF(OR($E10="",$F10=""),"",ROUND($E10*$F10,0))</f>
        <v/>
      </c>
      <c r="H10" s="17"/>
      <c r="I10" s="16" t="str">
        <f aca="false">IF($G10="","",ROUND($G10*IF($H10="",0,$H10)/100,0))</f>
        <v/>
      </c>
      <c r="J10" s="10"/>
      <c r="K10" s="15" t="str">
        <f aca="false">IF($A10="","",COUNTIFS($A$3:$A10,$A10))</f>
        <v/>
      </c>
      <c r="L10" s="15" t="str">
        <f aca="false">IF($A10="","",$A10&amp;"|"&amp;$K10)</f>
        <v/>
      </c>
    </row>
    <row r="11" customFormat="false" ht="15" hidden="false" customHeight="true" outlineLevel="0" collapsed="false">
      <c r="A11" s="12"/>
      <c r="B11" s="12"/>
      <c r="C11" s="15" t="str">
        <f aca="false">IF($B11="","",IFERROR(INDEX(품목마스터!$B$3:$B$102,MATCH($B11,품목마스터!$A$3:$A$102,0)),""))</f>
        <v/>
      </c>
      <c r="D11" s="15" t="str">
        <f aca="false">IF($B11="","",IFERROR(INDEX(품목마스터!$C$3:$C$102,MATCH($B11,품목마스터!$A$3:$A$102,0)),""))</f>
        <v/>
      </c>
      <c r="E11" s="13" t="str">
        <f aca="false">IF($B11="","",IFERROR(INDEX(품목마스터!$D$3:$D$102,MATCH($B11,품목마스터!$A$3:$A$102,0)),0))</f>
        <v/>
      </c>
      <c r="F11" s="10"/>
      <c r="G11" s="16" t="str">
        <f aca="false">IF(OR($E11="",$F11=""),"",ROUND($E11*$F11,0))</f>
        <v/>
      </c>
      <c r="H11" s="17"/>
      <c r="I11" s="16" t="str">
        <f aca="false">IF($G11="","",ROUND($G11*IF($H11="",0,$H11)/100,0))</f>
        <v/>
      </c>
      <c r="J11" s="10"/>
      <c r="K11" s="15" t="str">
        <f aca="false">IF($A11="","",COUNTIFS($A$3:$A11,$A11))</f>
        <v/>
      </c>
      <c r="L11" s="15" t="str">
        <f aca="false">IF($A11="","",$A11&amp;"|"&amp;$K11)</f>
        <v/>
      </c>
    </row>
    <row r="12" customFormat="false" ht="15" hidden="false" customHeight="true" outlineLevel="0" collapsed="false">
      <c r="A12" s="12"/>
      <c r="B12" s="12"/>
      <c r="C12" s="15" t="str">
        <f aca="false">IF($B12="","",IFERROR(INDEX(품목마스터!$B$3:$B$102,MATCH($B12,품목마스터!$A$3:$A$102,0)),""))</f>
        <v/>
      </c>
      <c r="D12" s="15" t="str">
        <f aca="false">IF($B12="","",IFERROR(INDEX(품목마스터!$C$3:$C$102,MATCH($B12,품목마스터!$A$3:$A$102,0)),""))</f>
        <v/>
      </c>
      <c r="E12" s="13" t="str">
        <f aca="false">IF($B12="","",IFERROR(INDEX(품목마스터!$D$3:$D$102,MATCH($B12,품목마스터!$A$3:$A$102,0)),0))</f>
        <v/>
      </c>
      <c r="F12" s="10"/>
      <c r="G12" s="16" t="str">
        <f aca="false">IF(OR($E12="",$F12=""),"",ROUND($E12*$F12,0))</f>
        <v/>
      </c>
      <c r="H12" s="17"/>
      <c r="I12" s="16" t="str">
        <f aca="false">IF($G12="","",ROUND($G12*IF($H12="",0,$H12)/100,0))</f>
        <v/>
      </c>
      <c r="J12" s="10"/>
      <c r="K12" s="15" t="str">
        <f aca="false">IF($A12="","",COUNTIFS($A$3:$A12,$A12))</f>
        <v/>
      </c>
      <c r="L12" s="15" t="str">
        <f aca="false">IF($A12="","",$A12&amp;"|"&amp;$K12)</f>
        <v/>
      </c>
    </row>
    <row r="13" customFormat="false" ht="15" hidden="false" customHeight="true" outlineLevel="0" collapsed="false">
      <c r="A13" s="12"/>
      <c r="B13" s="12"/>
      <c r="C13" s="15" t="str">
        <f aca="false">IF($B13="","",IFERROR(INDEX(품목마스터!$B$3:$B$102,MATCH($B13,품목마스터!$A$3:$A$102,0)),""))</f>
        <v/>
      </c>
      <c r="D13" s="15" t="str">
        <f aca="false">IF($B13="","",IFERROR(INDEX(품목마스터!$C$3:$C$102,MATCH($B13,품목마스터!$A$3:$A$102,0)),""))</f>
        <v/>
      </c>
      <c r="E13" s="13" t="str">
        <f aca="false">IF($B13="","",IFERROR(INDEX(품목마스터!$D$3:$D$102,MATCH($B13,품목마스터!$A$3:$A$102,0)),0))</f>
        <v/>
      </c>
      <c r="F13" s="10"/>
      <c r="G13" s="16" t="str">
        <f aca="false">IF(OR($E13="",$F13=""),"",ROUND($E13*$F13,0))</f>
        <v/>
      </c>
      <c r="H13" s="17"/>
      <c r="I13" s="16" t="str">
        <f aca="false">IF($G13="","",ROUND($G13*IF($H13="",0,$H13)/100,0))</f>
        <v/>
      </c>
      <c r="J13" s="10"/>
      <c r="K13" s="15" t="str">
        <f aca="false">IF($A13="","",COUNTIFS($A$3:$A13,$A13))</f>
        <v/>
      </c>
      <c r="L13" s="15" t="str">
        <f aca="false">IF($A13="","",$A13&amp;"|"&amp;$K13)</f>
        <v/>
      </c>
    </row>
    <row r="14" customFormat="false" ht="15" hidden="false" customHeight="true" outlineLevel="0" collapsed="false">
      <c r="A14" s="12"/>
      <c r="B14" s="12"/>
      <c r="C14" s="15" t="str">
        <f aca="false">IF($B14="","",IFERROR(INDEX(품목마스터!$B$3:$B$102,MATCH($B14,품목마스터!$A$3:$A$102,0)),""))</f>
        <v/>
      </c>
      <c r="D14" s="15" t="str">
        <f aca="false">IF($B14="","",IFERROR(INDEX(품목마스터!$C$3:$C$102,MATCH($B14,품목마스터!$A$3:$A$102,0)),""))</f>
        <v/>
      </c>
      <c r="E14" s="13" t="str">
        <f aca="false">IF($B14="","",IFERROR(INDEX(품목마스터!$D$3:$D$102,MATCH($B14,품목마스터!$A$3:$A$102,0)),0))</f>
        <v/>
      </c>
      <c r="F14" s="10"/>
      <c r="G14" s="16" t="str">
        <f aca="false">IF(OR($E14="",$F14=""),"",ROUND($E14*$F14,0))</f>
        <v/>
      </c>
      <c r="H14" s="17"/>
      <c r="I14" s="16" t="str">
        <f aca="false">IF($G14="","",ROUND($G14*IF($H14="",0,$H14)/100,0))</f>
        <v/>
      </c>
      <c r="J14" s="10"/>
      <c r="K14" s="15" t="str">
        <f aca="false">IF($A14="","",COUNTIFS($A$3:$A14,$A14))</f>
        <v/>
      </c>
      <c r="L14" s="15" t="str">
        <f aca="false">IF($A14="","",$A14&amp;"|"&amp;$K14)</f>
        <v/>
      </c>
    </row>
    <row r="15" customFormat="false" ht="15" hidden="false" customHeight="true" outlineLevel="0" collapsed="false">
      <c r="A15" s="12"/>
      <c r="B15" s="12"/>
      <c r="C15" s="15" t="str">
        <f aca="false">IF($B15="","",IFERROR(INDEX(품목마스터!$B$3:$B$102,MATCH($B15,품목마스터!$A$3:$A$102,0)),""))</f>
        <v/>
      </c>
      <c r="D15" s="15" t="str">
        <f aca="false">IF($B15="","",IFERROR(INDEX(품목마스터!$C$3:$C$102,MATCH($B15,품목마스터!$A$3:$A$102,0)),""))</f>
        <v/>
      </c>
      <c r="E15" s="13" t="str">
        <f aca="false">IF($B15="","",IFERROR(INDEX(품목마스터!$D$3:$D$102,MATCH($B15,품목마스터!$A$3:$A$102,0)),0))</f>
        <v/>
      </c>
      <c r="F15" s="10"/>
      <c r="G15" s="16" t="str">
        <f aca="false">IF(OR($E15="",$F15=""),"",ROUND($E15*$F15,0))</f>
        <v/>
      </c>
      <c r="H15" s="17"/>
      <c r="I15" s="16" t="str">
        <f aca="false">IF($G15="","",ROUND($G15*IF($H15="",0,$H15)/100,0))</f>
        <v/>
      </c>
      <c r="J15" s="10"/>
      <c r="K15" s="15" t="str">
        <f aca="false">IF($A15="","",COUNTIFS($A$3:$A15,$A15))</f>
        <v/>
      </c>
      <c r="L15" s="15" t="str">
        <f aca="false">IF($A15="","",$A15&amp;"|"&amp;$K15)</f>
        <v/>
      </c>
    </row>
    <row r="16" customFormat="false" ht="15" hidden="false" customHeight="true" outlineLevel="0" collapsed="false">
      <c r="A16" s="12"/>
      <c r="B16" s="12"/>
      <c r="C16" s="15" t="str">
        <f aca="false">IF($B16="","",IFERROR(INDEX(품목마스터!$B$3:$B$102,MATCH($B16,품목마스터!$A$3:$A$102,0)),""))</f>
        <v/>
      </c>
      <c r="D16" s="15" t="str">
        <f aca="false">IF($B16="","",IFERROR(INDEX(품목마스터!$C$3:$C$102,MATCH($B16,품목마스터!$A$3:$A$102,0)),""))</f>
        <v/>
      </c>
      <c r="E16" s="13" t="str">
        <f aca="false">IF($B16="","",IFERROR(INDEX(품목마스터!$D$3:$D$102,MATCH($B16,품목마스터!$A$3:$A$102,0)),0))</f>
        <v/>
      </c>
      <c r="F16" s="10"/>
      <c r="G16" s="16" t="str">
        <f aca="false">IF(OR($E16="",$F16=""),"",ROUND($E16*$F16,0))</f>
        <v/>
      </c>
      <c r="H16" s="17"/>
      <c r="I16" s="16" t="str">
        <f aca="false">IF($G16="","",ROUND($G16*IF($H16="",0,$H16)/100,0))</f>
        <v/>
      </c>
      <c r="J16" s="10"/>
      <c r="K16" s="15" t="str">
        <f aca="false">IF($A16="","",COUNTIFS($A$3:$A16,$A16))</f>
        <v/>
      </c>
      <c r="L16" s="15" t="str">
        <f aca="false">IF($A16="","",$A16&amp;"|"&amp;$K16)</f>
        <v/>
      </c>
    </row>
    <row r="17" customFormat="false" ht="15" hidden="false" customHeight="true" outlineLevel="0" collapsed="false">
      <c r="A17" s="12"/>
      <c r="B17" s="12"/>
      <c r="C17" s="15" t="str">
        <f aca="false">IF($B17="","",IFERROR(INDEX(품목마스터!$B$3:$B$102,MATCH($B17,품목마스터!$A$3:$A$102,0)),""))</f>
        <v/>
      </c>
      <c r="D17" s="15" t="str">
        <f aca="false">IF($B17="","",IFERROR(INDEX(품목마스터!$C$3:$C$102,MATCH($B17,품목마스터!$A$3:$A$102,0)),""))</f>
        <v/>
      </c>
      <c r="E17" s="13" t="str">
        <f aca="false">IF($B17="","",IFERROR(INDEX(품목마스터!$D$3:$D$102,MATCH($B17,품목마스터!$A$3:$A$102,0)),0))</f>
        <v/>
      </c>
      <c r="F17" s="10"/>
      <c r="G17" s="16" t="str">
        <f aca="false">IF(OR($E17="",$F17=""),"",ROUND($E17*$F17,0))</f>
        <v/>
      </c>
      <c r="H17" s="17"/>
      <c r="I17" s="16" t="str">
        <f aca="false">IF($G17="","",ROUND($G17*IF($H17="",0,$H17)/100,0))</f>
        <v/>
      </c>
      <c r="J17" s="10"/>
      <c r="K17" s="15" t="str">
        <f aca="false">IF($A17="","",COUNTIFS($A$3:$A17,$A17))</f>
        <v/>
      </c>
      <c r="L17" s="15" t="str">
        <f aca="false">IF($A17="","",$A17&amp;"|"&amp;$K17)</f>
        <v/>
      </c>
    </row>
    <row r="18" customFormat="false" ht="15" hidden="false" customHeight="true" outlineLevel="0" collapsed="false">
      <c r="A18" s="12"/>
      <c r="B18" s="12"/>
      <c r="C18" s="15" t="str">
        <f aca="false">IF($B18="","",IFERROR(INDEX(품목마스터!$B$3:$B$102,MATCH($B18,품목마스터!$A$3:$A$102,0)),""))</f>
        <v/>
      </c>
      <c r="D18" s="15" t="str">
        <f aca="false">IF($B18="","",IFERROR(INDEX(품목마스터!$C$3:$C$102,MATCH($B18,품목마스터!$A$3:$A$102,0)),""))</f>
        <v/>
      </c>
      <c r="E18" s="13" t="str">
        <f aca="false">IF($B18="","",IFERROR(INDEX(품목마스터!$D$3:$D$102,MATCH($B18,품목마스터!$A$3:$A$102,0)),0))</f>
        <v/>
      </c>
      <c r="F18" s="10"/>
      <c r="G18" s="16" t="str">
        <f aca="false">IF(OR($E18="",$F18=""),"",ROUND($E18*$F18,0))</f>
        <v/>
      </c>
      <c r="H18" s="17"/>
      <c r="I18" s="16" t="str">
        <f aca="false">IF($G18="","",ROUND($G18*IF($H18="",0,$H18)/100,0))</f>
        <v/>
      </c>
      <c r="J18" s="10"/>
      <c r="K18" s="15" t="str">
        <f aca="false">IF($A18="","",COUNTIFS($A$3:$A18,$A18))</f>
        <v/>
      </c>
      <c r="L18" s="15" t="str">
        <f aca="false">IF($A18="","",$A18&amp;"|"&amp;$K18)</f>
        <v/>
      </c>
    </row>
    <row r="19" customFormat="false" ht="15" hidden="false" customHeight="true" outlineLevel="0" collapsed="false">
      <c r="A19" s="12"/>
      <c r="B19" s="12"/>
      <c r="C19" s="15" t="str">
        <f aca="false">IF($B19="","",IFERROR(INDEX(품목마스터!$B$3:$B$102,MATCH($B19,품목마스터!$A$3:$A$102,0)),""))</f>
        <v/>
      </c>
      <c r="D19" s="15" t="str">
        <f aca="false">IF($B19="","",IFERROR(INDEX(품목마스터!$C$3:$C$102,MATCH($B19,품목마스터!$A$3:$A$102,0)),""))</f>
        <v/>
      </c>
      <c r="E19" s="13" t="str">
        <f aca="false">IF($B19="","",IFERROR(INDEX(품목마스터!$D$3:$D$102,MATCH($B19,품목마스터!$A$3:$A$102,0)),0))</f>
        <v/>
      </c>
      <c r="F19" s="10"/>
      <c r="G19" s="16" t="str">
        <f aca="false">IF(OR($E19="",$F19=""),"",ROUND($E19*$F19,0))</f>
        <v/>
      </c>
      <c r="H19" s="17"/>
      <c r="I19" s="16" t="str">
        <f aca="false">IF($G19="","",ROUND($G19*IF($H19="",0,$H19)/100,0))</f>
        <v/>
      </c>
      <c r="J19" s="10"/>
      <c r="K19" s="15" t="str">
        <f aca="false">IF($A19="","",COUNTIFS($A$3:$A19,$A19))</f>
        <v/>
      </c>
      <c r="L19" s="15" t="str">
        <f aca="false">IF($A19="","",$A19&amp;"|"&amp;$K19)</f>
        <v/>
      </c>
    </row>
    <row r="20" customFormat="false" ht="15" hidden="false" customHeight="true" outlineLevel="0" collapsed="false">
      <c r="A20" s="12"/>
      <c r="B20" s="12"/>
      <c r="C20" s="15" t="str">
        <f aca="false">IF($B20="","",IFERROR(INDEX(품목마스터!$B$3:$B$102,MATCH($B20,품목마스터!$A$3:$A$102,0)),""))</f>
        <v/>
      </c>
      <c r="D20" s="15" t="str">
        <f aca="false">IF($B20="","",IFERROR(INDEX(품목마스터!$C$3:$C$102,MATCH($B20,품목마스터!$A$3:$A$102,0)),""))</f>
        <v/>
      </c>
      <c r="E20" s="13" t="str">
        <f aca="false">IF($B20="","",IFERROR(INDEX(품목마스터!$D$3:$D$102,MATCH($B20,품목마스터!$A$3:$A$102,0)),0))</f>
        <v/>
      </c>
      <c r="F20" s="10"/>
      <c r="G20" s="16" t="str">
        <f aca="false">IF(OR($E20="",$F20=""),"",ROUND($E20*$F20,0))</f>
        <v/>
      </c>
      <c r="H20" s="17"/>
      <c r="I20" s="16" t="str">
        <f aca="false">IF($G20="","",ROUND($G20*IF($H20="",0,$H20)/100,0))</f>
        <v/>
      </c>
      <c r="J20" s="10"/>
      <c r="K20" s="15" t="str">
        <f aca="false">IF($A20="","",COUNTIFS($A$3:$A20,$A20))</f>
        <v/>
      </c>
      <c r="L20" s="15" t="str">
        <f aca="false">IF($A20="","",$A20&amp;"|"&amp;$K20)</f>
        <v/>
      </c>
    </row>
    <row r="21" customFormat="false" ht="15" hidden="false" customHeight="true" outlineLevel="0" collapsed="false">
      <c r="A21" s="12"/>
      <c r="B21" s="12"/>
      <c r="C21" s="15" t="str">
        <f aca="false">IF($B21="","",IFERROR(INDEX(품목마스터!$B$3:$B$102,MATCH($B21,품목마스터!$A$3:$A$102,0)),""))</f>
        <v/>
      </c>
      <c r="D21" s="15" t="str">
        <f aca="false">IF($B21="","",IFERROR(INDEX(품목마스터!$C$3:$C$102,MATCH($B21,품목마스터!$A$3:$A$102,0)),""))</f>
        <v/>
      </c>
      <c r="E21" s="13" t="str">
        <f aca="false">IF($B21="","",IFERROR(INDEX(품목마스터!$D$3:$D$102,MATCH($B21,품목마스터!$A$3:$A$102,0)),0))</f>
        <v/>
      </c>
      <c r="F21" s="10"/>
      <c r="G21" s="16" t="str">
        <f aca="false">IF(OR($E21="",$F21=""),"",ROUND($E21*$F21,0))</f>
        <v/>
      </c>
      <c r="H21" s="17"/>
      <c r="I21" s="16" t="str">
        <f aca="false">IF($G21="","",ROUND($G21*IF($H21="",0,$H21)/100,0))</f>
        <v/>
      </c>
      <c r="J21" s="10"/>
      <c r="K21" s="15" t="str">
        <f aca="false">IF($A21="","",COUNTIFS($A$3:$A21,$A21))</f>
        <v/>
      </c>
      <c r="L21" s="15" t="str">
        <f aca="false">IF($A21="","",$A21&amp;"|"&amp;$K21)</f>
        <v/>
      </c>
    </row>
    <row r="22" customFormat="false" ht="15" hidden="false" customHeight="true" outlineLevel="0" collapsed="false">
      <c r="A22" s="12"/>
      <c r="B22" s="12"/>
      <c r="C22" s="15" t="str">
        <f aca="false">IF($B22="","",IFERROR(INDEX(품목마스터!$B$3:$B$102,MATCH($B22,품목마스터!$A$3:$A$102,0)),""))</f>
        <v/>
      </c>
      <c r="D22" s="15" t="str">
        <f aca="false">IF($B22="","",IFERROR(INDEX(품목마스터!$C$3:$C$102,MATCH($B22,품목마스터!$A$3:$A$102,0)),""))</f>
        <v/>
      </c>
      <c r="E22" s="13" t="str">
        <f aca="false">IF($B22="","",IFERROR(INDEX(품목마스터!$D$3:$D$102,MATCH($B22,품목마스터!$A$3:$A$102,0)),0))</f>
        <v/>
      </c>
      <c r="F22" s="10"/>
      <c r="G22" s="16" t="str">
        <f aca="false">IF(OR($E22="",$F22=""),"",ROUND($E22*$F22,0))</f>
        <v/>
      </c>
      <c r="H22" s="17"/>
      <c r="I22" s="16" t="str">
        <f aca="false">IF($G22="","",ROUND($G22*IF($H22="",0,$H22)/100,0))</f>
        <v/>
      </c>
      <c r="J22" s="10"/>
      <c r="K22" s="15" t="str">
        <f aca="false">IF($A22="","",COUNTIFS($A$3:$A22,$A22))</f>
        <v/>
      </c>
      <c r="L22" s="15" t="str">
        <f aca="false">IF($A22="","",$A22&amp;"|"&amp;$K22)</f>
        <v/>
      </c>
    </row>
    <row r="23" customFormat="false" ht="15" hidden="false" customHeight="true" outlineLevel="0" collapsed="false">
      <c r="A23" s="12"/>
      <c r="B23" s="12"/>
      <c r="C23" s="15" t="str">
        <f aca="false">IF($B23="","",IFERROR(INDEX(품목마스터!$B$3:$B$102,MATCH($B23,품목마스터!$A$3:$A$102,0)),""))</f>
        <v/>
      </c>
      <c r="D23" s="15" t="str">
        <f aca="false">IF($B23="","",IFERROR(INDEX(품목마스터!$C$3:$C$102,MATCH($B23,품목마스터!$A$3:$A$102,0)),""))</f>
        <v/>
      </c>
      <c r="E23" s="13" t="str">
        <f aca="false">IF($B23="","",IFERROR(INDEX(품목마스터!$D$3:$D$102,MATCH($B23,품목마스터!$A$3:$A$102,0)),0))</f>
        <v/>
      </c>
      <c r="F23" s="10"/>
      <c r="G23" s="16" t="str">
        <f aca="false">IF(OR($E23="",$F23=""),"",ROUND($E23*$F23,0))</f>
        <v/>
      </c>
      <c r="H23" s="17"/>
      <c r="I23" s="16" t="str">
        <f aca="false">IF($G23="","",ROUND($G23*IF($H23="",0,$H23)/100,0))</f>
        <v/>
      </c>
      <c r="J23" s="10"/>
      <c r="K23" s="15" t="str">
        <f aca="false">IF($A23="","",COUNTIFS($A$3:$A23,$A23))</f>
        <v/>
      </c>
      <c r="L23" s="15" t="str">
        <f aca="false">IF($A23="","",$A23&amp;"|"&amp;$K23)</f>
        <v/>
      </c>
    </row>
    <row r="24" customFormat="false" ht="15" hidden="false" customHeight="true" outlineLevel="0" collapsed="false">
      <c r="A24" s="12"/>
      <c r="B24" s="12"/>
      <c r="C24" s="15" t="str">
        <f aca="false">IF($B24="","",IFERROR(INDEX(품목마스터!$B$3:$B$102,MATCH($B24,품목마스터!$A$3:$A$102,0)),""))</f>
        <v/>
      </c>
      <c r="D24" s="15" t="str">
        <f aca="false">IF($B24="","",IFERROR(INDEX(품목마스터!$C$3:$C$102,MATCH($B24,품목마스터!$A$3:$A$102,0)),""))</f>
        <v/>
      </c>
      <c r="E24" s="13" t="str">
        <f aca="false">IF($B24="","",IFERROR(INDEX(품목마스터!$D$3:$D$102,MATCH($B24,품목마스터!$A$3:$A$102,0)),0))</f>
        <v/>
      </c>
      <c r="F24" s="10"/>
      <c r="G24" s="16" t="str">
        <f aca="false">IF(OR($E24="",$F24=""),"",ROUND($E24*$F24,0))</f>
        <v/>
      </c>
      <c r="H24" s="17"/>
      <c r="I24" s="16" t="str">
        <f aca="false">IF($G24="","",ROUND($G24*IF($H24="",0,$H24)/100,0))</f>
        <v/>
      </c>
      <c r="J24" s="10"/>
      <c r="K24" s="15" t="str">
        <f aca="false">IF($A24="","",COUNTIFS($A$3:$A24,$A24))</f>
        <v/>
      </c>
      <c r="L24" s="15" t="str">
        <f aca="false">IF($A24="","",$A24&amp;"|"&amp;$K24)</f>
        <v/>
      </c>
    </row>
    <row r="25" customFormat="false" ht="15" hidden="false" customHeight="true" outlineLevel="0" collapsed="false">
      <c r="A25" s="12"/>
      <c r="B25" s="12"/>
      <c r="C25" s="15" t="str">
        <f aca="false">IF($B25="","",IFERROR(INDEX(품목마스터!$B$3:$B$102,MATCH($B25,품목마스터!$A$3:$A$102,0)),""))</f>
        <v/>
      </c>
      <c r="D25" s="15" t="str">
        <f aca="false">IF($B25="","",IFERROR(INDEX(품목마스터!$C$3:$C$102,MATCH($B25,품목마스터!$A$3:$A$102,0)),""))</f>
        <v/>
      </c>
      <c r="E25" s="13" t="str">
        <f aca="false">IF($B25="","",IFERROR(INDEX(품목마스터!$D$3:$D$102,MATCH($B25,품목마스터!$A$3:$A$102,0)),0))</f>
        <v/>
      </c>
      <c r="F25" s="10"/>
      <c r="G25" s="16" t="str">
        <f aca="false">IF(OR($E25="",$F25=""),"",ROUND($E25*$F25,0))</f>
        <v/>
      </c>
      <c r="H25" s="17"/>
      <c r="I25" s="16" t="str">
        <f aca="false">IF($G25="","",ROUND($G25*IF($H25="",0,$H25)/100,0))</f>
        <v/>
      </c>
      <c r="J25" s="10"/>
      <c r="K25" s="15" t="str">
        <f aca="false">IF($A25="","",COUNTIFS($A$3:$A25,$A25))</f>
        <v/>
      </c>
      <c r="L25" s="15" t="str">
        <f aca="false">IF($A25="","",$A25&amp;"|"&amp;$K25)</f>
        <v/>
      </c>
    </row>
    <row r="26" customFormat="false" ht="15" hidden="false" customHeight="true" outlineLevel="0" collapsed="false">
      <c r="A26" s="12"/>
      <c r="B26" s="12"/>
      <c r="C26" s="15" t="str">
        <f aca="false">IF($B26="","",IFERROR(INDEX(품목마스터!$B$3:$B$102,MATCH($B26,품목마스터!$A$3:$A$102,0)),""))</f>
        <v/>
      </c>
      <c r="D26" s="15" t="str">
        <f aca="false">IF($B26="","",IFERROR(INDEX(품목마스터!$C$3:$C$102,MATCH($B26,품목마스터!$A$3:$A$102,0)),""))</f>
        <v/>
      </c>
      <c r="E26" s="13" t="str">
        <f aca="false">IF($B26="","",IFERROR(INDEX(품목마스터!$D$3:$D$102,MATCH($B26,품목마스터!$A$3:$A$102,0)),0))</f>
        <v/>
      </c>
      <c r="F26" s="10"/>
      <c r="G26" s="16" t="str">
        <f aca="false">IF(OR($E26="",$F26=""),"",ROUND($E26*$F26,0))</f>
        <v/>
      </c>
      <c r="H26" s="17"/>
      <c r="I26" s="16" t="str">
        <f aca="false">IF($G26="","",ROUND($G26*IF($H26="",0,$H26)/100,0))</f>
        <v/>
      </c>
      <c r="J26" s="10"/>
      <c r="K26" s="15" t="str">
        <f aca="false">IF($A26="","",COUNTIFS($A$3:$A26,$A26))</f>
        <v/>
      </c>
      <c r="L26" s="15" t="str">
        <f aca="false">IF($A26="","",$A26&amp;"|"&amp;$K26)</f>
        <v/>
      </c>
    </row>
    <row r="27" customFormat="false" ht="15" hidden="false" customHeight="true" outlineLevel="0" collapsed="false">
      <c r="A27" s="12"/>
      <c r="B27" s="12"/>
      <c r="C27" s="15" t="str">
        <f aca="false">IF($B27="","",IFERROR(INDEX(품목마스터!$B$3:$B$102,MATCH($B27,품목마스터!$A$3:$A$102,0)),""))</f>
        <v/>
      </c>
      <c r="D27" s="15" t="str">
        <f aca="false">IF($B27="","",IFERROR(INDEX(품목마스터!$C$3:$C$102,MATCH($B27,품목마스터!$A$3:$A$102,0)),""))</f>
        <v/>
      </c>
      <c r="E27" s="13" t="str">
        <f aca="false">IF($B27="","",IFERROR(INDEX(품목마스터!$D$3:$D$102,MATCH($B27,품목마스터!$A$3:$A$102,0)),0))</f>
        <v/>
      </c>
      <c r="F27" s="10"/>
      <c r="G27" s="16" t="str">
        <f aca="false">IF(OR($E27="",$F27=""),"",ROUND($E27*$F27,0))</f>
        <v/>
      </c>
      <c r="H27" s="17"/>
      <c r="I27" s="16" t="str">
        <f aca="false">IF($G27="","",ROUND($G27*IF($H27="",0,$H27)/100,0))</f>
        <v/>
      </c>
      <c r="J27" s="10"/>
      <c r="K27" s="15" t="str">
        <f aca="false">IF($A27="","",COUNTIFS($A$3:$A27,$A27))</f>
        <v/>
      </c>
      <c r="L27" s="15" t="str">
        <f aca="false">IF($A27="","",$A27&amp;"|"&amp;$K27)</f>
        <v/>
      </c>
    </row>
    <row r="28" customFormat="false" ht="15" hidden="false" customHeight="true" outlineLevel="0" collapsed="false">
      <c r="A28" s="12"/>
      <c r="B28" s="12"/>
      <c r="C28" s="15" t="str">
        <f aca="false">IF($B28="","",IFERROR(INDEX(품목마스터!$B$3:$B$102,MATCH($B28,품목마스터!$A$3:$A$102,0)),""))</f>
        <v/>
      </c>
      <c r="D28" s="15" t="str">
        <f aca="false">IF($B28="","",IFERROR(INDEX(품목마스터!$C$3:$C$102,MATCH($B28,품목마스터!$A$3:$A$102,0)),""))</f>
        <v/>
      </c>
      <c r="E28" s="13" t="str">
        <f aca="false">IF($B28="","",IFERROR(INDEX(품목마스터!$D$3:$D$102,MATCH($B28,품목마스터!$A$3:$A$102,0)),0))</f>
        <v/>
      </c>
      <c r="F28" s="10"/>
      <c r="G28" s="16" t="str">
        <f aca="false">IF(OR($E28="",$F28=""),"",ROUND($E28*$F28,0))</f>
        <v/>
      </c>
      <c r="H28" s="17"/>
      <c r="I28" s="16" t="str">
        <f aca="false">IF($G28="","",ROUND($G28*IF($H28="",0,$H28)/100,0))</f>
        <v/>
      </c>
      <c r="J28" s="10"/>
      <c r="K28" s="15" t="str">
        <f aca="false">IF($A28="","",COUNTIFS($A$3:$A28,$A28))</f>
        <v/>
      </c>
      <c r="L28" s="15" t="str">
        <f aca="false">IF($A28="","",$A28&amp;"|"&amp;$K28)</f>
        <v/>
      </c>
    </row>
    <row r="29" customFormat="false" ht="15" hidden="false" customHeight="true" outlineLevel="0" collapsed="false">
      <c r="A29" s="12"/>
      <c r="B29" s="12"/>
      <c r="C29" s="15" t="str">
        <f aca="false">IF($B29="","",IFERROR(INDEX(품목마스터!$B$3:$B$102,MATCH($B29,품목마스터!$A$3:$A$102,0)),""))</f>
        <v/>
      </c>
      <c r="D29" s="15" t="str">
        <f aca="false">IF($B29="","",IFERROR(INDEX(품목마스터!$C$3:$C$102,MATCH($B29,품목마스터!$A$3:$A$102,0)),""))</f>
        <v/>
      </c>
      <c r="E29" s="13" t="str">
        <f aca="false">IF($B29="","",IFERROR(INDEX(품목마스터!$D$3:$D$102,MATCH($B29,품목마스터!$A$3:$A$102,0)),0))</f>
        <v/>
      </c>
      <c r="F29" s="10"/>
      <c r="G29" s="16" t="str">
        <f aca="false">IF(OR($E29="",$F29=""),"",ROUND($E29*$F29,0))</f>
        <v/>
      </c>
      <c r="H29" s="17"/>
      <c r="I29" s="16" t="str">
        <f aca="false">IF($G29="","",ROUND($G29*IF($H29="",0,$H29)/100,0))</f>
        <v/>
      </c>
      <c r="J29" s="10"/>
      <c r="K29" s="15" t="str">
        <f aca="false">IF($A29="","",COUNTIFS($A$3:$A29,$A29))</f>
        <v/>
      </c>
      <c r="L29" s="15" t="str">
        <f aca="false">IF($A29="","",$A29&amp;"|"&amp;$K29)</f>
        <v/>
      </c>
    </row>
    <row r="30" customFormat="false" ht="15" hidden="false" customHeight="true" outlineLevel="0" collapsed="false">
      <c r="A30" s="12"/>
      <c r="B30" s="12"/>
      <c r="C30" s="15" t="str">
        <f aca="false">IF($B30="","",IFERROR(INDEX(품목마스터!$B$3:$B$102,MATCH($B30,품목마스터!$A$3:$A$102,0)),""))</f>
        <v/>
      </c>
      <c r="D30" s="15" t="str">
        <f aca="false">IF($B30="","",IFERROR(INDEX(품목마스터!$C$3:$C$102,MATCH($B30,품목마스터!$A$3:$A$102,0)),""))</f>
        <v/>
      </c>
      <c r="E30" s="13" t="str">
        <f aca="false">IF($B30="","",IFERROR(INDEX(품목마스터!$D$3:$D$102,MATCH($B30,품목마스터!$A$3:$A$102,0)),0))</f>
        <v/>
      </c>
      <c r="F30" s="10"/>
      <c r="G30" s="16" t="str">
        <f aca="false">IF(OR($E30="",$F30=""),"",ROUND($E30*$F30,0))</f>
        <v/>
      </c>
      <c r="H30" s="17"/>
      <c r="I30" s="16" t="str">
        <f aca="false">IF($G30="","",ROUND($G30*IF($H30="",0,$H30)/100,0))</f>
        <v/>
      </c>
      <c r="J30" s="10"/>
      <c r="K30" s="15" t="str">
        <f aca="false">IF($A30="","",COUNTIFS($A$3:$A30,$A30))</f>
        <v/>
      </c>
      <c r="L30" s="15" t="str">
        <f aca="false">IF($A30="","",$A30&amp;"|"&amp;$K30)</f>
        <v/>
      </c>
    </row>
    <row r="31" customFormat="false" ht="15" hidden="false" customHeight="true" outlineLevel="0" collapsed="false">
      <c r="A31" s="12"/>
      <c r="B31" s="12"/>
      <c r="C31" s="15" t="str">
        <f aca="false">IF($B31="","",IFERROR(INDEX(품목마스터!$B$3:$B$102,MATCH($B31,품목마스터!$A$3:$A$102,0)),""))</f>
        <v/>
      </c>
      <c r="D31" s="15" t="str">
        <f aca="false">IF($B31="","",IFERROR(INDEX(품목마스터!$C$3:$C$102,MATCH($B31,품목마스터!$A$3:$A$102,0)),""))</f>
        <v/>
      </c>
      <c r="E31" s="13" t="str">
        <f aca="false">IF($B31="","",IFERROR(INDEX(품목마스터!$D$3:$D$102,MATCH($B31,품목마스터!$A$3:$A$102,0)),0))</f>
        <v/>
      </c>
      <c r="F31" s="10"/>
      <c r="G31" s="16" t="str">
        <f aca="false">IF(OR($E31="",$F31=""),"",ROUND($E31*$F31,0))</f>
        <v/>
      </c>
      <c r="H31" s="17"/>
      <c r="I31" s="16" t="str">
        <f aca="false">IF($G31="","",ROUND($G31*IF($H31="",0,$H31)/100,0))</f>
        <v/>
      </c>
      <c r="J31" s="10"/>
      <c r="K31" s="15" t="str">
        <f aca="false">IF($A31="","",COUNTIFS($A$3:$A31,$A31))</f>
        <v/>
      </c>
      <c r="L31" s="15" t="str">
        <f aca="false">IF($A31="","",$A31&amp;"|"&amp;$K31)</f>
        <v/>
      </c>
    </row>
    <row r="32" customFormat="false" ht="15" hidden="false" customHeight="true" outlineLevel="0" collapsed="false">
      <c r="A32" s="12"/>
      <c r="B32" s="12"/>
      <c r="C32" s="15" t="str">
        <f aca="false">IF($B32="","",IFERROR(INDEX(품목마스터!$B$3:$B$102,MATCH($B32,품목마스터!$A$3:$A$102,0)),""))</f>
        <v/>
      </c>
      <c r="D32" s="15" t="str">
        <f aca="false">IF($B32="","",IFERROR(INDEX(품목마스터!$C$3:$C$102,MATCH($B32,품목마스터!$A$3:$A$102,0)),""))</f>
        <v/>
      </c>
      <c r="E32" s="13" t="str">
        <f aca="false">IF($B32="","",IFERROR(INDEX(품목마스터!$D$3:$D$102,MATCH($B32,품목마스터!$A$3:$A$102,0)),0))</f>
        <v/>
      </c>
      <c r="F32" s="10"/>
      <c r="G32" s="16" t="str">
        <f aca="false">IF(OR($E32="",$F32=""),"",ROUND($E32*$F32,0))</f>
        <v/>
      </c>
      <c r="H32" s="17"/>
      <c r="I32" s="16" t="str">
        <f aca="false">IF($G32="","",ROUND($G32*IF($H32="",0,$H32)/100,0))</f>
        <v/>
      </c>
      <c r="J32" s="10"/>
      <c r="K32" s="15" t="str">
        <f aca="false">IF($A32="","",COUNTIFS($A$3:$A32,$A32))</f>
        <v/>
      </c>
      <c r="L32" s="15" t="str">
        <f aca="false">IF($A32="","",$A32&amp;"|"&amp;$K32)</f>
        <v/>
      </c>
    </row>
    <row r="33" customFormat="false" ht="15" hidden="false" customHeight="true" outlineLevel="0" collapsed="false">
      <c r="A33" s="12"/>
      <c r="B33" s="12"/>
      <c r="C33" s="15" t="str">
        <f aca="false">IF($B33="","",IFERROR(INDEX(품목마스터!$B$3:$B$102,MATCH($B33,품목마스터!$A$3:$A$102,0)),""))</f>
        <v/>
      </c>
      <c r="D33" s="15" t="str">
        <f aca="false">IF($B33="","",IFERROR(INDEX(품목마스터!$C$3:$C$102,MATCH($B33,품목마스터!$A$3:$A$102,0)),""))</f>
        <v/>
      </c>
      <c r="E33" s="13" t="str">
        <f aca="false">IF($B33="","",IFERROR(INDEX(품목마스터!$D$3:$D$102,MATCH($B33,품목마스터!$A$3:$A$102,0)),0))</f>
        <v/>
      </c>
      <c r="F33" s="10"/>
      <c r="G33" s="16" t="str">
        <f aca="false">IF(OR($E33="",$F33=""),"",ROUND($E33*$F33,0))</f>
        <v/>
      </c>
      <c r="H33" s="17"/>
      <c r="I33" s="16" t="str">
        <f aca="false">IF($G33="","",ROUND($G33*IF($H33="",0,$H33)/100,0))</f>
        <v/>
      </c>
      <c r="J33" s="10"/>
      <c r="K33" s="15" t="str">
        <f aca="false">IF($A33="","",COUNTIFS($A$3:$A33,$A33))</f>
        <v/>
      </c>
      <c r="L33" s="15" t="str">
        <f aca="false">IF($A33="","",$A33&amp;"|"&amp;$K33)</f>
        <v/>
      </c>
    </row>
    <row r="34" customFormat="false" ht="15" hidden="false" customHeight="true" outlineLevel="0" collapsed="false">
      <c r="A34" s="12"/>
      <c r="B34" s="12"/>
      <c r="C34" s="15" t="str">
        <f aca="false">IF($B34="","",IFERROR(INDEX(품목마스터!$B$3:$B$102,MATCH($B34,품목마스터!$A$3:$A$102,0)),""))</f>
        <v/>
      </c>
      <c r="D34" s="15" t="str">
        <f aca="false">IF($B34="","",IFERROR(INDEX(품목마스터!$C$3:$C$102,MATCH($B34,품목마스터!$A$3:$A$102,0)),""))</f>
        <v/>
      </c>
      <c r="E34" s="13" t="str">
        <f aca="false">IF($B34="","",IFERROR(INDEX(품목마스터!$D$3:$D$102,MATCH($B34,품목마스터!$A$3:$A$102,0)),0))</f>
        <v/>
      </c>
      <c r="F34" s="10"/>
      <c r="G34" s="16" t="str">
        <f aca="false">IF(OR($E34="",$F34=""),"",ROUND($E34*$F34,0))</f>
        <v/>
      </c>
      <c r="H34" s="17"/>
      <c r="I34" s="16" t="str">
        <f aca="false">IF($G34="","",ROUND($G34*IF($H34="",0,$H34)/100,0))</f>
        <v/>
      </c>
      <c r="J34" s="10"/>
      <c r="K34" s="15" t="str">
        <f aca="false">IF($A34="","",COUNTIFS($A$3:$A34,$A34))</f>
        <v/>
      </c>
      <c r="L34" s="15" t="str">
        <f aca="false">IF($A34="","",$A34&amp;"|"&amp;$K34)</f>
        <v/>
      </c>
    </row>
    <row r="35" customFormat="false" ht="15" hidden="false" customHeight="true" outlineLevel="0" collapsed="false">
      <c r="A35" s="12"/>
      <c r="B35" s="12"/>
      <c r="C35" s="15" t="str">
        <f aca="false">IF($B35="","",IFERROR(INDEX(품목마스터!$B$3:$B$102,MATCH($B35,품목마스터!$A$3:$A$102,0)),""))</f>
        <v/>
      </c>
      <c r="D35" s="15" t="str">
        <f aca="false">IF($B35="","",IFERROR(INDEX(품목마스터!$C$3:$C$102,MATCH($B35,품목마스터!$A$3:$A$102,0)),""))</f>
        <v/>
      </c>
      <c r="E35" s="13" t="str">
        <f aca="false">IF($B35="","",IFERROR(INDEX(품목마스터!$D$3:$D$102,MATCH($B35,품목마스터!$A$3:$A$102,0)),0))</f>
        <v/>
      </c>
      <c r="F35" s="10"/>
      <c r="G35" s="16" t="str">
        <f aca="false">IF(OR($E35="",$F35=""),"",ROUND($E35*$F35,0))</f>
        <v/>
      </c>
      <c r="H35" s="17"/>
      <c r="I35" s="16" t="str">
        <f aca="false">IF($G35="","",ROUND($G35*IF($H35="",0,$H35)/100,0))</f>
        <v/>
      </c>
      <c r="J35" s="10"/>
      <c r="K35" s="15" t="str">
        <f aca="false">IF($A35="","",COUNTIFS($A$3:$A35,$A35))</f>
        <v/>
      </c>
      <c r="L35" s="15" t="str">
        <f aca="false">IF($A35="","",$A35&amp;"|"&amp;$K35)</f>
        <v/>
      </c>
    </row>
    <row r="36" customFormat="false" ht="15" hidden="false" customHeight="true" outlineLevel="0" collapsed="false">
      <c r="A36" s="12"/>
      <c r="B36" s="12"/>
      <c r="C36" s="15" t="str">
        <f aca="false">IF($B36="","",IFERROR(INDEX(품목마스터!$B$3:$B$102,MATCH($B36,품목마스터!$A$3:$A$102,0)),""))</f>
        <v/>
      </c>
      <c r="D36" s="15" t="str">
        <f aca="false">IF($B36="","",IFERROR(INDEX(품목마스터!$C$3:$C$102,MATCH($B36,품목마스터!$A$3:$A$102,0)),""))</f>
        <v/>
      </c>
      <c r="E36" s="13" t="str">
        <f aca="false">IF($B36="","",IFERROR(INDEX(품목마스터!$D$3:$D$102,MATCH($B36,품목마스터!$A$3:$A$102,0)),0))</f>
        <v/>
      </c>
      <c r="F36" s="10"/>
      <c r="G36" s="16" t="str">
        <f aca="false">IF(OR($E36="",$F36=""),"",ROUND($E36*$F36,0))</f>
        <v/>
      </c>
      <c r="H36" s="17"/>
      <c r="I36" s="16" t="str">
        <f aca="false">IF($G36="","",ROUND($G36*IF($H36="",0,$H36)/100,0))</f>
        <v/>
      </c>
      <c r="J36" s="10"/>
      <c r="K36" s="15" t="str">
        <f aca="false">IF($A36="","",COUNTIFS($A$3:$A36,$A36))</f>
        <v/>
      </c>
      <c r="L36" s="15" t="str">
        <f aca="false">IF($A36="","",$A36&amp;"|"&amp;$K36)</f>
        <v/>
      </c>
    </row>
    <row r="37" customFormat="false" ht="15" hidden="false" customHeight="true" outlineLevel="0" collapsed="false">
      <c r="A37" s="12"/>
      <c r="B37" s="12"/>
      <c r="C37" s="15" t="str">
        <f aca="false">IF($B37="","",IFERROR(INDEX(품목마스터!$B$3:$B$102,MATCH($B37,품목마스터!$A$3:$A$102,0)),""))</f>
        <v/>
      </c>
      <c r="D37" s="15" t="str">
        <f aca="false">IF($B37="","",IFERROR(INDEX(품목마스터!$C$3:$C$102,MATCH($B37,품목마스터!$A$3:$A$102,0)),""))</f>
        <v/>
      </c>
      <c r="E37" s="13" t="str">
        <f aca="false">IF($B37="","",IFERROR(INDEX(품목마스터!$D$3:$D$102,MATCH($B37,품목마스터!$A$3:$A$102,0)),0))</f>
        <v/>
      </c>
      <c r="F37" s="10"/>
      <c r="G37" s="16" t="str">
        <f aca="false">IF(OR($E37="",$F37=""),"",ROUND($E37*$F37,0))</f>
        <v/>
      </c>
      <c r="H37" s="17"/>
      <c r="I37" s="16" t="str">
        <f aca="false">IF($G37="","",ROUND($G37*IF($H37="",0,$H37)/100,0))</f>
        <v/>
      </c>
      <c r="J37" s="10"/>
      <c r="K37" s="15" t="str">
        <f aca="false">IF($A37="","",COUNTIFS($A$3:$A37,$A37))</f>
        <v/>
      </c>
      <c r="L37" s="15" t="str">
        <f aca="false">IF($A37="","",$A37&amp;"|"&amp;$K37)</f>
        <v/>
      </c>
    </row>
    <row r="38" customFormat="false" ht="15" hidden="false" customHeight="true" outlineLevel="0" collapsed="false">
      <c r="A38" s="12"/>
      <c r="B38" s="12"/>
      <c r="C38" s="15" t="str">
        <f aca="false">IF($B38="","",IFERROR(INDEX(품목마스터!$B$3:$B$102,MATCH($B38,품목마스터!$A$3:$A$102,0)),""))</f>
        <v/>
      </c>
      <c r="D38" s="15" t="str">
        <f aca="false">IF($B38="","",IFERROR(INDEX(품목마스터!$C$3:$C$102,MATCH($B38,품목마스터!$A$3:$A$102,0)),""))</f>
        <v/>
      </c>
      <c r="E38" s="13" t="str">
        <f aca="false">IF($B38="","",IFERROR(INDEX(품목마스터!$D$3:$D$102,MATCH($B38,품목마스터!$A$3:$A$102,0)),0))</f>
        <v/>
      </c>
      <c r="F38" s="10"/>
      <c r="G38" s="16" t="str">
        <f aca="false">IF(OR($E38="",$F38=""),"",ROUND($E38*$F38,0))</f>
        <v/>
      </c>
      <c r="H38" s="17"/>
      <c r="I38" s="16" t="str">
        <f aca="false">IF($G38="","",ROUND($G38*IF($H38="",0,$H38)/100,0))</f>
        <v/>
      </c>
      <c r="J38" s="10"/>
      <c r="K38" s="15" t="str">
        <f aca="false">IF($A38="","",COUNTIFS($A$3:$A38,$A38))</f>
        <v/>
      </c>
      <c r="L38" s="15" t="str">
        <f aca="false">IF($A38="","",$A38&amp;"|"&amp;$K38)</f>
        <v/>
      </c>
    </row>
    <row r="39" customFormat="false" ht="15" hidden="false" customHeight="true" outlineLevel="0" collapsed="false">
      <c r="A39" s="12"/>
      <c r="B39" s="12"/>
      <c r="C39" s="15" t="str">
        <f aca="false">IF($B39="","",IFERROR(INDEX(품목마스터!$B$3:$B$102,MATCH($B39,품목마스터!$A$3:$A$102,0)),""))</f>
        <v/>
      </c>
      <c r="D39" s="15" t="str">
        <f aca="false">IF($B39="","",IFERROR(INDEX(품목마스터!$C$3:$C$102,MATCH($B39,품목마스터!$A$3:$A$102,0)),""))</f>
        <v/>
      </c>
      <c r="E39" s="13" t="str">
        <f aca="false">IF($B39="","",IFERROR(INDEX(품목마스터!$D$3:$D$102,MATCH($B39,품목마스터!$A$3:$A$102,0)),0))</f>
        <v/>
      </c>
      <c r="F39" s="10"/>
      <c r="G39" s="16" t="str">
        <f aca="false">IF(OR($E39="",$F39=""),"",ROUND($E39*$F39,0))</f>
        <v/>
      </c>
      <c r="H39" s="17"/>
      <c r="I39" s="16" t="str">
        <f aca="false">IF($G39="","",ROUND($G39*IF($H39="",0,$H39)/100,0))</f>
        <v/>
      </c>
      <c r="J39" s="10"/>
      <c r="K39" s="15" t="str">
        <f aca="false">IF($A39="","",COUNTIFS($A$3:$A39,$A39))</f>
        <v/>
      </c>
      <c r="L39" s="15" t="str">
        <f aca="false">IF($A39="","",$A39&amp;"|"&amp;$K39)</f>
        <v/>
      </c>
    </row>
    <row r="40" customFormat="false" ht="15" hidden="false" customHeight="true" outlineLevel="0" collapsed="false">
      <c r="A40" s="12"/>
      <c r="B40" s="12"/>
      <c r="C40" s="15" t="str">
        <f aca="false">IF($B40="","",IFERROR(INDEX(품목마스터!$B$3:$B$102,MATCH($B40,품목마스터!$A$3:$A$102,0)),""))</f>
        <v/>
      </c>
      <c r="D40" s="15" t="str">
        <f aca="false">IF($B40="","",IFERROR(INDEX(품목마스터!$C$3:$C$102,MATCH($B40,품목마스터!$A$3:$A$102,0)),""))</f>
        <v/>
      </c>
      <c r="E40" s="13" t="str">
        <f aca="false">IF($B40="","",IFERROR(INDEX(품목마스터!$D$3:$D$102,MATCH($B40,품목마스터!$A$3:$A$102,0)),0))</f>
        <v/>
      </c>
      <c r="F40" s="10"/>
      <c r="G40" s="16" t="str">
        <f aca="false">IF(OR($E40="",$F40=""),"",ROUND($E40*$F40,0))</f>
        <v/>
      </c>
      <c r="H40" s="17"/>
      <c r="I40" s="16" t="str">
        <f aca="false">IF($G40="","",ROUND($G40*IF($H40="",0,$H40)/100,0))</f>
        <v/>
      </c>
      <c r="J40" s="10"/>
      <c r="K40" s="15" t="str">
        <f aca="false">IF($A40="","",COUNTIFS($A$3:$A40,$A40))</f>
        <v/>
      </c>
      <c r="L40" s="15" t="str">
        <f aca="false">IF($A40="","",$A40&amp;"|"&amp;$K40)</f>
        <v/>
      </c>
    </row>
    <row r="41" customFormat="false" ht="15" hidden="false" customHeight="true" outlineLevel="0" collapsed="false">
      <c r="A41" s="12"/>
      <c r="B41" s="12"/>
      <c r="C41" s="15" t="str">
        <f aca="false">IF($B41="","",IFERROR(INDEX(품목마스터!$B$3:$B$102,MATCH($B41,품목마스터!$A$3:$A$102,0)),""))</f>
        <v/>
      </c>
      <c r="D41" s="15" t="str">
        <f aca="false">IF($B41="","",IFERROR(INDEX(품목마스터!$C$3:$C$102,MATCH($B41,품목마스터!$A$3:$A$102,0)),""))</f>
        <v/>
      </c>
      <c r="E41" s="13" t="str">
        <f aca="false">IF($B41="","",IFERROR(INDEX(품목마스터!$D$3:$D$102,MATCH($B41,품목마스터!$A$3:$A$102,0)),0))</f>
        <v/>
      </c>
      <c r="F41" s="10"/>
      <c r="G41" s="16" t="str">
        <f aca="false">IF(OR($E41="",$F41=""),"",ROUND($E41*$F41,0))</f>
        <v/>
      </c>
      <c r="H41" s="17"/>
      <c r="I41" s="16" t="str">
        <f aca="false">IF($G41="","",ROUND($G41*IF($H41="",0,$H41)/100,0))</f>
        <v/>
      </c>
      <c r="J41" s="10"/>
      <c r="K41" s="15" t="str">
        <f aca="false">IF($A41="","",COUNTIFS($A$3:$A41,$A41))</f>
        <v/>
      </c>
      <c r="L41" s="15" t="str">
        <f aca="false">IF($A41="","",$A41&amp;"|"&amp;$K41)</f>
        <v/>
      </c>
    </row>
    <row r="42" customFormat="false" ht="15" hidden="false" customHeight="true" outlineLevel="0" collapsed="false">
      <c r="A42" s="12"/>
      <c r="B42" s="12"/>
      <c r="C42" s="15" t="str">
        <f aca="false">IF($B42="","",IFERROR(INDEX(품목마스터!$B$3:$B$102,MATCH($B42,품목마스터!$A$3:$A$102,0)),""))</f>
        <v/>
      </c>
      <c r="D42" s="15" t="str">
        <f aca="false">IF($B42="","",IFERROR(INDEX(품목마스터!$C$3:$C$102,MATCH($B42,품목마스터!$A$3:$A$102,0)),""))</f>
        <v/>
      </c>
      <c r="E42" s="13" t="str">
        <f aca="false">IF($B42="","",IFERROR(INDEX(품목마스터!$D$3:$D$102,MATCH($B42,품목마스터!$A$3:$A$102,0)),0))</f>
        <v/>
      </c>
      <c r="F42" s="10"/>
      <c r="G42" s="16" t="str">
        <f aca="false">IF(OR($E42="",$F42=""),"",ROUND($E42*$F42,0))</f>
        <v/>
      </c>
      <c r="H42" s="17"/>
      <c r="I42" s="16" t="str">
        <f aca="false">IF($G42="","",ROUND($G42*IF($H42="",0,$H42)/100,0))</f>
        <v/>
      </c>
      <c r="J42" s="10"/>
      <c r="K42" s="15" t="str">
        <f aca="false">IF($A42="","",COUNTIFS($A$3:$A42,$A42))</f>
        <v/>
      </c>
      <c r="L42" s="15" t="str">
        <f aca="false">IF($A42="","",$A42&amp;"|"&amp;$K42)</f>
        <v/>
      </c>
    </row>
    <row r="43" customFormat="false" ht="15" hidden="false" customHeight="true" outlineLevel="0" collapsed="false">
      <c r="A43" s="12"/>
      <c r="B43" s="12"/>
      <c r="C43" s="15" t="str">
        <f aca="false">IF($B43="","",IFERROR(INDEX(품목마스터!$B$3:$B$102,MATCH($B43,품목마스터!$A$3:$A$102,0)),""))</f>
        <v/>
      </c>
      <c r="D43" s="15" t="str">
        <f aca="false">IF($B43="","",IFERROR(INDEX(품목마스터!$C$3:$C$102,MATCH($B43,품목마스터!$A$3:$A$102,0)),""))</f>
        <v/>
      </c>
      <c r="E43" s="13" t="str">
        <f aca="false">IF($B43="","",IFERROR(INDEX(품목마스터!$D$3:$D$102,MATCH($B43,품목마스터!$A$3:$A$102,0)),0))</f>
        <v/>
      </c>
      <c r="F43" s="10"/>
      <c r="G43" s="16" t="str">
        <f aca="false">IF(OR($E43="",$F43=""),"",ROUND($E43*$F43,0))</f>
        <v/>
      </c>
      <c r="H43" s="17"/>
      <c r="I43" s="16" t="str">
        <f aca="false">IF($G43="","",ROUND($G43*IF($H43="",0,$H43)/100,0))</f>
        <v/>
      </c>
      <c r="J43" s="10"/>
      <c r="K43" s="15" t="str">
        <f aca="false">IF($A43="","",COUNTIFS($A$3:$A43,$A43))</f>
        <v/>
      </c>
      <c r="L43" s="15" t="str">
        <f aca="false">IF($A43="","",$A43&amp;"|"&amp;$K43)</f>
        <v/>
      </c>
    </row>
    <row r="44" customFormat="false" ht="15" hidden="false" customHeight="true" outlineLevel="0" collapsed="false">
      <c r="A44" s="12"/>
      <c r="B44" s="12"/>
      <c r="C44" s="15" t="str">
        <f aca="false">IF($B44="","",IFERROR(INDEX(품목마스터!$B$3:$B$102,MATCH($B44,품목마스터!$A$3:$A$102,0)),""))</f>
        <v/>
      </c>
      <c r="D44" s="15" t="str">
        <f aca="false">IF($B44="","",IFERROR(INDEX(품목마스터!$C$3:$C$102,MATCH($B44,품목마스터!$A$3:$A$102,0)),""))</f>
        <v/>
      </c>
      <c r="E44" s="13" t="str">
        <f aca="false">IF($B44="","",IFERROR(INDEX(품목마스터!$D$3:$D$102,MATCH($B44,품목마스터!$A$3:$A$102,0)),0))</f>
        <v/>
      </c>
      <c r="F44" s="10"/>
      <c r="G44" s="16" t="str">
        <f aca="false">IF(OR($E44="",$F44=""),"",ROUND($E44*$F44,0))</f>
        <v/>
      </c>
      <c r="H44" s="17"/>
      <c r="I44" s="16" t="str">
        <f aca="false">IF($G44="","",ROUND($G44*IF($H44="",0,$H44)/100,0))</f>
        <v/>
      </c>
      <c r="J44" s="10"/>
      <c r="K44" s="15" t="str">
        <f aca="false">IF($A44="","",COUNTIFS($A$3:$A44,$A44))</f>
        <v/>
      </c>
      <c r="L44" s="15" t="str">
        <f aca="false">IF($A44="","",$A44&amp;"|"&amp;$K44)</f>
        <v/>
      </c>
    </row>
    <row r="45" customFormat="false" ht="15" hidden="false" customHeight="true" outlineLevel="0" collapsed="false">
      <c r="A45" s="12"/>
      <c r="B45" s="12"/>
      <c r="C45" s="15" t="str">
        <f aca="false">IF($B45="","",IFERROR(INDEX(품목마스터!$B$3:$B$102,MATCH($B45,품목마스터!$A$3:$A$102,0)),""))</f>
        <v/>
      </c>
      <c r="D45" s="15" t="str">
        <f aca="false">IF($B45="","",IFERROR(INDEX(품목마스터!$C$3:$C$102,MATCH($B45,품목마스터!$A$3:$A$102,0)),""))</f>
        <v/>
      </c>
      <c r="E45" s="13" t="str">
        <f aca="false">IF($B45="","",IFERROR(INDEX(품목마스터!$D$3:$D$102,MATCH($B45,품목마스터!$A$3:$A$102,0)),0))</f>
        <v/>
      </c>
      <c r="F45" s="10"/>
      <c r="G45" s="16" t="str">
        <f aca="false">IF(OR($E45="",$F45=""),"",ROUND($E45*$F45,0))</f>
        <v/>
      </c>
      <c r="H45" s="17"/>
      <c r="I45" s="16" t="str">
        <f aca="false">IF($G45="","",ROUND($G45*IF($H45="",0,$H45)/100,0))</f>
        <v/>
      </c>
      <c r="J45" s="10"/>
      <c r="K45" s="15" t="str">
        <f aca="false">IF($A45="","",COUNTIFS($A$3:$A45,$A45))</f>
        <v/>
      </c>
      <c r="L45" s="15" t="str">
        <f aca="false">IF($A45="","",$A45&amp;"|"&amp;$K45)</f>
        <v/>
      </c>
    </row>
    <row r="46" customFormat="false" ht="15" hidden="false" customHeight="true" outlineLevel="0" collapsed="false">
      <c r="A46" s="12"/>
      <c r="B46" s="12"/>
      <c r="C46" s="15" t="str">
        <f aca="false">IF($B46="","",IFERROR(INDEX(품목마스터!$B$3:$B$102,MATCH($B46,품목마스터!$A$3:$A$102,0)),""))</f>
        <v/>
      </c>
      <c r="D46" s="15" t="str">
        <f aca="false">IF($B46="","",IFERROR(INDEX(품목마스터!$C$3:$C$102,MATCH($B46,품목마스터!$A$3:$A$102,0)),""))</f>
        <v/>
      </c>
      <c r="E46" s="13" t="str">
        <f aca="false">IF($B46="","",IFERROR(INDEX(품목마스터!$D$3:$D$102,MATCH($B46,품목마스터!$A$3:$A$102,0)),0))</f>
        <v/>
      </c>
      <c r="F46" s="10"/>
      <c r="G46" s="16" t="str">
        <f aca="false">IF(OR($E46="",$F46=""),"",ROUND($E46*$F46,0))</f>
        <v/>
      </c>
      <c r="H46" s="17"/>
      <c r="I46" s="16" t="str">
        <f aca="false">IF($G46="","",ROUND($G46*IF($H46="",0,$H46)/100,0))</f>
        <v/>
      </c>
      <c r="J46" s="10"/>
      <c r="K46" s="15" t="str">
        <f aca="false">IF($A46="","",COUNTIFS($A$3:$A46,$A46))</f>
        <v/>
      </c>
      <c r="L46" s="15" t="str">
        <f aca="false">IF($A46="","",$A46&amp;"|"&amp;$K46)</f>
        <v/>
      </c>
    </row>
    <row r="47" customFormat="false" ht="15" hidden="false" customHeight="true" outlineLevel="0" collapsed="false">
      <c r="A47" s="12"/>
      <c r="B47" s="12"/>
      <c r="C47" s="15" t="str">
        <f aca="false">IF($B47="","",IFERROR(INDEX(품목마스터!$B$3:$B$102,MATCH($B47,품목마스터!$A$3:$A$102,0)),""))</f>
        <v/>
      </c>
      <c r="D47" s="15" t="str">
        <f aca="false">IF($B47="","",IFERROR(INDEX(품목마스터!$C$3:$C$102,MATCH($B47,품목마스터!$A$3:$A$102,0)),""))</f>
        <v/>
      </c>
      <c r="E47" s="13" t="str">
        <f aca="false">IF($B47="","",IFERROR(INDEX(품목마스터!$D$3:$D$102,MATCH($B47,품목마스터!$A$3:$A$102,0)),0))</f>
        <v/>
      </c>
      <c r="F47" s="10"/>
      <c r="G47" s="16" t="str">
        <f aca="false">IF(OR($E47="",$F47=""),"",ROUND($E47*$F47,0))</f>
        <v/>
      </c>
      <c r="H47" s="17"/>
      <c r="I47" s="16" t="str">
        <f aca="false">IF($G47="","",ROUND($G47*IF($H47="",0,$H47)/100,0))</f>
        <v/>
      </c>
      <c r="J47" s="10"/>
      <c r="K47" s="15" t="str">
        <f aca="false">IF($A47="","",COUNTIFS($A$3:$A47,$A47))</f>
        <v/>
      </c>
      <c r="L47" s="15" t="str">
        <f aca="false">IF($A47="","",$A47&amp;"|"&amp;$K47)</f>
        <v/>
      </c>
    </row>
    <row r="48" customFormat="false" ht="15" hidden="false" customHeight="true" outlineLevel="0" collapsed="false">
      <c r="A48" s="12"/>
      <c r="B48" s="12"/>
      <c r="C48" s="15" t="str">
        <f aca="false">IF($B48="","",IFERROR(INDEX(품목마스터!$B$3:$B$102,MATCH($B48,품목마스터!$A$3:$A$102,0)),""))</f>
        <v/>
      </c>
      <c r="D48" s="15" t="str">
        <f aca="false">IF($B48="","",IFERROR(INDEX(품목마스터!$C$3:$C$102,MATCH($B48,품목마스터!$A$3:$A$102,0)),""))</f>
        <v/>
      </c>
      <c r="E48" s="13" t="str">
        <f aca="false">IF($B48="","",IFERROR(INDEX(품목마스터!$D$3:$D$102,MATCH($B48,품목마스터!$A$3:$A$102,0)),0))</f>
        <v/>
      </c>
      <c r="F48" s="10"/>
      <c r="G48" s="16" t="str">
        <f aca="false">IF(OR($E48="",$F48=""),"",ROUND($E48*$F48,0))</f>
        <v/>
      </c>
      <c r="H48" s="17"/>
      <c r="I48" s="16" t="str">
        <f aca="false">IF($G48="","",ROUND($G48*IF($H48="",0,$H48)/100,0))</f>
        <v/>
      </c>
      <c r="J48" s="10"/>
      <c r="K48" s="15" t="str">
        <f aca="false">IF($A48="","",COUNTIFS($A$3:$A48,$A48))</f>
        <v/>
      </c>
      <c r="L48" s="15" t="str">
        <f aca="false">IF($A48="","",$A48&amp;"|"&amp;$K48)</f>
        <v/>
      </c>
    </row>
    <row r="49" customFormat="false" ht="15" hidden="false" customHeight="true" outlineLevel="0" collapsed="false">
      <c r="A49" s="12"/>
      <c r="B49" s="12"/>
      <c r="C49" s="15" t="str">
        <f aca="false">IF($B49="","",IFERROR(INDEX(품목마스터!$B$3:$B$102,MATCH($B49,품목마스터!$A$3:$A$102,0)),""))</f>
        <v/>
      </c>
      <c r="D49" s="15" t="str">
        <f aca="false">IF($B49="","",IFERROR(INDEX(품목마스터!$C$3:$C$102,MATCH($B49,품목마스터!$A$3:$A$102,0)),""))</f>
        <v/>
      </c>
      <c r="E49" s="13" t="str">
        <f aca="false">IF($B49="","",IFERROR(INDEX(품목마스터!$D$3:$D$102,MATCH($B49,품목마스터!$A$3:$A$102,0)),0))</f>
        <v/>
      </c>
      <c r="F49" s="10"/>
      <c r="G49" s="16" t="str">
        <f aca="false">IF(OR($E49="",$F49=""),"",ROUND($E49*$F49,0))</f>
        <v/>
      </c>
      <c r="H49" s="17"/>
      <c r="I49" s="16" t="str">
        <f aca="false">IF($G49="","",ROUND($G49*IF($H49="",0,$H49)/100,0))</f>
        <v/>
      </c>
      <c r="J49" s="10"/>
      <c r="K49" s="15" t="str">
        <f aca="false">IF($A49="","",COUNTIFS($A$3:$A49,$A49))</f>
        <v/>
      </c>
      <c r="L49" s="15" t="str">
        <f aca="false">IF($A49="","",$A49&amp;"|"&amp;$K49)</f>
        <v/>
      </c>
    </row>
    <row r="50" customFormat="false" ht="15" hidden="false" customHeight="true" outlineLevel="0" collapsed="false">
      <c r="A50" s="12"/>
      <c r="B50" s="12"/>
      <c r="C50" s="15" t="str">
        <f aca="false">IF($B50="","",IFERROR(INDEX(품목마스터!$B$3:$B$102,MATCH($B50,품목마스터!$A$3:$A$102,0)),""))</f>
        <v/>
      </c>
      <c r="D50" s="15" t="str">
        <f aca="false">IF($B50="","",IFERROR(INDEX(품목마스터!$C$3:$C$102,MATCH($B50,품목마스터!$A$3:$A$102,0)),""))</f>
        <v/>
      </c>
      <c r="E50" s="13" t="str">
        <f aca="false">IF($B50="","",IFERROR(INDEX(품목마스터!$D$3:$D$102,MATCH($B50,품목마스터!$A$3:$A$102,0)),0))</f>
        <v/>
      </c>
      <c r="F50" s="10"/>
      <c r="G50" s="16" t="str">
        <f aca="false">IF(OR($E50="",$F50=""),"",ROUND($E50*$F50,0))</f>
        <v/>
      </c>
      <c r="H50" s="17"/>
      <c r="I50" s="16" t="str">
        <f aca="false">IF($G50="","",ROUND($G50*IF($H50="",0,$H50)/100,0))</f>
        <v/>
      </c>
      <c r="J50" s="10"/>
      <c r="K50" s="15" t="str">
        <f aca="false">IF($A50="","",COUNTIFS($A$3:$A50,$A50))</f>
        <v/>
      </c>
      <c r="L50" s="15" t="str">
        <f aca="false">IF($A50="","",$A50&amp;"|"&amp;$K50)</f>
        <v/>
      </c>
    </row>
    <row r="51" customFormat="false" ht="15" hidden="false" customHeight="true" outlineLevel="0" collapsed="false">
      <c r="A51" s="12"/>
      <c r="B51" s="12"/>
      <c r="C51" s="15" t="str">
        <f aca="false">IF($B51="","",IFERROR(INDEX(품목마스터!$B$3:$B$102,MATCH($B51,품목마스터!$A$3:$A$102,0)),""))</f>
        <v/>
      </c>
      <c r="D51" s="15" t="str">
        <f aca="false">IF($B51="","",IFERROR(INDEX(품목마스터!$C$3:$C$102,MATCH($B51,품목마스터!$A$3:$A$102,0)),""))</f>
        <v/>
      </c>
      <c r="E51" s="13" t="str">
        <f aca="false">IF($B51="","",IFERROR(INDEX(품목마스터!$D$3:$D$102,MATCH($B51,품목마스터!$A$3:$A$102,0)),0))</f>
        <v/>
      </c>
      <c r="F51" s="10"/>
      <c r="G51" s="16" t="str">
        <f aca="false">IF(OR($E51="",$F51=""),"",ROUND($E51*$F51,0))</f>
        <v/>
      </c>
      <c r="H51" s="17"/>
      <c r="I51" s="16" t="str">
        <f aca="false">IF($G51="","",ROUND($G51*IF($H51="",0,$H51)/100,0))</f>
        <v/>
      </c>
      <c r="J51" s="10"/>
      <c r="K51" s="15" t="str">
        <f aca="false">IF($A51="","",COUNTIFS($A$3:$A51,$A51))</f>
        <v/>
      </c>
      <c r="L51" s="15" t="str">
        <f aca="false">IF($A51="","",$A51&amp;"|"&amp;$K51)</f>
        <v/>
      </c>
    </row>
    <row r="52" customFormat="false" ht="15" hidden="false" customHeight="true" outlineLevel="0" collapsed="false">
      <c r="A52" s="12"/>
      <c r="B52" s="12"/>
      <c r="C52" s="15" t="str">
        <f aca="false">IF($B52="","",IFERROR(INDEX(품목마스터!$B$3:$B$102,MATCH($B52,품목마스터!$A$3:$A$102,0)),""))</f>
        <v/>
      </c>
      <c r="D52" s="15" t="str">
        <f aca="false">IF($B52="","",IFERROR(INDEX(품목마스터!$C$3:$C$102,MATCH($B52,품목마스터!$A$3:$A$102,0)),""))</f>
        <v/>
      </c>
      <c r="E52" s="13" t="str">
        <f aca="false">IF($B52="","",IFERROR(INDEX(품목마스터!$D$3:$D$102,MATCH($B52,품목마스터!$A$3:$A$102,0)),0))</f>
        <v/>
      </c>
      <c r="F52" s="10"/>
      <c r="G52" s="16" t="str">
        <f aca="false">IF(OR($E52="",$F52=""),"",ROUND($E52*$F52,0))</f>
        <v/>
      </c>
      <c r="H52" s="17"/>
      <c r="I52" s="16" t="str">
        <f aca="false">IF($G52="","",ROUND($G52*IF($H52="",0,$H52)/100,0))</f>
        <v/>
      </c>
      <c r="J52" s="10"/>
      <c r="K52" s="15" t="str">
        <f aca="false">IF($A52="","",COUNTIFS($A$3:$A52,$A52))</f>
        <v/>
      </c>
      <c r="L52" s="15" t="str">
        <f aca="false">IF($A52="","",$A52&amp;"|"&amp;$K52)</f>
        <v/>
      </c>
    </row>
    <row r="53" customFormat="false" ht="15" hidden="false" customHeight="true" outlineLevel="0" collapsed="false">
      <c r="A53" s="12"/>
      <c r="B53" s="12"/>
      <c r="C53" s="15" t="str">
        <f aca="false">IF($B53="","",IFERROR(INDEX(품목마스터!$B$3:$B$102,MATCH($B53,품목마스터!$A$3:$A$102,0)),""))</f>
        <v/>
      </c>
      <c r="D53" s="15" t="str">
        <f aca="false">IF($B53="","",IFERROR(INDEX(품목마스터!$C$3:$C$102,MATCH($B53,품목마스터!$A$3:$A$102,0)),""))</f>
        <v/>
      </c>
      <c r="E53" s="13" t="str">
        <f aca="false">IF($B53="","",IFERROR(INDEX(품목마스터!$D$3:$D$102,MATCH($B53,품목마스터!$A$3:$A$102,0)),0))</f>
        <v/>
      </c>
      <c r="F53" s="10"/>
      <c r="G53" s="16" t="str">
        <f aca="false">IF(OR($E53="",$F53=""),"",ROUND($E53*$F53,0))</f>
        <v/>
      </c>
      <c r="H53" s="17"/>
      <c r="I53" s="16" t="str">
        <f aca="false">IF($G53="","",ROUND($G53*IF($H53="",0,$H53)/100,0))</f>
        <v/>
      </c>
      <c r="J53" s="10"/>
      <c r="K53" s="15" t="str">
        <f aca="false">IF($A53="","",COUNTIFS($A$3:$A53,$A53))</f>
        <v/>
      </c>
      <c r="L53" s="15" t="str">
        <f aca="false">IF($A53="","",$A53&amp;"|"&amp;$K53)</f>
        <v/>
      </c>
    </row>
    <row r="54" customFormat="false" ht="15" hidden="false" customHeight="true" outlineLevel="0" collapsed="false">
      <c r="A54" s="12"/>
      <c r="B54" s="12"/>
      <c r="C54" s="15" t="str">
        <f aca="false">IF($B54="","",IFERROR(INDEX(품목마스터!$B$3:$B$102,MATCH($B54,품목마스터!$A$3:$A$102,0)),""))</f>
        <v/>
      </c>
      <c r="D54" s="15" t="str">
        <f aca="false">IF($B54="","",IFERROR(INDEX(품목마스터!$C$3:$C$102,MATCH($B54,품목마스터!$A$3:$A$102,0)),""))</f>
        <v/>
      </c>
      <c r="E54" s="13" t="str">
        <f aca="false">IF($B54="","",IFERROR(INDEX(품목마스터!$D$3:$D$102,MATCH($B54,품목마스터!$A$3:$A$102,0)),0))</f>
        <v/>
      </c>
      <c r="F54" s="10"/>
      <c r="G54" s="16" t="str">
        <f aca="false">IF(OR($E54="",$F54=""),"",ROUND($E54*$F54,0))</f>
        <v/>
      </c>
      <c r="H54" s="17"/>
      <c r="I54" s="16" t="str">
        <f aca="false">IF($G54="","",ROUND($G54*IF($H54="",0,$H54)/100,0))</f>
        <v/>
      </c>
      <c r="J54" s="10"/>
      <c r="K54" s="15" t="str">
        <f aca="false">IF($A54="","",COUNTIFS($A$3:$A54,$A54))</f>
        <v/>
      </c>
      <c r="L54" s="15" t="str">
        <f aca="false">IF($A54="","",$A54&amp;"|"&amp;$K54)</f>
        <v/>
      </c>
    </row>
    <row r="55" customFormat="false" ht="15" hidden="false" customHeight="true" outlineLevel="0" collapsed="false">
      <c r="A55" s="12"/>
      <c r="B55" s="12"/>
      <c r="C55" s="15" t="str">
        <f aca="false">IF($B55="","",IFERROR(INDEX(품목마스터!$B$3:$B$102,MATCH($B55,품목마스터!$A$3:$A$102,0)),""))</f>
        <v/>
      </c>
      <c r="D55" s="15" t="str">
        <f aca="false">IF($B55="","",IFERROR(INDEX(품목마스터!$C$3:$C$102,MATCH($B55,품목마스터!$A$3:$A$102,0)),""))</f>
        <v/>
      </c>
      <c r="E55" s="13" t="str">
        <f aca="false">IF($B55="","",IFERROR(INDEX(품목마스터!$D$3:$D$102,MATCH($B55,품목마스터!$A$3:$A$102,0)),0))</f>
        <v/>
      </c>
      <c r="F55" s="10"/>
      <c r="G55" s="16" t="str">
        <f aca="false">IF(OR($E55="",$F55=""),"",ROUND($E55*$F55,0))</f>
        <v/>
      </c>
      <c r="H55" s="17"/>
      <c r="I55" s="16" t="str">
        <f aca="false">IF($G55="","",ROUND($G55*IF($H55="",0,$H55)/100,0))</f>
        <v/>
      </c>
      <c r="J55" s="10"/>
      <c r="K55" s="15" t="str">
        <f aca="false">IF($A55="","",COUNTIFS($A$3:$A55,$A55))</f>
        <v/>
      </c>
      <c r="L55" s="15" t="str">
        <f aca="false">IF($A55="","",$A55&amp;"|"&amp;$K55)</f>
        <v/>
      </c>
    </row>
    <row r="56" customFormat="false" ht="15" hidden="false" customHeight="true" outlineLevel="0" collapsed="false">
      <c r="A56" s="12"/>
      <c r="B56" s="12"/>
      <c r="C56" s="15" t="str">
        <f aca="false">IF($B56="","",IFERROR(INDEX(품목마스터!$B$3:$B$102,MATCH($B56,품목마스터!$A$3:$A$102,0)),""))</f>
        <v/>
      </c>
      <c r="D56" s="15" t="str">
        <f aca="false">IF($B56="","",IFERROR(INDEX(품목마스터!$C$3:$C$102,MATCH($B56,품목마스터!$A$3:$A$102,0)),""))</f>
        <v/>
      </c>
      <c r="E56" s="13" t="str">
        <f aca="false">IF($B56="","",IFERROR(INDEX(품목마스터!$D$3:$D$102,MATCH($B56,품목마스터!$A$3:$A$102,0)),0))</f>
        <v/>
      </c>
      <c r="F56" s="10"/>
      <c r="G56" s="16" t="str">
        <f aca="false">IF(OR($E56="",$F56=""),"",ROUND($E56*$F56,0))</f>
        <v/>
      </c>
      <c r="H56" s="17"/>
      <c r="I56" s="16" t="str">
        <f aca="false">IF($G56="","",ROUND($G56*IF($H56="",0,$H56)/100,0))</f>
        <v/>
      </c>
      <c r="J56" s="10"/>
      <c r="K56" s="15" t="str">
        <f aca="false">IF($A56="","",COUNTIFS($A$3:$A56,$A56))</f>
        <v/>
      </c>
      <c r="L56" s="15" t="str">
        <f aca="false">IF($A56="","",$A56&amp;"|"&amp;$K56)</f>
        <v/>
      </c>
    </row>
    <row r="57" customFormat="false" ht="15" hidden="false" customHeight="true" outlineLevel="0" collapsed="false">
      <c r="A57" s="12"/>
      <c r="B57" s="12"/>
      <c r="C57" s="15" t="str">
        <f aca="false">IF($B57="","",IFERROR(INDEX(품목마스터!$B$3:$B$102,MATCH($B57,품목마스터!$A$3:$A$102,0)),""))</f>
        <v/>
      </c>
      <c r="D57" s="15" t="str">
        <f aca="false">IF($B57="","",IFERROR(INDEX(품목마스터!$C$3:$C$102,MATCH($B57,품목마스터!$A$3:$A$102,0)),""))</f>
        <v/>
      </c>
      <c r="E57" s="13" t="str">
        <f aca="false">IF($B57="","",IFERROR(INDEX(품목마스터!$D$3:$D$102,MATCH($B57,품목마스터!$A$3:$A$102,0)),0))</f>
        <v/>
      </c>
      <c r="F57" s="10"/>
      <c r="G57" s="16" t="str">
        <f aca="false">IF(OR($E57="",$F57=""),"",ROUND($E57*$F57,0))</f>
        <v/>
      </c>
      <c r="H57" s="17"/>
      <c r="I57" s="16" t="str">
        <f aca="false">IF($G57="","",ROUND($G57*IF($H57="",0,$H57)/100,0))</f>
        <v/>
      </c>
      <c r="J57" s="10"/>
      <c r="K57" s="15" t="str">
        <f aca="false">IF($A57="","",COUNTIFS($A$3:$A57,$A57))</f>
        <v/>
      </c>
      <c r="L57" s="15" t="str">
        <f aca="false">IF($A57="","",$A57&amp;"|"&amp;$K57)</f>
        <v/>
      </c>
    </row>
    <row r="58" customFormat="false" ht="15" hidden="false" customHeight="true" outlineLevel="0" collapsed="false">
      <c r="A58" s="12"/>
      <c r="B58" s="12"/>
      <c r="C58" s="15" t="str">
        <f aca="false">IF($B58="","",IFERROR(INDEX(품목마스터!$B$3:$B$102,MATCH($B58,품목마스터!$A$3:$A$102,0)),""))</f>
        <v/>
      </c>
      <c r="D58" s="15" t="str">
        <f aca="false">IF($B58="","",IFERROR(INDEX(품목마스터!$C$3:$C$102,MATCH($B58,품목마스터!$A$3:$A$102,0)),""))</f>
        <v/>
      </c>
      <c r="E58" s="13" t="str">
        <f aca="false">IF($B58="","",IFERROR(INDEX(품목마스터!$D$3:$D$102,MATCH($B58,품목마스터!$A$3:$A$102,0)),0))</f>
        <v/>
      </c>
      <c r="F58" s="10"/>
      <c r="G58" s="16" t="str">
        <f aca="false">IF(OR($E58="",$F58=""),"",ROUND($E58*$F58,0))</f>
        <v/>
      </c>
      <c r="H58" s="17"/>
      <c r="I58" s="16" t="str">
        <f aca="false">IF($G58="","",ROUND($G58*IF($H58="",0,$H58)/100,0))</f>
        <v/>
      </c>
      <c r="J58" s="10"/>
      <c r="K58" s="15" t="str">
        <f aca="false">IF($A58="","",COUNTIFS($A$3:$A58,$A58))</f>
        <v/>
      </c>
      <c r="L58" s="15" t="str">
        <f aca="false">IF($A58="","",$A58&amp;"|"&amp;$K58)</f>
        <v/>
      </c>
    </row>
    <row r="59" customFormat="false" ht="15" hidden="false" customHeight="true" outlineLevel="0" collapsed="false">
      <c r="A59" s="12"/>
      <c r="B59" s="12"/>
      <c r="C59" s="15" t="str">
        <f aca="false">IF($B59="","",IFERROR(INDEX(품목마스터!$B$3:$B$102,MATCH($B59,품목마스터!$A$3:$A$102,0)),""))</f>
        <v/>
      </c>
      <c r="D59" s="15" t="str">
        <f aca="false">IF($B59="","",IFERROR(INDEX(품목마스터!$C$3:$C$102,MATCH($B59,품목마스터!$A$3:$A$102,0)),""))</f>
        <v/>
      </c>
      <c r="E59" s="13" t="str">
        <f aca="false">IF($B59="","",IFERROR(INDEX(품목마스터!$D$3:$D$102,MATCH($B59,품목마스터!$A$3:$A$102,0)),0))</f>
        <v/>
      </c>
      <c r="F59" s="10"/>
      <c r="G59" s="16" t="str">
        <f aca="false">IF(OR($E59="",$F59=""),"",ROUND($E59*$F59,0))</f>
        <v/>
      </c>
      <c r="H59" s="17"/>
      <c r="I59" s="16" t="str">
        <f aca="false">IF($G59="","",ROUND($G59*IF($H59="",0,$H59)/100,0))</f>
        <v/>
      </c>
      <c r="J59" s="10"/>
      <c r="K59" s="15" t="str">
        <f aca="false">IF($A59="","",COUNTIFS($A$3:$A59,$A59))</f>
        <v/>
      </c>
      <c r="L59" s="15" t="str">
        <f aca="false">IF($A59="","",$A59&amp;"|"&amp;$K59)</f>
        <v/>
      </c>
    </row>
    <row r="60" customFormat="false" ht="15" hidden="false" customHeight="true" outlineLevel="0" collapsed="false">
      <c r="A60" s="12"/>
      <c r="B60" s="12"/>
      <c r="C60" s="15" t="str">
        <f aca="false">IF($B60="","",IFERROR(INDEX(품목마스터!$B$3:$B$102,MATCH($B60,품목마스터!$A$3:$A$102,0)),""))</f>
        <v/>
      </c>
      <c r="D60" s="15" t="str">
        <f aca="false">IF($B60="","",IFERROR(INDEX(품목마스터!$C$3:$C$102,MATCH($B60,품목마스터!$A$3:$A$102,0)),""))</f>
        <v/>
      </c>
      <c r="E60" s="13" t="str">
        <f aca="false">IF($B60="","",IFERROR(INDEX(품목마스터!$D$3:$D$102,MATCH($B60,품목마스터!$A$3:$A$102,0)),0))</f>
        <v/>
      </c>
      <c r="F60" s="10"/>
      <c r="G60" s="16" t="str">
        <f aca="false">IF(OR($E60="",$F60=""),"",ROUND($E60*$F60,0))</f>
        <v/>
      </c>
      <c r="H60" s="17"/>
      <c r="I60" s="16" t="str">
        <f aca="false">IF($G60="","",ROUND($G60*IF($H60="",0,$H60)/100,0))</f>
        <v/>
      </c>
      <c r="J60" s="10"/>
      <c r="K60" s="15" t="str">
        <f aca="false">IF($A60="","",COUNTIFS($A$3:$A60,$A60))</f>
        <v/>
      </c>
      <c r="L60" s="15" t="str">
        <f aca="false">IF($A60="","",$A60&amp;"|"&amp;$K60)</f>
        <v/>
      </c>
    </row>
    <row r="61" customFormat="false" ht="15" hidden="false" customHeight="true" outlineLevel="0" collapsed="false">
      <c r="A61" s="12"/>
      <c r="B61" s="12"/>
      <c r="C61" s="15" t="str">
        <f aca="false">IF($B61="","",IFERROR(INDEX(품목마스터!$B$3:$B$102,MATCH($B61,품목마스터!$A$3:$A$102,0)),""))</f>
        <v/>
      </c>
      <c r="D61" s="15" t="str">
        <f aca="false">IF($B61="","",IFERROR(INDEX(품목마스터!$C$3:$C$102,MATCH($B61,품목마스터!$A$3:$A$102,0)),""))</f>
        <v/>
      </c>
      <c r="E61" s="13" t="str">
        <f aca="false">IF($B61="","",IFERROR(INDEX(품목마스터!$D$3:$D$102,MATCH($B61,품목마스터!$A$3:$A$102,0)),0))</f>
        <v/>
      </c>
      <c r="F61" s="10"/>
      <c r="G61" s="16" t="str">
        <f aca="false">IF(OR($E61="",$F61=""),"",ROUND($E61*$F61,0))</f>
        <v/>
      </c>
      <c r="H61" s="17"/>
      <c r="I61" s="16" t="str">
        <f aca="false">IF($G61="","",ROUND($G61*IF($H61="",0,$H61)/100,0))</f>
        <v/>
      </c>
      <c r="J61" s="10"/>
      <c r="K61" s="15" t="str">
        <f aca="false">IF($A61="","",COUNTIFS($A$3:$A61,$A61))</f>
        <v/>
      </c>
      <c r="L61" s="15" t="str">
        <f aca="false">IF($A61="","",$A61&amp;"|"&amp;$K61)</f>
        <v/>
      </c>
    </row>
    <row r="62" customFormat="false" ht="15" hidden="false" customHeight="true" outlineLevel="0" collapsed="false">
      <c r="A62" s="12"/>
      <c r="B62" s="12"/>
      <c r="C62" s="15" t="str">
        <f aca="false">IF($B62="","",IFERROR(INDEX(품목마스터!$B$3:$B$102,MATCH($B62,품목마스터!$A$3:$A$102,0)),""))</f>
        <v/>
      </c>
      <c r="D62" s="15" t="str">
        <f aca="false">IF($B62="","",IFERROR(INDEX(품목마스터!$C$3:$C$102,MATCH($B62,품목마스터!$A$3:$A$102,0)),""))</f>
        <v/>
      </c>
      <c r="E62" s="13" t="str">
        <f aca="false">IF($B62="","",IFERROR(INDEX(품목마스터!$D$3:$D$102,MATCH($B62,품목마스터!$A$3:$A$102,0)),0))</f>
        <v/>
      </c>
      <c r="F62" s="10"/>
      <c r="G62" s="16" t="str">
        <f aca="false">IF(OR($E62="",$F62=""),"",ROUND($E62*$F62,0))</f>
        <v/>
      </c>
      <c r="H62" s="17"/>
      <c r="I62" s="16" t="str">
        <f aca="false">IF($G62="","",ROUND($G62*IF($H62="",0,$H62)/100,0))</f>
        <v/>
      </c>
      <c r="J62" s="10"/>
      <c r="K62" s="15" t="str">
        <f aca="false">IF($A62="","",COUNTIFS($A$3:$A62,$A62))</f>
        <v/>
      </c>
      <c r="L62" s="15" t="str">
        <f aca="false">IF($A62="","",$A62&amp;"|"&amp;$K62)</f>
        <v/>
      </c>
    </row>
    <row r="63" customFormat="false" ht="15" hidden="false" customHeight="true" outlineLevel="0" collapsed="false">
      <c r="A63" s="12"/>
      <c r="B63" s="12"/>
      <c r="C63" s="15" t="str">
        <f aca="false">IF($B63="","",IFERROR(INDEX(품목마스터!$B$3:$B$102,MATCH($B63,품목마스터!$A$3:$A$102,0)),""))</f>
        <v/>
      </c>
      <c r="D63" s="15" t="str">
        <f aca="false">IF($B63="","",IFERROR(INDEX(품목마스터!$C$3:$C$102,MATCH($B63,품목마스터!$A$3:$A$102,0)),""))</f>
        <v/>
      </c>
      <c r="E63" s="13" t="str">
        <f aca="false">IF($B63="","",IFERROR(INDEX(품목마스터!$D$3:$D$102,MATCH($B63,품목마스터!$A$3:$A$102,0)),0))</f>
        <v/>
      </c>
      <c r="F63" s="10"/>
      <c r="G63" s="16" t="str">
        <f aca="false">IF(OR($E63="",$F63=""),"",ROUND($E63*$F63,0))</f>
        <v/>
      </c>
      <c r="H63" s="17"/>
      <c r="I63" s="16" t="str">
        <f aca="false">IF($G63="","",ROUND($G63*IF($H63="",0,$H63)/100,0))</f>
        <v/>
      </c>
      <c r="J63" s="10"/>
      <c r="K63" s="15" t="str">
        <f aca="false">IF($A63="","",COUNTIFS($A$3:$A63,$A63))</f>
        <v/>
      </c>
      <c r="L63" s="15" t="str">
        <f aca="false">IF($A63="","",$A63&amp;"|"&amp;$K63)</f>
        <v/>
      </c>
    </row>
    <row r="64" customFormat="false" ht="15" hidden="false" customHeight="true" outlineLevel="0" collapsed="false">
      <c r="A64" s="12"/>
      <c r="B64" s="12"/>
      <c r="C64" s="15" t="str">
        <f aca="false">IF($B64="","",IFERROR(INDEX(품목마스터!$B$3:$B$102,MATCH($B64,품목마스터!$A$3:$A$102,0)),""))</f>
        <v/>
      </c>
      <c r="D64" s="15" t="str">
        <f aca="false">IF($B64="","",IFERROR(INDEX(품목마스터!$C$3:$C$102,MATCH($B64,품목마스터!$A$3:$A$102,0)),""))</f>
        <v/>
      </c>
      <c r="E64" s="13" t="str">
        <f aca="false">IF($B64="","",IFERROR(INDEX(품목마스터!$D$3:$D$102,MATCH($B64,품목마스터!$A$3:$A$102,0)),0))</f>
        <v/>
      </c>
      <c r="F64" s="10"/>
      <c r="G64" s="16" t="str">
        <f aca="false">IF(OR($E64="",$F64=""),"",ROUND($E64*$F64,0))</f>
        <v/>
      </c>
      <c r="H64" s="17"/>
      <c r="I64" s="16" t="str">
        <f aca="false">IF($G64="","",ROUND($G64*IF($H64="",0,$H64)/100,0))</f>
        <v/>
      </c>
      <c r="J64" s="10"/>
      <c r="K64" s="15" t="str">
        <f aca="false">IF($A64="","",COUNTIFS($A$3:$A64,$A64))</f>
        <v/>
      </c>
      <c r="L64" s="15" t="str">
        <f aca="false">IF($A64="","",$A64&amp;"|"&amp;$K64)</f>
        <v/>
      </c>
    </row>
    <row r="65" customFormat="false" ht="15" hidden="false" customHeight="true" outlineLevel="0" collapsed="false">
      <c r="A65" s="12"/>
      <c r="B65" s="12"/>
      <c r="C65" s="15" t="str">
        <f aca="false">IF($B65="","",IFERROR(INDEX(품목마스터!$B$3:$B$102,MATCH($B65,품목마스터!$A$3:$A$102,0)),""))</f>
        <v/>
      </c>
      <c r="D65" s="15" t="str">
        <f aca="false">IF($B65="","",IFERROR(INDEX(품목마스터!$C$3:$C$102,MATCH($B65,품목마스터!$A$3:$A$102,0)),""))</f>
        <v/>
      </c>
      <c r="E65" s="13" t="str">
        <f aca="false">IF($B65="","",IFERROR(INDEX(품목마스터!$D$3:$D$102,MATCH($B65,품목마스터!$A$3:$A$102,0)),0))</f>
        <v/>
      </c>
      <c r="F65" s="10"/>
      <c r="G65" s="16" t="str">
        <f aca="false">IF(OR($E65="",$F65=""),"",ROUND($E65*$F65,0))</f>
        <v/>
      </c>
      <c r="H65" s="17"/>
      <c r="I65" s="16" t="str">
        <f aca="false">IF($G65="","",ROUND($G65*IF($H65="",0,$H65)/100,0))</f>
        <v/>
      </c>
      <c r="J65" s="10"/>
      <c r="K65" s="15" t="str">
        <f aca="false">IF($A65="","",COUNTIFS($A$3:$A65,$A65))</f>
        <v/>
      </c>
      <c r="L65" s="15" t="str">
        <f aca="false">IF($A65="","",$A65&amp;"|"&amp;$K65)</f>
        <v/>
      </c>
    </row>
    <row r="66" customFormat="false" ht="15" hidden="false" customHeight="true" outlineLevel="0" collapsed="false">
      <c r="A66" s="12"/>
      <c r="B66" s="12"/>
      <c r="C66" s="15" t="str">
        <f aca="false">IF($B66="","",IFERROR(INDEX(품목마스터!$B$3:$B$102,MATCH($B66,품목마스터!$A$3:$A$102,0)),""))</f>
        <v/>
      </c>
      <c r="D66" s="15" t="str">
        <f aca="false">IF($B66="","",IFERROR(INDEX(품목마스터!$C$3:$C$102,MATCH($B66,품목마스터!$A$3:$A$102,0)),""))</f>
        <v/>
      </c>
      <c r="E66" s="13" t="str">
        <f aca="false">IF($B66="","",IFERROR(INDEX(품목마스터!$D$3:$D$102,MATCH($B66,품목마스터!$A$3:$A$102,0)),0))</f>
        <v/>
      </c>
      <c r="F66" s="10"/>
      <c r="G66" s="16" t="str">
        <f aca="false">IF(OR($E66="",$F66=""),"",ROUND($E66*$F66,0))</f>
        <v/>
      </c>
      <c r="H66" s="17"/>
      <c r="I66" s="16" t="str">
        <f aca="false">IF($G66="","",ROUND($G66*IF($H66="",0,$H66)/100,0))</f>
        <v/>
      </c>
      <c r="J66" s="10"/>
      <c r="K66" s="15" t="str">
        <f aca="false">IF($A66="","",COUNTIFS($A$3:$A66,$A66))</f>
        <v/>
      </c>
      <c r="L66" s="15" t="str">
        <f aca="false">IF($A66="","",$A66&amp;"|"&amp;$K66)</f>
        <v/>
      </c>
    </row>
    <row r="67" customFormat="false" ht="15" hidden="false" customHeight="true" outlineLevel="0" collapsed="false">
      <c r="A67" s="12"/>
      <c r="B67" s="12"/>
      <c r="C67" s="15" t="str">
        <f aca="false">IF($B67="","",IFERROR(INDEX(품목마스터!$B$3:$B$102,MATCH($B67,품목마스터!$A$3:$A$102,0)),""))</f>
        <v/>
      </c>
      <c r="D67" s="15" t="str">
        <f aca="false">IF($B67="","",IFERROR(INDEX(품목마스터!$C$3:$C$102,MATCH($B67,품목마스터!$A$3:$A$102,0)),""))</f>
        <v/>
      </c>
      <c r="E67" s="13" t="str">
        <f aca="false">IF($B67="","",IFERROR(INDEX(품목마스터!$D$3:$D$102,MATCH($B67,품목마스터!$A$3:$A$102,0)),0))</f>
        <v/>
      </c>
      <c r="F67" s="10"/>
      <c r="G67" s="16" t="str">
        <f aca="false">IF(OR($E67="",$F67=""),"",ROUND($E67*$F67,0))</f>
        <v/>
      </c>
      <c r="H67" s="17"/>
      <c r="I67" s="16" t="str">
        <f aca="false">IF($G67="","",ROUND($G67*IF($H67="",0,$H67)/100,0))</f>
        <v/>
      </c>
      <c r="J67" s="10"/>
      <c r="K67" s="15" t="str">
        <f aca="false">IF($A67="","",COUNTIFS($A$3:$A67,$A67))</f>
        <v/>
      </c>
      <c r="L67" s="15" t="str">
        <f aca="false">IF($A67="","",$A67&amp;"|"&amp;$K67)</f>
        <v/>
      </c>
    </row>
    <row r="68" customFormat="false" ht="15" hidden="false" customHeight="true" outlineLevel="0" collapsed="false">
      <c r="A68" s="12"/>
      <c r="B68" s="12"/>
      <c r="C68" s="15" t="str">
        <f aca="false">IF($B68="","",IFERROR(INDEX(품목마스터!$B$3:$B$102,MATCH($B68,품목마스터!$A$3:$A$102,0)),""))</f>
        <v/>
      </c>
      <c r="D68" s="15" t="str">
        <f aca="false">IF($B68="","",IFERROR(INDEX(품목마스터!$C$3:$C$102,MATCH($B68,품목마스터!$A$3:$A$102,0)),""))</f>
        <v/>
      </c>
      <c r="E68" s="13" t="str">
        <f aca="false">IF($B68="","",IFERROR(INDEX(품목마스터!$D$3:$D$102,MATCH($B68,품목마스터!$A$3:$A$102,0)),0))</f>
        <v/>
      </c>
      <c r="F68" s="10"/>
      <c r="G68" s="16" t="str">
        <f aca="false">IF(OR($E68="",$F68=""),"",ROUND($E68*$F68,0))</f>
        <v/>
      </c>
      <c r="H68" s="17"/>
      <c r="I68" s="16" t="str">
        <f aca="false">IF($G68="","",ROUND($G68*IF($H68="",0,$H68)/100,0))</f>
        <v/>
      </c>
      <c r="J68" s="10"/>
      <c r="K68" s="15" t="str">
        <f aca="false">IF($A68="","",COUNTIFS($A$3:$A68,$A68))</f>
        <v/>
      </c>
      <c r="L68" s="15" t="str">
        <f aca="false">IF($A68="","",$A68&amp;"|"&amp;$K68)</f>
        <v/>
      </c>
    </row>
    <row r="69" customFormat="false" ht="15" hidden="false" customHeight="true" outlineLevel="0" collapsed="false">
      <c r="A69" s="12"/>
      <c r="B69" s="12"/>
      <c r="C69" s="15" t="str">
        <f aca="false">IF($B69="","",IFERROR(INDEX(품목마스터!$B$3:$B$102,MATCH($B69,품목마스터!$A$3:$A$102,0)),""))</f>
        <v/>
      </c>
      <c r="D69" s="15" t="str">
        <f aca="false">IF($B69="","",IFERROR(INDEX(품목마스터!$C$3:$C$102,MATCH($B69,품목마스터!$A$3:$A$102,0)),""))</f>
        <v/>
      </c>
      <c r="E69" s="13" t="str">
        <f aca="false">IF($B69="","",IFERROR(INDEX(품목마스터!$D$3:$D$102,MATCH($B69,품목마스터!$A$3:$A$102,0)),0))</f>
        <v/>
      </c>
      <c r="F69" s="10"/>
      <c r="G69" s="16" t="str">
        <f aca="false">IF(OR($E69="",$F69=""),"",ROUND($E69*$F69,0))</f>
        <v/>
      </c>
      <c r="H69" s="17"/>
      <c r="I69" s="16" t="str">
        <f aca="false">IF($G69="","",ROUND($G69*IF($H69="",0,$H69)/100,0))</f>
        <v/>
      </c>
      <c r="J69" s="10"/>
      <c r="K69" s="15" t="str">
        <f aca="false">IF($A69="","",COUNTIFS($A$3:$A69,$A69))</f>
        <v/>
      </c>
      <c r="L69" s="15" t="str">
        <f aca="false">IF($A69="","",$A69&amp;"|"&amp;$K69)</f>
        <v/>
      </c>
    </row>
    <row r="70" customFormat="false" ht="15" hidden="false" customHeight="true" outlineLevel="0" collapsed="false">
      <c r="A70" s="12"/>
      <c r="B70" s="12"/>
      <c r="C70" s="15" t="str">
        <f aca="false">IF($B70="","",IFERROR(INDEX(품목마스터!$B$3:$B$102,MATCH($B70,품목마스터!$A$3:$A$102,0)),""))</f>
        <v/>
      </c>
      <c r="D70" s="15" t="str">
        <f aca="false">IF($B70="","",IFERROR(INDEX(품목마스터!$C$3:$C$102,MATCH($B70,품목마스터!$A$3:$A$102,0)),""))</f>
        <v/>
      </c>
      <c r="E70" s="13" t="str">
        <f aca="false">IF($B70="","",IFERROR(INDEX(품목마스터!$D$3:$D$102,MATCH($B70,품목마스터!$A$3:$A$102,0)),0))</f>
        <v/>
      </c>
      <c r="F70" s="10"/>
      <c r="G70" s="16" t="str">
        <f aca="false">IF(OR($E70="",$F70=""),"",ROUND($E70*$F70,0))</f>
        <v/>
      </c>
      <c r="H70" s="17"/>
      <c r="I70" s="16" t="str">
        <f aca="false">IF($G70="","",ROUND($G70*IF($H70="",0,$H70)/100,0))</f>
        <v/>
      </c>
      <c r="J70" s="10"/>
      <c r="K70" s="15" t="str">
        <f aca="false">IF($A70="","",COUNTIFS($A$3:$A70,$A70))</f>
        <v/>
      </c>
      <c r="L70" s="15" t="str">
        <f aca="false">IF($A70="","",$A70&amp;"|"&amp;$K70)</f>
        <v/>
      </c>
    </row>
    <row r="71" customFormat="false" ht="15" hidden="false" customHeight="true" outlineLevel="0" collapsed="false">
      <c r="A71" s="12"/>
      <c r="B71" s="12"/>
      <c r="C71" s="15" t="str">
        <f aca="false">IF($B71="","",IFERROR(INDEX(품목마스터!$B$3:$B$102,MATCH($B71,품목마스터!$A$3:$A$102,0)),""))</f>
        <v/>
      </c>
      <c r="D71" s="15" t="str">
        <f aca="false">IF($B71="","",IFERROR(INDEX(품목마스터!$C$3:$C$102,MATCH($B71,품목마스터!$A$3:$A$102,0)),""))</f>
        <v/>
      </c>
      <c r="E71" s="13" t="str">
        <f aca="false">IF($B71="","",IFERROR(INDEX(품목마스터!$D$3:$D$102,MATCH($B71,품목마스터!$A$3:$A$102,0)),0))</f>
        <v/>
      </c>
      <c r="F71" s="10"/>
      <c r="G71" s="16" t="str">
        <f aca="false">IF(OR($E71="",$F71=""),"",ROUND($E71*$F71,0))</f>
        <v/>
      </c>
      <c r="H71" s="17"/>
      <c r="I71" s="16" t="str">
        <f aca="false">IF($G71="","",ROUND($G71*IF($H71="",0,$H71)/100,0))</f>
        <v/>
      </c>
      <c r="J71" s="10"/>
      <c r="K71" s="15" t="str">
        <f aca="false">IF($A71="","",COUNTIFS($A$3:$A71,$A71))</f>
        <v/>
      </c>
      <c r="L71" s="15" t="str">
        <f aca="false">IF($A71="","",$A71&amp;"|"&amp;$K71)</f>
        <v/>
      </c>
    </row>
    <row r="72" customFormat="false" ht="15" hidden="false" customHeight="true" outlineLevel="0" collapsed="false">
      <c r="A72" s="12"/>
      <c r="B72" s="12"/>
      <c r="C72" s="15" t="str">
        <f aca="false">IF($B72="","",IFERROR(INDEX(품목마스터!$B$3:$B$102,MATCH($B72,품목마스터!$A$3:$A$102,0)),""))</f>
        <v/>
      </c>
      <c r="D72" s="15" t="str">
        <f aca="false">IF($B72="","",IFERROR(INDEX(품목마스터!$C$3:$C$102,MATCH($B72,품목마스터!$A$3:$A$102,0)),""))</f>
        <v/>
      </c>
      <c r="E72" s="13" t="str">
        <f aca="false">IF($B72="","",IFERROR(INDEX(품목마스터!$D$3:$D$102,MATCH($B72,품목마스터!$A$3:$A$102,0)),0))</f>
        <v/>
      </c>
      <c r="F72" s="10"/>
      <c r="G72" s="16" t="str">
        <f aca="false">IF(OR($E72="",$F72=""),"",ROUND($E72*$F72,0))</f>
        <v/>
      </c>
      <c r="H72" s="17"/>
      <c r="I72" s="16" t="str">
        <f aca="false">IF($G72="","",ROUND($G72*IF($H72="",0,$H72)/100,0))</f>
        <v/>
      </c>
      <c r="J72" s="10"/>
      <c r="K72" s="15" t="str">
        <f aca="false">IF($A72="","",COUNTIFS($A$3:$A72,$A72))</f>
        <v/>
      </c>
      <c r="L72" s="15" t="str">
        <f aca="false">IF($A72="","",$A72&amp;"|"&amp;$K72)</f>
        <v/>
      </c>
    </row>
    <row r="73" customFormat="false" ht="15" hidden="false" customHeight="true" outlineLevel="0" collapsed="false">
      <c r="A73" s="12"/>
      <c r="B73" s="12"/>
      <c r="C73" s="15" t="str">
        <f aca="false">IF($B73="","",IFERROR(INDEX(품목마스터!$B$3:$B$102,MATCH($B73,품목마스터!$A$3:$A$102,0)),""))</f>
        <v/>
      </c>
      <c r="D73" s="15" t="str">
        <f aca="false">IF($B73="","",IFERROR(INDEX(품목마스터!$C$3:$C$102,MATCH($B73,품목마스터!$A$3:$A$102,0)),""))</f>
        <v/>
      </c>
      <c r="E73" s="13" t="str">
        <f aca="false">IF($B73="","",IFERROR(INDEX(품목마스터!$D$3:$D$102,MATCH($B73,품목마스터!$A$3:$A$102,0)),0))</f>
        <v/>
      </c>
      <c r="F73" s="10"/>
      <c r="G73" s="16" t="str">
        <f aca="false">IF(OR($E73="",$F73=""),"",ROUND($E73*$F73,0))</f>
        <v/>
      </c>
      <c r="H73" s="17"/>
      <c r="I73" s="16" t="str">
        <f aca="false">IF($G73="","",ROUND($G73*IF($H73="",0,$H73)/100,0))</f>
        <v/>
      </c>
      <c r="J73" s="10"/>
      <c r="K73" s="15" t="str">
        <f aca="false">IF($A73="","",COUNTIFS($A$3:$A73,$A73))</f>
        <v/>
      </c>
      <c r="L73" s="15" t="str">
        <f aca="false">IF($A73="","",$A73&amp;"|"&amp;$K73)</f>
        <v/>
      </c>
    </row>
    <row r="74" customFormat="false" ht="15" hidden="false" customHeight="true" outlineLevel="0" collapsed="false">
      <c r="A74" s="12"/>
      <c r="B74" s="12"/>
      <c r="C74" s="15" t="str">
        <f aca="false">IF($B74="","",IFERROR(INDEX(품목마스터!$B$3:$B$102,MATCH($B74,품목마스터!$A$3:$A$102,0)),""))</f>
        <v/>
      </c>
      <c r="D74" s="15" t="str">
        <f aca="false">IF($B74="","",IFERROR(INDEX(품목마스터!$C$3:$C$102,MATCH($B74,품목마스터!$A$3:$A$102,0)),""))</f>
        <v/>
      </c>
      <c r="E74" s="13" t="str">
        <f aca="false">IF($B74="","",IFERROR(INDEX(품목마스터!$D$3:$D$102,MATCH($B74,품목마스터!$A$3:$A$102,0)),0))</f>
        <v/>
      </c>
      <c r="F74" s="10"/>
      <c r="G74" s="16" t="str">
        <f aca="false">IF(OR($E74="",$F74=""),"",ROUND($E74*$F74,0))</f>
        <v/>
      </c>
      <c r="H74" s="17"/>
      <c r="I74" s="16" t="str">
        <f aca="false">IF($G74="","",ROUND($G74*IF($H74="",0,$H74)/100,0))</f>
        <v/>
      </c>
      <c r="J74" s="10"/>
      <c r="K74" s="15" t="str">
        <f aca="false">IF($A74="","",COUNTIFS($A$3:$A74,$A74))</f>
        <v/>
      </c>
      <c r="L74" s="15" t="str">
        <f aca="false">IF($A74="","",$A74&amp;"|"&amp;$K74)</f>
        <v/>
      </c>
    </row>
    <row r="75" customFormat="false" ht="15" hidden="false" customHeight="true" outlineLevel="0" collapsed="false">
      <c r="A75" s="12"/>
      <c r="B75" s="12"/>
      <c r="C75" s="15" t="str">
        <f aca="false">IF($B75="","",IFERROR(INDEX(품목마스터!$B$3:$B$102,MATCH($B75,품목마스터!$A$3:$A$102,0)),""))</f>
        <v/>
      </c>
      <c r="D75" s="15" t="str">
        <f aca="false">IF($B75="","",IFERROR(INDEX(품목마스터!$C$3:$C$102,MATCH($B75,품목마스터!$A$3:$A$102,0)),""))</f>
        <v/>
      </c>
      <c r="E75" s="13" t="str">
        <f aca="false">IF($B75="","",IFERROR(INDEX(품목마스터!$D$3:$D$102,MATCH($B75,품목마스터!$A$3:$A$102,0)),0))</f>
        <v/>
      </c>
      <c r="F75" s="10"/>
      <c r="G75" s="16" t="str">
        <f aca="false">IF(OR($E75="",$F75=""),"",ROUND($E75*$F75,0))</f>
        <v/>
      </c>
      <c r="H75" s="17"/>
      <c r="I75" s="16" t="str">
        <f aca="false">IF($G75="","",ROUND($G75*IF($H75="",0,$H75)/100,0))</f>
        <v/>
      </c>
      <c r="J75" s="10"/>
      <c r="K75" s="15" t="str">
        <f aca="false">IF($A75="","",COUNTIFS($A$3:$A75,$A75))</f>
        <v/>
      </c>
      <c r="L75" s="15" t="str">
        <f aca="false">IF($A75="","",$A75&amp;"|"&amp;$K75)</f>
        <v/>
      </c>
    </row>
    <row r="76" customFormat="false" ht="15" hidden="false" customHeight="true" outlineLevel="0" collapsed="false">
      <c r="A76" s="12"/>
      <c r="B76" s="12"/>
      <c r="C76" s="15" t="str">
        <f aca="false">IF($B76="","",IFERROR(INDEX(품목마스터!$B$3:$B$102,MATCH($B76,품목마스터!$A$3:$A$102,0)),""))</f>
        <v/>
      </c>
      <c r="D76" s="15" t="str">
        <f aca="false">IF($B76="","",IFERROR(INDEX(품목마스터!$C$3:$C$102,MATCH($B76,품목마스터!$A$3:$A$102,0)),""))</f>
        <v/>
      </c>
      <c r="E76" s="13" t="str">
        <f aca="false">IF($B76="","",IFERROR(INDEX(품목마스터!$D$3:$D$102,MATCH($B76,품목마스터!$A$3:$A$102,0)),0))</f>
        <v/>
      </c>
      <c r="F76" s="10"/>
      <c r="G76" s="16" t="str">
        <f aca="false">IF(OR($E76="",$F76=""),"",ROUND($E76*$F76,0))</f>
        <v/>
      </c>
      <c r="H76" s="17"/>
      <c r="I76" s="16" t="str">
        <f aca="false">IF($G76="","",ROUND($G76*IF($H76="",0,$H76)/100,0))</f>
        <v/>
      </c>
      <c r="J76" s="10"/>
      <c r="K76" s="15" t="str">
        <f aca="false">IF($A76="","",COUNTIFS($A$3:$A76,$A76))</f>
        <v/>
      </c>
      <c r="L76" s="15" t="str">
        <f aca="false">IF($A76="","",$A76&amp;"|"&amp;$K76)</f>
        <v/>
      </c>
    </row>
    <row r="77" customFormat="false" ht="15" hidden="false" customHeight="true" outlineLevel="0" collapsed="false">
      <c r="A77" s="12"/>
      <c r="B77" s="12"/>
      <c r="C77" s="15" t="str">
        <f aca="false">IF($B77="","",IFERROR(INDEX(품목마스터!$B$3:$B$102,MATCH($B77,품목마스터!$A$3:$A$102,0)),""))</f>
        <v/>
      </c>
      <c r="D77" s="15" t="str">
        <f aca="false">IF($B77="","",IFERROR(INDEX(품목마스터!$C$3:$C$102,MATCH($B77,품목마스터!$A$3:$A$102,0)),""))</f>
        <v/>
      </c>
      <c r="E77" s="13" t="str">
        <f aca="false">IF($B77="","",IFERROR(INDEX(품목마스터!$D$3:$D$102,MATCH($B77,품목마스터!$A$3:$A$102,0)),0))</f>
        <v/>
      </c>
      <c r="F77" s="10"/>
      <c r="G77" s="16" t="str">
        <f aca="false">IF(OR($E77="",$F77=""),"",ROUND($E77*$F77,0))</f>
        <v/>
      </c>
      <c r="H77" s="17"/>
      <c r="I77" s="16" t="str">
        <f aca="false">IF($G77="","",ROUND($G77*IF($H77="",0,$H77)/100,0))</f>
        <v/>
      </c>
      <c r="J77" s="10"/>
      <c r="K77" s="15" t="str">
        <f aca="false">IF($A77="","",COUNTIFS($A$3:$A77,$A77))</f>
        <v/>
      </c>
      <c r="L77" s="15" t="str">
        <f aca="false">IF($A77="","",$A77&amp;"|"&amp;$K77)</f>
        <v/>
      </c>
    </row>
    <row r="78" customFormat="false" ht="15" hidden="false" customHeight="true" outlineLevel="0" collapsed="false">
      <c r="A78" s="12"/>
      <c r="B78" s="12"/>
      <c r="C78" s="15" t="str">
        <f aca="false">IF($B78="","",IFERROR(INDEX(품목마스터!$B$3:$B$102,MATCH($B78,품목마스터!$A$3:$A$102,0)),""))</f>
        <v/>
      </c>
      <c r="D78" s="15" t="str">
        <f aca="false">IF($B78="","",IFERROR(INDEX(품목마스터!$C$3:$C$102,MATCH($B78,품목마스터!$A$3:$A$102,0)),""))</f>
        <v/>
      </c>
      <c r="E78" s="13" t="str">
        <f aca="false">IF($B78="","",IFERROR(INDEX(품목마스터!$D$3:$D$102,MATCH($B78,품목마스터!$A$3:$A$102,0)),0))</f>
        <v/>
      </c>
      <c r="F78" s="10"/>
      <c r="G78" s="16" t="str">
        <f aca="false">IF(OR($E78="",$F78=""),"",ROUND($E78*$F78,0))</f>
        <v/>
      </c>
      <c r="H78" s="17"/>
      <c r="I78" s="16" t="str">
        <f aca="false">IF($G78="","",ROUND($G78*IF($H78="",0,$H78)/100,0))</f>
        <v/>
      </c>
      <c r="J78" s="10"/>
      <c r="K78" s="15" t="str">
        <f aca="false">IF($A78="","",COUNTIFS($A$3:$A78,$A78))</f>
        <v/>
      </c>
      <c r="L78" s="15" t="str">
        <f aca="false">IF($A78="","",$A78&amp;"|"&amp;$K78)</f>
        <v/>
      </c>
    </row>
    <row r="79" customFormat="false" ht="15" hidden="false" customHeight="true" outlineLevel="0" collapsed="false">
      <c r="A79" s="12"/>
      <c r="B79" s="12"/>
      <c r="C79" s="15" t="str">
        <f aca="false">IF($B79="","",IFERROR(INDEX(품목마스터!$B$3:$B$102,MATCH($B79,품목마스터!$A$3:$A$102,0)),""))</f>
        <v/>
      </c>
      <c r="D79" s="15" t="str">
        <f aca="false">IF($B79="","",IFERROR(INDEX(품목마스터!$C$3:$C$102,MATCH($B79,품목마스터!$A$3:$A$102,0)),""))</f>
        <v/>
      </c>
      <c r="E79" s="13" t="str">
        <f aca="false">IF($B79="","",IFERROR(INDEX(품목마스터!$D$3:$D$102,MATCH($B79,품목마스터!$A$3:$A$102,0)),0))</f>
        <v/>
      </c>
      <c r="F79" s="10"/>
      <c r="G79" s="16" t="str">
        <f aca="false">IF(OR($E79="",$F79=""),"",ROUND($E79*$F79,0))</f>
        <v/>
      </c>
      <c r="H79" s="17"/>
      <c r="I79" s="16" t="str">
        <f aca="false">IF($G79="","",ROUND($G79*IF($H79="",0,$H79)/100,0))</f>
        <v/>
      </c>
      <c r="J79" s="10"/>
      <c r="K79" s="15" t="str">
        <f aca="false">IF($A79="","",COUNTIFS($A$3:$A79,$A79))</f>
        <v/>
      </c>
      <c r="L79" s="15" t="str">
        <f aca="false">IF($A79="","",$A79&amp;"|"&amp;$K79)</f>
        <v/>
      </c>
    </row>
    <row r="80" customFormat="false" ht="15" hidden="false" customHeight="true" outlineLevel="0" collapsed="false">
      <c r="A80" s="12"/>
      <c r="B80" s="12"/>
      <c r="C80" s="15" t="str">
        <f aca="false">IF($B80="","",IFERROR(INDEX(품목마스터!$B$3:$B$102,MATCH($B80,품목마스터!$A$3:$A$102,0)),""))</f>
        <v/>
      </c>
      <c r="D80" s="15" t="str">
        <f aca="false">IF($B80="","",IFERROR(INDEX(품목마스터!$C$3:$C$102,MATCH($B80,품목마스터!$A$3:$A$102,0)),""))</f>
        <v/>
      </c>
      <c r="E80" s="13" t="str">
        <f aca="false">IF($B80="","",IFERROR(INDEX(품목마스터!$D$3:$D$102,MATCH($B80,품목마스터!$A$3:$A$102,0)),0))</f>
        <v/>
      </c>
      <c r="F80" s="10"/>
      <c r="G80" s="16" t="str">
        <f aca="false">IF(OR($E80="",$F80=""),"",ROUND($E80*$F80,0))</f>
        <v/>
      </c>
      <c r="H80" s="17"/>
      <c r="I80" s="16" t="str">
        <f aca="false">IF($G80="","",ROUND($G80*IF($H80="",0,$H80)/100,0))</f>
        <v/>
      </c>
      <c r="J80" s="10"/>
      <c r="K80" s="15" t="str">
        <f aca="false">IF($A80="","",COUNTIFS($A$3:$A80,$A80))</f>
        <v/>
      </c>
      <c r="L80" s="15" t="str">
        <f aca="false">IF($A80="","",$A80&amp;"|"&amp;$K80)</f>
        <v/>
      </c>
    </row>
    <row r="81" customFormat="false" ht="15" hidden="false" customHeight="true" outlineLevel="0" collapsed="false">
      <c r="A81" s="12"/>
      <c r="B81" s="12"/>
      <c r="C81" s="15" t="str">
        <f aca="false">IF($B81="","",IFERROR(INDEX(품목마스터!$B$3:$B$102,MATCH($B81,품목마스터!$A$3:$A$102,0)),""))</f>
        <v/>
      </c>
      <c r="D81" s="15" t="str">
        <f aca="false">IF($B81="","",IFERROR(INDEX(품목마스터!$C$3:$C$102,MATCH($B81,품목마스터!$A$3:$A$102,0)),""))</f>
        <v/>
      </c>
      <c r="E81" s="13" t="str">
        <f aca="false">IF($B81="","",IFERROR(INDEX(품목마스터!$D$3:$D$102,MATCH($B81,품목마스터!$A$3:$A$102,0)),0))</f>
        <v/>
      </c>
      <c r="F81" s="10"/>
      <c r="G81" s="16" t="str">
        <f aca="false">IF(OR($E81="",$F81=""),"",ROUND($E81*$F81,0))</f>
        <v/>
      </c>
      <c r="H81" s="17"/>
      <c r="I81" s="16" t="str">
        <f aca="false">IF($G81="","",ROUND($G81*IF($H81="",0,$H81)/100,0))</f>
        <v/>
      </c>
      <c r="J81" s="10"/>
      <c r="K81" s="15" t="str">
        <f aca="false">IF($A81="","",COUNTIFS($A$3:$A81,$A81))</f>
        <v/>
      </c>
      <c r="L81" s="15" t="str">
        <f aca="false">IF($A81="","",$A81&amp;"|"&amp;$K81)</f>
        <v/>
      </c>
    </row>
    <row r="82" customFormat="false" ht="15" hidden="false" customHeight="true" outlineLevel="0" collapsed="false">
      <c r="A82" s="12"/>
      <c r="B82" s="12"/>
      <c r="C82" s="15" t="str">
        <f aca="false">IF($B82="","",IFERROR(INDEX(품목마스터!$B$3:$B$102,MATCH($B82,품목마스터!$A$3:$A$102,0)),""))</f>
        <v/>
      </c>
      <c r="D82" s="15" t="str">
        <f aca="false">IF($B82="","",IFERROR(INDEX(품목마스터!$C$3:$C$102,MATCH($B82,품목마스터!$A$3:$A$102,0)),""))</f>
        <v/>
      </c>
      <c r="E82" s="13" t="str">
        <f aca="false">IF($B82="","",IFERROR(INDEX(품목마스터!$D$3:$D$102,MATCH($B82,품목마스터!$A$3:$A$102,0)),0))</f>
        <v/>
      </c>
      <c r="F82" s="10"/>
      <c r="G82" s="16" t="str">
        <f aca="false">IF(OR($E82="",$F82=""),"",ROUND($E82*$F82,0))</f>
        <v/>
      </c>
      <c r="H82" s="17"/>
      <c r="I82" s="16" t="str">
        <f aca="false">IF($G82="","",ROUND($G82*IF($H82="",0,$H82)/100,0))</f>
        <v/>
      </c>
      <c r="J82" s="10"/>
      <c r="K82" s="15" t="str">
        <f aca="false">IF($A82="","",COUNTIFS($A$3:$A82,$A82))</f>
        <v/>
      </c>
      <c r="L82" s="15" t="str">
        <f aca="false">IF($A82="","",$A82&amp;"|"&amp;$K82)</f>
        <v/>
      </c>
    </row>
    <row r="83" customFormat="false" ht="15" hidden="false" customHeight="true" outlineLevel="0" collapsed="false">
      <c r="A83" s="12"/>
      <c r="B83" s="12"/>
      <c r="C83" s="15" t="str">
        <f aca="false">IF($B83="","",IFERROR(INDEX(품목마스터!$B$3:$B$102,MATCH($B83,품목마스터!$A$3:$A$102,0)),""))</f>
        <v/>
      </c>
      <c r="D83" s="15" t="str">
        <f aca="false">IF($B83="","",IFERROR(INDEX(품목마스터!$C$3:$C$102,MATCH($B83,품목마스터!$A$3:$A$102,0)),""))</f>
        <v/>
      </c>
      <c r="E83" s="13" t="str">
        <f aca="false">IF($B83="","",IFERROR(INDEX(품목마스터!$D$3:$D$102,MATCH($B83,품목마스터!$A$3:$A$102,0)),0))</f>
        <v/>
      </c>
      <c r="F83" s="10"/>
      <c r="G83" s="16" t="str">
        <f aca="false">IF(OR($E83="",$F83=""),"",ROUND($E83*$F83,0))</f>
        <v/>
      </c>
      <c r="H83" s="17"/>
      <c r="I83" s="16" t="str">
        <f aca="false">IF($G83="","",ROUND($G83*IF($H83="",0,$H83)/100,0))</f>
        <v/>
      </c>
      <c r="J83" s="10"/>
      <c r="K83" s="15" t="str">
        <f aca="false">IF($A83="","",COUNTIFS($A$3:$A83,$A83))</f>
        <v/>
      </c>
      <c r="L83" s="15" t="str">
        <f aca="false">IF($A83="","",$A83&amp;"|"&amp;$K83)</f>
        <v/>
      </c>
    </row>
    <row r="84" customFormat="false" ht="15" hidden="false" customHeight="true" outlineLevel="0" collapsed="false">
      <c r="A84" s="12"/>
      <c r="B84" s="12"/>
      <c r="C84" s="15" t="str">
        <f aca="false">IF($B84="","",IFERROR(INDEX(품목마스터!$B$3:$B$102,MATCH($B84,품목마스터!$A$3:$A$102,0)),""))</f>
        <v/>
      </c>
      <c r="D84" s="15" t="str">
        <f aca="false">IF($B84="","",IFERROR(INDEX(품목마스터!$C$3:$C$102,MATCH($B84,품목마스터!$A$3:$A$102,0)),""))</f>
        <v/>
      </c>
      <c r="E84" s="13" t="str">
        <f aca="false">IF($B84="","",IFERROR(INDEX(품목마스터!$D$3:$D$102,MATCH($B84,품목마스터!$A$3:$A$102,0)),0))</f>
        <v/>
      </c>
      <c r="F84" s="10"/>
      <c r="G84" s="16" t="str">
        <f aca="false">IF(OR($E84="",$F84=""),"",ROUND($E84*$F84,0))</f>
        <v/>
      </c>
      <c r="H84" s="17"/>
      <c r="I84" s="16" t="str">
        <f aca="false">IF($G84="","",ROUND($G84*IF($H84="",0,$H84)/100,0))</f>
        <v/>
      </c>
      <c r="J84" s="10"/>
      <c r="K84" s="15" t="str">
        <f aca="false">IF($A84="","",COUNTIFS($A$3:$A84,$A84))</f>
        <v/>
      </c>
      <c r="L84" s="15" t="str">
        <f aca="false">IF($A84="","",$A84&amp;"|"&amp;$K84)</f>
        <v/>
      </c>
    </row>
    <row r="85" customFormat="false" ht="15" hidden="false" customHeight="true" outlineLevel="0" collapsed="false">
      <c r="A85" s="12"/>
      <c r="B85" s="12"/>
      <c r="C85" s="15" t="str">
        <f aca="false">IF($B85="","",IFERROR(INDEX(품목마스터!$B$3:$B$102,MATCH($B85,품목마스터!$A$3:$A$102,0)),""))</f>
        <v/>
      </c>
      <c r="D85" s="15" t="str">
        <f aca="false">IF($B85="","",IFERROR(INDEX(품목마스터!$C$3:$C$102,MATCH($B85,품목마스터!$A$3:$A$102,0)),""))</f>
        <v/>
      </c>
      <c r="E85" s="13" t="str">
        <f aca="false">IF($B85="","",IFERROR(INDEX(품목마스터!$D$3:$D$102,MATCH($B85,품목마스터!$A$3:$A$102,0)),0))</f>
        <v/>
      </c>
      <c r="F85" s="10"/>
      <c r="G85" s="16" t="str">
        <f aca="false">IF(OR($E85="",$F85=""),"",ROUND($E85*$F85,0))</f>
        <v/>
      </c>
      <c r="H85" s="17"/>
      <c r="I85" s="16" t="str">
        <f aca="false">IF($G85="","",ROUND($G85*IF($H85="",0,$H85)/100,0))</f>
        <v/>
      </c>
      <c r="J85" s="10"/>
      <c r="K85" s="15" t="str">
        <f aca="false">IF($A85="","",COUNTIFS($A$3:$A85,$A85))</f>
        <v/>
      </c>
      <c r="L85" s="15" t="str">
        <f aca="false">IF($A85="","",$A85&amp;"|"&amp;$K85)</f>
        <v/>
      </c>
    </row>
    <row r="86" customFormat="false" ht="15" hidden="false" customHeight="true" outlineLevel="0" collapsed="false">
      <c r="A86" s="12"/>
      <c r="B86" s="12"/>
      <c r="C86" s="15" t="str">
        <f aca="false">IF($B86="","",IFERROR(INDEX(품목마스터!$B$3:$B$102,MATCH($B86,품목마스터!$A$3:$A$102,0)),""))</f>
        <v/>
      </c>
      <c r="D86" s="15" t="str">
        <f aca="false">IF($B86="","",IFERROR(INDEX(품목마스터!$C$3:$C$102,MATCH($B86,품목마스터!$A$3:$A$102,0)),""))</f>
        <v/>
      </c>
      <c r="E86" s="13" t="str">
        <f aca="false">IF($B86="","",IFERROR(INDEX(품목마스터!$D$3:$D$102,MATCH($B86,품목마스터!$A$3:$A$102,0)),0))</f>
        <v/>
      </c>
      <c r="F86" s="10"/>
      <c r="G86" s="16" t="str">
        <f aca="false">IF(OR($E86="",$F86=""),"",ROUND($E86*$F86,0))</f>
        <v/>
      </c>
      <c r="H86" s="17"/>
      <c r="I86" s="16" t="str">
        <f aca="false">IF($G86="","",ROUND($G86*IF($H86="",0,$H86)/100,0))</f>
        <v/>
      </c>
      <c r="J86" s="10"/>
      <c r="K86" s="15" t="str">
        <f aca="false">IF($A86="","",COUNTIFS($A$3:$A86,$A86))</f>
        <v/>
      </c>
      <c r="L86" s="15" t="str">
        <f aca="false">IF($A86="","",$A86&amp;"|"&amp;$K86)</f>
        <v/>
      </c>
    </row>
    <row r="87" customFormat="false" ht="15" hidden="false" customHeight="true" outlineLevel="0" collapsed="false">
      <c r="A87" s="12"/>
      <c r="B87" s="12"/>
      <c r="C87" s="15" t="str">
        <f aca="false">IF($B87="","",IFERROR(INDEX(품목마스터!$B$3:$B$102,MATCH($B87,품목마스터!$A$3:$A$102,0)),""))</f>
        <v/>
      </c>
      <c r="D87" s="15" t="str">
        <f aca="false">IF($B87="","",IFERROR(INDEX(품목마스터!$C$3:$C$102,MATCH($B87,품목마스터!$A$3:$A$102,0)),""))</f>
        <v/>
      </c>
      <c r="E87" s="13" t="str">
        <f aca="false">IF($B87="","",IFERROR(INDEX(품목마스터!$D$3:$D$102,MATCH($B87,품목마스터!$A$3:$A$102,0)),0))</f>
        <v/>
      </c>
      <c r="F87" s="10"/>
      <c r="G87" s="16" t="str">
        <f aca="false">IF(OR($E87="",$F87=""),"",ROUND($E87*$F87,0))</f>
        <v/>
      </c>
      <c r="H87" s="17"/>
      <c r="I87" s="16" t="str">
        <f aca="false">IF($G87="","",ROUND($G87*IF($H87="",0,$H87)/100,0))</f>
        <v/>
      </c>
      <c r="J87" s="10"/>
      <c r="K87" s="15" t="str">
        <f aca="false">IF($A87="","",COUNTIFS($A$3:$A87,$A87))</f>
        <v/>
      </c>
      <c r="L87" s="15" t="str">
        <f aca="false">IF($A87="","",$A87&amp;"|"&amp;$K87)</f>
        <v/>
      </c>
    </row>
    <row r="88" customFormat="false" ht="15" hidden="false" customHeight="true" outlineLevel="0" collapsed="false">
      <c r="A88" s="12"/>
      <c r="B88" s="12"/>
      <c r="C88" s="15" t="str">
        <f aca="false">IF($B88="","",IFERROR(INDEX(품목마스터!$B$3:$B$102,MATCH($B88,품목마스터!$A$3:$A$102,0)),""))</f>
        <v/>
      </c>
      <c r="D88" s="15" t="str">
        <f aca="false">IF($B88="","",IFERROR(INDEX(품목마스터!$C$3:$C$102,MATCH($B88,품목마스터!$A$3:$A$102,0)),""))</f>
        <v/>
      </c>
      <c r="E88" s="13" t="str">
        <f aca="false">IF($B88="","",IFERROR(INDEX(품목마스터!$D$3:$D$102,MATCH($B88,품목마스터!$A$3:$A$102,0)),0))</f>
        <v/>
      </c>
      <c r="F88" s="10"/>
      <c r="G88" s="16" t="str">
        <f aca="false">IF(OR($E88="",$F88=""),"",ROUND($E88*$F88,0))</f>
        <v/>
      </c>
      <c r="H88" s="17"/>
      <c r="I88" s="16" t="str">
        <f aca="false">IF($G88="","",ROUND($G88*IF($H88="",0,$H88)/100,0))</f>
        <v/>
      </c>
      <c r="J88" s="10"/>
      <c r="K88" s="15" t="str">
        <f aca="false">IF($A88="","",COUNTIFS($A$3:$A88,$A88))</f>
        <v/>
      </c>
      <c r="L88" s="15" t="str">
        <f aca="false">IF($A88="","",$A88&amp;"|"&amp;$K88)</f>
        <v/>
      </c>
    </row>
    <row r="89" customFormat="false" ht="15" hidden="false" customHeight="true" outlineLevel="0" collapsed="false">
      <c r="A89" s="12"/>
      <c r="B89" s="12"/>
      <c r="C89" s="15" t="str">
        <f aca="false">IF($B89="","",IFERROR(INDEX(품목마스터!$B$3:$B$102,MATCH($B89,품목마스터!$A$3:$A$102,0)),""))</f>
        <v/>
      </c>
      <c r="D89" s="15" t="str">
        <f aca="false">IF($B89="","",IFERROR(INDEX(품목마스터!$C$3:$C$102,MATCH($B89,품목마스터!$A$3:$A$102,0)),""))</f>
        <v/>
      </c>
      <c r="E89" s="13" t="str">
        <f aca="false">IF($B89="","",IFERROR(INDEX(품목마스터!$D$3:$D$102,MATCH($B89,품목마스터!$A$3:$A$102,0)),0))</f>
        <v/>
      </c>
      <c r="F89" s="10"/>
      <c r="G89" s="16" t="str">
        <f aca="false">IF(OR($E89="",$F89=""),"",ROUND($E89*$F89,0))</f>
        <v/>
      </c>
      <c r="H89" s="17"/>
      <c r="I89" s="16" t="str">
        <f aca="false">IF($G89="","",ROUND($G89*IF($H89="",0,$H89)/100,0))</f>
        <v/>
      </c>
      <c r="J89" s="10"/>
      <c r="K89" s="15" t="str">
        <f aca="false">IF($A89="","",COUNTIFS($A$3:$A89,$A89))</f>
        <v/>
      </c>
      <c r="L89" s="15" t="str">
        <f aca="false">IF($A89="","",$A89&amp;"|"&amp;$K89)</f>
        <v/>
      </c>
    </row>
    <row r="90" customFormat="false" ht="15" hidden="false" customHeight="true" outlineLevel="0" collapsed="false">
      <c r="A90" s="12"/>
      <c r="B90" s="12"/>
      <c r="C90" s="15" t="str">
        <f aca="false">IF($B90="","",IFERROR(INDEX(품목마스터!$B$3:$B$102,MATCH($B90,품목마스터!$A$3:$A$102,0)),""))</f>
        <v/>
      </c>
      <c r="D90" s="15" t="str">
        <f aca="false">IF($B90="","",IFERROR(INDEX(품목마스터!$C$3:$C$102,MATCH($B90,품목마스터!$A$3:$A$102,0)),""))</f>
        <v/>
      </c>
      <c r="E90" s="13" t="str">
        <f aca="false">IF($B90="","",IFERROR(INDEX(품목마스터!$D$3:$D$102,MATCH($B90,품목마스터!$A$3:$A$102,0)),0))</f>
        <v/>
      </c>
      <c r="F90" s="10"/>
      <c r="G90" s="16" t="str">
        <f aca="false">IF(OR($E90="",$F90=""),"",ROUND($E90*$F90,0))</f>
        <v/>
      </c>
      <c r="H90" s="17"/>
      <c r="I90" s="16" t="str">
        <f aca="false">IF($G90="","",ROUND($G90*IF($H90="",0,$H90)/100,0))</f>
        <v/>
      </c>
      <c r="J90" s="10"/>
      <c r="K90" s="15" t="str">
        <f aca="false">IF($A90="","",COUNTIFS($A$3:$A90,$A90))</f>
        <v/>
      </c>
      <c r="L90" s="15" t="str">
        <f aca="false">IF($A90="","",$A90&amp;"|"&amp;$K90)</f>
        <v/>
      </c>
    </row>
    <row r="91" customFormat="false" ht="15" hidden="false" customHeight="true" outlineLevel="0" collapsed="false">
      <c r="A91" s="12"/>
      <c r="B91" s="12"/>
      <c r="C91" s="15" t="str">
        <f aca="false">IF($B91="","",IFERROR(INDEX(품목마스터!$B$3:$B$102,MATCH($B91,품목마스터!$A$3:$A$102,0)),""))</f>
        <v/>
      </c>
      <c r="D91" s="15" t="str">
        <f aca="false">IF($B91="","",IFERROR(INDEX(품목마스터!$C$3:$C$102,MATCH($B91,품목마스터!$A$3:$A$102,0)),""))</f>
        <v/>
      </c>
      <c r="E91" s="13" t="str">
        <f aca="false">IF($B91="","",IFERROR(INDEX(품목마스터!$D$3:$D$102,MATCH($B91,품목마스터!$A$3:$A$102,0)),0))</f>
        <v/>
      </c>
      <c r="F91" s="10"/>
      <c r="G91" s="16" t="str">
        <f aca="false">IF(OR($E91="",$F91=""),"",ROUND($E91*$F91,0))</f>
        <v/>
      </c>
      <c r="H91" s="17"/>
      <c r="I91" s="16" t="str">
        <f aca="false">IF($G91="","",ROUND($G91*IF($H91="",0,$H91)/100,0))</f>
        <v/>
      </c>
      <c r="J91" s="10"/>
      <c r="K91" s="15" t="str">
        <f aca="false">IF($A91="","",COUNTIFS($A$3:$A91,$A91))</f>
        <v/>
      </c>
      <c r="L91" s="15" t="str">
        <f aca="false">IF($A91="","",$A91&amp;"|"&amp;$K91)</f>
        <v/>
      </c>
    </row>
    <row r="92" customFormat="false" ht="15" hidden="false" customHeight="true" outlineLevel="0" collapsed="false">
      <c r="A92" s="12"/>
      <c r="B92" s="12"/>
      <c r="C92" s="15" t="str">
        <f aca="false">IF($B92="","",IFERROR(INDEX(품목마스터!$B$3:$B$102,MATCH($B92,품목마스터!$A$3:$A$102,0)),""))</f>
        <v/>
      </c>
      <c r="D92" s="15" t="str">
        <f aca="false">IF($B92="","",IFERROR(INDEX(품목마스터!$C$3:$C$102,MATCH($B92,품목마스터!$A$3:$A$102,0)),""))</f>
        <v/>
      </c>
      <c r="E92" s="13" t="str">
        <f aca="false">IF($B92="","",IFERROR(INDEX(품목마스터!$D$3:$D$102,MATCH($B92,품목마스터!$A$3:$A$102,0)),0))</f>
        <v/>
      </c>
      <c r="F92" s="10"/>
      <c r="G92" s="16" t="str">
        <f aca="false">IF(OR($E92="",$F92=""),"",ROUND($E92*$F92,0))</f>
        <v/>
      </c>
      <c r="H92" s="17"/>
      <c r="I92" s="16" t="str">
        <f aca="false">IF($G92="","",ROUND($G92*IF($H92="",0,$H92)/100,0))</f>
        <v/>
      </c>
      <c r="J92" s="10"/>
      <c r="K92" s="15" t="str">
        <f aca="false">IF($A92="","",COUNTIFS($A$3:$A92,$A92))</f>
        <v/>
      </c>
      <c r="L92" s="15" t="str">
        <f aca="false">IF($A92="","",$A92&amp;"|"&amp;$K92)</f>
        <v/>
      </c>
    </row>
    <row r="93" customFormat="false" ht="15" hidden="false" customHeight="true" outlineLevel="0" collapsed="false">
      <c r="A93" s="12"/>
      <c r="B93" s="12"/>
      <c r="C93" s="15" t="str">
        <f aca="false">IF($B93="","",IFERROR(INDEX(품목마스터!$B$3:$B$102,MATCH($B93,품목마스터!$A$3:$A$102,0)),""))</f>
        <v/>
      </c>
      <c r="D93" s="15" t="str">
        <f aca="false">IF($B93="","",IFERROR(INDEX(품목마스터!$C$3:$C$102,MATCH($B93,품목마스터!$A$3:$A$102,0)),""))</f>
        <v/>
      </c>
      <c r="E93" s="13" t="str">
        <f aca="false">IF($B93="","",IFERROR(INDEX(품목마스터!$D$3:$D$102,MATCH($B93,품목마스터!$A$3:$A$102,0)),0))</f>
        <v/>
      </c>
      <c r="F93" s="10"/>
      <c r="G93" s="16" t="str">
        <f aca="false">IF(OR($E93="",$F93=""),"",ROUND($E93*$F93,0))</f>
        <v/>
      </c>
      <c r="H93" s="17"/>
      <c r="I93" s="16" t="str">
        <f aca="false">IF($G93="","",ROUND($G93*IF($H93="",0,$H93)/100,0))</f>
        <v/>
      </c>
      <c r="J93" s="10"/>
      <c r="K93" s="15" t="str">
        <f aca="false">IF($A93="","",COUNTIFS($A$3:$A93,$A93))</f>
        <v/>
      </c>
      <c r="L93" s="15" t="str">
        <f aca="false">IF($A93="","",$A93&amp;"|"&amp;$K93)</f>
        <v/>
      </c>
    </row>
    <row r="94" customFormat="false" ht="15" hidden="false" customHeight="true" outlineLevel="0" collapsed="false">
      <c r="A94" s="12"/>
      <c r="B94" s="12"/>
      <c r="C94" s="15" t="str">
        <f aca="false">IF($B94="","",IFERROR(INDEX(품목마스터!$B$3:$B$102,MATCH($B94,품목마스터!$A$3:$A$102,0)),""))</f>
        <v/>
      </c>
      <c r="D94" s="15" t="str">
        <f aca="false">IF($B94="","",IFERROR(INDEX(품목마스터!$C$3:$C$102,MATCH($B94,품목마스터!$A$3:$A$102,0)),""))</f>
        <v/>
      </c>
      <c r="E94" s="13" t="str">
        <f aca="false">IF($B94="","",IFERROR(INDEX(품목마스터!$D$3:$D$102,MATCH($B94,품목마스터!$A$3:$A$102,0)),0))</f>
        <v/>
      </c>
      <c r="F94" s="10"/>
      <c r="G94" s="16" t="str">
        <f aca="false">IF(OR($E94="",$F94=""),"",ROUND($E94*$F94,0))</f>
        <v/>
      </c>
      <c r="H94" s="17"/>
      <c r="I94" s="16" t="str">
        <f aca="false">IF($G94="","",ROUND($G94*IF($H94="",0,$H94)/100,0))</f>
        <v/>
      </c>
      <c r="J94" s="10"/>
      <c r="K94" s="15" t="str">
        <f aca="false">IF($A94="","",COUNTIFS($A$3:$A94,$A94))</f>
        <v/>
      </c>
      <c r="L94" s="15" t="str">
        <f aca="false">IF($A94="","",$A94&amp;"|"&amp;$K94)</f>
        <v/>
      </c>
    </row>
    <row r="95" customFormat="false" ht="15" hidden="false" customHeight="true" outlineLevel="0" collapsed="false">
      <c r="A95" s="12"/>
      <c r="B95" s="12"/>
      <c r="C95" s="15" t="str">
        <f aca="false">IF($B95="","",IFERROR(INDEX(품목마스터!$B$3:$B$102,MATCH($B95,품목마스터!$A$3:$A$102,0)),""))</f>
        <v/>
      </c>
      <c r="D95" s="15" t="str">
        <f aca="false">IF($B95="","",IFERROR(INDEX(품목마스터!$C$3:$C$102,MATCH($B95,품목마스터!$A$3:$A$102,0)),""))</f>
        <v/>
      </c>
      <c r="E95" s="13" t="str">
        <f aca="false">IF($B95="","",IFERROR(INDEX(품목마스터!$D$3:$D$102,MATCH($B95,품목마스터!$A$3:$A$102,0)),0))</f>
        <v/>
      </c>
      <c r="F95" s="10"/>
      <c r="G95" s="16" t="str">
        <f aca="false">IF(OR($E95="",$F95=""),"",ROUND($E95*$F95,0))</f>
        <v/>
      </c>
      <c r="H95" s="17"/>
      <c r="I95" s="16" t="str">
        <f aca="false">IF($G95="","",ROUND($G95*IF($H95="",0,$H95)/100,0))</f>
        <v/>
      </c>
      <c r="J95" s="10"/>
      <c r="K95" s="15" t="str">
        <f aca="false">IF($A95="","",COUNTIFS($A$3:$A95,$A95))</f>
        <v/>
      </c>
      <c r="L95" s="15" t="str">
        <f aca="false">IF($A95="","",$A95&amp;"|"&amp;$K95)</f>
        <v/>
      </c>
    </row>
    <row r="96" customFormat="false" ht="15" hidden="false" customHeight="true" outlineLevel="0" collapsed="false">
      <c r="A96" s="12"/>
      <c r="B96" s="12"/>
      <c r="C96" s="15" t="str">
        <f aca="false">IF($B96="","",IFERROR(INDEX(품목마스터!$B$3:$B$102,MATCH($B96,품목마스터!$A$3:$A$102,0)),""))</f>
        <v/>
      </c>
      <c r="D96" s="15" t="str">
        <f aca="false">IF($B96="","",IFERROR(INDEX(품목마스터!$C$3:$C$102,MATCH($B96,품목마스터!$A$3:$A$102,0)),""))</f>
        <v/>
      </c>
      <c r="E96" s="13" t="str">
        <f aca="false">IF($B96="","",IFERROR(INDEX(품목마스터!$D$3:$D$102,MATCH($B96,품목마스터!$A$3:$A$102,0)),0))</f>
        <v/>
      </c>
      <c r="F96" s="10"/>
      <c r="G96" s="16" t="str">
        <f aca="false">IF(OR($E96="",$F96=""),"",ROUND($E96*$F96,0))</f>
        <v/>
      </c>
      <c r="H96" s="17"/>
      <c r="I96" s="16" t="str">
        <f aca="false">IF($G96="","",ROUND($G96*IF($H96="",0,$H96)/100,0))</f>
        <v/>
      </c>
      <c r="J96" s="10"/>
      <c r="K96" s="15" t="str">
        <f aca="false">IF($A96="","",COUNTIFS($A$3:$A96,$A96))</f>
        <v/>
      </c>
      <c r="L96" s="15" t="str">
        <f aca="false">IF($A96="","",$A96&amp;"|"&amp;$K96)</f>
        <v/>
      </c>
    </row>
    <row r="97" customFormat="false" ht="15" hidden="false" customHeight="true" outlineLevel="0" collapsed="false">
      <c r="A97" s="12"/>
      <c r="B97" s="12"/>
      <c r="C97" s="15" t="str">
        <f aca="false">IF($B97="","",IFERROR(INDEX(품목마스터!$B$3:$B$102,MATCH($B97,품목마스터!$A$3:$A$102,0)),""))</f>
        <v/>
      </c>
      <c r="D97" s="15" t="str">
        <f aca="false">IF($B97="","",IFERROR(INDEX(품목마스터!$C$3:$C$102,MATCH($B97,품목마스터!$A$3:$A$102,0)),""))</f>
        <v/>
      </c>
      <c r="E97" s="13" t="str">
        <f aca="false">IF($B97="","",IFERROR(INDEX(품목마스터!$D$3:$D$102,MATCH($B97,품목마스터!$A$3:$A$102,0)),0))</f>
        <v/>
      </c>
      <c r="F97" s="10"/>
      <c r="G97" s="16" t="str">
        <f aca="false">IF(OR($E97="",$F97=""),"",ROUND($E97*$F97,0))</f>
        <v/>
      </c>
      <c r="H97" s="17"/>
      <c r="I97" s="16" t="str">
        <f aca="false">IF($G97="","",ROUND($G97*IF($H97="",0,$H97)/100,0))</f>
        <v/>
      </c>
      <c r="J97" s="10"/>
      <c r="K97" s="15" t="str">
        <f aca="false">IF($A97="","",COUNTIFS($A$3:$A97,$A97))</f>
        <v/>
      </c>
      <c r="L97" s="15" t="str">
        <f aca="false">IF($A97="","",$A97&amp;"|"&amp;$K97)</f>
        <v/>
      </c>
    </row>
    <row r="98" customFormat="false" ht="15" hidden="false" customHeight="true" outlineLevel="0" collapsed="false">
      <c r="A98" s="12"/>
      <c r="B98" s="12"/>
      <c r="C98" s="15" t="str">
        <f aca="false">IF($B98="","",IFERROR(INDEX(품목마스터!$B$3:$B$102,MATCH($B98,품목마스터!$A$3:$A$102,0)),""))</f>
        <v/>
      </c>
      <c r="D98" s="15" t="str">
        <f aca="false">IF($B98="","",IFERROR(INDEX(품목마스터!$C$3:$C$102,MATCH($B98,품목마스터!$A$3:$A$102,0)),""))</f>
        <v/>
      </c>
      <c r="E98" s="13" t="str">
        <f aca="false">IF($B98="","",IFERROR(INDEX(품목마스터!$D$3:$D$102,MATCH($B98,품목마스터!$A$3:$A$102,0)),0))</f>
        <v/>
      </c>
      <c r="F98" s="10"/>
      <c r="G98" s="16" t="str">
        <f aca="false">IF(OR($E98="",$F98=""),"",ROUND($E98*$F98,0))</f>
        <v/>
      </c>
      <c r="H98" s="17"/>
      <c r="I98" s="16" t="str">
        <f aca="false">IF($G98="","",ROUND($G98*IF($H98="",0,$H98)/100,0))</f>
        <v/>
      </c>
      <c r="J98" s="10"/>
      <c r="K98" s="15" t="str">
        <f aca="false">IF($A98="","",COUNTIFS($A$3:$A98,$A98))</f>
        <v/>
      </c>
      <c r="L98" s="15" t="str">
        <f aca="false">IF($A98="","",$A98&amp;"|"&amp;$K98)</f>
        <v/>
      </c>
    </row>
    <row r="99" customFormat="false" ht="15" hidden="false" customHeight="true" outlineLevel="0" collapsed="false">
      <c r="A99" s="12"/>
      <c r="B99" s="12"/>
      <c r="C99" s="15" t="str">
        <f aca="false">IF($B99="","",IFERROR(INDEX(품목마스터!$B$3:$B$102,MATCH($B99,품목마스터!$A$3:$A$102,0)),""))</f>
        <v/>
      </c>
      <c r="D99" s="15" t="str">
        <f aca="false">IF($B99="","",IFERROR(INDEX(품목마스터!$C$3:$C$102,MATCH($B99,품목마스터!$A$3:$A$102,0)),""))</f>
        <v/>
      </c>
      <c r="E99" s="13" t="str">
        <f aca="false">IF($B99="","",IFERROR(INDEX(품목마스터!$D$3:$D$102,MATCH($B99,품목마스터!$A$3:$A$102,0)),0))</f>
        <v/>
      </c>
      <c r="F99" s="10"/>
      <c r="G99" s="16" t="str">
        <f aca="false">IF(OR($E99="",$F99=""),"",ROUND($E99*$F99,0))</f>
        <v/>
      </c>
      <c r="H99" s="17"/>
      <c r="I99" s="16" t="str">
        <f aca="false">IF($G99="","",ROUND($G99*IF($H99="",0,$H99)/100,0))</f>
        <v/>
      </c>
      <c r="J99" s="10"/>
      <c r="K99" s="15" t="str">
        <f aca="false">IF($A99="","",COUNTIFS($A$3:$A99,$A99))</f>
        <v/>
      </c>
      <c r="L99" s="15" t="str">
        <f aca="false">IF($A99="","",$A99&amp;"|"&amp;$K99)</f>
        <v/>
      </c>
    </row>
    <row r="100" customFormat="false" ht="15" hidden="false" customHeight="true" outlineLevel="0" collapsed="false">
      <c r="A100" s="12"/>
      <c r="B100" s="12"/>
      <c r="C100" s="15" t="str">
        <f aca="false">IF($B100="","",IFERROR(INDEX(품목마스터!$B$3:$B$102,MATCH($B100,품목마스터!$A$3:$A$102,0)),""))</f>
        <v/>
      </c>
      <c r="D100" s="15" t="str">
        <f aca="false">IF($B100="","",IFERROR(INDEX(품목마스터!$C$3:$C$102,MATCH($B100,품목마스터!$A$3:$A$102,0)),""))</f>
        <v/>
      </c>
      <c r="E100" s="13" t="str">
        <f aca="false">IF($B100="","",IFERROR(INDEX(품목마스터!$D$3:$D$102,MATCH($B100,품목마스터!$A$3:$A$102,0)),0))</f>
        <v/>
      </c>
      <c r="F100" s="10"/>
      <c r="G100" s="16" t="str">
        <f aca="false">IF(OR($E100="",$F100=""),"",ROUND($E100*$F100,0))</f>
        <v/>
      </c>
      <c r="H100" s="17"/>
      <c r="I100" s="16" t="str">
        <f aca="false">IF($G100="","",ROUND($G100*IF($H100="",0,$H100)/100,0))</f>
        <v/>
      </c>
      <c r="J100" s="10"/>
      <c r="K100" s="15" t="str">
        <f aca="false">IF($A100="","",COUNTIFS($A$3:$A100,$A100))</f>
        <v/>
      </c>
      <c r="L100" s="15" t="str">
        <f aca="false">IF($A100="","",$A100&amp;"|"&amp;$K100)</f>
        <v/>
      </c>
    </row>
    <row r="101" customFormat="false" ht="15" hidden="false" customHeight="true" outlineLevel="0" collapsed="false">
      <c r="A101" s="12"/>
      <c r="B101" s="12"/>
      <c r="C101" s="15" t="str">
        <f aca="false">IF($B101="","",IFERROR(INDEX(품목마스터!$B$3:$B$102,MATCH($B101,품목마스터!$A$3:$A$102,0)),""))</f>
        <v/>
      </c>
      <c r="D101" s="15" t="str">
        <f aca="false">IF($B101="","",IFERROR(INDEX(품목마스터!$C$3:$C$102,MATCH($B101,품목마스터!$A$3:$A$102,0)),""))</f>
        <v/>
      </c>
      <c r="E101" s="13" t="str">
        <f aca="false">IF($B101="","",IFERROR(INDEX(품목마스터!$D$3:$D$102,MATCH($B101,품목마스터!$A$3:$A$102,0)),0))</f>
        <v/>
      </c>
      <c r="F101" s="10"/>
      <c r="G101" s="16" t="str">
        <f aca="false">IF(OR($E101="",$F101=""),"",ROUND($E101*$F101,0))</f>
        <v/>
      </c>
      <c r="H101" s="17"/>
      <c r="I101" s="16" t="str">
        <f aca="false">IF($G101="","",ROUND($G101*IF($H101="",0,$H101)/100,0))</f>
        <v/>
      </c>
      <c r="J101" s="10"/>
      <c r="K101" s="15" t="str">
        <f aca="false">IF($A101="","",COUNTIFS($A$3:$A101,$A101))</f>
        <v/>
      </c>
      <c r="L101" s="15" t="str">
        <f aca="false">IF($A101="","",$A101&amp;"|"&amp;$K101)</f>
        <v/>
      </c>
    </row>
    <row r="102" customFormat="false" ht="15" hidden="false" customHeight="true" outlineLevel="0" collapsed="false">
      <c r="A102" s="12"/>
      <c r="B102" s="12"/>
      <c r="C102" s="15" t="str">
        <f aca="false">IF($B102="","",IFERROR(INDEX(품목마스터!$B$3:$B$102,MATCH($B102,품목마스터!$A$3:$A$102,0)),""))</f>
        <v/>
      </c>
      <c r="D102" s="15" t="str">
        <f aca="false">IF($B102="","",IFERROR(INDEX(품목마스터!$C$3:$C$102,MATCH($B102,품목마스터!$A$3:$A$102,0)),""))</f>
        <v/>
      </c>
      <c r="E102" s="13" t="str">
        <f aca="false">IF($B102="","",IFERROR(INDEX(품목마스터!$D$3:$D$102,MATCH($B102,품목마스터!$A$3:$A$102,0)),0))</f>
        <v/>
      </c>
      <c r="F102" s="10"/>
      <c r="G102" s="16" t="str">
        <f aca="false">IF(OR($E102="",$F102=""),"",ROUND($E102*$F102,0))</f>
        <v/>
      </c>
      <c r="H102" s="17"/>
      <c r="I102" s="16" t="str">
        <f aca="false">IF($G102="","",ROUND($G102*IF($H102="",0,$H102)/100,0))</f>
        <v/>
      </c>
      <c r="J102" s="10"/>
      <c r="K102" s="15" t="str">
        <f aca="false">IF($A102="","",COUNTIFS($A$3:$A102,$A102))</f>
        <v/>
      </c>
      <c r="L102" s="15" t="str">
        <f aca="false">IF($A102="","",$A102&amp;"|"&amp;$K102)</f>
        <v/>
      </c>
    </row>
    <row r="103" customFormat="false" ht="15" hidden="false" customHeight="true" outlineLevel="0" collapsed="false">
      <c r="A103" s="12"/>
      <c r="B103" s="12"/>
      <c r="C103" s="15" t="str">
        <f aca="false">IF($B103="","",IFERROR(INDEX(품목마스터!$B$3:$B$102,MATCH($B103,품목마스터!$A$3:$A$102,0)),""))</f>
        <v/>
      </c>
      <c r="D103" s="15" t="str">
        <f aca="false">IF($B103="","",IFERROR(INDEX(품목마스터!$C$3:$C$102,MATCH($B103,품목마스터!$A$3:$A$102,0)),""))</f>
        <v/>
      </c>
      <c r="E103" s="13" t="str">
        <f aca="false">IF($B103="","",IFERROR(INDEX(품목마스터!$D$3:$D$102,MATCH($B103,품목마스터!$A$3:$A$102,0)),0))</f>
        <v/>
      </c>
      <c r="F103" s="10"/>
      <c r="G103" s="16" t="str">
        <f aca="false">IF(OR($E103="",$F103=""),"",ROUND($E103*$F103,0))</f>
        <v/>
      </c>
      <c r="H103" s="17"/>
      <c r="I103" s="16" t="str">
        <f aca="false">IF($G103="","",ROUND($G103*IF($H103="",0,$H103)/100,0))</f>
        <v/>
      </c>
      <c r="J103" s="10"/>
      <c r="K103" s="15" t="str">
        <f aca="false">IF($A103="","",COUNTIFS($A$3:$A103,$A103))</f>
        <v/>
      </c>
      <c r="L103" s="15" t="str">
        <f aca="false">IF($A103="","",$A103&amp;"|"&amp;$K103)</f>
        <v/>
      </c>
    </row>
    <row r="104" customFormat="false" ht="15" hidden="false" customHeight="true" outlineLevel="0" collapsed="false">
      <c r="A104" s="12"/>
      <c r="B104" s="12"/>
      <c r="C104" s="15" t="str">
        <f aca="false">IF($B104="","",IFERROR(INDEX(품목마스터!$B$3:$B$102,MATCH($B104,품목마스터!$A$3:$A$102,0)),""))</f>
        <v/>
      </c>
      <c r="D104" s="15" t="str">
        <f aca="false">IF($B104="","",IFERROR(INDEX(품목마스터!$C$3:$C$102,MATCH($B104,품목마스터!$A$3:$A$102,0)),""))</f>
        <v/>
      </c>
      <c r="E104" s="13" t="str">
        <f aca="false">IF($B104="","",IFERROR(INDEX(품목마스터!$D$3:$D$102,MATCH($B104,품목마스터!$A$3:$A$102,0)),0))</f>
        <v/>
      </c>
      <c r="F104" s="10"/>
      <c r="G104" s="16" t="str">
        <f aca="false">IF(OR($E104="",$F104=""),"",ROUND($E104*$F104,0))</f>
        <v/>
      </c>
      <c r="H104" s="17"/>
      <c r="I104" s="16" t="str">
        <f aca="false">IF($G104="","",ROUND($G104*IF($H104="",0,$H104)/100,0))</f>
        <v/>
      </c>
      <c r="J104" s="10"/>
      <c r="K104" s="15" t="str">
        <f aca="false">IF($A104="","",COUNTIFS($A$3:$A104,$A104))</f>
        <v/>
      </c>
      <c r="L104" s="15" t="str">
        <f aca="false">IF($A104="","",$A104&amp;"|"&amp;$K104)</f>
        <v/>
      </c>
    </row>
    <row r="105" customFormat="false" ht="15" hidden="false" customHeight="true" outlineLevel="0" collapsed="false">
      <c r="A105" s="12"/>
      <c r="B105" s="12"/>
      <c r="C105" s="15" t="str">
        <f aca="false">IF($B105="","",IFERROR(INDEX(품목마스터!$B$3:$B$102,MATCH($B105,품목마스터!$A$3:$A$102,0)),""))</f>
        <v/>
      </c>
      <c r="D105" s="15" t="str">
        <f aca="false">IF($B105="","",IFERROR(INDEX(품목마스터!$C$3:$C$102,MATCH($B105,품목마스터!$A$3:$A$102,0)),""))</f>
        <v/>
      </c>
      <c r="E105" s="13" t="str">
        <f aca="false">IF($B105="","",IFERROR(INDEX(품목마스터!$D$3:$D$102,MATCH($B105,품목마스터!$A$3:$A$102,0)),0))</f>
        <v/>
      </c>
      <c r="F105" s="10"/>
      <c r="G105" s="16" t="str">
        <f aca="false">IF(OR($E105="",$F105=""),"",ROUND($E105*$F105,0))</f>
        <v/>
      </c>
      <c r="H105" s="17"/>
      <c r="I105" s="16" t="str">
        <f aca="false">IF($G105="","",ROUND($G105*IF($H105="",0,$H105)/100,0))</f>
        <v/>
      </c>
      <c r="J105" s="10"/>
      <c r="K105" s="15" t="str">
        <f aca="false">IF($A105="","",COUNTIFS($A$3:$A105,$A105))</f>
        <v/>
      </c>
      <c r="L105" s="15" t="str">
        <f aca="false">IF($A105="","",$A105&amp;"|"&amp;$K105)</f>
        <v/>
      </c>
    </row>
    <row r="106" customFormat="false" ht="15" hidden="false" customHeight="true" outlineLevel="0" collapsed="false">
      <c r="A106" s="12"/>
      <c r="B106" s="12"/>
      <c r="C106" s="15" t="str">
        <f aca="false">IF($B106="","",IFERROR(INDEX(품목마스터!$B$3:$B$102,MATCH($B106,품목마스터!$A$3:$A$102,0)),""))</f>
        <v/>
      </c>
      <c r="D106" s="15" t="str">
        <f aca="false">IF($B106="","",IFERROR(INDEX(품목마스터!$C$3:$C$102,MATCH($B106,품목마스터!$A$3:$A$102,0)),""))</f>
        <v/>
      </c>
      <c r="E106" s="13" t="str">
        <f aca="false">IF($B106="","",IFERROR(INDEX(품목마스터!$D$3:$D$102,MATCH($B106,품목마스터!$A$3:$A$102,0)),0))</f>
        <v/>
      </c>
      <c r="F106" s="10"/>
      <c r="G106" s="16" t="str">
        <f aca="false">IF(OR($E106="",$F106=""),"",ROUND($E106*$F106,0))</f>
        <v/>
      </c>
      <c r="H106" s="17"/>
      <c r="I106" s="16" t="str">
        <f aca="false">IF($G106="","",ROUND($G106*IF($H106="",0,$H106)/100,0))</f>
        <v/>
      </c>
      <c r="J106" s="10"/>
      <c r="K106" s="15" t="str">
        <f aca="false">IF($A106="","",COUNTIFS($A$3:$A106,$A106))</f>
        <v/>
      </c>
      <c r="L106" s="15" t="str">
        <f aca="false">IF($A106="","",$A106&amp;"|"&amp;$K106)</f>
        <v/>
      </c>
    </row>
    <row r="107" customFormat="false" ht="15" hidden="false" customHeight="true" outlineLevel="0" collapsed="false">
      <c r="A107" s="12"/>
      <c r="B107" s="12"/>
      <c r="C107" s="15" t="str">
        <f aca="false">IF($B107="","",IFERROR(INDEX(품목마스터!$B$3:$B$102,MATCH($B107,품목마스터!$A$3:$A$102,0)),""))</f>
        <v/>
      </c>
      <c r="D107" s="15" t="str">
        <f aca="false">IF($B107="","",IFERROR(INDEX(품목마스터!$C$3:$C$102,MATCH($B107,품목마스터!$A$3:$A$102,0)),""))</f>
        <v/>
      </c>
      <c r="E107" s="13" t="str">
        <f aca="false">IF($B107="","",IFERROR(INDEX(품목마스터!$D$3:$D$102,MATCH($B107,품목마스터!$A$3:$A$102,0)),0))</f>
        <v/>
      </c>
      <c r="F107" s="10"/>
      <c r="G107" s="16" t="str">
        <f aca="false">IF(OR($E107="",$F107=""),"",ROUND($E107*$F107,0))</f>
        <v/>
      </c>
      <c r="H107" s="17"/>
      <c r="I107" s="16" t="str">
        <f aca="false">IF($G107="","",ROUND($G107*IF($H107="",0,$H107)/100,0))</f>
        <v/>
      </c>
      <c r="J107" s="10"/>
      <c r="K107" s="15" t="str">
        <f aca="false">IF($A107="","",COUNTIFS($A$3:$A107,$A107))</f>
        <v/>
      </c>
      <c r="L107" s="15" t="str">
        <f aca="false">IF($A107="","",$A107&amp;"|"&amp;$K107)</f>
        <v/>
      </c>
    </row>
    <row r="108" customFormat="false" ht="15" hidden="false" customHeight="true" outlineLevel="0" collapsed="false">
      <c r="A108" s="12"/>
      <c r="B108" s="12"/>
      <c r="C108" s="15" t="str">
        <f aca="false">IF($B108="","",IFERROR(INDEX(품목마스터!$B$3:$B$102,MATCH($B108,품목마스터!$A$3:$A$102,0)),""))</f>
        <v/>
      </c>
      <c r="D108" s="15" t="str">
        <f aca="false">IF($B108="","",IFERROR(INDEX(품목마스터!$C$3:$C$102,MATCH($B108,품목마스터!$A$3:$A$102,0)),""))</f>
        <v/>
      </c>
      <c r="E108" s="13" t="str">
        <f aca="false">IF($B108="","",IFERROR(INDEX(품목마스터!$D$3:$D$102,MATCH($B108,품목마스터!$A$3:$A$102,0)),0))</f>
        <v/>
      </c>
      <c r="F108" s="10"/>
      <c r="G108" s="16" t="str">
        <f aca="false">IF(OR($E108="",$F108=""),"",ROUND($E108*$F108,0))</f>
        <v/>
      </c>
      <c r="H108" s="17"/>
      <c r="I108" s="16" t="str">
        <f aca="false">IF($G108="","",ROUND($G108*IF($H108="",0,$H108)/100,0))</f>
        <v/>
      </c>
      <c r="J108" s="10"/>
      <c r="K108" s="15" t="str">
        <f aca="false">IF($A108="","",COUNTIFS($A$3:$A108,$A108))</f>
        <v/>
      </c>
      <c r="L108" s="15" t="str">
        <f aca="false">IF($A108="","",$A108&amp;"|"&amp;$K108)</f>
        <v/>
      </c>
    </row>
    <row r="109" customFormat="false" ht="15" hidden="false" customHeight="true" outlineLevel="0" collapsed="false">
      <c r="A109" s="12"/>
      <c r="B109" s="12"/>
      <c r="C109" s="15" t="str">
        <f aca="false">IF($B109="","",IFERROR(INDEX(품목마스터!$B$3:$B$102,MATCH($B109,품목마스터!$A$3:$A$102,0)),""))</f>
        <v/>
      </c>
      <c r="D109" s="15" t="str">
        <f aca="false">IF($B109="","",IFERROR(INDEX(품목마스터!$C$3:$C$102,MATCH($B109,품목마스터!$A$3:$A$102,0)),""))</f>
        <v/>
      </c>
      <c r="E109" s="13" t="str">
        <f aca="false">IF($B109="","",IFERROR(INDEX(품목마스터!$D$3:$D$102,MATCH($B109,품목마스터!$A$3:$A$102,0)),0))</f>
        <v/>
      </c>
      <c r="F109" s="10"/>
      <c r="G109" s="16" t="str">
        <f aca="false">IF(OR($E109="",$F109=""),"",ROUND($E109*$F109,0))</f>
        <v/>
      </c>
      <c r="H109" s="17"/>
      <c r="I109" s="16" t="str">
        <f aca="false">IF($G109="","",ROUND($G109*IF($H109="",0,$H109)/100,0))</f>
        <v/>
      </c>
      <c r="J109" s="10"/>
      <c r="K109" s="15" t="str">
        <f aca="false">IF($A109="","",COUNTIFS($A$3:$A109,$A109))</f>
        <v/>
      </c>
      <c r="L109" s="15" t="str">
        <f aca="false">IF($A109="","",$A109&amp;"|"&amp;$K109)</f>
        <v/>
      </c>
    </row>
    <row r="110" customFormat="false" ht="15" hidden="false" customHeight="true" outlineLevel="0" collapsed="false">
      <c r="A110" s="12"/>
      <c r="B110" s="12"/>
      <c r="C110" s="15" t="str">
        <f aca="false">IF($B110="","",IFERROR(INDEX(품목마스터!$B$3:$B$102,MATCH($B110,품목마스터!$A$3:$A$102,0)),""))</f>
        <v/>
      </c>
      <c r="D110" s="15" t="str">
        <f aca="false">IF($B110="","",IFERROR(INDEX(품목마스터!$C$3:$C$102,MATCH($B110,품목마스터!$A$3:$A$102,0)),""))</f>
        <v/>
      </c>
      <c r="E110" s="13" t="str">
        <f aca="false">IF($B110="","",IFERROR(INDEX(품목마스터!$D$3:$D$102,MATCH($B110,품목마스터!$A$3:$A$102,0)),0))</f>
        <v/>
      </c>
      <c r="F110" s="10"/>
      <c r="G110" s="16" t="str">
        <f aca="false">IF(OR($E110="",$F110=""),"",ROUND($E110*$F110,0))</f>
        <v/>
      </c>
      <c r="H110" s="17"/>
      <c r="I110" s="16" t="str">
        <f aca="false">IF($G110="","",ROUND($G110*IF($H110="",0,$H110)/100,0))</f>
        <v/>
      </c>
      <c r="J110" s="10"/>
      <c r="K110" s="15" t="str">
        <f aca="false">IF($A110="","",COUNTIFS($A$3:$A110,$A110))</f>
        <v/>
      </c>
      <c r="L110" s="15" t="str">
        <f aca="false">IF($A110="","",$A110&amp;"|"&amp;$K110)</f>
        <v/>
      </c>
    </row>
    <row r="111" customFormat="false" ht="15" hidden="false" customHeight="true" outlineLevel="0" collapsed="false">
      <c r="A111" s="12"/>
      <c r="B111" s="12"/>
      <c r="C111" s="15" t="str">
        <f aca="false">IF($B111="","",IFERROR(INDEX(품목마스터!$B$3:$B$102,MATCH($B111,품목마스터!$A$3:$A$102,0)),""))</f>
        <v/>
      </c>
      <c r="D111" s="15" t="str">
        <f aca="false">IF($B111="","",IFERROR(INDEX(품목마스터!$C$3:$C$102,MATCH($B111,품목마스터!$A$3:$A$102,0)),""))</f>
        <v/>
      </c>
      <c r="E111" s="13" t="str">
        <f aca="false">IF($B111="","",IFERROR(INDEX(품목마스터!$D$3:$D$102,MATCH($B111,품목마스터!$A$3:$A$102,0)),0))</f>
        <v/>
      </c>
      <c r="F111" s="10"/>
      <c r="G111" s="16" t="str">
        <f aca="false">IF(OR($E111="",$F111=""),"",ROUND($E111*$F111,0))</f>
        <v/>
      </c>
      <c r="H111" s="17"/>
      <c r="I111" s="16" t="str">
        <f aca="false">IF($G111="","",ROUND($G111*IF($H111="",0,$H111)/100,0))</f>
        <v/>
      </c>
      <c r="J111" s="10"/>
      <c r="K111" s="15" t="str">
        <f aca="false">IF($A111="","",COUNTIFS($A$3:$A111,$A111))</f>
        <v/>
      </c>
      <c r="L111" s="15" t="str">
        <f aca="false">IF($A111="","",$A111&amp;"|"&amp;$K111)</f>
        <v/>
      </c>
    </row>
    <row r="112" customFormat="false" ht="15" hidden="false" customHeight="true" outlineLevel="0" collapsed="false">
      <c r="A112" s="12"/>
      <c r="B112" s="12"/>
      <c r="C112" s="15" t="str">
        <f aca="false">IF($B112="","",IFERROR(INDEX(품목마스터!$B$3:$B$102,MATCH($B112,품목마스터!$A$3:$A$102,0)),""))</f>
        <v/>
      </c>
      <c r="D112" s="15" t="str">
        <f aca="false">IF($B112="","",IFERROR(INDEX(품목마스터!$C$3:$C$102,MATCH($B112,품목마스터!$A$3:$A$102,0)),""))</f>
        <v/>
      </c>
      <c r="E112" s="13" t="str">
        <f aca="false">IF($B112="","",IFERROR(INDEX(품목마스터!$D$3:$D$102,MATCH($B112,품목마스터!$A$3:$A$102,0)),0))</f>
        <v/>
      </c>
      <c r="F112" s="10"/>
      <c r="G112" s="16" t="str">
        <f aca="false">IF(OR($E112="",$F112=""),"",ROUND($E112*$F112,0))</f>
        <v/>
      </c>
      <c r="H112" s="17"/>
      <c r="I112" s="16" t="str">
        <f aca="false">IF($G112="","",ROUND($G112*IF($H112="",0,$H112)/100,0))</f>
        <v/>
      </c>
      <c r="J112" s="10"/>
      <c r="K112" s="15" t="str">
        <f aca="false">IF($A112="","",COUNTIFS($A$3:$A112,$A112))</f>
        <v/>
      </c>
      <c r="L112" s="15" t="str">
        <f aca="false">IF($A112="","",$A112&amp;"|"&amp;$K112)</f>
        <v/>
      </c>
    </row>
    <row r="113" customFormat="false" ht="15" hidden="false" customHeight="true" outlineLevel="0" collapsed="false">
      <c r="A113" s="12"/>
      <c r="B113" s="12"/>
      <c r="C113" s="15" t="str">
        <f aca="false">IF($B113="","",IFERROR(INDEX(품목마스터!$B$3:$B$102,MATCH($B113,품목마스터!$A$3:$A$102,0)),""))</f>
        <v/>
      </c>
      <c r="D113" s="15" t="str">
        <f aca="false">IF($B113="","",IFERROR(INDEX(품목마스터!$C$3:$C$102,MATCH($B113,품목마스터!$A$3:$A$102,0)),""))</f>
        <v/>
      </c>
      <c r="E113" s="13" t="str">
        <f aca="false">IF($B113="","",IFERROR(INDEX(품목마스터!$D$3:$D$102,MATCH($B113,품목마스터!$A$3:$A$102,0)),0))</f>
        <v/>
      </c>
      <c r="F113" s="10"/>
      <c r="G113" s="16" t="str">
        <f aca="false">IF(OR($E113="",$F113=""),"",ROUND($E113*$F113,0))</f>
        <v/>
      </c>
      <c r="H113" s="17"/>
      <c r="I113" s="16" t="str">
        <f aca="false">IF($G113="","",ROUND($G113*IF($H113="",0,$H113)/100,0))</f>
        <v/>
      </c>
      <c r="J113" s="10"/>
      <c r="K113" s="15" t="str">
        <f aca="false">IF($A113="","",COUNTIFS($A$3:$A113,$A113))</f>
        <v/>
      </c>
      <c r="L113" s="15" t="str">
        <f aca="false">IF($A113="","",$A113&amp;"|"&amp;$K113)</f>
        <v/>
      </c>
    </row>
    <row r="114" customFormat="false" ht="15" hidden="false" customHeight="true" outlineLevel="0" collapsed="false">
      <c r="A114" s="12"/>
      <c r="B114" s="12"/>
      <c r="C114" s="15" t="str">
        <f aca="false">IF($B114="","",IFERROR(INDEX(품목마스터!$B$3:$B$102,MATCH($B114,품목마스터!$A$3:$A$102,0)),""))</f>
        <v/>
      </c>
      <c r="D114" s="15" t="str">
        <f aca="false">IF($B114="","",IFERROR(INDEX(품목마스터!$C$3:$C$102,MATCH($B114,품목마스터!$A$3:$A$102,0)),""))</f>
        <v/>
      </c>
      <c r="E114" s="13" t="str">
        <f aca="false">IF($B114="","",IFERROR(INDEX(품목마스터!$D$3:$D$102,MATCH($B114,품목마스터!$A$3:$A$102,0)),0))</f>
        <v/>
      </c>
      <c r="F114" s="10"/>
      <c r="G114" s="16" t="str">
        <f aca="false">IF(OR($E114="",$F114=""),"",ROUND($E114*$F114,0))</f>
        <v/>
      </c>
      <c r="H114" s="17"/>
      <c r="I114" s="16" t="str">
        <f aca="false">IF($G114="","",ROUND($G114*IF($H114="",0,$H114)/100,0))</f>
        <v/>
      </c>
      <c r="J114" s="10"/>
      <c r="K114" s="15" t="str">
        <f aca="false">IF($A114="","",COUNTIFS($A$3:$A114,$A114))</f>
        <v/>
      </c>
      <c r="L114" s="15" t="str">
        <f aca="false">IF($A114="","",$A114&amp;"|"&amp;$K114)</f>
        <v/>
      </c>
    </row>
    <row r="115" customFormat="false" ht="15" hidden="false" customHeight="true" outlineLevel="0" collapsed="false">
      <c r="A115" s="12"/>
      <c r="B115" s="12"/>
      <c r="C115" s="15" t="str">
        <f aca="false">IF($B115="","",IFERROR(INDEX(품목마스터!$B$3:$B$102,MATCH($B115,품목마스터!$A$3:$A$102,0)),""))</f>
        <v/>
      </c>
      <c r="D115" s="15" t="str">
        <f aca="false">IF($B115="","",IFERROR(INDEX(품목마스터!$C$3:$C$102,MATCH($B115,품목마스터!$A$3:$A$102,0)),""))</f>
        <v/>
      </c>
      <c r="E115" s="13" t="str">
        <f aca="false">IF($B115="","",IFERROR(INDEX(품목마스터!$D$3:$D$102,MATCH($B115,품목마스터!$A$3:$A$102,0)),0))</f>
        <v/>
      </c>
      <c r="F115" s="10"/>
      <c r="G115" s="16" t="str">
        <f aca="false">IF(OR($E115="",$F115=""),"",ROUND($E115*$F115,0))</f>
        <v/>
      </c>
      <c r="H115" s="17"/>
      <c r="I115" s="16" t="str">
        <f aca="false">IF($G115="","",ROUND($G115*IF($H115="",0,$H115)/100,0))</f>
        <v/>
      </c>
      <c r="J115" s="10"/>
      <c r="K115" s="15" t="str">
        <f aca="false">IF($A115="","",COUNTIFS($A$3:$A115,$A115))</f>
        <v/>
      </c>
      <c r="L115" s="15" t="str">
        <f aca="false">IF($A115="","",$A115&amp;"|"&amp;$K115)</f>
        <v/>
      </c>
    </row>
    <row r="116" customFormat="false" ht="15" hidden="false" customHeight="true" outlineLevel="0" collapsed="false">
      <c r="A116" s="12"/>
      <c r="B116" s="12"/>
      <c r="C116" s="15" t="str">
        <f aca="false">IF($B116="","",IFERROR(INDEX(품목마스터!$B$3:$B$102,MATCH($B116,품목마스터!$A$3:$A$102,0)),""))</f>
        <v/>
      </c>
      <c r="D116" s="15" t="str">
        <f aca="false">IF($B116="","",IFERROR(INDEX(품목마스터!$C$3:$C$102,MATCH($B116,품목마스터!$A$3:$A$102,0)),""))</f>
        <v/>
      </c>
      <c r="E116" s="13" t="str">
        <f aca="false">IF($B116="","",IFERROR(INDEX(품목마스터!$D$3:$D$102,MATCH($B116,품목마스터!$A$3:$A$102,0)),0))</f>
        <v/>
      </c>
      <c r="F116" s="10"/>
      <c r="G116" s="16" t="str">
        <f aca="false">IF(OR($E116="",$F116=""),"",ROUND($E116*$F116,0))</f>
        <v/>
      </c>
      <c r="H116" s="17"/>
      <c r="I116" s="16" t="str">
        <f aca="false">IF($G116="","",ROUND($G116*IF($H116="",0,$H116)/100,0))</f>
        <v/>
      </c>
      <c r="J116" s="10"/>
      <c r="K116" s="15" t="str">
        <f aca="false">IF($A116="","",COUNTIFS($A$3:$A116,$A116))</f>
        <v/>
      </c>
      <c r="L116" s="15" t="str">
        <f aca="false">IF($A116="","",$A116&amp;"|"&amp;$K116)</f>
        <v/>
      </c>
    </row>
    <row r="117" customFormat="false" ht="15" hidden="false" customHeight="true" outlineLevel="0" collapsed="false">
      <c r="A117" s="12"/>
      <c r="B117" s="12"/>
      <c r="C117" s="15" t="str">
        <f aca="false">IF($B117="","",IFERROR(INDEX(품목마스터!$B$3:$B$102,MATCH($B117,품목마스터!$A$3:$A$102,0)),""))</f>
        <v/>
      </c>
      <c r="D117" s="15" t="str">
        <f aca="false">IF($B117="","",IFERROR(INDEX(품목마스터!$C$3:$C$102,MATCH($B117,품목마스터!$A$3:$A$102,0)),""))</f>
        <v/>
      </c>
      <c r="E117" s="13" t="str">
        <f aca="false">IF($B117="","",IFERROR(INDEX(품목마스터!$D$3:$D$102,MATCH($B117,품목마스터!$A$3:$A$102,0)),0))</f>
        <v/>
      </c>
      <c r="F117" s="10"/>
      <c r="G117" s="16" t="str">
        <f aca="false">IF(OR($E117="",$F117=""),"",ROUND($E117*$F117,0))</f>
        <v/>
      </c>
      <c r="H117" s="17"/>
      <c r="I117" s="16" t="str">
        <f aca="false">IF($G117="","",ROUND($G117*IF($H117="",0,$H117)/100,0))</f>
        <v/>
      </c>
      <c r="J117" s="10"/>
      <c r="K117" s="15" t="str">
        <f aca="false">IF($A117="","",COUNTIFS($A$3:$A117,$A117))</f>
        <v/>
      </c>
      <c r="L117" s="15" t="str">
        <f aca="false">IF($A117="","",$A117&amp;"|"&amp;$K117)</f>
        <v/>
      </c>
    </row>
    <row r="118" customFormat="false" ht="15" hidden="false" customHeight="true" outlineLevel="0" collapsed="false">
      <c r="A118" s="12"/>
      <c r="B118" s="12"/>
      <c r="C118" s="15" t="str">
        <f aca="false">IF($B118="","",IFERROR(INDEX(품목마스터!$B$3:$B$102,MATCH($B118,품목마스터!$A$3:$A$102,0)),""))</f>
        <v/>
      </c>
      <c r="D118" s="15" t="str">
        <f aca="false">IF($B118="","",IFERROR(INDEX(품목마스터!$C$3:$C$102,MATCH($B118,품목마스터!$A$3:$A$102,0)),""))</f>
        <v/>
      </c>
      <c r="E118" s="13" t="str">
        <f aca="false">IF($B118="","",IFERROR(INDEX(품목마스터!$D$3:$D$102,MATCH($B118,품목마스터!$A$3:$A$102,0)),0))</f>
        <v/>
      </c>
      <c r="F118" s="10"/>
      <c r="G118" s="16" t="str">
        <f aca="false">IF(OR($E118="",$F118=""),"",ROUND($E118*$F118,0))</f>
        <v/>
      </c>
      <c r="H118" s="17"/>
      <c r="I118" s="16" t="str">
        <f aca="false">IF($G118="","",ROUND($G118*IF($H118="",0,$H118)/100,0))</f>
        <v/>
      </c>
      <c r="J118" s="10"/>
      <c r="K118" s="15" t="str">
        <f aca="false">IF($A118="","",COUNTIFS($A$3:$A118,$A118))</f>
        <v/>
      </c>
      <c r="L118" s="15" t="str">
        <f aca="false">IF($A118="","",$A118&amp;"|"&amp;$K118)</f>
        <v/>
      </c>
    </row>
    <row r="119" customFormat="false" ht="15" hidden="false" customHeight="true" outlineLevel="0" collapsed="false">
      <c r="A119" s="12"/>
      <c r="B119" s="12"/>
      <c r="C119" s="15" t="str">
        <f aca="false">IF($B119="","",IFERROR(INDEX(품목마스터!$B$3:$B$102,MATCH($B119,품목마스터!$A$3:$A$102,0)),""))</f>
        <v/>
      </c>
      <c r="D119" s="15" t="str">
        <f aca="false">IF($B119="","",IFERROR(INDEX(품목마스터!$C$3:$C$102,MATCH($B119,품목마스터!$A$3:$A$102,0)),""))</f>
        <v/>
      </c>
      <c r="E119" s="13" t="str">
        <f aca="false">IF($B119="","",IFERROR(INDEX(품목마스터!$D$3:$D$102,MATCH($B119,품목마스터!$A$3:$A$102,0)),0))</f>
        <v/>
      </c>
      <c r="F119" s="10"/>
      <c r="G119" s="16" t="str">
        <f aca="false">IF(OR($E119="",$F119=""),"",ROUND($E119*$F119,0))</f>
        <v/>
      </c>
      <c r="H119" s="17"/>
      <c r="I119" s="16" t="str">
        <f aca="false">IF($G119="","",ROUND($G119*IF($H119="",0,$H119)/100,0))</f>
        <v/>
      </c>
      <c r="J119" s="10"/>
      <c r="K119" s="15" t="str">
        <f aca="false">IF($A119="","",COUNTIFS($A$3:$A119,$A119))</f>
        <v/>
      </c>
      <c r="L119" s="15" t="str">
        <f aca="false">IF($A119="","",$A119&amp;"|"&amp;$K119)</f>
        <v/>
      </c>
    </row>
    <row r="120" customFormat="false" ht="15" hidden="false" customHeight="true" outlineLevel="0" collapsed="false">
      <c r="A120" s="12"/>
      <c r="B120" s="12"/>
      <c r="C120" s="15" t="str">
        <f aca="false">IF($B120="","",IFERROR(INDEX(품목마스터!$B$3:$B$102,MATCH($B120,품목마스터!$A$3:$A$102,0)),""))</f>
        <v/>
      </c>
      <c r="D120" s="15" t="str">
        <f aca="false">IF($B120="","",IFERROR(INDEX(품목마스터!$C$3:$C$102,MATCH($B120,품목마스터!$A$3:$A$102,0)),""))</f>
        <v/>
      </c>
      <c r="E120" s="13" t="str">
        <f aca="false">IF($B120="","",IFERROR(INDEX(품목마스터!$D$3:$D$102,MATCH($B120,품목마스터!$A$3:$A$102,0)),0))</f>
        <v/>
      </c>
      <c r="F120" s="10"/>
      <c r="G120" s="16" t="str">
        <f aca="false">IF(OR($E120="",$F120=""),"",ROUND($E120*$F120,0))</f>
        <v/>
      </c>
      <c r="H120" s="17"/>
      <c r="I120" s="16" t="str">
        <f aca="false">IF($G120="","",ROUND($G120*IF($H120="",0,$H120)/100,0))</f>
        <v/>
      </c>
      <c r="J120" s="10"/>
      <c r="K120" s="15" t="str">
        <f aca="false">IF($A120="","",COUNTIFS($A$3:$A120,$A120))</f>
        <v/>
      </c>
      <c r="L120" s="15" t="str">
        <f aca="false">IF($A120="","",$A120&amp;"|"&amp;$K120)</f>
        <v/>
      </c>
    </row>
    <row r="121" customFormat="false" ht="15" hidden="false" customHeight="true" outlineLevel="0" collapsed="false">
      <c r="A121" s="12"/>
      <c r="B121" s="12"/>
      <c r="C121" s="15" t="str">
        <f aca="false">IF($B121="","",IFERROR(INDEX(품목마스터!$B$3:$B$102,MATCH($B121,품목마스터!$A$3:$A$102,0)),""))</f>
        <v/>
      </c>
      <c r="D121" s="15" t="str">
        <f aca="false">IF($B121="","",IFERROR(INDEX(품목마스터!$C$3:$C$102,MATCH($B121,품목마스터!$A$3:$A$102,0)),""))</f>
        <v/>
      </c>
      <c r="E121" s="13" t="str">
        <f aca="false">IF($B121="","",IFERROR(INDEX(품목마스터!$D$3:$D$102,MATCH($B121,품목마스터!$A$3:$A$102,0)),0))</f>
        <v/>
      </c>
      <c r="F121" s="10"/>
      <c r="G121" s="16" t="str">
        <f aca="false">IF(OR($E121="",$F121=""),"",ROUND($E121*$F121,0))</f>
        <v/>
      </c>
      <c r="H121" s="17"/>
      <c r="I121" s="16" t="str">
        <f aca="false">IF($G121="","",ROUND($G121*IF($H121="",0,$H121)/100,0))</f>
        <v/>
      </c>
      <c r="J121" s="10"/>
      <c r="K121" s="15" t="str">
        <f aca="false">IF($A121="","",COUNTIFS($A$3:$A121,$A121))</f>
        <v/>
      </c>
      <c r="L121" s="15" t="str">
        <f aca="false">IF($A121="","",$A121&amp;"|"&amp;$K121)</f>
        <v/>
      </c>
    </row>
    <row r="122" customFormat="false" ht="15" hidden="false" customHeight="true" outlineLevel="0" collapsed="false">
      <c r="A122" s="12"/>
      <c r="B122" s="12"/>
      <c r="C122" s="15" t="str">
        <f aca="false">IF($B122="","",IFERROR(INDEX(품목마스터!$B$3:$B$102,MATCH($B122,품목마스터!$A$3:$A$102,0)),""))</f>
        <v/>
      </c>
      <c r="D122" s="15" t="str">
        <f aca="false">IF($B122="","",IFERROR(INDEX(품목마스터!$C$3:$C$102,MATCH($B122,품목마스터!$A$3:$A$102,0)),""))</f>
        <v/>
      </c>
      <c r="E122" s="13" t="str">
        <f aca="false">IF($B122="","",IFERROR(INDEX(품목마스터!$D$3:$D$102,MATCH($B122,품목마스터!$A$3:$A$102,0)),0))</f>
        <v/>
      </c>
      <c r="F122" s="10"/>
      <c r="G122" s="16" t="str">
        <f aca="false">IF(OR($E122="",$F122=""),"",ROUND($E122*$F122,0))</f>
        <v/>
      </c>
      <c r="H122" s="17"/>
      <c r="I122" s="16" t="str">
        <f aca="false">IF($G122="","",ROUND($G122*IF($H122="",0,$H122)/100,0))</f>
        <v/>
      </c>
      <c r="J122" s="10"/>
      <c r="K122" s="15" t="str">
        <f aca="false">IF($A122="","",COUNTIFS($A$3:$A122,$A122))</f>
        <v/>
      </c>
      <c r="L122" s="15" t="str">
        <f aca="false">IF($A122="","",$A122&amp;"|"&amp;$K122)</f>
        <v/>
      </c>
    </row>
    <row r="123" customFormat="false" ht="15" hidden="false" customHeight="true" outlineLevel="0" collapsed="false">
      <c r="A123" s="12"/>
      <c r="B123" s="12"/>
      <c r="C123" s="15" t="str">
        <f aca="false">IF($B123="","",IFERROR(INDEX(품목마스터!$B$3:$B$102,MATCH($B123,품목마스터!$A$3:$A$102,0)),""))</f>
        <v/>
      </c>
      <c r="D123" s="15" t="str">
        <f aca="false">IF($B123="","",IFERROR(INDEX(품목마스터!$C$3:$C$102,MATCH($B123,품목마스터!$A$3:$A$102,0)),""))</f>
        <v/>
      </c>
      <c r="E123" s="13" t="str">
        <f aca="false">IF($B123="","",IFERROR(INDEX(품목마스터!$D$3:$D$102,MATCH($B123,품목마스터!$A$3:$A$102,0)),0))</f>
        <v/>
      </c>
      <c r="F123" s="10"/>
      <c r="G123" s="16" t="str">
        <f aca="false">IF(OR($E123="",$F123=""),"",ROUND($E123*$F123,0))</f>
        <v/>
      </c>
      <c r="H123" s="17"/>
      <c r="I123" s="16" t="str">
        <f aca="false">IF($G123="","",ROUND($G123*IF($H123="",0,$H123)/100,0))</f>
        <v/>
      </c>
      <c r="J123" s="10"/>
      <c r="K123" s="15" t="str">
        <f aca="false">IF($A123="","",COUNTIFS($A$3:$A123,$A123))</f>
        <v/>
      </c>
      <c r="L123" s="15" t="str">
        <f aca="false">IF($A123="","",$A123&amp;"|"&amp;$K123)</f>
        <v/>
      </c>
    </row>
    <row r="124" customFormat="false" ht="15" hidden="false" customHeight="true" outlineLevel="0" collapsed="false">
      <c r="A124" s="12"/>
      <c r="B124" s="12"/>
      <c r="C124" s="15" t="str">
        <f aca="false">IF($B124="","",IFERROR(INDEX(품목마스터!$B$3:$B$102,MATCH($B124,품목마스터!$A$3:$A$102,0)),""))</f>
        <v/>
      </c>
      <c r="D124" s="15" t="str">
        <f aca="false">IF($B124="","",IFERROR(INDEX(품목마스터!$C$3:$C$102,MATCH($B124,품목마스터!$A$3:$A$102,0)),""))</f>
        <v/>
      </c>
      <c r="E124" s="13" t="str">
        <f aca="false">IF($B124="","",IFERROR(INDEX(품목마스터!$D$3:$D$102,MATCH($B124,품목마스터!$A$3:$A$102,0)),0))</f>
        <v/>
      </c>
      <c r="F124" s="10"/>
      <c r="G124" s="16" t="str">
        <f aca="false">IF(OR($E124="",$F124=""),"",ROUND($E124*$F124,0))</f>
        <v/>
      </c>
      <c r="H124" s="17"/>
      <c r="I124" s="16" t="str">
        <f aca="false">IF($G124="","",ROUND($G124*IF($H124="",0,$H124)/100,0))</f>
        <v/>
      </c>
      <c r="J124" s="10"/>
      <c r="K124" s="15" t="str">
        <f aca="false">IF($A124="","",COUNTIFS($A$3:$A124,$A124))</f>
        <v/>
      </c>
      <c r="L124" s="15" t="str">
        <f aca="false">IF($A124="","",$A124&amp;"|"&amp;$K124)</f>
        <v/>
      </c>
    </row>
    <row r="125" customFormat="false" ht="15" hidden="false" customHeight="true" outlineLevel="0" collapsed="false">
      <c r="A125" s="12"/>
      <c r="B125" s="12"/>
      <c r="C125" s="15" t="str">
        <f aca="false">IF($B125="","",IFERROR(INDEX(품목마스터!$B$3:$B$102,MATCH($B125,품목마스터!$A$3:$A$102,0)),""))</f>
        <v/>
      </c>
      <c r="D125" s="15" t="str">
        <f aca="false">IF($B125="","",IFERROR(INDEX(품목마스터!$C$3:$C$102,MATCH($B125,품목마스터!$A$3:$A$102,0)),""))</f>
        <v/>
      </c>
      <c r="E125" s="13" t="str">
        <f aca="false">IF($B125="","",IFERROR(INDEX(품목마스터!$D$3:$D$102,MATCH($B125,품목마스터!$A$3:$A$102,0)),0))</f>
        <v/>
      </c>
      <c r="F125" s="10"/>
      <c r="G125" s="16" t="str">
        <f aca="false">IF(OR($E125="",$F125=""),"",ROUND($E125*$F125,0))</f>
        <v/>
      </c>
      <c r="H125" s="17"/>
      <c r="I125" s="16" t="str">
        <f aca="false">IF($G125="","",ROUND($G125*IF($H125="",0,$H125)/100,0))</f>
        <v/>
      </c>
      <c r="J125" s="10"/>
      <c r="K125" s="15" t="str">
        <f aca="false">IF($A125="","",COUNTIFS($A$3:$A125,$A125))</f>
        <v/>
      </c>
      <c r="L125" s="15" t="str">
        <f aca="false">IF($A125="","",$A125&amp;"|"&amp;$K125)</f>
        <v/>
      </c>
    </row>
    <row r="126" customFormat="false" ht="15" hidden="false" customHeight="true" outlineLevel="0" collapsed="false">
      <c r="A126" s="12"/>
      <c r="B126" s="12"/>
      <c r="C126" s="15" t="str">
        <f aca="false">IF($B126="","",IFERROR(INDEX(품목마스터!$B$3:$B$102,MATCH($B126,품목마스터!$A$3:$A$102,0)),""))</f>
        <v/>
      </c>
      <c r="D126" s="15" t="str">
        <f aca="false">IF($B126="","",IFERROR(INDEX(품목마스터!$C$3:$C$102,MATCH($B126,품목마스터!$A$3:$A$102,0)),""))</f>
        <v/>
      </c>
      <c r="E126" s="13" t="str">
        <f aca="false">IF($B126="","",IFERROR(INDEX(품목마스터!$D$3:$D$102,MATCH($B126,품목마스터!$A$3:$A$102,0)),0))</f>
        <v/>
      </c>
      <c r="F126" s="10"/>
      <c r="G126" s="16" t="str">
        <f aca="false">IF(OR($E126="",$F126=""),"",ROUND($E126*$F126,0))</f>
        <v/>
      </c>
      <c r="H126" s="17"/>
      <c r="I126" s="16" t="str">
        <f aca="false">IF($G126="","",ROUND($G126*IF($H126="",0,$H126)/100,0))</f>
        <v/>
      </c>
      <c r="J126" s="10"/>
      <c r="K126" s="15" t="str">
        <f aca="false">IF($A126="","",COUNTIFS($A$3:$A126,$A126))</f>
        <v/>
      </c>
      <c r="L126" s="15" t="str">
        <f aca="false">IF($A126="","",$A126&amp;"|"&amp;$K126)</f>
        <v/>
      </c>
    </row>
    <row r="127" customFormat="false" ht="15" hidden="false" customHeight="true" outlineLevel="0" collapsed="false">
      <c r="A127" s="12"/>
      <c r="B127" s="12"/>
      <c r="C127" s="15" t="str">
        <f aca="false">IF($B127="","",IFERROR(INDEX(품목마스터!$B$3:$B$102,MATCH($B127,품목마스터!$A$3:$A$102,0)),""))</f>
        <v/>
      </c>
      <c r="D127" s="15" t="str">
        <f aca="false">IF($B127="","",IFERROR(INDEX(품목마스터!$C$3:$C$102,MATCH($B127,품목마스터!$A$3:$A$102,0)),""))</f>
        <v/>
      </c>
      <c r="E127" s="13" t="str">
        <f aca="false">IF($B127="","",IFERROR(INDEX(품목마스터!$D$3:$D$102,MATCH($B127,품목마스터!$A$3:$A$102,0)),0))</f>
        <v/>
      </c>
      <c r="F127" s="10"/>
      <c r="G127" s="16" t="str">
        <f aca="false">IF(OR($E127="",$F127=""),"",ROUND($E127*$F127,0))</f>
        <v/>
      </c>
      <c r="H127" s="17"/>
      <c r="I127" s="16" t="str">
        <f aca="false">IF($G127="","",ROUND($G127*IF($H127="",0,$H127)/100,0))</f>
        <v/>
      </c>
      <c r="J127" s="10"/>
      <c r="K127" s="15" t="str">
        <f aca="false">IF($A127="","",COUNTIFS($A$3:$A127,$A127))</f>
        <v/>
      </c>
      <c r="L127" s="15" t="str">
        <f aca="false">IF($A127="","",$A127&amp;"|"&amp;$K127)</f>
        <v/>
      </c>
    </row>
    <row r="128" customFormat="false" ht="15" hidden="false" customHeight="true" outlineLevel="0" collapsed="false">
      <c r="A128" s="12"/>
      <c r="B128" s="12"/>
      <c r="C128" s="15" t="str">
        <f aca="false">IF($B128="","",IFERROR(INDEX(품목마스터!$B$3:$B$102,MATCH($B128,품목마스터!$A$3:$A$102,0)),""))</f>
        <v/>
      </c>
      <c r="D128" s="15" t="str">
        <f aca="false">IF($B128="","",IFERROR(INDEX(품목마스터!$C$3:$C$102,MATCH($B128,품목마스터!$A$3:$A$102,0)),""))</f>
        <v/>
      </c>
      <c r="E128" s="13" t="str">
        <f aca="false">IF($B128="","",IFERROR(INDEX(품목마스터!$D$3:$D$102,MATCH($B128,품목마스터!$A$3:$A$102,0)),0))</f>
        <v/>
      </c>
      <c r="F128" s="10"/>
      <c r="G128" s="16" t="str">
        <f aca="false">IF(OR($E128="",$F128=""),"",ROUND($E128*$F128,0))</f>
        <v/>
      </c>
      <c r="H128" s="17"/>
      <c r="I128" s="16" t="str">
        <f aca="false">IF($G128="","",ROUND($G128*IF($H128="",0,$H128)/100,0))</f>
        <v/>
      </c>
      <c r="J128" s="10"/>
      <c r="K128" s="15" t="str">
        <f aca="false">IF($A128="","",COUNTIFS($A$3:$A128,$A128))</f>
        <v/>
      </c>
      <c r="L128" s="15" t="str">
        <f aca="false">IF($A128="","",$A128&amp;"|"&amp;$K128)</f>
        <v/>
      </c>
    </row>
    <row r="129" customFormat="false" ht="15" hidden="false" customHeight="true" outlineLevel="0" collapsed="false">
      <c r="A129" s="12"/>
      <c r="B129" s="12"/>
      <c r="C129" s="15" t="str">
        <f aca="false">IF($B129="","",IFERROR(INDEX(품목마스터!$B$3:$B$102,MATCH($B129,품목마스터!$A$3:$A$102,0)),""))</f>
        <v/>
      </c>
      <c r="D129" s="15" t="str">
        <f aca="false">IF($B129="","",IFERROR(INDEX(품목마스터!$C$3:$C$102,MATCH($B129,품목마스터!$A$3:$A$102,0)),""))</f>
        <v/>
      </c>
      <c r="E129" s="13" t="str">
        <f aca="false">IF($B129="","",IFERROR(INDEX(품목마스터!$D$3:$D$102,MATCH($B129,품목마스터!$A$3:$A$102,0)),0))</f>
        <v/>
      </c>
      <c r="F129" s="10"/>
      <c r="G129" s="16" t="str">
        <f aca="false">IF(OR($E129="",$F129=""),"",ROUND($E129*$F129,0))</f>
        <v/>
      </c>
      <c r="H129" s="17"/>
      <c r="I129" s="16" t="str">
        <f aca="false">IF($G129="","",ROUND($G129*IF($H129="",0,$H129)/100,0))</f>
        <v/>
      </c>
      <c r="J129" s="10"/>
      <c r="K129" s="15" t="str">
        <f aca="false">IF($A129="","",COUNTIFS($A$3:$A129,$A129))</f>
        <v/>
      </c>
      <c r="L129" s="15" t="str">
        <f aca="false">IF($A129="","",$A129&amp;"|"&amp;$K129)</f>
        <v/>
      </c>
    </row>
    <row r="130" customFormat="false" ht="15" hidden="false" customHeight="true" outlineLevel="0" collapsed="false">
      <c r="A130" s="12"/>
      <c r="B130" s="12"/>
      <c r="C130" s="15" t="str">
        <f aca="false">IF($B130="","",IFERROR(INDEX(품목마스터!$B$3:$B$102,MATCH($B130,품목마스터!$A$3:$A$102,0)),""))</f>
        <v/>
      </c>
      <c r="D130" s="15" t="str">
        <f aca="false">IF($B130="","",IFERROR(INDEX(품목마스터!$C$3:$C$102,MATCH($B130,품목마스터!$A$3:$A$102,0)),""))</f>
        <v/>
      </c>
      <c r="E130" s="13" t="str">
        <f aca="false">IF($B130="","",IFERROR(INDEX(품목마스터!$D$3:$D$102,MATCH($B130,품목마스터!$A$3:$A$102,0)),0))</f>
        <v/>
      </c>
      <c r="F130" s="10"/>
      <c r="G130" s="16" t="str">
        <f aca="false">IF(OR($E130="",$F130=""),"",ROUND($E130*$F130,0))</f>
        <v/>
      </c>
      <c r="H130" s="17"/>
      <c r="I130" s="16" t="str">
        <f aca="false">IF($G130="","",ROUND($G130*IF($H130="",0,$H130)/100,0))</f>
        <v/>
      </c>
      <c r="J130" s="10"/>
      <c r="K130" s="15" t="str">
        <f aca="false">IF($A130="","",COUNTIFS($A$3:$A130,$A130))</f>
        <v/>
      </c>
      <c r="L130" s="15" t="str">
        <f aca="false">IF($A130="","",$A130&amp;"|"&amp;$K130)</f>
        <v/>
      </c>
    </row>
    <row r="131" customFormat="false" ht="15" hidden="false" customHeight="true" outlineLevel="0" collapsed="false">
      <c r="A131" s="12"/>
      <c r="B131" s="12"/>
      <c r="C131" s="15" t="str">
        <f aca="false">IF($B131="","",IFERROR(INDEX(품목마스터!$B$3:$B$102,MATCH($B131,품목마스터!$A$3:$A$102,0)),""))</f>
        <v/>
      </c>
      <c r="D131" s="15" t="str">
        <f aca="false">IF($B131="","",IFERROR(INDEX(품목마스터!$C$3:$C$102,MATCH($B131,품목마스터!$A$3:$A$102,0)),""))</f>
        <v/>
      </c>
      <c r="E131" s="13" t="str">
        <f aca="false">IF($B131="","",IFERROR(INDEX(품목마스터!$D$3:$D$102,MATCH($B131,품목마스터!$A$3:$A$102,0)),0))</f>
        <v/>
      </c>
      <c r="F131" s="10"/>
      <c r="G131" s="16" t="str">
        <f aca="false">IF(OR($E131="",$F131=""),"",ROUND($E131*$F131,0))</f>
        <v/>
      </c>
      <c r="H131" s="17"/>
      <c r="I131" s="16" t="str">
        <f aca="false">IF($G131="","",ROUND($G131*IF($H131="",0,$H131)/100,0))</f>
        <v/>
      </c>
      <c r="J131" s="10"/>
      <c r="K131" s="15" t="str">
        <f aca="false">IF($A131="","",COUNTIFS($A$3:$A131,$A131))</f>
        <v/>
      </c>
      <c r="L131" s="15" t="str">
        <f aca="false">IF($A131="","",$A131&amp;"|"&amp;$K131)</f>
        <v/>
      </c>
    </row>
    <row r="132" customFormat="false" ht="15" hidden="false" customHeight="true" outlineLevel="0" collapsed="false">
      <c r="A132" s="12"/>
      <c r="B132" s="12"/>
      <c r="C132" s="15" t="str">
        <f aca="false">IF($B132="","",IFERROR(INDEX(품목마스터!$B$3:$B$102,MATCH($B132,품목마스터!$A$3:$A$102,0)),""))</f>
        <v/>
      </c>
      <c r="D132" s="15" t="str">
        <f aca="false">IF($B132="","",IFERROR(INDEX(품목마스터!$C$3:$C$102,MATCH($B132,품목마스터!$A$3:$A$102,0)),""))</f>
        <v/>
      </c>
      <c r="E132" s="13" t="str">
        <f aca="false">IF($B132="","",IFERROR(INDEX(품목마스터!$D$3:$D$102,MATCH($B132,품목마스터!$A$3:$A$102,0)),0))</f>
        <v/>
      </c>
      <c r="F132" s="10"/>
      <c r="G132" s="16" t="str">
        <f aca="false">IF(OR($E132="",$F132=""),"",ROUND($E132*$F132,0))</f>
        <v/>
      </c>
      <c r="H132" s="17"/>
      <c r="I132" s="16" t="str">
        <f aca="false">IF($G132="","",ROUND($G132*IF($H132="",0,$H132)/100,0))</f>
        <v/>
      </c>
      <c r="J132" s="10"/>
      <c r="K132" s="15" t="str">
        <f aca="false">IF($A132="","",COUNTIFS($A$3:$A132,$A132))</f>
        <v/>
      </c>
      <c r="L132" s="15" t="str">
        <f aca="false">IF($A132="","",$A132&amp;"|"&amp;$K132)</f>
        <v/>
      </c>
    </row>
    <row r="133" customFormat="false" ht="15" hidden="false" customHeight="true" outlineLevel="0" collapsed="false">
      <c r="A133" s="12"/>
      <c r="B133" s="12"/>
      <c r="C133" s="15" t="str">
        <f aca="false">IF($B133="","",IFERROR(INDEX(품목마스터!$B$3:$B$102,MATCH($B133,품목마스터!$A$3:$A$102,0)),""))</f>
        <v/>
      </c>
      <c r="D133" s="15" t="str">
        <f aca="false">IF($B133="","",IFERROR(INDEX(품목마스터!$C$3:$C$102,MATCH($B133,품목마스터!$A$3:$A$102,0)),""))</f>
        <v/>
      </c>
      <c r="E133" s="13" t="str">
        <f aca="false">IF($B133="","",IFERROR(INDEX(품목마스터!$D$3:$D$102,MATCH($B133,품목마스터!$A$3:$A$102,0)),0))</f>
        <v/>
      </c>
      <c r="F133" s="10"/>
      <c r="G133" s="16" t="str">
        <f aca="false">IF(OR($E133="",$F133=""),"",ROUND($E133*$F133,0))</f>
        <v/>
      </c>
      <c r="H133" s="17"/>
      <c r="I133" s="16" t="str">
        <f aca="false">IF($G133="","",ROUND($G133*IF($H133="",0,$H133)/100,0))</f>
        <v/>
      </c>
      <c r="J133" s="10"/>
      <c r="K133" s="15" t="str">
        <f aca="false">IF($A133="","",COUNTIFS($A$3:$A133,$A133))</f>
        <v/>
      </c>
      <c r="L133" s="15" t="str">
        <f aca="false">IF($A133="","",$A133&amp;"|"&amp;$K133)</f>
        <v/>
      </c>
    </row>
    <row r="134" customFormat="false" ht="15" hidden="false" customHeight="true" outlineLevel="0" collapsed="false">
      <c r="A134" s="12"/>
      <c r="B134" s="12"/>
      <c r="C134" s="15" t="str">
        <f aca="false">IF($B134="","",IFERROR(INDEX(품목마스터!$B$3:$B$102,MATCH($B134,품목마스터!$A$3:$A$102,0)),""))</f>
        <v/>
      </c>
      <c r="D134" s="15" t="str">
        <f aca="false">IF($B134="","",IFERROR(INDEX(품목마스터!$C$3:$C$102,MATCH($B134,품목마스터!$A$3:$A$102,0)),""))</f>
        <v/>
      </c>
      <c r="E134" s="13" t="str">
        <f aca="false">IF($B134="","",IFERROR(INDEX(품목마스터!$D$3:$D$102,MATCH($B134,품목마스터!$A$3:$A$102,0)),0))</f>
        <v/>
      </c>
      <c r="F134" s="10"/>
      <c r="G134" s="16" t="str">
        <f aca="false">IF(OR($E134="",$F134=""),"",ROUND($E134*$F134,0))</f>
        <v/>
      </c>
      <c r="H134" s="17"/>
      <c r="I134" s="16" t="str">
        <f aca="false">IF($G134="","",ROUND($G134*IF($H134="",0,$H134)/100,0))</f>
        <v/>
      </c>
      <c r="J134" s="10"/>
      <c r="K134" s="15" t="str">
        <f aca="false">IF($A134="","",COUNTIFS($A$3:$A134,$A134))</f>
        <v/>
      </c>
      <c r="L134" s="15" t="str">
        <f aca="false">IF($A134="","",$A134&amp;"|"&amp;$K134)</f>
        <v/>
      </c>
    </row>
    <row r="135" customFormat="false" ht="15" hidden="false" customHeight="true" outlineLevel="0" collapsed="false">
      <c r="A135" s="12"/>
      <c r="B135" s="12"/>
      <c r="C135" s="15" t="str">
        <f aca="false">IF($B135="","",IFERROR(INDEX(품목마스터!$B$3:$B$102,MATCH($B135,품목마스터!$A$3:$A$102,0)),""))</f>
        <v/>
      </c>
      <c r="D135" s="15" t="str">
        <f aca="false">IF($B135="","",IFERROR(INDEX(품목마스터!$C$3:$C$102,MATCH($B135,품목마스터!$A$3:$A$102,0)),""))</f>
        <v/>
      </c>
      <c r="E135" s="13" t="str">
        <f aca="false">IF($B135="","",IFERROR(INDEX(품목마스터!$D$3:$D$102,MATCH($B135,품목마스터!$A$3:$A$102,0)),0))</f>
        <v/>
      </c>
      <c r="F135" s="10"/>
      <c r="G135" s="16" t="str">
        <f aca="false">IF(OR($E135="",$F135=""),"",ROUND($E135*$F135,0))</f>
        <v/>
      </c>
      <c r="H135" s="17"/>
      <c r="I135" s="16" t="str">
        <f aca="false">IF($G135="","",ROUND($G135*IF($H135="",0,$H135)/100,0))</f>
        <v/>
      </c>
      <c r="J135" s="10"/>
      <c r="K135" s="15" t="str">
        <f aca="false">IF($A135="","",COUNTIFS($A$3:$A135,$A135))</f>
        <v/>
      </c>
      <c r="L135" s="15" t="str">
        <f aca="false">IF($A135="","",$A135&amp;"|"&amp;$K135)</f>
        <v/>
      </c>
    </row>
    <row r="136" customFormat="false" ht="15" hidden="false" customHeight="true" outlineLevel="0" collapsed="false">
      <c r="A136" s="12"/>
      <c r="B136" s="12"/>
      <c r="C136" s="15" t="str">
        <f aca="false">IF($B136="","",IFERROR(INDEX(품목마스터!$B$3:$B$102,MATCH($B136,품목마스터!$A$3:$A$102,0)),""))</f>
        <v/>
      </c>
      <c r="D136" s="15" t="str">
        <f aca="false">IF($B136="","",IFERROR(INDEX(품목마스터!$C$3:$C$102,MATCH($B136,품목마스터!$A$3:$A$102,0)),""))</f>
        <v/>
      </c>
      <c r="E136" s="13" t="str">
        <f aca="false">IF($B136="","",IFERROR(INDEX(품목마스터!$D$3:$D$102,MATCH($B136,품목마스터!$A$3:$A$102,0)),0))</f>
        <v/>
      </c>
      <c r="F136" s="10"/>
      <c r="G136" s="16" t="str">
        <f aca="false">IF(OR($E136="",$F136=""),"",ROUND($E136*$F136,0))</f>
        <v/>
      </c>
      <c r="H136" s="17"/>
      <c r="I136" s="16" t="str">
        <f aca="false">IF($G136="","",ROUND($G136*IF($H136="",0,$H136)/100,0))</f>
        <v/>
      </c>
      <c r="J136" s="10"/>
      <c r="K136" s="15" t="str">
        <f aca="false">IF($A136="","",COUNTIFS($A$3:$A136,$A136))</f>
        <v/>
      </c>
      <c r="L136" s="15" t="str">
        <f aca="false">IF($A136="","",$A136&amp;"|"&amp;$K136)</f>
        <v/>
      </c>
    </row>
    <row r="137" customFormat="false" ht="15" hidden="false" customHeight="true" outlineLevel="0" collapsed="false">
      <c r="A137" s="12"/>
      <c r="B137" s="12"/>
      <c r="C137" s="15" t="str">
        <f aca="false">IF($B137="","",IFERROR(INDEX(품목마스터!$B$3:$B$102,MATCH($B137,품목마스터!$A$3:$A$102,0)),""))</f>
        <v/>
      </c>
      <c r="D137" s="15" t="str">
        <f aca="false">IF($B137="","",IFERROR(INDEX(품목마스터!$C$3:$C$102,MATCH($B137,품목마스터!$A$3:$A$102,0)),""))</f>
        <v/>
      </c>
      <c r="E137" s="13" t="str">
        <f aca="false">IF($B137="","",IFERROR(INDEX(품목마스터!$D$3:$D$102,MATCH($B137,품목마스터!$A$3:$A$102,0)),0))</f>
        <v/>
      </c>
      <c r="F137" s="10"/>
      <c r="G137" s="16" t="str">
        <f aca="false">IF(OR($E137="",$F137=""),"",ROUND($E137*$F137,0))</f>
        <v/>
      </c>
      <c r="H137" s="17"/>
      <c r="I137" s="16" t="str">
        <f aca="false">IF($G137="","",ROUND($G137*IF($H137="",0,$H137)/100,0))</f>
        <v/>
      </c>
      <c r="J137" s="10"/>
      <c r="K137" s="15" t="str">
        <f aca="false">IF($A137="","",COUNTIFS($A$3:$A137,$A137))</f>
        <v/>
      </c>
      <c r="L137" s="15" t="str">
        <f aca="false">IF($A137="","",$A137&amp;"|"&amp;$K137)</f>
        <v/>
      </c>
    </row>
    <row r="138" customFormat="false" ht="15" hidden="false" customHeight="true" outlineLevel="0" collapsed="false">
      <c r="A138" s="12"/>
      <c r="B138" s="12"/>
      <c r="C138" s="15" t="str">
        <f aca="false">IF($B138="","",IFERROR(INDEX(품목마스터!$B$3:$B$102,MATCH($B138,품목마스터!$A$3:$A$102,0)),""))</f>
        <v/>
      </c>
      <c r="D138" s="15" t="str">
        <f aca="false">IF($B138="","",IFERROR(INDEX(품목마스터!$C$3:$C$102,MATCH($B138,품목마스터!$A$3:$A$102,0)),""))</f>
        <v/>
      </c>
      <c r="E138" s="13" t="str">
        <f aca="false">IF($B138="","",IFERROR(INDEX(품목마스터!$D$3:$D$102,MATCH($B138,품목마스터!$A$3:$A$102,0)),0))</f>
        <v/>
      </c>
      <c r="F138" s="10"/>
      <c r="G138" s="16" t="str">
        <f aca="false">IF(OR($E138="",$F138=""),"",ROUND($E138*$F138,0))</f>
        <v/>
      </c>
      <c r="H138" s="17"/>
      <c r="I138" s="16" t="str">
        <f aca="false">IF($G138="","",ROUND($G138*IF($H138="",0,$H138)/100,0))</f>
        <v/>
      </c>
      <c r="J138" s="10"/>
      <c r="K138" s="15" t="str">
        <f aca="false">IF($A138="","",COUNTIFS($A$3:$A138,$A138))</f>
        <v/>
      </c>
      <c r="L138" s="15" t="str">
        <f aca="false">IF($A138="","",$A138&amp;"|"&amp;$K138)</f>
        <v/>
      </c>
    </row>
    <row r="139" customFormat="false" ht="15" hidden="false" customHeight="true" outlineLevel="0" collapsed="false">
      <c r="A139" s="12"/>
      <c r="B139" s="12"/>
      <c r="C139" s="15" t="str">
        <f aca="false">IF($B139="","",IFERROR(INDEX(품목마스터!$B$3:$B$102,MATCH($B139,품목마스터!$A$3:$A$102,0)),""))</f>
        <v/>
      </c>
      <c r="D139" s="15" t="str">
        <f aca="false">IF($B139="","",IFERROR(INDEX(품목마스터!$C$3:$C$102,MATCH($B139,품목마스터!$A$3:$A$102,0)),""))</f>
        <v/>
      </c>
      <c r="E139" s="13" t="str">
        <f aca="false">IF($B139="","",IFERROR(INDEX(품목마스터!$D$3:$D$102,MATCH($B139,품목마스터!$A$3:$A$102,0)),0))</f>
        <v/>
      </c>
      <c r="F139" s="10"/>
      <c r="G139" s="16" t="str">
        <f aca="false">IF(OR($E139="",$F139=""),"",ROUND($E139*$F139,0))</f>
        <v/>
      </c>
      <c r="H139" s="17"/>
      <c r="I139" s="16" t="str">
        <f aca="false">IF($G139="","",ROUND($G139*IF($H139="",0,$H139)/100,0))</f>
        <v/>
      </c>
      <c r="J139" s="10"/>
      <c r="K139" s="15" t="str">
        <f aca="false">IF($A139="","",COUNTIFS($A$3:$A139,$A139))</f>
        <v/>
      </c>
      <c r="L139" s="15" t="str">
        <f aca="false">IF($A139="","",$A139&amp;"|"&amp;$K139)</f>
        <v/>
      </c>
    </row>
    <row r="140" customFormat="false" ht="15" hidden="false" customHeight="true" outlineLevel="0" collapsed="false">
      <c r="A140" s="12"/>
      <c r="B140" s="12"/>
      <c r="C140" s="15" t="str">
        <f aca="false">IF($B140="","",IFERROR(INDEX(품목마스터!$B$3:$B$102,MATCH($B140,품목마스터!$A$3:$A$102,0)),""))</f>
        <v/>
      </c>
      <c r="D140" s="15" t="str">
        <f aca="false">IF($B140="","",IFERROR(INDEX(품목마스터!$C$3:$C$102,MATCH($B140,품목마스터!$A$3:$A$102,0)),""))</f>
        <v/>
      </c>
      <c r="E140" s="13" t="str">
        <f aca="false">IF($B140="","",IFERROR(INDEX(품목마스터!$D$3:$D$102,MATCH($B140,품목마스터!$A$3:$A$102,0)),0))</f>
        <v/>
      </c>
      <c r="F140" s="10"/>
      <c r="G140" s="16" t="str">
        <f aca="false">IF(OR($E140="",$F140=""),"",ROUND($E140*$F140,0))</f>
        <v/>
      </c>
      <c r="H140" s="17"/>
      <c r="I140" s="16" t="str">
        <f aca="false">IF($G140="","",ROUND($G140*IF($H140="",0,$H140)/100,0))</f>
        <v/>
      </c>
      <c r="J140" s="10"/>
      <c r="K140" s="15" t="str">
        <f aca="false">IF($A140="","",COUNTIFS($A$3:$A140,$A140))</f>
        <v/>
      </c>
      <c r="L140" s="15" t="str">
        <f aca="false">IF($A140="","",$A140&amp;"|"&amp;$K140)</f>
        <v/>
      </c>
    </row>
    <row r="141" customFormat="false" ht="15" hidden="false" customHeight="true" outlineLevel="0" collapsed="false">
      <c r="A141" s="12"/>
      <c r="B141" s="12"/>
      <c r="C141" s="15" t="str">
        <f aca="false">IF($B141="","",IFERROR(INDEX(품목마스터!$B$3:$B$102,MATCH($B141,품목마스터!$A$3:$A$102,0)),""))</f>
        <v/>
      </c>
      <c r="D141" s="15" t="str">
        <f aca="false">IF($B141="","",IFERROR(INDEX(품목마스터!$C$3:$C$102,MATCH($B141,품목마스터!$A$3:$A$102,0)),""))</f>
        <v/>
      </c>
      <c r="E141" s="13" t="str">
        <f aca="false">IF($B141="","",IFERROR(INDEX(품목마스터!$D$3:$D$102,MATCH($B141,품목마스터!$A$3:$A$102,0)),0))</f>
        <v/>
      </c>
      <c r="F141" s="10"/>
      <c r="G141" s="16" t="str">
        <f aca="false">IF(OR($E141="",$F141=""),"",ROUND($E141*$F141,0))</f>
        <v/>
      </c>
      <c r="H141" s="17"/>
      <c r="I141" s="16" t="str">
        <f aca="false">IF($G141="","",ROUND($G141*IF($H141="",0,$H141)/100,0))</f>
        <v/>
      </c>
      <c r="J141" s="10"/>
      <c r="K141" s="15" t="str">
        <f aca="false">IF($A141="","",COUNTIFS($A$3:$A141,$A141))</f>
        <v/>
      </c>
      <c r="L141" s="15" t="str">
        <f aca="false">IF($A141="","",$A141&amp;"|"&amp;$K141)</f>
        <v/>
      </c>
    </row>
    <row r="142" customFormat="false" ht="15" hidden="false" customHeight="true" outlineLevel="0" collapsed="false">
      <c r="A142" s="12"/>
      <c r="B142" s="12"/>
      <c r="C142" s="15" t="str">
        <f aca="false">IF($B142="","",IFERROR(INDEX(품목마스터!$B$3:$B$102,MATCH($B142,품목마스터!$A$3:$A$102,0)),""))</f>
        <v/>
      </c>
      <c r="D142" s="15" t="str">
        <f aca="false">IF($B142="","",IFERROR(INDEX(품목마스터!$C$3:$C$102,MATCH($B142,품목마스터!$A$3:$A$102,0)),""))</f>
        <v/>
      </c>
      <c r="E142" s="13" t="str">
        <f aca="false">IF($B142="","",IFERROR(INDEX(품목마스터!$D$3:$D$102,MATCH($B142,품목마스터!$A$3:$A$102,0)),0))</f>
        <v/>
      </c>
      <c r="F142" s="10"/>
      <c r="G142" s="16" t="str">
        <f aca="false">IF(OR($E142="",$F142=""),"",ROUND($E142*$F142,0))</f>
        <v/>
      </c>
      <c r="H142" s="17"/>
      <c r="I142" s="16" t="str">
        <f aca="false">IF($G142="","",ROUND($G142*IF($H142="",0,$H142)/100,0))</f>
        <v/>
      </c>
      <c r="J142" s="10"/>
      <c r="K142" s="15" t="str">
        <f aca="false">IF($A142="","",COUNTIFS($A$3:$A142,$A142))</f>
        <v/>
      </c>
      <c r="L142" s="15" t="str">
        <f aca="false">IF($A142="","",$A142&amp;"|"&amp;$K142)</f>
        <v/>
      </c>
    </row>
    <row r="143" customFormat="false" ht="15" hidden="false" customHeight="true" outlineLevel="0" collapsed="false">
      <c r="A143" s="12"/>
      <c r="B143" s="12"/>
      <c r="C143" s="15" t="str">
        <f aca="false">IF($B143="","",IFERROR(INDEX(품목마스터!$B$3:$B$102,MATCH($B143,품목마스터!$A$3:$A$102,0)),""))</f>
        <v/>
      </c>
      <c r="D143" s="15" t="str">
        <f aca="false">IF($B143="","",IFERROR(INDEX(품목마스터!$C$3:$C$102,MATCH($B143,품목마스터!$A$3:$A$102,0)),""))</f>
        <v/>
      </c>
      <c r="E143" s="13" t="str">
        <f aca="false">IF($B143="","",IFERROR(INDEX(품목마스터!$D$3:$D$102,MATCH($B143,품목마스터!$A$3:$A$102,0)),0))</f>
        <v/>
      </c>
      <c r="F143" s="10"/>
      <c r="G143" s="16" t="str">
        <f aca="false">IF(OR($E143="",$F143=""),"",ROUND($E143*$F143,0))</f>
        <v/>
      </c>
      <c r="H143" s="17"/>
      <c r="I143" s="16" t="str">
        <f aca="false">IF($G143="","",ROUND($G143*IF($H143="",0,$H143)/100,0))</f>
        <v/>
      </c>
      <c r="J143" s="10"/>
      <c r="K143" s="15" t="str">
        <f aca="false">IF($A143="","",COUNTIFS($A$3:$A143,$A143))</f>
        <v/>
      </c>
      <c r="L143" s="15" t="str">
        <f aca="false">IF($A143="","",$A143&amp;"|"&amp;$K143)</f>
        <v/>
      </c>
    </row>
    <row r="144" customFormat="false" ht="15" hidden="false" customHeight="true" outlineLevel="0" collapsed="false">
      <c r="A144" s="12"/>
      <c r="B144" s="12"/>
      <c r="C144" s="15" t="str">
        <f aca="false">IF($B144="","",IFERROR(INDEX(품목마스터!$B$3:$B$102,MATCH($B144,품목마스터!$A$3:$A$102,0)),""))</f>
        <v/>
      </c>
      <c r="D144" s="15" t="str">
        <f aca="false">IF($B144="","",IFERROR(INDEX(품목마스터!$C$3:$C$102,MATCH($B144,품목마스터!$A$3:$A$102,0)),""))</f>
        <v/>
      </c>
      <c r="E144" s="13" t="str">
        <f aca="false">IF($B144="","",IFERROR(INDEX(품목마스터!$D$3:$D$102,MATCH($B144,품목마스터!$A$3:$A$102,0)),0))</f>
        <v/>
      </c>
      <c r="F144" s="10"/>
      <c r="G144" s="16" t="str">
        <f aca="false">IF(OR($E144="",$F144=""),"",ROUND($E144*$F144,0))</f>
        <v/>
      </c>
      <c r="H144" s="17"/>
      <c r="I144" s="16" t="str">
        <f aca="false">IF($G144="","",ROUND($G144*IF($H144="",0,$H144)/100,0))</f>
        <v/>
      </c>
      <c r="J144" s="10"/>
      <c r="K144" s="15" t="str">
        <f aca="false">IF($A144="","",COUNTIFS($A$3:$A144,$A144))</f>
        <v/>
      </c>
      <c r="L144" s="15" t="str">
        <f aca="false">IF($A144="","",$A144&amp;"|"&amp;$K144)</f>
        <v/>
      </c>
    </row>
    <row r="145" customFormat="false" ht="15" hidden="false" customHeight="true" outlineLevel="0" collapsed="false">
      <c r="A145" s="12"/>
      <c r="B145" s="12"/>
      <c r="C145" s="15" t="str">
        <f aca="false">IF($B145="","",IFERROR(INDEX(품목마스터!$B$3:$B$102,MATCH($B145,품목마스터!$A$3:$A$102,0)),""))</f>
        <v/>
      </c>
      <c r="D145" s="15" t="str">
        <f aca="false">IF($B145="","",IFERROR(INDEX(품목마스터!$C$3:$C$102,MATCH($B145,품목마스터!$A$3:$A$102,0)),""))</f>
        <v/>
      </c>
      <c r="E145" s="13" t="str">
        <f aca="false">IF($B145="","",IFERROR(INDEX(품목마스터!$D$3:$D$102,MATCH($B145,품목마스터!$A$3:$A$102,0)),0))</f>
        <v/>
      </c>
      <c r="F145" s="10"/>
      <c r="G145" s="16" t="str">
        <f aca="false">IF(OR($E145="",$F145=""),"",ROUND($E145*$F145,0))</f>
        <v/>
      </c>
      <c r="H145" s="17"/>
      <c r="I145" s="16" t="str">
        <f aca="false">IF($G145="","",ROUND($G145*IF($H145="",0,$H145)/100,0))</f>
        <v/>
      </c>
      <c r="J145" s="10"/>
      <c r="K145" s="15" t="str">
        <f aca="false">IF($A145="","",COUNTIFS($A$3:$A145,$A145))</f>
        <v/>
      </c>
      <c r="L145" s="15" t="str">
        <f aca="false">IF($A145="","",$A145&amp;"|"&amp;$K145)</f>
        <v/>
      </c>
    </row>
    <row r="146" customFormat="false" ht="15" hidden="false" customHeight="true" outlineLevel="0" collapsed="false">
      <c r="A146" s="12"/>
      <c r="B146" s="12"/>
      <c r="C146" s="15" t="str">
        <f aca="false">IF($B146="","",IFERROR(INDEX(품목마스터!$B$3:$B$102,MATCH($B146,품목마스터!$A$3:$A$102,0)),""))</f>
        <v/>
      </c>
      <c r="D146" s="15" t="str">
        <f aca="false">IF($B146="","",IFERROR(INDEX(품목마스터!$C$3:$C$102,MATCH($B146,품목마스터!$A$3:$A$102,0)),""))</f>
        <v/>
      </c>
      <c r="E146" s="13" t="str">
        <f aca="false">IF($B146="","",IFERROR(INDEX(품목마스터!$D$3:$D$102,MATCH($B146,품목마스터!$A$3:$A$102,0)),0))</f>
        <v/>
      </c>
      <c r="F146" s="10"/>
      <c r="G146" s="16" t="str">
        <f aca="false">IF(OR($E146="",$F146=""),"",ROUND($E146*$F146,0))</f>
        <v/>
      </c>
      <c r="H146" s="17"/>
      <c r="I146" s="16" t="str">
        <f aca="false">IF($G146="","",ROUND($G146*IF($H146="",0,$H146)/100,0))</f>
        <v/>
      </c>
      <c r="J146" s="10"/>
      <c r="K146" s="15" t="str">
        <f aca="false">IF($A146="","",COUNTIFS($A$3:$A146,$A146))</f>
        <v/>
      </c>
      <c r="L146" s="15" t="str">
        <f aca="false">IF($A146="","",$A146&amp;"|"&amp;$K146)</f>
        <v/>
      </c>
    </row>
    <row r="147" customFormat="false" ht="15" hidden="false" customHeight="true" outlineLevel="0" collapsed="false">
      <c r="A147" s="12"/>
      <c r="B147" s="12"/>
      <c r="C147" s="15" t="str">
        <f aca="false">IF($B147="","",IFERROR(INDEX(품목마스터!$B$3:$B$102,MATCH($B147,품목마스터!$A$3:$A$102,0)),""))</f>
        <v/>
      </c>
      <c r="D147" s="15" t="str">
        <f aca="false">IF($B147="","",IFERROR(INDEX(품목마스터!$C$3:$C$102,MATCH($B147,품목마스터!$A$3:$A$102,0)),""))</f>
        <v/>
      </c>
      <c r="E147" s="13" t="str">
        <f aca="false">IF($B147="","",IFERROR(INDEX(품목마스터!$D$3:$D$102,MATCH($B147,품목마스터!$A$3:$A$102,0)),0))</f>
        <v/>
      </c>
      <c r="F147" s="10"/>
      <c r="G147" s="16" t="str">
        <f aca="false">IF(OR($E147="",$F147=""),"",ROUND($E147*$F147,0))</f>
        <v/>
      </c>
      <c r="H147" s="17"/>
      <c r="I147" s="16" t="str">
        <f aca="false">IF($G147="","",ROUND($G147*IF($H147="",0,$H147)/100,0))</f>
        <v/>
      </c>
      <c r="J147" s="10"/>
      <c r="K147" s="15" t="str">
        <f aca="false">IF($A147="","",COUNTIFS($A$3:$A147,$A147))</f>
        <v/>
      </c>
      <c r="L147" s="15" t="str">
        <f aca="false">IF($A147="","",$A147&amp;"|"&amp;$K147)</f>
        <v/>
      </c>
    </row>
    <row r="148" customFormat="false" ht="15" hidden="false" customHeight="true" outlineLevel="0" collapsed="false">
      <c r="A148" s="12"/>
      <c r="B148" s="12"/>
      <c r="C148" s="15" t="str">
        <f aca="false">IF($B148="","",IFERROR(INDEX(품목마스터!$B$3:$B$102,MATCH($B148,품목마스터!$A$3:$A$102,0)),""))</f>
        <v/>
      </c>
      <c r="D148" s="15" t="str">
        <f aca="false">IF($B148="","",IFERROR(INDEX(품목마스터!$C$3:$C$102,MATCH($B148,품목마스터!$A$3:$A$102,0)),""))</f>
        <v/>
      </c>
      <c r="E148" s="13" t="str">
        <f aca="false">IF($B148="","",IFERROR(INDEX(품목마스터!$D$3:$D$102,MATCH($B148,품목마스터!$A$3:$A$102,0)),0))</f>
        <v/>
      </c>
      <c r="F148" s="10"/>
      <c r="G148" s="16" t="str">
        <f aca="false">IF(OR($E148="",$F148=""),"",ROUND($E148*$F148,0))</f>
        <v/>
      </c>
      <c r="H148" s="17"/>
      <c r="I148" s="16" t="str">
        <f aca="false">IF($G148="","",ROUND($G148*IF($H148="",0,$H148)/100,0))</f>
        <v/>
      </c>
      <c r="J148" s="10"/>
      <c r="K148" s="15" t="str">
        <f aca="false">IF($A148="","",COUNTIFS($A$3:$A148,$A148))</f>
        <v/>
      </c>
      <c r="L148" s="15" t="str">
        <f aca="false">IF($A148="","",$A148&amp;"|"&amp;$K148)</f>
        <v/>
      </c>
    </row>
    <row r="149" customFormat="false" ht="15" hidden="false" customHeight="true" outlineLevel="0" collapsed="false">
      <c r="A149" s="12"/>
      <c r="B149" s="12"/>
      <c r="C149" s="15" t="str">
        <f aca="false">IF($B149="","",IFERROR(INDEX(품목마스터!$B$3:$B$102,MATCH($B149,품목마스터!$A$3:$A$102,0)),""))</f>
        <v/>
      </c>
      <c r="D149" s="15" t="str">
        <f aca="false">IF($B149="","",IFERROR(INDEX(품목마스터!$C$3:$C$102,MATCH($B149,품목마스터!$A$3:$A$102,0)),""))</f>
        <v/>
      </c>
      <c r="E149" s="13" t="str">
        <f aca="false">IF($B149="","",IFERROR(INDEX(품목마스터!$D$3:$D$102,MATCH($B149,품목마스터!$A$3:$A$102,0)),0))</f>
        <v/>
      </c>
      <c r="F149" s="10"/>
      <c r="G149" s="16" t="str">
        <f aca="false">IF(OR($E149="",$F149=""),"",ROUND($E149*$F149,0))</f>
        <v/>
      </c>
      <c r="H149" s="17"/>
      <c r="I149" s="16" t="str">
        <f aca="false">IF($G149="","",ROUND($G149*IF($H149="",0,$H149)/100,0))</f>
        <v/>
      </c>
      <c r="J149" s="10"/>
      <c r="K149" s="15" t="str">
        <f aca="false">IF($A149="","",COUNTIFS($A$3:$A149,$A149))</f>
        <v/>
      </c>
      <c r="L149" s="15" t="str">
        <f aca="false">IF($A149="","",$A149&amp;"|"&amp;$K149)</f>
        <v/>
      </c>
    </row>
    <row r="150" customFormat="false" ht="15" hidden="false" customHeight="true" outlineLevel="0" collapsed="false">
      <c r="A150" s="12"/>
      <c r="B150" s="12"/>
      <c r="C150" s="15" t="str">
        <f aca="false">IF($B150="","",IFERROR(INDEX(품목마스터!$B$3:$B$102,MATCH($B150,품목마스터!$A$3:$A$102,0)),""))</f>
        <v/>
      </c>
      <c r="D150" s="15" t="str">
        <f aca="false">IF($B150="","",IFERROR(INDEX(품목마스터!$C$3:$C$102,MATCH($B150,품목마스터!$A$3:$A$102,0)),""))</f>
        <v/>
      </c>
      <c r="E150" s="13" t="str">
        <f aca="false">IF($B150="","",IFERROR(INDEX(품목마스터!$D$3:$D$102,MATCH($B150,품목마스터!$A$3:$A$102,0)),0))</f>
        <v/>
      </c>
      <c r="F150" s="10"/>
      <c r="G150" s="16" t="str">
        <f aca="false">IF(OR($E150="",$F150=""),"",ROUND($E150*$F150,0))</f>
        <v/>
      </c>
      <c r="H150" s="17"/>
      <c r="I150" s="16" t="str">
        <f aca="false">IF($G150="","",ROUND($G150*IF($H150="",0,$H150)/100,0))</f>
        <v/>
      </c>
      <c r="J150" s="10"/>
      <c r="K150" s="15" t="str">
        <f aca="false">IF($A150="","",COUNTIFS($A$3:$A150,$A150))</f>
        <v/>
      </c>
      <c r="L150" s="15" t="str">
        <f aca="false">IF($A150="","",$A150&amp;"|"&amp;$K150)</f>
        <v/>
      </c>
    </row>
    <row r="151" customFormat="false" ht="15" hidden="false" customHeight="true" outlineLevel="0" collapsed="false">
      <c r="A151" s="12"/>
      <c r="B151" s="12"/>
      <c r="C151" s="15" t="str">
        <f aca="false">IF($B151="","",IFERROR(INDEX(품목마스터!$B$3:$B$102,MATCH($B151,품목마스터!$A$3:$A$102,0)),""))</f>
        <v/>
      </c>
      <c r="D151" s="15" t="str">
        <f aca="false">IF($B151="","",IFERROR(INDEX(품목마스터!$C$3:$C$102,MATCH($B151,품목마스터!$A$3:$A$102,0)),""))</f>
        <v/>
      </c>
      <c r="E151" s="13" t="str">
        <f aca="false">IF($B151="","",IFERROR(INDEX(품목마스터!$D$3:$D$102,MATCH($B151,품목마스터!$A$3:$A$102,0)),0))</f>
        <v/>
      </c>
      <c r="F151" s="10"/>
      <c r="G151" s="16" t="str">
        <f aca="false">IF(OR($E151="",$F151=""),"",ROUND($E151*$F151,0))</f>
        <v/>
      </c>
      <c r="H151" s="17"/>
      <c r="I151" s="16" t="str">
        <f aca="false">IF($G151="","",ROUND($G151*IF($H151="",0,$H151)/100,0))</f>
        <v/>
      </c>
      <c r="J151" s="10"/>
      <c r="K151" s="15" t="str">
        <f aca="false">IF($A151="","",COUNTIFS($A$3:$A151,$A151))</f>
        <v/>
      </c>
      <c r="L151" s="15" t="str">
        <f aca="false">IF($A151="","",$A151&amp;"|"&amp;$K151)</f>
        <v/>
      </c>
    </row>
    <row r="152" customFormat="false" ht="15" hidden="false" customHeight="true" outlineLevel="0" collapsed="false">
      <c r="A152" s="12"/>
      <c r="B152" s="12"/>
      <c r="C152" s="15" t="str">
        <f aca="false">IF($B152="","",IFERROR(INDEX(품목마스터!$B$3:$B$102,MATCH($B152,품목마스터!$A$3:$A$102,0)),""))</f>
        <v/>
      </c>
      <c r="D152" s="15" t="str">
        <f aca="false">IF($B152="","",IFERROR(INDEX(품목마스터!$C$3:$C$102,MATCH($B152,품목마스터!$A$3:$A$102,0)),""))</f>
        <v/>
      </c>
      <c r="E152" s="13" t="str">
        <f aca="false">IF($B152="","",IFERROR(INDEX(품목마스터!$D$3:$D$102,MATCH($B152,품목마스터!$A$3:$A$102,0)),0))</f>
        <v/>
      </c>
      <c r="F152" s="10"/>
      <c r="G152" s="16" t="str">
        <f aca="false">IF(OR($E152="",$F152=""),"",ROUND($E152*$F152,0))</f>
        <v/>
      </c>
      <c r="H152" s="17"/>
      <c r="I152" s="16" t="str">
        <f aca="false">IF($G152="","",ROUND($G152*IF($H152="",0,$H152)/100,0))</f>
        <v/>
      </c>
      <c r="J152" s="10"/>
      <c r="K152" s="15" t="str">
        <f aca="false">IF($A152="","",COUNTIFS($A$3:$A152,$A152))</f>
        <v/>
      </c>
      <c r="L152" s="15" t="str">
        <f aca="false">IF($A152="","",$A152&amp;"|"&amp;$K152)</f>
        <v/>
      </c>
    </row>
    <row r="153" customFormat="false" ht="15" hidden="false" customHeight="true" outlineLevel="0" collapsed="false">
      <c r="A153" s="12"/>
      <c r="B153" s="12"/>
      <c r="C153" s="15" t="str">
        <f aca="false">IF($B153="","",IFERROR(INDEX(품목마스터!$B$3:$B$102,MATCH($B153,품목마스터!$A$3:$A$102,0)),""))</f>
        <v/>
      </c>
      <c r="D153" s="15" t="str">
        <f aca="false">IF($B153="","",IFERROR(INDEX(품목마스터!$C$3:$C$102,MATCH($B153,품목마스터!$A$3:$A$102,0)),""))</f>
        <v/>
      </c>
      <c r="E153" s="13" t="str">
        <f aca="false">IF($B153="","",IFERROR(INDEX(품목마스터!$D$3:$D$102,MATCH($B153,품목마스터!$A$3:$A$102,0)),0))</f>
        <v/>
      </c>
      <c r="F153" s="10"/>
      <c r="G153" s="16" t="str">
        <f aca="false">IF(OR($E153="",$F153=""),"",ROUND($E153*$F153,0))</f>
        <v/>
      </c>
      <c r="H153" s="17"/>
      <c r="I153" s="16" t="str">
        <f aca="false">IF($G153="","",ROUND($G153*IF($H153="",0,$H153)/100,0))</f>
        <v/>
      </c>
      <c r="J153" s="10"/>
      <c r="K153" s="15" t="str">
        <f aca="false">IF($A153="","",COUNTIFS($A$3:$A153,$A153))</f>
        <v/>
      </c>
      <c r="L153" s="15" t="str">
        <f aca="false">IF($A153="","",$A153&amp;"|"&amp;$K153)</f>
        <v/>
      </c>
    </row>
    <row r="154" customFormat="false" ht="15" hidden="false" customHeight="true" outlineLevel="0" collapsed="false">
      <c r="A154" s="12"/>
      <c r="B154" s="12"/>
      <c r="C154" s="15" t="str">
        <f aca="false">IF($B154="","",IFERROR(INDEX(품목마스터!$B$3:$B$102,MATCH($B154,품목마스터!$A$3:$A$102,0)),""))</f>
        <v/>
      </c>
      <c r="D154" s="15" t="str">
        <f aca="false">IF($B154="","",IFERROR(INDEX(품목마스터!$C$3:$C$102,MATCH($B154,품목마스터!$A$3:$A$102,0)),""))</f>
        <v/>
      </c>
      <c r="E154" s="13" t="str">
        <f aca="false">IF($B154="","",IFERROR(INDEX(품목마스터!$D$3:$D$102,MATCH($B154,품목마스터!$A$3:$A$102,0)),0))</f>
        <v/>
      </c>
      <c r="F154" s="10"/>
      <c r="G154" s="16" t="str">
        <f aca="false">IF(OR($E154="",$F154=""),"",ROUND($E154*$F154,0))</f>
        <v/>
      </c>
      <c r="H154" s="17"/>
      <c r="I154" s="16" t="str">
        <f aca="false">IF($G154="","",ROUND($G154*IF($H154="",0,$H154)/100,0))</f>
        <v/>
      </c>
      <c r="J154" s="10"/>
      <c r="K154" s="15" t="str">
        <f aca="false">IF($A154="","",COUNTIFS($A$3:$A154,$A154))</f>
        <v/>
      </c>
      <c r="L154" s="15" t="str">
        <f aca="false">IF($A154="","",$A154&amp;"|"&amp;$K154)</f>
        <v/>
      </c>
    </row>
    <row r="155" customFormat="false" ht="15" hidden="false" customHeight="true" outlineLevel="0" collapsed="false">
      <c r="A155" s="12"/>
      <c r="B155" s="12"/>
      <c r="C155" s="15" t="str">
        <f aca="false">IF($B155="","",IFERROR(INDEX(품목마스터!$B$3:$B$102,MATCH($B155,품목마스터!$A$3:$A$102,0)),""))</f>
        <v/>
      </c>
      <c r="D155" s="15" t="str">
        <f aca="false">IF($B155="","",IFERROR(INDEX(품목마스터!$C$3:$C$102,MATCH($B155,품목마스터!$A$3:$A$102,0)),""))</f>
        <v/>
      </c>
      <c r="E155" s="13" t="str">
        <f aca="false">IF($B155="","",IFERROR(INDEX(품목마스터!$D$3:$D$102,MATCH($B155,품목마스터!$A$3:$A$102,0)),0))</f>
        <v/>
      </c>
      <c r="F155" s="10"/>
      <c r="G155" s="16" t="str">
        <f aca="false">IF(OR($E155="",$F155=""),"",ROUND($E155*$F155,0))</f>
        <v/>
      </c>
      <c r="H155" s="17"/>
      <c r="I155" s="16" t="str">
        <f aca="false">IF($G155="","",ROUND($G155*IF($H155="",0,$H155)/100,0))</f>
        <v/>
      </c>
      <c r="J155" s="10"/>
      <c r="K155" s="15" t="str">
        <f aca="false">IF($A155="","",COUNTIFS($A$3:$A155,$A155))</f>
        <v/>
      </c>
      <c r="L155" s="15" t="str">
        <f aca="false">IF($A155="","",$A155&amp;"|"&amp;$K155)</f>
        <v/>
      </c>
    </row>
    <row r="156" customFormat="false" ht="15" hidden="false" customHeight="true" outlineLevel="0" collapsed="false">
      <c r="A156" s="12"/>
      <c r="B156" s="12"/>
      <c r="C156" s="15" t="str">
        <f aca="false">IF($B156="","",IFERROR(INDEX(품목마스터!$B$3:$B$102,MATCH($B156,품목마스터!$A$3:$A$102,0)),""))</f>
        <v/>
      </c>
      <c r="D156" s="15" t="str">
        <f aca="false">IF($B156="","",IFERROR(INDEX(품목마스터!$C$3:$C$102,MATCH($B156,품목마스터!$A$3:$A$102,0)),""))</f>
        <v/>
      </c>
      <c r="E156" s="13" t="str">
        <f aca="false">IF($B156="","",IFERROR(INDEX(품목마스터!$D$3:$D$102,MATCH($B156,품목마스터!$A$3:$A$102,0)),0))</f>
        <v/>
      </c>
      <c r="F156" s="10"/>
      <c r="G156" s="16" t="str">
        <f aca="false">IF(OR($E156="",$F156=""),"",ROUND($E156*$F156,0))</f>
        <v/>
      </c>
      <c r="H156" s="17"/>
      <c r="I156" s="16" t="str">
        <f aca="false">IF($G156="","",ROUND($G156*IF($H156="",0,$H156)/100,0))</f>
        <v/>
      </c>
      <c r="J156" s="10"/>
      <c r="K156" s="15" t="str">
        <f aca="false">IF($A156="","",COUNTIFS($A$3:$A156,$A156))</f>
        <v/>
      </c>
      <c r="L156" s="15" t="str">
        <f aca="false">IF($A156="","",$A156&amp;"|"&amp;$K156)</f>
        <v/>
      </c>
    </row>
    <row r="157" customFormat="false" ht="15" hidden="false" customHeight="true" outlineLevel="0" collapsed="false">
      <c r="A157" s="12"/>
      <c r="B157" s="12"/>
      <c r="C157" s="15" t="str">
        <f aca="false">IF($B157="","",IFERROR(INDEX(품목마스터!$B$3:$B$102,MATCH($B157,품목마스터!$A$3:$A$102,0)),""))</f>
        <v/>
      </c>
      <c r="D157" s="15" t="str">
        <f aca="false">IF($B157="","",IFERROR(INDEX(품목마스터!$C$3:$C$102,MATCH($B157,품목마스터!$A$3:$A$102,0)),""))</f>
        <v/>
      </c>
      <c r="E157" s="13" t="str">
        <f aca="false">IF($B157="","",IFERROR(INDEX(품목마스터!$D$3:$D$102,MATCH($B157,품목마스터!$A$3:$A$102,0)),0))</f>
        <v/>
      </c>
      <c r="F157" s="10"/>
      <c r="G157" s="16" t="str">
        <f aca="false">IF(OR($E157="",$F157=""),"",ROUND($E157*$F157,0))</f>
        <v/>
      </c>
      <c r="H157" s="17"/>
      <c r="I157" s="16" t="str">
        <f aca="false">IF($G157="","",ROUND($G157*IF($H157="",0,$H157)/100,0))</f>
        <v/>
      </c>
      <c r="J157" s="10"/>
      <c r="K157" s="15" t="str">
        <f aca="false">IF($A157="","",COUNTIFS($A$3:$A157,$A157))</f>
        <v/>
      </c>
      <c r="L157" s="15" t="str">
        <f aca="false">IF($A157="","",$A157&amp;"|"&amp;$K157)</f>
        <v/>
      </c>
    </row>
    <row r="158" customFormat="false" ht="15" hidden="false" customHeight="true" outlineLevel="0" collapsed="false">
      <c r="A158" s="12"/>
      <c r="B158" s="12"/>
      <c r="C158" s="15" t="str">
        <f aca="false">IF($B158="","",IFERROR(INDEX(품목마스터!$B$3:$B$102,MATCH($B158,품목마스터!$A$3:$A$102,0)),""))</f>
        <v/>
      </c>
      <c r="D158" s="15" t="str">
        <f aca="false">IF($B158="","",IFERROR(INDEX(품목마스터!$C$3:$C$102,MATCH($B158,품목마스터!$A$3:$A$102,0)),""))</f>
        <v/>
      </c>
      <c r="E158" s="13" t="str">
        <f aca="false">IF($B158="","",IFERROR(INDEX(품목마스터!$D$3:$D$102,MATCH($B158,품목마스터!$A$3:$A$102,0)),0))</f>
        <v/>
      </c>
      <c r="F158" s="10"/>
      <c r="G158" s="16" t="str">
        <f aca="false">IF(OR($E158="",$F158=""),"",ROUND($E158*$F158,0))</f>
        <v/>
      </c>
      <c r="H158" s="17"/>
      <c r="I158" s="16" t="str">
        <f aca="false">IF($G158="","",ROUND($G158*IF($H158="",0,$H158)/100,0))</f>
        <v/>
      </c>
      <c r="J158" s="10"/>
      <c r="K158" s="15" t="str">
        <f aca="false">IF($A158="","",COUNTIFS($A$3:$A158,$A158))</f>
        <v/>
      </c>
      <c r="L158" s="15" t="str">
        <f aca="false">IF($A158="","",$A158&amp;"|"&amp;$K158)</f>
        <v/>
      </c>
    </row>
    <row r="159" customFormat="false" ht="15" hidden="false" customHeight="true" outlineLevel="0" collapsed="false">
      <c r="A159" s="12"/>
      <c r="B159" s="12"/>
      <c r="C159" s="15" t="str">
        <f aca="false">IF($B159="","",IFERROR(INDEX(품목마스터!$B$3:$B$102,MATCH($B159,품목마스터!$A$3:$A$102,0)),""))</f>
        <v/>
      </c>
      <c r="D159" s="15" t="str">
        <f aca="false">IF($B159="","",IFERROR(INDEX(품목마스터!$C$3:$C$102,MATCH($B159,품목마스터!$A$3:$A$102,0)),""))</f>
        <v/>
      </c>
      <c r="E159" s="13" t="str">
        <f aca="false">IF($B159="","",IFERROR(INDEX(품목마스터!$D$3:$D$102,MATCH($B159,품목마스터!$A$3:$A$102,0)),0))</f>
        <v/>
      </c>
      <c r="F159" s="10"/>
      <c r="G159" s="16" t="str">
        <f aca="false">IF(OR($E159="",$F159=""),"",ROUND($E159*$F159,0))</f>
        <v/>
      </c>
      <c r="H159" s="17"/>
      <c r="I159" s="16" t="str">
        <f aca="false">IF($G159="","",ROUND($G159*IF($H159="",0,$H159)/100,0))</f>
        <v/>
      </c>
      <c r="J159" s="10"/>
      <c r="K159" s="15" t="str">
        <f aca="false">IF($A159="","",COUNTIFS($A$3:$A159,$A159))</f>
        <v/>
      </c>
      <c r="L159" s="15" t="str">
        <f aca="false">IF($A159="","",$A159&amp;"|"&amp;$K159)</f>
        <v/>
      </c>
    </row>
    <row r="160" customFormat="false" ht="15" hidden="false" customHeight="true" outlineLevel="0" collapsed="false">
      <c r="A160" s="12"/>
      <c r="B160" s="12"/>
      <c r="C160" s="15" t="str">
        <f aca="false">IF($B160="","",IFERROR(INDEX(품목마스터!$B$3:$B$102,MATCH($B160,품목마스터!$A$3:$A$102,0)),""))</f>
        <v/>
      </c>
      <c r="D160" s="15" t="str">
        <f aca="false">IF($B160="","",IFERROR(INDEX(품목마스터!$C$3:$C$102,MATCH($B160,품목마스터!$A$3:$A$102,0)),""))</f>
        <v/>
      </c>
      <c r="E160" s="13" t="str">
        <f aca="false">IF($B160="","",IFERROR(INDEX(품목마스터!$D$3:$D$102,MATCH($B160,품목마스터!$A$3:$A$102,0)),0))</f>
        <v/>
      </c>
      <c r="F160" s="10"/>
      <c r="G160" s="16" t="str">
        <f aca="false">IF(OR($E160="",$F160=""),"",ROUND($E160*$F160,0))</f>
        <v/>
      </c>
      <c r="H160" s="17"/>
      <c r="I160" s="16" t="str">
        <f aca="false">IF($G160="","",ROUND($G160*IF($H160="",0,$H160)/100,0))</f>
        <v/>
      </c>
      <c r="J160" s="10"/>
      <c r="K160" s="15" t="str">
        <f aca="false">IF($A160="","",COUNTIFS($A$3:$A160,$A160))</f>
        <v/>
      </c>
      <c r="L160" s="15" t="str">
        <f aca="false">IF($A160="","",$A160&amp;"|"&amp;$K160)</f>
        <v/>
      </c>
    </row>
    <row r="161" customFormat="false" ht="15" hidden="false" customHeight="true" outlineLevel="0" collapsed="false">
      <c r="A161" s="12"/>
      <c r="B161" s="12"/>
      <c r="C161" s="15" t="str">
        <f aca="false">IF($B161="","",IFERROR(INDEX(품목마스터!$B$3:$B$102,MATCH($B161,품목마스터!$A$3:$A$102,0)),""))</f>
        <v/>
      </c>
      <c r="D161" s="15" t="str">
        <f aca="false">IF($B161="","",IFERROR(INDEX(품목마스터!$C$3:$C$102,MATCH($B161,품목마스터!$A$3:$A$102,0)),""))</f>
        <v/>
      </c>
      <c r="E161" s="13" t="str">
        <f aca="false">IF($B161="","",IFERROR(INDEX(품목마스터!$D$3:$D$102,MATCH($B161,품목마스터!$A$3:$A$102,0)),0))</f>
        <v/>
      </c>
      <c r="F161" s="10"/>
      <c r="G161" s="16" t="str">
        <f aca="false">IF(OR($E161="",$F161=""),"",ROUND($E161*$F161,0))</f>
        <v/>
      </c>
      <c r="H161" s="17"/>
      <c r="I161" s="16" t="str">
        <f aca="false">IF($G161="","",ROUND($G161*IF($H161="",0,$H161)/100,0))</f>
        <v/>
      </c>
      <c r="J161" s="10"/>
      <c r="K161" s="15" t="str">
        <f aca="false">IF($A161="","",COUNTIFS($A$3:$A161,$A161))</f>
        <v/>
      </c>
      <c r="L161" s="15" t="str">
        <f aca="false">IF($A161="","",$A161&amp;"|"&amp;$K161)</f>
        <v/>
      </c>
    </row>
    <row r="162" customFormat="false" ht="15" hidden="false" customHeight="true" outlineLevel="0" collapsed="false">
      <c r="A162" s="12"/>
      <c r="B162" s="12"/>
      <c r="C162" s="15" t="str">
        <f aca="false">IF($B162="","",IFERROR(INDEX(품목마스터!$B$3:$B$102,MATCH($B162,품목마스터!$A$3:$A$102,0)),""))</f>
        <v/>
      </c>
      <c r="D162" s="15" t="str">
        <f aca="false">IF($B162="","",IFERROR(INDEX(품목마스터!$C$3:$C$102,MATCH($B162,품목마스터!$A$3:$A$102,0)),""))</f>
        <v/>
      </c>
      <c r="E162" s="13" t="str">
        <f aca="false">IF($B162="","",IFERROR(INDEX(품목마스터!$D$3:$D$102,MATCH($B162,품목마스터!$A$3:$A$102,0)),0))</f>
        <v/>
      </c>
      <c r="F162" s="10"/>
      <c r="G162" s="16" t="str">
        <f aca="false">IF(OR($E162="",$F162=""),"",ROUND($E162*$F162,0))</f>
        <v/>
      </c>
      <c r="H162" s="17"/>
      <c r="I162" s="16" t="str">
        <f aca="false">IF($G162="","",ROUND($G162*IF($H162="",0,$H162)/100,0))</f>
        <v/>
      </c>
      <c r="J162" s="10"/>
      <c r="K162" s="15" t="str">
        <f aca="false">IF($A162="","",COUNTIFS($A$3:$A162,$A162))</f>
        <v/>
      </c>
      <c r="L162" s="15" t="str">
        <f aca="false">IF($A162="","",$A162&amp;"|"&amp;$K162)</f>
        <v/>
      </c>
    </row>
    <row r="163" customFormat="false" ht="15" hidden="false" customHeight="true" outlineLevel="0" collapsed="false">
      <c r="A163" s="12"/>
      <c r="B163" s="12"/>
      <c r="C163" s="15" t="str">
        <f aca="false">IF($B163="","",IFERROR(INDEX(품목마스터!$B$3:$B$102,MATCH($B163,품목마스터!$A$3:$A$102,0)),""))</f>
        <v/>
      </c>
      <c r="D163" s="15" t="str">
        <f aca="false">IF($B163="","",IFERROR(INDEX(품목마스터!$C$3:$C$102,MATCH($B163,품목마스터!$A$3:$A$102,0)),""))</f>
        <v/>
      </c>
      <c r="E163" s="13" t="str">
        <f aca="false">IF($B163="","",IFERROR(INDEX(품목마스터!$D$3:$D$102,MATCH($B163,품목마스터!$A$3:$A$102,0)),0))</f>
        <v/>
      </c>
      <c r="F163" s="10"/>
      <c r="G163" s="16" t="str">
        <f aca="false">IF(OR($E163="",$F163=""),"",ROUND($E163*$F163,0))</f>
        <v/>
      </c>
      <c r="H163" s="17"/>
      <c r="I163" s="16" t="str">
        <f aca="false">IF($G163="","",ROUND($G163*IF($H163="",0,$H163)/100,0))</f>
        <v/>
      </c>
      <c r="J163" s="10"/>
      <c r="K163" s="15" t="str">
        <f aca="false">IF($A163="","",COUNTIFS($A$3:$A163,$A163))</f>
        <v/>
      </c>
      <c r="L163" s="15" t="str">
        <f aca="false">IF($A163="","",$A163&amp;"|"&amp;$K163)</f>
        <v/>
      </c>
    </row>
    <row r="164" customFormat="false" ht="15" hidden="false" customHeight="true" outlineLevel="0" collapsed="false">
      <c r="A164" s="12"/>
      <c r="B164" s="12"/>
      <c r="C164" s="15" t="str">
        <f aca="false">IF($B164="","",IFERROR(INDEX(품목마스터!$B$3:$B$102,MATCH($B164,품목마스터!$A$3:$A$102,0)),""))</f>
        <v/>
      </c>
      <c r="D164" s="15" t="str">
        <f aca="false">IF($B164="","",IFERROR(INDEX(품목마스터!$C$3:$C$102,MATCH($B164,품목마스터!$A$3:$A$102,0)),""))</f>
        <v/>
      </c>
      <c r="E164" s="13" t="str">
        <f aca="false">IF($B164="","",IFERROR(INDEX(품목마스터!$D$3:$D$102,MATCH($B164,품목마스터!$A$3:$A$102,0)),0))</f>
        <v/>
      </c>
      <c r="F164" s="10"/>
      <c r="G164" s="16" t="str">
        <f aca="false">IF(OR($E164="",$F164=""),"",ROUND($E164*$F164,0))</f>
        <v/>
      </c>
      <c r="H164" s="17"/>
      <c r="I164" s="16" t="str">
        <f aca="false">IF($G164="","",ROUND($G164*IF($H164="",0,$H164)/100,0))</f>
        <v/>
      </c>
      <c r="J164" s="10"/>
      <c r="K164" s="15" t="str">
        <f aca="false">IF($A164="","",COUNTIFS($A$3:$A164,$A164))</f>
        <v/>
      </c>
      <c r="L164" s="15" t="str">
        <f aca="false">IF($A164="","",$A164&amp;"|"&amp;$K164)</f>
        <v/>
      </c>
    </row>
    <row r="165" customFormat="false" ht="15" hidden="false" customHeight="true" outlineLevel="0" collapsed="false">
      <c r="A165" s="12"/>
      <c r="B165" s="12"/>
      <c r="C165" s="15" t="str">
        <f aca="false">IF($B165="","",IFERROR(INDEX(품목마스터!$B$3:$B$102,MATCH($B165,품목마스터!$A$3:$A$102,0)),""))</f>
        <v/>
      </c>
      <c r="D165" s="15" t="str">
        <f aca="false">IF($B165="","",IFERROR(INDEX(품목마스터!$C$3:$C$102,MATCH($B165,품목마스터!$A$3:$A$102,0)),""))</f>
        <v/>
      </c>
      <c r="E165" s="13" t="str">
        <f aca="false">IF($B165="","",IFERROR(INDEX(품목마스터!$D$3:$D$102,MATCH($B165,품목마스터!$A$3:$A$102,0)),0))</f>
        <v/>
      </c>
      <c r="F165" s="10"/>
      <c r="G165" s="16" t="str">
        <f aca="false">IF(OR($E165="",$F165=""),"",ROUND($E165*$F165,0))</f>
        <v/>
      </c>
      <c r="H165" s="17"/>
      <c r="I165" s="16" t="str">
        <f aca="false">IF($G165="","",ROUND($G165*IF($H165="",0,$H165)/100,0))</f>
        <v/>
      </c>
      <c r="J165" s="10"/>
      <c r="K165" s="15" t="str">
        <f aca="false">IF($A165="","",COUNTIFS($A$3:$A165,$A165))</f>
        <v/>
      </c>
      <c r="L165" s="15" t="str">
        <f aca="false">IF($A165="","",$A165&amp;"|"&amp;$K165)</f>
        <v/>
      </c>
    </row>
    <row r="166" customFormat="false" ht="15" hidden="false" customHeight="true" outlineLevel="0" collapsed="false">
      <c r="A166" s="12"/>
      <c r="B166" s="12"/>
      <c r="C166" s="15" t="str">
        <f aca="false">IF($B166="","",IFERROR(INDEX(품목마스터!$B$3:$B$102,MATCH($B166,품목마스터!$A$3:$A$102,0)),""))</f>
        <v/>
      </c>
      <c r="D166" s="15" t="str">
        <f aca="false">IF($B166="","",IFERROR(INDEX(품목마스터!$C$3:$C$102,MATCH($B166,품목마스터!$A$3:$A$102,0)),""))</f>
        <v/>
      </c>
      <c r="E166" s="13" t="str">
        <f aca="false">IF($B166="","",IFERROR(INDEX(품목마스터!$D$3:$D$102,MATCH($B166,품목마스터!$A$3:$A$102,0)),0))</f>
        <v/>
      </c>
      <c r="F166" s="10"/>
      <c r="G166" s="16" t="str">
        <f aca="false">IF(OR($E166="",$F166=""),"",ROUND($E166*$F166,0))</f>
        <v/>
      </c>
      <c r="H166" s="17"/>
      <c r="I166" s="16" t="str">
        <f aca="false">IF($G166="","",ROUND($G166*IF($H166="",0,$H166)/100,0))</f>
        <v/>
      </c>
      <c r="J166" s="10"/>
      <c r="K166" s="15" t="str">
        <f aca="false">IF($A166="","",COUNTIFS($A$3:$A166,$A166))</f>
        <v/>
      </c>
      <c r="L166" s="15" t="str">
        <f aca="false">IF($A166="","",$A166&amp;"|"&amp;$K166)</f>
        <v/>
      </c>
    </row>
    <row r="167" customFormat="false" ht="15" hidden="false" customHeight="true" outlineLevel="0" collapsed="false">
      <c r="A167" s="12"/>
      <c r="B167" s="12"/>
      <c r="C167" s="15" t="str">
        <f aca="false">IF($B167="","",IFERROR(INDEX(품목마스터!$B$3:$B$102,MATCH($B167,품목마스터!$A$3:$A$102,0)),""))</f>
        <v/>
      </c>
      <c r="D167" s="15" t="str">
        <f aca="false">IF($B167="","",IFERROR(INDEX(품목마스터!$C$3:$C$102,MATCH($B167,품목마스터!$A$3:$A$102,0)),""))</f>
        <v/>
      </c>
      <c r="E167" s="13" t="str">
        <f aca="false">IF($B167="","",IFERROR(INDEX(품목마스터!$D$3:$D$102,MATCH($B167,품목마스터!$A$3:$A$102,0)),0))</f>
        <v/>
      </c>
      <c r="F167" s="10"/>
      <c r="G167" s="16" t="str">
        <f aca="false">IF(OR($E167="",$F167=""),"",ROUND($E167*$F167,0))</f>
        <v/>
      </c>
      <c r="H167" s="17"/>
      <c r="I167" s="16" t="str">
        <f aca="false">IF($G167="","",ROUND($G167*IF($H167="",0,$H167)/100,0))</f>
        <v/>
      </c>
      <c r="J167" s="10"/>
      <c r="K167" s="15" t="str">
        <f aca="false">IF($A167="","",COUNTIFS($A$3:$A167,$A167))</f>
        <v/>
      </c>
      <c r="L167" s="15" t="str">
        <f aca="false">IF($A167="","",$A167&amp;"|"&amp;$K167)</f>
        <v/>
      </c>
    </row>
    <row r="168" customFormat="false" ht="15" hidden="false" customHeight="true" outlineLevel="0" collapsed="false">
      <c r="A168" s="12"/>
      <c r="B168" s="12"/>
      <c r="C168" s="15" t="str">
        <f aca="false">IF($B168="","",IFERROR(INDEX(품목마스터!$B$3:$B$102,MATCH($B168,품목마스터!$A$3:$A$102,0)),""))</f>
        <v/>
      </c>
      <c r="D168" s="15" t="str">
        <f aca="false">IF($B168="","",IFERROR(INDEX(품목마스터!$C$3:$C$102,MATCH($B168,품목마스터!$A$3:$A$102,0)),""))</f>
        <v/>
      </c>
      <c r="E168" s="13" t="str">
        <f aca="false">IF($B168="","",IFERROR(INDEX(품목마스터!$D$3:$D$102,MATCH($B168,품목마스터!$A$3:$A$102,0)),0))</f>
        <v/>
      </c>
      <c r="F168" s="10"/>
      <c r="G168" s="16" t="str">
        <f aca="false">IF(OR($E168="",$F168=""),"",ROUND($E168*$F168,0))</f>
        <v/>
      </c>
      <c r="H168" s="17"/>
      <c r="I168" s="16" t="str">
        <f aca="false">IF($G168="","",ROUND($G168*IF($H168="",0,$H168)/100,0))</f>
        <v/>
      </c>
      <c r="J168" s="10"/>
      <c r="K168" s="15" t="str">
        <f aca="false">IF($A168="","",COUNTIFS($A$3:$A168,$A168))</f>
        <v/>
      </c>
      <c r="L168" s="15" t="str">
        <f aca="false">IF($A168="","",$A168&amp;"|"&amp;$K168)</f>
        <v/>
      </c>
    </row>
    <row r="169" customFormat="false" ht="15" hidden="false" customHeight="true" outlineLevel="0" collapsed="false">
      <c r="A169" s="12"/>
      <c r="B169" s="12"/>
      <c r="C169" s="15" t="str">
        <f aca="false">IF($B169="","",IFERROR(INDEX(품목마스터!$B$3:$B$102,MATCH($B169,품목마스터!$A$3:$A$102,0)),""))</f>
        <v/>
      </c>
      <c r="D169" s="15" t="str">
        <f aca="false">IF($B169="","",IFERROR(INDEX(품목마스터!$C$3:$C$102,MATCH($B169,품목마스터!$A$3:$A$102,0)),""))</f>
        <v/>
      </c>
      <c r="E169" s="13" t="str">
        <f aca="false">IF($B169="","",IFERROR(INDEX(품목마스터!$D$3:$D$102,MATCH($B169,품목마스터!$A$3:$A$102,0)),0))</f>
        <v/>
      </c>
      <c r="F169" s="10"/>
      <c r="G169" s="16" t="str">
        <f aca="false">IF(OR($E169="",$F169=""),"",ROUND($E169*$F169,0))</f>
        <v/>
      </c>
      <c r="H169" s="17"/>
      <c r="I169" s="16" t="str">
        <f aca="false">IF($G169="","",ROUND($G169*IF($H169="",0,$H169)/100,0))</f>
        <v/>
      </c>
      <c r="J169" s="10"/>
      <c r="K169" s="15" t="str">
        <f aca="false">IF($A169="","",COUNTIFS($A$3:$A169,$A169))</f>
        <v/>
      </c>
      <c r="L169" s="15" t="str">
        <f aca="false">IF($A169="","",$A169&amp;"|"&amp;$K169)</f>
        <v/>
      </c>
    </row>
    <row r="170" customFormat="false" ht="15" hidden="false" customHeight="true" outlineLevel="0" collapsed="false">
      <c r="A170" s="12"/>
      <c r="B170" s="12"/>
      <c r="C170" s="15" t="str">
        <f aca="false">IF($B170="","",IFERROR(INDEX(품목마스터!$B$3:$B$102,MATCH($B170,품목마스터!$A$3:$A$102,0)),""))</f>
        <v/>
      </c>
      <c r="D170" s="15" t="str">
        <f aca="false">IF($B170="","",IFERROR(INDEX(품목마스터!$C$3:$C$102,MATCH($B170,품목마스터!$A$3:$A$102,0)),""))</f>
        <v/>
      </c>
      <c r="E170" s="13" t="str">
        <f aca="false">IF($B170="","",IFERROR(INDEX(품목마스터!$D$3:$D$102,MATCH($B170,품목마스터!$A$3:$A$102,0)),0))</f>
        <v/>
      </c>
      <c r="F170" s="10"/>
      <c r="G170" s="16" t="str">
        <f aca="false">IF(OR($E170="",$F170=""),"",ROUND($E170*$F170,0))</f>
        <v/>
      </c>
      <c r="H170" s="17"/>
      <c r="I170" s="16" t="str">
        <f aca="false">IF($G170="","",ROUND($G170*IF($H170="",0,$H170)/100,0))</f>
        <v/>
      </c>
      <c r="J170" s="10"/>
      <c r="K170" s="15" t="str">
        <f aca="false">IF($A170="","",COUNTIFS($A$3:$A170,$A170))</f>
        <v/>
      </c>
      <c r="L170" s="15" t="str">
        <f aca="false">IF($A170="","",$A170&amp;"|"&amp;$K170)</f>
        <v/>
      </c>
    </row>
    <row r="171" customFormat="false" ht="15" hidden="false" customHeight="true" outlineLevel="0" collapsed="false">
      <c r="A171" s="12"/>
      <c r="B171" s="12"/>
      <c r="C171" s="15" t="str">
        <f aca="false">IF($B171="","",IFERROR(INDEX(품목마스터!$B$3:$B$102,MATCH($B171,품목마스터!$A$3:$A$102,0)),""))</f>
        <v/>
      </c>
      <c r="D171" s="15" t="str">
        <f aca="false">IF($B171="","",IFERROR(INDEX(품목마스터!$C$3:$C$102,MATCH($B171,품목마스터!$A$3:$A$102,0)),""))</f>
        <v/>
      </c>
      <c r="E171" s="13" t="str">
        <f aca="false">IF($B171="","",IFERROR(INDEX(품목마스터!$D$3:$D$102,MATCH($B171,품목마스터!$A$3:$A$102,0)),0))</f>
        <v/>
      </c>
      <c r="F171" s="10"/>
      <c r="G171" s="16" t="str">
        <f aca="false">IF(OR($E171="",$F171=""),"",ROUND($E171*$F171,0))</f>
        <v/>
      </c>
      <c r="H171" s="17"/>
      <c r="I171" s="16" t="str">
        <f aca="false">IF($G171="","",ROUND($G171*IF($H171="",0,$H171)/100,0))</f>
        <v/>
      </c>
      <c r="J171" s="10"/>
      <c r="K171" s="15" t="str">
        <f aca="false">IF($A171="","",COUNTIFS($A$3:$A171,$A171))</f>
        <v/>
      </c>
      <c r="L171" s="15" t="str">
        <f aca="false">IF($A171="","",$A171&amp;"|"&amp;$K171)</f>
        <v/>
      </c>
    </row>
    <row r="172" customFormat="false" ht="15" hidden="false" customHeight="true" outlineLevel="0" collapsed="false">
      <c r="A172" s="12"/>
      <c r="B172" s="12"/>
      <c r="C172" s="15" t="str">
        <f aca="false">IF($B172="","",IFERROR(INDEX(품목마스터!$B$3:$B$102,MATCH($B172,품목마스터!$A$3:$A$102,0)),""))</f>
        <v/>
      </c>
      <c r="D172" s="15" t="str">
        <f aca="false">IF($B172="","",IFERROR(INDEX(품목마스터!$C$3:$C$102,MATCH($B172,품목마스터!$A$3:$A$102,0)),""))</f>
        <v/>
      </c>
      <c r="E172" s="13" t="str">
        <f aca="false">IF($B172="","",IFERROR(INDEX(품목마스터!$D$3:$D$102,MATCH($B172,품목마스터!$A$3:$A$102,0)),0))</f>
        <v/>
      </c>
      <c r="F172" s="10"/>
      <c r="G172" s="16" t="str">
        <f aca="false">IF(OR($E172="",$F172=""),"",ROUND($E172*$F172,0))</f>
        <v/>
      </c>
      <c r="H172" s="17"/>
      <c r="I172" s="16" t="str">
        <f aca="false">IF($G172="","",ROUND($G172*IF($H172="",0,$H172)/100,0))</f>
        <v/>
      </c>
      <c r="J172" s="10"/>
      <c r="K172" s="15" t="str">
        <f aca="false">IF($A172="","",COUNTIFS($A$3:$A172,$A172))</f>
        <v/>
      </c>
      <c r="L172" s="15" t="str">
        <f aca="false">IF($A172="","",$A172&amp;"|"&amp;$K172)</f>
        <v/>
      </c>
    </row>
    <row r="173" customFormat="false" ht="15" hidden="false" customHeight="true" outlineLevel="0" collapsed="false">
      <c r="A173" s="12"/>
      <c r="B173" s="12"/>
      <c r="C173" s="15" t="str">
        <f aca="false">IF($B173="","",IFERROR(INDEX(품목마스터!$B$3:$B$102,MATCH($B173,품목마스터!$A$3:$A$102,0)),""))</f>
        <v/>
      </c>
      <c r="D173" s="15" t="str">
        <f aca="false">IF($B173="","",IFERROR(INDEX(품목마스터!$C$3:$C$102,MATCH($B173,품목마스터!$A$3:$A$102,0)),""))</f>
        <v/>
      </c>
      <c r="E173" s="13" t="str">
        <f aca="false">IF($B173="","",IFERROR(INDEX(품목마스터!$D$3:$D$102,MATCH($B173,품목마스터!$A$3:$A$102,0)),0))</f>
        <v/>
      </c>
      <c r="F173" s="10"/>
      <c r="G173" s="16" t="str">
        <f aca="false">IF(OR($E173="",$F173=""),"",ROUND($E173*$F173,0))</f>
        <v/>
      </c>
      <c r="H173" s="17"/>
      <c r="I173" s="16" t="str">
        <f aca="false">IF($G173="","",ROUND($G173*IF($H173="",0,$H173)/100,0))</f>
        <v/>
      </c>
      <c r="J173" s="10"/>
      <c r="K173" s="15" t="str">
        <f aca="false">IF($A173="","",COUNTIFS($A$3:$A173,$A173))</f>
        <v/>
      </c>
      <c r="L173" s="15" t="str">
        <f aca="false">IF($A173="","",$A173&amp;"|"&amp;$K173)</f>
        <v/>
      </c>
    </row>
    <row r="174" customFormat="false" ht="15" hidden="false" customHeight="true" outlineLevel="0" collapsed="false">
      <c r="A174" s="12"/>
      <c r="B174" s="12"/>
      <c r="C174" s="15" t="str">
        <f aca="false">IF($B174="","",IFERROR(INDEX(품목마스터!$B$3:$B$102,MATCH($B174,품목마스터!$A$3:$A$102,0)),""))</f>
        <v/>
      </c>
      <c r="D174" s="15" t="str">
        <f aca="false">IF($B174="","",IFERROR(INDEX(품목마스터!$C$3:$C$102,MATCH($B174,품목마스터!$A$3:$A$102,0)),""))</f>
        <v/>
      </c>
      <c r="E174" s="13" t="str">
        <f aca="false">IF($B174="","",IFERROR(INDEX(품목마스터!$D$3:$D$102,MATCH($B174,품목마스터!$A$3:$A$102,0)),0))</f>
        <v/>
      </c>
      <c r="F174" s="10"/>
      <c r="G174" s="16" t="str">
        <f aca="false">IF(OR($E174="",$F174=""),"",ROUND($E174*$F174,0))</f>
        <v/>
      </c>
      <c r="H174" s="17"/>
      <c r="I174" s="16" t="str">
        <f aca="false">IF($G174="","",ROUND($G174*IF($H174="",0,$H174)/100,0))</f>
        <v/>
      </c>
      <c r="J174" s="10"/>
      <c r="K174" s="15" t="str">
        <f aca="false">IF($A174="","",COUNTIFS($A$3:$A174,$A174))</f>
        <v/>
      </c>
      <c r="L174" s="15" t="str">
        <f aca="false">IF($A174="","",$A174&amp;"|"&amp;$K174)</f>
        <v/>
      </c>
    </row>
    <row r="175" customFormat="false" ht="15" hidden="false" customHeight="true" outlineLevel="0" collapsed="false">
      <c r="A175" s="12"/>
      <c r="B175" s="12"/>
      <c r="C175" s="15" t="str">
        <f aca="false">IF($B175="","",IFERROR(INDEX(품목마스터!$B$3:$B$102,MATCH($B175,품목마스터!$A$3:$A$102,0)),""))</f>
        <v/>
      </c>
      <c r="D175" s="15" t="str">
        <f aca="false">IF($B175="","",IFERROR(INDEX(품목마스터!$C$3:$C$102,MATCH($B175,품목마스터!$A$3:$A$102,0)),""))</f>
        <v/>
      </c>
      <c r="E175" s="13" t="str">
        <f aca="false">IF($B175="","",IFERROR(INDEX(품목마스터!$D$3:$D$102,MATCH($B175,품목마스터!$A$3:$A$102,0)),0))</f>
        <v/>
      </c>
      <c r="F175" s="10"/>
      <c r="G175" s="16" t="str">
        <f aca="false">IF(OR($E175="",$F175=""),"",ROUND($E175*$F175,0))</f>
        <v/>
      </c>
      <c r="H175" s="17"/>
      <c r="I175" s="16" t="str">
        <f aca="false">IF($G175="","",ROUND($G175*IF($H175="",0,$H175)/100,0))</f>
        <v/>
      </c>
      <c r="J175" s="10"/>
      <c r="K175" s="15" t="str">
        <f aca="false">IF($A175="","",COUNTIFS($A$3:$A175,$A175))</f>
        <v/>
      </c>
      <c r="L175" s="15" t="str">
        <f aca="false">IF($A175="","",$A175&amp;"|"&amp;$K175)</f>
        <v/>
      </c>
    </row>
    <row r="176" customFormat="false" ht="15" hidden="false" customHeight="true" outlineLevel="0" collapsed="false">
      <c r="A176" s="12"/>
      <c r="B176" s="12"/>
      <c r="C176" s="15" t="str">
        <f aca="false">IF($B176="","",IFERROR(INDEX(품목마스터!$B$3:$B$102,MATCH($B176,품목마스터!$A$3:$A$102,0)),""))</f>
        <v/>
      </c>
      <c r="D176" s="15" t="str">
        <f aca="false">IF($B176="","",IFERROR(INDEX(품목마스터!$C$3:$C$102,MATCH($B176,품목마스터!$A$3:$A$102,0)),""))</f>
        <v/>
      </c>
      <c r="E176" s="13" t="str">
        <f aca="false">IF($B176="","",IFERROR(INDEX(품목마스터!$D$3:$D$102,MATCH($B176,품목마스터!$A$3:$A$102,0)),0))</f>
        <v/>
      </c>
      <c r="F176" s="10"/>
      <c r="G176" s="16" t="str">
        <f aca="false">IF(OR($E176="",$F176=""),"",ROUND($E176*$F176,0))</f>
        <v/>
      </c>
      <c r="H176" s="17"/>
      <c r="I176" s="16" t="str">
        <f aca="false">IF($G176="","",ROUND($G176*IF($H176="",0,$H176)/100,0))</f>
        <v/>
      </c>
      <c r="J176" s="10"/>
      <c r="K176" s="15" t="str">
        <f aca="false">IF($A176="","",COUNTIFS($A$3:$A176,$A176))</f>
        <v/>
      </c>
      <c r="L176" s="15" t="str">
        <f aca="false">IF($A176="","",$A176&amp;"|"&amp;$K176)</f>
        <v/>
      </c>
    </row>
    <row r="177" customFormat="false" ht="15" hidden="false" customHeight="true" outlineLevel="0" collapsed="false">
      <c r="A177" s="12"/>
      <c r="B177" s="12"/>
      <c r="C177" s="15" t="str">
        <f aca="false">IF($B177="","",IFERROR(INDEX(품목마스터!$B$3:$B$102,MATCH($B177,품목마스터!$A$3:$A$102,0)),""))</f>
        <v/>
      </c>
      <c r="D177" s="15" t="str">
        <f aca="false">IF($B177="","",IFERROR(INDEX(품목마스터!$C$3:$C$102,MATCH($B177,품목마스터!$A$3:$A$102,0)),""))</f>
        <v/>
      </c>
      <c r="E177" s="13" t="str">
        <f aca="false">IF($B177="","",IFERROR(INDEX(품목마스터!$D$3:$D$102,MATCH($B177,품목마스터!$A$3:$A$102,0)),0))</f>
        <v/>
      </c>
      <c r="F177" s="10"/>
      <c r="G177" s="16" t="str">
        <f aca="false">IF(OR($E177="",$F177=""),"",ROUND($E177*$F177,0))</f>
        <v/>
      </c>
      <c r="H177" s="17"/>
      <c r="I177" s="16" t="str">
        <f aca="false">IF($G177="","",ROUND($G177*IF($H177="",0,$H177)/100,0))</f>
        <v/>
      </c>
      <c r="J177" s="10"/>
      <c r="K177" s="15" t="str">
        <f aca="false">IF($A177="","",COUNTIFS($A$3:$A177,$A177))</f>
        <v/>
      </c>
      <c r="L177" s="15" t="str">
        <f aca="false">IF($A177="","",$A177&amp;"|"&amp;$K177)</f>
        <v/>
      </c>
    </row>
    <row r="178" customFormat="false" ht="15" hidden="false" customHeight="true" outlineLevel="0" collapsed="false">
      <c r="A178" s="12"/>
      <c r="B178" s="12"/>
      <c r="C178" s="15" t="str">
        <f aca="false">IF($B178="","",IFERROR(INDEX(품목마스터!$B$3:$B$102,MATCH($B178,품목마스터!$A$3:$A$102,0)),""))</f>
        <v/>
      </c>
      <c r="D178" s="15" t="str">
        <f aca="false">IF($B178="","",IFERROR(INDEX(품목마스터!$C$3:$C$102,MATCH($B178,품목마스터!$A$3:$A$102,0)),""))</f>
        <v/>
      </c>
      <c r="E178" s="13" t="str">
        <f aca="false">IF($B178="","",IFERROR(INDEX(품목마스터!$D$3:$D$102,MATCH($B178,품목마스터!$A$3:$A$102,0)),0))</f>
        <v/>
      </c>
      <c r="F178" s="10"/>
      <c r="G178" s="16" t="str">
        <f aca="false">IF(OR($E178="",$F178=""),"",ROUND($E178*$F178,0))</f>
        <v/>
      </c>
      <c r="H178" s="17"/>
      <c r="I178" s="16" t="str">
        <f aca="false">IF($G178="","",ROUND($G178*IF($H178="",0,$H178)/100,0))</f>
        <v/>
      </c>
      <c r="J178" s="10"/>
      <c r="K178" s="15" t="str">
        <f aca="false">IF($A178="","",COUNTIFS($A$3:$A178,$A178))</f>
        <v/>
      </c>
      <c r="L178" s="15" t="str">
        <f aca="false">IF($A178="","",$A178&amp;"|"&amp;$K178)</f>
        <v/>
      </c>
    </row>
    <row r="179" customFormat="false" ht="15" hidden="false" customHeight="true" outlineLevel="0" collapsed="false">
      <c r="A179" s="12"/>
      <c r="B179" s="12"/>
      <c r="C179" s="15" t="str">
        <f aca="false">IF($B179="","",IFERROR(INDEX(품목마스터!$B$3:$B$102,MATCH($B179,품목마스터!$A$3:$A$102,0)),""))</f>
        <v/>
      </c>
      <c r="D179" s="15" t="str">
        <f aca="false">IF($B179="","",IFERROR(INDEX(품목마스터!$C$3:$C$102,MATCH($B179,품목마스터!$A$3:$A$102,0)),""))</f>
        <v/>
      </c>
      <c r="E179" s="13" t="str">
        <f aca="false">IF($B179="","",IFERROR(INDEX(품목마스터!$D$3:$D$102,MATCH($B179,품목마스터!$A$3:$A$102,0)),0))</f>
        <v/>
      </c>
      <c r="F179" s="10"/>
      <c r="G179" s="16" t="str">
        <f aca="false">IF(OR($E179="",$F179=""),"",ROUND($E179*$F179,0))</f>
        <v/>
      </c>
      <c r="H179" s="17"/>
      <c r="I179" s="16" t="str">
        <f aca="false">IF($G179="","",ROUND($G179*IF($H179="",0,$H179)/100,0))</f>
        <v/>
      </c>
      <c r="J179" s="10"/>
      <c r="K179" s="15" t="str">
        <f aca="false">IF($A179="","",COUNTIFS($A$3:$A179,$A179))</f>
        <v/>
      </c>
      <c r="L179" s="15" t="str">
        <f aca="false">IF($A179="","",$A179&amp;"|"&amp;$K179)</f>
        <v/>
      </c>
    </row>
    <row r="180" customFormat="false" ht="15" hidden="false" customHeight="true" outlineLevel="0" collapsed="false">
      <c r="A180" s="12"/>
      <c r="B180" s="12"/>
      <c r="C180" s="15" t="str">
        <f aca="false">IF($B180="","",IFERROR(INDEX(품목마스터!$B$3:$B$102,MATCH($B180,품목마스터!$A$3:$A$102,0)),""))</f>
        <v/>
      </c>
      <c r="D180" s="15" t="str">
        <f aca="false">IF($B180="","",IFERROR(INDEX(품목마스터!$C$3:$C$102,MATCH($B180,품목마스터!$A$3:$A$102,0)),""))</f>
        <v/>
      </c>
      <c r="E180" s="13" t="str">
        <f aca="false">IF($B180="","",IFERROR(INDEX(품목마스터!$D$3:$D$102,MATCH($B180,품목마스터!$A$3:$A$102,0)),0))</f>
        <v/>
      </c>
      <c r="F180" s="10"/>
      <c r="G180" s="16" t="str">
        <f aca="false">IF(OR($E180="",$F180=""),"",ROUND($E180*$F180,0))</f>
        <v/>
      </c>
      <c r="H180" s="17"/>
      <c r="I180" s="16" t="str">
        <f aca="false">IF($G180="","",ROUND($G180*IF($H180="",0,$H180)/100,0))</f>
        <v/>
      </c>
      <c r="J180" s="10"/>
      <c r="K180" s="15" t="str">
        <f aca="false">IF($A180="","",COUNTIFS($A$3:$A180,$A180))</f>
        <v/>
      </c>
      <c r="L180" s="15" t="str">
        <f aca="false">IF($A180="","",$A180&amp;"|"&amp;$K180)</f>
        <v/>
      </c>
    </row>
    <row r="181" customFormat="false" ht="15" hidden="false" customHeight="true" outlineLevel="0" collapsed="false">
      <c r="A181" s="12"/>
      <c r="B181" s="12"/>
      <c r="C181" s="15" t="str">
        <f aca="false">IF($B181="","",IFERROR(INDEX(품목마스터!$B$3:$B$102,MATCH($B181,품목마스터!$A$3:$A$102,0)),""))</f>
        <v/>
      </c>
      <c r="D181" s="15" t="str">
        <f aca="false">IF($B181="","",IFERROR(INDEX(품목마스터!$C$3:$C$102,MATCH($B181,품목마스터!$A$3:$A$102,0)),""))</f>
        <v/>
      </c>
      <c r="E181" s="13" t="str">
        <f aca="false">IF($B181="","",IFERROR(INDEX(품목마스터!$D$3:$D$102,MATCH($B181,품목마스터!$A$3:$A$102,0)),0))</f>
        <v/>
      </c>
      <c r="F181" s="10"/>
      <c r="G181" s="16" t="str">
        <f aca="false">IF(OR($E181="",$F181=""),"",ROUND($E181*$F181,0))</f>
        <v/>
      </c>
      <c r="H181" s="17"/>
      <c r="I181" s="16" t="str">
        <f aca="false">IF($G181="","",ROUND($G181*IF($H181="",0,$H181)/100,0))</f>
        <v/>
      </c>
      <c r="J181" s="10"/>
      <c r="K181" s="15" t="str">
        <f aca="false">IF($A181="","",COUNTIFS($A$3:$A181,$A181))</f>
        <v/>
      </c>
      <c r="L181" s="15" t="str">
        <f aca="false">IF($A181="","",$A181&amp;"|"&amp;$K181)</f>
        <v/>
      </c>
    </row>
    <row r="182" customFormat="false" ht="15" hidden="false" customHeight="true" outlineLevel="0" collapsed="false">
      <c r="A182" s="12"/>
      <c r="B182" s="12"/>
      <c r="C182" s="15" t="str">
        <f aca="false">IF($B182="","",IFERROR(INDEX(품목마스터!$B$3:$B$102,MATCH($B182,품목마스터!$A$3:$A$102,0)),""))</f>
        <v/>
      </c>
      <c r="D182" s="15" t="str">
        <f aca="false">IF($B182="","",IFERROR(INDEX(품목마스터!$C$3:$C$102,MATCH($B182,품목마스터!$A$3:$A$102,0)),""))</f>
        <v/>
      </c>
      <c r="E182" s="13" t="str">
        <f aca="false">IF($B182="","",IFERROR(INDEX(품목마스터!$D$3:$D$102,MATCH($B182,품목마스터!$A$3:$A$102,0)),0))</f>
        <v/>
      </c>
      <c r="F182" s="10"/>
      <c r="G182" s="16" t="str">
        <f aca="false">IF(OR($E182="",$F182=""),"",ROUND($E182*$F182,0))</f>
        <v/>
      </c>
      <c r="H182" s="17"/>
      <c r="I182" s="16" t="str">
        <f aca="false">IF($G182="","",ROUND($G182*IF($H182="",0,$H182)/100,0))</f>
        <v/>
      </c>
      <c r="J182" s="10"/>
      <c r="K182" s="15" t="str">
        <f aca="false">IF($A182="","",COUNTIFS($A$3:$A182,$A182))</f>
        <v/>
      </c>
      <c r="L182" s="15" t="str">
        <f aca="false">IF($A182="","",$A182&amp;"|"&amp;$K182)</f>
        <v/>
      </c>
    </row>
    <row r="183" customFormat="false" ht="15" hidden="false" customHeight="true" outlineLevel="0" collapsed="false">
      <c r="A183" s="12"/>
      <c r="B183" s="12"/>
      <c r="C183" s="15" t="str">
        <f aca="false">IF($B183="","",IFERROR(INDEX(품목마스터!$B$3:$B$102,MATCH($B183,품목마스터!$A$3:$A$102,0)),""))</f>
        <v/>
      </c>
      <c r="D183" s="15" t="str">
        <f aca="false">IF($B183="","",IFERROR(INDEX(품목마스터!$C$3:$C$102,MATCH($B183,품목마스터!$A$3:$A$102,0)),""))</f>
        <v/>
      </c>
      <c r="E183" s="13" t="str">
        <f aca="false">IF($B183="","",IFERROR(INDEX(품목마스터!$D$3:$D$102,MATCH($B183,품목마스터!$A$3:$A$102,0)),0))</f>
        <v/>
      </c>
      <c r="F183" s="10"/>
      <c r="G183" s="16" t="str">
        <f aca="false">IF(OR($E183="",$F183=""),"",ROUND($E183*$F183,0))</f>
        <v/>
      </c>
      <c r="H183" s="17"/>
      <c r="I183" s="16" t="str">
        <f aca="false">IF($G183="","",ROUND($G183*IF($H183="",0,$H183)/100,0))</f>
        <v/>
      </c>
      <c r="J183" s="10"/>
      <c r="K183" s="15" t="str">
        <f aca="false">IF($A183="","",COUNTIFS($A$3:$A183,$A183))</f>
        <v/>
      </c>
      <c r="L183" s="15" t="str">
        <f aca="false">IF($A183="","",$A183&amp;"|"&amp;$K183)</f>
        <v/>
      </c>
    </row>
    <row r="184" customFormat="false" ht="15" hidden="false" customHeight="true" outlineLevel="0" collapsed="false">
      <c r="A184" s="12"/>
      <c r="B184" s="12"/>
      <c r="C184" s="15" t="str">
        <f aca="false">IF($B184="","",IFERROR(INDEX(품목마스터!$B$3:$B$102,MATCH($B184,품목마스터!$A$3:$A$102,0)),""))</f>
        <v/>
      </c>
      <c r="D184" s="15" t="str">
        <f aca="false">IF($B184="","",IFERROR(INDEX(품목마스터!$C$3:$C$102,MATCH($B184,품목마스터!$A$3:$A$102,0)),""))</f>
        <v/>
      </c>
      <c r="E184" s="13" t="str">
        <f aca="false">IF($B184="","",IFERROR(INDEX(품목마스터!$D$3:$D$102,MATCH($B184,품목마스터!$A$3:$A$102,0)),0))</f>
        <v/>
      </c>
      <c r="F184" s="10"/>
      <c r="G184" s="16" t="str">
        <f aca="false">IF(OR($E184="",$F184=""),"",ROUND($E184*$F184,0))</f>
        <v/>
      </c>
      <c r="H184" s="17"/>
      <c r="I184" s="16" t="str">
        <f aca="false">IF($G184="","",ROUND($G184*IF($H184="",0,$H184)/100,0))</f>
        <v/>
      </c>
      <c r="J184" s="10"/>
      <c r="K184" s="15" t="str">
        <f aca="false">IF($A184="","",COUNTIFS($A$3:$A184,$A184))</f>
        <v/>
      </c>
      <c r="L184" s="15" t="str">
        <f aca="false">IF($A184="","",$A184&amp;"|"&amp;$K184)</f>
        <v/>
      </c>
    </row>
    <row r="185" customFormat="false" ht="15" hidden="false" customHeight="true" outlineLevel="0" collapsed="false">
      <c r="A185" s="12"/>
      <c r="B185" s="12"/>
      <c r="C185" s="15" t="str">
        <f aca="false">IF($B185="","",IFERROR(INDEX(품목마스터!$B$3:$B$102,MATCH($B185,품목마스터!$A$3:$A$102,0)),""))</f>
        <v/>
      </c>
      <c r="D185" s="15" t="str">
        <f aca="false">IF($B185="","",IFERROR(INDEX(품목마스터!$C$3:$C$102,MATCH($B185,품목마스터!$A$3:$A$102,0)),""))</f>
        <v/>
      </c>
      <c r="E185" s="13" t="str">
        <f aca="false">IF($B185="","",IFERROR(INDEX(품목마스터!$D$3:$D$102,MATCH($B185,품목마스터!$A$3:$A$102,0)),0))</f>
        <v/>
      </c>
      <c r="F185" s="10"/>
      <c r="G185" s="16" t="str">
        <f aca="false">IF(OR($E185="",$F185=""),"",ROUND($E185*$F185,0))</f>
        <v/>
      </c>
      <c r="H185" s="17"/>
      <c r="I185" s="16" t="str">
        <f aca="false">IF($G185="","",ROUND($G185*IF($H185="",0,$H185)/100,0))</f>
        <v/>
      </c>
      <c r="J185" s="10"/>
      <c r="K185" s="15" t="str">
        <f aca="false">IF($A185="","",COUNTIFS($A$3:$A185,$A185))</f>
        <v/>
      </c>
      <c r="L185" s="15" t="str">
        <f aca="false">IF($A185="","",$A185&amp;"|"&amp;$K185)</f>
        <v/>
      </c>
    </row>
    <row r="186" customFormat="false" ht="15" hidden="false" customHeight="true" outlineLevel="0" collapsed="false">
      <c r="A186" s="12"/>
      <c r="B186" s="12"/>
      <c r="C186" s="15" t="str">
        <f aca="false">IF($B186="","",IFERROR(INDEX(품목마스터!$B$3:$B$102,MATCH($B186,품목마스터!$A$3:$A$102,0)),""))</f>
        <v/>
      </c>
      <c r="D186" s="15" t="str">
        <f aca="false">IF($B186="","",IFERROR(INDEX(품목마스터!$C$3:$C$102,MATCH($B186,품목마스터!$A$3:$A$102,0)),""))</f>
        <v/>
      </c>
      <c r="E186" s="13" t="str">
        <f aca="false">IF($B186="","",IFERROR(INDEX(품목마스터!$D$3:$D$102,MATCH($B186,품목마스터!$A$3:$A$102,0)),0))</f>
        <v/>
      </c>
      <c r="F186" s="10"/>
      <c r="G186" s="16" t="str">
        <f aca="false">IF(OR($E186="",$F186=""),"",ROUND($E186*$F186,0))</f>
        <v/>
      </c>
      <c r="H186" s="17"/>
      <c r="I186" s="16" t="str">
        <f aca="false">IF($G186="","",ROUND($G186*IF($H186="",0,$H186)/100,0))</f>
        <v/>
      </c>
      <c r="J186" s="10"/>
      <c r="K186" s="15" t="str">
        <f aca="false">IF($A186="","",COUNTIFS($A$3:$A186,$A186))</f>
        <v/>
      </c>
      <c r="L186" s="15" t="str">
        <f aca="false">IF($A186="","",$A186&amp;"|"&amp;$K186)</f>
        <v/>
      </c>
    </row>
    <row r="187" customFormat="false" ht="15" hidden="false" customHeight="true" outlineLevel="0" collapsed="false">
      <c r="A187" s="12"/>
      <c r="B187" s="12"/>
      <c r="C187" s="15" t="str">
        <f aca="false">IF($B187="","",IFERROR(INDEX(품목마스터!$B$3:$B$102,MATCH($B187,품목마스터!$A$3:$A$102,0)),""))</f>
        <v/>
      </c>
      <c r="D187" s="15" t="str">
        <f aca="false">IF($B187="","",IFERROR(INDEX(품목마스터!$C$3:$C$102,MATCH($B187,품목마스터!$A$3:$A$102,0)),""))</f>
        <v/>
      </c>
      <c r="E187" s="13" t="str">
        <f aca="false">IF($B187="","",IFERROR(INDEX(품목마스터!$D$3:$D$102,MATCH($B187,품목마스터!$A$3:$A$102,0)),0))</f>
        <v/>
      </c>
      <c r="F187" s="10"/>
      <c r="G187" s="16" t="str">
        <f aca="false">IF(OR($E187="",$F187=""),"",ROUND($E187*$F187,0))</f>
        <v/>
      </c>
      <c r="H187" s="17"/>
      <c r="I187" s="16" t="str">
        <f aca="false">IF($G187="","",ROUND($G187*IF($H187="",0,$H187)/100,0))</f>
        <v/>
      </c>
      <c r="J187" s="10"/>
      <c r="K187" s="15" t="str">
        <f aca="false">IF($A187="","",COUNTIFS($A$3:$A187,$A187))</f>
        <v/>
      </c>
      <c r="L187" s="15" t="str">
        <f aca="false">IF($A187="","",$A187&amp;"|"&amp;$K187)</f>
        <v/>
      </c>
    </row>
    <row r="188" customFormat="false" ht="15" hidden="false" customHeight="true" outlineLevel="0" collapsed="false">
      <c r="A188" s="12"/>
      <c r="B188" s="12"/>
      <c r="C188" s="15" t="str">
        <f aca="false">IF($B188="","",IFERROR(INDEX(품목마스터!$B$3:$B$102,MATCH($B188,품목마스터!$A$3:$A$102,0)),""))</f>
        <v/>
      </c>
      <c r="D188" s="15" t="str">
        <f aca="false">IF($B188="","",IFERROR(INDEX(품목마스터!$C$3:$C$102,MATCH($B188,품목마스터!$A$3:$A$102,0)),""))</f>
        <v/>
      </c>
      <c r="E188" s="13" t="str">
        <f aca="false">IF($B188="","",IFERROR(INDEX(품목마스터!$D$3:$D$102,MATCH($B188,품목마스터!$A$3:$A$102,0)),0))</f>
        <v/>
      </c>
      <c r="F188" s="10"/>
      <c r="G188" s="16" t="str">
        <f aca="false">IF(OR($E188="",$F188=""),"",ROUND($E188*$F188,0))</f>
        <v/>
      </c>
      <c r="H188" s="17"/>
      <c r="I188" s="16" t="str">
        <f aca="false">IF($G188="","",ROUND($G188*IF($H188="",0,$H188)/100,0))</f>
        <v/>
      </c>
      <c r="J188" s="10"/>
      <c r="K188" s="15" t="str">
        <f aca="false">IF($A188="","",COUNTIFS($A$3:$A188,$A188))</f>
        <v/>
      </c>
      <c r="L188" s="15" t="str">
        <f aca="false">IF($A188="","",$A188&amp;"|"&amp;$K188)</f>
        <v/>
      </c>
    </row>
    <row r="189" customFormat="false" ht="15" hidden="false" customHeight="true" outlineLevel="0" collapsed="false">
      <c r="A189" s="12"/>
      <c r="B189" s="12"/>
      <c r="C189" s="15" t="str">
        <f aca="false">IF($B189="","",IFERROR(INDEX(품목마스터!$B$3:$B$102,MATCH($B189,품목마스터!$A$3:$A$102,0)),""))</f>
        <v/>
      </c>
      <c r="D189" s="15" t="str">
        <f aca="false">IF($B189="","",IFERROR(INDEX(품목마스터!$C$3:$C$102,MATCH($B189,품목마스터!$A$3:$A$102,0)),""))</f>
        <v/>
      </c>
      <c r="E189" s="13" t="str">
        <f aca="false">IF($B189="","",IFERROR(INDEX(품목마스터!$D$3:$D$102,MATCH($B189,품목마스터!$A$3:$A$102,0)),0))</f>
        <v/>
      </c>
      <c r="F189" s="10"/>
      <c r="G189" s="16" t="str">
        <f aca="false">IF(OR($E189="",$F189=""),"",ROUND($E189*$F189,0))</f>
        <v/>
      </c>
      <c r="H189" s="17"/>
      <c r="I189" s="16" t="str">
        <f aca="false">IF($G189="","",ROUND($G189*IF($H189="",0,$H189)/100,0))</f>
        <v/>
      </c>
      <c r="J189" s="10"/>
      <c r="K189" s="15" t="str">
        <f aca="false">IF($A189="","",COUNTIFS($A$3:$A189,$A189))</f>
        <v/>
      </c>
      <c r="L189" s="15" t="str">
        <f aca="false">IF($A189="","",$A189&amp;"|"&amp;$K189)</f>
        <v/>
      </c>
    </row>
    <row r="190" customFormat="false" ht="15" hidden="false" customHeight="true" outlineLevel="0" collapsed="false">
      <c r="A190" s="12"/>
      <c r="B190" s="12"/>
      <c r="C190" s="15" t="str">
        <f aca="false">IF($B190="","",IFERROR(INDEX(품목마스터!$B$3:$B$102,MATCH($B190,품목마스터!$A$3:$A$102,0)),""))</f>
        <v/>
      </c>
      <c r="D190" s="15" t="str">
        <f aca="false">IF($B190="","",IFERROR(INDEX(품목마스터!$C$3:$C$102,MATCH($B190,품목마스터!$A$3:$A$102,0)),""))</f>
        <v/>
      </c>
      <c r="E190" s="13" t="str">
        <f aca="false">IF($B190="","",IFERROR(INDEX(품목마스터!$D$3:$D$102,MATCH($B190,품목마스터!$A$3:$A$102,0)),0))</f>
        <v/>
      </c>
      <c r="F190" s="10"/>
      <c r="G190" s="16" t="str">
        <f aca="false">IF(OR($E190="",$F190=""),"",ROUND($E190*$F190,0))</f>
        <v/>
      </c>
      <c r="H190" s="17"/>
      <c r="I190" s="16" t="str">
        <f aca="false">IF($G190="","",ROUND($G190*IF($H190="",0,$H190)/100,0))</f>
        <v/>
      </c>
      <c r="J190" s="10"/>
      <c r="K190" s="15" t="str">
        <f aca="false">IF($A190="","",COUNTIFS($A$3:$A190,$A190))</f>
        <v/>
      </c>
      <c r="L190" s="15" t="str">
        <f aca="false">IF($A190="","",$A190&amp;"|"&amp;$K190)</f>
        <v/>
      </c>
    </row>
    <row r="191" customFormat="false" ht="15" hidden="false" customHeight="true" outlineLevel="0" collapsed="false">
      <c r="A191" s="12"/>
      <c r="B191" s="12"/>
      <c r="C191" s="15" t="str">
        <f aca="false">IF($B191="","",IFERROR(INDEX(품목마스터!$B$3:$B$102,MATCH($B191,품목마스터!$A$3:$A$102,0)),""))</f>
        <v/>
      </c>
      <c r="D191" s="15" t="str">
        <f aca="false">IF($B191="","",IFERROR(INDEX(품목마스터!$C$3:$C$102,MATCH($B191,품목마스터!$A$3:$A$102,0)),""))</f>
        <v/>
      </c>
      <c r="E191" s="13" t="str">
        <f aca="false">IF($B191="","",IFERROR(INDEX(품목마스터!$D$3:$D$102,MATCH($B191,품목마스터!$A$3:$A$102,0)),0))</f>
        <v/>
      </c>
      <c r="F191" s="10"/>
      <c r="G191" s="16" t="str">
        <f aca="false">IF(OR($E191="",$F191=""),"",ROUND($E191*$F191,0))</f>
        <v/>
      </c>
      <c r="H191" s="17"/>
      <c r="I191" s="16" t="str">
        <f aca="false">IF($G191="","",ROUND($G191*IF($H191="",0,$H191)/100,0))</f>
        <v/>
      </c>
      <c r="J191" s="10"/>
      <c r="K191" s="15" t="str">
        <f aca="false">IF($A191="","",COUNTIFS($A$3:$A191,$A191))</f>
        <v/>
      </c>
      <c r="L191" s="15" t="str">
        <f aca="false">IF($A191="","",$A191&amp;"|"&amp;$K191)</f>
        <v/>
      </c>
    </row>
    <row r="192" customFormat="false" ht="15" hidden="false" customHeight="true" outlineLevel="0" collapsed="false">
      <c r="A192" s="12"/>
      <c r="B192" s="12"/>
      <c r="C192" s="15" t="str">
        <f aca="false">IF($B192="","",IFERROR(INDEX(품목마스터!$B$3:$B$102,MATCH($B192,품목마스터!$A$3:$A$102,0)),""))</f>
        <v/>
      </c>
      <c r="D192" s="15" t="str">
        <f aca="false">IF($B192="","",IFERROR(INDEX(품목마스터!$C$3:$C$102,MATCH($B192,품목마스터!$A$3:$A$102,0)),""))</f>
        <v/>
      </c>
      <c r="E192" s="13" t="str">
        <f aca="false">IF($B192="","",IFERROR(INDEX(품목마스터!$D$3:$D$102,MATCH($B192,품목마스터!$A$3:$A$102,0)),0))</f>
        <v/>
      </c>
      <c r="F192" s="10"/>
      <c r="G192" s="16" t="str">
        <f aca="false">IF(OR($E192="",$F192=""),"",ROUND($E192*$F192,0))</f>
        <v/>
      </c>
      <c r="H192" s="17"/>
      <c r="I192" s="16" t="str">
        <f aca="false">IF($G192="","",ROUND($G192*IF($H192="",0,$H192)/100,0))</f>
        <v/>
      </c>
      <c r="J192" s="10"/>
      <c r="K192" s="15" t="str">
        <f aca="false">IF($A192="","",COUNTIFS($A$3:$A192,$A192))</f>
        <v/>
      </c>
      <c r="L192" s="15" t="str">
        <f aca="false">IF($A192="","",$A192&amp;"|"&amp;$K192)</f>
        <v/>
      </c>
    </row>
    <row r="193" customFormat="false" ht="15" hidden="false" customHeight="true" outlineLevel="0" collapsed="false">
      <c r="A193" s="12"/>
      <c r="B193" s="12"/>
      <c r="C193" s="15" t="str">
        <f aca="false">IF($B193="","",IFERROR(INDEX(품목마스터!$B$3:$B$102,MATCH($B193,품목마스터!$A$3:$A$102,0)),""))</f>
        <v/>
      </c>
      <c r="D193" s="15" t="str">
        <f aca="false">IF($B193="","",IFERROR(INDEX(품목마스터!$C$3:$C$102,MATCH($B193,품목마스터!$A$3:$A$102,0)),""))</f>
        <v/>
      </c>
      <c r="E193" s="13" t="str">
        <f aca="false">IF($B193="","",IFERROR(INDEX(품목마스터!$D$3:$D$102,MATCH($B193,품목마스터!$A$3:$A$102,0)),0))</f>
        <v/>
      </c>
      <c r="F193" s="10"/>
      <c r="G193" s="16" t="str">
        <f aca="false">IF(OR($E193="",$F193=""),"",ROUND($E193*$F193,0))</f>
        <v/>
      </c>
      <c r="H193" s="17"/>
      <c r="I193" s="16" t="str">
        <f aca="false">IF($G193="","",ROUND($G193*IF($H193="",0,$H193)/100,0))</f>
        <v/>
      </c>
      <c r="J193" s="10"/>
      <c r="K193" s="15" t="str">
        <f aca="false">IF($A193="","",COUNTIFS($A$3:$A193,$A193))</f>
        <v/>
      </c>
      <c r="L193" s="15" t="str">
        <f aca="false">IF($A193="","",$A193&amp;"|"&amp;$K193)</f>
        <v/>
      </c>
    </row>
    <row r="194" customFormat="false" ht="15" hidden="false" customHeight="true" outlineLevel="0" collapsed="false">
      <c r="A194" s="12"/>
      <c r="B194" s="12"/>
      <c r="C194" s="15" t="str">
        <f aca="false">IF($B194="","",IFERROR(INDEX(품목마스터!$B$3:$B$102,MATCH($B194,품목마스터!$A$3:$A$102,0)),""))</f>
        <v/>
      </c>
      <c r="D194" s="15" t="str">
        <f aca="false">IF($B194="","",IFERROR(INDEX(품목마스터!$C$3:$C$102,MATCH($B194,품목마스터!$A$3:$A$102,0)),""))</f>
        <v/>
      </c>
      <c r="E194" s="13" t="str">
        <f aca="false">IF($B194="","",IFERROR(INDEX(품목마스터!$D$3:$D$102,MATCH($B194,품목마스터!$A$3:$A$102,0)),0))</f>
        <v/>
      </c>
      <c r="F194" s="10"/>
      <c r="G194" s="16" t="str">
        <f aca="false">IF(OR($E194="",$F194=""),"",ROUND($E194*$F194,0))</f>
        <v/>
      </c>
      <c r="H194" s="17"/>
      <c r="I194" s="16" t="str">
        <f aca="false">IF($G194="","",ROUND($G194*IF($H194="",0,$H194)/100,0))</f>
        <v/>
      </c>
      <c r="J194" s="10"/>
      <c r="K194" s="15" t="str">
        <f aca="false">IF($A194="","",COUNTIFS($A$3:$A194,$A194))</f>
        <v/>
      </c>
      <c r="L194" s="15" t="str">
        <f aca="false">IF($A194="","",$A194&amp;"|"&amp;$K194)</f>
        <v/>
      </c>
    </row>
    <row r="195" customFormat="false" ht="15" hidden="false" customHeight="true" outlineLevel="0" collapsed="false">
      <c r="A195" s="12"/>
      <c r="B195" s="12"/>
      <c r="C195" s="15" t="str">
        <f aca="false">IF($B195="","",IFERROR(INDEX(품목마스터!$B$3:$B$102,MATCH($B195,품목마스터!$A$3:$A$102,0)),""))</f>
        <v/>
      </c>
      <c r="D195" s="15" t="str">
        <f aca="false">IF($B195="","",IFERROR(INDEX(품목마스터!$C$3:$C$102,MATCH($B195,품목마스터!$A$3:$A$102,0)),""))</f>
        <v/>
      </c>
      <c r="E195" s="13" t="str">
        <f aca="false">IF($B195="","",IFERROR(INDEX(품목마스터!$D$3:$D$102,MATCH($B195,품목마스터!$A$3:$A$102,0)),0))</f>
        <v/>
      </c>
      <c r="F195" s="10"/>
      <c r="G195" s="16" t="str">
        <f aca="false">IF(OR($E195="",$F195=""),"",ROUND($E195*$F195,0))</f>
        <v/>
      </c>
      <c r="H195" s="17"/>
      <c r="I195" s="16" t="str">
        <f aca="false">IF($G195="","",ROUND($G195*IF($H195="",0,$H195)/100,0))</f>
        <v/>
      </c>
      <c r="J195" s="10"/>
      <c r="K195" s="15" t="str">
        <f aca="false">IF($A195="","",COUNTIFS($A$3:$A195,$A195))</f>
        <v/>
      </c>
      <c r="L195" s="15" t="str">
        <f aca="false">IF($A195="","",$A195&amp;"|"&amp;$K195)</f>
        <v/>
      </c>
    </row>
    <row r="196" customFormat="false" ht="15" hidden="false" customHeight="true" outlineLevel="0" collapsed="false">
      <c r="A196" s="12"/>
      <c r="B196" s="12"/>
      <c r="C196" s="15" t="str">
        <f aca="false">IF($B196="","",IFERROR(INDEX(품목마스터!$B$3:$B$102,MATCH($B196,품목마스터!$A$3:$A$102,0)),""))</f>
        <v/>
      </c>
      <c r="D196" s="15" t="str">
        <f aca="false">IF($B196="","",IFERROR(INDEX(품목마스터!$C$3:$C$102,MATCH($B196,품목마스터!$A$3:$A$102,0)),""))</f>
        <v/>
      </c>
      <c r="E196" s="13" t="str">
        <f aca="false">IF($B196="","",IFERROR(INDEX(품목마스터!$D$3:$D$102,MATCH($B196,품목마스터!$A$3:$A$102,0)),0))</f>
        <v/>
      </c>
      <c r="F196" s="10"/>
      <c r="G196" s="16" t="str">
        <f aca="false">IF(OR($E196="",$F196=""),"",ROUND($E196*$F196,0))</f>
        <v/>
      </c>
      <c r="H196" s="17"/>
      <c r="I196" s="16" t="str">
        <f aca="false">IF($G196="","",ROUND($G196*IF($H196="",0,$H196)/100,0))</f>
        <v/>
      </c>
      <c r="J196" s="10"/>
      <c r="K196" s="15" t="str">
        <f aca="false">IF($A196="","",COUNTIFS($A$3:$A196,$A196))</f>
        <v/>
      </c>
      <c r="L196" s="15" t="str">
        <f aca="false">IF($A196="","",$A196&amp;"|"&amp;$K196)</f>
        <v/>
      </c>
    </row>
    <row r="197" customFormat="false" ht="15" hidden="false" customHeight="true" outlineLevel="0" collapsed="false">
      <c r="A197" s="12"/>
      <c r="B197" s="12"/>
      <c r="C197" s="15" t="str">
        <f aca="false">IF($B197="","",IFERROR(INDEX(품목마스터!$B$3:$B$102,MATCH($B197,품목마스터!$A$3:$A$102,0)),""))</f>
        <v/>
      </c>
      <c r="D197" s="15" t="str">
        <f aca="false">IF($B197="","",IFERROR(INDEX(품목마스터!$C$3:$C$102,MATCH($B197,품목마스터!$A$3:$A$102,0)),""))</f>
        <v/>
      </c>
      <c r="E197" s="13" t="str">
        <f aca="false">IF($B197="","",IFERROR(INDEX(품목마스터!$D$3:$D$102,MATCH($B197,품목마스터!$A$3:$A$102,0)),0))</f>
        <v/>
      </c>
      <c r="F197" s="10"/>
      <c r="G197" s="16" t="str">
        <f aca="false">IF(OR($E197="",$F197=""),"",ROUND($E197*$F197,0))</f>
        <v/>
      </c>
      <c r="H197" s="17"/>
      <c r="I197" s="16" t="str">
        <f aca="false">IF($G197="","",ROUND($G197*IF($H197="",0,$H197)/100,0))</f>
        <v/>
      </c>
      <c r="J197" s="10"/>
      <c r="K197" s="15" t="str">
        <f aca="false">IF($A197="","",COUNTIFS($A$3:$A197,$A197))</f>
        <v/>
      </c>
      <c r="L197" s="15" t="str">
        <f aca="false">IF($A197="","",$A197&amp;"|"&amp;$K197)</f>
        <v/>
      </c>
    </row>
    <row r="198" customFormat="false" ht="15" hidden="false" customHeight="true" outlineLevel="0" collapsed="false">
      <c r="A198" s="12"/>
      <c r="B198" s="12"/>
      <c r="C198" s="15" t="str">
        <f aca="false">IF($B198="","",IFERROR(INDEX(품목마스터!$B$3:$B$102,MATCH($B198,품목마스터!$A$3:$A$102,0)),""))</f>
        <v/>
      </c>
      <c r="D198" s="15" t="str">
        <f aca="false">IF($B198="","",IFERROR(INDEX(품목마스터!$C$3:$C$102,MATCH($B198,품목마스터!$A$3:$A$102,0)),""))</f>
        <v/>
      </c>
      <c r="E198" s="13" t="str">
        <f aca="false">IF($B198="","",IFERROR(INDEX(품목마스터!$D$3:$D$102,MATCH($B198,품목마스터!$A$3:$A$102,0)),0))</f>
        <v/>
      </c>
      <c r="F198" s="10"/>
      <c r="G198" s="16" t="str">
        <f aca="false">IF(OR($E198="",$F198=""),"",ROUND($E198*$F198,0))</f>
        <v/>
      </c>
      <c r="H198" s="17"/>
      <c r="I198" s="16" t="str">
        <f aca="false">IF($G198="","",ROUND($G198*IF($H198="",0,$H198)/100,0))</f>
        <v/>
      </c>
      <c r="J198" s="10"/>
      <c r="K198" s="15" t="str">
        <f aca="false">IF($A198="","",COUNTIFS($A$3:$A198,$A198))</f>
        <v/>
      </c>
      <c r="L198" s="15" t="str">
        <f aca="false">IF($A198="","",$A198&amp;"|"&amp;$K198)</f>
        <v/>
      </c>
    </row>
    <row r="199" customFormat="false" ht="15" hidden="false" customHeight="true" outlineLevel="0" collapsed="false">
      <c r="A199" s="12"/>
      <c r="B199" s="12"/>
      <c r="C199" s="15" t="str">
        <f aca="false">IF($B199="","",IFERROR(INDEX(품목마스터!$B$3:$B$102,MATCH($B199,품목마스터!$A$3:$A$102,0)),""))</f>
        <v/>
      </c>
      <c r="D199" s="15" t="str">
        <f aca="false">IF($B199="","",IFERROR(INDEX(품목마스터!$C$3:$C$102,MATCH($B199,품목마스터!$A$3:$A$102,0)),""))</f>
        <v/>
      </c>
      <c r="E199" s="13" t="str">
        <f aca="false">IF($B199="","",IFERROR(INDEX(품목마스터!$D$3:$D$102,MATCH($B199,품목마스터!$A$3:$A$102,0)),0))</f>
        <v/>
      </c>
      <c r="F199" s="10"/>
      <c r="G199" s="16" t="str">
        <f aca="false">IF(OR($E199="",$F199=""),"",ROUND($E199*$F199,0))</f>
        <v/>
      </c>
      <c r="H199" s="17"/>
      <c r="I199" s="16" t="str">
        <f aca="false">IF($G199="","",ROUND($G199*IF($H199="",0,$H199)/100,0))</f>
        <v/>
      </c>
      <c r="J199" s="10"/>
      <c r="K199" s="15" t="str">
        <f aca="false">IF($A199="","",COUNTIFS($A$3:$A199,$A199))</f>
        <v/>
      </c>
      <c r="L199" s="15" t="str">
        <f aca="false">IF($A199="","",$A199&amp;"|"&amp;$K199)</f>
        <v/>
      </c>
    </row>
    <row r="200" customFormat="false" ht="15" hidden="false" customHeight="true" outlineLevel="0" collapsed="false">
      <c r="A200" s="12"/>
      <c r="B200" s="12"/>
      <c r="C200" s="15" t="str">
        <f aca="false">IF($B200="","",IFERROR(INDEX(품목마스터!$B$3:$B$102,MATCH($B200,품목마스터!$A$3:$A$102,0)),""))</f>
        <v/>
      </c>
      <c r="D200" s="15" t="str">
        <f aca="false">IF($B200="","",IFERROR(INDEX(품목마스터!$C$3:$C$102,MATCH($B200,품목마스터!$A$3:$A$102,0)),""))</f>
        <v/>
      </c>
      <c r="E200" s="13" t="str">
        <f aca="false">IF($B200="","",IFERROR(INDEX(품목마스터!$D$3:$D$102,MATCH($B200,품목마스터!$A$3:$A$102,0)),0))</f>
        <v/>
      </c>
      <c r="F200" s="10"/>
      <c r="G200" s="16" t="str">
        <f aca="false">IF(OR($E200="",$F200=""),"",ROUND($E200*$F200,0))</f>
        <v/>
      </c>
      <c r="H200" s="17"/>
      <c r="I200" s="16" t="str">
        <f aca="false">IF($G200="","",ROUND($G200*IF($H200="",0,$H200)/100,0))</f>
        <v/>
      </c>
      <c r="J200" s="10"/>
      <c r="K200" s="15" t="str">
        <f aca="false">IF($A200="","",COUNTIFS($A$3:$A200,$A200))</f>
        <v/>
      </c>
      <c r="L200" s="15" t="str">
        <f aca="false">IF($A200="","",$A200&amp;"|"&amp;$K200)</f>
        <v/>
      </c>
    </row>
    <row r="201" customFormat="false" ht="15" hidden="false" customHeight="true" outlineLevel="0" collapsed="false">
      <c r="A201" s="12"/>
      <c r="B201" s="12"/>
      <c r="C201" s="15" t="str">
        <f aca="false">IF($B201="","",IFERROR(INDEX(품목마스터!$B$3:$B$102,MATCH($B201,품목마스터!$A$3:$A$102,0)),""))</f>
        <v/>
      </c>
      <c r="D201" s="15" t="str">
        <f aca="false">IF($B201="","",IFERROR(INDEX(품목마스터!$C$3:$C$102,MATCH($B201,품목마스터!$A$3:$A$102,0)),""))</f>
        <v/>
      </c>
      <c r="E201" s="13" t="str">
        <f aca="false">IF($B201="","",IFERROR(INDEX(품목마스터!$D$3:$D$102,MATCH($B201,품목마스터!$A$3:$A$102,0)),0))</f>
        <v/>
      </c>
      <c r="F201" s="10"/>
      <c r="G201" s="16" t="str">
        <f aca="false">IF(OR($E201="",$F201=""),"",ROUND($E201*$F201,0))</f>
        <v/>
      </c>
      <c r="H201" s="17"/>
      <c r="I201" s="16" t="str">
        <f aca="false">IF($G201="","",ROUND($G201*IF($H201="",0,$H201)/100,0))</f>
        <v/>
      </c>
      <c r="J201" s="10"/>
      <c r="K201" s="15" t="str">
        <f aca="false">IF($A201="","",COUNTIFS($A$3:$A201,$A201))</f>
        <v/>
      </c>
      <c r="L201" s="15" t="str">
        <f aca="false">IF($A201="","",$A201&amp;"|"&amp;$K201)</f>
        <v/>
      </c>
    </row>
    <row r="202" customFormat="false" ht="15" hidden="false" customHeight="true" outlineLevel="0" collapsed="false">
      <c r="A202" s="12"/>
      <c r="B202" s="12"/>
      <c r="C202" s="15" t="str">
        <f aca="false">IF($B202="","",IFERROR(INDEX(품목마스터!$B$3:$B$102,MATCH($B202,품목마스터!$A$3:$A$102,0)),""))</f>
        <v/>
      </c>
      <c r="D202" s="15" t="str">
        <f aca="false">IF($B202="","",IFERROR(INDEX(품목마스터!$C$3:$C$102,MATCH($B202,품목마스터!$A$3:$A$102,0)),""))</f>
        <v/>
      </c>
      <c r="E202" s="13" t="str">
        <f aca="false">IF($B202="","",IFERROR(INDEX(품목마스터!$D$3:$D$102,MATCH($B202,품목마스터!$A$3:$A$102,0)),0))</f>
        <v/>
      </c>
      <c r="F202" s="10"/>
      <c r="G202" s="16" t="str">
        <f aca="false">IF(OR($E202="",$F202=""),"",ROUND($E202*$F202,0))</f>
        <v/>
      </c>
      <c r="H202" s="17"/>
      <c r="I202" s="16" t="str">
        <f aca="false">IF($G202="","",ROUND($G202*IF($H202="",0,$H202)/100,0))</f>
        <v/>
      </c>
      <c r="J202" s="10"/>
      <c r="K202" s="15" t="str">
        <f aca="false">IF($A202="","",COUNTIFS($A$3:$A202,$A202))</f>
        <v/>
      </c>
      <c r="L202" s="15" t="str">
        <f aca="false">IF($A202="","",$A202&amp;"|"&amp;$K202)</f>
        <v/>
      </c>
    </row>
    <row r="203" customFormat="false" ht="15" hidden="false" customHeight="true" outlineLevel="0" collapsed="false">
      <c r="A203" s="12"/>
      <c r="B203" s="12"/>
      <c r="C203" s="15" t="str">
        <f aca="false">IF($B203="","",IFERROR(INDEX(품목마스터!$B$3:$B$102,MATCH($B203,품목마스터!$A$3:$A$102,0)),""))</f>
        <v/>
      </c>
      <c r="D203" s="15" t="str">
        <f aca="false">IF($B203="","",IFERROR(INDEX(품목마스터!$C$3:$C$102,MATCH($B203,품목마스터!$A$3:$A$102,0)),""))</f>
        <v/>
      </c>
      <c r="E203" s="13" t="str">
        <f aca="false">IF($B203="","",IFERROR(INDEX(품목마스터!$D$3:$D$102,MATCH($B203,품목마스터!$A$3:$A$102,0)),0))</f>
        <v/>
      </c>
      <c r="F203" s="10"/>
      <c r="G203" s="16" t="str">
        <f aca="false">IF(OR($E203="",$F203=""),"",ROUND($E203*$F203,0))</f>
        <v/>
      </c>
      <c r="H203" s="17"/>
      <c r="I203" s="16" t="str">
        <f aca="false">IF($G203="","",ROUND($G203*IF($H203="",0,$H203)/100,0))</f>
        <v/>
      </c>
      <c r="J203" s="10"/>
      <c r="K203" s="15" t="str">
        <f aca="false">IF($A203="","",COUNTIFS($A$3:$A203,$A203))</f>
        <v/>
      </c>
      <c r="L203" s="15" t="str">
        <f aca="false">IF($A203="","",$A203&amp;"|"&amp;$K203)</f>
        <v/>
      </c>
    </row>
    <row r="204" customFormat="false" ht="15" hidden="false" customHeight="true" outlineLevel="0" collapsed="false">
      <c r="A204" s="12"/>
      <c r="B204" s="12"/>
      <c r="C204" s="15" t="str">
        <f aca="false">IF($B204="","",IFERROR(INDEX(품목마스터!$B$3:$B$102,MATCH($B204,품목마스터!$A$3:$A$102,0)),""))</f>
        <v/>
      </c>
      <c r="D204" s="15" t="str">
        <f aca="false">IF($B204="","",IFERROR(INDEX(품목마스터!$C$3:$C$102,MATCH($B204,품목마스터!$A$3:$A$102,0)),""))</f>
        <v/>
      </c>
      <c r="E204" s="13" t="str">
        <f aca="false">IF($B204="","",IFERROR(INDEX(품목마스터!$D$3:$D$102,MATCH($B204,품목마스터!$A$3:$A$102,0)),0))</f>
        <v/>
      </c>
      <c r="F204" s="10"/>
      <c r="G204" s="16" t="str">
        <f aca="false">IF(OR($E204="",$F204=""),"",ROUND($E204*$F204,0))</f>
        <v/>
      </c>
      <c r="H204" s="17"/>
      <c r="I204" s="16" t="str">
        <f aca="false">IF($G204="","",ROUND($G204*IF($H204="",0,$H204)/100,0))</f>
        <v/>
      </c>
      <c r="J204" s="10"/>
      <c r="K204" s="15" t="str">
        <f aca="false">IF($A204="","",COUNTIFS($A$3:$A204,$A204))</f>
        <v/>
      </c>
      <c r="L204" s="15" t="str">
        <f aca="false">IF($A204="","",$A204&amp;"|"&amp;$K204)</f>
        <v/>
      </c>
    </row>
    <row r="205" customFormat="false" ht="15" hidden="false" customHeight="true" outlineLevel="0" collapsed="false">
      <c r="A205" s="12"/>
      <c r="B205" s="12"/>
      <c r="C205" s="15" t="str">
        <f aca="false">IF($B205="","",IFERROR(INDEX(품목마스터!$B$3:$B$102,MATCH($B205,품목마스터!$A$3:$A$102,0)),""))</f>
        <v/>
      </c>
      <c r="D205" s="15" t="str">
        <f aca="false">IF($B205="","",IFERROR(INDEX(품목마스터!$C$3:$C$102,MATCH($B205,품목마스터!$A$3:$A$102,0)),""))</f>
        <v/>
      </c>
      <c r="E205" s="13" t="str">
        <f aca="false">IF($B205="","",IFERROR(INDEX(품목마스터!$D$3:$D$102,MATCH($B205,품목마스터!$A$3:$A$102,0)),0))</f>
        <v/>
      </c>
      <c r="F205" s="10"/>
      <c r="G205" s="16" t="str">
        <f aca="false">IF(OR($E205="",$F205=""),"",ROUND($E205*$F205,0))</f>
        <v/>
      </c>
      <c r="H205" s="17"/>
      <c r="I205" s="16" t="str">
        <f aca="false">IF($G205="","",ROUND($G205*IF($H205="",0,$H205)/100,0))</f>
        <v/>
      </c>
      <c r="J205" s="10"/>
      <c r="K205" s="15" t="str">
        <f aca="false">IF($A205="","",COUNTIFS($A$3:$A205,$A205))</f>
        <v/>
      </c>
      <c r="L205" s="15" t="str">
        <f aca="false">IF($A205="","",$A205&amp;"|"&amp;$K205)</f>
        <v/>
      </c>
    </row>
    <row r="206" customFormat="false" ht="15" hidden="false" customHeight="true" outlineLevel="0" collapsed="false">
      <c r="A206" s="12"/>
      <c r="B206" s="12"/>
      <c r="C206" s="15" t="str">
        <f aca="false">IF($B206="","",IFERROR(INDEX(품목마스터!$B$3:$B$102,MATCH($B206,품목마스터!$A$3:$A$102,0)),""))</f>
        <v/>
      </c>
      <c r="D206" s="15" t="str">
        <f aca="false">IF($B206="","",IFERROR(INDEX(품목마스터!$C$3:$C$102,MATCH($B206,품목마스터!$A$3:$A$102,0)),""))</f>
        <v/>
      </c>
      <c r="E206" s="13" t="str">
        <f aca="false">IF($B206="","",IFERROR(INDEX(품목마스터!$D$3:$D$102,MATCH($B206,품목마스터!$A$3:$A$102,0)),0))</f>
        <v/>
      </c>
      <c r="F206" s="10"/>
      <c r="G206" s="16" t="str">
        <f aca="false">IF(OR($E206="",$F206=""),"",ROUND($E206*$F206,0))</f>
        <v/>
      </c>
      <c r="H206" s="17"/>
      <c r="I206" s="16" t="str">
        <f aca="false">IF($G206="","",ROUND($G206*IF($H206="",0,$H206)/100,0))</f>
        <v/>
      </c>
      <c r="J206" s="10"/>
      <c r="K206" s="15" t="str">
        <f aca="false">IF($A206="","",COUNTIFS($A$3:$A206,$A206))</f>
        <v/>
      </c>
      <c r="L206" s="15" t="str">
        <f aca="false">IF($A206="","",$A206&amp;"|"&amp;$K206)</f>
        <v/>
      </c>
    </row>
    <row r="207" customFormat="false" ht="15" hidden="false" customHeight="true" outlineLevel="0" collapsed="false">
      <c r="A207" s="12"/>
      <c r="B207" s="12"/>
      <c r="C207" s="15" t="str">
        <f aca="false">IF($B207="","",IFERROR(INDEX(품목마스터!$B$3:$B$102,MATCH($B207,품목마스터!$A$3:$A$102,0)),""))</f>
        <v/>
      </c>
      <c r="D207" s="15" t="str">
        <f aca="false">IF($B207="","",IFERROR(INDEX(품목마스터!$C$3:$C$102,MATCH($B207,품목마스터!$A$3:$A$102,0)),""))</f>
        <v/>
      </c>
      <c r="E207" s="13" t="str">
        <f aca="false">IF($B207="","",IFERROR(INDEX(품목마스터!$D$3:$D$102,MATCH($B207,품목마스터!$A$3:$A$102,0)),0))</f>
        <v/>
      </c>
      <c r="F207" s="10"/>
      <c r="G207" s="16" t="str">
        <f aca="false">IF(OR($E207="",$F207=""),"",ROUND($E207*$F207,0))</f>
        <v/>
      </c>
      <c r="H207" s="17"/>
      <c r="I207" s="16" t="str">
        <f aca="false">IF($G207="","",ROUND($G207*IF($H207="",0,$H207)/100,0))</f>
        <v/>
      </c>
      <c r="J207" s="10"/>
      <c r="K207" s="15" t="str">
        <f aca="false">IF($A207="","",COUNTIFS($A$3:$A207,$A207))</f>
        <v/>
      </c>
      <c r="L207" s="15" t="str">
        <f aca="false">IF($A207="","",$A207&amp;"|"&amp;$K207)</f>
        <v/>
      </c>
    </row>
    <row r="208" customFormat="false" ht="15" hidden="false" customHeight="true" outlineLevel="0" collapsed="false">
      <c r="A208" s="12"/>
      <c r="B208" s="12"/>
      <c r="C208" s="15" t="str">
        <f aca="false">IF($B208="","",IFERROR(INDEX(품목마스터!$B$3:$B$102,MATCH($B208,품목마스터!$A$3:$A$102,0)),""))</f>
        <v/>
      </c>
      <c r="D208" s="15" t="str">
        <f aca="false">IF($B208="","",IFERROR(INDEX(품목마스터!$C$3:$C$102,MATCH($B208,품목마스터!$A$3:$A$102,0)),""))</f>
        <v/>
      </c>
      <c r="E208" s="13" t="str">
        <f aca="false">IF($B208="","",IFERROR(INDEX(품목마스터!$D$3:$D$102,MATCH($B208,품목마스터!$A$3:$A$102,0)),0))</f>
        <v/>
      </c>
      <c r="F208" s="10"/>
      <c r="G208" s="16" t="str">
        <f aca="false">IF(OR($E208="",$F208=""),"",ROUND($E208*$F208,0))</f>
        <v/>
      </c>
      <c r="H208" s="17"/>
      <c r="I208" s="16" t="str">
        <f aca="false">IF($G208="","",ROUND($G208*IF($H208="",0,$H208)/100,0))</f>
        <v/>
      </c>
      <c r="J208" s="10"/>
      <c r="K208" s="15" t="str">
        <f aca="false">IF($A208="","",COUNTIFS($A$3:$A208,$A208))</f>
        <v/>
      </c>
      <c r="L208" s="15" t="str">
        <f aca="false">IF($A208="","",$A208&amp;"|"&amp;$K208)</f>
        <v/>
      </c>
    </row>
    <row r="209" customFormat="false" ht="15" hidden="false" customHeight="true" outlineLevel="0" collapsed="false">
      <c r="A209" s="12"/>
      <c r="B209" s="12"/>
      <c r="C209" s="15" t="str">
        <f aca="false">IF($B209="","",IFERROR(INDEX(품목마스터!$B$3:$B$102,MATCH($B209,품목마스터!$A$3:$A$102,0)),""))</f>
        <v/>
      </c>
      <c r="D209" s="15" t="str">
        <f aca="false">IF($B209="","",IFERROR(INDEX(품목마스터!$C$3:$C$102,MATCH($B209,품목마스터!$A$3:$A$102,0)),""))</f>
        <v/>
      </c>
      <c r="E209" s="13" t="str">
        <f aca="false">IF($B209="","",IFERROR(INDEX(품목마스터!$D$3:$D$102,MATCH($B209,품목마스터!$A$3:$A$102,0)),0))</f>
        <v/>
      </c>
      <c r="F209" s="10"/>
      <c r="G209" s="16" t="str">
        <f aca="false">IF(OR($E209="",$F209=""),"",ROUND($E209*$F209,0))</f>
        <v/>
      </c>
      <c r="H209" s="17"/>
      <c r="I209" s="16" t="str">
        <f aca="false">IF($G209="","",ROUND($G209*IF($H209="",0,$H209)/100,0))</f>
        <v/>
      </c>
      <c r="J209" s="10"/>
      <c r="K209" s="15" t="str">
        <f aca="false">IF($A209="","",COUNTIFS($A$3:$A209,$A209))</f>
        <v/>
      </c>
      <c r="L209" s="15" t="str">
        <f aca="false">IF($A209="","",$A209&amp;"|"&amp;$K209)</f>
        <v/>
      </c>
    </row>
    <row r="210" customFormat="false" ht="15" hidden="false" customHeight="true" outlineLevel="0" collapsed="false">
      <c r="A210" s="12"/>
      <c r="B210" s="12"/>
      <c r="C210" s="15" t="str">
        <f aca="false">IF($B210="","",IFERROR(INDEX(품목마스터!$B$3:$B$102,MATCH($B210,품목마스터!$A$3:$A$102,0)),""))</f>
        <v/>
      </c>
      <c r="D210" s="15" t="str">
        <f aca="false">IF($B210="","",IFERROR(INDEX(품목마스터!$C$3:$C$102,MATCH($B210,품목마스터!$A$3:$A$102,0)),""))</f>
        <v/>
      </c>
      <c r="E210" s="13" t="str">
        <f aca="false">IF($B210="","",IFERROR(INDEX(품목마스터!$D$3:$D$102,MATCH($B210,품목마스터!$A$3:$A$102,0)),0))</f>
        <v/>
      </c>
      <c r="F210" s="10"/>
      <c r="G210" s="16" t="str">
        <f aca="false">IF(OR($E210="",$F210=""),"",ROUND($E210*$F210,0))</f>
        <v/>
      </c>
      <c r="H210" s="17"/>
      <c r="I210" s="16" t="str">
        <f aca="false">IF($G210="","",ROUND($G210*IF($H210="",0,$H210)/100,0))</f>
        <v/>
      </c>
      <c r="J210" s="10"/>
      <c r="K210" s="15" t="str">
        <f aca="false">IF($A210="","",COUNTIFS($A$3:$A210,$A210))</f>
        <v/>
      </c>
      <c r="L210" s="15" t="str">
        <f aca="false">IF($A210="","",$A210&amp;"|"&amp;$K210)</f>
        <v/>
      </c>
    </row>
    <row r="211" customFormat="false" ht="15" hidden="false" customHeight="true" outlineLevel="0" collapsed="false">
      <c r="A211" s="12"/>
      <c r="B211" s="12"/>
      <c r="C211" s="15" t="str">
        <f aca="false">IF($B211="","",IFERROR(INDEX(품목마스터!$B$3:$B$102,MATCH($B211,품목마스터!$A$3:$A$102,0)),""))</f>
        <v/>
      </c>
      <c r="D211" s="15" t="str">
        <f aca="false">IF($B211="","",IFERROR(INDEX(품목마스터!$C$3:$C$102,MATCH($B211,품목마스터!$A$3:$A$102,0)),""))</f>
        <v/>
      </c>
      <c r="E211" s="13" t="str">
        <f aca="false">IF($B211="","",IFERROR(INDEX(품목마스터!$D$3:$D$102,MATCH($B211,품목마스터!$A$3:$A$102,0)),0))</f>
        <v/>
      </c>
      <c r="F211" s="10"/>
      <c r="G211" s="16" t="str">
        <f aca="false">IF(OR($E211="",$F211=""),"",ROUND($E211*$F211,0))</f>
        <v/>
      </c>
      <c r="H211" s="17"/>
      <c r="I211" s="16" t="str">
        <f aca="false">IF($G211="","",ROUND($G211*IF($H211="",0,$H211)/100,0))</f>
        <v/>
      </c>
      <c r="J211" s="10"/>
      <c r="K211" s="15" t="str">
        <f aca="false">IF($A211="","",COUNTIFS($A$3:$A211,$A211))</f>
        <v/>
      </c>
      <c r="L211" s="15" t="str">
        <f aca="false">IF($A211="","",$A211&amp;"|"&amp;$K211)</f>
        <v/>
      </c>
    </row>
    <row r="212" customFormat="false" ht="15" hidden="false" customHeight="true" outlineLevel="0" collapsed="false">
      <c r="A212" s="12"/>
      <c r="B212" s="12"/>
      <c r="C212" s="15" t="str">
        <f aca="false">IF($B212="","",IFERROR(INDEX(품목마스터!$B$3:$B$102,MATCH($B212,품목마스터!$A$3:$A$102,0)),""))</f>
        <v/>
      </c>
      <c r="D212" s="15" t="str">
        <f aca="false">IF($B212="","",IFERROR(INDEX(품목마스터!$C$3:$C$102,MATCH($B212,품목마스터!$A$3:$A$102,0)),""))</f>
        <v/>
      </c>
      <c r="E212" s="13" t="str">
        <f aca="false">IF($B212="","",IFERROR(INDEX(품목마스터!$D$3:$D$102,MATCH($B212,품목마스터!$A$3:$A$102,0)),0))</f>
        <v/>
      </c>
      <c r="F212" s="10"/>
      <c r="G212" s="16" t="str">
        <f aca="false">IF(OR($E212="",$F212=""),"",ROUND($E212*$F212,0))</f>
        <v/>
      </c>
      <c r="H212" s="17"/>
      <c r="I212" s="16" t="str">
        <f aca="false">IF($G212="","",ROUND($G212*IF($H212="",0,$H212)/100,0))</f>
        <v/>
      </c>
      <c r="J212" s="10"/>
      <c r="K212" s="15" t="str">
        <f aca="false">IF($A212="","",COUNTIFS($A$3:$A212,$A212))</f>
        <v/>
      </c>
      <c r="L212" s="15" t="str">
        <f aca="false">IF($A212="","",$A212&amp;"|"&amp;$K212)</f>
        <v/>
      </c>
    </row>
    <row r="213" customFormat="false" ht="15" hidden="false" customHeight="true" outlineLevel="0" collapsed="false">
      <c r="A213" s="12"/>
      <c r="B213" s="12"/>
      <c r="C213" s="15" t="str">
        <f aca="false">IF($B213="","",IFERROR(INDEX(품목마스터!$B$3:$B$102,MATCH($B213,품목마스터!$A$3:$A$102,0)),""))</f>
        <v/>
      </c>
      <c r="D213" s="15" t="str">
        <f aca="false">IF($B213="","",IFERROR(INDEX(품목마스터!$C$3:$C$102,MATCH($B213,품목마스터!$A$3:$A$102,0)),""))</f>
        <v/>
      </c>
      <c r="E213" s="13" t="str">
        <f aca="false">IF($B213="","",IFERROR(INDEX(품목마스터!$D$3:$D$102,MATCH($B213,품목마스터!$A$3:$A$102,0)),0))</f>
        <v/>
      </c>
      <c r="F213" s="10"/>
      <c r="G213" s="16" t="str">
        <f aca="false">IF(OR($E213="",$F213=""),"",ROUND($E213*$F213,0))</f>
        <v/>
      </c>
      <c r="H213" s="17"/>
      <c r="I213" s="16" t="str">
        <f aca="false">IF($G213="","",ROUND($G213*IF($H213="",0,$H213)/100,0))</f>
        <v/>
      </c>
      <c r="J213" s="10"/>
      <c r="K213" s="15" t="str">
        <f aca="false">IF($A213="","",COUNTIFS($A$3:$A213,$A213))</f>
        <v/>
      </c>
      <c r="L213" s="15" t="str">
        <f aca="false">IF($A213="","",$A213&amp;"|"&amp;$K213)</f>
        <v/>
      </c>
    </row>
    <row r="214" customFormat="false" ht="15" hidden="false" customHeight="true" outlineLevel="0" collapsed="false">
      <c r="A214" s="12"/>
      <c r="B214" s="12"/>
      <c r="C214" s="15" t="str">
        <f aca="false">IF($B214="","",IFERROR(INDEX(품목마스터!$B$3:$B$102,MATCH($B214,품목마스터!$A$3:$A$102,0)),""))</f>
        <v/>
      </c>
      <c r="D214" s="15" t="str">
        <f aca="false">IF($B214="","",IFERROR(INDEX(품목마스터!$C$3:$C$102,MATCH($B214,품목마스터!$A$3:$A$102,0)),""))</f>
        <v/>
      </c>
      <c r="E214" s="13" t="str">
        <f aca="false">IF($B214="","",IFERROR(INDEX(품목마스터!$D$3:$D$102,MATCH($B214,품목마스터!$A$3:$A$102,0)),0))</f>
        <v/>
      </c>
      <c r="F214" s="10"/>
      <c r="G214" s="16" t="str">
        <f aca="false">IF(OR($E214="",$F214=""),"",ROUND($E214*$F214,0))</f>
        <v/>
      </c>
      <c r="H214" s="17"/>
      <c r="I214" s="16" t="str">
        <f aca="false">IF($G214="","",ROUND($G214*IF($H214="",0,$H214)/100,0))</f>
        <v/>
      </c>
      <c r="J214" s="10"/>
      <c r="K214" s="15" t="str">
        <f aca="false">IF($A214="","",COUNTIFS($A$3:$A214,$A214))</f>
        <v/>
      </c>
      <c r="L214" s="15" t="str">
        <f aca="false">IF($A214="","",$A214&amp;"|"&amp;$K214)</f>
        <v/>
      </c>
    </row>
    <row r="215" customFormat="false" ht="15" hidden="false" customHeight="true" outlineLevel="0" collapsed="false">
      <c r="A215" s="12"/>
      <c r="B215" s="12"/>
      <c r="C215" s="15" t="str">
        <f aca="false">IF($B215="","",IFERROR(INDEX(품목마스터!$B$3:$B$102,MATCH($B215,품목마스터!$A$3:$A$102,0)),""))</f>
        <v/>
      </c>
      <c r="D215" s="15" t="str">
        <f aca="false">IF($B215="","",IFERROR(INDEX(품목마스터!$C$3:$C$102,MATCH($B215,품목마스터!$A$3:$A$102,0)),""))</f>
        <v/>
      </c>
      <c r="E215" s="13" t="str">
        <f aca="false">IF($B215="","",IFERROR(INDEX(품목마스터!$D$3:$D$102,MATCH($B215,품목마스터!$A$3:$A$102,0)),0))</f>
        <v/>
      </c>
      <c r="F215" s="10"/>
      <c r="G215" s="16" t="str">
        <f aca="false">IF(OR($E215="",$F215=""),"",ROUND($E215*$F215,0))</f>
        <v/>
      </c>
      <c r="H215" s="17"/>
      <c r="I215" s="16" t="str">
        <f aca="false">IF($G215="","",ROUND($G215*IF($H215="",0,$H215)/100,0))</f>
        <v/>
      </c>
      <c r="J215" s="10"/>
      <c r="K215" s="15" t="str">
        <f aca="false">IF($A215="","",COUNTIFS($A$3:$A215,$A215))</f>
        <v/>
      </c>
      <c r="L215" s="15" t="str">
        <f aca="false">IF($A215="","",$A215&amp;"|"&amp;$K215)</f>
        <v/>
      </c>
    </row>
    <row r="216" customFormat="false" ht="15" hidden="false" customHeight="true" outlineLevel="0" collapsed="false">
      <c r="A216" s="12"/>
      <c r="B216" s="12"/>
      <c r="C216" s="15" t="str">
        <f aca="false">IF($B216="","",IFERROR(INDEX(품목마스터!$B$3:$B$102,MATCH($B216,품목마스터!$A$3:$A$102,0)),""))</f>
        <v/>
      </c>
      <c r="D216" s="15" t="str">
        <f aca="false">IF($B216="","",IFERROR(INDEX(품목마스터!$C$3:$C$102,MATCH($B216,품목마스터!$A$3:$A$102,0)),""))</f>
        <v/>
      </c>
      <c r="E216" s="13" t="str">
        <f aca="false">IF($B216="","",IFERROR(INDEX(품목마스터!$D$3:$D$102,MATCH($B216,품목마스터!$A$3:$A$102,0)),0))</f>
        <v/>
      </c>
      <c r="F216" s="10"/>
      <c r="G216" s="16" t="str">
        <f aca="false">IF(OR($E216="",$F216=""),"",ROUND($E216*$F216,0))</f>
        <v/>
      </c>
      <c r="H216" s="17"/>
      <c r="I216" s="16" t="str">
        <f aca="false">IF($G216="","",ROUND($G216*IF($H216="",0,$H216)/100,0))</f>
        <v/>
      </c>
      <c r="J216" s="10"/>
      <c r="K216" s="15" t="str">
        <f aca="false">IF($A216="","",COUNTIFS($A$3:$A216,$A216))</f>
        <v/>
      </c>
      <c r="L216" s="15" t="str">
        <f aca="false">IF($A216="","",$A216&amp;"|"&amp;$K216)</f>
        <v/>
      </c>
    </row>
    <row r="217" customFormat="false" ht="15" hidden="false" customHeight="true" outlineLevel="0" collapsed="false">
      <c r="A217" s="12"/>
      <c r="B217" s="12"/>
      <c r="C217" s="15" t="str">
        <f aca="false">IF($B217="","",IFERROR(INDEX(품목마스터!$B$3:$B$102,MATCH($B217,품목마스터!$A$3:$A$102,0)),""))</f>
        <v/>
      </c>
      <c r="D217" s="15" t="str">
        <f aca="false">IF($B217="","",IFERROR(INDEX(품목마스터!$C$3:$C$102,MATCH($B217,품목마스터!$A$3:$A$102,0)),""))</f>
        <v/>
      </c>
      <c r="E217" s="13" t="str">
        <f aca="false">IF($B217="","",IFERROR(INDEX(품목마스터!$D$3:$D$102,MATCH($B217,품목마스터!$A$3:$A$102,0)),0))</f>
        <v/>
      </c>
      <c r="F217" s="10"/>
      <c r="G217" s="16" t="str">
        <f aca="false">IF(OR($E217="",$F217=""),"",ROUND($E217*$F217,0))</f>
        <v/>
      </c>
      <c r="H217" s="17"/>
      <c r="I217" s="16" t="str">
        <f aca="false">IF($G217="","",ROUND($G217*IF($H217="",0,$H217)/100,0))</f>
        <v/>
      </c>
      <c r="J217" s="10"/>
      <c r="K217" s="15" t="str">
        <f aca="false">IF($A217="","",COUNTIFS($A$3:$A217,$A217))</f>
        <v/>
      </c>
      <c r="L217" s="15" t="str">
        <f aca="false">IF($A217="","",$A217&amp;"|"&amp;$K217)</f>
        <v/>
      </c>
    </row>
    <row r="218" customFormat="false" ht="15" hidden="false" customHeight="true" outlineLevel="0" collapsed="false">
      <c r="A218" s="12"/>
      <c r="B218" s="12"/>
      <c r="C218" s="15" t="str">
        <f aca="false">IF($B218="","",IFERROR(INDEX(품목마스터!$B$3:$B$102,MATCH($B218,품목마스터!$A$3:$A$102,0)),""))</f>
        <v/>
      </c>
      <c r="D218" s="15" t="str">
        <f aca="false">IF($B218="","",IFERROR(INDEX(품목마스터!$C$3:$C$102,MATCH($B218,품목마스터!$A$3:$A$102,0)),""))</f>
        <v/>
      </c>
      <c r="E218" s="13" t="str">
        <f aca="false">IF($B218="","",IFERROR(INDEX(품목마스터!$D$3:$D$102,MATCH($B218,품목마스터!$A$3:$A$102,0)),0))</f>
        <v/>
      </c>
      <c r="F218" s="10"/>
      <c r="G218" s="16" t="str">
        <f aca="false">IF(OR($E218="",$F218=""),"",ROUND($E218*$F218,0))</f>
        <v/>
      </c>
      <c r="H218" s="17"/>
      <c r="I218" s="16" t="str">
        <f aca="false">IF($G218="","",ROUND($G218*IF($H218="",0,$H218)/100,0))</f>
        <v/>
      </c>
      <c r="J218" s="10"/>
      <c r="K218" s="15" t="str">
        <f aca="false">IF($A218="","",COUNTIFS($A$3:$A218,$A218))</f>
        <v/>
      </c>
      <c r="L218" s="15" t="str">
        <f aca="false">IF($A218="","",$A218&amp;"|"&amp;$K218)</f>
        <v/>
      </c>
    </row>
    <row r="219" customFormat="false" ht="15" hidden="false" customHeight="true" outlineLevel="0" collapsed="false">
      <c r="A219" s="12"/>
      <c r="B219" s="12"/>
      <c r="C219" s="15" t="str">
        <f aca="false">IF($B219="","",IFERROR(INDEX(품목마스터!$B$3:$B$102,MATCH($B219,품목마스터!$A$3:$A$102,0)),""))</f>
        <v/>
      </c>
      <c r="D219" s="15" t="str">
        <f aca="false">IF($B219="","",IFERROR(INDEX(품목마스터!$C$3:$C$102,MATCH($B219,품목마스터!$A$3:$A$102,0)),""))</f>
        <v/>
      </c>
      <c r="E219" s="13" t="str">
        <f aca="false">IF($B219="","",IFERROR(INDEX(품목마스터!$D$3:$D$102,MATCH($B219,품목마스터!$A$3:$A$102,0)),0))</f>
        <v/>
      </c>
      <c r="F219" s="10"/>
      <c r="G219" s="16" t="str">
        <f aca="false">IF(OR($E219="",$F219=""),"",ROUND($E219*$F219,0))</f>
        <v/>
      </c>
      <c r="H219" s="17"/>
      <c r="I219" s="16" t="str">
        <f aca="false">IF($G219="","",ROUND($G219*IF($H219="",0,$H219)/100,0))</f>
        <v/>
      </c>
      <c r="J219" s="10"/>
      <c r="K219" s="15" t="str">
        <f aca="false">IF($A219="","",COUNTIFS($A$3:$A219,$A219))</f>
        <v/>
      </c>
      <c r="L219" s="15" t="str">
        <f aca="false">IF($A219="","",$A219&amp;"|"&amp;$K219)</f>
        <v/>
      </c>
    </row>
    <row r="220" customFormat="false" ht="15" hidden="false" customHeight="true" outlineLevel="0" collapsed="false">
      <c r="A220" s="12"/>
      <c r="B220" s="12"/>
      <c r="C220" s="15" t="str">
        <f aca="false">IF($B220="","",IFERROR(INDEX(품목마스터!$B$3:$B$102,MATCH($B220,품목마스터!$A$3:$A$102,0)),""))</f>
        <v/>
      </c>
      <c r="D220" s="15" t="str">
        <f aca="false">IF($B220="","",IFERROR(INDEX(품목마스터!$C$3:$C$102,MATCH($B220,품목마스터!$A$3:$A$102,0)),""))</f>
        <v/>
      </c>
      <c r="E220" s="13" t="str">
        <f aca="false">IF($B220="","",IFERROR(INDEX(품목마스터!$D$3:$D$102,MATCH($B220,품목마스터!$A$3:$A$102,0)),0))</f>
        <v/>
      </c>
      <c r="F220" s="10"/>
      <c r="G220" s="16" t="str">
        <f aca="false">IF(OR($E220="",$F220=""),"",ROUND($E220*$F220,0))</f>
        <v/>
      </c>
      <c r="H220" s="17"/>
      <c r="I220" s="16" t="str">
        <f aca="false">IF($G220="","",ROUND($G220*IF($H220="",0,$H220)/100,0))</f>
        <v/>
      </c>
      <c r="J220" s="10"/>
      <c r="K220" s="15" t="str">
        <f aca="false">IF($A220="","",COUNTIFS($A$3:$A220,$A220))</f>
        <v/>
      </c>
      <c r="L220" s="15" t="str">
        <f aca="false">IF($A220="","",$A220&amp;"|"&amp;$K220)</f>
        <v/>
      </c>
    </row>
    <row r="221" customFormat="false" ht="15" hidden="false" customHeight="true" outlineLevel="0" collapsed="false">
      <c r="A221" s="12"/>
      <c r="B221" s="12"/>
      <c r="C221" s="15" t="str">
        <f aca="false">IF($B221="","",IFERROR(INDEX(품목마스터!$B$3:$B$102,MATCH($B221,품목마스터!$A$3:$A$102,0)),""))</f>
        <v/>
      </c>
      <c r="D221" s="15" t="str">
        <f aca="false">IF($B221="","",IFERROR(INDEX(품목마스터!$C$3:$C$102,MATCH($B221,품목마스터!$A$3:$A$102,0)),""))</f>
        <v/>
      </c>
      <c r="E221" s="13" t="str">
        <f aca="false">IF($B221="","",IFERROR(INDEX(품목마스터!$D$3:$D$102,MATCH($B221,품목마스터!$A$3:$A$102,0)),0))</f>
        <v/>
      </c>
      <c r="F221" s="10"/>
      <c r="G221" s="16" t="str">
        <f aca="false">IF(OR($E221="",$F221=""),"",ROUND($E221*$F221,0))</f>
        <v/>
      </c>
      <c r="H221" s="17"/>
      <c r="I221" s="16" t="str">
        <f aca="false">IF($G221="","",ROUND($G221*IF($H221="",0,$H221)/100,0))</f>
        <v/>
      </c>
      <c r="J221" s="10"/>
      <c r="K221" s="15" t="str">
        <f aca="false">IF($A221="","",COUNTIFS($A$3:$A221,$A221))</f>
        <v/>
      </c>
      <c r="L221" s="15" t="str">
        <f aca="false">IF($A221="","",$A221&amp;"|"&amp;$K221)</f>
        <v/>
      </c>
    </row>
    <row r="222" customFormat="false" ht="15" hidden="false" customHeight="true" outlineLevel="0" collapsed="false">
      <c r="A222" s="12"/>
      <c r="B222" s="12"/>
      <c r="C222" s="15" t="str">
        <f aca="false">IF($B222="","",IFERROR(INDEX(품목마스터!$B$3:$B$102,MATCH($B222,품목마스터!$A$3:$A$102,0)),""))</f>
        <v/>
      </c>
      <c r="D222" s="15" t="str">
        <f aca="false">IF($B222="","",IFERROR(INDEX(품목마스터!$C$3:$C$102,MATCH($B222,품목마스터!$A$3:$A$102,0)),""))</f>
        <v/>
      </c>
      <c r="E222" s="13" t="str">
        <f aca="false">IF($B222="","",IFERROR(INDEX(품목마스터!$D$3:$D$102,MATCH($B222,품목마스터!$A$3:$A$102,0)),0))</f>
        <v/>
      </c>
      <c r="F222" s="10"/>
      <c r="G222" s="16" t="str">
        <f aca="false">IF(OR($E222="",$F222=""),"",ROUND($E222*$F222,0))</f>
        <v/>
      </c>
      <c r="H222" s="17"/>
      <c r="I222" s="16" t="str">
        <f aca="false">IF($G222="","",ROUND($G222*IF($H222="",0,$H222)/100,0))</f>
        <v/>
      </c>
      <c r="J222" s="10"/>
      <c r="K222" s="15" t="str">
        <f aca="false">IF($A222="","",COUNTIFS($A$3:$A222,$A222))</f>
        <v/>
      </c>
      <c r="L222" s="15" t="str">
        <f aca="false">IF($A222="","",$A222&amp;"|"&amp;$K222)</f>
        <v/>
      </c>
    </row>
    <row r="223" customFormat="false" ht="15" hidden="false" customHeight="true" outlineLevel="0" collapsed="false">
      <c r="A223" s="12"/>
      <c r="B223" s="12"/>
      <c r="C223" s="15" t="str">
        <f aca="false">IF($B223="","",IFERROR(INDEX(품목마스터!$B$3:$B$102,MATCH($B223,품목마스터!$A$3:$A$102,0)),""))</f>
        <v/>
      </c>
      <c r="D223" s="15" t="str">
        <f aca="false">IF($B223="","",IFERROR(INDEX(품목마스터!$C$3:$C$102,MATCH($B223,품목마스터!$A$3:$A$102,0)),""))</f>
        <v/>
      </c>
      <c r="E223" s="13" t="str">
        <f aca="false">IF($B223="","",IFERROR(INDEX(품목마스터!$D$3:$D$102,MATCH($B223,품목마스터!$A$3:$A$102,0)),0))</f>
        <v/>
      </c>
      <c r="F223" s="10"/>
      <c r="G223" s="16" t="str">
        <f aca="false">IF(OR($E223="",$F223=""),"",ROUND($E223*$F223,0))</f>
        <v/>
      </c>
      <c r="H223" s="17"/>
      <c r="I223" s="16" t="str">
        <f aca="false">IF($G223="","",ROUND($G223*IF($H223="",0,$H223)/100,0))</f>
        <v/>
      </c>
      <c r="J223" s="10"/>
      <c r="K223" s="15" t="str">
        <f aca="false">IF($A223="","",COUNTIFS($A$3:$A223,$A223))</f>
        <v/>
      </c>
      <c r="L223" s="15" t="str">
        <f aca="false">IF($A223="","",$A223&amp;"|"&amp;$K223)</f>
        <v/>
      </c>
    </row>
    <row r="224" customFormat="false" ht="15" hidden="false" customHeight="true" outlineLevel="0" collapsed="false">
      <c r="A224" s="12"/>
      <c r="B224" s="12"/>
      <c r="C224" s="15" t="str">
        <f aca="false">IF($B224="","",IFERROR(INDEX(품목마스터!$B$3:$B$102,MATCH($B224,품목마스터!$A$3:$A$102,0)),""))</f>
        <v/>
      </c>
      <c r="D224" s="15" t="str">
        <f aca="false">IF($B224="","",IFERROR(INDEX(품목마스터!$C$3:$C$102,MATCH($B224,품목마스터!$A$3:$A$102,0)),""))</f>
        <v/>
      </c>
      <c r="E224" s="13" t="str">
        <f aca="false">IF($B224="","",IFERROR(INDEX(품목마스터!$D$3:$D$102,MATCH($B224,품목마스터!$A$3:$A$102,0)),0))</f>
        <v/>
      </c>
      <c r="F224" s="10"/>
      <c r="G224" s="16" t="str">
        <f aca="false">IF(OR($E224="",$F224=""),"",ROUND($E224*$F224,0))</f>
        <v/>
      </c>
      <c r="H224" s="17"/>
      <c r="I224" s="16" t="str">
        <f aca="false">IF($G224="","",ROUND($G224*IF($H224="",0,$H224)/100,0))</f>
        <v/>
      </c>
      <c r="J224" s="10"/>
      <c r="K224" s="15" t="str">
        <f aca="false">IF($A224="","",COUNTIFS($A$3:$A224,$A224))</f>
        <v/>
      </c>
      <c r="L224" s="15" t="str">
        <f aca="false">IF($A224="","",$A224&amp;"|"&amp;$K224)</f>
        <v/>
      </c>
    </row>
    <row r="225" customFormat="false" ht="15" hidden="false" customHeight="true" outlineLevel="0" collapsed="false">
      <c r="A225" s="12"/>
      <c r="B225" s="12"/>
      <c r="C225" s="15" t="str">
        <f aca="false">IF($B225="","",IFERROR(INDEX(품목마스터!$B$3:$B$102,MATCH($B225,품목마스터!$A$3:$A$102,0)),""))</f>
        <v/>
      </c>
      <c r="D225" s="15" t="str">
        <f aca="false">IF($B225="","",IFERROR(INDEX(품목마스터!$C$3:$C$102,MATCH($B225,품목마스터!$A$3:$A$102,0)),""))</f>
        <v/>
      </c>
      <c r="E225" s="13" t="str">
        <f aca="false">IF($B225="","",IFERROR(INDEX(품목마스터!$D$3:$D$102,MATCH($B225,품목마스터!$A$3:$A$102,0)),0))</f>
        <v/>
      </c>
      <c r="F225" s="10"/>
      <c r="G225" s="16" t="str">
        <f aca="false">IF(OR($E225="",$F225=""),"",ROUND($E225*$F225,0))</f>
        <v/>
      </c>
      <c r="H225" s="17"/>
      <c r="I225" s="16" t="str">
        <f aca="false">IF($G225="","",ROUND($G225*IF($H225="",0,$H225)/100,0))</f>
        <v/>
      </c>
      <c r="J225" s="10"/>
      <c r="K225" s="15" t="str">
        <f aca="false">IF($A225="","",COUNTIFS($A$3:$A225,$A225))</f>
        <v/>
      </c>
      <c r="L225" s="15" t="str">
        <f aca="false">IF($A225="","",$A225&amp;"|"&amp;$K225)</f>
        <v/>
      </c>
    </row>
    <row r="226" customFormat="false" ht="15" hidden="false" customHeight="true" outlineLevel="0" collapsed="false">
      <c r="A226" s="12"/>
      <c r="B226" s="12"/>
      <c r="C226" s="15" t="str">
        <f aca="false">IF($B226="","",IFERROR(INDEX(품목마스터!$B$3:$B$102,MATCH($B226,품목마스터!$A$3:$A$102,0)),""))</f>
        <v/>
      </c>
      <c r="D226" s="15" t="str">
        <f aca="false">IF($B226="","",IFERROR(INDEX(품목마스터!$C$3:$C$102,MATCH($B226,품목마스터!$A$3:$A$102,0)),""))</f>
        <v/>
      </c>
      <c r="E226" s="13" t="str">
        <f aca="false">IF($B226="","",IFERROR(INDEX(품목마스터!$D$3:$D$102,MATCH($B226,품목마스터!$A$3:$A$102,0)),0))</f>
        <v/>
      </c>
      <c r="F226" s="10"/>
      <c r="G226" s="16" t="str">
        <f aca="false">IF(OR($E226="",$F226=""),"",ROUND($E226*$F226,0))</f>
        <v/>
      </c>
      <c r="H226" s="17"/>
      <c r="I226" s="16" t="str">
        <f aca="false">IF($G226="","",ROUND($G226*IF($H226="",0,$H226)/100,0))</f>
        <v/>
      </c>
      <c r="J226" s="10"/>
      <c r="K226" s="15" t="str">
        <f aca="false">IF($A226="","",COUNTIFS($A$3:$A226,$A226))</f>
        <v/>
      </c>
      <c r="L226" s="15" t="str">
        <f aca="false">IF($A226="","",$A226&amp;"|"&amp;$K226)</f>
        <v/>
      </c>
    </row>
    <row r="227" customFormat="false" ht="15" hidden="false" customHeight="true" outlineLevel="0" collapsed="false">
      <c r="A227" s="12"/>
      <c r="B227" s="12"/>
      <c r="C227" s="15" t="str">
        <f aca="false">IF($B227="","",IFERROR(INDEX(품목마스터!$B$3:$B$102,MATCH($B227,품목마스터!$A$3:$A$102,0)),""))</f>
        <v/>
      </c>
      <c r="D227" s="15" t="str">
        <f aca="false">IF($B227="","",IFERROR(INDEX(품목마스터!$C$3:$C$102,MATCH($B227,품목마스터!$A$3:$A$102,0)),""))</f>
        <v/>
      </c>
      <c r="E227" s="13" t="str">
        <f aca="false">IF($B227="","",IFERROR(INDEX(품목마스터!$D$3:$D$102,MATCH($B227,품목마스터!$A$3:$A$102,0)),0))</f>
        <v/>
      </c>
      <c r="F227" s="10"/>
      <c r="G227" s="16" t="str">
        <f aca="false">IF(OR($E227="",$F227=""),"",ROUND($E227*$F227,0))</f>
        <v/>
      </c>
      <c r="H227" s="17"/>
      <c r="I227" s="16" t="str">
        <f aca="false">IF($G227="","",ROUND($G227*IF($H227="",0,$H227)/100,0))</f>
        <v/>
      </c>
      <c r="J227" s="10"/>
      <c r="K227" s="15" t="str">
        <f aca="false">IF($A227="","",COUNTIFS($A$3:$A227,$A227))</f>
        <v/>
      </c>
      <c r="L227" s="15" t="str">
        <f aca="false">IF($A227="","",$A227&amp;"|"&amp;$K227)</f>
        <v/>
      </c>
    </row>
    <row r="228" customFormat="false" ht="15" hidden="false" customHeight="true" outlineLevel="0" collapsed="false">
      <c r="A228" s="12"/>
      <c r="B228" s="12"/>
      <c r="C228" s="15" t="str">
        <f aca="false">IF($B228="","",IFERROR(INDEX(품목마스터!$B$3:$B$102,MATCH($B228,품목마스터!$A$3:$A$102,0)),""))</f>
        <v/>
      </c>
      <c r="D228" s="15" t="str">
        <f aca="false">IF($B228="","",IFERROR(INDEX(품목마스터!$C$3:$C$102,MATCH($B228,품목마스터!$A$3:$A$102,0)),""))</f>
        <v/>
      </c>
      <c r="E228" s="13" t="str">
        <f aca="false">IF($B228="","",IFERROR(INDEX(품목마스터!$D$3:$D$102,MATCH($B228,품목마스터!$A$3:$A$102,0)),0))</f>
        <v/>
      </c>
      <c r="F228" s="10"/>
      <c r="G228" s="16" t="str">
        <f aca="false">IF(OR($E228="",$F228=""),"",ROUND($E228*$F228,0))</f>
        <v/>
      </c>
      <c r="H228" s="17"/>
      <c r="I228" s="16" t="str">
        <f aca="false">IF($G228="","",ROUND($G228*IF($H228="",0,$H228)/100,0))</f>
        <v/>
      </c>
      <c r="J228" s="10"/>
      <c r="K228" s="15" t="str">
        <f aca="false">IF($A228="","",COUNTIFS($A$3:$A228,$A228))</f>
        <v/>
      </c>
      <c r="L228" s="15" t="str">
        <f aca="false">IF($A228="","",$A228&amp;"|"&amp;$K228)</f>
        <v/>
      </c>
    </row>
    <row r="229" customFormat="false" ht="15" hidden="false" customHeight="true" outlineLevel="0" collapsed="false">
      <c r="A229" s="12"/>
      <c r="B229" s="12"/>
      <c r="C229" s="15" t="str">
        <f aca="false">IF($B229="","",IFERROR(INDEX(품목마스터!$B$3:$B$102,MATCH($B229,품목마스터!$A$3:$A$102,0)),""))</f>
        <v/>
      </c>
      <c r="D229" s="15" t="str">
        <f aca="false">IF($B229="","",IFERROR(INDEX(품목마스터!$C$3:$C$102,MATCH($B229,품목마스터!$A$3:$A$102,0)),""))</f>
        <v/>
      </c>
      <c r="E229" s="13" t="str">
        <f aca="false">IF($B229="","",IFERROR(INDEX(품목마스터!$D$3:$D$102,MATCH($B229,품목마스터!$A$3:$A$102,0)),0))</f>
        <v/>
      </c>
      <c r="F229" s="10"/>
      <c r="G229" s="16" t="str">
        <f aca="false">IF(OR($E229="",$F229=""),"",ROUND($E229*$F229,0))</f>
        <v/>
      </c>
      <c r="H229" s="17"/>
      <c r="I229" s="16" t="str">
        <f aca="false">IF($G229="","",ROUND($G229*IF($H229="",0,$H229)/100,0))</f>
        <v/>
      </c>
      <c r="J229" s="10"/>
      <c r="K229" s="15" t="str">
        <f aca="false">IF($A229="","",COUNTIFS($A$3:$A229,$A229))</f>
        <v/>
      </c>
      <c r="L229" s="15" t="str">
        <f aca="false">IF($A229="","",$A229&amp;"|"&amp;$K229)</f>
        <v/>
      </c>
    </row>
    <row r="230" customFormat="false" ht="15" hidden="false" customHeight="true" outlineLevel="0" collapsed="false">
      <c r="A230" s="12"/>
      <c r="B230" s="12"/>
      <c r="C230" s="15" t="str">
        <f aca="false">IF($B230="","",IFERROR(INDEX(품목마스터!$B$3:$B$102,MATCH($B230,품목마스터!$A$3:$A$102,0)),""))</f>
        <v/>
      </c>
      <c r="D230" s="15" t="str">
        <f aca="false">IF($B230="","",IFERROR(INDEX(품목마스터!$C$3:$C$102,MATCH($B230,품목마스터!$A$3:$A$102,0)),""))</f>
        <v/>
      </c>
      <c r="E230" s="13" t="str">
        <f aca="false">IF($B230="","",IFERROR(INDEX(품목마스터!$D$3:$D$102,MATCH($B230,품목마스터!$A$3:$A$102,0)),0))</f>
        <v/>
      </c>
      <c r="F230" s="10"/>
      <c r="G230" s="16" t="str">
        <f aca="false">IF(OR($E230="",$F230=""),"",ROUND($E230*$F230,0))</f>
        <v/>
      </c>
      <c r="H230" s="17"/>
      <c r="I230" s="16" t="str">
        <f aca="false">IF($G230="","",ROUND($G230*IF($H230="",0,$H230)/100,0))</f>
        <v/>
      </c>
      <c r="J230" s="10"/>
      <c r="K230" s="15" t="str">
        <f aca="false">IF($A230="","",COUNTIFS($A$3:$A230,$A230))</f>
        <v/>
      </c>
      <c r="L230" s="15" t="str">
        <f aca="false">IF($A230="","",$A230&amp;"|"&amp;$K230)</f>
        <v/>
      </c>
    </row>
    <row r="231" customFormat="false" ht="15" hidden="false" customHeight="true" outlineLevel="0" collapsed="false">
      <c r="A231" s="12"/>
      <c r="B231" s="12"/>
      <c r="C231" s="15" t="str">
        <f aca="false">IF($B231="","",IFERROR(INDEX(품목마스터!$B$3:$B$102,MATCH($B231,품목마스터!$A$3:$A$102,0)),""))</f>
        <v/>
      </c>
      <c r="D231" s="15" t="str">
        <f aca="false">IF($B231="","",IFERROR(INDEX(품목마스터!$C$3:$C$102,MATCH($B231,품목마스터!$A$3:$A$102,0)),""))</f>
        <v/>
      </c>
      <c r="E231" s="13" t="str">
        <f aca="false">IF($B231="","",IFERROR(INDEX(품목마스터!$D$3:$D$102,MATCH($B231,품목마스터!$A$3:$A$102,0)),0))</f>
        <v/>
      </c>
      <c r="F231" s="10"/>
      <c r="G231" s="16" t="str">
        <f aca="false">IF(OR($E231="",$F231=""),"",ROUND($E231*$F231,0))</f>
        <v/>
      </c>
      <c r="H231" s="17"/>
      <c r="I231" s="16" t="str">
        <f aca="false">IF($G231="","",ROUND($G231*IF($H231="",0,$H231)/100,0))</f>
        <v/>
      </c>
      <c r="J231" s="10"/>
      <c r="K231" s="15" t="str">
        <f aca="false">IF($A231="","",COUNTIFS($A$3:$A231,$A231))</f>
        <v/>
      </c>
      <c r="L231" s="15" t="str">
        <f aca="false">IF($A231="","",$A231&amp;"|"&amp;$K231)</f>
        <v/>
      </c>
    </row>
    <row r="232" customFormat="false" ht="15" hidden="false" customHeight="true" outlineLevel="0" collapsed="false">
      <c r="A232" s="12"/>
      <c r="B232" s="12"/>
      <c r="C232" s="15" t="str">
        <f aca="false">IF($B232="","",IFERROR(INDEX(품목마스터!$B$3:$B$102,MATCH($B232,품목마스터!$A$3:$A$102,0)),""))</f>
        <v/>
      </c>
      <c r="D232" s="15" t="str">
        <f aca="false">IF($B232="","",IFERROR(INDEX(품목마스터!$C$3:$C$102,MATCH($B232,품목마스터!$A$3:$A$102,0)),""))</f>
        <v/>
      </c>
      <c r="E232" s="13" t="str">
        <f aca="false">IF($B232="","",IFERROR(INDEX(품목마스터!$D$3:$D$102,MATCH($B232,품목마스터!$A$3:$A$102,0)),0))</f>
        <v/>
      </c>
      <c r="F232" s="10"/>
      <c r="G232" s="16" t="str">
        <f aca="false">IF(OR($E232="",$F232=""),"",ROUND($E232*$F232,0))</f>
        <v/>
      </c>
      <c r="H232" s="17"/>
      <c r="I232" s="16" t="str">
        <f aca="false">IF($G232="","",ROUND($G232*IF($H232="",0,$H232)/100,0))</f>
        <v/>
      </c>
      <c r="J232" s="10"/>
      <c r="K232" s="15" t="str">
        <f aca="false">IF($A232="","",COUNTIFS($A$3:$A232,$A232))</f>
        <v/>
      </c>
      <c r="L232" s="15" t="str">
        <f aca="false">IF($A232="","",$A232&amp;"|"&amp;$K232)</f>
        <v/>
      </c>
    </row>
    <row r="233" customFormat="false" ht="15" hidden="false" customHeight="true" outlineLevel="0" collapsed="false">
      <c r="A233" s="12"/>
      <c r="B233" s="12"/>
      <c r="C233" s="15" t="str">
        <f aca="false">IF($B233="","",IFERROR(INDEX(품목마스터!$B$3:$B$102,MATCH($B233,품목마스터!$A$3:$A$102,0)),""))</f>
        <v/>
      </c>
      <c r="D233" s="15" t="str">
        <f aca="false">IF($B233="","",IFERROR(INDEX(품목마스터!$C$3:$C$102,MATCH($B233,품목마스터!$A$3:$A$102,0)),""))</f>
        <v/>
      </c>
      <c r="E233" s="13" t="str">
        <f aca="false">IF($B233="","",IFERROR(INDEX(품목마스터!$D$3:$D$102,MATCH($B233,품목마스터!$A$3:$A$102,0)),0))</f>
        <v/>
      </c>
      <c r="F233" s="10"/>
      <c r="G233" s="16" t="str">
        <f aca="false">IF(OR($E233="",$F233=""),"",ROUND($E233*$F233,0))</f>
        <v/>
      </c>
      <c r="H233" s="17"/>
      <c r="I233" s="16" t="str">
        <f aca="false">IF($G233="","",ROUND($G233*IF($H233="",0,$H233)/100,0))</f>
        <v/>
      </c>
      <c r="J233" s="10"/>
      <c r="K233" s="15" t="str">
        <f aca="false">IF($A233="","",COUNTIFS($A$3:$A233,$A233))</f>
        <v/>
      </c>
      <c r="L233" s="15" t="str">
        <f aca="false">IF($A233="","",$A233&amp;"|"&amp;$K233)</f>
        <v/>
      </c>
    </row>
    <row r="234" customFormat="false" ht="15" hidden="false" customHeight="true" outlineLevel="0" collapsed="false">
      <c r="A234" s="12"/>
      <c r="B234" s="12"/>
      <c r="C234" s="15" t="str">
        <f aca="false">IF($B234="","",IFERROR(INDEX(품목마스터!$B$3:$B$102,MATCH($B234,품목마스터!$A$3:$A$102,0)),""))</f>
        <v/>
      </c>
      <c r="D234" s="15" t="str">
        <f aca="false">IF($B234="","",IFERROR(INDEX(품목마스터!$C$3:$C$102,MATCH($B234,품목마스터!$A$3:$A$102,0)),""))</f>
        <v/>
      </c>
      <c r="E234" s="13" t="str">
        <f aca="false">IF($B234="","",IFERROR(INDEX(품목마스터!$D$3:$D$102,MATCH($B234,품목마스터!$A$3:$A$102,0)),0))</f>
        <v/>
      </c>
      <c r="F234" s="10"/>
      <c r="G234" s="16" t="str">
        <f aca="false">IF(OR($E234="",$F234=""),"",ROUND($E234*$F234,0))</f>
        <v/>
      </c>
      <c r="H234" s="17"/>
      <c r="I234" s="16" t="str">
        <f aca="false">IF($G234="","",ROUND($G234*IF($H234="",0,$H234)/100,0))</f>
        <v/>
      </c>
      <c r="J234" s="10"/>
      <c r="K234" s="15" t="str">
        <f aca="false">IF($A234="","",COUNTIFS($A$3:$A234,$A234))</f>
        <v/>
      </c>
      <c r="L234" s="15" t="str">
        <f aca="false">IF($A234="","",$A234&amp;"|"&amp;$K234)</f>
        <v/>
      </c>
    </row>
    <row r="235" customFormat="false" ht="15" hidden="false" customHeight="true" outlineLevel="0" collapsed="false">
      <c r="A235" s="12"/>
      <c r="B235" s="12"/>
      <c r="C235" s="15" t="str">
        <f aca="false">IF($B235="","",IFERROR(INDEX(품목마스터!$B$3:$B$102,MATCH($B235,품목마스터!$A$3:$A$102,0)),""))</f>
        <v/>
      </c>
      <c r="D235" s="15" t="str">
        <f aca="false">IF($B235="","",IFERROR(INDEX(품목마스터!$C$3:$C$102,MATCH($B235,품목마스터!$A$3:$A$102,0)),""))</f>
        <v/>
      </c>
      <c r="E235" s="13" t="str">
        <f aca="false">IF($B235="","",IFERROR(INDEX(품목마스터!$D$3:$D$102,MATCH($B235,품목마스터!$A$3:$A$102,0)),0))</f>
        <v/>
      </c>
      <c r="F235" s="10"/>
      <c r="G235" s="16" t="str">
        <f aca="false">IF(OR($E235="",$F235=""),"",ROUND($E235*$F235,0))</f>
        <v/>
      </c>
      <c r="H235" s="17"/>
      <c r="I235" s="16" t="str">
        <f aca="false">IF($G235="","",ROUND($G235*IF($H235="",0,$H235)/100,0))</f>
        <v/>
      </c>
      <c r="J235" s="10"/>
      <c r="K235" s="15" t="str">
        <f aca="false">IF($A235="","",COUNTIFS($A$3:$A235,$A235))</f>
        <v/>
      </c>
      <c r="L235" s="15" t="str">
        <f aca="false">IF($A235="","",$A235&amp;"|"&amp;$K235)</f>
        <v/>
      </c>
    </row>
    <row r="236" customFormat="false" ht="15" hidden="false" customHeight="true" outlineLevel="0" collapsed="false">
      <c r="A236" s="12"/>
      <c r="B236" s="12"/>
      <c r="C236" s="15" t="str">
        <f aca="false">IF($B236="","",IFERROR(INDEX(품목마스터!$B$3:$B$102,MATCH($B236,품목마스터!$A$3:$A$102,0)),""))</f>
        <v/>
      </c>
      <c r="D236" s="15" t="str">
        <f aca="false">IF($B236="","",IFERROR(INDEX(품목마스터!$C$3:$C$102,MATCH($B236,품목마스터!$A$3:$A$102,0)),""))</f>
        <v/>
      </c>
      <c r="E236" s="13" t="str">
        <f aca="false">IF($B236="","",IFERROR(INDEX(품목마스터!$D$3:$D$102,MATCH($B236,품목마스터!$A$3:$A$102,0)),0))</f>
        <v/>
      </c>
      <c r="F236" s="10"/>
      <c r="G236" s="16" t="str">
        <f aca="false">IF(OR($E236="",$F236=""),"",ROUND($E236*$F236,0))</f>
        <v/>
      </c>
      <c r="H236" s="17"/>
      <c r="I236" s="16" t="str">
        <f aca="false">IF($G236="","",ROUND($G236*IF($H236="",0,$H236)/100,0))</f>
        <v/>
      </c>
      <c r="J236" s="10"/>
      <c r="K236" s="15" t="str">
        <f aca="false">IF($A236="","",COUNTIFS($A$3:$A236,$A236))</f>
        <v/>
      </c>
      <c r="L236" s="15" t="str">
        <f aca="false">IF($A236="","",$A236&amp;"|"&amp;$K236)</f>
        <v/>
      </c>
    </row>
    <row r="237" customFormat="false" ht="15" hidden="false" customHeight="true" outlineLevel="0" collapsed="false">
      <c r="A237" s="12"/>
      <c r="B237" s="12"/>
      <c r="C237" s="15" t="str">
        <f aca="false">IF($B237="","",IFERROR(INDEX(품목마스터!$B$3:$B$102,MATCH($B237,품목마스터!$A$3:$A$102,0)),""))</f>
        <v/>
      </c>
      <c r="D237" s="15" t="str">
        <f aca="false">IF($B237="","",IFERROR(INDEX(품목마스터!$C$3:$C$102,MATCH($B237,품목마스터!$A$3:$A$102,0)),""))</f>
        <v/>
      </c>
      <c r="E237" s="13" t="str">
        <f aca="false">IF($B237="","",IFERROR(INDEX(품목마스터!$D$3:$D$102,MATCH($B237,품목마스터!$A$3:$A$102,0)),0))</f>
        <v/>
      </c>
      <c r="F237" s="10"/>
      <c r="G237" s="16" t="str">
        <f aca="false">IF(OR($E237="",$F237=""),"",ROUND($E237*$F237,0))</f>
        <v/>
      </c>
      <c r="H237" s="17"/>
      <c r="I237" s="16" t="str">
        <f aca="false">IF($G237="","",ROUND($G237*IF($H237="",0,$H237)/100,0))</f>
        <v/>
      </c>
      <c r="J237" s="10"/>
      <c r="K237" s="15" t="str">
        <f aca="false">IF($A237="","",COUNTIFS($A$3:$A237,$A237))</f>
        <v/>
      </c>
      <c r="L237" s="15" t="str">
        <f aca="false">IF($A237="","",$A237&amp;"|"&amp;$K237)</f>
        <v/>
      </c>
    </row>
    <row r="238" customFormat="false" ht="15" hidden="false" customHeight="true" outlineLevel="0" collapsed="false">
      <c r="A238" s="12"/>
      <c r="B238" s="12"/>
      <c r="C238" s="15" t="str">
        <f aca="false">IF($B238="","",IFERROR(INDEX(품목마스터!$B$3:$B$102,MATCH($B238,품목마스터!$A$3:$A$102,0)),""))</f>
        <v/>
      </c>
      <c r="D238" s="15" t="str">
        <f aca="false">IF($B238="","",IFERROR(INDEX(품목마스터!$C$3:$C$102,MATCH($B238,품목마스터!$A$3:$A$102,0)),""))</f>
        <v/>
      </c>
      <c r="E238" s="13" t="str">
        <f aca="false">IF($B238="","",IFERROR(INDEX(품목마스터!$D$3:$D$102,MATCH($B238,품목마스터!$A$3:$A$102,0)),0))</f>
        <v/>
      </c>
      <c r="F238" s="10"/>
      <c r="G238" s="16" t="str">
        <f aca="false">IF(OR($E238="",$F238=""),"",ROUND($E238*$F238,0))</f>
        <v/>
      </c>
      <c r="H238" s="17"/>
      <c r="I238" s="16" t="str">
        <f aca="false">IF($G238="","",ROUND($G238*IF($H238="",0,$H238)/100,0))</f>
        <v/>
      </c>
      <c r="J238" s="10"/>
      <c r="K238" s="15" t="str">
        <f aca="false">IF($A238="","",COUNTIFS($A$3:$A238,$A238))</f>
        <v/>
      </c>
      <c r="L238" s="15" t="str">
        <f aca="false">IF($A238="","",$A238&amp;"|"&amp;$K238)</f>
        <v/>
      </c>
    </row>
    <row r="239" customFormat="false" ht="15" hidden="false" customHeight="true" outlineLevel="0" collapsed="false">
      <c r="A239" s="12"/>
      <c r="B239" s="12"/>
      <c r="C239" s="15" t="str">
        <f aca="false">IF($B239="","",IFERROR(INDEX(품목마스터!$B$3:$B$102,MATCH($B239,품목마스터!$A$3:$A$102,0)),""))</f>
        <v/>
      </c>
      <c r="D239" s="15" t="str">
        <f aca="false">IF($B239="","",IFERROR(INDEX(품목마스터!$C$3:$C$102,MATCH($B239,품목마스터!$A$3:$A$102,0)),""))</f>
        <v/>
      </c>
      <c r="E239" s="13" t="str">
        <f aca="false">IF($B239="","",IFERROR(INDEX(품목마스터!$D$3:$D$102,MATCH($B239,품목마스터!$A$3:$A$102,0)),0))</f>
        <v/>
      </c>
      <c r="F239" s="10"/>
      <c r="G239" s="16" t="str">
        <f aca="false">IF(OR($E239="",$F239=""),"",ROUND($E239*$F239,0))</f>
        <v/>
      </c>
      <c r="H239" s="17"/>
      <c r="I239" s="16" t="str">
        <f aca="false">IF($G239="","",ROUND($G239*IF($H239="",0,$H239)/100,0))</f>
        <v/>
      </c>
      <c r="J239" s="10"/>
      <c r="K239" s="15" t="str">
        <f aca="false">IF($A239="","",COUNTIFS($A$3:$A239,$A239))</f>
        <v/>
      </c>
      <c r="L239" s="15" t="str">
        <f aca="false">IF($A239="","",$A239&amp;"|"&amp;$K239)</f>
        <v/>
      </c>
    </row>
    <row r="240" customFormat="false" ht="15" hidden="false" customHeight="true" outlineLevel="0" collapsed="false">
      <c r="A240" s="12"/>
      <c r="B240" s="12"/>
      <c r="C240" s="15" t="str">
        <f aca="false">IF($B240="","",IFERROR(INDEX(품목마스터!$B$3:$B$102,MATCH($B240,품목마스터!$A$3:$A$102,0)),""))</f>
        <v/>
      </c>
      <c r="D240" s="15" t="str">
        <f aca="false">IF($B240="","",IFERROR(INDEX(품목마스터!$C$3:$C$102,MATCH($B240,품목마스터!$A$3:$A$102,0)),""))</f>
        <v/>
      </c>
      <c r="E240" s="13" t="str">
        <f aca="false">IF($B240="","",IFERROR(INDEX(품목마스터!$D$3:$D$102,MATCH($B240,품목마스터!$A$3:$A$102,0)),0))</f>
        <v/>
      </c>
      <c r="F240" s="10"/>
      <c r="G240" s="16" t="str">
        <f aca="false">IF(OR($E240="",$F240=""),"",ROUND($E240*$F240,0))</f>
        <v/>
      </c>
      <c r="H240" s="17"/>
      <c r="I240" s="16" t="str">
        <f aca="false">IF($G240="","",ROUND($G240*IF($H240="",0,$H240)/100,0))</f>
        <v/>
      </c>
      <c r="J240" s="10"/>
      <c r="K240" s="15" t="str">
        <f aca="false">IF($A240="","",COUNTIFS($A$3:$A240,$A240))</f>
        <v/>
      </c>
      <c r="L240" s="15" t="str">
        <f aca="false">IF($A240="","",$A240&amp;"|"&amp;$K240)</f>
        <v/>
      </c>
    </row>
    <row r="241" customFormat="false" ht="15" hidden="false" customHeight="true" outlineLevel="0" collapsed="false">
      <c r="A241" s="12"/>
      <c r="B241" s="12"/>
      <c r="C241" s="15" t="str">
        <f aca="false">IF($B241="","",IFERROR(INDEX(품목마스터!$B$3:$B$102,MATCH($B241,품목마스터!$A$3:$A$102,0)),""))</f>
        <v/>
      </c>
      <c r="D241" s="15" t="str">
        <f aca="false">IF($B241="","",IFERROR(INDEX(품목마스터!$C$3:$C$102,MATCH($B241,품목마스터!$A$3:$A$102,0)),""))</f>
        <v/>
      </c>
      <c r="E241" s="13" t="str">
        <f aca="false">IF($B241="","",IFERROR(INDEX(품목마스터!$D$3:$D$102,MATCH($B241,품목마스터!$A$3:$A$102,0)),0))</f>
        <v/>
      </c>
      <c r="F241" s="10"/>
      <c r="G241" s="16" t="str">
        <f aca="false">IF(OR($E241="",$F241=""),"",ROUND($E241*$F241,0))</f>
        <v/>
      </c>
      <c r="H241" s="17"/>
      <c r="I241" s="16" t="str">
        <f aca="false">IF($G241="","",ROUND($G241*IF($H241="",0,$H241)/100,0))</f>
        <v/>
      </c>
      <c r="J241" s="10"/>
      <c r="K241" s="15" t="str">
        <f aca="false">IF($A241="","",COUNTIFS($A$3:$A241,$A241))</f>
        <v/>
      </c>
      <c r="L241" s="15" t="str">
        <f aca="false">IF($A241="","",$A241&amp;"|"&amp;$K241)</f>
        <v/>
      </c>
    </row>
    <row r="242" customFormat="false" ht="15" hidden="false" customHeight="true" outlineLevel="0" collapsed="false">
      <c r="A242" s="12"/>
      <c r="B242" s="12"/>
      <c r="C242" s="15" t="str">
        <f aca="false">IF($B242="","",IFERROR(INDEX(품목마스터!$B$3:$B$102,MATCH($B242,품목마스터!$A$3:$A$102,0)),""))</f>
        <v/>
      </c>
      <c r="D242" s="15" t="str">
        <f aca="false">IF($B242="","",IFERROR(INDEX(품목마스터!$C$3:$C$102,MATCH($B242,품목마스터!$A$3:$A$102,0)),""))</f>
        <v/>
      </c>
      <c r="E242" s="13" t="str">
        <f aca="false">IF($B242="","",IFERROR(INDEX(품목마스터!$D$3:$D$102,MATCH($B242,품목마스터!$A$3:$A$102,0)),0))</f>
        <v/>
      </c>
      <c r="F242" s="10"/>
      <c r="G242" s="16" t="str">
        <f aca="false">IF(OR($E242="",$F242=""),"",ROUND($E242*$F242,0))</f>
        <v/>
      </c>
      <c r="H242" s="17"/>
      <c r="I242" s="16" t="str">
        <f aca="false">IF($G242="","",ROUND($G242*IF($H242="",0,$H242)/100,0))</f>
        <v/>
      </c>
      <c r="J242" s="10"/>
      <c r="K242" s="15" t="str">
        <f aca="false">IF($A242="","",COUNTIFS($A$3:$A242,$A242))</f>
        <v/>
      </c>
      <c r="L242" s="15" t="str">
        <f aca="false">IF($A242="","",$A242&amp;"|"&amp;$K242)</f>
        <v/>
      </c>
    </row>
    <row r="243" customFormat="false" ht="15" hidden="false" customHeight="true" outlineLevel="0" collapsed="false">
      <c r="A243" s="12"/>
      <c r="B243" s="12"/>
      <c r="C243" s="15" t="str">
        <f aca="false">IF($B243="","",IFERROR(INDEX(품목마스터!$B$3:$B$102,MATCH($B243,품목마스터!$A$3:$A$102,0)),""))</f>
        <v/>
      </c>
      <c r="D243" s="15" t="str">
        <f aca="false">IF($B243="","",IFERROR(INDEX(품목마스터!$C$3:$C$102,MATCH($B243,품목마스터!$A$3:$A$102,0)),""))</f>
        <v/>
      </c>
      <c r="E243" s="13" t="str">
        <f aca="false">IF($B243="","",IFERROR(INDEX(품목마스터!$D$3:$D$102,MATCH($B243,품목마스터!$A$3:$A$102,0)),0))</f>
        <v/>
      </c>
      <c r="F243" s="10"/>
      <c r="G243" s="16" t="str">
        <f aca="false">IF(OR($E243="",$F243=""),"",ROUND($E243*$F243,0))</f>
        <v/>
      </c>
      <c r="H243" s="17"/>
      <c r="I243" s="16" t="str">
        <f aca="false">IF($G243="","",ROUND($G243*IF($H243="",0,$H243)/100,0))</f>
        <v/>
      </c>
      <c r="J243" s="10"/>
      <c r="K243" s="15" t="str">
        <f aca="false">IF($A243="","",COUNTIFS($A$3:$A243,$A243))</f>
        <v/>
      </c>
      <c r="L243" s="15" t="str">
        <f aca="false">IF($A243="","",$A243&amp;"|"&amp;$K243)</f>
        <v/>
      </c>
    </row>
    <row r="244" customFormat="false" ht="15" hidden="false" customHeight="true" outlineLevel="0" collapsed="false">
      <c r="A244" s="12"/>
      <c r="B244" s="12"/>
      <c r="C244" s="15" t="str">
        <f aca="false">IF($B244="","",IFERROR(INDEX(품목마스터!$B$3:$B$102,MATCH($B244,품목마스터!$A$3:$A$102,0)),""))</f>
        <v/>
      </c>
      <c r="D244" s="15" t="str">
        <f aca="false">IF($B244="","",IFERROR(INDEX(품목마스터!$C$3:$C$102,MATCH($B244,품목마스터!$A$3:$A$102,0)),""))</f>
        <v/>
      </c>
      <c r="E244" s="13" t="str">
        <f aca="false">IF($B244="","",IFERROR(INDEX(품목마스터!$D$3:$D$102,MATCH($B244,품목마스터!$A$3:$A$102,0)),0))</f>
        <v/>
      </c>
      <c r="F244" s="10"/>
      <c r="G244" s="16" t="str">
        <f aca="false">IF(OR($E244="",$F244=""),"",ROUND($E244*$F244,0))</f>
        <v/>
      </c>
      <c r="H244" s="17"/>
      <c r="I244" s="16" t="str">
        <f aca="false">IF($G244="","",ROUND($G244*IF($H244="",0,$H244)/100,0))</f>
        <v/>
      </c>
      <c r="J244" s="10"/>
      <c r="K244" s="15" t="str">
        <f aca="false">IF($A244="","",COUNTIFS($A$3:$A244,$A244))</f>
        <v/>
      </c>
      <c r="L244" s="15" t="str">
        <f aca="false">IF($A244="","",$A244&amp;"|"&amp;$K244)</f>
        <v/>
      </c>
    </row>
    <row r="245" customFormat="false" ht="15" hidden="false" customHeight="true" outlineLevel="0" collapsed="false">
      <c r="A245" s="12"/>
      <c r="B245" s="12"/>
      <c r="C245" s="15" t="str">
        <f aca="false">IF($B245="","",IFERROR(INDEX(품목마스터!$B$3:$B$102,MATCH($B245,품목마스터!$A$3:$A$102,0)),""))</f>
        <v/>
      </c>
      <c r="D245" s="15" t="str">
        <f aca="false">IF($B245="","",IFERROR(INDEX(품목마스터!$C$3:$C$102,MATCH($B245,품목마스터!$A$3:$A$102,0)),""))</f>
        <v/>
      </c>
      <c r="E245" s="13" t="str">
        <f aca="false">IF($B245="","",IFERROR(INDEX(품목마스터!$D$3:$D$102,MATCH($B245,품목마스터!$A$3:$A$102,0)),0))</f>
        <v/>
      </c>
      <c r="F245" s="10"/>
      <c r="G245" s="16" t="str">
        <f aca="false">IF(OR($E245="",$F245=""),"",ROUND($E245*$F245,0))</f>
        <v/>
      </c>
      <c r="H245" s="17"/>
      <c r="I245" s="16" t="str">
        <f aca="false">IF($G245="","",ROUND($G245*IF($H245="",0,$H245)/100,0))</f>
        <v/>
      </c>
      <c r="J245" s="10"/>
      <c r="K245" s="15" t="str">
        <f aca="false">IF($A245="","",COUNTIFS($A$3:$A245,$A245))</f>
        <v/>
      </c>
      <c r="L245" s="15" t="str">
        <f aca="false">IF($A245="","",$A245&amp;"|"&amp;$K245)</f>
        <v/>
      </c>
    </row>
    <row r="246" customFormat="false" ht="15" hidden="false" customHeight="true" outlineLevel="0" collapsed="false">
      <c r="A246" s="12"/>
      <c r="B246" s="12"/>
      <c r="C246" s="15" t="str">
        <f aca="false">IF($B246="","",IFERROR(INDEX(품목마스터!$B$3:$B$102,MATCH($B246,품목마스터!$A$3:$A$102,0)),""))</f>
        <v/>
      </c>
      <c r="D246" s="15" t="str">
        <f aca="false">IF($B246="","",IFERROR(INDEX(품목마스터!$C$3:$C$102,MATCH($B246,품목마스터!$A$3:$A$102,0)),""))</f>
        <v/>
      </c>
      <c r="E246" s="13" t="str">
        <f aca="false">IF($B246="","",IFERROR(INDEX(품목마스터!$D$3:$D$102,MATCH($B246,품목마스터!$A$3:$A$102,0)),0))</f>
        <v/>
      </c>
      <c r="F246" s="10"/>
      <c r="G246" s="16" t="str">
        <f aca="false">IF(OR($E246="",$F246=""),"",ROUND($E246*$F246,0))</f>
        <v/>
      </c>
      <c r="H246" s="17"/>
      <c r="I246" s="16" t="str">
        <f aca="false">IF($G246="","",ROUND($G246*IF($H246="",0,$H246)/100,0))</f>
        <v/>
      </c>
      <c r="J246" s="10"/>
      <c r="K246" s="15" t="str">
        <f aca="false">IF($A246="","",COUNTIFS($A$3:$A246,$A246))</f>
        <v/>
      </c>
      <c r="L246" s="15" t="str">
        <f aca="false">IF($A246="","",$A246&amp;"|"&amp;$K246)</f>
        <v/>
      </c>
    </row>
    <row r="247" customFormat="false" ht="15" hidden="false" customHeight="true" outlineLevel="0" collapsed="false">
      <c r="A247" s="12"/>
      <c r="B247" s="12"/>
      <c r="C247" s="15" t="str">
        <f aca="false">IF($B247="","",IFERROR(INDEX(품목마스터!$B$3:$B$102,MATCH($B247,품목마스터!$A$3:$A$102,0)),""))</f>
        <v/>
      </c>
      <c r="D247" s="15" t="str">
        <f aca="false">IF($B247="","",IFERROR(INDEX(품목마스터!$C$3:$C$102,MATCH($B247,품목마스터!$A$3:$A$102,0)),""))</f>
        <v/>
      </c>
      <c r="E247" s="13" t="str">
        <f aca="false">IF($B247="","",IFERROR(INDEX(품목마스터!$D$3:$D$102,MATCH($B247,품목마스터!$A$3:$A$102,0)),0))</f>
        <v/>
      </c>
      <c r="F247" s="10"/>
      <c r="G247" s="16" t="str">
        <f aca="false">IF(OR($E247="",$F247=""),"",ROUND($E247*$F247,0))</f>
        <v/>
      </c>
      <c r="H247" s="17"/>
      <c r="I247" s="16" t="str">
        <f aca="false">IF($G247="","",ROUND($G247*IF($H247="",0,$H247)/100,0))</f>
        <v/>
      </c>
      <c r="J247" s="10"/>
      <c r="K247" s="15" t="str">
        <f aca="false">IF($A247="","",COUNTIFS($A$3:$A247,$A247))</f>
        <v/>
      </c>
      <c r="L247" s="15" t="str">
        <f aca="false">IF($A247="","",$A247&amp;"|"&amp;$K247)</f>
        <v/>
      </c>
    </row>
    <row r="248" customFormat="false" ht="15" hidden="false" customHeight="true" outlineLevel="0" collapsed="false">
      <c r="A248" s="12"/>
      <c r="B248" s="12"/>
      <c r="C248" s="15" t="str">
        <f aca="false">IF($B248="","",IFERROR(INDEX(품목마스터!$B$3:$B$102,MATCH($B248,품목마스터!$A$3:$A$102,0)),""))</f>
        <v/>
      </c>
      <c r="D248" s="15" t="str">
        <f aca="false">IF($B248="","",IFERROR(INDEX(품목마스터!$C$3:$C$102,MATCH($B248,품목마스터!$A$3:$A$102,0)),""))</f>
        <v/>
      </c>
      <c r="E248" s="13" t="str">
        <f aca="false">IF($B248="","",IFERROR(INDEX(품목마스터!$D$3:$D$102,MATCH($B248,품목마스터!$A$3:$A$102,0)),0))</f>
        <v/>
      </c>
      <c r="F248" s="10"/>
      <c r="G248" s="16" t="str">
        <f aca="false">IF(OR($E248="",$F248=""),"",ROUND($E248*$F248,0))</f>
        <v/>
      </c>
      <c r="H248" s="17"/>
      <c r="I248" s="16" t="str">
        <f aca="false">IF($G248="","",ROUND($G248*IF($H248="",0,$H248)/100,0))</f>
        <v/>
      </c>
      <c r="J248" s="10"/>
      <c r="K248" s="15" t="str">
        <f aca="false">IF($A248="","",COUNTIFS($A$3:$A248,$A248))</f>
        <v/>
      </c>
      <c r="L248" s="15" t="str">
        <f aca="false">IF($A248="","",$A248&amp;"|"&amp;$K248)</f>
        <v/>
      </c>
    </row>
    <row r="249" customFormat="false" ht="15" hidden="false" customHeight="true" outlineLevel="0" collapsed="false">
      <c r="A249" s="12"/>
      <c r="B249" s="12"/>
      <c r="C249" s="15" t="str">
        <f aca="false">IF($B249="","",IFERROR(INDEX(품목마스터!$B$3:$B$102,MATCH($B249,품목마스터!$A$3:$A$102,0)),""))</f>
        <v/>
      </c>
      <c r="D249" s="15" t="str">
        <f aca="false">IF($B249="","",IFERROR(INDEX(품목마스터!$C$3:$C$102,MATCH($B249,품목마스터!$A$3:$A$102,0)),""))</f>
        <v/>
      </c>
      <c r="E249" s="13" t="str">
        <f aca="false">IF($B249="","",IFERROR(INDEX(품목마스터!$D$3:$D$102,MATCH($B249,품목마스터!$A$3:$A$102,0)),0))</f>
        <v/>
      </c>
      <c r="F249" s="10"/>
      <c r="G249" s="16" t="str">
        <f aca="false">IF(OR($E249="",$F249=""),"",ROUND($E249*$F249,0))</f>
        <v/>
      </c>
      <c r="H249" s="17"/>
      <c r="I249" s="16" t="str">
        <f aca="false">IF($G249="","",ROUND($G249*IF($H249="",0,$H249)/100,0))</f>
        <v/>
      </c>
      <c r="J249" s="10"/>
      <c r="K249" s="15" t="str">
        <f aca="false">IF($A249="","",COUNTIFS($A$3:$A249,$A249))</f>
        <v/>
      </c>
      <c r="L249" s="15" t="str">
        <f aca="false">IF($A249="","",$A249&amp;"|"&amp;$K249)</f>
        <v/>
      </c>
    </row>
    <row r="250" customFormat="false" ht="15" hidden="false" customHeight="true" outlineLevel="0" collapsed="false">
      <c r="A250" s="12"/>
      <c r="B250" s="12"/>
      <c r="C250" s="15" t="str">
        <f aca="false">IF($B250="","",IFERROR(INDEX(품목마스터!$B$3:$B$102,MATCH($B250,품목마스터!$A$3:$A$102,0)),""))</f>
        <v/>
      </c>
      <c r="D250" s="15" t="str">
        <f aca="false">IF($B250="","",IFERROR(INDEX(품목마스터!$C$3:$C$102,MATCH($B250,품목마스터!$A$3:$A$102,0)),""))</f>
        <v/>
      </c>
      <c r="E250" s="13" t="str">
        <f aca="false">IF($B250="","",IFERROR(INDEX(품목마스터!$D$3:$D$102,MATCH($B250,품목마스터!$A$3:$A$102,0)),0))</f>
        <v/>
      </c>
      <c r="F250" s="10"/>
      <c r="G250" s="16" t="str">
        <f aca="false">IF(OR($E250="",$F250=""),"",ROUND($E250*$F250,0))</f>
        <v/>
      </c>
      <c r="H250" s="17"/>
      <c r="I250" s="16" t="str">
        <f aca="false">IF($G250="","",ROUND($G250*IF($H250="",0,$H250)/100,0))</f>
        <v/>
      </c>
      <c r="J250" s="10"/>
      <c r="K250" s="15" t="str">
        <f aca="false">IF($A250="","",COUNTIFS($A$3:$A250,$A250))</f>
        <v/>
      </c>
      <c r="L250" s="15" t="str">
        <f aca="false">IF($A250="","",$A250&amp;"|"&amp;$K250)</f>
        <v/>
      </c>
    </row>
    <row r="251" customFormat="false" ht="15" hidden="false" customHeight="true" outlineLevel="0" collapsed="false">
      <c r="A251" s="12"/>
      <c r="B251" s="12"/>
      <c r="C251" s="15" t="str">
        <f aca="false">IF($B251="","",IFERROR(INDEX(품목마스터!$B$3:$B$102,MATCH($B251,품목마스터!$A$3:$A$102,0)),""))</f>
        <v/>
      </c>
      <c r="D251" s="15" t="str">
        <f aca="false">IF($B251="","",IFERROR(INDEX(품목마스터!$C$3:$C$102,MATCH($B251,품목마스터!$A$3:$A$102,0)),""))</f>
        <v/>
      </c>
      <c r="E251" s="13" t="str">
        <f aca="false">IF($B251="","",IFERROR(INDEX(품목마스터!$D$3:$D$102,MATCH($B251,품목마스터!$A$3:$A$102,0)),0))</f>
        <v/>
      </c>
      <c r="F251" s="10"/>
      <c r="G251" s="16" t="str">
        <f aca="false">IF(OR($E251="",$F251=""),"",ROUND($E251*$F251,0))</f>
        <v/>
      </c>
      <c r="H251" s="17"/>
      <c r="I251" s="16" t="str">
        <f aca="false">IF($G251="","",ROUND($G251*IF($H251="",0,$H251)/100,0))</f>
        <v/>
      </c>
      <c r="J251" s="10"/>
      <c r="K251" s="15" t="str">
        <f aca="false">IF($A251="","",COUNTIFS($A$3:$A251,$A251))</f>
        <v/>
      </c>
      <c r="L251" s="15" t="str">
        <f aca="false">IF($A251="","",$A251&amp;"|"&amp;$K251)</f>
        <v/>
      </c>
    </row>
    <row r="252" customFormat="false" ht="15" hidden="false" customHeight="true" outlineLevel="0" collapsed="false">
      <c r="A252" s="12"/>
      <c r="B252" s="12"/>
      <c r="C252" s="15" t="str">
        <f aca="false">IF($B252="","",IFERROR(INDEX(품목마스터!$B$3:$B$102,MATCH($B252,품목마스터!$A$3:$A$102,0)),""))</f>
        <v/>
      </c>
      <c r="D252" s="15" t="str">
        <f aca="false">IF($B252="","",IFERROR(INDEX(품목마스터!$C$3:$C$102,MATCH($B252,품목마스터!$A$3:$A$102,0)),""))</f>
        <v/>
      </c>
      <c r="E252" s="13" t="str">
        <f aca="false">IF($B252="","",IFERROR(INDEX(품목마스터!$D$3:$D$102,MATCH($B252,품목마스터!$A$3:$A$102,0)),0))</f>
        <v/>
      </c>
      <c r="F252" s="10"/>
      <c r="G252" s="16" t="str">
        <f aca="false">IF(OR($E252="",$F252=""),"",ROUND($E252*$F252,0))</f>
        <v/>
      </c>
      <c r="H252" s="17"/>
      <c r="I252" s="16" t="str">
        <f aca="false">IF($G252="","",ROUND($G252*IF($H252="",0,$H252)/100,0))</f>
        <v/>
      </c>
      <c r="J252" s="10"/>
      <c r="K252" s="15" t="str">
        <f aca="false">IF($A252="","",COUNTIFS($A$3:$A252,$A252))</f>
        <v/>
      </c>
      <c r="L252" s="15" t="str">
        <f aca="false">IF($A252="","",$A252&amp;"|"&amp;$K252)</f>
        <v/>
      </c>
    </row>
    <row r="253" customFormat="false" ht="15" hidden="false" customHeight="true" outlineLevel="0" collapsed="false">
      <c r="A253" s="12"/>
      <c r="B253" s="12"/>
      <c r="C253" s="15" t="str">
        <f aca="false">IF($B253="","",IFERROR(INDEX(품목마스터!$B$3:$B$102,MATCH($B253,품목마스터!$A$3:$A$102,0)),""))</f>
        <v/>
      </c>
      <c r="D253" s="15" t="str">
        <f aca="false">IF($B253="","",IFERROR(INDEX(품목마스터!$C$3:$C$102,MATCH($B253,품목마스터!$A$3:$A$102,0)),""))</f>
        <v/>
      </c>
      <c r="E253" s="13" t="str">
        <f aca="false">IF($B253="","",IFERROR(INDEX(품목마스터!$D$3:$D$102,MATCH($B253,품목마스터!$A$3:$A$102,0)),0))</f>
        <v/>
      </c>
      <c r="F253" s="10"/>
      <c r="G253" s="16" t="str">
        <f aca="false">IF(OR($E253="",$F253=""),"",ROUND($E253*$F253,0))</f>
        <v/>
      </c>
      <c r="H253" s="17"/>
      <c r="I253" s="16" t="str">
        <f aca="false">IF($G253="","",ROUND($G253*IF($H253="",0,$H253)/100,0))</f>
        <v/>
      </c>
      <c r="J253" s="10"/>
      <c r="K253" s="15" t="str">
        <f aca="false">IF($A253="","",COUNTIFS($A$3:$A253,$A253))</f>
        <v/>
      </c>
      <c r="L253" s="15" t="str">
        <f aca="false">IF($A253="","",$A253&amp;"|"&amp;$K253)</f>
        <v/>
      </c>
    </row>
    <row r="254" customFormat="false" ht="15" hidden="false" customHeight="true" outlineLevel="0" collapsed="false">
      <c r="A254" s="12"/>
      <c r="B254" s="12"/>
      <c r="C254" s="15" t="str">
        <f aca="false">IF($B254="","",IFERROR(INDEX(품목마스터!$B$3:$B$102,MATCH($B254,품목마스터!$A$3:$A$102,0)),""))</f>
        <v/>
      </c>
      <c r="D254" s="15" t="str">
        <f aca="false">IF($B254="","",IFERROR(INDEX(품목마스터!$C$3:$C$102,MATCH($B254,품목마스터!$A$3:$A$102,0)),""))</f>
        <v/>
      </c>
      <c r="E254" s="13" t="str">
        <f aca="false">IF($B254="","",IFERROR(INDEX(품목마스터!$D$3:$D$102,MATCH($B254,품목마스터!$A$3:$A$102,0)),0))</f>
        <v/>
      </c>
      <c r="F254" s="10"/>
      <c r="G254" s="16" t="str">
        <f aca="false">IF(OR($E254="",$F254=""),"",ROUND($E254*$F254,0))</f>
        <v/>
      </c>
      <c r="H254" s="17"/>
      <c r="I254" s="16" t="str">
        <f aca="false">IF($G254="","",ROUND($G254*IF($H254="",0,$H254)/100,0))</f>
        <v/>
      </c>
      <c r="J254" s="10"/>
      <c r="K254" s="15" t="str">
        <f aca="false">IF($A254="","",COUNTIFS($A$3:$A254,$A254))</f>
        <v/>
      </c>
      <c r="L254" s="15" t="str">
        <f aca="false">IF($A254="","",$A254&amp;"|"&amp;$K254)</f>
        <v/>
      </c>
    </row>
    <row r="255" customFormat="false" ht="15" hidden="false" customHeight="true" outlineLevel="0" collapsed="false">
      <c r="A255" s="12"/>
      <c r="B255" s="12"/>
      <c r="C255" s="15" t="str">
        <f aca="false">IF($B255="","",IFERROR(INDEX(품목마스터!$B$3:$B$102,MATCH($B255,품목마스터!$A$3:$A$102,0)),""))</f>
        <v/>
      </c>
      <c r="D255" s="15" t="str">
        <f aca="false">IF($B255="","",IFERROR(INDEX(품목마스터!$C$3:$C$102,MATCH($B255,품목마스터!$A$3:$A$102,0)),""))</f>
        <v/>
      </c>
      <c r="E255" s="13" t="str">
        <f aca="false">IF($B255="","",IFERROR(INDEX(품목마스터!$D$3:$D$102,MATCH($B255,품목마스터!$A$3:$A$102,0)),0))</f>
        <v/>
      </c>
      <c r="F255" s="10"/>
      <c r="G255" s="16" t="str">
        <f aca="false">IF(OR($E255="",$F255=""),"",ROUND($E255*$F255,0))</f>
        <v/>
      </c>
      <c r="H255" s="17"/>
      <c r="I255" s="16" t="str">
        <f aca="false">IF($G255="","",ROUND($G255*IF($H255="",0,$H255)/100,0))</f>
        <v/>
      </c>
      <c r="J255" s="10"/>
      <c r="K255" s="15" t="str">
        <f aca="false">IF($A255="","",COUNTIFS($A$3:$A255,$A255))</f>
        <v/>
      </c>
      <c r="L255" s="15" t="str">
        <f aca="false">IF($A255="","",$A255&amp;"|"&amp;$K255)</f>
        <v/>
      </c>
    </row>
    <row r="256" customFormat="false" ht="15" hidden="false" customHeight="true" outlineLevel="0" collapsed="false">
      <c r="A256" s="12"/>
      <c r="B256" s="12"/>
      <c r="C256" s="15" t="str">
        <f aca="false">IF($B256="","",IFERROR(INDEX(품목마스터!$B$3:$B$102,MATCH($B256,품목마스터!$A$3:$A$102,0)),""))</f>
        <v/>
      </c>
      <c r="D256" s="15" t="str">
        <f aca="false">IF($B256="","",IFERROR(INDEX(품목마스터!$C$3:$C$102,MATCH($B256,품목마스터!$A$3:$A$102,0)),""))</f>
        <v/>
      </c>
      <c r="E256" s="13" t="str">
        <f aca="false">IF($B256="","",IFERROR(INDEX(품목마스터!$D$3:$D$102,MATCH($B256,품목마스터!$A$3:$A$102,0)),0))</f>
        <v/>
      </c>
      <c r="F256" s="10"/>
      <c r="G256" s="16" t="str">
        <f aca="false">IF(OR($E256="",$F256=""),"",ROUND($E256*$F256,0))</f>
        <v/>
      </c>
      <c r="H256" s="17"/>
      <c r="I256" s="16" t="str">
        <f aca="false">IF($G256="","",ROUND($G256*IF($H256="",0,$H256)/100,0))</f>
        <v/>
      </c>
      <c r="J256" s="10"/>
      <c r="K256" s="15" t="str">
        <f aca="false">IF($A256="","",COUNTIFS($A$3:$A256,$A256))</f>
        <v/>
      </c>
      <c r="L256" s="15" t="str">
        <f aca="false">IF($A256="","",$A256&amp;"|"&amp;$K256)</f>
        <v/>
      </c>
    </row>
    <row r="257" customFormat="false" ht="15" hidden="false" customHeight="true" outlineLevel="0" collapsed="false">
      <c r="A257" s="12"/>
      <c r="B257" s="12"/>
      <c r="C257" s="15" t="str">
        <f aca="false">IF($B257="","",IFERROR(INDEX(품목마스터!$B$3:$B$102,MATCH($B257,품목마스터!$A$3:$A$102,0)),""))</f>
        <v/>
      </c>
      <c r="D257" s="15" t="str">
        <f aca="false">IF($B257="","",IFERROR(INDEX(품목마스터!$C$3:$C$102,MATCH($B257,품목마스터!$A$3:$A$102,0)),""))</f>
        <v/>
      </c>
      <c r="E257" s="13" t="str">
        <f aca="false">IF($B257="","",IFERROR(INDEX(품목마스터!$D$3:$D$102,MATCH($B257,품목마스터!$A$3:$A$102,0)),0))</f>
        <v/>
      </c>
      <c r="F257" s="10"/>
      <c r="G257" s="16" t="str">
        <f aca="false">IF(OR($E257="",$F257=""),"",ROUND($E257*$F257,0))</f>
        <v/>
      </c>
      <c r="H257" s="17"/>
      <c r="I257" s="16" t="str">
        <f aca="false">IF($G257="","",ROUND($G257*IF($H257="",0,$H257)/100,0))</f>
        <v/>
      </c>
      <c r="J257" s="10"/>
      <c r="K257" s="15" t="str">
        <f aca="false">IF($A257="","",COUNTIFS($A$3:$A257,$A257))</f>
        <v/>
      </c>
      <c r="L257" s="15" t="str">
        <f aca="false">IF($A257="","",$A257&amp;"|"&amp;$K257)</f>
        <v/>
      </c>
    </row>
    <row r="258" customFormat="false" ht="15" hidden="false" customHeight="true" outlineLevel="0" collapsed="false">
      <c r="A258" s="12"/>
      <c r="B258" s="12"/>
      <c r="C258" s="15" t="str">
        <f aca="false">IF($B258="","",IFERROR(INDEX(품목마스터!$B$3:$B$102,MATCH($B258,품목마스터!$A$3:$A$102,0)),""))</f>
        <v/>
      </c>
      <c r="D258" s="15" t="str">
        <f aca="false">IF($B258="","",IFERROR(INDEX(품목마스터!$C$3:$C$102,MATCH($B258,품목마스터!$A$3:$A$102,0)),""))</f>
        <v/>
      </c>
      <c r="E258" s="13" t="str">
        <f aca="false">IF($B258="","",IFERROR(INDEX(품목마스터!$D$3:$D$102,MATCH($B258,품목마스터!$A$3:$A$102,0)),0))</f>
        <v/>
      </c>
      <c r="F258" s="10"/>
      <c r="G258" s="16" t="str">
        <f aca="false">IF(OR($E258="",$F258=""),"",ROUND($E258*$F258,0))</f>
        <v/>
      </c>
      <c r="H258" s="17"/>
      <c r="I258" s="16" t="str">
        <f aca="false">IF($G258="","",ROUND($G258*IF($H258="",0,$H258)/100,0))</f>
        <v/>
      </c>
      <c r="J258" s="10"/>
      <c r="K258" s="15" t="str">
        <f aca="false">IF($A258="","",COUNTIFS($A$3:$A258,$A258))</f>
        <v/>
      </c>
      <c r="L258" s="15" t="str">
        <f aca="false">IF($A258="","",$A258&amp;"|"&amp;$K258)</f>
        <v/>
      </c>
    </row>
    <row r="259" customFormat="false" ht="15" hidden="false" customHeight="true" outlineLevel="0" collapsed="false">
      <c r="A259" s="12"/>
      <c r="B259" s="12"/>
      <c r="C259" s="15" t="str">
        <f aca="false">IF($B259="","",IFERROR(INDEX(품목마스터!$B$3:$B$102,MATCH($B259,품목마스터!$A$3:$A$102,0)),""))</f>
        <v/>
      </c>
      <c r="D259" s="15" t="str">
        <f aca="false">IF($B259="","",IFERROR(INDEX(품목마스터!$C$3:$C$102,MATCH($B259,품목마스터!$A$3:$A$102,0)),""))</f>
        <v/>
      </c>
      <c r="E259" s="13" t="str">
        <f aca="false">IF($B259="","",IFERROR(INDEX(품목마스터!$D$3:$D$102,MATCH($B259,품목마스터!$A$3:$A$102,0)),0))</f>
        <v/>
      </c>
      <c r="F259" s="10"/>
      <c r="G259" s="16" t="str">
        <f aca="false">IF(OR($E259="",$F259=""),"",ROUND($E259*$F259,0))</f>
        <v/>
      </c>
      <c r="H259" s="17"/>
      <c r="I259" s="16" t="str">
        <f aca="false">IF($G259="","",ROUND($G259*IF($H259="",0,$H259)/100,0))</f>
        <v/>
      </c>
      <c r="J259" s="10"/>
      <c r="K259" s="15" t="str">
        <f aca="false">IF($A259="","",COUNTIFS($A$3:$A259,$A259))</f>
        <v/>
      </c>
      <c r="L259" s="15" t="str">
        <f aca="false">IF($A259="","",$A259&amp;"|"&amp;$K259)</f>
        <v/>
      </c>
    </row>
    <row r="260" customFormat="false" ht="15" hidden="false" customHeight="true" outlineLevel="0" collapsed="false">
      <c r="A260" s="12"/>
      <c r="B260" s="12"/>
      <c r="C260" s="15" t="str">
        <f aca="false">IF($B260="","",IFERROR(INDEX(품목마스터!$B$3:$B$102,MATCH($B260,품목마스터!$A$3:$A$102,0)),""))</f>
        <v/>
      </c>
      <c r="D260" s="15" t="str">
        <f aca="false">IF($B260="","",IFERROR(INDEX(품목마스터!$C$3:$C$102,MATCH($B260,품목마스터!$A$3:$A$102,0)),""))</f>
        <v/>
      </c>
      <c r="E260" s="13" t="str">
        <f aca="false">IF($B260="","",IFERROR(INDEX(품목마스터!$D$3:$D$102,MATCH($B260,품목마스터!$A$3:$A$102,0)),0))</f>
        <v/>
      </c>
      <c r="F260" s="10"/>
      <c r="G260" s="16" t="str">
        <f aca="false">IF(OR($E260="",$F260=""),"",ROUND($E260*$F260,0))</f>
        <v/>
      </c>
      <c r="H260" s="17"/>
      <c r="I260" s="16" t="str">
        <f aca="false">IF($G260="","",ROUND($G260*IF($H260="",0,$H260)/100,0))</f>
        <v/>
      </c>
      <c r="J260" s="10"/>
      <c r="K260" s="15" t="str">
        <f aca="false">IF($A260="","",COUNTIFS($A$3:$A260,$A260))</f>
        <v/>
      </c>
      <c r="L260" s="15" t="str">
        <f aca="false">IF($A260="","",$A260&amp;"|"&amp;$K260)</f>
        <v/>
      </c>
    </row>
    <row r="261" customFormat="false" ht="15" hidden="false" customHeight="true" outlineLevel="0" collapsed="false">
      <c r="A261" s="12"/>
      <c r="B261" s="12"/>
      <c r="C261" s="15" t="str">
        <f aca="false">IF($B261="","",IFERROR(INDEX(품목마스터!$B$3:$B$102,MATCH($B261,품목마스터!$A$3:$A$102,0)),""))</f>
        <v/>
      </c>
      <c r="D261" s="15" t="str">
        <f aca="false">IF($B261="","",IFERROR(INDEX(품목마스터!$C$3:$C$102,MATCH($B261,품목마스터!$A$3:$A$102,0)),""))</f>
        <v/>
      </c>
      <c r="E261" s="13" t="str">
        <f aca="false">IF($B261="","",IFERROR(INDEX(품목마스터!$D$3:$D$102,MATCH($B261,품목마스터!$A$3:$A$102,0)),0))</f>
        <v/>
      </c>
      <c r="F261" s="10"/>
      <c r="G261" s="16" t="str">
        <f aca="false">IF(OR($E261="",$F261=""),"",ROUND($E261*$F261,0))</f>
        <v/>
      </c>
      <c r="H261" s="17"/>
      <c r="I261" s="16" t="str">
        <f aca="false">IF($G261="","",ROUND($G261*IF($H261="",0,$H261)/100,0))</f>
        <v/>
      </c>
      <c r="J261" s="10"/>
      <c r="K261" s="15" t="str">
        <f aca="false">IF($A261="","",COUNTIFS($A$3:$A261,$A261))</f>
        <v/>
      </c>
      <c r="L261" s="15" t="str">
        <f aca="false">IF($A261="","",$A261&amp;"|"&amp;$K261)</f>
        <v/>
      </c>
    </row>
    <row r="262" customFormat="false" ht="15" hidden="false" customHeight="true" outlineLevel="0" collapsed="false">
      <c r="A262" s="12"/>
      <c r="B262" s="12"/>
      <c r="C262" s="15" t="str">
        <f aca="false">IF($B262="","",IFERROR(INDEX(품목마스터!$B$3:$B$102,MATCH($B262,품목마스터!$A$3:$A$102,0)),""))</f>
        <v/>
      </c>
      <c r="D262" s="15" t="str">
        <f aca="false">IF($B262="","",IFERROR(INDEX(품목마스터!$C$3:$C$102,MATCH($B262,품목마스터!$A$3:$A$102,0)),""))</f>
        <v/>
      </c>
      <c r="E262" s="13" t="str">
        <f aca="false">IF($B262="","",IFERROR(INDEX(품목마스터!$D$3:$D$102,MATCH($B262,품목마스터!$A$3:$A$102,0)),0))</f>
        <v/>
      </c>
      <c r="F262" s="10"/>
      <c r="G262" s="16" t="str">
        <f aca="false">IF(OR($E262="",$F262=""),"",ROUND($E262*$F262,0))</f>
        <v/>
      </c>
      <c r="H262" s="17"/>
      <c r="I262" s="16" t="str">
        <f aca="false">IF($G262="","",ROUND($G262*IF($H262="",0,$H262)/100,0))</f>
        <v/>
      </c>
      <c r="J262" s="10"/>
      <c r="K262" s="15" t="str">
        <f aca="false">IF($A262="","",COUNTIFS($A$3:$A262,$A262))</f>
        <v/>
      </c>
      <c r="L262" s="15" t="str">
        <f aca="false">IF($A262="","",$A262&amp;"|"&amp;$K262)</f>
        <v/>
      </c>
    </row>
    <row r="263" customFormat="false" ht="15" hidden="false" customHeight="true" outlineLevel="0" collapsed="false">
      <c r="A263" s="12"/>
      <c r="B263" s="12"/>
      <c r="C263" s="15" t="str">
        <f aca="false">IF($B263="","",IFERROR(INDEX(품목마스터!$B$3:$B$102,MATCH($B263,품목마스터!$A$3:$A$102,0)),""))</f>
        <v/>
      </c>
      <c r="D263" s="15" t="str">
        <f aca="false">IF($B263="","",IFERROR(INDEX(품목마스터!$C$3:$C$102,MATCH($B263,품목마스터!$A$3:$A$102,0)),""))</f>
        <v/>
      </c>
      <c r="E263" s="13" t="str">
        <f aca="false">IF($B263="","",IFERROR(INDEX(품목마스터!$D$3:$D$102,MATCH($B263,품목마스터!$A$3:$A$102,0)),0))</f>
        <v/>
      </c>
      <c r="F263" s="10"/>
      <c r="G263" s="16" t="str">
        <f aca="false">IF(OR($E263="",$F263=""),"",ROUND($E263*$F263,0))</f>
        <v/>
      </c>
      <c r="H263" s="17"/>
      <c r="I263" s="16" t="str">
        <f aca="false">IF($G263="","",ROUND($G263*IF($H263="",0,$H263)/100,0))</f>
        <v/>
      </c>
      <c r="J263" s="10"/>
      <c r="K263" s="15" t="str">
        <f aca="false">IF($A263="","",COUNTIFS($A$3:$A263,$A263))</f>
        <v/>
      </c>
      <c r="L263" s="15" t="str">
        <f aca="false">IF($A263="","",$A263&amp;"|"&amp;$K263)</f>
        <v/>
      </c>
    </row>
    <row r="264" customFormat="false" ht="15" hidden="false" customHeight="true" outlineLevel="0" collapsed="false">
      <c r="A264" s="12"/>
      <c r="B264" s="12"/>
      <c r="C264" s="15" t="str">
        <f aca="false">IF($B264="","",IFERROR(INDEX(품목마스터!$B$3:$B$102,MATCH($B264,품목마스터!$A$3:$A$102,0)),""))</f>
        <v/>
      </c>
      <c r="D264" s="15" t="str">
        <f aca="false">IF($B264="","",IFERROR(INDEX(품목마스터!$C$3:$C$102,MATCH($B264,품목마스터!$A$3:$A$102,0)),""))</f>
        <v/>
      </c>
      <c r="E264" s="13" t="str">
        <f aca="false">IF($B264="","",IFERROR(INDEX(품목마스터!$D$3:$D$102,MATCH($B264,품목마스터!$A$3:$A$102,0)),0))</f>
        <v/>
      </c>
      <c r="F264" s="10"/>
      <c r="G264" s="16" t="str">
        <f aca="false">IF(OR($E264="",$F264=""),"",ROUND($E264*$F264,0))</f>
        <v/>
      </c>
      <c r="H264" s="17"/>
      <c r="I264" s="16" t="str">
        <f aca="false">IF($G264="","",ROUND($G264*IF($H264="",0,$H264)/100,0))</f>
        <v/>
      </c>
      <c r="J264" s="10"/>
      <c r="K264" s="15" t="str">
        <f aca="false">IF($A264="","",COUNTIFS($A$3:$A264,$A264))</f>
        <v/>
      </c>
      <c r="L264" s="15" t="str">
        <f aca="false">IF($A264="","",$A264&amp;"|"&amp;$K264)</f>
        <v/>
      </c>
    </row>
    <row r="265" customFormat="false" ht="15" hidden="false" customHeight="true" outlineLevel="0" collapsed="false">
      <c r="A265" s="12"/>
      <c r="B265" s="12"/>
      <c r="C265" s="15" t="str">
        <f aca="false">IF($B265="","",IFERROR(INDEX(품목마스터!$B$3:$B$102,MATCH($B265,품목마스터!$A$3:$A$102,0)),""))</f>
        <v/>
      </c>
      <c r="D265" s="15" t="str">
        <f aca="false">IF($B265="","",IFERROR(INDEX(품목마스터!$C$3:$C$102,MATCH($B265,품목마스터!$A$3:$A$102,0)),""))</f>
        <v/>
      </c>
      <c r="E265" s="13" t="str">
        <f aca="false">IF($B265="","",IFERROR(INDEX(품목마스터!$D$3:$D$102,MATCH($B265,품목마스터!$A$3:$A$102,0)),0))</f>
        <v/>
      </c>
      <c r="F265" s="10"/>
      <c r="G265" s="16" t="str">
        <f aca="false">IF(OR($E265="",$F265=""),"",ROUND($E265*$F265,0))</f>
        <v/>
      </c>
      <c r="H265" s="17"/>
      <c r="I265" s="16" t="str">
        <f aca="false">IF($G265="","",ROUND($G265*IF($H265="",0,$H265)/100,0))</f>
        <v/>
      </c>
      <c r="J265" s="10"/>
      <c r="K265" s="15" t="str">
        <f aca="false">IF($A265="","",COUNTIFS($A$3:$A265,$A265))</f>
        <v/>
      </c>
      <c r="L265" s="15" t="str">
        <f aca="false">IF($A265="","",$A265&amp;"|"&amp;$K265)</f>
        <v/>
      </c>
    </row>
    <row r="266" customFormat="false" ht="15" hidden="false" customHeight="true" outlineLevel="0" collapsed="false">
      <c r="A266" s="12"/>
      <c r="B266" s="12"/>
      <c r="C266" s="15" t="str">
        <f aca="false">IF($B266="","",IFERROR(INDEX(품목마스터!$B$3:$B$102,MATCH($B266,품목마스터!$A$3:$A$102,0)),""))</f>
        <v/>
      </c>
      <c r="D266" s="15" t="str">
        <f aca="false">IF($B266="","",IFERROR(INDEX(품목마스터!$C$3:$C$102,MATCH($B266,품목마스터!$A$3:$A$102,0)),""))</f>
        <v/>
      </c>
      <c r="E266" s="13" t="str">
        <f aca="false">IF($B266="","",IFERROR(INDEX(품목마스터!$D$3:$D$102,MATCH($B266,품목마스터!$A$3:$A$102,0)),0))</f>
        <v/>
      </c>
      <c r="F266" s="10"/>
      <c r="G266" s="16" t="str">
        <f aca="false">IF(OR($E266="",$F266=""),"",ROUND($E266*$F266,0))</f>
        <v/>
      </c>
      <c r="H266" s="17"/>
      <c r="I266" s="16" t="str">
        <f aca="false">IF($G266="","",ROUND($G266*IF($H266="",0,$H266)/100,0))</f>
        <v/>
      </c>
      <c r="J266" s="10"/>
      <c r="K266" s="15" t="str">
        <f aca="false">IF($A266="","",COUNTIFS($A$3:$A266,$A266))</f>
        <v/>
      </c>
      <c r="L266" s="15" t="str">
        <f aca="false">IF($A266="","",$A266&amp;"|"&amp;$K266)</f>
        <v/>
      </c>
    </row>
    <row r="267" customFormat="false" ht="15" hidden="false" customHeight="true" outlineLevel="0" collapsed="false">
      <c r="A267" s="12"/>
      <c r="B267" s="12"/>
      <c r="C267" s="15" t="str">
        <f aca="false">IF($B267="","",IFERROR(INDEX(품목마스터!$B$3:$B$102,MATCH($B267,품목마스터!$A$3:$A$102,0)),""))</f>
        <v/>
      </c>
      <c r="D267" s="15" t="str">
        <f aca="false">IF($B267="","",IFERROR(INDEX(품목마스터!$C$3:$C$102,MATCH($B267,품목마스터!$A$3:$A$102,0)),""))</f>
        <v/>
      </c>
      <c r="E267" s="13" t="str">
        <f aca="false">IF($B267="","",IFERROR(INDEX(품목마스터!$D$3:$D$102,MATCH($B267,품목마스터!$A$3:$A$102,0)),0))</f>
        <v/>
      </c>
      <c r="F267" s="10"/>
      <c r="G267" s="16" t="str">
        <f aca="false">IF(OR($E267="",$F267=""),"",ROUND($E267*$F267,0))</f>
        <v/>
      </c>
      <c r="H267" s="17"/>
      <c r="I267" s="16" t="str">
        <f aca="false">IF($G267="","",ROUND($G267*IF($H267="",0,$H267)/100,0))</f>
        <v/>
      </c>
      <c r="J267" s="10"/>
      <c r="K267" s="15" t="str">
        <f aca="false">IF($A267="","",COUNTIFS($A$3:$A267,$A267))</f>
        <v/>
      </c>
      <c r="L267" s="15" t="str">
        <f aca="false">IF($A267="","",$A267&amp;"|"&amp;$K267)</f>
        <v/>
      </c>
    </row>
    <row r="268" customFormat="false" ht="15" hidden="false" customHeight="true" outlineLevel="0" collapsed="false">
      <c r="A268" s="12"/>
      <c r="B268" s="12"/>
      <c r="C268" s="15" t="str">
        <f aca="false">IF($B268="","",IFERROR(INDEX(품목마스터!$B$3:$B$102,MATCH($B268,품목마스터!$A$3:$A$102,0)),""))</f>
        <v/>
      </c>
      <c r="D268" s="15" t="str">
        <f aca="false">IF($B268="","",IFERROR(INDEX(품목마스터!$C$3:$C$102,MATCH($B268,품목마스터!$A$3:$A$102,0)),""))</f>
        <v/>
      </c>
      <c r="E268" s="13" t="str">
        <f aca="false">IF($B268="","",IFERROR(INDEX(품목마스터!$D$3:$D$102,MATCH($B268,품목마스터!$A$3:$A$102,0)),0))</f>
        <v/>
      </c>
      <c r="F268" s="10"/>
      <c r="G268" s="16" t="str">
        <f aca="false">IF(OR($E268="",$F268=""),"",ROUND($E268*$F268,0))</f>
        <v/>
      </c>
      <c r="H268" s="17"/>
      <c r="I268" s="16" t="str">
        <f aca="false">IF($G268="","",ROUND($G268*IF($H268="",0,$H268)/100,0))</f>
        <v/>
      </c>
      <c r="J268" s="10"/>
      <c r="K268" s="15" t="str">
        <f aca="false">IF($A268="","",COUNTIFS($A$3:$A268,$A268))</f>
        <v/>
      </c>
      <c r="L268" s="15" t="str">
        <f aca="false">IF($A268="","",$A268&amp;"|"&amp;$K268)</f>
        <v/>
      </c>
    </row>
    <row r="269" customFormat="false" ht="15" hidden="false" customHeight="true" outlineLevel="0" collapsed="false">
      <c r="A269" s="12"/>
      <c r="B269" s="12"/>
      <c r="C269" s="15" t="str">
        <f aca="false">IF($B269="","",IFERROR(INDEX(품목마스터!$B$3:$B$102,MATCH($B269,품목마스터!$A$3:$A$102,0)),""))</f>
        <v/>
      </c>
      <c r="D269" s="15" t="str">
        <f aca="false">IF($B269="","",IFERROR(INDEX(품목마스터!$C$3:$C$102,MATCH($B269,품목마스터!$A$3:$A$102,0)),""))</f>
        <v/>
      </c>
      <c r="E269" s="13" t="str">
        <f aca="false">IF($B269="","",IFERROR(INDEX(품목마스터!$D$3:$D$102,MATCH($B269,품목마스터!$A$3:$A$102,0)),0))</f>
        <v/>
      </c>
      <c r="F269" s="10"/>
      <c r="G269" s="16" t="str">
        <f aca="false">IF(OR($E269="",$F269=""),"",ROUND($E269*$F269,0))</f>
        <v/>
      </c>
      <c r="H269" s="17"/>
      <c r="I269" s="16" t="str">
        <f aca="false">IF($G269="","",ROUND($G269*IF($H269="",0,$H269)/100,0))</f>
        <v/>
      </c>
      <c r="J269" s="10"/>
      <c r="K269" s="15" t="str">
        <f aca="false">IF($A269="","",COUNTIFS($A$3:$A269,$A269))</f>
        <v/>
      </c>
      <c r="L269" s="15" t="str">
        <f aca="false">IF($A269="","",$A269&amp;"|"&amp;$K269)</f>
        <v/>
      </c>
    </row>
    <row r="270" customFormat="false" ht="15" hidden="false" customHeight="true" outlineLevel="0" collapsed="false">
      <c r="A270" s="12"/>
      <c r="B270" s="12"/>
      <c r="C270" s="15" t="str">
        <f aca="false">IF($B270="","",IFERROR(INDEX(품목마스터!$B$3:$B$102,MATCH($B270,품목마스터!$A$3:$A$102,0)),""))</f>
        <v/>
      </c>
      <c r="D270" s="15" t="str">
        <f aca="false">IF($B270="","",IFERROR(INDEX(품목마스터!$C$3:$C$102,MATCH($B270,품목마스터!$A$3:$A$102,0)),""))</f>
        <v/>
      </c>
      <c r="E270" s="13" t="str">
        <f aca="false">IF($B270="","",IFERROR(INDEX(품목마스터!$D$3:$D$102,MATCH($B270,품목마스터!$A$3:$A$102,0)),0))</f>
        <v/>
      </c>
      <c r="F270" s="10"/>
      <c r="G270" s="16" t="str">
        <f aca="false">IF(OR($E270="",$F270=""),"",ROUND($E270*$F270,0))</f>
        <v/>
      </c>
      <c r="H270" s="17"/>
      <c r="I270" s="16" t="str">
        <f aca="false">IF($G270="","",ROUND($G270*IF($H270="",0,$H270)/100,0))</f>
        <v/>
      </c>
      <c r="J270" s="10"/>
      <c r="K270" s="15" t="str">
        <f aca="false">IF($A270="","",COUNTIFS($A$3:$A270,$A270))</f>
        <v/>
      </c>
      <c r="L270" s="15" t="str">
        <f aca="false">IF($A270="","",$A270&amp;"|"&amp;$K270)</f>
        <v/>
      </c>
    </row>
    <row r="271" customFormat="false" ht="15" hidden="false" customHeight="true" outlineLevel="0" collapsed="false">
      <c r="A271" s="12"/>
      <c r="B271" s="12"/>
      <c r="C271" s="15" t="str">
        <f aca="false">IF($B271="","",IFERROR(INDEX(품목마스터!$B$3:$B$102,MATCH($B271,품목마스터!$A$3:$A$102,0)),""))</f>
        <v/>
      </c>
      <c r="D271" s="15" t="str">
        <f aca="false">IF($B271="","",IFERROR(INDEX(품목마스터!$C$3:$C$102,MATCH($B271,품목마스터!$A$3:$A$102,0)),""))</f>
        <v/>
      </c>
      <c r="E271" s="13" t="str">
        <f aca="false">IF($B271="","",IFERROR(INDEX(품목마스터!$D$3:$D$102,MATCH($B271,품목마스터!$A$3:$A$102,0)),0))</f>
        <v/>
      </c>
      <c r="F271" s="10"/>
      <c r="G271" s="16" t="str">
        <f aca="false">IF(OR($E271="",$F271=""),"",ROUND($E271*$F271,0))</f>
        <v/>
      </c>
      <c r="H271" s="17"/>
      <c r="I271" s="16" t="str">
        <f aca="false">IF($G271="","",ROUND($G271*IF($H271="",0,$H271)/100,0))</f>
        <v/>
      </c>
      <c r="J271" s="10"/>
      <c r="K271" s="15" t="str">
        <f aca="false">IF($A271="","",COUNTIFS($A$3:$A271,$A271))</f>
        <v/>
      </c>
      <c r="L271" s="15" t="str">
        <f aca="false">IF($A271="","",$A271&amp;"|"&amp;$K271)</f>
        <v/>
      </c>
    </row>
    <row r="272" customFormat="false" ht="15" hidden="false" customHeight="true" outlineLevel="0" collapsed="false">
      <c r="A272" s="12"/>
      <c r="B272" s="12"/>
      <c r="C272" s="15" t="str">
        <f aca="false">IF($B272="","",IFERROR(INDEX(품목마스터!$B$3:$B$102,MATCH($B272,품목마스터!$A$3:$A$102,0)),""))</f>
        <v/>
      </c>
      <c r="D272" s="15" t="str">
        <f aca="false">IF($B272="","",IFERROR(INDEX(품목마스터!$C$3:$C$102,MATCH($B272,품목마스터!$A$3:$A$102,0)),""))</f>
        <v/>
      </c>
      <c r="E272" s="13" t="str">
        <f aca="false">IF($B272="","",IFERROR(INDEX(품목마스터!$D$3:$D$102,MATCH($B272,품목마스터!$A$3:$A$102,0)),0))</f>
        <v/>
      </c>
      <c r="F272" s="10"/>
      <c r="G272" s="16" t="str">
        <f aca="false">IF(OR($E272="",$F272=""),"",ROUND($E272*$F272,0))</f>
        <v/>
      </c>
      <c r="H272" s="17"/>
      <c r="I272" s="16" t="str">
        <f aca="false">IF($G272="","",ROUND($G272*IF($H272="",0,$H272)/100,0))</f>
        <v/>
      </c>
      <c r="J272" s="10"/>
      <c r="K272" s="15" t="str">
        <f aca="false">IF($A272="","",COUNTIFS($A$3:$A272,$A272))</f>
        <v/>
      </c>
      <c r="L272" s="15" t="str">
        <f aca="false">IF($A272="","",$A272&amp;"|"&amp;$K272)</f>
        <v/>
      </c>
    </row>
    <row r="273" customFormat="false" ht="15" hidden="false" customHeight="true" outlineLevel="0" collapsed="false">
      <c r="A273" s="12"/>
      <c r="B273" s="12"/>
      <c r="C273" s="15" t="str">
        <f aca="false">IF($B273="","",IFERROR(INDEX(품목마스터!$B$3:$B$102,MATCH($B273,품목마스터!$A$3:$A$102,0)),""))</f>
        <v/>
      </c>
      <c r="D273" s="15" t="str">
        <f aca="false">IF($B273="","",IFERROR(INDEX(품목마스터!$C$3:$C$102,MATCH($B273,품목마스터!$A$3:$A$102,0)),""))</f>
        <v/>
      </c>
      <c r="E273" s="13" t="str">
        <f aca="false">IF($B273="","",IFERROR(INDEX(품목마스터!$D$3:$D$102,MATCH($B273,품목마스터!$A$3:$A$102,0)),0))</f>
        <v/>
      </c>
      <c r="F273" s="10"/>
      <c r="G273" s="16" t="str">
        <f aca="false">IF(OR($E273="",$F273=""),"",ROUND($E273*$F273,0))</f>
        <v/>
      </c>
      <c r="H273" s="17"/>
      <c r="I273" s="16" t="str">
        <f aca="false">IF($G273="","",ROUND($G273*IF($H273="",0,$H273)/100,0))</f>
        <v/>
      </c>
      <c r="J273" s="10"/>
      <c r="K273" s="15" t="str">
        <f aca="false">IF($A273="","",COUNTIFS($A$3:$A273,$A273))</f>
        <v/>
      </c>
      <c r="L273" s="15" t="str">
        <f aca="false">IF($A273="","",$A273&amp;"|"&amp;$K273)</f>
        <v/>
      </c>
    </row>
    <row r="274" customFormat="false" ht="15" hidden="false" customHeight="true" outlineLevel="0" collapsed="false">
      <c r="A274" s="12"/>
      <c r="B274" s="12"/>
      <c r="C274" s="15" t="str">
        <f aca="false">IF($B274="","",IFERROR(INDEX(품목마스터!$B$3:$B$102,MATCH($B274,품목마스터!$A$3:$A$102,0)),""))</f>
        <v/>
      </c>
      <c r="D274" s="15" t="str">
        <f aca="false">IF($B274="","",IFERROR(INDEX(품목마스터!$C$3:$C$102,MATCH($B274,품목마스터!$A$3:$A$102,0)),""))</f>
        <v/>
      </c>
      <c r="E274" s="13" t="str">
        <f aca="false">IF($B274="","",IFERROR(INDEX(품목마스터!$D$3:$D$102,MATCH($B274,품목마스터!$A$3:$A$102,0)),0))</f>
        <v/>
      </c>
      <c r="F274" s="10"/>
      <c r="G274" s="16" t="str">
        <f aca="false">IF(OR($E274="",$F274=""),"",ROUND($E274*$F274,0))</f>
        <v/>
      </c>
      <c r="H274" s="17"/>
      <c r="I274" s="16" t="str">
        <f aca="false">IF($G274="","",ROUND($G274*IF($H274="",0,$H274)/100,0))</f>
        <v/>
      </c>
      <c r="J274" s="10"/>
      <c r="K274" s="15" t="str">
        <f aca="false">IF($A274="","",COUNTIFS($A$3:$A274,$A274))</f>
        <v/>
      </c>
      <c r="L274" s="15" t="str">
        <f aca="false">IF($A274="","",$A274&amp;"|"&amp;$K274)</f>
        <v/>
      </c>
    </row>
    <row r="275" customFormat="false" ht="15" hidden="false" customHeight="true" outlineLevel="0" collapsed="false">
      <c r="A275" s="12"/>
      <c r="B275" s="12"/>
      <c r="C275" s="15" t="str">
        <f aca="false">IF($B275="","",IFERROR(INDEX(품목마스터!$B$3:$B$102,MATCH($B275,품목마스터!$A$3:$A$102,0)),""))</f>
        <v/>
      </c>
      <c r="D275" s="15" t="str">
        <f aca="false">IF($B275="","",IFERROR(INDEX(품목마스터!$C$3:$C$102,MATCH($B275,품목마스터!$A$3:$A$102,0)),""))</f>
        <v/>
      </c>
      <c r="E275" s="13" t="str">
        <f aca="false">IF($B275="","",IFERROR(INDEX(품목마스터!$D$3:$D$102,MATCH($B275,품목마스터!$A$3:$A$102,0)),0))</f>
        <v/>
      </c>
      <c r="F275" s="10"/>
      <c r="G275" s="16" t="str">
        <f aca="false">IF(OR($E275="",$F275=""),"",ROUND($E275*$F275,0))</f>
        <v/>
      </c>
      <c r="H275" s="17"/>
      <c r="I275" s="16" t="str">
        <f aca="false">IF($G275="","",ROUND($G275*IF($H275="",0,$H275)/100,0))</f>
        <v/>
      </c>
      <c r="J275" s="10"/>
      <c r="K275" s="15" t="str">
        <f aca="false">IF($A275="","",COUNTIFS($A$3:$A275,$A275))</f>
        <v/>
      </c>
      <c r="L275" s="15" t="str">
        <f aca="false">IF($A275="","",$A275&amp;"|"&amp;$K275)</f>
        <v/>
      </c>
    </row>
    <row r="276" customFormat="false" ht="15" hidden="false" customHeight="true" outlineLevel="0" collapsed="false">
      <c r="A276" s="12"/>
      <c r="B276" s="12"/>
      <c r="C276" s="15" t="str">
        <f aca="false">IF($B276="","",IFERROR(INDEX(품목마스터!$B$3:$B$102,MATCH($B276,품목마스터!$A$3:$A$102,0)),""))</f>
        <v/>
      </c>
      <c r="D276" s="15" t="str">
        <f aca="false">IF($B276="","",IFERROR(INDEX(품목마스터!$C$3:$C$102,MATCH($B276,품목마스터!$A$3:$A$102,0)),""))</f>
        <v/>
      </c>
      <c r="E276" s="13" t="str">
        <f aca="false">IF($B276="","",IFERROR(INDEX(품목마스터!$D$3:$D$102,MATCH($B276,품목마스터!$A$3:$A$102,0)),0))</f>
        <v/>
      </c>
      <c r="F276" s="10"/>
      <c r="G276" s="16" t="str">
        <f aca="false">IF(OR($E276="",$F276=""),"",ROUND($E276*$F276,0))</f>
        <v/>
      </c>
      <c r="H276" s="17"/>
      <c r="I276" s="16" t="str">
        <f aca="false">IF($G276="","",ROUND($G276*IF($H276="",0,$H276)/100,0))</f>
        <v/>
      </c>
      <c r="J276" s="10"/>
      <c r="K276" s="15" t="str">
        <f aca="false">IF($A276="","",COUNTIFS($A$3:$A276,$A276))</f>
        <v/>
      </c>
      <c r="L276" s="15" t="str">
        <f aca="false">IF($A276="","",$A276&amp;"|"&amp;$K276)</f>
        <v/>
      </c>
    </row>
    <row r="277" customFormat="false" ht="15" hidden="false" customHeight="true" outlineLevel="0" collapsed="false">
      <c r="A277" s="12"/>
      <c r="B277" s="12"/>
      <c r="C277" s="15" t="str">
        <f aca="false">IF($B277="","",IFERROR(INDEX(품목마스터!$B$3:$B$102,MATCH($B277,품목마스터!$A$3:$A$102,0)),""))</f>
        <v/>
      </c>
      <c r="D277" s="15" t="str">
        <f aca="false">IF($B277="","",IFERROR(INDEX(품목마스터!$C$3:$C$102,MATCH($B277,품목마스터!$A$3:$A$102,0)),""))</f>
        <v/>
      </c>
      <c r="E277" s="13" t="str">
        <f aca="false">IF($B277="","",IFERROR(INDEX(품목마스터!$D$3:$D$102,MATCH($B277,품목마스터!$A$3:$A$102,0)),0))</f>
        <v/>
      </c>
      <c r="F277" s="10"/>
      <c r="G277" s="16" t="str">
        <f aca="false">IF(OR($E277="",$F277=""),"",ROUND($E277*$F277,0))</f>
        <v/>
      </c>
      <c r="H277" s="17"/>
      <c r="I277" s="16" t="str">
        <f aca="false">IF($G277="","",ROUND($G277*IF($H277="",0,$H277)/100,0))</f>
        <v/>
      </c>
      <c r="J277" s="10"/>
      <c r="K277" s="15" t="str">
        <f aca="false">IF($A277="","",COUNTIFS($A$3:$A277,$A277))</f>
        <v/>
      </c>
      <c r="L277" s="15" t="str">
        <f aca="false">IF($A277="","",$A277&amp;"|"&amp;$K277)</f>
        <v/>
      </c>
    </row>
    <row r="278" customFormat="false" ht="15" hidden="false" customHeight="true" outlineLevel="0" collapsed="false">
      <c r="A278" s="12"/>
      <c r="B278" s="12"/>
      <c r="C278" s="15" t="str">
        <f aca="false">IF($B278="","",IFERROR(INDEX(품목마스터!$B$3:$B$102,MATCH($B278,품목마스터!$A$3:$A$102,0)),""))</f>
        <v/>
      </c>
      <c r="D278" s="15" t="str">
        <f aca="false">IF($B278="","",IFERROR(INDEX(품목마스터!$C$3:$C$102,MATCH($B278,품목마스터!$A$3:$A$102,0)),""))</f>
        <v/>
      </c>
      <c r="E278" s="13" t="str">
        <f aca="false">IF($B278="","",IFERROR(INDEX(품목마스터!$D$3:$D$102,MATCH($B278,품목마스터!$A$3:$A$102,0)),0))</f>
        <v/>
      </c>
      <c r="F278" s="10"/>
      <c r="G278" s="16" t="str">
        <f aca="false">IF(OR($E278="",$F278=""),"",ROUND($E278*$F278,0))</f>
        <v/>
      </c>
      <c r="H278" s="17"/>
      <c r="I278" s="16" t="str">
        <f aca="false">IF($G278="","",ROUND($G278*IF($H278="",0,$H278)/100,0))</f>
        <v/>
      </c>
      <c r="J278" s="10"/>
      <c r="K278" s="15" t="str">
        <f aca="false">IF($A278="","",COUNTIFS($A$3:$A278,$A278))</f>
        <v/>
      </c>
      <c r="L278" s="15" t="str">
        <f aca="false">IF($A278="","",$A278&amp;"|"&amp;$K278)</f>
        <v/>
      </c>
    </row>
    <row r="279" customFormat="false" ht="15" hidden="false" customHeight="true" outlineLevel="0" collapsed="false">
      <c r="A279" s="12"/>
      <c r="B279" s="12"/>
      <c r="C279" s="15" t="str">
        <f aca="false">IF($B279="","",IFERROR(INDEX(품목마스터!$B$3:$B$102,MATCH($B279,품목마스터!$A$3:$A$102,0)),""))</f>
        <v/>
      </c>
      <c r="D279" s="15" t="str">
        <f aca="false">IF($B279="","",IFERROR(INDEX(품목마스터!$C$3:$C$102,MATCH($B279,품목마스터!$A$3:$A$102,0)),""))</f>
        <v/>
      </c>
      <c r="E279" s="13" t="str">
        <f aca="false">IF($B279="","",IFERROR(INDEX(품목마스터!$D$3:$D$102,MATCH($B279,품목마스터!$A$3:$A$102,0)),0))</f>
        <v/>
      </c>
      <c r="F279" s="10"/>
      <c r="G279" s="16" t="str">
        <f aca="false">IF(OR($E279="",$F279=""),"",ROUND($E279*$F279,0))</f>
        <v/>
      </c>
      <c r="H279" s="17"/>
      <c r="I279" s="16" t="str">
        <f aca="false">IF($G279="","",ROUND($G279*IF($H279="",0,$H279)/100,0))</f>
        <v/>
      </c>
      <c r="J279" s="10"/>
      <c r="K279" s="15" t="str">
        <f aca="false">IF($A279="","",COUNTIFS($A$3:$A279,$A279))</f>
        <v/>
      </c>
      <c r="L279" s="15" t="str">
        <f aca="false">IF($A279="","",$A279&amp;"|"&amp;$K279)</f>
        <v/>
      </c>
    </row>
    <row r="280" customFormat="false" ht="15" hidden="false" customHeight="true" outlineLevel="0" collapsed="false">
      <c r="A280" s="12"/>
      <c r="B280" s="12"/>
      <c r="C280" s="15" t="str">
        <f aca="false">IF($B280="","",IFERROR(INDEX(품목마스터!$B$3:$B$102,MATCH($B280,품목마스터!$A$3:$A$102,0)),""))</f>
        <v/>
      </c>
      <c r="D280" s="15" t="str">
        <f aca="false">IF($B280="","",IFERROR(INDEX(품목마스터!$C$3:$C$102,MATCH($B280,품목마스터!$A$3:$A$102,0)),""))</f>
        <v/>
      </c>
      <c r="E280" s="13" t="str">
        <f aca="false">IF($B280="","",IFERROR(INDEX(품목마스터!$D$3:$D$102,MATCH($B280,품목마스터!$A$3:$A$102,0)),0))</f>
        <v/>
      </c>
      <c r="F280" s="10"/>
      <c r="G280" s="16" t="str">
        <f aca="false">IF(OR($E280="",$F280=""),"",ROUND($E280*$F280,0))</f>
        <v/>
      </c>
      <c r="H280" s="17"/>
      <c r="I280" s="16" t="str">
        <f aca="false">IF($G280="","",ROUND($G280*IF($H280="",0,$H280)/100,0))</f>
        <v/>
      </c>
      <c r="J280" s="10"/>
      <c r="K280" s="15" t="str">
        <f aca="false">IF($A280="","",COUNTIFS($A$3:$A280,$A280))</f>
        <v/>
      </c>
      <c r="L280" s="15" t="str">
        <f aca="false">IF($A280="","",$A280&amp;"|"&amp;$K280)</f>
        <v/>
      </c>
    </row>
    <row r="281" customFormat="false" ht="15" hidden="false" customHeight="true" outlineLevel="0" collapsed="false">
      <c r="A281" s="12"/>
      <c r="B281" s="12"/>
      <c r="C281" s="15" t="str">
        <f aca="false">IF($B281="","",IFERROR(INDEX(품목마스터!$B$3:$B$102,MATCH($B281,품목마스터!$A$3:$A$102,0)),""))</f>
        <v/>
      </c>
      <c r="D281" s="15" t="str">
        <f aca="false">IF($B281="","",IFERROR(INDEX(품목마스터!$C$3:$C$102,MATCH($B281,품목마스터!$A$3:$A$102,0)),""))</f>
        <v/>
      </c>
      <c r="E281" s="13" t="str">
        <f aca="false">IF($B281="","",IFERROR(INDEX(품목마스터!$D$3:$D$102,MATCH($B281,품목마스터!$A$3:$A$102,0)),0))</f>
        <v/>
      </c>
      <c r="F281" s="10"/>
      <c r="G281" s="16" t="str">
        <f aca="false">IF(OR($E281="",$F281=""),"",ROUND($E281*$F281,0))</f>
        <v/>
      </c>
      <c r="H281" s="17"/>
      <c r="I281" s="16" t="str">
        <f aca="false">IF($G281="","",ROUND($G281*IF($H281="",0,$H281)/100,0))</f>
        <v/>
      </c>
      <c r="J281" s="10"/>
      <c r="K281" s="15" t="str">
        <f aca="false">IF($A281="","",COUNTIFS($A$3:$A281,$A281))</f>
        <v/>
      </c>
      <c r="L281" s="15" t="str">
        <f aca="false">IF($A281="","",$A281&amp;"|"&amp;$K281)</f>
        <v/>
      </c>
    </row>
    <row r="282" customFormat="false" ht="15" hidden="false" customHeight="true" outlineLevel="0" collapsed="false">
      <c r="A282" s="12"/>
      <c r="B282" s="12"/>
      <c r="C282" s="15" t="str">
        <f aca="false">IF($B282="","",IFERROR(INDEX(품목마스터!$B$3:$B$102,MATCH($B282,품목마스터!$A$3:$A$102,0)),""))</f>
        <v/>
      </c>
      <c r="D282" s="15" t="str">
        <f aca="false">IF($B282="","",IFERROR(INDEX(품목마스터!$C$3:$C$102,MATCH($B282,품목마스터!$A$3:$A$102,0)),""))</f>
        <v/>
      </c>
      <c r="E282" s="13" t="str">
        <f aca="false">IF($B282="","",IFERROR(INDEX(품목마스터!$D$3:$D$102,MATCH($B282,품목마스터!$A$3:$A$102,0)),0))</f>
        <v/>
      </c>
      <c r="F282" s="10"/>
      <c r="G282" s="16" t="str">
        <f aca="false">IF(OR($E282="",$F282=""),"",ROUND($E282*$F282,0))</f>
        <v/>
      </c>
      <c r="H282" s="17"/>
      <c r="I282" s="16" t="str">
        <f aca="false">IF($G282="","",ROUND($G282*IF($H282="",0,$H282)/100,0))</f>
        <v/>
      </c>
      <c r="J282" s="10"/>
      <c r="K282" s="15" t="str">
        <f aca="false">IF($A282="","",COUNTIFS($A$3:$A282,$A282))</f>
        <v/>
      </c>
      <c r="L282" s="15" t="str">
        <f aca="false">IF($A282="","",$A282&amp;"|"&amp;$K282)</f>
        <v/>
      </c>
    </row>
    <row r="283" customFormat="false" ht="15" hidden="false" customHeight="true" outlineLevel="0" collapsed="false">
      <c r="A283" s="12"/>
      <c r="B283" s="12"/>
      <c r="C283" s="15" t="str">
        <f aca="false">IF($B283="","",IFERROR(INDEX(품목마스터!$B$3:$B$102,MATCH($B283,품목마스터!$A$3:$A$102,0)),""))</f>
        <v/>
      </c>
      <c r="D283" s="15" t="str">
        <f aca="false">IF($B283="","",IFERROR(INDEX(품목마스터!$C$3:$C$102,MATCH($B283,품목마스터!$A$3:$A$102,0)),""))</f>
        <v/>
      </c>
      <c r="E283" s="13" t="str">
        <f aca="false">IF($B283="","",IFERROR(INDEX(품목마스터!$D$3:$D$102,MATCH($B283,품목마스터!$A$3:$A$102,0)),0))</f>
        <v/>
      </c>
      <c r="F283" s="10"/>
      <c r="G283" s="16" t="str">
        <f aca="false">IF(OR($E283="",$F283=""),"",ROUND($E283*$F283,0))</f>
        <v/>
      </c>
      <c r="H283" s="17"/>
      <c r="I283" s="16" t="str">
        <f aca="false">IF($G283="","",ROUND($G283*IF($H283="",0,$H283)/100,0))</f>
        <v/>
      </c>
      <c r="J283" s="10"/>
      <c r="K283" s="15" t="str">
        <f aca="false">IF($A283="","",COUNTIFS($A$3:$A283,$A283))</f>
        <v/>
      </c>
      <c r="L283" s="15" t="str">
        <f aca="false">IF($A283="","",$A283&amp;"|"&amp;$K283)</f>
        <v/>
      </c>
    </row>
    <row r="284" customFormat="false" ht="15" hidden="false" customHeight="true" outlineLevel="0" collapsed="false">
      <c r="A284" s="12"/>
      <c r="B284" s="12"/>
      <c r="C284" s="15" t="str">
        <f aca="false">IF($B284="","",IFERROR(INDEX(품목마스터!$B$3:$B$102,MATCH($B284,품목마스터!$A$3:$A$102,0)),""))</f>
        <v/>
      </c>
      <c r="D284" s="15" t="str">
        <f aca="false">IF($B284="","",IFERROR(INDEX(품목마스터!$C$3:$C$102,MATCH($B284,품목마스터!$A$3:$A$102,0)),""))</f>
        <v/>
      </c>
      <c r="E284" s="13" t="str">
        <f aca="false">IF($B284="","",IFERROR(INDEX(품목마스터!$D$3:$D$102,MATCH($B284,품목마스터!$A$3:$A$102,0)),0))</f>
        <v/>
      </c>
      <c r="F284" s="10"/>
      <c r="G284" s="16" t="str">
        <f aca="false">IF(OR($E284="",$F284=""),"",ROUND($E284*$F284,0))</f>
        <v/>
      </c>
      <c r="H284" s="17"/>
      <c r="I284" s="16" t="str">
        <f aca="false">IF($G284="","",ROUND($G284*IF($H284="",0,$H284)/100,0))</f>
        <v/>
      </c>
      <c r="J284" s="10"/>
      <c r="K284" s="15" t="str">
        <f aca="false">IF($A284="","",COUNTIFS($A$3:$A284,$A284))</f>
        <v/>
      </c>
      <c r="L284" s="15" t="str">
        <f aca="false">IF($A284="","",$A284&amp;"|"&amp;$K284)</f>
        <v/>
      </c>
    </row>
    <row r="285" customFormat="false" ht="15" hidden="false" customHeight="true" outlineLevel="0" collapsed="false">
      <c r="A285" s="12"/>
      <c r="B285" s="12"/>
      <c r="C285" s="15" t="str">
        <f aca="false">IF($B285="","",IFERROR(INDEX(품목마스터!$B$3:$B$102,MATCH($B285,품목마스터!$A$3:$A$102,0)),""))</f>
        <v/>
      </c>
      <c r="D285" s="15" t="str">
        <f aca="false">IF($B285="","",IFERROR(INDEX(품목마스터!$C$3:$C$102,MATCH($B285,품목마스터!$A$3:$A$102,0)),""))</f>
        <v/>
      </c>
      <c r="E285" s="13" t="str">
        <f aca="false">IF($B285="","",IFERROR(INDEX(품목마스터!$D$3:$D$102,MATCH($B285,품목마스터!$A$3:$A$102,0)),0))</f>
        <v/>
      </c>
      <c r="F285" s="10"/>
      <c r="G285" s="16" t="str">
        <f aca="false">IF(OR($E285="",$F285=""),"",ROUND($E285*$F285,0))</f>
        <v/>
      </c>
      <c r="H285" s="17"/>
      <c r="I285" s="16" t="str">
        <f aca="false">IF($G285="","",ROUND($G285*IF($H285="",0,$H285)/100,0))</f>
        <v/>
      </c>
      <c r="J285" s="10"/>
      <c r="K285" s="15" t="str">
        <f aca="false">IF($A285="","",COUNTIFS($A$3:$A285,$A285))</f>
        <v/>
      </c>
      <c r="L285" s="15" t="str">
        <f aca="false">IF($A285="","",$A285&amp;"|"&amp;$K285)</f>
        <v/>
      </c>
    </row>
    <row r="286" customFormat="false" ht="15" hidden="false" customHeight="true" outlineLevel="0" collapsed="false">
      <c r="A286" s="12"/>
      <c r="B286" s="12"/>
      <c r="C286" s="15" t="str">
        <f aca="false">IF($B286="","",IFERROR(INDEX(품목마스터!$B$3:$B$102,MATCH($B286,품목마스터!$A$3:$A$102,0)),""))</f>
        <v/>
      </c>
      <c r="D286" s="15" t="str">
        <f aca="false">IF($B286="","",IFERROR(INDEX(품목마스터!$C$3:$C$102,MATCH($B286,품목마스터!$A$3:$A$102,0)),""))</f>
        <v/>
      </c>
      <c r="E286" s="13" t="str">
        <f aca="false">IF($B286="","",IFERROR(INDEX(품목마스터!$D$3:$D$102,MATCH($B286,품목마스터!$A$3:$A$102,0)),0))</f>
        <v/>
      </c>
      <c r="F286" s="10"/>
      <c r="G286" s="16" t="str">
        <f aca="false">IF(OR($E286="",$F286=""),"",ROUND($E286*$F286,0))</f>
        <v/>
      </c>
      <c r="H286" s="17"/>
      <c r="I286" s="16" t="str">
        <f aca="false">IF($G286="","",ROUND($G286*IF($H286="",0,$H286)/100,0))</f>
        <v/>
      </c>
      <c r="J286" s="10"/>
      <c r="K286" s="15" t="str">
        <f aca="false">IF($A286="","",COUNTIFS($A$3:$A286,$A286))</f>
        <v/>
      </c>
      <c r="L286" s="15" t="str">
        <f aca="false">IF($A286="","",$A286&amp;"|"&amp;$K286)</f>
        <v/>
      </c>
    </row>
    <row r="287" customFormat="false" ht="15" hidden="false" customHeight="true" outlineLevel="0" collapsed="false">
      <c r="A287" s="12"/>
      <c r="B287" s="12"/>
      <c r="C287" s="15" t="str">
        <f aca="false">IF($B287="","",IFERROR(INDEX(품목마스터!$B$3:$B$102,MATCH($B287,품목마스터!$A$3:$A$102,0)),""))</f>
        <v/>
      </c>
      <c r="D287" s="15" t="str">
        <f aca="false">IF($B287="","",IFERROR(INDEX(품목마스터!$C$3:$C$102,MATCH($B287,품목마스터!$A$3:$A$102,0)),""))</f>
        <v/>
      </c>
      <c r="E287" s="13" t="str">
        <f aca="false">IF($B287="","",IFERROR(INDEX(품목마스터!$D$3:$D$102,MATCH($B287,품목마스터!$A$3:$A$102,0)),0))</f>
        <v/>
      </c>
      <c r="F287" s="10"/>
      <c r="G287" s="16" t="str">
        <f aca="false">IF(OR($E287="",$F287=""),"",ROUND($E287*$F287,0))</f>
        <v/>
      </c>
      <c r="H287" s="17"/>
      <c r="I287" s="16" t="str">
        <f aca="false">IF($G287="","",ROUND($G287*IF($H287="",0,$H287)/100,0))</f>
        <v/>
      </c>
      <c r="J287" s="10"/>
      <c r="K287" s="15" t="str">
        <f aca="false">IF($A287="","",COUNTIFS($A$3:$A287,$A287))</f>
        <v/>
      </c>
      <c r="L287" s="15" t="str">
        <f aca="false">IF($A287="","",$A287&amp;"|"&amp;$K287)</f>
        <v/>
      </c>
    </row>
    <row r="288" customFormat="false" ht="15" hidden="false" customHeight="true" outlineLevel="0" collapsed="false">
      <c r="A288" s="12"/>
      <c r="B288" s="12"/>
      <c r="C288" s="15" t="str">
        <f aca="false">IF($B288="","",IFERROR(INDEX(품목마스터!$B$3:$B$102,MATCH($B288,품목마스터!$A$3:$A$102,0)),""))</f>
        <v/>
      </c>
      <c r="D288" s="15" t="str">
        <f aca="false">IF($B288="","",IFERROR(INDEX(품목마스터!$C$3:$C$102,MATCH($B288,품목마스터!$A$3:$A$102,0)),""))</f>
        <v/>
      </c>
      <c r="E288" s="13" t="str">
        <f aca="false">IF($B288="","",IFERROR(INDEX(품목마스터!$D$3:$D$102,MATCH($B288,품목마스터!$A$3:$A$102,0)),0))</f>
        <v/>
      </c>
      <c r="F288" s="10"/>
      <c r="G288" s="16" t="str">
        <f aca="false">IF(OR($E288="",$F288=""),"",ROUND($E288*$F288,0))</f>
        <v/>
      </c>
      <c r="H288" s="17"/>
      <c r="I288" s="16" t="str">
        <f aca="false">IF($G288="","",ROUND($G288*IF($H288="",0,$H288)/100,0))</f>
        <v/>
      </c>
      <c r="J288" s="10"/>
      <c r="K288" s="15" t="str">
        <f aca="false">IF($A288="","",COUNTIFS($A$3:$A288,$A288))</f>
        <v/>
      </c>
      <c r="L288" s="15" t="str">
        <f aca="false">IF($A288="","",$A288&amp;"|"&amp;$K288)</f>
        <v/>
      </c>
    </row>
    <row r="289" customFormat="false" ht="15" hidden="false" customHeight="true" outlineLevel="0" collapsed="false">
      <c r="A289" s="12"/>
      <c r="B289" s="12"/>
      <c r="C289" s="15" t="str">
        <f aca="false">IF($B289="","",IFERROR(INDEX(품목마스터!$B$3:$B$102,MATCH($B289,품목마스터!$A$3:$A$102,0)),""))</f>
        <v/>
      </c>
      <c r="D289" s="15" t="str">
        <f aca="false">IF($B289="","",IFERROR(INDEX(품목마스터!$C$3:$C$102,MATCH($B289,품목마스터!$A$3:$A$102,0)),""))</f>
        <v/>
      </c>
      <c r="E289" s="13" t="str">
        <f aca="false">IF($B289="","",IFERROR(INDEX(품목마스터!$D$3:$D$102,MATCH($B289,품목마스터!$A$3:$A$102,0)),0))</f>
        <v/>
      </c>
      <c r="F289" s="10"/>
      <c r="G289" s="16" t="str">
        <f aca="false">IF(OR($E289="",$F289=""),"",ROUND($E289*$F289,0))</f>
        <v/>
      </c>
      <c r="H289" s="17"/>
      <c r="I289" s="16" t="str">
        <f aca="false">IF($G289="","",ROUND($G289*IF($H289="",0,$H289)/100,0))</f>
        <v/>
      </c>
      <c r="J289" s="10"/>
      <c r="K289" s="15" t="str">
        <f aca="false">IF($A289="","",COUNTIFS($A$3:$A289,$A289))</f>
        <v/>
      </c>
      <c r="L289" s="15" t="str">
        <f aca="false">IF($A289="","",$A289&amp;"|"&amp;$K289)</f>
        <v/>
      </c>
    </row>
    <row r="290" customFormat="false" ht="15" hidden="false" customHeight="true" outlineLevel="0" collapsed="false">
      <c r="A290" s="12"/>
      <c r="B290" s="12"/>
      <c r="C290" s="15" t="str">
        <f aca="false">IF($B290="","",IFERROR(INDEX(품목마스터!$B$3:$B$102,MATCH($B290,품목마스터!$A$3:$A$102,0)),""))</f>
        <v/>
      </c>
      <c r="D290" s="15" t="str">
        <f aca="false">IF($B290="","",IFERROR(INDEX(품목마스터!$C$3:$C$102,MATCH($B290,품목마스터!$A$3:$A$102,0)),""))</f>
        <v/>
      </c>
      <c r="E290" s="13" t="str">
        <f aca="false">IF($B290="","",IFERROR(INDEX(품목마스터!$D$3:$D$102,MATCH($B290,품목마스터!$A$3:$A$102,0)),0))</f>
        <v/>
      </c>
      <c r="F290" s="10"/>
      <c r="G290" s="16" t="str">
        <f aca="false">IF(OR($E290="",$F290=""),"",ROUND($E290*$F290,0))</f>
        <v/>
      </c>
      <c r="H290" s="17"/>
      <c r="I290" s="16" t="str">
        <f aca="false">IF($G290="","",ROUND($G290*IF($H290="",0,$H290)/100,0))</f>
        <v/>
      </c>
      <c r="J290" s="10"/>
      <c r="K290" s="15" t="str">
        <f aca="false">IF($A290="","",COUNTIFS($A$3:$A290,$A290))</f>
        <v/>
      </c>
      <c r="L290" s="15" t="str">
        <f aca="false">IF($A290="","",$A290&amp;"|"&amp;$K290)</f>
        <v/>
      </c>
    </row>
    <row r="291" customFormat="false" ht="15" hidden="false" customHeight="true" outlineLevel="0" collapsed="false">
      <c r="A291" s="12"/>
      <c r="B291" s="12"/>
      <c r="C291" s="15" t="str">
        <f aca="false">IF($B291="","",IFERROR(INDEX(품목마스터!$B$3:$B$102,MATCH($B291,품목마스터!$A$3:$A$102,0)),""))</f>
        <v/>
      </c>
      <c r="D291" s="15" t="str">
        <f aca="false">IF($B291="","",IFERROR(INDEX(품목마스터!$C$3:$C$102,MATCH($B291,품목마스터!$A$3:$A$102,0)),""))</f>
        <v/>
      </c>
      <c r="E291" s="13" t="str">
        <f aca="false">IF($B291="","",IFERROR(INDEX(품목마스터!$D$3:$D$102,MATCH($B291,품목마스터!$A$3:$A$102,0)),0))</f>
        <v/>
      </c>
      <c r="F291" s="10"/>
      <c r="G291" s="16" t="str">
        <f aca="false">IF(OR($E291="",$F291=""),"",ROUND($E291*$F291,0))</f>
        <v/>
      </c>
      <c r="H291" s="17"/>
      <c r="I291" s="16" t="str">
        <f aca="false">IF($G291="","",ROUND($G291*IF($H291="",0,$H291)/100,0))</f>
        <v/>
      </c>
      <c r="J291" s="10"/>
      <c r="K291" s="15" t="str">
        <f aca="false">IF($A291="","",COUNTIFS($A$3:$A291,$A291))</f>
        <v/>
      </c>
      <c r="L291" s="15" t="str">
        <f aca="false">IF($A291="","",$A291&amp;"|"&amp;$K291)</f>
        <v/>
      </c>
    </row>
    <row r="292" customFormat="false" ht="15" hidden="false" customHeight="true" outlineLevel="0" collapsed="false">
      <c r="A292" s="12"/>
      <c r="B292" s="12"/>
      <c r="C292" s="15" t="str">
        <f aca="false">IF($B292="","",IFERROR(INDEX(품목마스터!$B$3:$B$102,MATCH($B292,품목마스터!$A$3:$A$102,0)),""))</f>
        <v/>
      </c>
      <c r="D292" s="15" t="str">
        <f aca="false">IF($B292="","",IFERROR(INDEX(품목마스터!$C$3:$C$102,MATCH($B292,품목마스터!$A$3:$A$102,0)),""))</f>
        <v/>
      </c>
      <c r="E292" s="13" t="str">
        <f aca="false">IF($B292="","",IFERROR(INDEX(품목마스터!$D$3:$D$102,MATCH($B292,품목마스터!$A$3:$A$102,0)),0))</f>
        <v/>
      </c>
      <c r="F292" s="10"/>
      <c r="G292" s="16" t="str">
        <f aca="false">IF(OR($E292="",$F292=""),"",ROUND($E292*$F292,0))</f>
        <v/>
      </c>
      <c r="H292" s="17"/>
      <c r="I292" s="16" t="str">
        <f aca="false">IF($G292="","",ROUND($G292*IF($H292="",0,$H292)/100,0))</f>
        <v/>
      </c>
      <c r="J292" s="10"/>
      <c r="K292" s="15" t="str">
        <f aca="false">IF($A292="","",COUNTIFS($A$3:$A292,$A292))</f>
        <v/>
      </c>
      <c r="L292" s="15" t="str">
        <f aca="false">IF($A292="","",$A292&amp;"|"&amp;$K292)</f>
        <v/>
      </c>
    </row>
    <row r="293" customFormat="false" ht="15" hidden="false" customHeight="true" outlineLevel="0" collapsed="false">
      <c r="A293" s="12"/>
      <c r="B293" s="12"/>
      <c r="C293" s="15" t="str">
        <f aca="false">IF($B293="","",IFERROR(INDEX(품목마스터!$B$3:$B$102,MATCH($B293,품목마스터!$A$3:$A$102,0)),""))</f>
        <v/>
      </c>
      <c r="D293" s="15" t="str">
        <f aca="false">IF($B293="","",IFERROR(INDEX(품목마스터!$C$3:$C$102,MATCH($B293,품목마스터!$A$3:$A$102,0)),""))</f>
        <v/>
      </c>
      <c r="E293" s="13" t="str">
        <f aca="false">IF($B293="","",IFERROR(INDEX(품목마스터!$D$3:$D$102,MATCH($B293,품목마스터!$A$3:$A$102,0)),0))</f>
        <v/>
      </c>
      <c r="F293" s="10"/>
      <c r="G293" s="16" t="str">
        <f aca="false">IF(OR($E293="",$F293=""),"",ROUND($E293*$F293,0))</f>
        <v/>
      </c>
      <c r="H293" s="17"/>
      <c r="I293" s="16" t="str">
        <f aca="false">IF($G293="","",ROUND($G293*IF($H293="",0,$H293)/100,0))</f>
        <v/>
      </c>
      <c r="J293" s="10"/>
      <c r="K293" s="15" t="str">
        <f aca="false">IF($A293="","",COUNTIFS($A$3:$A293,$A293))</f>
        <v/>
      </c>
      <c r="L293" s="15" t="str">
        <f aca="false">IF($A293="","",$A293&amp;"|"&amp;$K293)</f>
        <v/>
      </c>
    </row>
    <row r="294" customFormat="false" ht="15" hidden="false" customHeight="true" outlineLevel="0" collapsed="false">
      <c r="A294" s="12"/>
      <c r="B294" s="12"/>
      <c r="C294" s="15" t="str">
        <f aca="false">IF($B294="","",IFERROR(INDEX(품목마스터!$B$3:$B$102,MATCH($B294,품목마스터!$A$3:$A$102,0)),""))</f>
        <v/>
      </c>
      <c r="D294" s="15" t="str">
        <f aca="false">IF($B294="","",IFERROR(INDEX(품목마스터!$C$3:$C$102,MATCH($B294,품목마스터!$A$3:$A$102,0)),""))</f>
        <v/>
      </c>
      <c r="E294" s="13" t="str">
        <f aca="false">IF($B294="","",IFERROR(INDEX(품목마스터!$D$3:$D$102,MATCH($B294,품목마스터!$A$3:$A$102,0)),0))</f>
        <v/>
      </c>
      <c r="F294" s="10"/>
      <c r="G294" s="16" t="str">
        <f aca="false">IF(OR($E294="",$F294=""),"",ROUND($E294*$F294,0))</f>
        <v/>
      </c>
      <c r="H294" s="17"/>
      <c r="I294" s="16" t="str">
        <f aca="false">IF($G294="","",ROUND($G294*IF($H294="",0,$H294)/100,0))</f>
        <v/>
      </c>
      <c r="J294" s="10"/>
      <c r="K294" s="15" t="str">
        <f aca="false">IF($A294="","",COUNTIFS($A$3:$A294,$A294))</f>
        <v/>
      </c>
      <c r="L294" s="15" t="str">
        <f aca="false">IF($A294="","",$A294&amp;"|"&amp;$K294)</f>
        <v/>
      </c>
    </row>
    <row r="295" customFormat="false" ht="15" hidden="false" customHeight="true" outlineLevel="0" collapsed="false">
      <c r="A295" s="12"/>
      <c r="B295" s="12"/>
      <c r="C295" s="15" t="str">
        <f aca="false">IF($B295="","",IFERROR(INDEX(품목마스터!$B$3:$B$102,MATCH($B295,품목마스터!$A$3:$A$102,0)),""))</f>
        <v/>
      </c>
      <c r="D295" s="15" t="str">
        <f aca="false">IF($B295="","",IFERROR(INDEX(품목마스터!$C$3:$C$102,MATCH($B295,품목마스터!$A$3:$A$102,0)),""))</f>
        <v/>
      </c>
      <c r="E295" s="13" t="str">
        <f aca="false">IF($B295="","",IFERROR(INDEX(품목마스터!$D$3:$D$102,MATCH($B295,품목마스터!$A$3:$A$102,0)),0))</f>
        <v/>
      </c>
      <c r="F295" s="10"/>
      <c r="G295" s="16" t="str">
        <f aca="false">IF(OR($E295="",$F295=""),"",ROUND($E295*$F295,0))</f>
        <v/>
      </c>
      <c r="H295" s="17"/>
      <c r="I295" s="16" t="str">
        <f aca="false">IF($G295="","",ROUND($G295*IF($H295="",0,$H295)/100,0))</f>
        <v/>
      </c>
      <c r="J295" s="10"/>
      <c r="K295" s="15" t="str">
        <f aca="false">IF($A295="","",COUNTIFS($A$3:$A295,$A295))</f>
        <v/>
      </c>
      <c r="L295" s="15" t="str">
        <f aca="false">IF($A295="","",$A295&amp;"|"&amp;$K295)</f>
        <v/>
      </c>
    </row>
    <row r="296" customFormat="false" ht="15" hidden="false" customHeight="true" outlineLevel="0" collapsed="false">
      <c r="A296" s="12"/>
      <c r="B296" s="12"/>
      <c r="C296" s="15" t="str">
        <f aca="false">IF($B296="","",IFERROR(INDEX(품목마스터!$B$3:$B$102,MATCH($B296,품목마스터!$A$3:$A$102,0)),""))</f>
        <v/>
      </c>
      <c r="D296" s="15" t="str">
        <f aca="false">IF($B296="","",IFERROR(INDEX(품목마스터!$C$3:$C$102,MATCH($B296,품목마스터!$A$3:$A$102,0)),""))</f>
        <v/>
      </c>
      <c r="E296" s="13" t="str">
        <f aca="false">IF($B296="","",IFERROR(INDEX(품목마스터!$D$3:$D$102,MATCH($B296,품목마스터!$A$3:$A$102,0)),0))</f>
        <v/>
      </c>
      <c r="F296" s="10"/>
      <c r="G296" s="16" t="str">
        <f aca="false">IF(OR($E296="",$F296=""),"",ROUND($E296*$F296,0))</f>
        <v/>
      </c>
      <c r="H296" s="17"/>
      <c r="I296" s="16" t="str">
        <f aca="false">IF($G296="","",ROUND($G296*IF($H296="",0,$H296)/100,0))</f>
        <v/>
      </c>
      <c r="J296" s="10"/>
      <c r="K296" s="15" t="str">
        <f aca="false">IF($A296="","",COUNTIFS($A$3:$A296,$A296))</f>
        <v/>
      </c>
      <c r="L296" s="15" t="str">
        <f aca="false">IF($A296="","",$A296&amp;"|"&amp;$K296)</f>
        <v/>
      </c>
    </row>
    <row r="297" customFormat="false" ht="15" hidden="false" customHeight="true" outlineLevel="0" collapsed="false">
      <c r="A297" s="12"/>
      <c r="B297" s="12"/>
      <c r="C297" s="15" t="str">
        <f aca="false">IF($B297="","",IFERROR(INDEX(품목마스터!$B$3:$B$102,MATCH($B297,품목마스터!$A$3:$A$102,0)),""))</f>
        <v/>
      </c>
      <c r="D297" s="15" t="str">
        <f aca="false">IF($B297="","",IFERROR(INDEX(품목마스터!$C$3:$C$102,MATCH($B297,품목마스터!$A$3:$A$102,0)),""))</f>
        <v/>
      </c>
      <c r="E297" s="13" t="str">
        <f aca="false">IF($B297="","",IFERROR(INDEX(품목마스터!$D$3:$D$102,MATCH($B297,품목마스터!$A$3:$A$102,0)),0))</f>
        <v/>
      </c>
      <c r="F297" s="10"/>
      <c r="G297" s="16" t="str">
        <f aca="false">IF(OR($E297="",$F297=""),"",ROUND($E297*$F297,0))</f>
        <v/>
      </c>
      <c r="H297" s="17"/>
      <c r="I297" s="16" t="str">
        <f aca="false">IF($G297="","",ROUND($G297*IF($H297="",0,$H297)/100,0))</f>
        <v/>
      </c>
      <c r="J297" s="10"/>
      <c r="K297" s="15" t="str">
        <f aca="false">IF($A297="","",COUNTIFS($A$3:$A297,$A297))</f>
        <v/>
      </c>
      <c r="L297" s="15" t="str">
        <f aca="false">IF($A297="","",$A297&amp;"|"&amp;$K297)</f>
        <v/>
      </c>
    </row>
    <row r="298" customFormat="false" ht="15" hidden="false" customHeight="true" outlineLevel="0" collapsed="false">
      <c r="A298" s="12"/>
      <c r="B298" s="12"/>
      <c r="C298" s="15" t="str">
        <f aca="false">IF($B298="","",IFERROR(INDEX(품목마스터!$B$3:$B$102,MATCH($B298,품목마스터!$A$3:$A$102,0)),""))</f>
        <v/>
      </c>
      <c r="D298" s="15" t="str">
        <f aca="false">IF($B298="","",IFERROR(INDEX(품목마스터!$C$3:$C$102,MATCH($B298,품목마스터!$A$3:$A$102,0)),""))</f>
        <v/>
      </c>
      <c r="E298" s="13" t="str">
        <f aca="false">IF($B298="","",IFERROR(INDEX(품목마스터!$D$3:$D$102,MATCH($B298,품목마스터!$A$3:$A$102,0)),0))</f>
        <v/>
      </c>
      <c r="F298" s="10"/>
      <c r="G298" s="16" t="str">
        <f aca="false">IF(OR($E298="",$F298=""),"",ROUND($E298*$F298,0))</f>
        <v/>
      </c>
      <c r="H298" s="17"/>
      <c r="I298" s="16" t="str">
        <f aca="false">IF($G298="","",ROUND($G298*IF($H298="",0,$H298)/100,0))</f>
        <v/>
      </c>
      <c r="J298" s="10"/>
      <c r="K298" s="15" t="str">
        <f aca="false">IF($A298="","",COUNTIFS($A$3:$A298,$A298))</f>
        <v/>
      </c>
      <c r="L298" s="15" t="str">
        <f aca="false">IF($A298="","",$A298&amp;"|"&amp;$K298)</f>
        <v/>
      </c>
    </row>
    <row r="299" customFormat="false" ht="15" hidden="false" customHeight="true" outlineLevel="0" collapsed="false">
      <c r="A299" s="12"/>
      <c r="B299" s="12"/>
      <c r="C299" s="15" t="str">
        <f aca="false">IF($B299="","",IFERROR(INDEX(품목마스터!$B$3:$B$102,MATCH($B299,품목마스터!$A$3:$A$102,0)),""))</f>
        <v/>
      </c>
      <c r="D299" s="15" t="str">
        <f aca="false">IF($B299="","",IFERROR(INDEX(품목마스터!$C$3:$C$102,MATCH($B299,품목마스터!$A$3:$A$102,0)),""))</f>
        <v/>
      </c>
      <c r="E299" s="13" t="str">
        <f aca="false">IF($B299="","",IFERROR(INDEX(품목마스터!$D$3:$D$102,MATCH($B299,품목마스터!$A$3:$A$102,0)),0))</f>
        <v/>
      </c>
      <c r="F299" s="10"/>
      <c r="G299" s="16" t="str">
        <f aca="false">IF(OR($E299="",$F299=""),"",ROUND($E299*$F299,0))</f>
        <v/>
      </c>
      <c r="H299" s="17"/>
      <c r="I299" s="16" t="str">
        <f aca="false">IF($G299="","",ROUND($G299*IF($H299="",0,$H299)/100,0))</f>
        <v/>
      </c>
      <c r="J299" s="10"/>
      <c r="K299" s="15" t="str">
        <f aca="false">IF($A299="","",COUNTIFS($A$3:$A299,$A299))</f>
        <v/>
      </c>
      <c r="L299" s="15" t="str">
        <f aca="false">IF($A299="","",$A299&amp;"|"&amp;$K299)</f>
        <v/>
      </c>
    </row>
    <row r="300" customFormat="false" ht="15" hidden="false" customHeight="true" outlineLevel="0" collapsed="false">
      <c r="A300" s="12"/>
      <c r="B300" s="12"/>
      <c r="C300" s="15" t="str">
        <f aca="false">IF($B300="","",IFERROR(INDEX(품목마스터!$B$3:$B$102,MATCH($B300,품목마스터!$A$3:$A$102,0)),""))</f>
        <v/>
      </c>
      <c r="D300" s="15" t="str">
        <f aca="false">IF($B300="","",IFERROR(INDEX(품목마스터!$C$3:$C$102,MATCH($B300,품목마스터!$A$3:$A$102,0)),""))</f>
        <v/>
      </c>
      <c r="E300" s="13" t="str">
        <f aca="false">IF($B300="","",IFERROR(INDEX(품목마스터!$D$3:$D$102,MATCH($B300,품목마스터!$A$3:$A$102,0)),0))</f>
        <v/>
      </c>
      <c r="F300" s="10"/>
      <c r="G300" s="16" t="str">
        <f aca="false">IF(OR($E300="",$F300=""),"",ROUND($E300*$F300,0))</f>
        <v/>
      </c>
      <c r="H300" s="17"/>
      <c r="I300" s="16" t="str">
        <f aca="false">IF($G300="","",ROUND($G300*IF($H300="",0,$H300)/100,0))</f>
        <v/>
      </c>
      <c r="J300" s="10"/>
      <c r="K300" s="15" t="str">
        <f aca="false">IF($A300="","",COUNTIFS($A$3:$A300,$A300))</f>
        <v/>
      </c>
      <c r="L300" s="15" t="str">
        <f aca="false">IF($A300="","",$A300&amp;"|"&amp;$K300)</f>
        <v/>
      </c>
    </row>
    <row r="301" customFormat="false" ht="15" hidden="false" customHeight="true" outlineLevel="0" collapsed="false">
      <c r="A301" s="12"/>
      <c r="B301" s="12"/>
      <c r="C301" s="15" t="str">
        <f aca="false">IF($B301="","",IFERROR(INDEX(품목마스터!$B$3:$B$102,MATCH($B301,품목마스터!$A$3:$A$102,0)),""))</f>
        <v/>
      </c>
      <c r="D301" s="15" t="str">
        <f aca="false">IF($B301="","",IFERROR(INDEX(품목마스터!$C$3:$C$102,MATCH($B301,품목마스터!$A$3:$A$102,0)),""))</f>
        <v/>
      </c>
      <c r="E301" s="13" t="str">
        <f aca="false">IF($B301="","",IFERROR(INDEX(품목마스터!$D$3:$D$102,MATCH($B301,품목마스터!$A$3:$A$102,0)),0))</f>
        <v/>
      </c>
      <c r="F301" s="10"/>
      <c r="G301" s="16" t="str">
        <f aca="false">IF(OR($E301="",$F301=""),"",ROUND($E301*$F301,0))</f>
        <v/>
      </c>
      <c r="H301" s="17"/>
      <c r="I301" s="16" t="str">
        <f aca="false">IF($G301="","",ROUND($G301*IF($H301="",0,$H301)/100,0))</f>
        <v/>
      </c>
      <c r="J301" s="10"/>
      <c r="K301" s="15" t="str">
        <f aca="false">IF($A301="","",COUNTIFS($A$3:$A301,$A301))</f>
        <v/>
      </c>
      <c r="L301" s="15" t="str">
        <f aca="false">IF($A301="","",$A301&amp;"|"&amp;$K301)</f>
        <v/>
      </c>
    </row>
    <row r="302" customFormat="false" ht="15" hidden="false" customHeight="true" outlineLevel="0" collapsed="false">
      <c r="A302" s="12"/>
      <c r="B302" s="12"/>
      <c r="C302" s="15" t="str">
        <f aca="false">IF($B302="","",IFERROR(INDEX(품목마스터!$B$3:$B$102,MATCH($B302,품목마스터!$A$3:$A$102,0)),""))</f>
        <v/>
      </c>
      <c r="D302" s="15" t="str">
        <f aca="false">IF($B302="","",IFERROR(INDEX(품목마스터!$C$3:$C$102,MATCH($B302,품목마스터!$A$3:$A$102,0)),""))</f>
        <v/>
      </c>
      <c r="E302" s="13" t="str">
        <f aca="false">IF($B302="","",IFERROR(INDEX(품목마스터!$D$3:$D$102,MATCH($B302,품목마스터!$A$3:$A$102,0)),0))</f>
        <v/>
      </c>
      <c r="F302" s="10"/>
      <c r="G302" s="16" t="str">
        <f aca="false">IF(OR($E302="",$F302=""),"",ROUND($E302*$F302,0))</f>
        <v/>
      </c>
      <c r="H302" s="17"/>
      <c r="I302" s="16" t="str">
        <f aca="false">IF($G302="","",ROUND($G302*IF($H302="",0,$H302)/100,0))</f>
        <v/>
      </c>
      <c r="J302" s="10"/>
      <c r="K302" s="15" t="str">
        <f aca="false">IF($A302="","",COUNTIFS($A$3:$A302,$A302))</f>
        <v/>
      </c>
      <c r="L302" s="15" t="str">
        <f aca="false">IF($A302="","",$A302&amp;"|"&amp;$K302)</f>
        <v/>
      </c>
    </row>
  </sheetData>
  <mergeCells count="1">
    <mergeCell ref="A1:K1"/>
  </mergeCells>
  <dataValidations count="2">
    <dataValidation allowBlank="true" errorStyle="stop" operator="between" showDropDown="false" showErrorMessage="false" showInputMessage="false" sqref="A3:A302" type="list">
      <formula1>현장목록!$A$3:$A$62</formula1>
      <formula2>0</formula2>
    </dataValidation>
    <dataValidation allowBlank="true" errorStyle="stop" operator="between" showDropDown="false" showErrorMessage="false" showInputMessage="false" sqref="B3:B302" type="list">
      <formula1>품목마스터!$A$3:$A$102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7"/>
  </cols>
  <sheetData>
    <row r="1" customFormat="false" ht="37.5" hidden="false" customHeight="true" outlineLevel="0" collapsed="false">
      <c r="A1" s="18" t="s">
        <v>76</v>
      </c>
      <c r="B1" s="18"/>
      <c r="C1" s="18"/>
      <c r="D1" s="18"/>
      <c r="E1" s="18"/>
      <c r="F1" s="18"/>
      <c r="G1" s="18"/>
    </row>
    <row r="3" customFormat="false" ht="15" hidden="false" customHeight="true" outlineLevel="0" collapsed="false">
      <c r="A3" s="19" t="s">
        <v>77</v>
      </c>
      <c r="B3" s="19"/>
      <c r="C3" s="20" t="s">
        <v>47</v>
      </c>
      <c r="D3" s="20"/>
      <c r="E3" s="19" t="s">
        <v>78</v>
      </c>
      <c r="F3" s="21" t="n">
        <f aca="true">TODAY()</f>
        <v>46279</v>
      </c>
      <c r="G3" s="21"/>
    </row>
    <row r="4" customFormat="false" ht="13.5" hidden="false" customHeight="true" outlineLevel="0" collapsed="false">
      <c r="A4" s="22" t="s">
        <v>79</v>
      </c>
      <c r="B4" s="22"/>
      <c r="C4" s="22"/>
      <c r="D4" s="22"/>
      <c r="E4" s="22"/>
      <c r="F4" s="22"/>
      <c r="G4" s="22"/>
    </row>
    <row r="6" customFormat="false" ht="21.75" hidden="false" customHeight="true" outlineLevel="0" collapsed="false">
      <c r="A6" s="23" t="s">
        <v>80</v>
      </c>
      <c r="B6" s="23"/>
      <c r="C6" s="24" t="str">
        <f aca="false">IFERROR(INDEX(현장목록!$B$3:$B$62,MATCH($C$3,현장목록!$A$3:$A$62,0)),"")</f>
        <v>○○종합건설</v>
      </c>
      <c r="D6" s="24"/>
      <c r="E6" s="23" t="s">
        <v>22</v>
      </c>
      <c r="F6" s="24" t="str">
        <f aca="false">기초정보!$C$4</f>
        <v>○○이엔지</v>
      </c>
      <c r="G6" s="24"/>
    </row>
    <row r="7" customFormat="false" ht="21.75" hidden="false" customHeight="true" outlineLevel="0" collapsed="false">
      <c r="A7" s="23" t="s">
        <v>81</v>
      </c>
      <c r="B7" s="23"/>
      <c r="C7" s="24" t="str">
        <f aca="false">$C$3</f>
        <v>○○아파트 지하주차장</v>
      </c>
      <c r="D7" s="24"/>
      <c r="E7" s="23" t="s">
        <v>82</v>
      </c>
      <c r="F7" s="24" t="str">
        <f aca="false">기초정보!$C$5</f>
        <v>000-00-00000</v>
      </c>
      <c r="G7" s="24"/>
    </row>
    <row r="8" customFormat="false" ht="21.75" hidden="false" customHeight="true" outlineLevel="0" collapsed="false">
      <c r="A8" s="23" t="s">
        <v>44</v>
      </c>
      <c r="B8" s="23"/>
      <c r="C8" s="24" t="str">
        <f aca="false">IFERROR(INDEX(현장목록!$C$3:$C$62,MATCH($C$3,현장목록!$A$3:$A$62,0)),"")</f>
        <v>경기도 ○○시 ○○동</v>
      </c>
      <c r="D8" s="24"/>
      <c r="E8" s="23" t="s">
        <v>26</v>
      </c>
      <c r="F8" s="24" t="str">
        <f aca="false">기초정보!$C$6</f>
        <v>홍길동</v>
      </c>
      <c r="G8" s="24"/>
    </row>
    <row r="10" customFormat="false" ht="15" hidden="false" customHeight="true" outlineLevel="0" collapsed="false">
      <c r="A10" s="25" t="s">
        <v>83</v>
      </c>
      <c r="B10" s="26" t="s">
        <v>84</v>
      </c>
      <c r="C10" s="26" t="s">
        <v>85</v>
      </c>
      <c r="D10" s="26" t="s">
        <v>54</v>
      </c>
      <c r="E10" s="26" t="s">
        <v>70</v>
      </c>
      <c r="F10" s="26" t="s">
        <v>69</v>
      </c>
      <c r="G10" s="26" t="s">
        <v>86</v>
      </c>
    </row>
    <row r="11" customFormat="false" ht="15" hidden="false" customHeight="true" outlineLevel="0" collapsed="false">
      <c r="A11" s="27" t="n">
        <v>1</v>
      </c>
      <c r="B11" s="15" t="str">
        <f aca="false">IFERROR(INDEX(내역입력!$B$3:$B$302,MATCH($C$3&amp;"|"&amp;1,내역입력!$L$3:$L$302,0)),"")</f>
        <v>주차장 환기휀</v>
      </c>
      <c r="C11" s="15" t="str">
        <f aca="false">IF($B11="","",IFERROR(INDEX(내역입력!$C$3:$C$302,MATCH($C$3&amp;"|"&amp;1,내역입력!$L$3:$L$302,0)),""))</f>
        <v>SF-500 / 1HP</v>
      </c>
      <c r="D11" s="27" t="str">
        <f aca="false">IF($B11="","",IFERROR(INDEX(내역입력!$D$3:$D$302,MATCH($C$3&amp;"|"&amp;1,내역입력!$L$3:$L$302,0)),""))</f>
        <v>대</v>
      </c>
      <c r="E11" s="28" t="n">
        <f aca="false">IF($B11="","",IFERROR(INDEX(내역입력!$F$3:$F$302,MATCH($C$3&amp;"|"&amp;1,내역입력!$L$3:$L$302,0)),""))</f>
        <v>4</v>
      </c>
      <c r="F11" s="16" t="n">
        <f aca="false">IF($B11="","",IFERROR(INDEX(내역입력!$E$3:$E$302,MATCH($C$3&amp;"|"&amp;1,내역입력!$L$3:$L$302,0)),""))</f>
        <v>850000</v>
      </c>
      <c r="G11" s="16" t="n">
        <f aca="false">IF($B11="","",IFERROR(INDEX(내역입력!$G$3:$G$302,MATCH($C$3&amp;"|"&amp;1,내역입력!$L$3:$L$302,0)),""))</f>
        <v>3400000</v>
      </c>
    </row>
    <row r="12" customFormat="false" ht="15" hidden="false" customHeight="true" outlineLevel="0" collapsed="false">
      <c r="A12" s="27" t="n">
        <v>2</v>
      </c>
      <c r="B12" s="15" t="str">
        <f aca="false">IFERROR(INDEX(내역입력!$B$3:$B$302,MATCH($C$3&amp;"|"&amp;2,내역입력!$L$3:$L$302,0)),"")</f>
        <v>급기 덕트</v>
      </c>
      <c r="C12" s="15" t="str">
        <f aca="false">IF($B12="","",IFERROR(INDEX(내역입력!$C$3:$C$302,MATCH($C$3&amp;"|"&amp;2,내역입력!$L$3:$L$302,0)),""))</f>
        <v>SPCC 0.6T</v>
      </c>
      <c r="D12" s="27" t="str">
        <f aca="false">IF($B12="","",IFERROR(INDEX(내역입력!$D$3:$D$302,MATCH($C$3&amp;"|"&amp;2,내역입력!$L$3:$L$302,0)),""))</f>
        <v>M</v>
      </c>
      <c r="E12" s="28" t="n">
        <f aca="false">IF($B12="","",IFERROR(INDEX(내역입력!$F$3:$F$302,MATCH($C$3&amp;"|"&amp;2,내역입력!$L$3:$L$302,0)),""))</f>
        <v>120</v>
      </c>
      <c r="F12" s="16" t="n">
        <f aca="false">IF($B12="","",IFERROR(INDEX(내역입력!$E$3:$E$302,MATCH($C$3&amp;"|"&amp;2,내역입력!$L$3:$L$302,0)),""))</f>
        <v>42000</v>
      </c>
      <c r="G12" s="16" t="n">
        <f aca="false">IF($B12="","",IFERROR(INDEX(내역입력!$G$3:$G$302,MATCH($C$3&amp;"|"&amp;2,내역입력!$L$3:$L$302,0)),""))</f>
        <v>5040000</v>
      </c>
    </row>
    <row r="13" customFormat="false" ht="15" hidden="false" customHeight="true" outlineLevel="0" collapsed="false">
      <c r="A13" s="27" t="n">
        <v>3</v>
      </c>
      <c r="B13" s="15" t="str">
        <f aca="false">IFERROR(INDEX(내역입력!$B$3:$B$302,MATCH($C$3&amp;"|"&amp;3,내역입력!$L$3:$L$302,0)),"")</f>
        <v>배기 그릴</v>
      </c>
      <c r="C13" s="15" t="str">
        <f aca="false">IF($B13="","",IFERROR(INDEX(내역입력!$C$3:$C$302,MATCH($C$3&amp;"|"&amp;3,내역입력!$L$3:$L$302,0)),""))</f>
        <v>300x300</v>
      </c>
      <c r="D13" s="27" t="str">
        <f aca="false">IF($B13="","",IFERROR(INDEX(내역입력!$D$3:$D$302,MATCH($C$3&amp;"|"&amp;3,내역입력!$L$3:$L$302,0)),""))</f>
        <v>EA</v>
      </c>
      <c r="E13" s="28" t="n">
        <f aca="false">IF($B13="","",IFERROR(INDEX(내역입력!$F$3:$F$302,MATCH($C$3&amp;"|"&amp;3,내역입력!$L$3:$L$302,0)),""))</f>
        <v>24</v>
      </c>
      <c r="F13" s="16" t="n">
        <f aca="false">IF($B13="","",IFERROR(INDEX(내역입력!$E$3:$E$302,MATCH($C$3&amp;"|"&amp;3,내역입력!$L$3:$L$302,0)),""))</f>
        <v>18000</v>
      </c>
      <c r="G13" s="16" t="n">
        <f aca="false">IF($B13="","",IFERROR(INDEX(내역입력!$G$3:$G$302,MATCH($C$3&amp;"|"&amp;3,내역입력!$L$3:$L$302,0)),""))</f>
        <v>432000</v>
      </c>
    </row>
    <row r="14" customFormat="false" ht="15" hidden="false" customHeight="true" outlineLevel="0" collapsed="false">
      <c r="A14" s="27" t="n">
        <v>4</v>
      </c>
      <c r="B14" s="15" t="str">
        <f aca="false">IFERROR(INDEX(내역입력!$B$3:$B$302,MATCH($C$3&amp;"|"&amp;4,내역입력!$L$3:$L$302,0)),"")</f>
        <v/>
      </c>
      <c r="C14" s="15" t="str">
        <f aca="false">IF($B14="","",IFERROR(INDEX(내역입력!$C$3:$C$302,MATCH($C$3&amp;"|"&amp;4,내역입력!$L$3:$L$302,0)),""))</f>
        <v/>
      </c>
      <c r="D14" s="27" t="str">
        <f aca="false">IF($B14="","",IFERROR(INDEX(내역입력!$D$3:$D$302,MATCH($C$3&amp;"|"&amp;4,내역입력!$L$3:$L$302,0)),""))</f>
        <v/>
      </c>
      <c r="E14" s="28" t="str">
        <f aca="false">IF($B14="","",IFERROR(INDEX(내역입력!$F$3:$F$302,MATCH($C$3&amp;"|"&amp;4,내역입력!$L$3:$L$302,0)),""))</f>
        <v/>
      </c>
      <c r="F14" s="16" t="str">
        <f aca="false">IF($B14="","",IFERROR(INDEX(내역입력!$E$3:$E$302,MATCH($C$3&amp;"|"&amp;4,내역입력!$L$3:$L$302,0)),""))</f>
        <v/>
      </c>
      <c r="G14" s="16" t="str">
        <f aca="false">IF($B14="","",IFERROR(INDEX(내역입력!$G$3:$G$302,MATCH($C$3&amp;"|"&amp;4,내역입력!$L$3:$L$302,0)),""))</f>
        <v/>
      </c>
    </row>
    <row r="15" customFormat="false" ht="15" hidden="false" customHeight="true" outlineLevel="0" collapsed="false">
      <c r="A15" s="27" t="n">
        <v>5</v>
      </c>
      <c r="B15" s="15" t="str">
        <f aca="false">IFERROR(INDEX(내역입력!$B$3:$B$302,MATCH($C$3&amp;"|"&amp;5,내역입력!$L$3:$L$302,0)),"")</f>
        <v/>
      </c>
      <c r="C15" s="15" t="str">
        <f aca="false">IF($B15="","",IFERROR(INDEX(내역입력!$C$3:$C$302,MATCH($C$3&amp;"|"&amp;5,내역입력!$L$3:$L$302,0)),""))</f>
        <v/>
      </c>
      <c r="D15" s="27" t="str">
        <f aca="false">IF($B15="","",IFERROR(INDEX(내역입력!$D$3:$D$302,MATCH($C$3&amp;"|"&amp;5,내역입력!$L$3:$L$302,0)),""))</f>
        <v/>
      </c>
      <c r="E15" s="28" t="str">
        <f aca="false">IF($B15="","",IFERROR(INDEX(내역입력!$F$3:$F$302,MATCH($C$3&amp;"|"&amp;5,내역입력!$L$3:$L$302,0)),""))</f>
        <v/>
      </c>
      <c r="F15" s="16" t="str">
        <f aca="false">IF($B15="","",IFERROR(INDEX(내역입력!$E$3:$E$302,MATCH($C$3&amp;"|"&amp;5,내역입력!$L$3:$L$302,0)),""))</f>
        <v/>
      </c>
      <c r="G15" s="16" t="str">
        <f aca="false">IF($B15="","",IFERROR(INDEX(내역입력!$G$3:$G$302,MATCH($C$3&amp;"|"&amp;5,내역입력!$L$3:$L$302,0)),""))</f>
        <v/>
      </c>
    </row>
    <row r="16" customFormat="false" ht="15" hidden="false" customHeight="true" outlineLevel="0" collapsed="false">
      <c r="A16" s="27" t="n">
        <v>6</v>
      </c>
      <c r="B16" s="15" t="str">
        <f aca="false">IFERROR(INDEX(내역입력!$B$3:$B$302,MATCH($C$3&amp;"|"&amp;6,내역입력!$L$3:$L$302,0)),"")</f>
        <v/>
      </c>
      <c r="C16" s="15" t="str">
        <f aca="false">IF($B16="","",IFERROR(INDEX(내역입력!$C$3:$C$302,MATCH($C$3&amp;"|"&amp;6,내역입력!$L$3:$L$302,0)),""))</f>
        <v/>
      </c>
      <c r="D16" s="27" t="str">
        <f aca="false">IF($B16="","",IFERROR(INDEX(내역입력!$D$3:$D$302,MATCH($C$3&amp;"|"&amp;6,내역입력!$L$3:$L$302,0)),""))</f>
        <v/>
      </c>
      <c r="E16" s="28" t="str">
        <f aca="false">IF($B16="","",IFERROR(INDEX(내역입력!$F$3:$F$302,MATCH($C$3&amp;"|"&amp;6,내역입력!$L$3:$L$302,0)),""))</f>
        <v/>
      </c>
      <c r="F16" s="16" t="str">
        <f aca="false">IF($B16="","",IFERROR(INDEX(내역입력!$E$3:$E$302,MATCH($C$3&amp;"|"&amp;6,내역입력!$L$3:$L$302,0)),""))</f>
        <v/>
      </c>
      <c r="G16" s="16" t="str">
        <f aca="false">IF($B16="","",IFERROR(INDEX(내역입력!$G$3:$G$302,MATCH($C$3&amp;"|"&amp;6,내역입력!$L$3:$L$302,0)),""))</f>
        <v/>
      </c>
    </row>
    <row r="17" customFormat="false" ht="15" hidden="false" customHeight="true" outlineLevel="0" collapsed="false">
      <c r="A17" s="27" t="n">
        <v>7</v>
      </c>
      <c r="B17" s="15" t="str">
        <f aca="false">IFERROR(INDEX(내역입력!$B$3:$B$302,MATCH($C$3&amp;"|"&amp;7,내역입력!$L$3:$L$302,0)),"")</f>
        <v/>
      </c>
      <c r="C17" s="15" t="str">
        <f aca="false">IF($B17="","",IFERROR(INDEX(내역입력!$C$3:$C$302,MATCH($C$3&amp;"|"&amp;7,내역입력!$L$3:$L$302,0)),""))</f>
        <v/>
      </c>
      <c r="D17" s="27" t="str">
        <f aca="false">IF($B17="","",IFERROR(INDEX(내역입력!$D$3:$D$302,MATCH($C$3&amp;"|"&amp;7,내역입력!$L$3:$L$302,0)),""))</f>
        <v/>
      </c>
      <c r="E17" s="28" t="str">
        <f aca="false">IF($B17="","",IFERROR(INDEX(내역입력!$F$3:$F$302,MATCH($C$3&amp;"|"&amp;7,내역입력!$L$3:$L$302,0)),""))</f>
        <v/>
      </c>
      <c r="F17" s="16" t="str">
        <f aca="false">IF($B17="","",IFERROR(INDEX(내역입력!$E$3:$E$302,MATCH($C$3&amp;"|"&amp;7,내역입력!$L$3:$L$302,0)),""))</f>
        <v/>
      </c>
      <c r="G17" s="16" t="str">
        <f aca="false">IF($B17="","",IFERROR(INDEX(내역입력!$G$3:$G$302,MATCH($C$3&amp;"|"&amp;7,내역입력!$L$3:$L$302,0)),""))</f>
        <v/>
      </c>
    </row>
    <row r="18" customFormat="false" ht="15" hidden="false" customHeight="true" outlineLevel="0" collapsed="false">
      <c r="A18" s="27" t="n">
        <v>8</v>
      </c>
      <c r="B18" s="15" t="str">
        <f aca="false">IFERROR(INDEX(내역입력!$B$3:$B$302,MATCH($C$3&amp;"|"&amp;8,내역입력!$L$3:$L$302,0)),"")</f>
        <v/>
      </c>
      <c r="C18" s="15" t="str">
        <f aca="false">IF($B18="","",IFERROR(INDEX(내역입력!$C$3:$C$302,MATCH($C$3&amp;"|"&amp;8,내역입력!$L$3:$L$302,0)),""))</f>
        <v/>
      </c>
      <c r="D18" s="27" t="str">
        <f aca="false">IF($B18="","",IFERROR(INDEX(내역입력!$D$3:$D$302,MATCH($C$3&amp;"|"&amp;8,내역입력!$L$3:$L$302,0)),""))</f>
        <v/>
      </c>
      <c r="E18" s="28" t="str">
        <f aca="false">IF($B18="","",IFERROR(INDEX(내역입력!$F$3:$F$302,MATCH($C$3&amp;"|"&amp;8,내역입력!$L$3:$L$302,0)),""))</f>
        <v/>
      </c>
      <c r="F18" s="16" t="str">
        <f aca="false">IF($B18="","",IFERROR(INDEX(내역입력!$E$3:$E$302,MATCH($C$3&amp;"|"&amp;8,내역입력!$L$3:$L$302,0)),""))</f>
        <v/>
      </c>
      <c r="G18" s="16" t="str">
        <f aca="false">IF($B18="","",IFERROR(INDEX(내역입력!$G$3:$G$302,MATCH($C$3&amp;"|"&amp;8,내역입력!$L$3:$L$302,0)),""))</f>
        <v/>
      </c>
    </row>
    <row r="19" customFormat="false" ht="15" hidden="false" customHeight="true" outlineLevel="0" collapsed="false">
      <c r="A19" s="27" t="n">
        <v>9</v>
      </c>
      <c r="B19" s="15" t="str">
        <f aca="false">IFERROR(INDEX(내역입력!$B$3:$B$302,MATCH($C$3&amp;"|"&amp;9,내역입력!$L$3:$L$302,0)),"")</f>
        <v/>
      </c>
      <c r="C19" s="15" t="str">
        <f aca="false">IF($B19="","",IFERROR(INDEX(내역입력!$C$3:$C$302,MATCH($C$3&amp;"|"&amp;9,내역입력!$L$3:$L$302,0)),""))</f>
        <v/>
      </c>
      <c r="D19" s="27" t="str">
        <f aca="false">IF($B19="","",IFERROR(INDEX(내역입력!$D$3:$D$302,MATCH($C$3&amp;"|"&amp;9,내역입력!$L$3:$L$302,0)),""))</f>
        <v/>
      </c>
      <c r="E19" s="28" t="str">
        <f aca="false">IF($B19="","",IFERROR(INDEX(내역입력!$F$3:$F$302,MATCH($C$3&amp;"|"&amp;9,내역입력!$L$3:$L$302,0)),""))</f>
        <v/>
      </c>
      <c r="F19" s="16" t="str">
        <f aca="false">IF($B19="","",IFERROR(INDEX(내역입력!$E$3:$E$302,MATCH($C$3&amp;"|"&amp;9,내역입력!$L$3:$L$302,0)),""))</f>
        <v/>
      </c>
      <c r="G19" s="16" t="str">
        <f aca="false">IF($B19="","",IFERROR(INDEX(내역입력!$G$3:$G$302,MATCH($C$3&amp;"|"&amp;9,내역입력!$L$3:$L$302,0)),""))</f>
        <v/>
      </c>
    </row>
    <row r="20" customFormat="false" ht="15" hidden="false" customHeight="true" outlineLevel="0" collapsed="false">
      <c r="A20" s="27" t="n">
        <v>10</v>
      </c>
      <c r="B20" s="15" t="str">
        <f aca="false">IFERROR(INDEX(내역입력!$B$3:$B$302,MATCH($C$3&amp;"|"&amp;10,내역입력!$L$3:$L$302,0)),"")</f>
        <v/>
      </c>
      <c r="C20" s="15" t="str">
        <f aca="false">IF($B20="","",IFERROR(INDEX(내역입력!$C$3:$C$302,MATCH($C$3&amp;"|"&amp;10,내역입력!$L$3:$L$302,0)),""))</f>
        <v/>
      </c>
      <c r="D20" s="27" t="str">
        <f aca="false">IF($B20="","",IFERROR(INDEX(내역입력!$D$3:$D$302,MATCH($C$3&amp;"|"&amp;10,내역입력!$L$3:$L$302,0)),""))</f>
        <v/>
      </c>
      <c r="E20" s="28" t="str">
        <f aca="false">IF($B20="","",IFERROR(INDEX(내역입력!$F$3:$F$302,MATCH($C$3&amp;"|"&amp;10,내역입력!$L$3:$L$302,0)),""))</f>
        <v/>
      </c>
      <c r="F20" s="16" t="str">
        <f aca="false">IF($B20="","",IFERROR(INDEX(내역입력!$E$3:$E$302,MATCH($C$3&amp;"|"&amp;10,내역입력!$L$3:$L$302,0)),""))</f>
        <v/>
      </c>
      <c r="G20" s="16" t="str">
        <f aca="false">IF($B20="","",IFERROR(INDEX(내역입력!$G$3:$G$302,MATCH($C$3&amp;"|"&amp;10,내역입력!$L$3:$L$302,0)),""))</f>
        <v/>
      </c>
    </row>
    <row r="21" customFormat="false" ht="15" hidden="false" customHeight="true" outlineLevel="0" collapsed="false">
      <c r="A21" s="27" t="n">
        <v>11</v>
      </c>
      <c r="B21" s="15" t="str">
        <f aca="false">IFERROR(INDEX(내역입력!$B$3:$B$302,MATCH($C$3&amp;"|"&amp;11,내역입력!$L$3:$L$302,0)),"")</f>
        <v/>
      </c>
      <c r="C21" s="15" t="str">
        <f aca="false">IF($B21="","",IFERROR(INDEX(내역입력!$C$3:$C$302,MATCH($C$3&amp;"|"&amp;11,내역입력!$L$3:$L$302,0)),""))</f>
        <v/>
      </c>
      <c r="D21" s="27" t="str">
        <f aca="false">IF($B21="","",IFERROR(INDEX(내역입력!$D$3:$D$302,MATCH($C$3&amp;"|"&amp;11,내역입력!$L$3:$L$302,0)),""))</f>
        <v/>
      </c>
      <c r="E21" s="28" t="str">
        <f aca="false">IF($B21="","",IFERROR(INDEX(내역입력!$F$3:$F$302,MATCH($C$3&amp;"|"&amp;11,내역입력!$L$3:$L$302,0)),""))</f>
        <v/>
      </c>
      <c r="F21" s="16" t="str">
        <f aca="false">IF($B21="","",IFERROR(INDEX(내역입력!$E$3:$E$302,MATCH($C$3&amp;"|"&amp;11,내역입력!$L$3:$L$302,0)),""))</f>
        <v/>
      </c>
      <c r="G21" s="16" t="str">
        <f aca="false">IF($B21="","",IFERROR(INDEX(내역입력!$G$3:$G$302,MATCH($C$3&amp;"|"&amp;11,내역입력!$L$3:$L$302,0)),""))</f>
        <v/>
      </c>
    </row>
    <row r="22" customFormat="false" ht="15" hidden="false" customHeight="true" outlineLevel="0" collapsed="false">
      <c r="A22" s="27" t="n">
        <v>12</v>
      </c>
      <c r="B22" s="15" t="str">
        <f aca="false">IFERROR(INDEX(내역입력!$B$3:$B$302,MATCH($C$3&amp;"|"&amp;12,내역입력!$L$3:$L$302,0)),"")</f>
        <v/>
      </c>
      <c r="C22" s="15" t="str">
        <f aca="false">IF($B22="","",IFERROR(INDEX(내역입력!$C$3:$C$302,MATCH($C$3&amp;"|"&amp;12,내역입력!$L$3:$L$302,0)),""))</f>
        <v/>
      </c>
      <c r="D22" s="27" t="str">
        <f aca="false">IF($B22="","",IFERROR(INDEX(내역입력!$D$3:$D$302,MATCH($C$3&amp;"|"&amp;12,내역입력!$L$3:$L$302,0)),""))</f>
        <v/>
      </c>
      <c r="E22" s="28" t="str">
        <f aca="false">IF($B22="","",IFERROR(INDEX(내역입력!$F$3:$F$302,MATCH($C$3&amp;"|"&amp;12,내역입력!$L$3:$L$302,0)),""))</f>
        <v/>
      </c>
      <c r="F22" s="16" t="str">
        <f aca="false">IF($B22="","",IFERROR(INDEX(내역입력!$E$3:$E$302,MATCH($C$3&amp;"|"&amp;12,내역입력!$L$3:$L$302,0)),""))</f>
        <v/>
      </c>
      <c r="G22" s="16" t="str">
        <f aca="false">IF($B22="","",IFERROR(INDEX(내역입력!$G$3:$G$302,MATCH($C$3&amp;"|"&amp;12,내역입력!$L$3:$L$302,0)),""))</f>
        <v/>
      </c>
    </row>
    <row r="23" customFormat="false" ht="15" hidden="false" customHeight="true" outlineLevel="0" collapsed="false">
      <c r="A23" s="27" t="n">
        <v>13</v>
      </c>
      <c r="B23" s="15" t="str">
        <f aca="false">IFERROR(INDEX(내역입력!$B$3:$B$302,MATCH($C$3&amp;"|"&amp;13,내역입력!$L$3:$L$302,0)),"")</f>
        <v/>
      </c>
      <c r="C23" s="15" t="str">
        <f aca="false">IF($B23="","",IFERROR(INDEX(내역입력!$C$3:$C$302,MATCH($C$3&amp;"|"&amp;13,내역입력!$L$3:$L$302,0)),""))</f>
        <v/>
      </c>
      <c r="D23" s="27" t="str">
        <f aca="false">IF($B23="","",IFERROR(INDEX(내역입력!$D$3:$D$302,MATCH($C$3&amp;"|"&amp;13,내역입력!$L$3:$L$302,0)),""))</f>
        <v/>
      </c>
      <c r="E23" s="28" t="str">
        <f aca="false">IF($B23="","",IFERROR(INDEX(내역입력!$F$3:$F$302,MATCH($C$3&amp;"|"&amp;13,내역입력!$L$3:$L$302,0)),""))</f>
        <v/>
      </c>
      <c r="F23" s="16" t="str">
        <f aca="false">IF($B23="","",IFERROR(INDEX(내역입력!$E$3:$E$302,MATCH($C$3&amp;"|"&amp;13,내역입력!$L$3:$L$302,0)),""))</f>
        <v/>
      </c>
      <c r="G23" s="16" t="str">
        <f aca="false">IF($B23="","",IFERROR(INDEX(내역입력!$G$3:$G$302,MATCH($C$3&amp;"|"&amp;13,내역입력!$L$3:$L$302,0)),""))</f>
        <v/>
      </c>
    </row>
    <row r="24" customFormat="false" ht="15" hidden="false" customHeight="true" outlineLevel="0" collapsed="false">
      <c r="A24" s="27" t="n">
        <v>14</v>
      </c>
      <c r="B24" s="15" t="str">
        <f aca="false">IFERROR(INDEX(내역입력!$B$3:$B$302,MATCH($C$3&amp;"|"&amp;14,내역입력!$L$3:$L$302,0)),"")</f>
        <v/>
      </c>
      <c r="C24" s="15" t="str">
        <f aca="false">IF($B24="","",IFERROR(INDEX(내역입력!$C$3:$C$302,MATCH($C$3&amp;"|"&amp;14,내역입력!$L$3:$L$302,0)),""))</f>
        <v/>
      </c>
      <c r="D24" s="27" t="str">
        <f aca="false">IF($B24="","",IFERROR(INDEX(내역입력!$D$3:$D$302,MATCH($C$3&amp;"|"&amp;14,내역입력!$L$3:$L$302,0)),""))</f>
        <v/>
      </c>
      <c r="E24" s="28" t="str">
        <f aca="false">IF($B24="","",IFERROR(INDEX(내역입력!$F$3:$F$302,MATCH($C$3&amp;"|"&amp;14,내역입력!$L$3:$L$302,0)),""))</f>
        <v/>
      </c>
      <c r="F24" s="16" t="str">
        <f aca="false">IF($B24="","",IFERROR(INDEX(내역입력!$E$3:$E$302,MATCH($C$3&amp;"|"&amp;14,내역입력!$L$3:$L$302,0)),""))</f>
        <v/>
      </c>
      <c r="G24" s="16" t="str">
        <f aca="false">IF($B24="","",IFERROR(INDEX(내역입력!$G$3:$G$302,MATCH($C$3&amp;"|"&amp;14,내역입력!$L$3:$L$302,0)),""))</f>
        <v/>
      </c>
    </row>
    <row r="25" customFormat="false" ht="15" hidden="false" customHeight="true" outlineLevel="0" collapsed="false">
      <c r="A25" s="27" t="n">
        <v>15</v>
      </c>
      <c r="B25" s="15" t="str">
        <f aca="false">IFERROR(INDEX(내역입력!$B$3:$B$302,MATCH($C$3&amp;"|"&amp;15,내역입력!$L$3:$L$302,0)),"")</f>
        <v/>
      </c>
      <c r="C25" s="15" t="str">
        <f aca="false">IF($B25="","",IFERROR(INDEX(내역입력!$C$3:$C$302,MATCH($C$3&amp;"|"&amp;15,내역입력!$L$3:$L$302,0)),""))</f>
        <v/>
      </c>
      <c r="D25" s="27" t="str">
        <f aca="false">IF($B25="","",IFERROR(INDEX(내역입력!$D$3:$D$302,MATCH($C$3&amp;"|"&amp;15,내역입력!$L$3:$L$302,0)),""))</f>
        <v/>
      </c>
      <c r="E25" s="28" t="str">
        <f aca="false">IF($B25="","",IFERROR(INDEX(내역입력!$F$3:$F$302,MATCH($C$3&amp;"|"&amp;15,내역입력!$L$3:$L$302,0)),""))</f>
        <v/>
      </c>
      <c r="F25" s="16" t="str">
        <f aca="false">IF($B25="","",IFERROR(INDEX(내역입력!$E$3:$E$302,MATCH($C$3&amp;"|"&amp;15,내역입력!$L$3:$L$302,0)),""))</f>
        <v/>
      </c>
      <c r="G25" s="16" t="str">
        <f aca="false">IF($B25="","",IFERROR(INDEX(내역입력!$G$3:$G$302,MATCH($C$3&amp;"|"&amp;15,내역입력!$L$3:$L$302,0)),""))</f>
        <v/>
      </c>
    </row>
    <row r="26" customFormat="false" ht="15" hidden="false" customHeight="true" outlineLevel="0" collapsed="false">
      <c r="A26" s="27" t="n">
        <v>16</v>
      </c>
      <c r="B26" s="15" t="str">
        <f aca="false">IFERROR(INDEX(내역입력!$B$3:$B$302,MATCH($C$3&amp;"|"&amp;16,내역입력!$L$3:$L$302,0)),"")</f>
        <v/>
      </c>
      <c r="C26" s="15" t="str">
        <f aca="false">IF($B26="","",IFERROR(INDEX(내역입력!$C$3:$C$302,MATCH($C$3&amp;"|"&amp;16,내역입력!$L$3:$L$302,0)),""))</f>
        <v/>
      </c>
      <c r="D26" s="27" t="str">
        <f aca="false">IF($B26="","",IFERROR(INDEX(내역입력!$D$3:$D$302,MATCH($C$3&amp;"|"&amp;16,내역입력!$L$3:$L$302,0)),""))</f>
        <v/>
      </c>
      <c r="E26" s="28" t="str">
        <f aca="false">IF($B26="","",IFERROR(INDEX(내역입력!$F$3:$F$302,MATCH($C$3&amp;"|"&amp;16,내역입력!$L$3:$L$302,0)),""))</f>
        <v/>
      </c>
      <c r="F26" s="16" t="str">
        <f aca="false">IF($B26="","",IFERROR(INDEX(내역입력!$E$3:$E$302,MATCH($C$3&amp;"|"&amp;16,내역입력!$L$3:$L$302,0)),""))</f>
        <v/>
      </c>
      <c r="G26" s="16" t="str">
        <f aca="false">IF($B26="","",IFERROR(INDEX(내역입력!$G$3:$G$302,MATCH($C$3&amp;"|"&amp;16,내역입력!$L$3:$L$302,0)),""))</f>
        <v/>
      </c>
    </row>
    <row r="27" customFormat="false" ht="15" hidden="false" customHeight="true" outlineLevel="0" collapsed="false">
      <c r="A27" s="27" t="n">
        <v>17</v>
      </c>
      <c r="B27" s="15" t="str">
        <f aca="false">IFERROR(INDEX(내역입력!$B$3:$B$302,MATCH($C$3&amp;"|"&amp;17,내역입력!$L$3:$L$302,0)),"")</f>
        <v/>
      </c>
      <c r="C27" s="15" t="str">
        <f aca="false">IF($B27="","",IFERROR(INDEX(내역입력!$C$3:$C$302,MATCH($C$3&amp;"|"&amp;17,내역입력!$L$3:$L$302,0)),""))</f>
        <v/>
      </c>
      <c r="D27" s="27" t="str">
        <f aca="false">IF($B27="","",IFERROR(INDEX(내역입력!$D$3:$D$302,MATCH($C$3&amp;"|"&amp;17,내역입력!$L$3:$L$302,0)),""))</f>
        <v/>
      </c>
      <c r="E27" s="28" t="str">
        <f aca="false">IF($B27="","",IFERROR(INDEX(내역입력!$F$3:$F$302,MATCH($C$3&amp;"|"&amp;17,내역입력!$L$3:$L$302,0)),""))</f>
        <v/>
      </c>
      <c r="F27" s="16" t="str">
        <f aca="false">IF($B27="","",IFERROR(INDEX(내역입력!$E$3:$E$302,MATCH($C$3&amp;"|"&amp;17,내역입력!$L$3:$L$302,0)),""))</f>
        <v/>
      </c>
      <c r="G27" s="16" t="str">
        <f aca="false">IF($B27="","",IFERROR(INDEX(내역입력!$G$3:$G$302,MATCH($C$3&amp;"|"&amp;17,내역입력!$L$3:$L$302,0)),""))</f>
        <v/>
      </c>
    </row>
    <row r="28" customFormat="false" ht="15" hidden="false" customHeight="true" outlineLevel="0" collapsed="false">
      <c r="A28" s="27" t="n">
        <v>18</v>
      </c>
      <c r="B28" s="15" t="str">
        <f aca="false">IFERROR(INDEX(내역입력!$B$3:$B$302,MATCH($C$3&amp;"|"&amp;18,내역입력!$L$3:$L$302,0)),"")</f>
        <v/>
      </c>
      <c r="C28" s="15" t="str">
        <f aca="false">IF($B28="","",IFERROR(INDEX(내역입력!$C$3:$C$302,MATCH($C$3&amp;"|"&amp;18,내역입력!$L$3:$L$302,0)),""))</f>
        <v/>
      </c>
      <c r="D28" s="27" t="str">
        <f aca="false">IF($B28="","",IFERROR(INDEX(내역입력!$D$3:$D$302,MATCH($C$3&amp;"|"&amp;18,내역입력!$L$3:$L$302,0)),""))</f>
        <v/>
      </c>
      <c r="E28" s="28" t="str">
        <f aca="false">IF($B28="","",IFERROR(INDEX(내역입력!$F$3:$F$302,MATCH($C$3&amp;"|"&amp;18,내역입력!$L$3:$L$302,0)),""))</f>
        <v/>
      </c>
      <c r="F28" s="16" t="str">
        <f aca="false">IF($B28="","",IFERROR(INDEX(내역입력!$E$3:$E$302,MATCH($C$3&amp;"|"&amp;18,내역입력!$L$3:$L$302,0)),""))</f>
        <v/>
      </c>
      <c r="G28" s="16" t="str">
        <f aca="false">IF($B28="","",IFERROR(INDEX(내역입력!$G$3:$G$302,MATCH($C$3&amp;"|"&amp;18,내역입력!$L$3:$L$302,0)),""))</f>
        <v/>
      </c>
    </row>
    <row r="29" customFormat="false" ht="15" hidden="false" customHeight="true" outlineLevel="0" collapsed="false">
      <c r="A29" s="27" t="n">
        <v>19</v>
      </c>
      <c r="B29" s="15" t="str">
        <f aca="false">IFERROR(INDEX(내역입력!$B$3:$B$302,MATCH($C$3&amp;"|"&amp;19,내역입력!$L$3:$L$302,0)),"")</f>
        <v/>
      </c>
      <c r="C29" s="15" t="str">
        <f aca="false">IF($B29="","",IFERROR(INDEX(내역입력!$C$3:$C$302,MATCH($C$3&amp;"|"&amp;19,내역입력!$L$3:$L$302,0)),""))</f>
        <v/>
      </c>
      <c r="D29" s="27" t="str">
        <f aca="false">IF($B29="","",IFERROR(INDEX(내역입력!$D$3:$D$302,MATCH($C$3&amp;"|"&amp;19,내역입력!$L$3:$L$302,0)),""))</f>
        <v/>
      </c>
      <c r="E29" s="28" t="str">
        <f aca="false">IF($B29="","",IFERROR(INDEX(내역입력!$F$3:$F$302,MATCH($C$3&amp;"|"&amp;19,내역입력!$L$3:$L$302,0)),""))</f>
        <v/>
      </c>
      <c r="F29" s="16" t="str">
        <f aca="false">IF($B29="","",IFERROR(INDEX(내역입력!$E$3:$E$302,MATCH($C$3&amp;"|"&amp;19,내역입력!$L$3:$L$302,0)),""))</f>
        <v/>
      </c>
      <c r="G29" s="16" t="str">
        <f aca="false">IF($B29="","",IFERROR(INDEX(내역입력!$G$3:$G$302,MATCH($C$3&amp;"|"&amp;19,내역입력!$L$3:$L$302,0)),""))</f>
        <v/>
      </c>
    </row>
    <row r="30" customFormat="false" ht="15" hidden="false" customHeight="true" outlineLevel="0" collapsed="false">
      <c r="A30" s="27" t="n">
        <v>20</v>
      </c>
      <c r="B30" s="15" t="str">
        <f aca="false">IFERROR(INDEX(내역입력!$B$3:$B$302,MATCH($C$3&amp;"|"&amp;20,내역입력!$L$3:$L$302,0)),"")</f>
        <v/>
      </c>
      <c r="C30" s="15" t="str">
        <f aca="false">IF($B30="","",IFERROR(INDEX(내역입력!$C$3:$C$302,MATCH($C$3&amp;"|"&amp;20,내역입력!$L$3:$L$302,0)),""))</f>
        <v/>
      </c>
      <c r="D30" s="27" t="str">
        <f aca="false">IF($B30="","",IFERROR(INDEX(내역입력!$D$3:$D$302,MATCH($C$3&amp;"|"&amp;20,내역입력!$L$3:$L$302,0)),""))</f>
        <v/>
      </c>
      <c r="E30" s="28" t="str">
        <f aca="false">IF($B30="","",IFERROR(INDEX(내역입력!$F$3:$F$302,MATCH($C$3&amp;"|"&amp;20,내역입력!$L$3:$L$302,0)),""))</f>
        <v/>
      </c>
      <c r="F30" s="16" t="str">
        <f aca="false">IF($B30="","",IFERROR(INDEX(내역입력!$E$3:$E$302,MATCH($C$3&amp;"|"&amp;20,내역입력!$L$3:$L$302,0)),""))</f>
        <v/>
      </c>
      <c r="G30" s="16" t="str">
        <f aca="false">IF($B30="","",IFERROR(INDEX(내역입력!$G$3:$G$302,MATCH($C$3&amp;"|"&amp;20,내역입력!$L$3:$L$302,0)),""))</f>
        <v/>
      </c>
    </row>
    <row r="31" customFormat="false" ht="15" hidden="false" customHeight="true" outlineLevel="0" collapsed="false">
      <c r="B31" s="23" t="s">
        <v>87</v>
      </c>
      <c r="C31" s="23"/>
      <c r="D31" s="23"/>
      <c r="E31" s="23"/>
      <c r="F31" s="23"/>
      <c r="G31" s="29" t="n">
        <f aca="false">SUM(G11:G30)</f>
        <v>8872000</v>
      </c>
    </row>
    <row r="32" customFormat="false" ht="15" hidden="false" customHeight="true" outlineLevel="0" collapsed="false">
      <c r="B32" s="23" t="s">
        <v>88</v>
      </c>
      <c r="C32" s="23"/>
      <c r="D32" s="23"/>
      <c r="E32" s="23"/>
      <c r="F32" s="23"/>
      <c r="G32" s="29" t="n">
        <f aca="false">ROUND(G31*기초정보!$C$13,0)</f>
        <v>887200</v>
      </c>
    </row>
    <row r="33" customFormat="false" ht="15" hidden="false" customHeight="true" outlineLevel="0" collapsed="false">
      <c r="B33" s="30" t="s">
        <v>89</v>
      </c>
      <c r="C33" s="30"/>
      <c r="D33" s="30"/>
      <c r="E33" s="30"/>
      <c r="F33" s="30"/>
      <c r="G33" s="31" t="n">
        <f aca="false">G31+G32</f>
        <v>9759200</v>
      </c>
    </row>
    <row r="35" customFormat="false" ht="15" hidden="false" customHeight="true" outlineLevel="0" collapsed="false">
      <c r="A35" s="5" t="s">
        <v>90</v>
      </c>
    </row>
  </sheetData>
  <mergeCells count="17">
    <mergeCell ref="A1:G1"/>
    <mergeCell ref="A3:B3"/>
    <mergeCell ref="C3:D3"/>
    <mergeCell ref="F3:G3"/>
    <mergeCell ref="A4:G4"/>
    <mergeCell ref="A6:B6"/>
    <mergeCell ref="C6:D6"/>
    <mergeCell ref="F6:G6"/>
    <mergeCell ref="A7:B7"/>
    <mergeCell ref="C7:D7"/>
    <mergeCell ref="F7:G7"/>
    <mergeCell ref="A8:B8"/>
    <mergeCell ref="C8:D8"/>
    <mergeCell ref="F8:G8"/>
    <mergeCell ref="B31:F31"/>
    <mergeCell ref="B32:F32"/>
    <mergeCell ref="B33:F33"/>
  </mergeCells>
  <dataValidations count="1">
    <dataValidation allowBlank="true" errorStyle="stop" operator="between" showDropDown="false" showErrorMessage="false" showInputMessage="false" sqref="C3" type="list">
      <formula1>현장목록!$A$3:$A$62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7"/>
  </cols>
  <sheetData>
    <row r="1" customFormat="false" ht="37.5" hidden="false" customHeight="true" outlineLevel="0" collapsed="false">
      <c r="A1" s="18" t="s">
        <v>91</v>
      </c>
      <c r="B1" s="18"/>
      <c r="C1" s="18"/>
      <c r="D1" s="18"/>
      <c r="E1" s="18"/>
      <c r="F1" s="18"/>
      <c r="G1" s="18"/>
    </row>
    <row r="3" customFormat="false" ht="15" hidden="false" customHeight="true" outlineLevel="0" collapsed="false">
      <c r="A3" s="19" t="s">
        <v>77</v>
      </c>
      <c r="B3" s="19"/>
      <c r="C3" s="20" t="s">
        <v>47</v>
      </c>
      <c r="D3" s="20"/>
      <c r="E3" s="19" t="s">
        <v>78</v>
      </c>
      <c r="F3" s="21" t="n">
        <f aca="true">TODAY()</f>
        <v>46279</v>
      </c>
      <c r="G3" s="21"/>
    </row>
    <row r="4" customFormat="false" ht="13.5" hidden="false" customHeight="true" outlineLevel="0" collapsed="false">
      <c r="A4" s="22" t="s">
        <v>79</v>
      </c>
      <c r="B4" s="22"/>
      <c r="C4" s="22"/>
      <c r="D4" s="22"/>
      <c r="E4" s="22"/>
      <c r="F4" s="22"/>
      <c r="G4" s="22"/>
    </row>
    <row r="6" customFormat="false" ht="21.75" hidden="false" customHeight="true" outlineLevel="0" collapsed="false">
      <c r="A6" s="23" t="s">
        <v>80</v>
      </c>
      <c r="B6" s="23"/>
      <c r="C6" s="24" t="str">
        <f aca="false">IFERROR(INDEX(현장목록!$B$3:$B$62,MATCH($C$3,현장목록!$A$3:$A$62,0)),"")</f>
        <v>○○종합건설</v>
      </c>
      <c r="D6" s="24"/>
      <c r="E6" s="23" t="s">
        <v>22</v>
      </c>
      <c r="F6" s="24" t="str">
        <f aca="false">기초정보!$C$4</f>
        <v>○○이엔지</v>
      </c>
      <c r="G6" s="24"/>
    </row>
    <row r="7" customFormat="false" ht="21.75" hidden="false" customHeight="true" outlineLevel="0" collapsed="false">
      <c r="A7" s="23" t="s">
        <v>81</v>
      </c>
      <c r="B7" s="23"/>
      <c r="C7" s="24" t="str">
        <f aca="false">$C$3</f>
        <v>○○아파트 지하주차장</v>
      </c>
      <c r="D7" s="24"/>
      <c r="E7" s="23" t="s">
        <v>82</v>
      </c>
      <c r="F7" s="24" t="str">
        <f aca="false">기초정보!$C$5</f>
        <v>000-00-00000</v>
      </c>
      <c r="G7" s="24"/>
    </row>
    <row r="8" customFormat="false" ht="21.75" hidden="false" customHeight="true" outlineLevel="0" collapsed="false">
      <c r="A8" s="23" t="s">
        <v>44</v>
      </c>
      <c r="B8" s="23"/>
      <c r="C8" s="24" t="str">
        <f aca="false">IFERROR(INDEX(현장목록!$C$3:$C$62,MATCH($C$3,현장목록!$A$3:$A$62,0)),"")</f>
        <v>경기도 ○○시 ○○동</v>
      </c>
      <c r="D8" s="24"/>
      <c r="E8" s="23" t="s">
        <v>26</v>
      </c>
      <c r="F8" s="24" t="str">
        <f aca="false">기초정보!$C$6</f>
        <v>홍길동</v>
      </c>
      <c r="G8" s="24"/>
    </row>
    <row r="10" customFormat="false" ht="15" hidden="false" customHeight="true" outlineLevel="0" collapsed="false">
      <c r="A10" s="25" t="s">
        <v>83</v>
      </c>
      <c r="B10" s="26" t="s">
        <v>84</v>
      </c>
      <c r="C10" s="26" t="s">
        <v>85</v>
      </c>
      <c r="D10" s="26" t="s">
        <v>54</v>
      </c>
      <c r="E10" s="26" t="s">
        <v>70</v>
      </c>
      <c r="F10" s="26" t="s">
        <v>69</v>
      </c>
      <c r="G10" s="26" t="s">
        <v>92</v>
      </c>
    </row>
    <row r="11" customFormat="false" ht="15" hidden="false" customHeight="true" outlineLevel="0" collapsed="false">
      <c r="A11" s="27" t="n">
        <v>1</v>
      </c>
      <c r="B11" s="15" t="str">
        <f aca="false">IFERROR(INDEX(내역입력!$B$3:$B$302,MATCH($C$3&amp;"|"&amp;1,내역입력!$L$3:$L$302,0)),"")</f>
        <v>주차장 환기휀</v>
      </c>
      <c r="C11" s="15" t="str">
        <f aca="false">IF($B11="","",IFERROR(INDEX(내역입력!$C$3:$C$302,MATCH($C$3&amp;"|"&amp;1,내역입력!$L$3:$L$302,0)),""))</f>
        <v>SF-500 / 1HP</v>
      </c>
      <c r="D11" s="27" t="str">
        <f aca="false">IF($B11="","",IFERROR(INDEX(내역입력!$D$3:$D$302,MATCH($C$3&amp;"|"&amp;1,내역입력!$L$3:$L$302,0)),""))</f>
        <v>대</v>
      </c>
      <c r="E11" s="28" t="n">
        <f aca="false">IF($B11="","",IFERROR(INDEX(내역입력!$F$3:$F$302,MATCH($C$3&amp;"|"&amp;1,내역입력!$L$3:$L$302,0)),""))</f>
        <v>4</v>
      </c>
      <c r="F11" s="16" t="n">
        <f aca="false">IF($B11="","",IFERROR(INDEX(내역입력!$E$3:$E$302,MATCH($C$3&amp;"|"&amp;1,내역입력!$L$3:$L$302,0)),""))</f>
        <v>850000</v>
      </c>
      <c r="G11" s="16" t="n">
        <f aca="false">IF($B11="","",IFERROR(INDEX(내역입력!$I$3:$I$302,MATCH($C$3&amp;"|"&amp;1,내역입력!$L$3:$L$302,0)),""))</f>
        <v>2040000</v>
      </c>
    </row>
    <row r="12" customFormat="false" ht="15" hidden="false" customHeight="true" outlineLevel="0" collapsed="false">
      <c r="A12" s="27" t="n">
        <v>2</v>
      </c>
      <c r="B12" s="15" t="str">
        <f aca="false">IFERROR(INDEX(내역입력!$B$3:$B$302,MATCH($C$3&amp;"|"&amp;2,내역입력!$L$3:$L$302,0)),"")</f>
        <v>급기 덕트</v>
      </c>
      <c r="C12" s="15" t="str">
        <f aca="false">IF($B12="","",IFERROR(INDEX(내역입력!$C$3:$C$302,MATCH($C$3&amp;"|"&amp;2,내역입력!$L$3:$L$302,0)),""))</f>
        <v>SPCC 0.6T</v>
      </c>
      <c r="D12" s="27" t="str">
        <f aca="false">IF($B12="","",IFERROR(INDEX(내역입력!$D$3:$D$302,MATCH($C$3&amp;"|"&amp;2,내역입력!$L$3:$L$302,0)),""))</f>
        <v>M</v>
      </c>
      <c r="E12" s="28" t="n">
        <f aca="false">IF($B12="","",IFERROR(INDEX(내역입력!$F$3:$F$302,MATCH($C$3&amp;"|"&amp;2,내역입력!$L$3:$L$302,0)),""))</f>
        <v>120</v>
      </c>
      <c r="F12" s="16" t="n">
        <f aca="false">IF($B12="","",IFERROR(INDEX(내역입력!$E$3:$E$302,MATCH($C$3&amp;"|"&amp;2,내역입력!$L$3:$L$302,0)),""))</f>
        <v>42000</v>
      </c>
      <c r="G12" s="16" t="n">
        <f aca="false">IF($B12="","",IFERROR(INDEX(내역입력!$I$3:$I$302,MATCH($C$3&amp;"|"&amp;2,내역입력!$L$3:$L$302,0)),""))</f>
        <v>3024000</v>
      </c>
    </row>
    <row r="13" customFormat="false" ht="15" hidden="false" customHeight="true" outlineLevel="0" collapsed="false">
      <c r="A13" s="27" t="n">
        <v>3</v>
      </c>
      <c r="B13" s="15" t="str">
        <f aca="false">IFERROR(INDEX(내역입력!$B$3:$B$302,MATCH($C$3&amp;"|"&amp;3,내역입력!$L$3:$L$302,0)),"")</f>
        <v>배기 그릴</v>
      </c>
      <c r="C13" s="15" t="str">
        <f aca="false">IF($B13="","",IFERROR(INDEX(내역입력!$C$3:$C$302,MATCH($C$3&amp;"|"&amp;3,내역입력!$L$3:$L$302,0)),""))</f>
        <v>300x300</v>
      </c>
      <c r="D13" s="27" t="str">
        <f aca="false">IF($B13="","",IFERROR(INDEX(내역입력!$D$3:$D$302,MATCH($C$3&amp;"|"&amp;3,내역입력!$L$3:$L$302,0)),""))</f>
        <v>EA</v>
      </c>
      <c r="E13" s="28" t="n">
        <f aca="false">IF($B13="","",IFERROR(INDEX(내역입력!$F$3:$F$302,MATCH($C$3&amp;"|"&amp;3,내역입력!$L$3:$L$302,0)),""))</f>
        <v>24</v>
      </c>
      <c r="F13" s="16" t="n">
        <f aca="false">IF($B13="","",IFERROR(INDEX(내역입력!$E$3:$E$302,MATCH($C$3&amp;"|"&amp;3,내역입력!$L$3:$L$302,0)),""))</f>
        <v>18000</v>
      </c>
      <c r="G13" s="16" t="n">
        <f aca="false">IF($B13="","",IFERROR(INDEX(내역입력!$I$3:$I$302,MATCH($C$3&amp;"|"&amp;3,내역입력!$L$3:$L$302,0)),""))</f>
        <v>216000</v>
      </c>
    </row>
    <row r="14" customFormat="false" ht="15" hidden="false" customHeight="true" outlineLevel="0" collapsed="false">
      <c r="A14" s="27" t="n">
        <v>4</v>
      </c>
      <c r="B14" s="15" t="str">
        <f aca="false">IFERROR(INDEX(내역입력!$B$3:$B$302,MATCH($C$3&amp;"|"&amp;4,내역입력!$L$3:$L$302,0)),"")</f>
        <v/>
      </c>
      <c r="C14" s="15" t="str">
        <f aca="false">IF($B14="","",IFERROR(INDEX(내역입력!$C$3:$C$302,MATCH($C$3&amp;"|"&amp;4,내역입력!$L$3:$L$302,0)),""))</f>
        <v/>
      </c>
      <c r="D14" s="27" t="str">
        <f aca="false">IF($B14="","",IFERROR(INDEX(내역입력!$D$3:$D$302,MATCH($C$3&amp;"|"&amp;4,내역입력!$L$3:$L$302,0)),""))</f>
        <v/>
      </c>
      <c r="E14" s="28" t="str">
        <f aca="false">IF($B14="","",IFERROR(INDEX(내역입력!$F$3:$F$302,MATCH($C$3&amp;"|"&amp;4,내역입력!$L$3:$L$302,0)),""))</f>
        <v/>
      </c>
      <c r="F14" s="16" t="str">
        <f aca="false">IF($B14="","",IFERROR(INDEX(내역입력!$E$3:$E$302,MATCH($C$3&amp;"|"&amp;4,내역입력!$L$3:$L$302,0)),""))</f>
        <v/>
      </c>
      <c r="G14" s="16" t="str">
        <f aca="false">IF($B14="","",IFERROR(INDEX(내역입력!$I$3:$I$302,MATCH($C$3&amp;"|"&amp;4,내역입력!$L$3:$L$302,0)),""))</f>
        <v/>
      </c>
    </row>
    <row r="15" customFormat="false" ht="15" hidden="false" customHeight="true" outlineLevel="0" collapsed="false">
      <c r="A15" s="27" t="n">
        <v>5</v>
      </c>
      <c r="B15" s="15" t="str">
        <f aca="false">IFERROR(INDEX(내역입력!$B$3:$B$302,MATCH($C$3&amp;"|"&amp;5,내역입력!$L$3:$L$302,0)),"")</f>
        <v/>
      </c>
      <c r="C15" s="15" t="str">
        <f aca="false">IF($B15="","",IFERROR(INDEX(내역입력!$C$3:$C$302,MATCH($C$3&amp;"|"&amp;5,내역입력!$L$3:$L$302,0)),""))</f>
        <v/>
      </c>
      <c r="D15" s="27" t="str">
        <f aca="false">IF($B15="","",IFERROR(INDEX(내역입력!$D$3:$D$302,MATCH($C$3&amp;"|"&amp;5,내역입력!$L$3:$L$302,0)),""))</f>
        <v/>
      </c>
      <c r="E15" s="28" t="str">
        <f aca="false">IF($B15="","",IFERROR(INDEX(내역입력!$F$3:$F$302,MATCH($C$3&amp;"|"&amp;5,내역입력!$L$3:$L$302,0)),""))</f>
        <v/>
      </c>
      <c r="F15" s="16" t="str">
        <f aca="false">IF($B15="","",IFERROR(INDEX(내역입력!$E$3:$E$302,MATCH($C$3&amp;"|"&amp;5,내역입력!$L$3:$L$302,0)),""))</f>
        <v/>
      </c>
      <c r="G15" s="16" t="str">
        <f aca="false">IF($B15="","",IFERROR(INDEX(내역입력!$I$3:$I$302,MATCH($C$3&amp;"|"&amp;5,내역입력!$L$3:$L$302,0)),""))</f>
        <v/>
      </c>
    </row>
    <row r="16" customFormat="false" ht="15" hidden="false" customHeight="true" outlineLevel="0" collapsed="false">
      <c r="A16" s="27" t="n">
        <v>6</v>
      </c>
      <c r="B16" s="15" t="str">
        <f aca="false">IFERROR(INDEX(내역입력!$B$3:$B$302,MATCH($C$3&amp;"|"&amp;6,내역입력!$L$3:$L$302,0)),"")</f>
        <v/>
      </c>
      <c r="C16" s="15" t="str">
        <f aca="false">IF($B16="","",IFERROR(INDEX(내역입력!$C$3:$C$302,MATCH($C$3&amp;"|"&amp;6,내역입력!$L$3:$L$302,0)),""))</f>
        <v/>
      </c>
      <c r="D16" s="27" t="str">
        <f aca="false">IF($B16="","",IFERROR(INDEX(내역입력!$D$3:$D$302,MATCH($C$3&amp;"|"&amp;6,내역입력!$L$3:$L$302,0)),""))</f>
        <v/>
      </c>
      <c r="E16" s="28" t="str">
        <f aca="false">IF($B16="","",IFERROR(INDEX(내역입력!$F$3:$F$302,MATCH($C$3&amp;"|"&amp;6,내역입력!$L$3:$L$302,0)),""))</f>
        <v/>
      </c>
      <c r="F16" s="16" t="str">
        <f aca="false">IF($B16="","",IFERROR(INDEX(내역입력!$E$3:$E$302,MATCH($C$3&amp;"|"&amp;6,내역입력!$L$3:$L$302,0)),""))</f>
        <v/>
      </c>
      <c r="G16" s="16" t="str">
        <f aca="false">IF($B16="","",IFERROR(INDEX(내역입력!$I$3:$I$302,MATCH($C$3&amp;"|"&amp;6,내역입력!$L$3:$L$302,0)),""))</f>
        <v/>
      </c>
    </row>
    <row r="17" customFormat="false" ht="15" hidden="false" customHeight="true" outlineLevel="0" collapsed="false">
      <c r="A17" s="27" t="n">
        <v>7</v>
      </c>
      <c r="B17" s="15" t="str">
        <f aca="false">IFERROR(INDEX(내역입력!$B$3:$B$302,MATCH($C$3&amp;"|"&amp;7,내역입력!$L$3:$L$302,0)),"")</f>
        <v/>
      </c>
      <c r="C17" s="15" t="str">
        <f aca="false">IF($B17="","",IFERROR(INDEX(내역입력!$C$3:$C$302,MATCH($C$3&amp;"|"&amp;7,내역입력!$L$3:$L$302,0)),""))</f>
        <v/>
      </c>
      <c r="D17" s="27" t="str">
        <f aca="false">IF($B17="","",IFERROR(INDEX(내역입력!$D$3:$D$302,MATCH($C$3&amp;"|"&amp;7,내역입력!$L$3:$L$302,0)),""))</f>
        <v/>
      </c>
      <c r="E17" s="28" t="str">
        <f aca="false">IF($B17="","",IFERROR(INDEX(내역입력!$F$3:$F$302,MATCH($C$3&amp;"|"&amp;7,내역입력!$L$3:$L$302,0)),""))</f>
        <v/>
      </c>
      <c r="F17" s="16" t="str">
        <f aca="false">IF($B17="","",IFERROR(INDEX(내역입력!$E$3:$E$302,MATCH($C$3&amp;"|"&amp;7,내역입력!$L$3:$L$302,0)),""))</f>
        <v/>
      </c>
      <c r="G17" s="16" t="str">
        <f aca="false">IF($B17="","",IFERROR(INDEX(내역입력!$I$3:$I$302,MATCH($C$3&amp;"|"&amp;7,내역입력!$L$3:$L$302,0)),""))</f>
        <v/>
      </c>
    </row>
    <row r="18" customFormat="false" ht="15" hidden="false" customHeight="true" outlineLevel="0" collapsed="false">
      <c r="A18" s="27" t="n">
        <v>8</v>
      </c>
      <c r="B18" s="15" t="str">
        <f aca="false">IFERROR(INDEX(내역입력!$B$3:$B$302,MATCH($C$3&amp;"|"&amp;8,내역입력!$L$3:$L$302,0)),"")</f>
        <v/>
      </c>
      <c r="C18" s="15" t="str">
        <f aca="false">IF($B18="","",IFERROR(INDEX(내역입력!$C$3:$C$302,MATCH($C$3&amp;"|"&amp;8,내역입력!$L$3:$L$302,0)),""))</f>
        <v/>
      </c>
      <c r="D18" s="27" t="str">
        <f aca="false">IF($B18="","",IFERROR(INDEX(내역입력!$D$3:$D$302,MATCH($C$3&amp;"|"&amp;8,내역입력!$L$3:$L$302,0)),""))</f>
        <v/>
      </c>
      <c r="E18" s="28" t="str">
        <f aca="false">IF($B18="","",IFERROR(INDEX(내역입력!$F$3:$F$302,MATCH($C$3&amp;"|"&amp;8,내역입력!$L$3:$L$302,0)),""))</f>
        <v/>
      </c>
      <c r="F18" s="16" t="str">
        <f aca="false">IF($B18="","",IFERROR(INDEX(내역입력!$E$3:$E$302,MATCH($C$3&amp;"|"&amp;8,내역입력!$L$3:$L$302,0)),""))</f>
        <v/>
      </c>
      <c r="G18" s="16" t="str">
        <f aca="false">IF($B18="","",IFERROR(INDEX(내역입력!$I$3:$I$302,MATCH($C$3&amp;"|"&amp;8,내역입력!$L$3:$L$302,0)),""))</f>
        <v/>
      </c>
    </row>
    <row r="19" customFormat="false" ht="15" hidden="false" customHeight="true" outlineLevel="0" collapsed="false">
      <c r="A19" s="27" t="n">
        <v>9</v>
      </c>
      <c r="B19" s="15" t="str">
        <f aca="false">IFERROR(INDEX(내역입력!$B$3:$B$302,MATCH($C$3&amp;"|"&amp;9,내역입력!$L$3:$L$302,0)),"")</f>
        <v/>
      </c>
      <c r="C19" s="15" t="str">
        <f aca="false">IF($B19="","",IFERROR(INDEX(내역입력!$C$3:$C$302,MATCH($C$3&amp;"|"&amp;9,내역입력!$L$3:$L$302,0)),""))</f>
        <v/>
      </c>
      <c r="D19" s="27" t="str">
        <f aca="false">IF($B19="","",IFERROR(INDEX(내역입력!$D$3:$D$302,MATCH($C$3&amp;"|"&amp;9,내역입력!$L$3:$L$302,0)),""))</f>
        <v/>
      </c>
      <c r="E19" s="28" t="str">
        <f aca="false">IF($B19="","",IFERROR(INDEX(내역입력!$F$3:$F$302,MATCH($C$3&amp;"|"&amp;9,내역입력!$L$3:$L$302,0)),""))</f>
        <v/>
      </c>
      <c r="F19" s="16" t="str">
        <f aca="false">IF($B19="","",IFERROR(INDEX(내역입력!$E$3:$E$302,MATCH($C$3&amp;"|"&amp;9,내역입력!$L$3:$L$302,0)),""))</f>
        <v/>
      </c>
      <c r="G19" s="16" t="str">
        <f aca="false">IF($B19="","",IFERROR(INDEX(내역입력!$I$3:$I$302,MATCH($C$3&amp;"|"&amp;9,내역입력!$L$3:$L$302,0)),""))</f>
        <v/>
      </c>
    </row>
    <row r="20" customFormat="false" ht="15" hidden="false" customHeight="true" outlineLevel="0" collapsed="false">
      <c r="A20" s="27" t="n">
        <v>10</v>
      </c>
      <c r="B20" s="15" t="str">
        <f aca="false">IFERROR(INDEX(내역입력!$B$3:$B$302,MATCH($C$3&amp;"|"&amp;10,내역입력!$L$3:$L$302,0)),"")</f>
        <v/>
      </c>
      <c r="C20" s="15" t="str">
        <f aca="false">IF($B20="","",IFERROR(INDEX(내역입력!$C$3:$C$302,MATCH($C$3&amp;"|"&amp;10,내역입력!$L$3:$L$302,0)),""))</f>
        <v/>
      </c>
      <c r="D20" s="27" t="str">
        <f aca="false">IF($B20="","",IFERROR(INDEX(내역입력!$D$3:$D$302,MATCH($C$3&amp;"|"&amp;10,내역입력!$L$3:$L$302,0)),""))</f>
        <v/>
      </c>
      <c r="E20" s="28" t="str">
        <f aca="false">IF($B20="","",IFERROR(INDEX(내역입력!$F$3:$F$302,MATCH($C$3&amp;"|"&amp;10,내역입력!$L$3:$L$302,0)),""))</f>
        <v/>
      </c>
      <c r="F20" s="16" t="str">
        <f aca="false">IF($B20="","",IFERROR(INDEX(내역입력!$E$3:$E$302,MATCH($C$3&amp;"|"&amp;10,내역입력!$L$3:$L$302,0)),""))</f>
        <v/>
      </c>
      <c r="G20" s="16" t="str">
        <f aca="false">IF($B20="","",IFERROR(INDEX(내역입력!$I$3:$I$302,MATCH($C$3&amp;"|"&amp;10,내역입력!$L$3:$L$302,0)),""))</f>
        <v/>
      </c>
    </row>
    <row r="21" customFormat="false" ht="15" hidden="false" customHeight="true" outlineLevel="0" collapsed="false">
      <c r="A21" s="27" t="n">
        <v>11</v>
      </c>
      <c r="B21" s="15" t="str">
        <f aca="false">IFERROR(INDEX(내역입력!$B$3:$B$302,MATCH($C$3&amp;"|"&amp;11,내역입력!$L$3:$L$302,0)),"")</f>
        <v/>
      </c>
      <c r="C21" s="15" t="str">
        <f aca="false">IF($B21="","",IFERROR(INDEX(내역입력!$C$3:$C$302,MATCH($C$3&amp;"|"&amp;11,내역입력!$L$3:$L$302,0)),""))</f>
        <v/>
      </c>
      <c r="D21" s="27" t="str">
        <f aca="false">IF($B21="","",IFERROR(INDEX(내역입력!$D$3:$D$302,MATCH($C$3&amp;"|"&amp;11,내역입력!$L$3:$L$302,0)),""))</f>
        <v/>
      </c>
      <c r="E21" s="28" t="str">
        <f aca="false">IF($B21="","",IFERROR(INDEX(내역입력!$F$3:$F$302,MATCH($C$3&amp;"|"&amp;11,내역입력!$L$3:$L$302,0)),""))</f>
        <v/>
      </c>
      <c r="F21" s="16" t="str">
        <f aca="false">IF($B21="","",IFERROR(INDEX(내역입력!$E$3:$E$302,MATCH($C$3&amp;"|"&amp;11,내역입력!$L$3:$L$302,0)),""))</f>
        <v/>
      </c>
      <c r="G21" s="16" t="str">
        <f aca="false">IF($B21="","",IFERROR(INDEX(내역입력!$I$3:$I$302,MATCH($C$3&amp;"|"&amp;11,내역입력!$L$3:$L$302,0)),""))</f>
        <v/>
      </c>
    </row>
    <row r="22" customFormat="false" ht="15" hidden="false" customHeight="true" outlineLevel="0" collapsed="false">
      <c r="A22" s="27" t="n">
        <v>12</v>
      </c>
      <c r="B22" s="15" t="str">
        <f aca="false">IFERROR(INDEX(내역입력!$B$3:$B$302,MATCH($C$3&amp;"|"&amp;12,내역입력!$L$3:$L$302,0)),"")</f>
        <v/>
      </c>
      <c r="C22" s="15" t="str">
        <f aca="false">IF($B22="","",IFERROR(INDEX(내역입력!$C$3:$C$302,MATCH($C$3&amp;"|"&amp;12,내역입력!$L$3:$L$302,0)),""))</f>
        <v/>
      </c>
      <c r="D22" s="27" t="str">
        <f aca="false">IF($B22="","",IFERROR(INDEX(내역입력!$D$3:$D$302,MATCH($C$3&amp;"|"&amp;12,내역입력!$L$3:$L$302,0)),""))</f>
        <v/>
      </c>
      <c r="E22" s="28" t="str">
        <f aca="false">IF($B22="","",IFERROR(INDEX(내역입력!$F$3:$F$302,MATCH($C$3&amp;"|"&amp;12,내역입력!$L$3:$L$302,0)),""))</f>
        <v/>
      </c>
      <c r="F22" s="16" t="str">
        <f aca="false">IF($B22="","",IFERROR(INDEX(내역입력!$E$3:$E$302,MATCH($C$3&amp;"|"&amp;12,내역입력!$L$3:$L$302,0)),""))</f>
        <v/>
      </c>
      <c r="G22" s="16" t="str">
        <f aca="false">IF($B22="","",IFERROR(INDEX(내역입력!$I$3:$I$302,MATCH($C$3&amp;"|"&amp;12,내역입력!$L$3:$L$302,0)),""))</f>
        <v/>
      </c>
    </row>
    <row r="23" customFormat="false" ht="15" hidden="false" customHeight="true" outlineLevel="0" collapsed="false">
      <c r="A23" s="27" t="n">
        <v>13</v>
      </c>
      <c r="B23" s="15" t="str">
        <f aca="false">IFERROR(INDEX(내역입력!$B$3:$B$302,MATCH($C$3&amp;"|"&amp;13,내역입력!$L$3:$L$302,0)),"")</f>
        <v/>
      </c>
      <c r="C23" s="15" t="str">
        <f aca="false">IF($B23="","",IFERROR(INDEX(내역입력!$C$3:$C$302,MATCH($C$3&amp;"|"&amp;13,내역입력!$L$3:$L$302,0)),""))</f>
        <v/>
      </c>
      <c r="D23" s="27" t="str">
        <f aca="false">IF($B23="","",IFERROR(INDEX(내역입력!$D$3:$D$302,MATCH($C$3&amp;"|"&amp;13,내역입력!$L$3:$L$302,0)),""))</f>
        <v/>
      </c>
      <c r="E23" s="28" t="str">
        <f aca="false">IF($B23="","",IFERROR(INDEX(내역입력!$F$3:$F$302,MATCH($C$3&amp;"|"&amp;13,내역입력!$L$3:$L$302,0)),""))</f>
        <v/>
      </c>
      <c r="F23" s="16" t="str">
        <f aca="false">IF($B23="","",IFERROR(INDEX(내역입력!$E$3:$E$302,MATCH($C$3&amp;"|"&amp;13,내역입력!$L$3:$L$302,0)),""))</f>
        <v/>
      </c>
      <c r="G23" s="16" t="str">
        <f aca="false">IF($B23="","",IFERROR(INDEX(내역입력!$I$3:$I$302,MATCH($C$3&amp;"|"&amp;13,내역입력!$L$3:$L$302,0)),""))</f>
        <v/>
      </c>
    </row>
    <row r="24" customFormat="false" ht="15" hidden="false" customHeight="true" outlineLevel="0" collapsed="false">
      <c r="A24" s="27" t="n">
        <v>14</v>
      </c>
      <c r="B24" s="15" t="str">
        <f aca="false">IFERROR(INDEX(내역입력!$B$3:$B$302,MATCH($C$3&amp;"|"&amp;14,내역입력!$L$3:$L$302,0)),"")</f>
        <v/>
      </c>
      <c r="C24" s="15" t="str">
        <f aca="false">IF($B24="","",IFERROR(INDEX(내역입력!$C$3:$C$302,MATCH($C$3&amp;"|"&amp;14,내역입력!$L$3:$L$302,0)),""))</f>
        <v/>
      </c>
      <c r="D24" s="27" t="str">
        <f aca="false">IF($B24="","",IFERROR(INDEX(내역입력!$D$3:$D$302,MATCH($C$3&amp;"|"&amp;14,내역입력!$L$3:$L$302,0)),""))</f>
        <v/>
      </c>
      <c r="E24" s="28" t="str">
        <f aca="false">IF($B24="","",IFERROR(INDEX(내역입력!$F$3:$F$302,MATCH($C$3&amp;"|"&amp;14,내역입력!$L$3:$L$302,0)),""))</f>
        <v/>
      </c>
      <c r="F24" s="16" t="str">
        <f aca="false">IF($B24="","",IFERROR(INDEX(내역입력!$E$3:$E$302,MATCH($C$3&amp;"|"&amp;14,내역입력!$L$3:$L$302,0)),""))</f>
        <v/>
      </c>
      <c r="G24" s="16" t="str">
        <f aca="false">IF($B24="","",IFERROR(INDEX(내역입력!$I$3:$I$302,MATCH($C$3&amp;"|"&amp;14,내역입력!$L$3:$L$302,0)),""))</f>
        <v/>
      </c>
    </row>
    <row r="25" customFormat="false" ht="15" hidden="false" customHeight="true" outlineLevel="0" collapsed="false">
      <c r="A25" s="27" t="n">
        <v>15</v>
      </c>
      <c r="B25" s="15" t="str">
        <f aca="false">IFERROR(INDEX(내역입력!$B$3:$B$302,MATCH($C$3&amp;"|"&amp;15,내역입력!$L$3:$L$302,0)),"")</f>
        <v/>
      </c>
      <c r="C25" s="15" t="str">
        <f aca="false">IF($B25="","",IFERROR(INDEX(내역입력!$C$3:$C$302,MATCH($C$3&amp;"|"&amp;15,내역입력!$L$3:$L$302,0)),""))</f>
        <v/>
      </c>
      <c r="D25" s="27" t="str">
        <f aca="false">IF($B25="","",IFERROR(INDEX(내역입력!$D$3:$D$302,MATCH($C$3&amp;"|"&amp;15,내역입력!$L$3:$L$302,0)),""))</f>
        <v/>
      </c>
      <c r="E25" s="28" t="str">
        <f aca="false">IF($B25="","",IFERROR(INDEX(내역입력!$F$3:$F$302,MATCH($C$3&amp;"|"&amp;15,내역입력!$L$3:$L$302,0)),""))</f>
        <v/>
      </c>
      <c r="F25" s="16" t="str">
        <f aca="false">IF($B25="","",IFERROR(INDEX(내역입력!$E$3:$E$302,MATCH($C$3&amp;"|"&amp;15,내역입력!$L$3:$L$302,0)),""))</f>
        <v/>
      </c>
      <c r="G25" s="16" t="str">
        <f aca="false">IF($B25="","",IFERROR(INDEX(내역입력!$I$3:$I$302,MATCH($C$3&amp;"|"&amp;15,내역입력!$L$3:$L$302,0)),""))</f>
        <v/>
      </c>
    </row>
    <row r="26" customFormat="false" ht="15" hidden="false" customHeight="true" outlineLevel="0" collapsed="false">
      <c r="A26" s="27" t="n">
        <v>16</v>
      </c>
      <c r="B26" s="15" t="str">
        <f aca="false">IFERROR(INDEX(내역입력!$B$3:$B$302,MATCH($C$3&amp;"|"&amp;16,내역입력!$L$3:$L$302,0)),"")</f>
        <v/>
      </c>
      <c r="C26" s="15" t="str">
        <f aca="false">IF($B26="","",IFERROR(INDEX(내역입력!$C$3:$C$302,MATCH($C$3&amp;"|"&amp;16,내역입력!$L$3:$L$302,0)),""))</f>
        <v/>
      </c>
      <c r="D26" s="27" t="str">
        <f aca="false">IF($B26="","",IFERROR(INDEX(내역입력!$D$3:$D$302,MATCH($C$3&amp;"|"&amp;16,내역입력!$L$3:$L$302,0)),""))</f>
        <v/>
      </c>
      <c r="E26" s="28" t="str">
        <f aca="false">IF($B26="","",IFERROR(INDEX(내역입력!$F$3:$F$302,MATCH($C$3&amp;"|"&amp;16,내역입력!$L$3:$L$302,0)),""))</f>
        <v/>
      </c>
      <c r="F26" s="16" t="str">
        <f aca="false">IF($B26="","",IFERROR(INDEX(내역입력!$E$3:$E$302,MATCH($C$3&amp;"|"&amp;16,내역입력!$L$3:$L$302,0)),""))</f>
        <v/>
      </c>
      <c r="G26" s="16" t="str">
        <f aca="false">IF($B26="","",IFERROR(INDEX(내역입력!$I$3:$I$302,MATCH($C$3&amp;"|"&amp;16,내역입력!$L$3:$L$302,0)),""))</f>
        <v/>
      </c>
    </row>
    <row r="27" customFormat="false" ht="15" hidden="false" customHeight="true" outlineLevel="0" collapsed="false">
      <c r="A27" s="27" t="n">
        <v>17</v>
      </c>
      <c r="B27" s="15" t="str">
        <f aca="false">IFERROR(INDEX(내역입력!$B$3:$B$302,MATCH($C$3&amp;"|"&amp;17,내역입력!$L$3:$L$302,0)),"")</f>
        <v/>
      </c>
      <c r="C27" s="15" t="str">
        <f aca="false">IF($B27="","",IFERROR(INDEX(내역입력!$C$3:$C$302,MATCH($C$3&amp;"|"&amp;17,내역입력!$L$3:$L$302,0)),""))</f>
        <v/>
      </c>
      <c r="D27" s="27" t="str">
        <f aca="false">IF($B27="","",IFERROR(INDEX(내역입력!$D$3:$D$302,MATCH($C$3&amp;"|"&amp;17,내역입력!$L$3:$L$302,0)),""))</f>
        <v/>
      </c>
      <c r="E27" s="28" t="str">
        <f aca="false">IF($B27="","",IFERROR(INDEX(내역입력!$F$3:$F$302,MATCH($C$3&amp;"|"&amp;17,내역입력!$L$3:$L$302,0)),""))</f>
        <v/>
      </c>
      <c r="F27" s="16" t="str">
        <f aca="false">IF($B27="","",IFERROR(INDEX(내역입력!$E$3:$E$302,MATCH($C$3&amp;"|"&amp;17,내역입력!$L$3:$L$302,0)),""))</f>
        <v/>
      </c>
      <c r="G27" s="16" t="str">
        <f aca="false">IF($B27="","",IFERROR(INDEX(내역입력!$I$3:$I$302,MATCH($C$3&amp;"|"&amp;17,내역입력!$L$3:$L$302,0)),""))</f>
        <v/>
      </c>
    </row>
    <row r="28" customFormat="false" ht="15" hidden="false" customHeight="true" outlineLevel="0" collapsed="false">
      <c r="A28" s="27" t="n">
        <v>18</v>
      </c>
      <c r="B28" s="15" t="str">
        <f aca="false">IFERROR(INDEX(내역입력!$B$3:$B$302,MATCH($C$3&amp;"|"&amp;18,내역입력!$L$3:$L$302,0)),"")</f>
        <v/>
      </c>
      <c r="C28" s="15" t="str">
        <f aca="false">IF($B28="","",IFERROR(INDEX(내역입력!$C$3:$C$302,MATCH($C$3&amp;"|"&amp;18,내역입력!$L$3:$L$302,0)),""))</f>
        <v/>
      </c>
      <c r="D28" s="27" t="str">
        <f aca="false">IF($B28="","",IFERROR(INDEX(내역입력!$D$3:$D$302,MATCH($C$3&amp;"|"&amp;18,내역입력!$L$3:$L$302,0)),""))</f>
        <v/>
      </c>
      <c r="E28" s="28" t="str">
        <f aca="false">IF($B28="","",IFERROR(INDEX(내역입력!$F$3:$F$302,MATCH($C$3&amp;"|"&amp;18,내역입력!$L$3:$L$302,0)),""))</f>
        <v/>
      </c>
      <c r="F28" s="16" t="str">
        <f aca="false">IF($B28="","",IFERROR(INDEX(내역입력!$E$3:$E$302,MATCH($C$3&amp;"|"&amp;18,내역입력!$L$3:$L$302,0)),""))</f>
        <v/>
      </c>
      <c r="G28" s="16" t="str">
        <f aca="false">IF($B28="","",IFERROR(INDEX(내역입력!$I$3:$I$302,MATCH($C$3&amp;"|"&amp;18,내역입력!$L$3:$L$302,0)),""))</f>
        <v/>
      </c>
    </row>
    <row r="29" customFormat="false" ht="15" hidden="false" customHeight="true" outlineLevel="0" collapsed="false">
      <c r="A29" s="27" t="n">
        <v>19</v>
      </c>
      <c r="B29" s="15" t="str">
        <f aca="false">IFERROR(INDEX(내역입력!$B$3:$B$302,MATCH($C$3&amp;"|"&amp;19,내역입력!$L$3:$L$302,0)),"")</f>
        <v/>
      </c>
      <c r="C29" s="15" t="str">
        <f aca="false">IF($B29="","",IFERROR(INDEX(내역입력!$C$3:$C$302,MATCH($C$3&amp;"|"&amp;19,내역입력!$L$3:$L$302,0)),""))</f>
        <v/>
      </c>
      <c r="D29" s="27" t="str">
        <f aca="false">IF($B29="","",IFERROR(INDEX(내역입력!$D$3:$D$302,MATCH($C$3&amp;"|"&amp;19,내역입력!$L$3:$L$302,0)),""))</f>
        <v/>
      </c>
      <c r="E29" s="28" t="str">
        <f aca="false">IF($B29="","",IFERROR(INDEX(내역입력!$F$3:$F$302,MATCH($C$3&amp;"|"&amp;19,내역입력!$L$3:$L$302,0)),""))</f>
        <v/>
      </c>
      <c r="F29" s="16" t="str">
        <f aca="false">IF($B29="","",IFERROR(INDEX(내역입력!$E$3:$E$302,MATCH($C$3&amp;"|"&amp;19,내역입력!$L$3:$L$302,0)),""))</f>
        <v/>
      </c>
      <c r="G29" s="16" t="str">
        <f aca="false">IF($B29="","",IFERROR(INDEX(내역입력!$I$3:$I$302,MATCH($C$3&amp;"|"&amp;19,내역입력!$L$3:$L$302,0)),""))</f>
        <v/>
      </c>
    </row>
    <row r="30" customFormat="false" ht="15" hidden="false" customHeight="true" outlineLevel="0" collapsed="false">
      <c r="A30" s="27" t="n">
        <v>20</v>
      </c>
      <c r="B30" s="15" t="str">
        <f aca="false">IFERROR(INDEX(내역입력!$B$3:$B$302,MATCH($C$3&amp;"|"&amp;20,내역입력!$L$3:$L$302,0)),"")</f>
        <v/>
      </c>
      <c r="C30" s="15" t="str">
        <f aca="false">IF($B30="","",IFERROR(INDEX(내역입력!$C$3:$C$302,MATCH($C$3&amp;"|"&amp;20,내역입력!$L$3:$L$302,0)),""))</f>
        <v/>
      </c>
      <c r="D30" s="27" t="str">
        <f aca="false">IF($B30="","",IFERROR(INDEX(내역입력!$D$3:$D$302,MATCH($C$3&amp;"|"&amp;20,내역입력!$L$3:$L$302,0)),""))</f>
        <v/>
      </c>
      <c r="E30" s="28" t="str">
        <f aca="false">IF($B30="","",IFERROR(INDEX(내역입력!$F$3:$F$302,MATCH($C$3&amp;"|"&amp;20,내역입력!$L$3:$L$302,0)),""))</f>
        <v/>
      </c>
      <c r="F30" s="16" t="str">
        <f aca="false">IF($B30="","",IFERROR(INDEX(내역입력!$E$3:$E$302,MATCH($C$3&amp;"|"&amp;20,내역입력!$L$3:$L$302,0)),""))</f>
        <v/>
      </c>
      <c r="G30" s="16" t="str">
        <f aca="false">IF($B30="","",IFERROR(INDEX(내역입력!$I$3:$I$302,MATCH($C$3&amp;"|"&amp;20,내역입력!$L$3:$L$302,0)),""))</f>
        <v/>
      </c>
    </row>
    <row r="31" customFormat="false" ht="15" hidden="false" customHeight="true" outlineLevel="0" collapsed="false">
      <c r="B31" s="23" t="s">
        <v>87</v>
      </c>
      <c r="C31" s="23"/>
      <c r="D31" s="23"/>
      <c r="E31" s="23"/>
      <c r="F31" s="23"/>
      <c r="G31" s="29" t="n">
        <f aca="false">SUM(G11:G30)</f>
        <v>5280000</v>
      </c>
    </row>
    <row r="32" customFormat="false" ht="15" hidden="false" customHeight="true" outlineLevel="0" collapsed="false">
      <c r="B32" s="23" t="s">
        <v>88</v>
      </c>
      <c r="C32" s="23"/>
      <c r="D32" s="23"/>
      <c r="E32" s="23"/>
      <c r="F32" s="23"/>
      <c r="G32" s="29" t="n">
        <f aca="false">ROUND(G31*기초정보!$C$13,0)</f>
        <v>528000</v>
      </c>
    </row>
    <row r="33" customFormat="false" ht="15" hidden="false" customHeight="true" outlineLevel="0" collapsed="false">
      <c r="B33" s="30" t="s">
        <v>89</v>
      </c>
      <c r="C33" s="30"/>
      <c r="D33" s="30"/>
      <c r="E33" s="30"/>
      <c r="F33" s="30"/>
      <c r="G33" s="31" t="n">
        <f aca="false">G31+G32</f>
        <v>5808000</v>
      </c>
    </row>
    <row r="35" customFormat="false" ht="15" hidden="false" customHeight="true" outlineLevel="0" collapsed="false">
      <c r="A35" s="5" t="s">
        <v>90</v>
      </c>
    </row>
  </sheetData>
  <mergeCells count="17">
    <mergeCell ref="A1:G1"/>
    <mergeCell ref="A3:B3"/>
    <mergeCell ref="C3:D3"/>
    <mergeCell ref="F3:G3"/>
    <mergeCell ref="A4:G4"/>
    <mergeCell ref="A6:B6"/>
    <mergeCell ref="C6:D6"/>
    <mergeCell ref="F6:G6"/>
    <mergeCell ref="A7:B7"/>
    <mergeCell ref="C7:D7"/>
    <mergeCell ref="F7:G7"/>
    <mergeCell ref="A8:B8"/>
    <mergeCell ref="C8:D8"/>
    <mergeCell ref="F8:G8"/>
    <mergeCell ref="B31:F31"/>
    <mergeCell ref="B32:F32"/>
    <mergeCell ref="B33:F33"/>
  </mergeCells>
  <dataValidations count="1">
    <dataValidation allowBlank="true" errorStyle="stop" operator="between" showDropDown="false" showErrorMessage="false" showInputMessage="false" sqref="C3" type="list">
      <formula1>현장목록!$A$3:$A$62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2026-09-13T14:22:15Z</dcterms:created>
  <dc:creator>openpyxl</dc:creator>
  <dc:description/>
  <dc:language>en-US</dc:language>
  <cp:lastModifiedBy/>
  <dcterms:modified xsi:type="dcterms:W3CDTF">2026-09-13T14:22:59Z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