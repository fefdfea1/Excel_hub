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사용안내" sheetId="1" state="visible" r:id="rId1"/>
    <sheet xmlns:r="http://schemas.openxmlformats.org/officeDocument/2006/relationships" name="품목목록" sheetId="2" state="visible" r:id="rId2"/>
    <sheet xmlns:r="http://schemas.openxmlformats.org/officeDocument/2006/relationships" name="세트구성" sheetId="3" state="visible" r:id="rId3"/>
    <sheet xmlns:r="http://schemas.openxmlformats.org/officeDocument/2006/relationships" name="발주접수" sheetId="4" state="visible" r:id="rId4"/>
    <sheet xmlns:r="http://schemas.openxmlformats.org/officeDocument/2006/relationships" name="전개결과" sheetId="5" state="visible" r:id="rId5"/>
    <sheet xmlns:r="http://schemas.openxmlformats.org/officeDocument/2006/relationships" name="품목별_소요량" sheetId="6" state="visible" r:id="rId6"/>
    <sheet xmlns:r="http://schemas.openxmlformats.org/officeDocument/2006/relationships" name="거래처별집계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#,##0.##"/>
    <numFmt numFmtId="165" formatCode="yyyy\-mm\-dd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charset val="1"/>
      <family val="2"/>
      <b val="1"/>
      <color rgb="FFFFFFFF"/>
      <sz val="14"/>
    </font>
    <font>
      <name val="Noto Sans CJK SC"/>
      <charset val="1"/>
      <family val="2"/>
      <b val="1"/>
      <sz val="10"/>
    </font>
    <font>
      <name val="Noto Sans CJK SC"/>
      <charset val="1"/>
      <family val="2"/>
      <sz val="10"/>
    </font>
    <font>
      <name val="Noto Sans CJK SC"/>
      <charset val="1"/>
      <family val="2"/>
      <color rgb="FF808080"/>
      <sz val="9"/>
    </font>
    <font>
      <name val="Noto Sans CJK SC"/>
      <charset val="1"/>
      <family val="2"/>
      <b val="1"/>
      <color rgb="FFFFFFFF"/>
      <sz val="10"/>
    </font>
    <font>
      <name val="맑은 고딕"/>
      <charset val="1"/>
      <family val="0"/>
      <color rgb="FF0000FF"/>
      <sz val="10"/>
    </font>
    <font>
      <name val="Noto Sans CJK SC"/>
      <charset val="1"/>
      <family val="2"/>
      <color rgb="FF0000FF"/>
      <sz val="10"/>
    </font>
    <font>
      <name val="맑은 고딕"/>
      <charset val="1"/>
      <family val="0"/>
      <b val="1"/>
      <color rgb="FFFFFFFF"/>
      <sz val="10"/>
    </font>
    <font>
      <name val="맑은 고딕"/>
      <charset val="1"/>
      <family val="0"/>
      <sz val="10"/>
    </font>
    <font>
      <name val="맑은 고딕"/>
      <charset val="1"/>
      <family val="0"/>
      <b val="1"/>
      <sz val="11"/>
    </font>
    <font>
      <name val="맑은 고딕"/>
      <charset val="1"/>
      <family val="0"/>
      <color rgb="FF808080"/>
      <sz val="9"/>
    </font>
    <font>
      <name val="맑은 고딕"/>
      <charset val="1"/>
      <family val="0"/>
      <b val="1"/>
      <sz val="10"/>
    </font>
  </fonts>
  <fills count="6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B9A"/>
        <bgColor rgb="FF0066CC"/>
      </patternFill>
    </fill>
    <fill>
      <patternFill patternType="solid">
        <fgColor rgb="FF6B7A8F"/>
        <bgColor rgb="FF808080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0" fontId="11" fillId="4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general" vertical="bottom"/>
    </xf>
    <xf numFmtId="165" fontId="9" fillId="0" borderId="1" applyAlignment="1" pivotButton="0" quotePrefix="0" xfId="0">
      <alignment horizontal="general" vertical="bottom"/>
    </xf>
    <xf numFmtId="3" fontId="12" fillId="0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center" vertical="bottom"/>
    </xf>
    <xf numFmtId="165" fontId="12" fillId="0" borderId="1" applyAlignment="1" pivotButton="0" quotePrefix="0" xfId="0">
      <alignment horizontal="general" vertical="bottom"/>
    </xf>
    <xf numFmtId="164" fontId="12" fillId="0" borderId="1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bottom"/>
    </xf>
    <xf numFmtId="165" fontId="14" fillId="0" borderId="0" applyAlignment="1" pivotButton="0" quotePrefix="0" xfId="0">
      <alignment horizontal="general" vertical="bottom"/>
    </xf>
    <xf numFmtId="164" fontId="14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5" fillId="5" borderId="1" applyAlignment="1" pivotButton="0" quotePrefix="0" xfId="0">
      <alignment horizontal="general" vertical="bottom"/>
    </xf>
    <xf numFmtId="164" fontId="15" fillId="5" borderId="1" applyAlignment="1" pivotButton="0" quotePrefix="0" xfId="0">
      <alignment horizontal="center" vertical="bottom"/>
    </xf>
    <xf numFmtId="3" fontId="15" fillId="5" borderId="1" applyAlignment="1" pivotButton="0" quotePrefix="0" xfId="0">
      <alignment horizontal="center" vertical="bottom"/>
    </xf>
    <xf numFmtId="3" fontId="12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0" fontId="11" fillId="4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general" vertical="bottom"/>
    </xf>
    <xf numFmtId="165" fontId="9" fillId="0" borderId="1" applyAlignment="1" pivotButton="0" quotePrefix="0" xfId="0">
      <alignment horizontal="general" vertical="bottom"/>
    </xf>
    <xf numFmtId="3" fontId="12" fillId="0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center" vertical="bottom"/>
    </xf>
    <xf numFmtId="165" fontId="12" fillId="0" borderId="1" applyAlignment="1" pivotButton="0" quotePrefix="0" xfId="0">
      <alignment horizontal="general" vertical="bottom"/>
    </xf>
    <xf numFmtId="164" fontId="12" fillId="0" borderId="1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bottom"/>
    </xf>
    <xf numFmtId="165" fontId="14" fillId="0" borderId="0" applyAlignment="1" pivotButton="0" quotePrefix="0" xfId="0">
      <alignment horizontal="general" vertical="bottom"/>
    </xf>
    <xf numFmtId="164" fontId="14" fillId="0" borderId="0" applyAlignment="1" pivotButton="0" quotePrefix="0" xfId="0">
      <alignment horizontal="general" vertical="bottom"/>
    </xf>
    <xf numFmtId="0" fontId="5" fillId="5" borderId="1" applyAlignment="1" pivotButton="0" quotePrefix="0" xfId="0">
      <alignment horizontal="general" vertical="bottom"/>
    </xf>
    <xf numFmtId="164" fontId="15" fillId="5" borderId="1" applyAlignment="1" pivotButton="0" quotePrefix="0" xfId="0">
      <alignment horizontal="center" vertical="bottom"/>
    </xf>
    <xf numFmtId="3" fontId="15" fillId="5" borderId="1" applyAlignment="1" pivotButton="0" quotePrefix="0" xfId="0">
      <alignment horizontal="center" vertical="bottom"/>
    </xf>
    <xf numFmtId="3" fontId="12" fillId="0" borderId="1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A8F"/>
      <rgbColor rgb="FF969696"/>
      <rgbColor rgb="FF1F3864"/>
      <rgbColor rgb="FF339966"/>
      <rgbColor rgb="FF003300"/>
      <rgbColor rgb="FF333300"/>
      <rgbColor rgb="FF993300"/>
      <rgbColor rgb="FF993366"/>
      <rgbColor rgb="FF2E5B9A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29" min="1" max="1"/>
    <col width="46" customWidth="1" style="29" min="2" max="2"/>
    <col width="82" customWidth="1" style="29" min="3" max="3"/>
  </cols>
  <sheetData>
    <row r="1"/>
    <row r="2" ht="25.5" customHeight="1" s="30">
      <c r="B2" s="31" t="inlineStr">
        <is>
          <t>발주서 세트 전개</t>
        </is>
      </c>
    </row>
    <row r="3"/>
    <row r="4" ht="15" customHeight="1" s="30">
      <c r="B4" s="32" t="inlineStr">
        <is>
          <t>핵심</t>
        </is>
      </c>
      <c r="C4" s="33" t="inlineStr">
        <is>
          <t>세트 상품으로 들어온 주문을 낱개 품목으로 자동으로 풀어줍니다. 손으로 다시 칠 필요가 없습니다.</t>
        </is>
      </c>
    </row>
    <row r="5" ht="15" customHeight="1" s="30">
      <c r="B5" s="32" t="inlineStr">
        <is>
          <t>입력 규칙</t>
        </is>
      </c>
      <c r="C5" s="33" t="inlineStr">
        <is>
          <t>파란색 글씨 칸만 입력하세요. 검은색은 자동 계산입니다.</t>
        </is>
      </c>
    </row>
    <row r="6" ht="15" customHeight="1" s="30">
      <c r="B6" s="32" t="inlineStr">
        <is>
          <t>① 품목목록</t>
        </is>
      </c>
      <c r="C6" s="33" t="inlineStr">
        <is>
          <t>낱개 품목을 등록합니다. 세트를 구성하는 최소 단위입니다.</t>
        </is>
      </c>
    </row>
    <row r="7" ht="15" customHeight="1" s="30">
      <c r="B7" s="32" t="inlineStr">
        <is>
          <t>② 세트구성</t>
        </is>
      </c>
      <c r="C7" s="33" t="inlineStr">
        <is>
          <t>세트 하나에 무엇이 몇 개 들어가는지 등록합니다. 여기가 핵심입니다.</t>
        </is>
      </c>
    </row>
    <row r="8" ht="15" customHeight="1" s="30">
      <c r="B8" s="32" t="n"/>
      <c r="C8" s="33" t="inlineStr">
        <is>
          <t>예: 선물세트A = 즙 5개 + 정 1개  →  두 줄로 등록</t>
        </is>
      </c>
    </row>
    <row r="9" ht="15" customHeight="1" s="30">
      <c r="B9" s="32" t="inlineStr">
        <is>
          <t>③ 발주접수</t>
        </is>
      </c>
      <c r="C9" s="33" t="inlineStr">
        <is>
          <t>받은 발주서를 그대로 넣습니다. 세트든 낱개든 상관없습니다.</t>
        </is>
      </c>
    </row>
    <row r="10" ht="15" customHeight="1" s="30">
      <c r="B10" s="32" t="inlineStr">
        <is>
          <t>④ 전개결과</t>
        </is>
      </c>
      <c r="C10" s="33" t="inlineStr">
        <is>
          <t>세트가 낱개로 풀린 결과입니다. 이걸 복사해서 ERP에 넣으면 됩니다.</t>
        </is>
      </c>
    </row>
    <row r="11" ht="15" customHeight="1" s="30">
      <c r="B11" s="32" t="inlineStr">
        <is>
          <t>⑤ 품목별 소요량</t>
        </is>
      </c>
      <c r="C11" s="33" t="inlineStr">
        <is>
          <t>낱개 품목별로 총 몇 개가 필요한지 합산됩니다.</t>
        </is>
      </c>
    </row>
    <row r="12" ht="15" customHeight="1" s="30">
      <c r="B12" s="32" t="inlineStr">
        <is>
          <t>⑥ 거래처별집계</t>
        </is>
      </c>
      <c r="C12" s="33" t="inlineStr">
        <is>
          <t>거래처별 발주 건수와 금액입니다.</t>
        </is>
      </c>
    </row>
    <row r="13" ht="15" customHeight="1" s="30">
      <c r="B13" s="32" t="inlineStr">
        <is>
          <t>전개 방식</t>
        </is>
      </c>
      <c r="C13" s="33" t="inlineStr">
        <is>
          <t>세트 수량 × 구성 수량 = 낱개 소요량</t>
        </is>
      </c>
    </row>
    <row r="15" ht="15" customHeight="1" s="30">
      <c r="B15" s="34" t="inlineStr">
        <is>
          <t>※ 세트 안에 세트가 들어가는 2단 구성은 지원하지 않습니다.</t>
        </is>
      </c>
    </row>
    <row r="16" ht="15" customHeight="1" s="30">
      <c r="B16" s="34" t="inlineStr">
        <is>
          <t>※ 발주 120건 × 세트 구성 최대 10품목까지 전개됩니다.</t>
        </is>
      </c>
    </row>
  </sheetData>
  <mergeCells count="1">
    <mergeCell ref="B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0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29" min="1" max="1"/>
    <col width="26" customWidth="1" style="29" min="2" max="2"/>
    <col width="18" customWidth="1" style="29" min="3" max="3"/>
    <col width="11" customWidth="1" style="29" min="4" max="4"/>
    <col width="14" customWidth="1" style="29" min="5" max="5"/>
    <col width="13" customWidth="1" style="29" min="6" max="6"/>
  </cols>
  <sheetData>
    <row r="1" ht="25.5" customHeight="1" s="30">
      <c r="A1" s="31" t="inlineStr">
        <is>
          <t>품목목록  (낱개 품목)</t>
        </is>
      </c>
    </row>
    <row r="2" ht="15" customHeight="1" s="30">
      <c r="A2" s="35" t="inlineStr">
        <is>
          <t>품번</t>
        </is>
      </c>
      <c r="B2" s="35" t="inlineStr">
        <is>
          <t>품명</t>
        </is>
      </c>
      <c r="C2" s="35" t="inlineStr">
        <is>
          <t>규격</t>
        </is>
      </c>
      <c r="D2" s="35" t="inlineStr">
        <is>
          <t>단위</t>
        </is>
      </c>
      <c r="E2" s="35" t="inlineStr">
        <is>
          <t>단가</t>
        </is>
      </c>
      <c r="F2" s="35" t="inlineStr">
        <is>
          <t>구분</t>
        </is>
      </c>
    </row>
    <row r="3" ht="15" customHeight="1" s="30">
      <c r="A3" s="36" t="inlineStr">
        <is>
          <t>P001</t>
        </is>
      </c>
      <c r="B3" s="37" t="inlineStr">
        <is>
          <t>홍삼즙 30포</t>
        </is>
      </c>
      <c r="C3" s="36" t="inlineStr">
        <is>
          <t>3g×30</t>
        </is>
      </c>
      <c r="D3" s="37" t="inlineStr">
        <is>
          <t>박스</t>
        </is>
      </c>
      <c r="E3" s="38" t="n">
        <v>28000</v>
      </c>
      <c r="F3" s="37" t="inlineStr">
        <is>
          <t>낱개</t>
        </is>
      </c>
    </row>
    <row r="4" ht="15" customHeight="1" s="30">
      <c r="A4" s="36" t="inlineStr">
        <is>
          <t>P002</t>
        </is>
      </c>
      <c r="B4" s="37" t="inlineStr">
        <is>
          <t>홍삼정 240g</t>
        </is>
      </c>
      <c r="C4" s="36" t="inlineStr">
        <is>
          <t>240g</t>
        </is>
      </c>
      <c r="D4" s="36" t="inlineStr">
        <is>
          <t>EA</t>
        </is>
      </c>
      <c r="E4" s="38" t="n">
        <v>45000</v>
      </c>
      <c r="F4" s="37" t="inlineStr">
        <is>
          <t>낱개</t>
        </is>
      </c>
    </row>
    <row r="5" ht="15" customHeight="1" s="30">
      <c r="A5" s="36" t="inlineStr">
        <is>
          <t>P003</t>
        </is>
      </c>
      <c r="B5" s="37" t="inlineStr">
        <is>
          <t>쇼핑백</t>
        </is>
      </c>
      <c r="C5" s="37" t="inlineStr">
        <is>
          <t>대</t>
        </is>
      </c>
      <c r="D5" s="36" t="inlineStr">
        <is>
          <t>EA</t>
        </is>
      </c>
      <c r="E5" s="38" t="n">
        <v>500</v>
      </c>
      <c r="F5" s="37" t="inlineStr">
        <is>
          <t>낱개</t>
        </is>
      </c>
    </row>
    <row r="6" ht="15" customHeight="1" s="30">
      <c r="A6" s="36" t="inlineStr">
        <is>
          <t>K001</t>
        </is>
      </c>
      <c r="B6" s="37" t="inlineStr">
        <is>
          <t>선물세트 A</t>
        </is>
      </c>
      <c r="C6" s="37" t="inlineStr">
        <is>
          <t>즙5+정1</t>
        </is>
      </c>
      <c r="D6" s="37" t="inlineStr">
        <is>
          <t>세트</t>
        </is>
      </c>
      <c r="E6" s="38" t="n">
        <v>0</v>
      </c>
      <c r="F6" s="37" t="inlineStr">
        <is>
          <t>세트</t>
        </is>
      </c>
    </row>
    <row r="7" ht="15" customHeight="1" s="30">
      <c r="A7" s="36" t="inlineStr">
        <is>
          <t>K002</t>
        </is>
      </c>
      <c r="B7" s="37" t="inlineStr">
        <is>
          <t>선물세트 B</t>
        </is>
      </c>
      <c r="C7" s="37" t="inlineStr">
        <is>
          <t>즙3+정2</t>
        </is>
      </c>
      <c r="D7" s="37" t="inlineStr">
        <is>
          <t>세트</t>
        </is>
      </c>
      <c r="E7" s="38" t="n">
        <v>0</v>
      </c>
      <c r="F7" s="37" t="inlineStr">
        <is>
          <t>세트</t>
        </is>
      </c>
    </row>
    <row r="8" ht="15" customHeight="1" s="30">
      <c r="A8" s="36" t="n"/>
      <c r="B8" s="36" t="n"/>
      <c r="C8" s="36" t="n"/>
      <c r="D8" s="36" t="n"/>
      <c r="E8" s="38" t="n"/>
      <c r="F8" s="37" t="n"/>
    </row>
    <row r="9" ht="15" customHeight="1" s="30">
      <c r="A9" s="36" t="n"/>
      <c r="B9" s="36" t="n"/>
      <c r="C9" s="36" t="n"/>
      <c r="D9" s="36" t="n"/>
      <c r="E9" s="38" t="n"/>
      <c r="F9" s="37" t="n"/>
    </row>
    <row r="10" ht="15" customHeight="1" s="30">
      <c r="A10" s="36" t="n"/>
      <c r="B10" s="36" t="n"/>
      <c r="C10" s="36" t="n"/>
      <c r="D10" s="36" t="n"/>
      <c r="E10" s="38" t="n"/>
      <c r="F10" s="37" t="n"/>
    </row>
    <row r="11" ht="15" customHeight="1" s="30">
      <c r="A11" s="36" t="n"/>
      <c r="B11" s="36" t="n"/>
      <c r="C11" s="36" t="n"/>
      <c r="D11" s="36" t="n"/>
      <c r="E11" s="38" t="n"/>
      <c r="F11" s="37" t="n"/>
    </row>
    <row r="12" ht="15" customHeight="1" s="30">
      <c r="A12" s="36" t="n"/>
      <c r="B12" s="36" t="n"/>
      <c r="C12" s="36" t="n"/>
      <c r="D12" s="36" t="n"/>
      <c r="E12" s="38" t="n"/>
      <c r="F12" s="37" t="n"/>
    </row>
    <row r="13" ht="15" customHeight="1" s="30">
      <c r="A13" s="36" t="n"/>
      <c r="B13" s="36" t="n"/>
      <c r="C13" s="36" t="n"/>
      <c r="D13" s="36" t="n"/>
      <c r="E13" s="38" t="n"/>
      <c r="F13" s="37" t="n"/>
    </row>
    <row r="14" ht="15" customHeight="1" s="30">
      <c r="A14" s="36" t="n"/>
      <c r="B14" s="36" t="n"/>
      <c r="C14" s="36" t="n"/>
      <c r="D14" s="36" t="n"/>
      <c r="E14" s="38" t="n"/>
      <c r="F14" s="37" t="n"/>
    </row>
    <row r="15" ht="15" customHeight="1" s="30">
      <c r="A15" s="36" t="n"/>
      <c r="B15" s="36" t="n"/>
      <c r="C15" s="36" t="n"/>
      <c r="D15" s="36" t="n"/>
      <c r="E15" s="38" t="n"/>
      <c r="F15" s="37" t="n"/>
    </row>
    <row r="16" ht="15" customHeight="1" s="30">
      <c r="A16" s="36" t="n"/>
      <c r="B16" s="36" t="n"/>
      <c r="C16" s="36" t="n"/>
      <c r="D16" s="36" t="n"/>
      <c r="E16" s="38" t="n"/>
      <c r="F16" s="37" t="n"/>
    </row>
    <row r="17" ht="15" customHeight="1" s="30">
      <c r="A17" s="36" t="n"/>
      <c r="B17" s="36" t="n"/>
      <c r="C17" s="36" t="n"/>
      <c r="D17" s="36" t="n"/>
      <c r="E17" s="38" t="n"/>
      <c r="F17" s="37" t="n"/>
    </row>
    <row r="18" ht="15" customHeight="1" s="30">
      <c r="A18" s="36" t="n"/>
      <c r="B18" s="36" t="n"/>
      <c r="C18" s="36" t="n"/>
      <c r="D18" s="36" t="n"/>
      <c r="E18" s="38" t="n"/>
      <c r="F18" s="37" t="n"/>
    </row>
    <row r="19" ht="15" customHeight="1" s="30">
      <c r="A19" s="36" t="n"/>
      <c r="B19" s="36" t="n"/>
      <c r="C19" s="36" t="n"/>
      <c r="D19" s="36" t="n"/>
      <c r="E19" s="38" t="n"/>
      <c r="F19" s="37" t="n"/>
    </row>
    <row r="20" ht="15" customHeight="1" s="30">
      <c r="A20" s="36" t="n"/>
      <c r="B20" s="36" t="n"/>
      <c r="C20" s="36" t="n"/>
      <c r="D20" s="36" t="n"/>
      <c r="E20" s="38" t="n"/>
      <c r="F20" s="37" t="n"/>
    </row>
    <row r="21" ht="15" customHeight="1" s="30">
      <c r="A21" s="36" t="n"/>
      <c r="B21" s="36" t="n"/>
      <c r="C21" s="36" t="n"/>
      <c r="D21" s="36" t="n"/>
      <c r="E21" s="38" t="n"/>
      <c r="F21" s="37" t="n"/>
    </row>
    <row r="22" ht="15" customHeight="1" s="30">
      <c r="A22" s="36" t="n"/>
      <c r="B22" s="36" t="n"/>
      <c r="C22" s="36" t="n"/>
      <c r="D22" s="36" t="n"/>
      <c r="E22" s="38" t="n"/>
      <c r="F22" s="37" t="n"/>
    </row>
    <row r="23" ht="15" customHeight="1" s="30">
      <c r="A23" s="36" t="n"/>
      <c r="B23" s="36" t="n"/>
      <c r="C23" s="36" t="n"/>
      <c r="D23" s="36" t="n"/>
      <c r="E23" s="38" t="n"/>
      <c r="F23" s="37" t="n"/>
    </row>
    <row r="24" ht="15" customHeight="1" s="30">
      <c r="A24" s="36" t="n"/>
      <c r="B24" s="36" t="n"/>
      <c r="C24" s="36" t="n"/>
      <c r="D24" s="36" t="n"/>
      <c r="E24" s="38" t="n"/>
      <c r="F24" s="37" t="n"/>
    </row>
    <row r="25" ht="15" customHeight="1" s="30">
      <c r="A25" s="36" t="n"/>
      <c r="B25" s="36" t="n"/>
      <c r="C25" s="36" t="n"/>
      <c r="D25" s="36" t="n"/>
      <c r="E25" s="38" t="n"/>
      <c r="F25" s="37" t="n"/>
    </row>
    <row r="26" ht="15" customHeight="1" s="30">
      <c r="A26" s="36" t="n"/>
      <c r="B26" s="36" t="n"/>
      <c r="C26" s="36" t="n"/>
      <c r="D26" s="36" t="n"/>
      <c r="E26" s="38" t="n"/>
      <c r="F26" s="37" t="n"/>
    </row>
    <row r="27" ht="15" customHeight="1" s="30">
      <c r="A27" s="36" t="n"/>
      <c r="B27" s="36" t="n"/>
      <c r="C27" s="36" t="n"/>
      <c r="D27" s="36" t="n"/>
      <c r="E27" s="38" t="n"/>
      <c r="F27" s="37" t="n"/>
    </row>
    <row r="28" ht="15" customHeight="1" s="30">
      <c r="A28" s="36" t="n"/>
      <c r="B28" s="36" t="n"/>
      <c r="C28" s="36" t="n"/>
      <c r="D28" s="36" t="n"/>
      <c r="E28" s="38" t="n"/>
      <c r="F28" s="37" t="n"/>
    </row>
    <row r="29" ht="15" customHeight="1" s="30">
      <c r="A29" s="36" t="n"/>
      <c r="B29" s="36" t="n"/>
      <c r="C29" s="36" t="n"/>
      <c r="D29" s="36" t="n"/>
      <c r="E29" s="38" t="n"/>
      <c r="F29" s="37" t="n"/>
    </row>
    <row r="30" ht="15" customHeight="1" s="30">
      <c r="A30" s="36" t="n"/>
      <c r="B30" s="36" t="n"/>
      <c r="C30" s="36" t="n"/>
      <c r="D30" s="36" t="n"/>
      <c r="E30" s="38" t="n"/>
      <c r="F30" s="37" t="n"/>
    </row>
    <row r="31" ht="15" customHeight="1" s="30">
      <c r="A31" s="36" t="n"/>
      <c r="B31" s="36" t="n"/>
      <c r="C31" s="36" t="n"/>
      <c r="D31" s="36" t="n"/>
      <c r="E31" s="38" t="n"/>
      <c r="F31" s="37" t="n"/>
    </row>
    <row r="32" ht="15" customHeight="1" s="30">
      <c r="A32" s="36" t="n"/>
      <c r="B32" s="36" t="n"/>
      <c r="C32" s="36" t="n"/>
      <c r="D32" s="36" t="n"/>
      <c r="E32" s="38" t="n"/>
      <c r="F32" s="37" t="n"/>
    </row>
    <row r="33" ht="15" customHeight="1" s="30">
      <c r="A33" s="36" t="n"/>
      <c r="B33" s="36" t="n"/>
      <c r="C33" s="36" t="n"/>
      <c r="D33" s="36" t="n"/>
      <c r="E33" s="38" t="n"/>
      <c r="F33" s="37" t="n"/>
    </row>
    <row r="34" ht="15" customHeight="1" s="30">
      <c r="A34" s="36" t="n"/>
      <c r="B34" s="36" t="n"/>
      <c r="C34" s="36" t="n"/>
      <c r="D34" s="36" t="n"/>
      <c r="E34" s="38" t="n"/>
      <c r="F34" s="37" t="n"/>
    </row>
    <row r="35" ht="15" customHeight="1" s="30">
      <c r="A35" s="36" t="n"/>
      <c r="B35" s="36" t="n"/>
      <c r="C35" s="36" t="n"/>
      <c r="D35" s="36" t="n"/>
      <c r="E35" s="38" t="n"/>
      <c r="F35" s="37" t="n"/>
    </row>
    <row r="36" ht="15" customHeight="1" s="30">
      <c r="A36" s="36" t="n"/>
      <c r="B36" s="36" t="n"/>
      <c r="C36" s="36" t="n"/>
      <c r="D36" s="36" t="n"/>
      <c r="E36" s="38" t="n"/>
      <c r="F36" s="37" t="n"/>
    </row>
    <row r="37" ht="15" customHeight="1" s="30">
      <c r="A37" s="36" t="n"/>
      <c r="B37" s="36" t="n"/>
      <c r="C37" s="36" t="n"/>
      <c r="D37" s="36" t="n"/>
      <c r="E37" s="38" t="n"/>
      <c r="F37" s="37" t="n"/>
    </row>
    <row r="38" ht="15" customHeight="1" s="30">
      <c r="A38" s="36" t="n"/>
      <c r="B38" s="36" t="n"/>
      <c r="C38" s="36" t="n"/>
      <c r="D38" s="36" t="n"/>
      <c r="E38" s="38" t="n"/>
      <c r="F38" s="37" t="n"/>
    </row>
    <row r="39" ht="15" customHeight="1" s="30">
      <c r="A39" s="36" t="n"/>
      <c r="B39" s="36" t="n"/>
      <c r="C39" s="36" t="n"/>
      <c r="D39" s="36" t="n"/>
      <c r="E39" s="38" t="n"/>
      <c r="F39" s="37" t="n"/>
    </row>
    <row r="40" ht="15" customHeight="1" s="30">
      <c r="A40" s="36" t="n"/>
      <c r="B40" s="36" t="n"/>
      <c r="C40" s="36" t="n"/>
      <c r="D40" s="36" t="n"/>
      <c r="E40" s="38" t="n"/>
      <c r="F40" s="37" t="n"/>
    </row>
    <row r="41" ht="15" customHeight="1" s="30">
      <c r="A41" s="36" t="n"/>
      <c r="B41" s="36" t="n"/>
      <c r="C41" s="36" t="n"/>
      <c r="D41" s="36" t="n"/>
      <c r="E41" s="38" t="n"/>
      <c r="F41" s="37" t="n"/>
    </row>
    <row r="42" ht="15" customHeight="1" s="30">
      <c r="A42" s="36" t="n"/>
      <c r="B42" s="36" t="n"/>
      <c r="C42" s="36" t="n"/>
      <c r="D42" s="36" t="n"/>
      <c r="E42" s="38" t="n"/>
      <c r="F42" s="37" t="n"/>
    </row>
    <row r="43" ht="15" customHeight="1" s="30">
      <c r="A43" s="36" t="n"/>
      <c r="B43" s="36" t="n"/>
      <c r="C43" s="36" t="n"/>
      <c r="D43" s="36" t="n"/>
      <c r="E43" s="38" t="n"/>
      <c r="F43" s="37" t="n"/>
    </row>
    <row r="44" ht="15" customHeight="1" s="30">
      <c r="A44" s="36" t="n"/>
      <c r="B44" s="36" t="n"/>
      <c r="C44" s="36" t="n"/>
      <c r="D44" s="36" t="n"/>
      <c r="E44" s="38" t="n"/>
      <c r="F44" s="37" t="n"/>
    </row>
    <row r="45" ht="15" customHeight="1" s="30">
      <c r="A45" s="36" t="n"/>
      <c r="B45" s="36" t="n"/>
      <c r="C45" s="36" t="n"/>
      <c r="D45" s="36" t="n"/>
      <c r="E45" s="38" t="n"/>
      <c r="F45" s="37" t="n"/>
    </row>
    <row r="46" ht="15" customHeight="1" s="30">
      <c r="A46" s="36" t="n"/>
      <c r="B46" s="36" t="n"/>
      <c r="C46" s="36" t="n"/>
      <c r="D46" s="36" t="n"/>
      <c r="E46" s="38" t="n"/>
      <c r="F46" s="37" t="n"/>
    </row>
    <row r="47" ht="15" customHeight="1" s="30">
      <c r="A47" s="36" t="n"/>
      <c r="B47" s="36" t="n"/>
      <c r="C47" s="36" t="n"/>
      <c r="D47" s="36" t="n"/>
      <c r="E47" s="38" t="n"/>
      <c r="F47" s="37" t="n"/>
    </row>
    <row r="48" ht="15" customHeight="1" s="30">
      <c r="A48" s="36" t="n"/>
      <c r="B48" s="36" t="n"/>
      <c r="C48" s="36" t="n"/>
      <c r="D48" s="36" t="n"/>
      <c r="E48" s="38" t="n"/>
      <c r="F48" s="37" t="n"/>
    </row>
    <row r="49" ht="15" customHeight="1" s="30">
      <c r="A49" s="36" t="n"/>
      <c r="B49" s="36" t="n"/>
      <c r="C49" s="36" t="n"/>
      <c r="D49" s="36" t="n"/>
      <c r="E49" s="38" t="n"/>
      <c r="F49" s="37" t="n"/>
    </row>
    <row r="50" ht="15" customHeight="1" s="30">
      <c r="A50" s="36" t="n"/>
      <c r="B50" s="36" t="n"/>
      <c r="C50" s="36" t="n"/>
      <c r="D50" s="36" t="n"/>
      <c r="E50" s="38" t="n"/>
      <c r="F50" s="37" t="n"/>
    </row>
    <row r="51" ht="15" customHeight="1" s="30">
      <c r="A51" s="36" t="n"/>
      <c r="B51" s="36" t="n"/>
      <c r="C51" s="36" t="n"/>
      <c r="D51" s="36" t="n"/>
      <c r="E51" s="38" t="n"/>
      <c r="F51" s="37" t="n"/>
    </row>
    <row r="52" ht="15" customHeight="1" s="30">
      <c r="A52" s="36" t="n"/>
      <c r="B52" s="36" t="n"/>
      <c r="C52" s="36" t="n"/>
      <c r="D52" s="36" t="n"/>
      <c r="E52" s="38" t="n"/>
      <c r="F52" s="37" t="n"/>
    </row>
    <row r="53" ht="15" customHeight="1" s="30">
      <c r="A53" s="36" t="n"/>
      <c r="B53" s="36" t="n"/>
      <c r="C53" s="36" t="n"/>
      <c r="D53" s="36" t="n"/>
      <c r="E53" s="38" t="n"/>
      <c r="F53" s="37" t="n"/>
    </row>
    <row r="54" ht="15" customHeight="1" s="30">
      <c r="A54" s="36" t="n"/>
      <c r="B54" s="36" t="n"/>
      <c r="C54" s="36" t="n"/>
      <c r="D54" s="36" t="n"/>
      <c r="E54" s="38" t="n"/>
      <c r="F54" s="37" t="n"/>
    </row>
    <row r="55" ht="15" customHeight="1" s="30">
      <c r="A55" s="36" t="n"/>
      <c r="B55" s="36" t="n"/>
      <c r="C55" s="36" t="n"/>
      <c r="D55" s="36" t="n"/>
      <c r="E55" s="38" t="n"/>
      <c r="F55" s="37" t="n"/>
    </row>
    <row r="56" ht="15" customHeight="1" s="30">
      <c r="A56" s="36" t="n"/>
      <c r="B56" s="36" t="n"/>
      <c r="C56" s="36" t="n"/>
      <c r="D56" s="36" t="n"/>
      <c r="E56" s="38" t="n"/>
      <c r="F56" s="37" t="n"/>
    </row>
    <row r="57" ht="15" customHeight="1" s="30">
      <c r="A57" s="36" t="n"/>
      <c r="B57" s="36" t="n"/>
      <c r="C57" s="36" t="n"/>
      <c r="D57" s="36" t="n"/>
      <c r="E57" s="38" t="n"/>
      <c r="F57" s="37" t="n"/>
    </row>
    <row r="58" ht="15" customHeight="1" s="30">
      <c r="A58" s="36" t="n"/>
      <c r="B58" s="36" t="n"/>
      <c r="C58" s="36" t="n"/>
      <c r="D58" s="36" t="n"/>
      <c r="E58" s="38" t="n"/>
      <c r="F58" s="37" t="n"/>
    </row>
    <row r="59" ht="15" customHeight="1" s="30">
      <c r="A59" s="36" t="n"/>
      <c r="B59" s="36" t="n"/>
      <c r="C59" s="36" t="n"/>
      <c r="D59" s="36" t="n"/>
      <c r="E59" s="38" t="n"/>
      <c r="F59" s="37" t="n"/>
    </row>
    <row r="60" ht="15" customHeight="1" s="30">
      <c r="A60" s="36" t="n"/>
      <c r="B60" s="36" t="n"/>
      <c r="C60" s="36" t="n"/>
      <c r="D60" s="36" t="n"/>
      <c r="E60" s="38" t="n"/>
      <c r="F60" s="37" t="n"/>
    </row>
    <row r="61" ht="15" customHeight="1" s="30">
      <c r="A61" s="36" t="n"/>
      <c r="B61" s="36" t="n"/>
      <c r="C61" s="36" t="n"/>
      <c r="D61" s="36" t="n"/>
      <c r="E61" s="38" t="n"/>
      <c r="F61" s="37" t="n"/>
    </row>
    <row r="62" ht="15" customHeight="1" s="30">
      <c r="A62" s="36" t="n"/>
      <c r="B62" s="36" t="n"/>
      <c r="C62" s="36" t="n"/>
      <c r="D62" s="36" t="n"/>
      <c r="E62" s="38" t="n"/>
      <c r="F62" s="37" t="n"/>
    </row>
    <row r="63" ht="15" customHeight="1" s="30">
      <c r="A63" s="36" t="n"/>
      <c r="B63" s="36" t="n"/>
      <c r="C63" s="36" t="n"/>
      <c r="D63" s="36" t="n"/>
      <c r="E63" s="38" t="n"/>
      <c r="F63" s="37" t="n"/>
    </row>
    <row r="64" ht="15" customHeight="1" s="30">
      <c r="A64" s="36" t="n"/>
      <c r="B64" s="36" t="n"/>
      <c r="C64" s="36" t="n"/>
      <c r="D64" s="36" t="n"/>
      <c r="E64" s="38" t="n"/>
      <c r="F64" s="37" t="n"/>
    </row>
    <row r="65" ht="15" customHeight="1" s="30">
      <c r="A65" s="36" t="n"/>
      <c r="B65" s="36" t="n"/>
      <c r="C65" s="36" t="n"/>
      <c r="D65" s="36" t="n"/>
      <c r="E65" s="38" t="n"/>
      <c r="F65" s="37" t="n"/>
    </row>
    <row r="66" ht="15" customHeight="1" s="30">
      <c r="A66" s="36" t="n"/>
      <c r="B66" s="36" t="n"/>
      <c r="C66" s="36" t="n"/>
      <c r="D66" s="36" t="n"/>
      <c r="E66" s="38" t="n"/>
      <c r="F66" s="37" t="n"/>
    </row>
    <row r="67" ht="15" customHeight="1" s="30">
      <c r="A67" s="36" t="n"/>
      <c r="B67" s="36" t="n"/>
      <c r="C67" s="36" t="n"/>
      <c r="D67" s="36" t="n"/>
      <c r="E67" s="38" t="n"/>
      <c r="F67" s="37" t="n"/>
    </row>
    <row r="68" ht="15" customHeight="1" s="30">
      <c r="A68" s="36" t="n"/>
      <c r="B68" s="36" t="n"/>
      <c r="C68" s="36" t="n"/>
      <c r="D68" s="36" t="n"/>
      <c r="E68" s="38" t="n"/>
      <c r="F68" s="37" t="n"/>
    </row>
    <row r="69" ht="15" customHeight="1" s="30">
      <c r="A69" s="36" t="n"/>
      <c r="B69" s="36" t="n"/>
      <c r="C69" s="36" t="n"/>
      <c r="D69" s="36" t="n"/>
      <c r="E69" s="38" t="n"/>
      <c r="F69" s="37" t="n"/>
    </row>
    <row r="70" ht="15" customHeight="1" s="30">
      <c r="A70" s="36" t="n"/>
      <c r="B70" s="36" t="n"/>
      <c r="C70" s="36" t="n"/>
      <c r="D70" s="36" t="n"/>
      <c r="E70" s="38" t="n"/>
      <c r="F70" s="37" t="n"/>
    </row>
    <row r="71" ht="15" customHeight="1" s="30">
      <c r="A71" s="36" t="n"/>
      <c r="B71" s="36" t="n"/>
      <c r="C71" s="36" t="n"/>
      <c r="D71" s="36" t="n"/>
      <c r="E71" s="38" t="n"/>
      <c r="F71" s="37" t="n"/>
    </row>
    <row r="72" ht="15" customHeight="1" s="30">
      <c r="A72" s="36" t="n"/>
      <c r="B72" s="36" t="n"/>
      <c r="C72" s="36" t="n"/>
      <c r="D72" s="36" t="n"/>
      <c r="E72" s="38" t="n"/>
      <c r="F72" s="37" t="n"/>
    </row>
    <row r="73" ht="15" customHeight="1" s="30">
      <c r="A73" s="36" t="n"/>
      <c r="B73" s="36" t="n"/>
      <c r="C73" s="36" t="n"/>
      <c r="D73" s="36" t="n"/>
      <c r="E73" s="38" t="n"/>
      <c r="F73" s="37" t="n"/>
    </row>
    <row r="74" ht="15" customHeight="1" s="30">
      <c r="A74" s="36" t="n"/>
      <c r="B74" s="36" t="n"/>
      <c r="C74" s="36" t="n"/>
      <c r="D74" s="36" t="n"/>
      <c r="E74" s="38" t="n"/>
      <c r="F74" s="37" t="n"/>
    </row>
    <row r="75" ht="15" customHeight="1" s="30">
      <c r="A75" s="36" t="n"/>
      <c r="B75" s="36" t="n"/>
      <c r="C75" s="36" t="n"/>
      <c r="D75" s="36" t="n"/>
      <c r="E75" s="38" t="n"/>
      <c r="F75" s="37" t="n"/>
    </row>
    <row r="76" ht="15" customHeight="1" s="30">
      <c r="A76" s="36" t="n"/>
      <c r="B76" s="36" t="n"/>
      <c r="C76" s="36" t="n"/>
      <c r="D76" s="36" t="n"/>
      <c r="E76" s="38" t="n"/>
      <c r="F76" s="37" t="n"/>
    </row>
    <row r="77" ht="15" customHeight="1" s="30">
      <c r="A77" s="36" t="n"/>
      <c r="B77" s="36" t="n"/>
      <c r="C77" s="36" t="n"/>
      <c r="D77" s="36" t="n"/>
      <c r="E77" s="38" t="n"/>
      <c r="F77" s="37" t="n"/>
    </row>
    <row r="78" ht="15" customHeight="1" s="30">
      <c r="A78" s="36" t="n"/>
      <c r="B78" s="36" t="n"/>
      <c r="C78" s="36" t="n"/>
      <c r="D78" s="36" t="n"/>
      <c r="E78" s="38" t="n"/>
      <c r="F78" s="37" t="n"/>
    </row>
    <row r="79" ht="15" customHeight="1" s="30">
      <c r="A79" s="36" t="n"/>
      <c r="B79" s="36" t="n"/>
      <c r="C79" s="36" t="n"/>
      <c r="D79" s="36" t="n"/>
      <c r="E79" s="38" t="n"/>
      <c r="F79" s="37" t="n"/>
    </row>
    <row r="80" ht="15" customHeight="1" s="30">
      <c r="A80" s="36" t="n"/>
      <c r="B80" s="36" t="n"/>
      <c r="C80" s="36" t="n"/>
      <c r="D80" s="36" t="n"/>
      <c r="E80" s="38" t="n"/>
      <c r="F80" s="37" t="n"/>
    </row>
    <row r="81" ht="15" customHeight="1" s="30">
      <c r="A81" s="36" t="n"/>
      <c r="B81" s="36" t="n"/>
      <c r="C81" s="36" t="n"/>
      <c r="D81" s="36" t="n"/>
      <c r="E81" s="38" t="n"/>
      <c r="F81" s="37" t="n"/>
    </row>
    <row r="82" ht="15" customHeight="1" s="30">
      <c r="A82" s="36" t="n"/>
      <c r="B82" s="36" t="n"/>
      <c r="C82" s="36" t="n"/>
      <c r="D82" s="36" t="n"/>
      <c r="E82" s="38" t="n"/>
      <c r="F82" s="37" t="n"/>
    </row>
    <row r="83" ht="15" customHeight="1" s="30">
      <c r="A83" s="36" t="n"/>
      <c r="B83" s="36" t="n"/>
      <c r="C83" s="36" t="n"/>
      <c r="D83" s="36" t="n"/>
      <c r="E83" s="38" t="n"/>
      <c r="F83" s="37" t="n"/>
    </row>
    <row r="84" ht="15" customHeight="1" s="30">
      <c r="A84" s="36" t="n"/>
      <c r="B84" s="36" t="n"/>
      <c r="C84" s="36" t="n"/>
      <c r="D84" s="36" t="n"/>
      <c r="E84" s="38" t="n"/>
      <c r="F84" s="37" t="n"/>
    </row>
    <row r="85" ht="15" customHeight="1" s="30">
      <c r="A85" s="36" t="n"/>
      <c r="B85" s="36" t="n"/>
      <c r="C85" s="36" t="n"/>
      <c r="D85" s="36" t="n"/>
      <c r="E85" s="38" t="n"/>
      <c r="F85" s="37" t="n"/>
    </row>
    <row r="86" ht="15" customHeight="1" s="30">
      <c r="A86" s="36" t="n"/>
      <c r="B86" s="36" t="n"/>
      <c r="C86" s="36" t="n"/>
      <c r="D86" s="36" t="n"/>
      <c r="E86" s="38" t="n"/>
      <c r="F86" s="37" t="n"/>
    </row>
    <row r="87" ht="15" customHeight="1" s="30">
      <c r="A87" s="36" t="n"/>
      <c r="B87" s="36" t="n"/>
      <c r="C87" s="36" t="n"/>
      <c r="D87" s="36" t="n"/>
      <c r="E87" s="38" t="n"/>
      <c r="F87" s="37" t="n"/>
    </row>
    <row r="88" ht="15" customHeight="1" s="30">
      <c r="A88" s="36" t="n"/>
      <c r="B88" s="36" t="n"/>
      <c r="C88" s="36" t="n"/>
      <c r="D88" s="36" t="n"/>
      <c r="E88" s="38" t="n"/>
      <c r="F88" s="37" t="n"/>
    </row>
    <row r="89" ht="15" customHeight="1" s="30">
      <c r="A89" s="36" t="n"/>
      <c r="B89" s="36" t="n"/>
      <c r="C89" s="36" t="n"/>
      <c r="D89" s="36" t="n"/>
      <c r="E89" s="38" t="n"/>
      <c r="F89" s="37" t="n"/>
    </row>
    <row r="90" ht="15" customHeight="1" s="30">
      <c r="A90" s="36" t="n"/>
      <c r="B90" s="36" t="n"/>
      <c r="C90" s="36" t="n"/>
      <c r="D90" s="36" t="n"/>
      <c r="E90" s="38" t="n"/>
      <c r="F90" s="37" t="n"/>
    </row>
    <row r="91" ht="15" customHeight="1" s="30">
      <c r="A91" s="36" t="n"/>
      <c r="B91" s="36" t="n"/>
      <c r="C91" s="36" t="n"/>
      <c r="D91" s="36" t="n"/>
      <c r="E91" s="38" t="n"/>
      <c r="F91" s="37" t="n"/>
    </row>
    <row r="92" ht="15" customHeight="1" s="30">
      <c r="A92" s="36" t="n"/>
      <c r="B92" s="36" t="n"/>
      <c r="C92" s="36" t="n"/>
      <c r="D92" s="36" t="n"/>
      <c r="E92" s="38" t="n"/>
      <c r="F92" s="37" t="n"/>
    </row>
    <row r="93" ht="15" customHeight="1" s="30">
      <c r="A93" s="36" t="n"/>
      <c r="B93" s="36" t="n"/>
      <c r="C93" s="36" t="n"/>
      <c r="D93" s="36" t="n"/>
      <c r="E93" s="38" t="n"/>
      <c r="F93" s="37" t="n"/>
    </row>
    <row r="94" ht="15" customHeight="1" s="30">
      <c r="A94" s="36" t="n"/>
      <c r="B94" s="36" t="n"/>
      <c r="C94" s="36" t="n"/>
      <c r="D94" s="36" t="n"/>
      <c r="E94" s="38" t="n"/>
      <c r="F94" s="37" t="n"/>
    </row>
    <row r="95" ht="15" customHeight="1" s="30">
      <c r="A95" s="36" t="n"/>
      <c r="B95" s="36" t="n"/>
      <c r="C95" s="36" t="n"/>
      <c r="D95" s="36" t="n"/>
      <c r="E95" s="38" t="n"/>
      <c r="F95" s="37" t="n"/>
    </row>
    <row r="96" ht="15" customHeight="1" s="30">
      <c r="A96" s="36" t="n"/>
      <c r="B96" s="36" t="n"/>
      <c r="C96" s="36" t="n"/>
      <c r="D96" s="36" t="n"/>
      <c r="E96" s="38" t="n"/>
      <c r="F96" s="37" t="n"/>
    </row>
    <row r="97" ht="15" customHeight="1" s="30">
      <c r="A97" s="36" t="n"/>
      <c r="B97" s="36" t="n"/>
      <c r="C97" s="36" t="n"/>
      <c r="D97" s="36" t="n"/>
      <c r="E97" s="38" t="n"/>
      <c r="F97" s="37" t="n"/>
    </row>
    <row r="98" ht="15" customHeight="1" s="30">
      <c r="A98" s="36" t="n"/>
      <c r="B98" s="36" t="n"/>
      <c r="C98" s="36" t="n"/>
      <c r="D98" s="36" t="n"/>
      <c r="E98" s="38" t="n"/>
      <c r="F98" s="37" t="n"/>
    </row>
    <row r="99" ht="15" customHeight="1" s="30">
      <c r="A99" s="36" t="n"/>
      <c r="B99" s="36" t="n"/>
      <c r="C99" s="36" t="n"/>
      <c r="D99" s="36" t="n"/>
      <c r="E99" s="38" t="n"/>
      <c r="F99" s="37" t="n"/>
    </row>
    <row r="100" ht="15" customHeight="1" s="30">
      <c r="A100" s="36" t="n"/>
      <c r="B100" s="36" t="n"/>
      <c r="C100" s="36" t="n"/>
      <c r="D100" s="36" t="n"/>
      <c r="E100" s="38" t="n"/>
      <c r="F100" s="37" t="n"/>
    </row>
    <row r="101" ht="15" customHeight="1" s="30">
      <c r="A101" s="36" t="n"/>
      <c r="B101" s="36" t="n"/>
      <c r="C101" s="36" t="n"/>
      <c r="D101" s="36" t="n"/>
      <c r="E101" s="38" t="n"/>
      <c r="F101" s="37" t="n"/>
    </row>
    <row r="102" ht="15" customHeight="1" s="30">
      <c r="A102" s="36" t="n"/>
      <c r="B102" s="36" t="n"/>
      <c r="C102" s="36" t="n"/>
      <c r="D102" s="36" t="n"/>
      <c r="E102" s="38" t="n"/>
      <c r="F102" s="37" t="n"/>
    </row>
    <row r="103" ht="15" customHeight="1" s="30">
      <c r="A103" s="36" t="n"/>
      <c r="B103" s="36" t="n"/>
      <c r="C103" s="36" t="n"/>
      <c r="D103" s="36" t="n"/>
      <c r="E103" s="38" t="n"/>
      <c r="F103" s="37" t="n"/>
    </row>
    <row r="104" ht="15" customHeight="1" s="30">
      <c r="A104" s="36" t="n"/>
      <c r="B104" s="36" t="n"/>
      <c r="C104" s="36" t="n"/>
      <c r="D104" s="36" t="n"/>
      <c r="E104" s="38" t="n"/>
      <c r="F104" s="37" t="n"/>
    </row>
    <row r="105" ht="15" customHeight="1" s="30">
      <c r="A105" s="36" t="n"/>
      <c r="B105" s="36" t="n"/>
      <c r="C105" s="36" t="n"/>
      <c r="D105" s="36" t="n"/>
      <c r="E105" s="38" t="n"/>
      <c r="F105" s="37" t="n"/>
    </row>
    <row r="106" ht="15" customHeight="1" s="30">
      <c r="A106" s="36" t="n"/>
      <c r="B106" s="36" t="n"/>
      <c r="C106" s="36" t="n"/>
      <c r="D106" s="36" t="n"/>
      <c r="E106" s="38" t="n"/>
      <c r="F106" s="37" t="n"/>
    </row>
    <row r="107" ht="15" customHeight="1" s="30">
      <c r="A107" s="36" t="n"/>
      <c r="B107" s="36" t="n"/>
      <c r="C107" s="36" t="n"/>
      <c r="D107" s="36" t="n"/>
      <c r="E107" s="38" t="n"/>
      <c r="F107" s="37" t="n"/>
    </row>
    <row r="108" ht="15" customHeight="1" s="30">
      <c r="A108" s="36" t="n"/>
      <c r="B108" s="36" t="n"/>
      <c r="C108" s="36" t="n"/>
      <c r="D108" s="36" t="n"/>
      <c r="E108" s="38" t="n"/>
      <c r="F108" s="37" t="n"/>
    </row>
    <row r="109" ht="15" customHeight="1" s="30">
      <c r="A109" s="36" t="n"/>
      <c r="B109" s="36" t="n"/>
      <c r="C109" s="36" t="n"/>
      <c r="D109" s="36" t="n"/>
      <c r="E109" s="38" t="n"/>
      <c r="F109" s="37" t="n"/>
    </row>
    <row r="110" ht="15" customHeight="1" s="30">
      <c r="A110" s="36" t="n"/>
      <c r="B110" s="36" t="n"/>
      <c r="C110" s="36" t="n"/>
      <c r="D110" s="36" t="n"/>
      <c r="E110" s="38" t="n"/>
      <c r="F110" s="37" t="n"/>
    </row>
    <row r="111" ht="15" customHeight="1" s="30">
      <c r="A111" s="36" t="n"/>
      <c r="B111" s="36" t="n"/>
      <c r="C111" s="36" t="n"/>
      <c r="D111" s="36" t="n"/>
      <c r="E111" s="38" t="n"/>
      <c r="F111" s="37" t="n"/>
    </row>
    <row r="112" ht="15" customHeight="1" s="30">
      <c r="A112" s="36" t="n"/>
      <c r="B112" s="36" t="n"/>
      <c r="C112" s="36" t="n"/>
      <c r="D112" s="36" t="n"/>
      <c r="E112" s="38" t="n"/>
      <c r="F112" s="37" t="n"/>
    </row>
    <row r="113" ht="15" customHeight="1" s="30">
      <c r="A113" s="36" t="n"/>
      <c r="B113" s="36" t="n"/>
      <c r="C113" s="36" t="n"/>
      <c r="D113" s="36" t="n"/>
      <c r="E113" s="38" t="n"/>
      <c r="F113" s="37" t="n"/>
    </row>
    <row r="114" ht="15" customHeight="1" s="30">
      <c r="A114" s="36" t="n"/>
      <c r="B114" s="36" t="n"/>
      <c r="C114" s="36" t="n"/>
      <c r="D114" s="36" t="n"/>
      <c r="E114" s="38" t="n"/>
      <c r="F114" s="37" t="n"/>
    </row>
    <row r="115" ht="15" customHeight="1" s="30">
      <c r="A115" s="36" t="n"/>
      <c r="B115" s="36" t="n"/>
      <c r="C115" s="36" t="n"/>
      <c r="D115" s="36" t="n"/>
      <c r="E115" s="38" t="n"/>
      <c r="F115" s="37" t="n"/>
    </row>
    <row r="116" ht="15" customHeight="1" s="30">
      <c r="A116" s="36" t="n"/>
      <c r="B116" s="36" t="n"/>
      <c r="C116" s="36" t="n"/>
      <c r="D116" s="36" t="n"/>
      <c r="E116" s="38" t="n"/>
      <c r="F116" s="37" t="n"/>
    </row>
    <row r="117" ht="15" customHeight="1" s="30">
      <c r="A117" s="36" t="n"/>
      <c r="B117" s="36" t="n"/>
      <c r="C117" s="36" t="n"/>
      <c r="D117" s="36" t="n"/>
      <c r="E117" s="38" t="n"/>
      <c r="F117" s="37" t="n"/>
    </row>
    <row r="118" ht="15" customHeight="1" s="30">
      <c r="A118" s="36" t="n"/>
      <c r="B118" s="36" t="n"/>
      <c r="C118" s="36" t="n"/>
      <c r="D118" s="36" t="n"/>
      <c r="E118" s="38" t="n"/>
      <c r="F118" s="37" t="n"/>
    </row>
    <row r="119" ht="15" customHeight="1" s="30">
      <c r="A119" s="36" t="n"/>
      <c r="B119" s="36" t="n"/>
      <c r="C119" s="36" t="n"/>
      <c r="D119" s="36" t="n"/>
      <c r="E119" s="38" t="n"/>
      <c r="F119" s="37" t="n"/>
    </row>
    <row r="120" ht="15" customHeight="1" s="30">
      <c r="A120" s="36" t="n"/>
      <c r="B120" s="36" t="n"/>
      <c r="C120" s="36" t="n"/>
      <c r="D120" s="36" t="n"/>
      <c r="E120" s="38" t="n"/>
      <c r="F120" s="37" t="n"/>
    </row>
    <row r="121" ht="15" customHeight="1" s="30">
      <c r="A121" s="36" t="n"/>
      <c r="B121" s="36" t="n"/>
      <c r="C121" s="36" t="n"/>
      <c r="D121" s="36" t="n"/>
      <c r="E121" s="38" t="n"/>
      <c r="F121" s="37" t="n"/>
    </row>
    <row r="122" ht="15" customHeight="1" s="30">
      <c r="A122" s="36" t="n"/>
      <c r="B122" s="36" t="n"/>
      <c r="C122" s="36" t="n"/>
      <c r="D122" s="36" t="n"/>
      <c r="E122" s="38" t="n"/>
      <c r="F122" s="37" t="n"/>
    </row>
    <row r="123" ht="15" customHeight="1" s="30">
      <c r="A123" s="36" t="n"/>
      <c r="B123" s="36" t="n"/>
      <c r="C123" s="36" t="n"/>
      <c r="D123" s="36" t="n"/>
      <c r="E123" s="38" t="n"/>
      <c r="F123" s="37" t="n"/>
    </row>
    <row r="124" ht="15" customHeight="1" s="30">
      <c r="A124" s="36" t="n"/>
      <c r="B124" s="36" t="n"/>
      <c r="C124" s="36" t="n"/>
      <c r="D124" s="36" t="n"/>
      <c r="E124" s="38" t="n"/>
      <c r="F124" s="37" t="n"/>
    </row>
    <row r="125" ht="15" customHeight="1" s="30">
      <c r="A125" s="36" t="n"/>
      <c r="B125" s="36" t="n"/>
      <c r="C125" s="36" t="n"/>
      <c r="D125" s="36" t="n"/>
      <c r="E125" s="38" t="n"/>
      <c r="F125" s="37" t="n"/>
    </row>
    <row r="126" ht="15" customHeight="1" s="30">
      <c r="A126" s="36" t="n"/>
      <c r="B126" s="36" t="n"/>
      <c r="C126" s="36" t="n"/>
      <c r="D126" s="36" t="n"/>
      <c r="E126" s="38" t="n"/>
      <c r="F126" s="37" t="n"/>
    </row>
    <row r="127" ht="15" customHeight="1" s="30">
      <c r="A127" s="36" t="n"/>
      <c r="B127" s="36" t="n"/>
      <c r="C127" s="36" t="n"/>
      <c r="D127" s="36" t="n"/>
      <c r="E127" s="38" t="n"/>
      <c r="F127" s="37" t="n"/>
    </row>
    <row r="128" ht="15" customHeight="1" s="30">
      <c r="A128" s="36" t="n"/>
      <c r="B128" s="36" t="n"/>
      <c r="C128" s="36" t="n"/>
      <c r="D128" s="36" t="n"/>
      <c r="E128" s="38" t="n"/>
      <c r="F128" s="37" t="n"/>
    </row>
    <row r="129" ht="15" customHeight="1" s="30">
      <c r="A129" s="36" t="n"/>
      <c r="B129" s="36" t="n"/>
      <c r="C129" s="36" t="n"/>
      <c r="D129" s="36" t="n"/>
      <c r="E129" s="38" t="n"/>
      <c r="F129" s="37" t="n"/>
    </row>
    <row r="130" ht="15" customHeight="1" s="30">
      <c r="A130" s="36" t="n"/>
      <c r="B130" s="36" t="n"/>
      <c r="C130" s="36" t="n"/>
      <c r="D130" s="36" t="n"/>
      <c r="E130" s="38" t="n"/>
      <c r="F130" s="37" t="n"/>
    </row>
    <row r="131" ht="15" customHeight="1" s="30">
      <c r="A131" s="36" t="n"/>
      <c r="B131" s="36" t="n"/>
      <c r="C131" s="36" t="n"/>
      <c r="D131" s="36" t="n"/>
      <c r="E131" s="38" t="n"/>
      <c r="F131" s="37" t="n"/>
    </row>
    <row r="132" ht="15" customHeight="1" s="30">
      <c r="A132" s="36" t="n"/>
      <c r="B132" s="36" t="n"/>
      <c r="C132" s="36" t="n"/>
      <c r="D132" s="36" t="n"/>
      <c r="E132" s="38" t="n"/>
      <c r="F132" s="37" t="n"/>
    </row>
    <row r="133" ht="15" customHeight="1" s="30">
      <c r="A133" s="36" t="n"/>
      <c r="B133" s="36" t="n"/>
      <c r="C133" s="36" t="n"/>
      <c r="D133" s="36" t="n"/>
      <c r="E133" s="38" t="n"/>
      <c r="F133" s="37" t="n"/>
    </row>
    <row r="134" ht="15" customHeight="1" s="30">
      <c r="A134" s="36" t="n"/>
      <c r="B134" s="36" t="n"/>
      <c r="C134" s="36" t="n"/>
      <c r="D134" s="36" t="n"/>
      <c r="E134" s="38" t="n"/>
      <c r="F134" s="37" t="n"/>
    </row>
    <row r="135" ht="15" customHeight="1" s="30">
      <c r="A135" s="36" t="n"/>
      <c r="B135" s="36" t="n"/>
      <c r="C135" s="36" t="n"/>
      <c r="D135" s="36" t="n"/>
      <c r="E135" s="38" t="n"/>
      <c r="F135" s="37" t="n"/>
    </row>
    <row r="136" ht="15" customHeight="1" s="30">
      <c r="A136" s="36" t="n"/>
      <c r="B136" s="36" t="n"/>
      <c r="C136" s="36" t="n"/>
      <c r="D136" s="36" t="n"/>
      <c r="E136" s="38" t="n"/>
      <c r="F136" s="37" t="n"/>
    </row>
    <row r="137" ht="15" customHeight="1" s="30">
      <c r="A137" s="36" t="n"/>
      <c r="B137" s="36" t="n"/>
      <c r="C137" s="36" t="n"/>
      <c r="D137" s="36" t="n"/>
      <c r="E137" s="38" t="n"/>
      <c r="F137" s="37" t="n"/>
    </row>
    <row r="138" ht="15" customHeight="1" s="30">
      <c r="A138" s="36" t="n"/>
      <c r="B138" s="36" t="n"/>
      <c r="C138" s="36" t="n"/>
      <c r="D138" s="36" t="n"/>
      <c r="E138" s="38" t="n"/>
      <c r="F138" s="37" t="n"/>
    </row>
    <row r="139" ht="15" customHeight="1" s="30">
      <c r="A139" s="36" t="n"/>
      <c r="B139" s="36" t="n"/>
      <c r="C139" s="36" t="n"/>
      <c r="D139" s="36" t="n"/>
      <c r="E139" s="38" t="n"/>
      <c r="F139" s="37" t="n"/>
    </row>
    <row r="140" ht="15" customHeight="1" s="30">
      <c r="A140" s="36" t="n"/>
      <c r="B140" s="36" t="n"/>
      <c r="C140" s="36" t="n"/>
      <c r="D140" s="36" t="n"/>
      <c r="E140" s="38" t="n"/>
      <c r="F140" s="37" t="n"/>
    </row>
    <row r="141" ht="15" customHeight="1" s="30">
      <c r="A141" s="36" t="n"/>
      <c r="B141" s="36" t="n"/>
      <c r="C141" s="36" t="n"/>
      <c r="D141" s="36" t="n"/>
      <c r="E141" s="38" t="n"/>
      <c r="F141" s="37" t="n"/>
    </row>
    <row r="142" ht="15" customHeight="1" s="30">
      <c r="A142" s="36" t="n"/>
      <c r="B142" s="36" t="n"/>
      <c r="C142" s="36" t="n"/>
      <c r="D142" s="36" t="n"/>
      <c r="E142" s="38" t="n"/>
      <c r="F142" s="37" t="n"/>
    </row>
    <row r="143" ht="15" customHeight="1" s="30">
      <c r="A143" s="36" t="n"/>
      <c r="B143" s="36" t="n"/>
      <c r="C143" s="36" t="n"/>
      <c r="D143" s="36" t="n"/>
      <c r="E143" s="38" t="n"/>
      <c r="F143" s="37" t="n"/>
    </row>
    <row r="144" ht="15" customHeight="1" s="30">
      <c r="A144" s="36" t="n"/>
      <c r="B144" s="36" t="n"/>
      <c r="C144" s="36" t="n"/>
      <c r="D144" s="36" t="n"/>
      <c r="E144" s="38" t="n"/>
      <c r="F144" s="37" t="n"/>
    </row>
    <row r="145" ht="15" customHeight="1" s="30">
      <c r="A145" s="36" t="n"/>
      <c r="B145" s="36" t="n"/>
      <c r="C145" s="36" t="n"/>
      <c r="D145" s="36" t="n"/>
      <c r="E145" s="38" t="n"/>
      <c r="F145" s="37" t="n"/>
    </row>
    <row r="146" ht="15" customHeight="1" s="30">
      <c r="A146" s="36" t="n"/>
      <c r="B146" s="36" t="n"/>
      <c r="C146" s="36" t="n"/>
      <c r="D146" s="36" t="n"/>
      <c r="E146" s="38" t="n"/>
      <c r="F146" s="37" t="n"/>
    </row>
    <row r="147" ht="15" customHeight="1" s="30">
      <c r="A147" s="36" t="n"/>
      <c r="B147" s="36" t="n"/>
      <c r="C147" s="36" t="n"/>
      <c r="D147" s="36" t="n"/>
      <c r="E147" s="38" t="n"/>
      <c r="F147" s="37" t="n"/>
    </row>
    <row r="148" ht="15" customHeight="1" s="30">
      <c r="A148" s="36" t="n"/>
      <c r="B148" s="36" t="n"/>
      <c r="C148" s="36" t="n"/>
      <c r="D148" s="36" t="n"/>
      <c r="E148" s="38" t="n"/>
      <c r="F148" s="37" t="n"/>
    </row>
    <row r="149" ht="15" customHeight="1" s="30">
      <c r="A149" s="36" t="n"/>
      <c r="B149" s="36" t="n"/>
      <c r="C149" s="36" t="n"/>
      <c r="D149" s="36" t="n"/>
      <c r="E149" s="38" t="n"/>
      <c r="F149" s="37" t="n"/>
    </row>
    <row r="150" ht="15" customHeight="1" s="30">
      <c r="A150" s="36" t="n"/>
      <c r="B150" s="36" t="n"/>
      <c r="C150" s="36" t="n"/>
      <c r="D150" s="36" t="n"/>
      <c r="E150" s="38" t="n"/>
      <c r="F150" s="37" t="n"/>
    </row>
    <row r="151" ht="15" customHeight="1" s="30">
      <c r="A151" s="36" t="n"/>
      <c r="B151" s="36" t="n"/>
      <c r="C151" s="36" t="n"/>
      <c r="D151" s="36" t="n"/>
      <c r="E151" s="38" t="n"/>
      <c r="F151" s="37" t="n"/>
    </row>
    <row r="152" ht="15" customHeight="1" s="30">
      <c r="A152" s="36" t="n"/>
      <c r="B152" s="36" t="n"/>
      <c r="C152" s="36" t="n"/>
      <c r="D152" s="36" t="n"/>
      <c r="E152" s="38" t="n"/>
      <c r="F152" s="37" t="n"/>
    </row>
    <row r="153" ht="15" customHeight="1" s="30">
      <c r="A153" s="36" t="n"/>
      <c r="B153" s="36" t="n"/>
      <c r="C153" s="36" t="n"/>
      <c r="D153" s="36" t="n"/>
      <c r="E153" s="38" t="n"/>
      <c r="F153" s="37" t="n"/>
    </row>
    <row r="154" ht="15" customHeight="1" s="30">
      <c r="A154" s="36" t="n"/>
      <c r="B154" s="36" t="n"/>
      <c r="C154" s="36" t="n"/>
      <c r="D154" s="36" t="n"/>
      <c r="E154" s="38" t="n"/>
      <c r="F154" s="37" t="n"/>
    </row>
    <row r="155" ht="15" customHeight="1" s="30">
      <c r="A155" s="36" t="n"/>
      <c r="B155" s="36" t="n"/>
      <c r="C155" s="36" t="n"/>
      <c r="D155" s="36" t="n"/>
      <c r="E155" s="38" t="n"/>
      <c r="F155" s="37" t="n"/>
    </row>
    <row r="156" ht="15" customHeight="1" s="30">
      <c r="A156" s="36" t="n"/>
      <c r="B156" s="36" t="n"/>
      <c r="C156" s="36" t="n"/>
      <c r="D156" s="36" t="n"/>
      <c r="E156" s="38" t="n"/>
      <c r="F156" s="37" t="n"/>
    </row>
    <row r="157" ht="15" customHeight="1" s="30">
      <c r="A157" s="36" t="n"/>
      <c r="B157" s="36" t="n"/>
      <c r="C157" s="36" t="n"/>
      <c r="D157" s="36" t="n"/>
      <c r="E157" s="38" t="n"/>
      <c r="F157" s="37" t="n"/>
    </row>
    <row r="158" ht="15" customHeight="1" s="30">
      <c r="A158" s="36" t="n"/>
      <c r="B158" s="36" t="n"/>
      <c r="C158" s="36" t="n"/>
      <c r="D158" s="36" t="n"/>
      <c r="E158" s="38" t="n"/>
      <c r="F158" s="37" t="n"/>
    </row>
    <row r="159" ht="15" customHeight="1" s="30">
      <c r="A159" s="36" t="n"/>
      <c r="B159" s="36" t="n"/>
      <c r="C159" s="36" t="n"/>
      <c r="D159" s="36" t="n"/>
      <c r="E159" s="38" t="n"/>
      <c r="F159" s="37" t="n"/>
    </row>
    <row r="160" ht="15" customHeight="1" s="30">
      <c r="A160" s="36" t="n"/>
      <c r="B160" s="36" t="n"/>
      <c r="C160" s="36" t="n"/>
      <c r="D160" s="36" t="n"/>
      <c r="E160" s="38" t="n"/>
      <c r="F160" s="37" t="n"/>
    </row>
    <row r="161" ht="15" customHeight="1" s="30">
      <c r="A161" s="36" t="n"/>
      <c r="B161" s="36" t="n"/>
      <c r="C161" s="36" t="n"/>
      <c r="D161" s="36" t="n"/>
      <c r="E161" s="38" t="n"/>
      <c r="F161" s="37" t="n"/>
    </row>
    <row r="162" ht="15" customHeight="1" s="30">
      <c r="A162" s="36" t="n"/>
      <c r="B162" s="36" t="n"/>
      <c r="C162" s="36" t="n"/>
      <c r="D162" s="36" t="n"/>
      <c r="E162" s="38" t="n"/>
      <c r="F162" s="37" t="n"/>
    </row>
    <row r="163" ht="15" customHeight="1" s="30">
      <c r="A163" s="36" t="n"/>
      <c r="B163" s="36" t="n"/>
      <c r="C163" s="36" t="n"/>
      <c r="D163" s="36" t="n"/>
      <c r="E163" s="38" t="n"/>
      <c r="F163" s="37" t="n"/>
    </row>
    <row r="164" ht="15" customHeight="1" s="30">
      <c r="A164" s="36" t="n"/>
      <c r="B164" s="36" t="n"/>
      <c r="C164" s="36" t="n"/>
      <c r="D164" s="36" t="n"/>
      <c r="E164" s="38" t="n"/>
      <c r="F164" s="37" t="n"/>
    </row>
    <row r="165" ht="15" customHeight="1" s="30">
      <c r="A165" s="36" t="n"/>
      <c r="B165" s="36" t="n"/>
      <c r="C165" s="36" t="n"/>
      <c r="D165" s="36" t="n"/>
      <c r="E165" s="38" t="n"/>
      <c r="F165" s="37" t="n"/>
    </row>
    <row r="166" ht="15" customHeight="1" s="30">
      <c r="A166" s="36" t="n"/>
      <c r="B166" s="36" t="n"/>
      <c r="C166" s="36" t="n"/>
      <c r="D166" s="36" t="n"/>
      <c r="E166" s="38" t="n"/>
      <c r="F166" s="37" t="n"/>
    </row>
    <row r="167" ht="15" customHeight="1" s="30">
      <c r="A167" s="36" t="n"/>
      <c r="B167" s="36" t="n"/>
      <c r="C167" s="36" t="n"/>
      <c r="D167" s="36" t="n"/>
      <c r="E167" s="38" t="n"/>
      <c r="F167" s="37" t="n"/>
    </row>
    <row r="168" ht="15" customHeight="1" s="30">
      <c r="A168" s="36" t="n"/>
      <c r="B168" s="36" t="n"/>
      <c r="C168" s="36" t="n"/>
      <c r="D168" s="36" t="n"/>
      <c r="E168" s="38" t="n"/>
      <c r="F168" s="37" t="n"/>
    </row>
    <row r="169" ht="15" customHeight="1" s="30">
      <c r="A169" s="36" t="n"/>
      <c r="B169" s="36" t="n"/>
      <c r="C169" s="36" t="n"/>
      <c r="D169" s="36" t="n"/>
      <c r="E169" s="38" t="n"/>
      <c r="F169" s="37" t="n"/>
    </row>
    <row r="170" ht="15" customHeight="1" s="30">
      <c r="A170" s="36" t="n"/>
      <c r="B170" s="36" t="n"/>
      <c r="C170" s="36" t="n"/>
      <c r="D170" s="36" t="n"/>
      <c r="E170" s="38" t="n"/>
      <c r="F170" s="37" t="n"/>
    </row>
    <row r="171" ht="15" customHeight="1" s="30">
      <c r="A171" s="36" t="n"/>
      <c r="B171" s="36" t="n"/>
      <c r="C171" s="36" t="n"/>
      <c r="D171" s="36" t="n"/>
      <c r="E171" s="38" t="n"/>
      <c r="F171" s="37" t="n"/>
    </row>
    <row r="172" ht="15" customHeight="1" s="30">
      <c r="A172" s="36" t="n"/>
      <c r="B172" s="36" t="n"/>
      <c r="C172" s="36" t="n"/>
      <c r="D172" s="36" t="n"/>
      <c r="E172" s="38" t="n"/>
      <c r="F172" s="37" t="n"/>
    </row>
    <row r="173" ht="15" customHeight="1" s="30">
      <c r="A173" s="36" t="n"/>
      <c r="B173" s="36" t="n"/>
      <c r="C173" s="36" t="n"/>
      <c r="D173" s="36" t="n"/>
      <c r="E173" s="38" t="n"/>
      <c r="F173" s="37" t="n"/>
    </row>
    <row r="174" ht="15" customHeight="1" s="30">
      <c r="A174" s="36" t="n"/>
      <c r="B174" s="36" t="n"/>
      <c r="C174" s="36" t="n"/>
      <c r="D174" s="36" t="n"/>
      <c r="E174" s="38" t="n"/>
      <c r="F174" s="37" t="n"/>
    </row>
    <row r="175" ht="15" customHeight="1" s="30">
      <c r="A175" s="36" t="n"/>
      <c r="B175" s="36" t="n"/>
      <c r="C175" s="36" t="n"/>
      <c r="D175" s="36" t="n"/>
      <c r="E175" s="38" t="n"/>
      <c r="F175" s="37" t="n"/>
    </row>
    <row r="176" ht="15" customHeight="1" s="30">
      <c r="A176" s="36" t="n"/>
      <c r="B176" s="36" t="n"/>
      <c r="C176" s="36" t="n"/>
      <c r="D176" s="36" t="n"/>
      <c r="E176" s="38" t="n"/>
      <c r="F176" s="37" t="n"/>
    </row>
    <row r="177" ht="15" customHeight="1" s="30">
      <c r="A177" s="36" t="n"/>
      <c r="B177" s="36" t="n"/>
      <c r="C177" s="36" t="n"/>
      <c r="D177" s="36" t="n"/>
      <c r="E177" s="38" t="n"/>
      <c r="F177" s="37" t="n"/>
    </row>
    <row r="178" ht="15" customHeight="1" s="30">
      <c r="A178" s="36" t="n"/>
      <c r="B178" s="36" t="n"/>
      <c r="C178" s="36" t="n"/>
      <c r="D178" s="36" t="n"/>
      <c r="E178" s="38" t="n"/>
      <c r="F178" s="37" t="n"/>
    </row>
    <row r="179" ht="15" customHeight="1" s="30">
      <c r="A179" s="36" t="n"/>
      <c r="B179" s="36" t="n"/>
      <c r="C179" s="36" t="n"/>
      <c r="D179" s="36" t="n"/>
      <c r="E179" s="38" t="n"/>
      <c r="F179" s="37" t="n"/>
    </row>
    <row r="180" ht="15" customHeight="1" s="30">
      <c r="A180" s="36" t="n"/>
      <c r="B180" s="36" t="n"/>
      <c r="C180" s="36" t="n"/>
      <c r="D180" s="36" t="n"/>
      <c r="E180" s="38" t="n"/>
      <c r="F180" s="37" t="n"/>
    </row>
    <row r="181" ht="15" customHeight="1" s="30">
      <c r="A181" s="36" t="n"/>
      <c r="B181" s="36" t="n"/>
      <c r="C181" s="36" t="n"/>
      <c r="D181" s="36" t="n"/>
      <c r="E181" s="38" t="n"/>
      <c r="F181" s="37" t="n"/>
    </row>
    <row r="182" ht="15" customHeight="1" s="30">
      <c r="A182" s="36" t="n"/>
      <c r="B182" s="36" t="n"/>
      <c r="C182" s="36" t="n"/>
      <c r="D182" s="36" t="n"/>
      <c r="E182" s="38" t="n"/>
      <c r="F182" s="37" t="n"/>
    </row>
    <row r="183" ht="15" customHeight="1" s="30">
      <c r="A183" s="36" t="n"/>
      <c r="B183" s="36" t="n"/>
      <c r="C183" s="36" t="n"/>
      <c r="D183" s="36" t="n"/>
      <c r="E183" s="38" t="n"/>
      <c r="F183" s="37" t="n"/>
    </row>
    <row r="184" ht="15" customHeight="1" s="30">
      <c r="A184" s="36" t="n"/>
      <c r="B184" s="36" t="n"/>
      <c r="C184" s="36" t="n"/>
      <c r="D184" s="36" t="n"/>
      <c r="E184" s="38" t="n"/>
      <c r="F184" s="37" t="n"/>
    </row>
    <row r="185" ht="15" customHeight="1" s="30">
      <c r="A185" s="36" t="n"/>
      <c r="B185" s="36" t="n"/>
      <c r="C185" s="36" t="n"/>
      <c r="D185" s="36" t="n"/>
      <c r="E185" s="38" t="n"/>
      <c r="F185" s="37" t="n"/>
    </row>
    <row r="186" ht="15" customHeight="1" s="30">
      <c r="A186" s="36" t="n"/>
      <c r="B186" s="36" t="n"/>
      <c r="C186" s="36" t="n"/>
      <c r="D186" s="36" t="n"/>
      <c r="E186" s="38" t="n"/>
      <c r="F186" s="37" t="n"/>
    </row>
    <row r="187" ht="15" customHeight="1" s="30">
      <c r="A187" s="36" t="n"/>
      <c r="B187" s="36" t="n"/>
      <c r="C187" s="36" t="n"/>
      <c r="D187" s="36" t="n"/>
      <c r="E187" s="38" t="n"/>
      <c r="F187" s="37" t="n"/>
    </row>
    <row r="188" ht="15" customHeight="1" s="30">
      <c r="A188" s="36" t="n"/>
      <c r="B188" s="36" t="n"/>
      <c r="C188" s="36" t="n"/>
      <c r="D188" s="36" t="n"/>
      <c r="E188" s="38" t="n"/>
      <c r="F188" s="37" t="n"/>
    </row>
    <row r="189" ht="15" customHeight="1" s="30">
      <c r="A189" s="36" t="n"/>
      <c r="B189" s="36" t="n"/>
      <c r="C189" s="36" t="n"/>
      <c r="D189" s="36" t="n"/>
      <c r="E189" s="38" t="n"/>
      <c r="F189" s="37" t="n"/>
    </row>
    <row r="190" ht="15" customHeight="1" s="30">
      <c r="A190" s="36" t="n"/>
      <c r="B190" s="36" t="n"/>
      <c r="C190" s="36" t="n"/>
      <c r="D190" s="36" t="n"/>
      <c r="E190" s="38" t="n"/>
      <c r="F190" s="37" t="n"/>
    </row>
    <row r="191" ht="15" customHeight="1" s="30">
      <c r="A191" s="36" t="n"/>
      <c r="B191" s="36" t="n"/>
      <c r="C191" s="36" t="n"/>
      <c r="D191" s="36" t="n"/>
      <c r="E191" s="38" t="n"/>
      <c r="F191" s="37" t="n"/>
    </row>
    <row r="192" ht="15" customHeight="1" s="30">
      <c r="A192" s="36" t="n"/>
      <c r="B192" s="36" t="n"/>
      <c r="C192" s="36" t="n"/>
      <c r="D192" s="36" t="n"/>
      <c r="E192" s="38" t="n"/>
      <c r="F192" s="37" t="n"/>
    </row>
    <row r="193" ht="15" customHeight="1" s="30">
      <c r="A193" s="36" t="n"/>
      <c r="B193" s="36" t="n"/>
      <c r="C193" s="36" t="n"/>
      <c r="D193" s="36" t="n"/>
      <c r="E193" s="38" t="n"/>
      <c r="F193" s="37" t="n"/>
    </row>
    <row r="194" ht="15" customHeight="1" s="30">
      <c r="A194" s="36" t="n"/>
      <c r="B194" s="36" t="n"/>
      <c r="C194" s="36" t="n"/>
      <c r="D194" s="36" t="n"/>
      <c r="E194" s="38" t="n"/>
      <c r="F194" s="37" t="n"/>
    </row>
    <row r="195" ht="15" customHeight="1" s="30">
      <c r="A195" s="36" t="n"/>
      <c r="B195" s="36" t="n"/>
      <c r="C195" s="36" t="n"/>
      <c r="D195" s="36" t="n"/>
      <c r="E195" s="38" t="n"/>
      <c r="F195" s="37" t="n"/>
    </row>
    <row r="196" ht="15" customHeight="1" s="30">
      <c r="A196" s="36" t="n"/>
      <c r="B196" s="36" t="n"/>
      <c r="C196" s="36" t="n"/>
      <c r="D196" s="36" t="n"/>
      <c r="E196" s="38" t="n"/>
      <c r="F196" s="37" t="n"/>
    </row>
    <row r="197" ht="15" customHeight="1" s="30">
      <c r="A197" s="36" t="n"/>
      <c r="B197" s="36" t="n"/>
      <c r="C197" s="36" t="n"/>
      <c r="D197" s="36" t="n"/>
      <c r="E197" s="38" t="n"/>
      <c r="F197" s="37" t="n"/>
    </row>
    <row r="198" ht="15" customHeight="1" s="30">
      <c r="A198" s="36" t="n"/>
      <c r="B198" s="36" t="n"/>
      <c r="C198" s="36" t="n"/>
      <c r="D198" s="36" t="n"/>
      <c r="E198" s="38" t="n"/>
      <c r="F198" s="37" t="n"/>
    </row>
    <row r="199" ht="15" customHeight="1" s="30">
      <c r="A199" s="36" t="n"/>
      <c r="B199" s="36" t="n"/>
      <c r="C199" s="36" t="n"/>
      <c r="D199" s="36" t="n"/>
      <c r="E199" s="38" t="n"/>
      <c r="F199" s="37" t="n"/>
    </row>
    <row r="200" ht="15" customHeight="1" s="30">
      <c r="A200" s="36" t="n"/>
      <c r="B200" s="36" t="n"/>
      <c r="C200" s="36" t="n"/>
      <c r="D200" s="36" t="n"/>
      <c r="E200" s="38" t="n"/>
      <c r="F200" s="37" t="n"/>
    </row>
    <row r="201" ht="15" customHeight="1" s="30">
      <c r="A201" s="36" t="n"/>
      <c r="B201" s="36" t="n"/>
      <c r="C201" s="36" t="n"/>
      <c r="D201" s="36" t="n"/>
      <c r="E201" s="38" t="n"/>
      <c r="F201" s="37" t="n"/>
    </row>
    <row r="202" ht="15" customHeight="1" s="30">
      <c r="A202" s="36" t="n"/>
      <c r="B202" s="36" t="n"/>
      <c r="C202" s="36" t="n"/>
      <c r="D202" s="36" t="n"/>
      <c r="E202" s="38" t="n"/>
      <c r="F202" s="37" t="n"/>
    </row>
    <row r="203" ht="15" customHeight="1" s="30">
      <c r="A203" s="36" t="n"/>
      <c r="B203" s="36" t="n"/>
      <c r="C203" s="36" t="n"/>
      <c r="D203" s="36" t="n"/>
      <c r="E203" s="38" t="n"/>
      <c r="F203" s="37" t="n"/>
    </row>
    <row r="204" ht="15" customHeight="1" s="30">
      <c r="A204" s="36" t="n"/>
      <c r="B204" s="36" t="n"/>
      <c r="C204" s="36" t="n"/>
      <c r="D204" s="36" t="n"/>
      <c r="E204" s="38" t="n"/>
      <c r="F204" s="37" t="n"/>
    </row>
    <row r="205" ht="15" customHeight="1" s="30">
      <c r="A205" s="36" t="n"/>
      <c r="B205" s="36" t="n"/>
      <c r="C205" s="36" t="n"/>
      <c r="D205" s="36" t="n"/>
      <c r="E205" s="38" t="n"/>
      <c r="F205" s="37" t="n"/>
    </row>
    <row r="206" ht="15" customHeight="1" s="30">
      <c r="A206" s="36" t="n"/>
      <c r="B206" s="36" t="n"/>
      <c r="C206" s="36" t="n"/>
      <c r="D206" s="36" t="n"/>
      <c r="E206" s="38" t="n"/>
      <c r="F206" s="37" t="n"/>
    </row>
    <row r="207" ht="15" customHeight="1" s="30">
      <c r="A207" s="36" t="n"/>
      <c r="B207" s="36" t="n"/>
      <c r="C207" s="36" t="n"/>
      <c r="D207" s="36" t="n"/>
      <c r="E207" s="38" t="n"/>
      <c r="F207" s="37" t="n"/>
    </row>
    <row r="208" ht="15" customHeight="1" s="30">
      <c r="A208" s="36" t="n"/>
      <c r="B208" s="36" t="n"/>
      <c r="C208" s="36" t="n"/>
      <c r="D208" s="36" t="n"/>
      <c r="E208" s="38" t="n"/>
      <c r="F208" s="37" t="n"/>
    </row>
    <row r="209" ht="15" customHeight="1" s="30">
      <c r="A209" s="36" t="n"/>
      <c r="B209" s="36" t="n"/>
      <c r="C209" s="36" t="n"/>
      <c r="D209" s="36" t="n"/>
      <c r="E209" s="38" t="n"/>
      <c r="F209" s="37" t="n"/>
    </row>
    <row r="210" ht="15" customHeight="1" s="30">
      <c r="A210" s="36" t="n"/>
      <c r="B210" s="36" t="n"/>
      <c r="C210" s="36" t="n"/>
      <c r="D210" s="36" t="n"/>
      <c r="E210" s="38" t="n"/>
      <c r="F210" s="37" t="n"/>
    </row>
    <row r="211" ht="15" customHeight="1" s="30">
      <c r="A211" s="36" t="n"/>
      <c r="B211" s="36" t="n"/>
      <c r="C211" s="36" t="n"/>
      <c r="D211" s="36" t="n"/>
      <c r="E211" s="38" t="n"/>
      <c r="F211" s="37" t="n"/>
    </row>
    <row r="212" ht="15" customHeight="1" s="30">
      <c r="A212" s="36" t="n"/>
      <c r="B212" s="36" t="n"/>
      <c r="C212" s="36" t="n"/>
      <c r="D212" s="36" t="n"/>
      <c r="E212" s="38" t="n"/>
      <c r="F212" s="37" t="n"/>
    </row>
    <row r="213" ht="15" customHeight="1" s="30">
      <c r="A213" s="36" t="n"/>
      <c r="B213" s="36" t="n"/>
      <c r="C213" s="36" t="n"/>
      <c r="D213" s="36" t="n"/>
      <c r="E213" s="38" t="n"/>
      <c r="F213" s="37" t="n"/>
    </row>
    <row r="214" ht="15" customHeight="1" s="30">
      <c r="A214" s="36" t="n"/>
      <c r="B214" s="36" t="n"/>
      <c r="C214" s="36" t="n"/>
      <c r="D214" s="36" t="n"/>
      <c r="E214" s="38" t="n"/>
      <c r="F214" s="37" t="n"/>
    </row>
    <row r="215" ht="15" customHeight="1" s="30">
      <c r="A215" s="36" t="n"/>
      <c r="B215" s="36" t="n"/>
      <c r="C215" s="36" t="n"/>
      <c r="D215" s="36" t="n"/>
      <c r="E215" s="38" t="n"/>
      <c r="F215" s="37" t="n"/>
    </row>
    <row r="216" ht="15" customHeight="1" s="30">
      <c r="A216" s="36" t="n"/>
      <c r="B216" s="36" t="n"/>
      <c r="C216" s="36" t="n"/>
      <c r="D216" s="36" t="n"/>
      <c r="E216" s="38" t="n"/>
      <c r="F216" s="37" t="n"/>
    </row>
    <row r="217" ht="15" customHeight="1" s="30">
      <c r="A217" s="36" t="n"/>
      <c r="B217" s="36" t="n"/>
      <c r="C217" s="36" t="n"/>
      <c r="D217" s="36" t="n"/>
      <c r="E217" s="38" t="n"/>
      <c r="F217" s="37" t="n"/>
    </row>
    <row r="218" ht="15" customHeight="1" s="30">
      <c r="A218" s="36" t="n"/>
      <c r="B218" s="36" t="n"/>
      <c r="C218" s="36" t="n"/>
      <c r="D218" s="36" t="n"/>
      <c r="E218" s="38" t="n"/>
      <c r="F218" s="37" t="n"/>
    </row>
    <row r="219" ht="15" customHeight="1" s="30">
      <c r="A219" s="36" t="n"/>
      <c r="B219" s="36" t="n"/>
      <c r="C219" s="36" t="n"/>
      <c r="D219" s="36" t="n"/>
      <c r="E219" s="38" t="n"/>
      <c r="F219" s="37" t="n"/>
    </row>
    <row r="220" ht="15" customHeight="1" s="30">
      <c r="A220" s="36" t="n"/>
      <c r="B220" s="36" t="n"/>
      <c r="C220" s="36" t="n"/>
      <c r="D220" s="36" t="n"/>
      <c r="E220" s="38" t="n"/>
      <c r="F220" s="37" t="n"/>
    </row>
    <row r="221" ht="15" customHeight="1" s="30">
      <c r="A221" s="36" t="n"/>
      <c r="B221" s="36" t="n"/>
      <c r="C221" s="36" t="n"/>
      <c r="D221" s="36" t="n"/>
      <c r="E221" s="38" t="n"/>
      <c r="F221" s="37" t="n"/>
    </row>
    <row r="222" ht="15" customHeight="1" s="30">
      <c r="A222" s="36" t="n"/>
      <c r="B222" s="36" t="n"/>
      <c r="C222" s="36" t="n"/>
      <c r="D222" s="36" t="n"/>
      <c r="E222" s="38" t="n"/>
      <c r="F222" s="37" t="n"/>
    </row>
    <row r="223" ht="15" customHeight="1" s="30">
      <c r="A223" s="36" t="n"/>
      <c r="B223" s="36" t="n"/>
      <c r="C223" s="36" t="n"/>
      <c r="D223" s="36" t="n"/>
      <c r="E223" s="38" t="n"/>
      <c r="F223" s="37" t="n"/>
    </row>
    <row r="224" ht="15" customHeight="1" s="30">
      <c r="A224" s="36" t="n"/>
      <c r="B224" s="36" t="n"/>
      <c r="C224" s="36" t="n"/>
      <c r="D224" s="36" t="n"/>
      <c r="E224" s="38" t="n"/>
      <c r="F224" s="37" t="n"/>
    </row>
    <row r="225" ht="15" customHeight="1" s="30">
      <c r="A225" s="36" t="n"/>
      <c r="B225" s="36" t="n"/>
      <c r="C225" s="36" t="n"/>
      <c r="D225" s="36" t="n"/>
      <c r="E225" s="38" t="n"/>
      <c r="F225" s="37" t="n"/>
    </row>
    <row r="226" ht="15" customHeight="1" s="30">
      <c r="A226" s="36" t="n"/>
      <c r="B226" s="36" t="n"/>
      <c r="C226" s="36" t="n"/>
      <c r="D226" s="36" t="n"/>
      <c r="E226" s="38" t="n"/>
      <c r="F226" s="37" t="n"/>
    </row>
    <row r="227" ht="15" customHeight="1" s="30">
      <c r="A227" s="36" t="n"/>
      <c r="B227" s="36" t="n"/>
      <c r="C227" s="36" t="n"/>
      <c r="D227" s="36" t="n"/>
      <c r="E227" s="38" t="n"/>
      <c r="F227" s="37" t="n"/>
    </row>
    <row r="228" ht="15" customHeight="1" s="30">
      <c r="A228" s="36" t="n"/>
      <c r="B228" s="36" t="n"/>
      <c r="C228" s="36" t="n"/>
      <c r="D228" s="36" t="n"/>
      <c r="E228" s="38" t="n"/>
      <c r="F228" s="37" t="n"/>
    </row>
    <row r="229" ht="15" customHeight="1" s="30">
      <c r="A229" s="36" t="n"/>
      <c r="B229" s="36" t="n"/>
      <c r="C229" s="36" t="n"/>
      <c r="D229" s="36" t="n"/>
      <c r="E229" s="38" t="n"/>
      <c r="F229" s="37" t="n"/>
    </row>
    <row r="230" ht="15" customHeight="1" s="30">
      <c r="A230" s="36" t="n"/>
      <c r="B230" s="36" t="n"/>
      <c r="C230" s="36" t="n"/>
      <c r="D230" s="36" t="n"/>
      <c r="E230" s="38" t="n"/>
      <c r="F230" s="37" t="n"/>
    </row>
    <row r="231" ht="15" customHeight="1" s="30">
      <c r="A231" s="36" t="n"/>
      <c r="B231" s="36" t="n"/>
      <c r="C231" s="36" t="n"/>
      <c r="D231" s="36" t="n"/>
      <c r="E231" s="38" t="n"/>
      <c r="F231" s="37" t="n"/>
    </row>
    <row r="232" ht="15" customHeight="1" s="30">
      <c r="A232" s="36" t="n"/>
      <c r="B232" s="36" t="n"/>
      <c r="C232" s="36" t="n"/>
      <c r="D232" s="36" t="n"/>
      <c r="E232" s="38" t="n"/>
      <c r="F232" s="37" t="n"/>
    </row>
    <row r="233" ht="15" customHeight="1" s="30">
      <c r="A233" s="36" t="n"/>
      <c r="B233" s="36" t="n"/>
      <c r="C233" s="36" t="n"/>
      <c r="D233" s="36" t="n"/>
      <c r="E233" s="38" t="n"/>
      <c r="F233" s="37" t="n"/>
    </row>
    <row r="234" ht="15" customHeight="1" s="30">
      <c r="A234" s="36" t="n"/>
      <c r="B234" s="36" t="n"/>
      <c r="C234" s="36" t="n"/>
      <c r="D234" s="36" t="n"/>
      <c r="E234" s="38" t="n"/>
      <c r="F234" s="37" t="n"/>
    </row>
    <row r="235" ht="15" customHeight="1" s="30">
      <c r="A235" s="36" t="n"/>
      <c r="B235" s="36" t="n"/>
      <c r="C235" s="36" t="n"/>
      <c r="D235" s="36" t="n"/>
      <c r="E235" s="38" t="n"/>
      <c r="F235" s="37" t="n"/>
    </row>
    <row r="236" ht="15" customHeight="1" s="30">
      <c r="A236" s="36" t="n"/>
      <c r="B236" s="36" t="n"/>
      <c r="C236" s="36" t="n"/>
      <c r="D236" s="36" t="n"/>
      <c r="E236" s="38" t="n"/>
      <c r="F236" s="37" t="n"/>
    </row>
    <row r="237" ht="15" customHeight="1" s="30">
      <c r="A237" s="36" t="n"/>
      <c r="B237" s="36" t="n"/>
      <c r="C237" s="36" t="n"/>
      <c r="D237" s="36" t="n"/>
      <c r="E237" s="38" t="n"/>
      <c r="F237" s="37" t="n"/>
    </row>
    <row r="238" ht="15" customHeight="1" s="30">
      <c r="A238" s="36" t="n"/>
      <c r="B238" s="36" t="n"/>
      <c r="C238" s="36" t="n"/>
      <c r="D238" s="36" t="n"/>
      <c r="E238" s="38" t="n"/>
      <c r="F238" s="37" t="n"/>
    </row>
    <row r="239" ht="15" customHeight="1" s="30">
      <c r="A239" s="36" t="n"/>
      <c r="B239" s="36" t="n"/>
      <c r="C239" s="36" t="n"/>
      <c r="D239" s="36" t="n"/>
      <c r="E239" s="38" t="n"/>
      <c r="F239" s="37" t="n"/>
    </row>
    <row r="240" ht="15" customHeight="1" s="30">
      <c r="A240" s="36" t="n"/>
      <c r="B240" s="36" t="n"/>
      <c r="C240" s="36" t="n"/>
      <c r="D240" s="36" t="n"/>
      <c r="E240" s="38" t="n"/>
      <c r="F240" s="37" t="n"/>
    </row>
    <row r="241" ht="15" customHeight="1" s="30">
      <c r="A241" s="36" t="n"/>
      <c r="B241" s="36" t="n"/>
      <c r="C241" s="36" t="n"/>
      <c r="D241" s="36" t="n"/>
      <c r="E241" s="38" t="n"/>
      <c r="F241" s="37" t="n"/>
    </row>
    <row r="242" ht="15" customHeight="1" s="30">
      <c r="A242" s="36" t="n"/>
      <c r="B242" s="36" t="n"/>
      <c r="C242" s="36" t="n"/>
      <c r="D242" s="36" t="n"/>
      <c r="E242" s="38" t="n"/>
      <c r="F242" s="37" t="n"/>
    </row>
    <row r="243" ht="15" customHeight="1" s="30">
      <c r="A243" s="36" t="n"/>
      <c r="B243" s="36" t="n"/>
      <c r="C243" s="36" t="n"/>
      <c r="D243" s="36" t="n"/>
      <c r="E243" s="38" t="n"/>
      <c r="F243" s="37" t="n"/>
    </row>
    <row r="244" ht="15" customHeight="1" s="30">
      <c r="A244" s="36" t="n"/>
      <c r="B244" s="36" t="n"/>
      <c r="C244" s="36" t="n"/>
      <c r="D244" s="36" t="n"/>
      <c r="E244" s="38" t="n"/>
      <c r="F244" s="37" t="n"/>
    </row>
    <row r="245" ht="15" customHeight="1" s="30">
      <c r="A245" s="36" t="n"/>
      <c r="B245" s="36" t="n"/>
      <c r="C245" s="36" t="n"/>
      <c r="D245" s="36" t="n"/>
      <c r="E245" s="38" t="n"/>
      <c r="F245" s="37" t="n"/>
    </row>
    <row r="246" ht="15" customHeight="1" s="30">
      <c r="A246" s="36" t="n"/>
      <c r="B246" s="36" t="n"/>
      <c r="C246" s="36" t="n"/>
      <c r="D246" s="36" t="n"/>
      <c r="E246" s="38" t="n"/>
      <c r="F246" s="37" t="n"/>
    </row>
    <row r="247" ht="15" customHeight="1" s="30">
      <c r="A247" s="36" t="n"/>
      <c r="B247" s="36" t="n"/>
      <c r="C247" s="36" t="n"/>
      <c r="D247" s="36" t="n"/>
      <c r="E247" s="38" t="n"/>
      <c r="F247" s="37" t="n"/>
    </row>
    <row r="248" ht="15" customHeight="1" s="30">
      <c r="A248" s="36" t="n"/>
      <c r="B248" s="36" t="n"/>
      <c r="C248" s="36" t="n"/>
      <c r="D248" s="36" t="n"/>
      <c r="E248" s="38" t="n"/>
      <c r="F248" s="37" t="n"/>
    </row>
    <row r="249" ht="15" customHeight="1" s="30">
      <c r="A249" s="36" t="n"/>
      <c r="B249" s="36" t="n"/>
      <c r="C249" s="36" t="n"/>
      <c r="D249" s="36" t="n"/>
      <c r="E249" s="38" t="n"/>
      <c r="F249" s="37" t="n"/>
    </row>
    <row r="250" ht="15" customHeight="1" s="30">
      <c r="A250" s="36" t="n"/>
      <c r="B250" s="36" t="n"/>
      <c r="C250" s="36" t="n"/>
      <c r="D250" s="36" t="n"/>
      <c r="E250" s="38" t="n"/>
      <c r="F250" s="37" t="n"/>
    </row>
    <row r="251" ht="15" customHeight="1" s="30">
      <c r="A251" s="36" t="n"/>
      <c r="B251" s="36" t="n"/>
      <c r="C251" s="36" t="n"/>
      <c r="D251" s="36" t="n"/>
      <c r="E251" s="38" t="n"/>
      <c r="F251" s="37" t="n"/>
    </row>
    <row r="252" ht="15" customHeight="1" s="30">
      <c r="A252" s="36" t="n"/>
      <c r="B252" s="36" t="n"/>
      <c r="C252" s="36" t="n"/>
      <c r="D252" s="36" t="n"/>
      <c r="E252" s="38" t="n"/>
      <c r="F252" s="37" t="n"/>
    </row>
    <row r="253" ht="15" customHeight="1" s="30">
      <c r="A253" s="36" t="n"/>
      <c r="B253" s="36" t="n"/>
      <c r="C253" s="36" t="n"/>
      <c r="D253" s="36" t="n"/>
      <c r="E253" s="38" t="n"/>
      <c r="F253" s="37" t="n"/>
    </row>
    <row r="254" ht="15" customHeight="1" s="30">
      <c r="A254" s="36" t="n"/>
      <c r="B254" s="36" t="n"/>
      <c r="C254" s="36" t="n"/>
      <c r="D254" s="36" t="n"/>
      <c r="E254" s="38" t="n"/>
      <c r="F254" s="37" t="n"/>
    </row>
    <row r="255" ht="15" customHeight="1" s="30">
      <c r="A255" s="36" t="n"/>
      <c r="B255" s="36" t="n"/>
      <c r="C255" s="36" t="n"/>
      <c r="D255" s="36" t="n"/>
      <c r="E255" s="38" t="n"/>
      <c r="F255" s="37" t="n"/>
    </row>
    <row r="256" ht="15" customHeight="1" s="30">
      <c r="A256" s="36" t="n"/>
      <c r="B256" s="36" t="n"/>
      <c r="C256" s="36" t="n"/>
      <c r="D256" s="36" t="n"/>
      <c r="E256" s="38" t="n"/>
      <c r="F256" s="37" t="n"/>
    </row>
    <row r="257" ht="15" customHeight="1" s="30">
      <c r="A257" s="36" t="n"/>
      <c r="B257" s="36" t="n"/>
      <c r="C257" s="36" t="n"/>
      <c r="D257" s="36" t="n"/>
      <c r="E257" s="38" t="n"/>
      <c r="F257" s="37" t="n"/>
    </row>
    <row r="258" ht="15" customHeight="1" s="30">
      <c r="A258" s="36" t="n"/>
      <c r="B258" s="36" t="n"/>
      <c r="C258" s="36" t="n"/>
      <c r="D258" s="36" t="n"/>
      <c r="E258" s="38" t="n"/>
      <c r="F258" s="37" t="n"/>
    </row>
    <row r="259" ht="15" customHeight="1" s="30">
      <c r="A259" s="36" t="n"/>
      <c r="B259" s="36" t="n"/>
      <c r="C259" s="36" t="n"/>
      <c r="D259" s="36" t="n"/>
      <c r="E259" s="38" t="n"/>
      <c r="F259" s="37" t="n"/>
    </row>
    <row r="260" ht="15" customHeight="1" s="30">
      <c r="A260" s="36" t="n"/>
      <c r="B260" s="36" t="n"/>
      <c r="C260" s="36" t="n"/>
      <c r="D260" s="36" t="n"/>
      <c r="E260" s="38" t="n"/>
      <c r="F260" s="37" t="n"/>
    </row>
    <row r="261" ht="15" customHeight="1" s="30">
      <c r="A261" s="36" t="n"/>
      <c r="B261" s="36" t="n"/>
      <c r="C261" s="36" t="n"/>
      <c r="D261" s="36" t="n"/>
      <c r="E261" s="38" t="n"/>
      <c r="F261" s="37" t="n"/>
    </row>
    <row r="262" ht="15" customHeight="1" s="30">
      <c r="A262" s="36" t="n"/>
      <c r="B262" s="36" t="n"/>
      <c r="C262" s="36" t="n"/>
      <c r="D262" s="36" t="n"/>
      <c r="E262" s="38" t="n"/>
      <c r="F262" s="37" t="n"/>
    </row>
    <row r="263" ht="15" customHeight="1" s="30">
      <c r="A263" s="36" t="n"/>
      <c r="B263" s="36" t="n"/>
      <c r="C263" s="36" t="n"/>
      <c r="D263" s="36" t="n"/>
      <c r="E263" s="38" t="n"/>
      <c r="F263" s="37" t="n"/>
    </row>
    <row r="264" ht="15" customHeight="1" s="30">
      <c r="A264" s="36" t="n"/>
      <c r="B264" s="36" t="n"/>
      <c r="C264" s="36" t="n"/>
      <c r="D264" s="36" t="n"/>
      <c r="E264" s="38" t="n"/>
      <c r="F264" s="37" t="n"/>
    </row>
    <row r="265" ht="15" customHeight="1" s="30">
      <c r="A265" s="36" t="n"/>
      <c r="B265" s="36" t="n"/>
      <c r="C265" s="36" t="n"/>
      <c r="D265" s="36" t="n"/>
      <c r="E265" s="38" t="n"/>
      <c r="F265" s="37" t="n"/>
    </row>
    <row r="266" ht="15" customHeight="1" s="30">
      <c r="A266" s="36" t="n"/>
      <c r="B266" s="36" t="n"/>
      <c r="C266" s="36" t="n"/>
      <c r="D266" s="36" t="n"/>
      <c r="E266" s="38" t="n"/>
      <c r="F266" s="37" t="n"/>
    </row>
    <row r="267" ht="15" customHeight="1" s="30">
      <c r="A267" s="36" t="n"/>
      <c r="B267" s="36" t="n"/>
      <c r="C267" s="36" t="n"/>
      <c r="D267" s="36" t="n"/>
      <c r="E267" s="38" t="n"/>
      <c r="F267" s="37" t="n"/>
    </row>
    <row r="268" ht="15" customHeight="1" s="30">
      <c r="A268" s="36" t="n"/>
      <c r="B268" s="36" t="n"/>
      <c r="C268" s="36" t="n"/>
      <c r="D268" s="36" t="n"/>
      <c r="E268" s="38" t="n"/>
      <c r="F268" s="37" t="n"/>
    </row>
    <row r="269" ht="15" customHeight="1" s="30">
      <c r="A269" s="36" t="n"/>
      <c r="B269" s="36" t="n"/>
      <c r="C269" s="36" t="n"/>
      <c r="D269" s="36" t="n"/>
      <c r="E269" s="38" t="n"/>
      <c r="F269" s="37" t="n"/>
    </row>
    <row r="270" ht="15" customHeight="1" s="30">
      <c r="A270" s="36" t="n"/>
      <c r="B270" s="36" t="n"/>
      <c r="C270" s="36" t="n"/>
      <c r="D270" s="36" t="n"/>
      <c r="E270" s="38" t="n"/>
      <c r="F270" s="37" t="n"/>
    </row>
    <row r="271" ht="15" customHeight="1" s="30">
      <c r="A271" s="36" t="n"/>
      <c r="B271" s="36" t="n"/>
      <c r="C271" s="36" t="n"/>
      <c r="D271" s="36" t="n"/>
      <c r="E271" s="38" t="n"/>
      <c r="F271" s="37" t="n"/>
    </row>
    <row r="272" ht="15" customHeight="1" s="30">
      <c r="A272" s="36" t="n"/>
      <c r="B272" s="36" t="n"/>
      <c r="C272" s="36" t="n"/>
      <c r="D272" s="36" t="n"/>
      <c r="E272" s="38" t="n"/>
      <c r="F272" s="37" t="n"/>
    </row>
    <row r="273" ht="15" customHeight="1" s="30">
      <c r="A273" s="36" t="n"/>
      <c r="B273" s="36" t="n"/>
      <c r="C273" s="36" t="n"/>
      <c r="D273" s="36" t="n"/>
      <c r="E273" s="38" t="n"/>
      <c r="F273" s="37" t="n"/>
    </row>
    <row r="274" ht="15" customHeight="1" s="30">
      <c r="A274" s="36" t="n"/>
      <c r="B274" s="36" t="n"/>
      <c r="C274" s="36" t="n"/>
      <c r="D274" s="36" t="n"/>
      <c r="E274" s="38" t="n"/>
      <c r="F274" s="37" t="n"/>
    </row>
    <row r="275" ht="15" customHeight="1" s="30">
      <c r="A275" s="36" t="n"/>
      <c r="B275" s="36" t="n"/>
      <c r="C275" s="36" t="n"/>
      <c r="D275" s="36" t="n"/>
      <c r="E275" s="38" t="n"/>
      <c r="F275" s="37" t="n"/>
    </row>
    <row r="276" ht="15" customHeight="1" s="30">
      <c r="A276" s="36" t="n"/>
      <c r="B276" s="36" t="n"/>
      <c r="C276" s="36" t="n"/>
      <c r="D276" s="36" t="n"/>
      <c r="E276" s="38" t="n"/>
      <c r="F276" s="37" t="n"/>
    </row>
    <row r="277" ht="15" customHeight="1" s="30">
      <c r="A277" s="36" t="n"/>
      <c r="B277" s="36" t="n"/>
      <c r="C277" s="36" t="n"/>
      <c r="D277" s="36" t="n"/>
      <c r="E277" s="38" t="n"/>
      <c r="F277" s="37" t="n"/>
    </row>
    <row r="278" ht="15" customHeight="1" s="30">
      <c r="A278" s="36" t="n"/>
      <c r="B278" s="36" t="n"/>
      <c r="C278" s="36" t="n"/>
      <c r="D278" s="36" t="n"/>
      <c r="E278" s="38" t="n"/>
      <c r="F278" s="37" t="n"/>
    </row>
    <row r="279" ht="15" customHeight="1" s="30">
      <c r="A279" s="36" t="n"/>
      <c r="B279" s="36" t="n"/>
      <c r="C279" s="36" t="n"/>
      <c r="D279" s="36" t="n"/>
      <c r="E279" s="38" t="n"/>
      <c r="F279" s="37" t="n"/>
    </row>
    <row r="280" ht="15" customHeight="1" s="30">
      <c r="A280" s="36" t="n"/>
      <c r="B280" s="36" t="n"/>
      <c r="C280" s="36" t="n"/>
      <c r="D280" s="36" t="n"/>
      <c r="E280" s="38" t="n"/>
      <c r="F280" s="37" t="n"/>
    </row>
    <row r="281" ht="15" customHeight="1" s="30">
      <c r="A281" s="36" t="n"/>
      <c r="B281" s="36" t="n"/>
      <c r="C281" s="36" t="n"/>
      <c r="D281" s="36" t="n"/>
      <c r="E281" s="38" t="n"/>
      <c r="F281" s="37" t="n"/>
    </row>
    <row r="282" ht="15" customHeight="1" s="30">
      <c r="A282" s="36" t="n"/>
      <c r="B282" s="36" t="n"/>
      <c r="C282" s="36" t="n"/>
      <c r="D282" s="36" t="n"/>
      <c r="E282" s="38" t="n"/>
      <c r="F282" s="37" t="n"/>
    </row>
    <row r="283" ht="15" customHeight="1" s="30">
      <c r="A283" s="36" t="n"/>
      <c r="B283" s="36" t="n"/>
      <c r="C283" s="36" t="n"/>
      <c r="D283" s="36" t="n"/>
      <c r="E283" s="38" t="n"/>
      <c r="F283" s="37" t="n"/>
    </row>
    <row r="284" ht="15" customHeight="1" s="30">
      <c r="A284" s="36" t="n"/>
      <c r="B284" s="36" t="n"/>
      <c r="C284" s="36" t="n"/>
      <c r="D284" s="36" t="n"/>
      <c r="E284" s="38" t="n"/>
      <c r="F284" s="37" t="n"/>
    </row>
    <row r="285" ht="15" customHeight="1" s="30">
      <c r="A285" s="36" t="n"/>
      <c r="B285" s="36" t="n"/>
      <c r="C285" s="36" t="n"/>
      <c r="D285" s="36" t="n"/>
      <c r="E285" s="38" t="n"/>
      <c r="F285" s="37" t="n"/>
    </row>
    <row r="286" ht="15" customHeight="1" s="30">
      <c r="A286" s="36" t="n"/>
      <c r="B286" s="36" t="n"/>
      <c r="C286" s="36" t="n"/>
      <c r="D286" s="36" t="n"/>
      <c r="E286" s="38" t="n"/>
      <c r="F286" s="37" t="n"/>
    </row>
    <row r="287" ht="15" customHeight="1" s="30">
      <c r="A287" s="36" t="n"/>
      <c r="B287" s="36" t="n"/>
      <c r="C287" s="36" t="n"/>
      <c r="D287" s="36" t="n"/>
      <c r="E287" s="38" t="n"/>
      <c r="F287" s="37" t="n"/>
    </row>
    <row r="288" ht="15" customHeight="1" s="30">
      <c r="A288" s="36" t="n"/>
      <c r="B288" s="36" t="n"/>
      <c r="C288" s="36" t="n"/>
      <c r="D288" s="36" t="n"/>
      <c r="E288" s="38" t="n"/>
      <c r="F288" s="37" t="n"/>
    </row>
    <row r="289" ht="15" customHeight="1" s="30">
      <c r="A289" s="36" t="n"/>
      <c r="B289" s="36" t="n"/>
      <c r="C289" s="36" t="n"/>
      <c r="D289" s="36" t="n"/>
      <c r="E289" s="38" t="n"/>
      <c r="F289" s="37" t="n"/>
    </row>
    <row r="290" ht="15" customHeight="1" s="30">
      <c r="A290" s="36" t="n"/>
      <c r="B290" s="36" t="n"/>
      <c r="C290" s="36" t="n"/>
      <c r="D290" s="36" t="n"/>
      <c r="E290" s="38" t="n"/>
      <c r="F290" s="37" t="n"/>
    </row>
    <row r="291" ht="15" customHeight="1" s="30">
      <c r="A291" s="36" t="n"/>
      <c r="B291" s="36" t="n"/>
      <c r="C291" s="36" t="n"/>
      <c r="D291" s="36" t="n"/>
      <c r="E291" s="38" t="n"/>
      <c r="F291" s="37" t="n"/>
    </row>
    <row r="292" ht="15" customHeight="1" s="30">
      <c r="A292" s="36" t="n"/>
      <c r="B292" s="36" t="n"/>
      <c r="C292" s="36" t="n"/>
      <c r="D292" s="36" t="n"/>
      <c r="E292" s="38" t="n"/>
      <c r="F292" s="37" t="n"/>
    </row>
    <row r="293" ht="15" customHeight="1" s="30">
      <c r="A293" s="36" t="n"/>
      <c r="B293" s="36" t="n"/>
      <c r="C293" s="36" t="n"/>
      <c r="D293" s="36" t="n"/>
      <c r="E293" s="38" t="n"/>
      <c r="F293" s="37" t="n"/>
    </row>
    <row r="294" ht="15" customHeight="1" s="30">
      <c r="A294" s="36" t="n"/>
      <c r="B294" s="36" t="n"/>
      <c r="C294" s="36" t="n"/>
      <c r="D294" s="36" t="n"/>
      <c r="E294" s="38" t="n"/>
      <c r="F294" s="37" t="n"/>
    </row>
    <row r="295" ht="15" customHeight="1" s="30">
      <c r="A295" s="36" t="n"/>
      <c r="B295" s="36" t="n"/>
      <c r="C295" s="36" t="n"/>
      <c r="D295" s="36" t="n"/>
      <c r="E295" s="38" t="n"/>
      <c r="F295" s="37" t="n"/>
    </row>
    <row r="296" ht="15" customHeight="1" s="30">
      <c r="A296" s="36" t="n"/>
      <c r="B296" s="36" t="n"/>
      <c r="C296" s="36" t="n"/>
      <c r="D296" s="36" t="n"/>
      <c r="E296" s="38" t="n"/>
      <c r="F296" s="37" t="n"/>
    </row>
    <row r="297" ht="15" customHeight="1" s="30">
      <c r="A297" s="36" t="n"/>
      <c r="B297" s="36" t="n"/>
      <c r="C297" s="36" t="n"/>
      <c r="D297" s="36" t="n"/>
      <c r="E297" s="38" t="n"/>
      <c r="F297" s="37" t="n"/>
    </row>
    <row r="298" ht="15" customHeight="1" s="30">
      <c r="A298" s="36" t="n"/>
      <c r="B298" s="36" t="n"/>
      <c r="C298" s="36" t="n"/>
      <c r="D298" s="36" t="n"/>
      <c r="E298" s="38" t="n"/>
      <c r="F298" s="37" t="n"/>
    </row>
    <row r="299" ht="15" customHeight="1" s="30">
      <c r="A299" s="36" t="n"/>
      <c r="B299" s="36" t="n"/>
      <c r="C299" s="36" t="n"/>
      <c r="D299" s="36" t="n"/>
      <c r="E299" s="38" t="n"/>
      <c r="F299" s="37" t="n"/>
    </row>
    <row r="300" ht="15" customHeight="1" s="30">
      <c r="A300" s="36" t="n"/>
      <c r="B300" s="36" t="n"/>
      <c r="C300" s="36" t="n"/>
      <c r="D300" s="36" t="n"/>
      <c r="E300" s="38" t="n"/>
      <c r="F300" s="37" t="n"/>
    </row>
    <row r="301" ht="15" customHeight="1" s="30">
      <c r="A301" s="36" t="n"/>
      <c r="B301" s="36" t="n"/>
      <c r="C301" s="36" t="n"/>
      <c r="D301" s="36" t="n"/>
      <c r="E301" s="38" t="n"/>
      <c r="F301" s="37" t="n"/>
    </row>
    <row r="302" ht="15" customHeight="1" s="30">
      <c r="A302" s="36" t="n"/>
      <c r="B302" s="36" t="n"/>
      <c r="C302" s="36" t="n"/>
      <c r="D302" s="36" t="n"/>
      <c r="E302" s="38" t="n"/>
      <c r="F302" s="37" t="n"/>
    </row>
  </sheetData>
  <mergeCells count="1">
    <mergeCell ref="A1:F1"/>
  </mergeCells>
  <dataValidations count="1">
    <dataValidation sqref="F3:F302" showDropDown="0" showInputMessage="0" showErrorMessage="0" allowBlank="1" type="list" errorStyle="stop" operator="between">
      <formula1>"낱개,세트"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30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zeroHeight="0" outlineLevelRow="0"/>
  <cols>
    <col width="14" customWidth="1" style="29" min="1" max="1"/>
    <col width="24" customWidth="1" style="29" min="2" max="2"/>
    <col width="14" customWidth="1" style="29" min="3" max="3"/>
    <col width="26" customWidth="1" style="29" min="4" max="4"/>
    <col width="13" customWidth="1" style="29" min="5" max="6"/>
    <col width="13" customWidth="1" style="30" min="6" max="6"/>
    <col width="20" customWidth="1" style="29" min="7" max="7"/>
  </cols>
  <sheetData>
    <row r="1" ht="25.5" customHeight="1" s="30">
      <c r="A1" s="31" t="inlineStr">
        <is>
          <t>세트구성  (세트 하나에 무엇이 몇 개 들어가는지)</t>
        </is>
      </c>
    </row>
    <row r="2" ht="15" customHeight="1" s="30">
      <c r="A2" s="35" t="inlineStr">
        <is>
          <t>세트품번</t>
        </is>
      </c>
      <c r="B2" s="39" t="inlineStr">
        <is>
          <t>세트명(자동)</t>
        </is>
      </c>
      <c r="C2" s="35" t="inlineStr">
        <is>
          <t>구성품번</t>
        </is>
      </c>
      <c r="D2" s="39" t="inlineStr">
        <is>
          <t>구성품명(자동)</t>
        </is>
      </c>
      <c r="E2" s="35" t="inlineStr">
        <is>
          <t>구성수량</t>
        </is>
      </c>
      <c r="F2" s="39" t="inlineStr">
        <is>
          <t>순번(자동)</t>
        </is>
      </c>
      <c r="G2" s="39" t="inlineStr">
        <is>
          <t>조회키(자동)</t>
        </is>
      </c>
    </row>
    <row r="3" ht="15" customHeight="1" s="30">
      <c r="A3" s="36" t="inlineStr">
        <is>
          <t>K001</t>
        </is>
      </c>
      <c r="B3" s="40" t="str">
        <f>IF($A3="","",IFERROR(INDEX(품목목록!$B$3:$B$302,MATCH($A3,품목목록!$A$3:$A$302,0)),"미등록"))</f>
        <v>선물세트 A</v>
      </c>
      <c r="C3" s="36" t="inlineStr">
        <is>
          <t>P001</t>
        </is>
      </c>
      <c r="D3" s="40" t="str">
        <f>IF($C3="","",IFERROR(INDEX(품목목록!$B$3:$B$302,MATCH($C3,품목목록!$A$3:$A$302,0)),"미등록"))</f>
        <v>홍삼즙 30포</v>
      </c>
      <c r="E3" s="41" t="n">
        <v>5</v>
      </c>
      <c r="F3" s="40" t="n">
        <f>IF($A3="","",COUNTIFS($A$3:$A3,$A3))</f>
        <v>1</v>
      </c>
      <c r="G3" s="40" t="str">
        <f>IF($A3="","",$A3&amp;"|"&amp;$F3)</f>
        <v>K001|1</v>
      </c>
    </row>
    <row r="4" ht="15" customHeight="1" s="30">
      <c r="A4" s="36" t="inlineStr">
        <is>
          <t>K001</t>
        </is>
      </c>
      <c r="B4" s="40" t="str">
        <f>IF($A4="","",IFERROR(INDEX(품목목록!$B$3:$B$302,MATCH($A4,품목목록!$A$3:$A$302,0)),"미등록"))</f>
        <v>선물세트 A</v>
      </c>
      <c r="C4" s="36" t="inlineStr">
        <is>
          <t>P002</t>
        </is>
      </c>
      <c r="D4" s="40" t="str">
        <f>IF($C4="","",IFERROR(INDEX(품목목록!$B$3:$B$302,MATCH($C4,품목목록!$A$3:$A$302,0)),"미등록"))</f>
        <v>홍삼정 240g</v>
      </c>
      <c r="E4" s="41" t="n">
        <v>1</v>
      </c>
      <c r="F4" s="40" t="n">
        <f>IF($A4="","",COUNTIFS($A$3:$A4,$A4))</f>
        <v>2</v>
      </c>
      <c r="G4" s="40" t="str">
        <f>IF($A4="","",$A4&amp;"|"&amp;$F4)</f>
        <v>K001|2</v>
      </c>
    </row>
    <row r="5" ht="15" customHeight="1" s="30">
      <c r="A5" s="36" t="inlineStr">
        <is>
          <t>K001</t>
        </is>
      </c>
      <c r="B5" s="40" t="str">
        <f>IF($A5="","",IFERROR(INDEX(품목목록!$B$3:$B$302,MATCH($A5,품목목록!$A$3:$A$302,0)),"미등록"))</f>
        <v>선물세트 A</v>
      </c>
      <c r="C5" s="36" t="inlineStr">
        <is>
          <t>P003</t>
        </is>
      </c>
      <c r="D5" s="40" t="str">
        <f>IF($C5="","",IFERROR(INDEX(품목목록!$B$3:$B$302,MATCH($C5,품목목록!$A$3:$A$302,0)),"미등록"))</f>
        <v>쇼핑백</v>
      </c>
      <c r="E5" s="41" t="n">
        <v>1</v>
      </c>
      <c r="F5" s="40" t="n">
        <f>IF($A5="","",COUNTIFS($A$3:$A5,$A5))</f>
        <v>3</v>
      </c>
      <c r="G5" s="40" t="str">
        <f>IF($A5="","",$A5&amp;"|"&amp;$F5)</f>
        <v>K001|3</v>
      </c>
    </row>
    <row r="6" ht="15" customHeight="1" s="30">
      <c r="A6" s="36" t="inlineStr">
        <is>
          <t>K002</t>
        </is>
      </c>
      <c r="B6" s="40" t="str">
        <f>IF($A6="","",IFERROR(INDEX(품목목록!$B$3:$B$302,MATCH($A6,품목목록!$A$3:$A$302,0)),"미등록"))</f>
        <v>선물세트 B</v>
      </c>
      <c r="C6" s="36" t="inlineStr">
        <is>
          <t>P001</t>
        </is>
      </c>
      <c r="D6" s="40" t="str">
        <f>IF($C6="","",IFERROR(INDEX(품목목록!$B$3:$B$302,MATCH($C6,품목목록!$A$3:$A$302,0)),"미등록"))</f>
        <v>홍삼즙 30포</v>
      </c>
      <c r="E6" s="41" t="n">
        <v>3</v>
      </c>
      <c r="F6" s="40" t="n">
        <f>IF($A6="","",COUNTIFS($A$3:$A6,$A6))</f>
        <v>1</v>
      </c>
      <c r="G6" s="40" t="str">
        <f>IF($A6="","",$A6&amp;"|"&amp;$F6)</f>
        <v>K002|1</v>
      </c>
    </row>
    <row r="7" ht="15" customHeight="1" s="30">
      <c r="A7" s="36" t="inlineStr">
        <is>
          <t>K002</t>
        </is>
      </c>
      <c r="B7" s="40" t="str">
        <f>IF($A7="","",IFERROR(INDEX(품목목록!$B$3:$B$302,MATCH($A7,품목목록!$A$3:$A$302,0)),"미등록"))</f>
        <v>선물세트 B</v>
      </c>
      <c r="C7" s="36" t="inlineStr">
        <is>
          <t>P002</t>
        </is>
      </c>
      <c r="D7" s="40" t="str">
        <f>IF($C7="","",IFERROR(INDEX(품목목록!$B$3:$B$302,MATCH($C7,품목목록!$A$3:$A$302,0)),"미등록"))</f>
        <v>홍삼정 240g</v>
      </c>
      <c r="E7" s="41" t="n">
        <v>2</v>
      </c>
      <c r="F7" s="40" t="n">
        <f>IF($A7="","",COUNTIFS($A$3:$A7,$A7))</f>
        <v>2</v>
      </c>
      <c r="G7" s="40" t="str">
        <f>IF($A7="","",$A7&amp;"|"&amp;$F7)</f>
        <v>K002|2</v>
      </c>
    </row>
    <row r="8" ht="15" customHeight="1" s="30">
      <c r="A8" s="36" t="inlineStr">
        <is>
          <t>K002</t>
        </is>
      </c>
      <c r="B8" s="40" t="str">
        <f>IF($A8="","",IFERROR(INDEX(품목목록!$B$3:$B$302,MATCH($A8,품목목록!$A$3:$A$302,0)),"미등록"))</f>
        <v>선물세트 B</v>
      </c>
      <c r="C8" s="36" t="inlineStr">
        <is>
          <t>P003</t>
        </is>
      </c>
      <c r="D8" s="40" t="str">
        <f>IF($C8="","",IFERROR(INDEX(품목목록!$B$3:$B$302,MATCH($C8,품목목록!$A$3:$A$302,0)),"미등록"))</f>
        <v>쇼핑백</v>
      </c>
      <c r="E8" s="41" t="n">
        <v>1</v>
      </c>
      <c r="F8" s="40" t="n">
        <f>IF($A8="","",COUNTIFS($A$3:$A8,$A8))</f>
        <v>3</v>
      </c>
      <c r="G8" s="40" t="str">
        <f>IF($A8="","",$A8&amp;"|"&amp;$F8)</f>
        <v>K002|3</v>
      </c>
    </row>
    <row r="9" ht="15" customHeight="1" s="30">
      <c r="A9" s="36" t="n"/>
      <c r="B9" s="40" t="str">
        <f>IF($A9="","",IFERROR(INDEX(품목목록!$B$3:$B$302,MATCH($A9,품목목록!$A$3:$A$302,0)),"미등록"))</f>
        <v/>
      </c>
      <c r="C9" s="36" t="n"/>
      <c r="D9" s="40" t="str">
        <f>IF($C9="","",IFERROR(INDEX(품목목록!$B$3:$B$302,MATCH($C9,품목목록!$A$3:$A$302,0)),"미등록"))</f>
        <v/>
      </c>
      <c r="E9" s="41" t="n"/>
      <c r="F9" s="40" t="str">
        <f>IF($A9="","",COUNTIFS($A$3:$A9,$A9))</f>
        <v/>
      </c>
      <c r="G9" s="40" t="str">
        <f>IF($A9="","",$A9&amp;"|"&amp;$F9)</f>
        <v/>
      </c>
    </row>
    <row r="10" ht="15" customHeight="1" s="30">
      <c r="A10" s="36" t="n"/>
      <c r="B10" s="40" t="str">
        <f>IF($A10="","",IFERROR(INDEX(품목목록!$B$3:$B$302,MATCH($A10,품목목록!$A$3:$A$302,0)),"미등록"))</f>
        <v/>
      </c>
      <c r="C10" s="36" t="n"/>
      <c r="D10" s="40" t="str">
        <f>IF($C10="","",IFERROR(INDEX(품목목록!$B$3:$B$302,MATCH($C10,품목목록!$A$3:$A$302,0)),"미등록"))</f>
        <v/>
      </c>
      <c r="E10" s="41" t="n"/>
      <c r="F10" s="40" t="str">
        <f>IF($A10="","",COUNTIFS($A$3:$A10,$A10))</f>
        <v/>
      </c>
      <c r="G10" s="40" t="str">
        <f>IF($A10="","",$A10&amp;"|"&amp;$F10)</f>
        <v/>
      </c>
    </row>
    <row r="11" ht="15" customHeight="1" s="30">
      <c r="A11" s="36" t="n"/>
      <c r="B11" s="40" t="str">
        <f>IF($A11="","",IFERROR(INDEX(품목목록!$B$3:$B$302,MATCH($A11,품목목록!$A$3:$A$302,0)),"미등록"))</f>
        <v/>
      </c>
      <c r="C11" s="36" t="n"/>
      <c r="D11" s="40" t="str">
        <f>IF($C11="","",IFERROR(INDEX(품목목록!$B$3:$B$302,MATCH($C11,품목목록!$A$3:$A$302,0)),"미등록"))</f>
        <v/>
      </c>
      <c r="E11" s="41" t="n"/>
      <c r="F11" s="40" t="str">
        <f>IF($A11="","",COUNTIFS($A$3:$A11,$A11))</f>
        <v/>
      </c>
      <c r="G11" s="40" t="str">
        <f>IF($A11="","",$A11&amp;"|"&amp;$F11)</f>
        <v/>
      </c>
    </row>
    <row r="12" ht="15" customHeight="1" s="30">
      <c r="A12" s="36" t="n"/>
      <c r="B12" s="40" t="str">
        <f>IF($A12="","",IFERROR(INDEX(품목목록!$B$3:$B$302,MATCH($A12,품목목록!$A$3:$A$302,0)),"미등록"))</f>
        <v/>
      </c>
      <c r="C12" s="36" t="n"/>
      <c r="D12" s="40" t="str">
        <f>IF($C12="","",IFERROR(INDEX(품목목록!$B$3:$B$302,MATCH($C12,품목목록!$A$3:$A$302,0)),"미등록"))</f>
        <v/>
      </c>
      <c r="E12" s="41" t="n"/>
      <c r="F12" s="40" t="str">
        <f>IF($A12="","",COUNTIFS($A$3:$A12,$A12))</f>
        <v/>
      </c>
      <c r="G12" s="40" t="str">
        <f>IF($A12="","",$A12&amp;"|"&amp;$F12)</f>
        <v/>
      </c>
    </row>
    <row r="13" ht="15" customHeight="1" s="30">
      <c r="A13" s="36" t="n"/>
      <c r="B13" s="40" t="str">
        <f>IF($A13="","",IFERROR(INDEX(품목목록!$B$3:$B$302,MATCH($A13,품목목록!$A$3:$A$302,0)),"미등록"))</f>
        <v/>
      </c>
      <c r="C13" s="36" t="n"/>
      <c r="D13" s="40" t="str">
        <f>IF($C13="","",IFERROR(INDEX(품목목록!$B$3:$B$302,MATCH($C13,품목목록!$A$3:$A$302,0)),"미등록"))</f>
        <v/>
      </c>
      <c r="E13" s="41" t="n"/>
      <c r="F13" s="40" t="str">
        <f>IF($A13="","",COUNTIFS($A$3:$A13,$A13))</f>
        <v/>
      </c>
      <c r="G13" s="40" t="str">
        <f>IF($A13="","",$A13&amp;"|"&amp;$F13)</f>
        <v/>
      </c>
    </row>
    <row r="14" ht="15" customHeight="1" s="30">
      <c r="A14" s="36" t="n"/>
      <c r="B14" s="40" t="str">
        <f>IF($A14="","",IFERROR(INDEX(품목목록!$B$3:$B$302,MATCH($A14,품목목록!$A$3:$A$302,0)),"미등록"))</f>
        <v/>
      </c>
      <c r="C14" s="36" t="n"/>
      <c r="D14" s="40" t="str">
        <f>IF($C14="","",IFERROR(INDEX(품목목록!$B$3:$B$302,MATCH($C14,품목목록!$A$3:$A$302,0)),"미등록"))</f>
        <v/>
      </c>
      <c r="E14" s="41" t="n"/>
      <c r="F14" s="40" t="str">
        <f>IF($A14="","",COUNTIFS($A$3:$A14,$A14))</f>
        <v/>
      </c>
      <c r="G14" s="40" t="str">
        <f>IF($A14="","",$A14&amp;"|"&amp;$F14)</f>
        <v/>
      </c>
    </row>
    <row r="15" ht="15" customHeight="1" s="30">
      <c r="A15" s="36" t="n"/>
      <c r="B15" s="40" t="str">
        <f>IF($A15="","",IFERROR(INDEX(품목목록!$B$3:$B$302,MATCH($A15,품목목록!$A$3:$A$302,0)),"미등록"))</f>
        <v/>
      </c>
      <c r="C15" s="36" t="n"/>
      <c r="D15" s="40" t="str">
        <f>IF($C15="","",IFERROR(INDEX(품목목록!$B$3:$B$302,MATCH($C15,품목목록!$A$3:$A$302,0)),"미등록"))</f>
        <v/>
      </c>
      <c r="E15" s="41" t="n"/>
      <c r="F15" s="40" t="str">
        <f>IF($A15="","",COUNTIFS($A$3:$A15,$A15))</f>
        <v/>
      </c>
      <c r="G15" s="40" t="str">
        <f>IF($A15="","",$A15&amp;"|"&amp;$F15)</f>
        <v/>
      </c>
    </row>
    <row r="16" ht="15" customHeight="1" s="30">
      <c r="A16" s="36" t="n"/>
      <c r="B16" s="40" t="str">
        <f>IF($A16="","",IFERROR(INDEX(품목목록!$B$3:$B$302,MATCH($A16,품목목록!$A$3:$A$302,0)),"미등록"))</f>
        <v/>
      </c>
      <c r="C16" s="36" t="n"/>
      <c r="D16" s="40" t="str">
        <f>IF($C16="","",IFERROR(INDEX(품목목록!$B$3:$B$302,MATCH($C16,품목목록!$A$3:$A$302,0)),"미등록"))</f>
        <v/>
      </c>
      <c r="E16" s="41" t="n"/>
      <c r="F16" s="40" t="str">
        <f>IF($A16="","",COUNTIFS($A$3:$A16,$A16))</f>
        <v/>
      </c>
      <c r="G16" s="40" t="str">
        <f>IF($A16="","",$A16&amp;"|"&amp;$F16)</f>
        <v/>
      </c>
    </row>
    <row r="17" ht="15" customHeight="1" s="30">
      <c r="A17" s="36" t="n"/>
      <c r="B17" s="40" t="str">
        <f>IF($A17="","",IFERROR(INDEX(품목목록!$B$3:$B$302,MATCH($A17,품목목록!$A$3:$A$302,0)),"미등록"))</f>
        <v/>
      </c>
      <c r="C17" s="36" t="n"/>
      <c r="D17" s="40" t="str">
        <f>IF($C17="","",IFERROR(INDEX(품목목록!$B$3:$B$302,MATCH($C17,품목목록!$A$3:$A$302,0)),"미등록"))</f>
        <v/>
      </c>
      <c r="E17" s="41" t="n"/>
      <c r="F17" s="40" t="str">
        <f>IF($A17="","",COUNTIFS($A$3:$A17,$A17))</f>
        <v/>
      </c>
      <c r="G17" s="40" t="str">
        <f>IF($A17="","",$A17&amp;"|"&amp;$F17)</f>
        <v/>
      </c>
    </row>
    <row r="18" ht="15" customHeight="1" s="30">
      <c r="A18" s="36" t="n"/>
      <c r="B18" s="40" t="str">
        <f>IF($A18="","",IFERROR(INDEX(품목목록!$B$3:$B$302,MATCH($A18,품목목록!$A$3:$A$302,0)),"미등록"))</f>
        <v/>
      </c>
      <c r="C18" s="36" t="n"/>
      <c r="D18" s="40" t="str">
        <f>IF($C18="","",IFERROR(INDEX(품목목록!$B$3:$B$302,MATCH($C18,품목목록!$A$3:$A$302,0)),"미등록"))</f>
        <v/>
      </c>
      <c r="E18" s="41" t="n"/>
      <c r="F18" s="40" t="str">
        <f>IF($A18="","",COUNTIFS($A$3:$A18,$A18))</f>
        <v/>
      </c>
      <c r="G18" s="40" t="str">
        <f>IF($A18="","",$A18&amp;"|"&amp;$F18)</f>
        <v/>
      </c>
    </row>
    <row r="19" ht="15" customHeight="1" s="30">
      <c r="A19" s="36" t="n"/>
      <c r="B19" s="40" t="str">
        <f>IF($A19="","",IFERROR(INDEX(품목목록!$B$3:$B$302,MATCH($A19,품목목록!$A$3:$A$302,0)),"미등록"))</f>
        <v/>
      </c>
      <c r="C19" s="36" t="n"/>
      <c r="D19" s="40" t="str">
        <f>IF($C19="","",IFERROR(INDEX(품목목록!$B$3:$B$302,MATCH($C19,품목목록!$A$3:$A$302,0)),"미등록"))</f>
        <v/>
      </c>
      <c r="E19" s="41" t="n"/>
      <c r="F19" s="40" t="str">
        <f>IF($A19="","",COUNTIFS($A$3:$A19,$A19))</f>
        <v/>
      </c>
      <c r="G19" s="40" t="str">
        <f>IF($A19="","",$A19&amp;"|"&amp;$F19)</f>
        <v/>
      </c>
    </row>
    <row r="20" ht="15" customHeight="1" s="30">
      <c r="A20" s="36" t="n"/>
      <c r="B20" s="40" t="str">
        <f>IF($A20="","",IFERROR(INDEX(품목목록!$B$3:$B$302,MATCH($A20,품목목록!$A$3:$A$302,0)),"미등록"))</f>
        <v/>
      </c>
      <c r="C20" s="36" t="n"/>
      <c r="D20" s="40" t="str">
        <f>IF($C20="","",IFERROR(INDEX(품목목록!$B$3:$B$302,MATCH($C20,품목목록!$A$3:$A$302,0)),"미등록"))</f>
        <v/>
      </c>
      <c r="E20" s="41" t="n"/>
      <c r="F20" s="40" t="str">
        <f>IF($A20="","",COUNTIFS($A$3:$A20,$A20))</f>
        <v/>
      </c>
      <c r="G20" s="40" t="str">
        <f>IF($A20="","",$A20&amp;"|"&amp;$F20)</f>
        <v/>
      </c>
    </row>
    <row r="21" ht="15" customHeight="1" s="30">
      <c r="A21" s="36" t="n"/>
      <c r="B21" s="40" t="str">
        <f>IF($A21="","",IFERROR(INDEX(품목목록!$B$3:$B$302,MATCH($A21,품목목록!$A$3:$A$302,0)),"미등록"))</f>
        <v/>
      </c>
      <c r="C21" s="36" t="n"/>
      <c r="D21" s="40" t="str">
        <f>IF($C21="","",IFERROR(INDEX(품목목록!$B$3:$B$302,MATCH($C21,품목목록!$A$3:$A$302,0)),"미등록"))</f>
        <v/>
      </c>
      <c r="E21" s="41" t="n"/>
      <c r="F21" s="40" t="str">
        <f>IF($A21="","",COUNTIFS($A$3:$A21,$A21))</f>
        <v/>
      </c>
      <c r="G21" s="40" t="str">
        <f>IF($A21="","",$A21&amp;"|"&amp;$F21)</f>
        <v/>
      </c>
    </row>
    <row r="22" ht="15" customHeight="1" s="30">
      <c r="A22" s="36" t="n"/>
      <c r="B22" s="40" t="str">
        <f>IF($A22="","",IFERROR(INDEX(품목목록!$B$3:$B$302,MATCH($A22,품목목록!$A$3:$A$302,0)),"미등록"))</f>
        <v/>
      </c>
      <c r="C22" s="36" t="n"/>
      <c r="D22" s="40" t="str">
        <f>IF($C22="","",IFERROR(INDEX(품목목록!$B$3:$B$302,MATCH($C22,품목목록!$A$3:$A$302,0)),"미등록"))</f>
        <v/>
      </c>
      <c r="E22" s="41" t="n"/>
      <c r="F22" s="40" t="str">
        <f>IF($A22="","",COUNTIFS($A$3:$A22,$A22))</f>
        <v/>
      </c>
      <c r="G22" s="40" t="str">
        <f>IF($A22="","",$A22&amp;"|"&amp;$F22)</f>
        <v/>
      </c>
    </row>
    <row r="23" ht="15" customHeight="1" s="30">
      <c r="A23" s="36" t="n"/>
      <c r="B23" s="40" t="str">
        <f>IF($A23="","",IFERROR(INDEX(품목목록!$B$3:$B$302,MATCH($A23,품목목록!$A$3:$A$302,0)),"미등록"))</f>
        <v/>
      </c>
      <c r="C23" s="36" t="n"/>
      <c r="D23" s="40" t="str">
        <f>IF($C23="","",IFERROR(INDEX(품목목록!$B$3:$B$302,MATCH($C23,품목목록!$A$3:$A$302,0)),"미등록"))</f>
        <v/>
      </c>
      <c r="E23" s="41" t="n"/>
      <c r="F23" s="40" t="str">
        <f>IF($A23="","",COUNTIFS($A$3:$A23,$A23))</f>
        <v/>
      </c>
      <c r="G23" s="40" t="str">
        <f>IF($A23="","",$A23&amp;"|"&amp;$F23)</f>
        <v/>
      </c>
    </row>
    <row r="24" ht="15" customHeight="1" s="30">
      <c r="A24" s="36" t="n"/>
      <c r="B24" s="40" t="str">
        <f>IF($A24="","",IFERROR(INDEX(품목목록!$B$3:$B$302,MATCH($A24,품목목록!$A$3:$A$302,0)),"미등록"))</f>
        <v/>
      </c>
      <c r="C24" s="36" t="n"/>
      <c r="D24" s="40" t="str">
        <f>IF($C24="","",IFERROR(INDEX(품목목록!$B$3:$B$302,MATCH($C24,품목목록!$A$3:$A$302,0)),"미등록"))</f>
        <v/>
      </c>
      <c r="E24" s="41" t="n"/>
      <c r="F24" s="40" t="str">
        <f>IF($A24="","",COUNTIFS($A$3:$A24,$A24))</f>
        <v/>
      </c>
      <c r="G24" s="40" t="str">
        <f>IF($A24="","",$A24&amp;"|"&amp;$F24)</f>
        <v/>
      </c>
    </row>
    <row r="25" ht="15" customHeight="1" s="30">
      <c r="A25" s="36" t="n"/>
      <c r="B25" s="40" t="str">
        <f>IF($A25="","",IFERROR(INDEX(품목목록!$B$3:$B$302,MATCH($A25,품목목록!$A$3:$A$302,0)),"미등록"))</f>
        <v/>
      </c>
      <c r="C25" s="36" t="n"/>
      <c r="D25" s="40" t="str">
        <f>IF($C25="","",IFERROR(INDEX(품목목록!$B$3:$B$302,MATCH($C25,품목목록!$A$3:$A$302,0)),"미등록"))</f>
        <v/>
      </c>
      <c r="E25" s="41" t="n"/>
      <c r="F25" s="40" t="str">
        <f>IF($A25="","",COUNTIFS($A$3:$A25,$A25))</f>
        <v/>
      </c>
      <c r="G25" s="40" t="str">
        <f>IF($A25="","",$A25&amp;"|"&amp;$F25)</f>
        <v/>
      </c>
    </row>
    <row r="26" ht="15" customHeight="1" s="30">
      <c r="A26" s="36" t="n"/>
      <c r="B26" s="40" t="str">
        <f>IF($A26="","",IFERROR(INDEX(품목목록!$B$3:$B$302,MATCH($A26,품목목록!$A$3:$A$302,0)),"미등록"))</f>
        <v/>
      </c>
      <c r="C26" s="36" t="n"/>
      <c r="D26" s="40" t="str">
        <f>IF($C26="","",IFERROR(INDEX(품목목록!$B$3:$B$302,MATCH($C26,품목목록!$A$3:$A$302,0)),"미등록"))</f>
        <v/>
      </c>
      <c r="E26" s="41" t="n"/>
      <c r="F26" s="40" t="str">
        <f>IF($A26="","",COUNTIFS($A$3:$A26,$A26))</f>
        <v/>
      </c>
      <c r="G26" s="40" t="str">
        <f>IF($A26="","",$A26&amp;"|"&amp;$F26)</f>
        <v/>
      </c>
    </row>
    <row r="27" ht="15" customHeight="1" s="30">
      <c r="A27" s="36" t="n"/>
      <c r="B27" s="40" t="str">
        <f>IF($A27="","",IFERROR(INDEX(품목목록!$B$3:$B$302,MATCH($A27,품목목록!$A$3:$A$302,0)),"미등록"))</f>
        <v/>
      </c>
      <c r="C27" s="36" t="n"/>
      <c r="D27" s="40" t="str">
        <f>IF($C27="","",IFERROR(INDEX(품목목록!$B$3:$B$302,MATCH($C27,품목목록!$A$3:$A$302,0)),"미등록"))</f>
        <v/>
      </c>
      <c r="E27" s="41" t="n"/>
      <c r="F27" s="40" t="str">
        <f>IF($A27="","",COUNTIFS($A$3:$A27,$A27))</f>
        <v/>
      </c>
      <c r="G27" s="40" t="str">
        <f>IF($A27="","",$A27&amp;"|"&amp;$F27)</f>
        <v/>
      </c>
    </row>
    <row r="28" ht="15" customHeight="1" s="30">
      <c r="A28" s="36" t="n"/>
      <c r="B28" s="40" t="str">
        <f>IF($A28="","",IFERROR(INDEX(품목목록!$B$3:$B$302,MATCH($A28,품목목록!$A$3:$A$302,0)),"미등록"))</f>
        <v/>
      </c>
      <c r="C28" s="36" t="n"/>
      <c r="D28" s="40" t="str">
        <f>IF($C28="","",IFERROR(INDEX(품목목록!$B$3:$B$302,MATCH($C28,품목목록!$A$3:$A$302,0)),"미등록"))</f>
        <v/>
      </c>
      <c r="E28" s="41" t="n"/>
      <c r="F28" s="40" t="str">
        <f>IF($A28="","",COUNTIFS($A$3:$A28,$A28))</f>
        <v/>
      </c>
      <c r="G28" s="40" t="str">
        <f>IF($A28="","",$A28&amp;"|"&amp;$F28)</f>
        <v/>
      </c>
    </row>
    <row r="29" ht="15" customHeight="1" s="30">
      <c r="A29" s="36" t="n"/>
      <c r="B29" s="40" t="str">
        <f>IF($A29="","",IFERROR(INDEX(품목목록!$B$3:$B$302,MATCH($A29,품목목록!$A$3:$A$302,0)),"미등록"))</f>
        <v/>
      </c>
      <c r="C29" s="36" t="n"/>
      <c r="D29" s="40" t="str">
        <f>IF($C29="","",IFERROR(INDEX(품목목록!$B$3:$B$302,MATCH($C29,품목목록!$A$3:$A$302,0)),"미등록"))</f>
        <v/>
      </c>
      <c r="E29" s="41" t="n"/>
      <c r="F29" s="40" t="str">
        <f>IF($A29="","",COUNTIFS($A$3:$A29,$A29))</f>
        <v/>
      </c>
      <c r="G29" s="40" t="str">
        <f>IF($A29="","",$A29&amp;"|"&amp;$F29)</f>
        <v/>
      </c>
    </row>
    <row r="30" ht="15" customHeight="1" s="30">
      <c r="A30" s="36" t="n"/>
      <c r="B30" s="40" t="str">
        <f>IF($A30="","",IFERROR(INDEX(품목목록!$B$3:$B$302,MATCH($A30,품목목록!$A$3:$A$302,0)),"미등록"))</f>
        <v/>
      </c>
      <c r="C30" s="36" t="n"/>
      <c r="D30" s="40" t="str">
        <f>IF($C30="","",IFERROR(INDEX(품목목록!$B$3:$B$302,MATCH($C30,품목목록!$A$3:$A$302,0)),"미등록"))</f>
        <v/>
      </c>
      <c r="E30" s="41" t="n"/>
      <c r="F30" s="40" t="str">
        <f>IF($A30="","",COUNTIFS($A$3:$A30,$A30))</f>
        <v/>
      </c>
      <c r="G30" s="40" t="str">
        <f>IF($A30="","",$A30&amp;"|"&amp;$F30)</f>
        <v/>
      </c>
    </row>
    <row r="31" ht="15" customHeight="1" s="30">
      <c r="A31" s="36" t="n"/>
      <c r="B31" s="40" t="str">
        <f>IF($A31="","",IFERROR(INDEX(품목목록!$B$3:$B$302,MATCH($A31,품목목록!$A$3:$A$302,0)),"미등록"))</f>
        <v/>
      </c>
      <c r="C31" s="36" t="n"/>
      <c r="D31" s="40" t="str">
        <f>IF($C31="","",IFERROR(INDEX(품목목록!$B$3:$B$302,MATCH($C31,품목목록!$A$3:$A$302,0)),"미등록"))</f>
        <v/>
      </c>
      <c r="E31" s="41" t="n"/>
      <c r="F31" s="40" t="str">
        <f>IF($A31="","",COUNTIFS($A$3:$A31,$A31))</f>
        <v/>
      </c>
      <c r="G31" s="40" t="str">
        <f>IF($A31="","",$A31&amp;"|"&amp;$F31)</f>
        <v/>
      </c>
    </row>
    <row r="32" ht="15" customHeight="1" s="30">
      <c r="A32" s="36" t="n"/>
      <c r="B32" s="40" t="str">
        <f>IF($A32="","",IFERROR(INDEX(품목목록!$B$3:$B$302,MATCH($A32,품목목록!$A$3:$A$302,0)),"미등록"))</f>
        <v/>
      </c>
      <c r="C32" s="36" t="n"/>
      <c r="D32" s="40" t="str">
        <f>IF($C32="","",IFERROR(INDEX(품목목록!$B$3:$B$302,MATCH($C32,품목목록!$A$3:$A$302,0)),"미등록"))</f>
        <v/>
      </c>
      <c r="E32" s="41" t="n"/>
      <c r="F32" s="40" t="str">
        <f>IF($A32="","",COUNTIFS($A$3:$A32,$A32))</f>
        <v/>
      </c>
      <c r="G32" s="40" t="str">
        <f>IF($A32="","",$A32&amp;"|"&amp;$F32)</f>
        <v/>
      </c>
    </row>
    <row r="33" ht="15" customHeight="1" s="30">
      <c r="A33" s="36" t="n"/>
      <c r="B33" s="40" t="str">
        <f>IF($A33="","",IFERROR(INDEX(품목목록!$B$3:$B$302,MATCH($A33,품목목록!$A$3:$A$302,0)),"미등록"))</f>
        <v/>
      </c>
      <c r="C33" s="36" t="n"/>
      <c r="D33" s="40" t="str">
        <f>IF($C33="","",IFERROR(INDEX(품목목록!$B$3:$B$302,MATCH($C33,품목목록!$A$3:$A$302,0)),"미등록"))</f>
        <v/>
      </c>
      <c r="E33" s="41" t="n"/>
      <c r="F33" s="40" t="str">
        <f>IF($A33="","",COUNTIFS($A$3:$A33,$A33))</f>
        <v/>
      </c>
      <c r="G33" s="40" t="str">
        <f>IF($A33="","",$A33&amp;"|"&amp;$F33)</f>
        <v/>
      </c>
    </row>
    <row r="34" ht="15" customHeight="1" s="30">
      <c r="A34" s="36" t="n"/>
      <c r="B34" s="40" t="str">
        <f>IF($A34="","",IFERROR(INDEX(품목목록!$B$3:$B$302,MATCH($A34,품목목록!$A$3:$A$302,0)),"미등록"))</f>
        <v/>
      </c>
      <c r="C34" s="36" t="n"/>
      <c r="D34" s="40" t="str">
        <f>IF($C34="","",IFERROR(INDEX(품목목록!$B$3:$B$302,MATCH($C34,품목목록!$A$3:$A$302,0)),"미등록"))</f>
        <v/>
      </c>
      <c r="E34" s="41" t="n"/>
      <c r="F34" s="40" t="str">
        <f>IF($A34="","",COUNTIFS($A$3:$A34,$A34))</f>
        <v/>
      </c>
      <c r="G34" s="40" t="str">
        <f>IF($A34="","",$A34&amp;"|"&amp;$F34)</f>
        <v/>
      </c>
    </row>
    <row r="35" ht="15" customHeight="1" s="30">
      <c r="A35" s="36" t="n"/>
      <c r="B35" s="40" t="str">
        <f>IF($A35="","",IFERROR(INDEX(품목목록!$B$3:$B$302,MATCH($A35,품목목록!$A$3:$A$302,0)),"미등록"))</f>
        <v/>
      </c>
      <c r="C35" s="36" t="n"/>
      <c r="D35" s="40" t="str">
        <f>IF($C35="","",IFERROR(INDEX(품목목록!$B$3:$B$302,MATCH($C35,품목목록!$A$3:$A$302,0)),"미등록"))</f>
        <v/>
      </c>
      <c r="E35" s="41" t="n"/>
      <c r="F35" s="40" t="str">
        <f>IF($A35="","",COUNTIFS($A$3:$A35,$A35))</f>
        <v/>
      </c>
      <c r="G35" s="40" t="str">
        <f>IF($A35="","",$A35&amp;"|"&amp;$F35)</f>
        <v/>
      </c>
    </row>
    <row r="36" ht="15" customHeight="1" s="30">
      <c r="A36" s="36" t="n"/>
      <c r="B36" s="40" t="str">
        <f>IF($A36="","",IFERROR(INDEX(품목목록!$B$3:$B$302,MATCH($A36,품목목록!$A$3:$A$302,0)),"미등록"))</f>
        <v/>
      </c>
      <c r="C36" s="36" t="n"/>
      <c r="D36" s="40" t="str">
        <f>IF($C36="","",IFERROR(INDEX(품목목록!$B$3:$B$302,MATCH($C36,품목목록!$A$3:$A$302,0)),"미등록"))</f>
        <v/>
      </c>
      <c r="E36" s="41" t="n"/>
      <c r="F36" s="40" t="str">
        <f>IF($A36="","",COUNTIFS($A$3:$A36,$A36))</f>
        <v/>
      </c>
      <c r="G36" s="40" t="str">
        <f>IF($A36="","",$A36&amp;"|"&amp;$F36)</f>
        <v/>
      </c>
    </row>
    <row r="37" ht="15" customHeight="1" s="30">
      <c r="A37" s="36" t="n"/>
      <c r="B37" s="40" t="str">
        <f>IF($A37="","",IFERROR(INDEX(품목목록!$B$3:$B$302,MATCH($A37,품목목록!$A$3:$A$302,0)),"미등록"))</f>
        <v/>
      </c>
      <c r="C37" s="36" t="n"/>
      <c r="D37" s="40" t="str">
        <f>IF($C37="","",IFERROR(INDEX(품목목록!$B$3:$B$302,MATCH($C37,품목목록!$A$3:$A$302,0)),"미등록"))</f>
        <v/>
      </c>
      <c r="E37" s="41" t="n"/>
      <c r="F37" s="40" t="str">
        <f>IF($A37="","",COUNTIFS($A$3:$A37,$A37))</f>
        <v/>
      </c>
      <c r="G37" s="40" t="str">
        <f>IF($A37="","",$A37&amp;"|"&amp;$F37)</f>
        <v/>
      </c>
    </row>
    <row r="38" ht="15" customHeight="1" s="30">
      <c r="A38" s="36" t="n"/>
      <c r="B38" s="40" t="str">
        <f>IF($A38="","",IFERROR(INDEX(품목목록!$B$3:$B$302,MATCH($A38,품목목록!$A$3:$A$302,0)),"미등록"))</f>
        <v/>
      </c>
      <c r="C38" s="36" t="n"/>
      <c r="D38" s="40" t="str">
        <f>IF($C38="","",IFERROR(INDEX(품목목록!$B$3:$B$302,MATCH($C38,품목목록!$A$3:$A$302,0)),"미등록"))</f>
        <v/>
      </c>
      <c r="E38" s="41" t="n"/>
      <c r="F38" s="40" t="str">
        <f>IF($A38="","",COUNTIFS($A$3:$A38,$A38))</f>
        <v/>
      </c>
      <c r="G38" s="40" t="str">
        <f>IF($A38="","",$A38&amp;"|"&amp;$F38)</f>
        <v/>
      </c>
    </row>
    <row r="39" ht="15" customHeight="1" s="30">
      <c r="A39" s="36" t="n"/>
      <c r="B39" s="40" t="str">
        <f>IF($A39="","",IFERROR(INDEX(품목목록!$B$3:$B$302,MATCH($A39,품목목록!$A$3:$A$302,0)),"미등록"))</f>
        <v/>
      </c>
      <c r="C39" s="36" t="n"/>
      <c r="D39" s="40" t="str">
        <f>IF($C39="","",IFERROR(INDEX(품목목록!$B$3:$B$302,MATCH($C39,품목목록!$A$3:$A$302,0)),"미등록"))</f>
        <v/>
      </c>
      <c r="E39" s="41" t="n"/>
      <c r="F39" s="40" t="str">
        <f>IF($A39="","",COUNTIFS($A$3:$A39,$A39))</f>
        <v/>
      </c>
      <c r="G39" s="40" t="str">
        <f>IF($A39="","",$A39&amp;"|"&amp;$F39)</f>
        <v/>
      </c>
    </row>
    <row r="40" ht="15" customHeight="1" s="30">
      <c r="A40" s="36" t="n"/>
      <c r="B40" s="40" t="str">
        <f>IF($A40="","",IFERROR(INDEX(품목목록!$B$3:$B$302,MATCH($A40,품목목록!$A$3:$A$302,0)),"미등록"))</f>
        <v/>
      </c>
      <c r="C40" s="36" t="n"/>
      <c r="D40" s="40" t="str">
        <f>IF($C40="","",IFERROR(INDEX(품목목록!$B$3:$B$302,MATCH($C40,품목목록!$A$3:$A$302,0)),"미등록"))</f>
        <v/>
      </c>
      <c r="E40" s="41" t="n"/>
      <c r="F40" s="40" t="str">
        <f>IF($A40="","",COUNTIFS($A$3:$A40,$A40))</f>
        <v/>
      </c>
      <c r="G40" s="40" t="str">
        <f>IF($A40="","",$A40&amp;"|"&amp;$F40)</f>
        <v/>
      </c>
    </row>
    <row r="41" ht="15" customHeight="1" s="30">
      <c r="A41" s="36" t="n"/>
      <c r="B41" s="40" t="str">
        <f>IF($A41="","",IFERROR(INDEX(품목목록!$B$3:$B$302,MATCH($A41,품목목록!$A$3:$A$302,0)),"미등록"))</f>
        <v/>
      </c>
      <c r="C41" s="36" t="n"/>
      <c r="D41" s="40" t="str">
        <f>IF($C41="","",IFERROR(INDEX(품목목록!$B$3:$B$302,MATCH($C41,품목목록!$A$3:$A$302,0)),"미등록"))</f>
        <v/>
      </c>
      <c r="E41" s="41" t="n"/>
      <c r="F41" s="40" t="str">
        <f>IF($A41="","",COUNTIFS($A$3:$A41,$A41))</f>
        <v/>
      </c>
      <c r="G41" s="40" t="str">
        <f>IF($A41="","",$A41&amp;"|"&amp;$F41)</f>
        <v/>
      </c>
    </row>
    <row r="42" ht="15" customHeight="1" s="30">
      <c r="A42" s="36" t="n"/>
      <c r="B42" s="40" t="str">
        <f>IF($A42="","",IFERROR(INDEX(품목목록!$B$3:$B$302,MATCH($A42,품목목록!$A$3:$A$302,0)),"미등록"))</f>
        <v/>
      </c>
      <c r="C42" s="36" t="n"/>
      <c r="D42" s="40" t="str">
        <f>IF($C42="","",IFERROR(INDEX(품목목록!$B$3:$B$302,MATCH($C42,품목목록!$A$3:$A$302,0)),"미등록"))</f>
        <v/>
      </c>
      <c r="E42" s="41" t="n"/>
      <c r="F42" s="40" t="str">
        <f>IF($A42="","",COUNTIFS($A$3:$A42,$A42))</f>
        <v/>
      </c>
      <c r="G42" s="40" t="str">
        <f>IF($A42="","",$A42&amp;"|"&amp;$F42)</f>
        <v/>
      </c>
    </row>
    <row r="43" ht="15" customHeight="1" s="30">
      <c r="A43" s="36" t="n"/>
      <c r="B43" s="40" t="str">
        <f>IF($A43="","",IFERROR(INDEX(품목목록!$B$3:$B$302,MATCH($A43,품목목록!$A$3:$A$302,0)),"미등록"))</f>
        <v/>
      </c>
      <c r="C43" s="36" t="n"/>
      <c r="D43" s="40" t="str">
        <f>IF($C43="","",IFERROR(INDEX(품목목록!$B$3:$B$302,MATCH($C43,품목목록!$A$3:$A$302,0)),"미등록"))</f>
        <v/>
      </c>
      <c r="E43" s="41" t="n"/>
      <c r="F43" s="40" t="str">
        <f>IF($A43="","",COUNTIFS($A$3:$A43,$A43))</f>
        <v/>
      </c>
      <c r="G43" s="40" t="str">
        <f>IF($A43="","",$A43&amp;"|"&amp;$F43)</f>
        <v/>
      </c>
    </row>
    <row r="44" ht="15" customHeight="1" s="30">
      <c r="A44" s="36" t="n"/>
      <c r="B44" s="40" t="str">
        <f>IF($A44="","",IFERROR(INDEX(품목목록!$B$3:$B$302,MATCH($A44,품목목록!$A$3:$A$302,0)),"미등록"))</f>
        <v/>
      </c>
      <c r="C44" s="36" t="n"/>
      <c r="D44" s="40" t="str">
        <f>IF($C44="","",IFERROR(INDEX(품목목록!$B$3:$B$302,MATCH($C44,품목목록!$A$3:$A$302,0)),"미등록"))</f>
        <v/>
      </c>
      <c r="E44" s="41" t="n"/>
      <c r="F44" s="40" t="str">
        <f>IF($A44="","",COUNTIFS($A$3:$A44,$A44))</f>
        <v/>
      </c>
      <c r="G44" s="40" t="str">
        <f>IF($A44="","",$A44&amp;"|"&amp;$F44)</f>
        <v/>
      </c>
    </row>
    <row r="45" ht="15" customHeight="1" s="30">
      <c r="A45" s="36" t="n"/>
      <c r="B45" s="40" t="str">
        <f>IF($A45="","",IFERROR(INDEX(품목목록!$B$3:$B$302,MATCH($A45,품목목록!$A$3:$A$302,0)),"미등록"))</f>
        <v/>
      </c>
      <c r="C45" s="36" t="n"/>
      <c r="D45" s="40" t="str">
        <f>IF($C45="","",IFERROR(INDEX(품목목록!$B$3:$B$302,MATCH($C45,품목목록!$A$3:$A$302,0)),"미등록"))</f>
        <v/>
      </c>
      <c r="E45" s="41" t="n"/>
      <c r="F45" s="40" t="str">
        <f>IF($A45="","",COUNTIFS($A$3:$A45,$A45))</f>
        <v/>
      </c>
      <c r="G45" s="40" t="str">
        <f>IF($A45="","",$A45&amp;"|"&amp;$F45)</f>
        <v/>
      </c>
    </row>
    <row r="46" ht="15" customHeight="1" s="30">
      <c r="A46" s="36" t="n"/>
      <c r="B46" s="40" t="str">
        <f>IF($A46="","",IFERROR(INDEX(품목목록!$B$3:$B$302,MATCH($A46,품목목록!$A$3:$A$302,0)),"미등록"))</f>
        <v/>
      </c>
      <c r="C46" s="36" t="n"/>
      <c r="D46" s="40" t="str">
        <f>IF($C46="","",IFERROR(INDEX(품목목록!$B$3:$B$302,MATCH($C46,품목목록!$A$3:$A$302,0)),"미등록"))</f>
        <v/>
      </c>
      <c r="E46" s="41" t="n"/>
      <c r="F46" s="40" t="str">
        <f>IF($A46="","",COUNTIFS($A$3:$A46,$A46))</f>
        <v/>
      </c>
      <c r="G46" s="40" t="str">
        <f>IF($A46="","",$A46&amp;"|"&amp;$F46)</f>
        <v/>
      </c>
    </row>
    <row r="47" ht="15" customHeight="1" s="30">
      <c r="A47" s="36" t="n"/>
      <c r="B47" s="40" t="str">
        <f>IF($A47="","",IFERROR(INDEX(품목목록!$B$3:$B$302,MATCH($A47,품목목록!$A$3:$A$302,0)),"미등록"))</f>
        <v/>
      </c>
      <c r="C47" s="36" t="n"/>
      <c r="D47" s="40" t="str">
        <f>IF($C47="","",IFERROR(INDEX(품목목록!$B$3:$B$302,MATCH($C47,품목목록!$A$3:$A$302,0)),"미등록"))</f>
        <v/>
      </c>
      <c r="E47" s="41" t="n"/>
      <c r="F47" s="40" t="str">
        <f>IF($A47="","",COUNTIFS($A$3:$A47,$A47))</f>
        <v/>
      </c>
      <c r="G47" s="40" t="str">
        <f>IF($A47="","",$A47&amp;"|"&amp;$F47)</f>
        <v/>
      </c>
    </row>
    <row r="48" ht="15" customHeight="1" s="30">
      <c r="A48" s="36" t="n"/>
      <c r="B48" s="40" t="str">
        <f>IF($A48="","",IFERROR(INDEX(품목목록!$B$3:$B$302,MATCH($A48,품목목록!$A$3:$A$302,0)),"미등록"))</f>
        <v/>
      </c>
      <c r="C48" s="36" t="n"/>
      <c r="D48" s="40" t="str">
        <f>IF($C48="","",IFERROR(INDEX(품목목록!$B$3:$B$302,MATCH($C48,품목목록!$A$3:$A$302,0)),"미등록"))</f>
        <v/>
      </c>
      <c r="E48" s="41" t="n"/>
      <c r="F48" s="40" t="str">
        <f>IF($A48="","",COUNTIFS($A$3:$A48,$A48))</f>
        <v/>
      </c>
      <c r="G48" s="40" t="str">
        <f>IF($A48="","",$A48&amp;"|"&amp;$F48)</f>
        <v/>
      </c>
    </row>
    <row r="49" ht="15" customHeight="1" s="30">
      <c r="A49" s="36" t="n"/>
      <c r="B49" s="40" t="str">
        <f>IF($A49="","",IFERROR(INDEX(품목목록!$B$3:$B$302,MATCH($A49,품목목록!$A$3:$A$302,0)),"미등록"))</f>
        <v/>
      </c>
      <c r="C49" s="36" t="n"/>
      <c r="D49" s="40" t="str">
        <f>IF($C49="","",IFERROR(INDEX(품목목록!$B$3:$B$302,MATCH($C49,품목목록!$A$3:$A$302,0)),"미등록"))</f>
        <v/>
      </c>
      <c r="E49" s="41" t="n"/>
      <c r="F49" s="40" t="str">
        <f>IF($A49="","",COUNTIFS($A$3:$A49,$A49))</f>
        <v/>
      </c>
      <c r="G49" s="40" t="str">
        <f>IF($A49="","",$A49&amp;"|"&amp;$F49)</f>
        <v/>
      </c>
    </row>
    <row r="50" ht="15" customHeight="1" s="30">
      <c r="A50" s="36" t="n"/>
      <c r="B50" s="40" t="str">
        <f>IF($A50="","",IFERROR(INDEX(품목목록!$B$3:$B$302,MATCH($A50,품목목록!$A$3:$A$302,0)),"미등록"))</f>
        <v/>
      </c>
      <c r="C50" s="36" t="n"/>
      <c r="D50" s="40" t="str">
        <f>IF($C50="","",IFERROR(INDEX(품목목록!$B$3:$B$302,MATCH($C50,품목목록!$A$3:$A$302,0)),"미등록"))</f>
        <v/>
      </c>
      <c r="E50" s="41" t="n"/>
      <c r="F50" s="40" t="str">
        <f>IF($A50="","",COUNTIFS($A$3:$A50,$A50))</f>
        <v/>
      </c>
      <c r="G50" s="40" t="str">
        <f>IF($A50="","",$A50&amp;"|"&amp;$F50)</f>
        <v/>
      </c>
    </row>
    <row r="51" ht="15" customHeight="1" s="30">
      <c r="A51" s="36" t="n"/>
      <c r="B51" s="40" t="str">
        <f>IF($A51="","",IFERROR(INDEX(품목목록!$B$3:$B$302,MATCH($A51,품목목록!$A$3:$A$302,0)),"미등록"))</f>
        <v/>
      </c>
      <c r="C51" s="36" t="n"/>
      <c r="D51" s="40" t="str">
        <f>IF($C51="","",IFERROR(INDEX(품목목록!$B$3:$B$302,MATCH($C51,품목목록!$A$3:$A$302,0)),"미등록"))</f>
        <v/>
      </c>
      <c r="E51" s="41" t="n"/>
      <c r="F51" s="40" t="str">
        <f>IF($A51="","",COUNTIFS($A$3:$A51,$A51))</f>
        <v/>
      </c>
      <c r="G51" s="40" t="str">
        <f>IF($A51="","",$A51&amp;"|"&amp;$F51)</f>
        <v/>
      </c>
    </row>
    <row r="52" ht="15" customHeight="1" s="30">
      <c r="A52" s="36" t="n"/>
      <c r="B52" s="40" t="str">
        <f>IF($A52="","",IFERROR(INDEX(품목목록!$B$3:$B$302,MATCH($A52,품목목록!$A$3:$A$302,0)),"미등록"))</f>
        <v/>
      </c>
      <c r="C52" s="36" t="n"/>
      <c r="D52" s="40" t="str">
        <f>IF($C52="","",IFERROR(INDEX(품목목록!$B$3:$B$302,MATCH($C52,품목목록!$A$3:$A$302,0)),"미등록"))</f>
        <v/>
      </c>
      <c r="E52" s="41" t="n"/>
      <c r="F52" s="40" t="str">
        <f>IF($A52="","",COUNTIFS($A$3:$A52,$A52))</f>
        <v/>
      </c>
      <c r="G52" s="40" t="str">
        <f>IF($A52="","",$A52&amp;"|"&amp;$F52)</f>
        <v/>
      </c>
    </row>
    <row r="53" ht="15" customHeight="1" s="30">
      <c r="A53" s="36" t="n"/>
      <c r="B53" s="40" t="str">
        <f>IF($A53="","",IFERROR(INDEX(품목목록!$B$3:$B$302,MATCH($A53,품목목록!$A$3:$A$302,0)),"미등록"))</f>
        <v/>
      </c>
      <c r="C53" s="36" t="n"/>
      <c r="D53" s="40" t="str">
        <f>IF($C53="","",IFERROR(INDEX(품목목록!$B$3:$B$302,MATCH($C53,품목목록!$A$3:$A$302,0)),"미등록"))</f>
        <v/>
      </c>
      <c r="E53" s="41" t="n"/>
      <c r="F53" s="40" t="str">
        <f>IF($A53="","",COUNTIFS($A$3:$A53,$A53))</f>
        <v/>
      </c>
      <c r="G53" s="40" t="str">
        <f>IF($A53="","",$A53&amp;"|"&amp;$F53)</f>
        <v/>
      </c>
    </row>
    <row r="54" ht="15" customHeight="1" s="30">
      <c r="A54" s="36" t="n"/>
      <c r="B54" s="40" t="str">
        <f>IF($A54="","",IFERROR(INDEX(품목목록!$B$3:$B$302,MATCH($A54,품목목록!$A$3:$A$302,0)),"미등록"))</f>
        <v/>
      </c>
      <c r="C54" s="36" t="n"/>
      <c r="D54" s="40" t="str">
        <f>IF($C54="","",IFERROR(INDEX(품목목록!$B$3:$B$302,MATCH($C54,품목목록!$A$3:$A$302,0)),"미등록"))</f>
        <v/>
      </c>
      <c r="E54" s="41" t="n"/>
      <c r="F54" s="40" t="str">
        <f>IF($A54="","",COUNTIFS($A$3:$A54,$A54))</f>
        <v/>
      </c>
      <c r="G54" s="40" t="str">
        <f>IF($A54="","",$A54&amp;"|"&amp;$F54)</f>
        <v/>
      </c>
    </row>
    <row r="55" ht="15" customHeight="1" s="30">
      <c r="A55" s="36" t="n"/>
      <c r="B55" s="40" t="str">
        <f>IF($A55="","",IFERROR(INDEX(품목목록!$B$3:$B$302,MATCH($A55,품목목록!$A$3:$A$302,0)),"미등록"))</f>
        <v/>
      </c>
      <c r="C55" s="36" t="n"/>
      <c r="D55" s="40" t="str">
        <f>IF($C55="","",IFERROR(INDEX(품목목록!$B$3:$B$302,MATCH($C55,품목목록!$A$3:$A$302,0)),"미등록"))</f>
        <v/>
      </c>
      <c r="E55" s="41" t="n"/>
      <c r="F55" s="40" t="str">
        <f>IF($A55="","",COUNTIFS($A$3:$A55,$A55))</f>
        <v/>
      </c>
      <c r="G55" s="40" t="str">
        <f>IF($A55="","",$A55&amp;"|"&amp;$F55)</f>
        <v/>
      </c>
    </row>
    <row r="56" ht="15" customHeight="1" s="30">
      <c r="A56" s="36" t="n"/>
      <c r="B56" s="40" t="str">
        <f>IF($A56="","",IFERROR(INDEX(품목목록!$B$3:$B$302,MATCH($A56,품목목록!$A$3:$A$302,0)),"미등록"))</f>
        <v/>
      </c>
      <c r="C56" s="36" t="n"/>
      <c r="D56" s="40" t="str">
        <f>IF($C56="","",IFERROR(INDEX(품목목록!$B$3:$B$302,MATCH($C56,품목목록!$A$3:$A$302,0)),"미등록"))</f>
        <v/>
      </c>
      <c r="E56" s="41" t="n"/>
      <c r="F56" s="40" t="str">
        <f>IF($A56="","",COUNTIFS($A$3:$A56,$A56))</f>
        <v/>
      </c>
      <c r="G56" s="40" t="str">
        <f>IF($A56="","",$A56&amp;"|"&amp;$F56)</f>
        <v/>
      </c>
    </row>
    <row r="57" ht="15" customHeight="1" s="30">
      <c r="A57" s="36" t="n"/>
      <c r="B57" s="40" t="str">
        <f>IF($A57="","",IFERROR(INDEX(품목목록!$B$3:$B$302,MATCH($A57,품목목록!$A$3:$A$302,0)),"미등록"))</f>
        <v/>
      </c>
      <c r="C57" s="36" t="n"/>
      <c r="D57" s="40" t="str">
        <f>IF($C57="","",IFERROR(INDEX(품목목록!$B$3:$B$302,MATCH($C57,품목목록!$A$3:$A$302,0)),"미등록"))</f>
        <v/>
      </c>
      <c r="E57" s="41" t="n"/>
      <c r="F57" s="40" t="str">
        <f>IF($A57="","",COUNTIFS($A$3:$A57,$A57))</f>
        <v/>
      </c>
      <c r="G57" s="40" t="str">
        <f>IF($A57="","",$A57&amp;"|"&amp;$F57)</f>
        <v/>
      </c>
    </row>
    <row r="58" ht="15" customHeight="1" s="30">
      <c r="A58" s="36" t="n"/>
      <c r="B58" s="40" t="str">
        <f>IF($A58="","",IFERROR(INDEX(품목목록!$B$3:$B$302,MATCH($A58,품목목록!$A$3:$A$302,0)),"미등록"))</f>
        <v/>
      </c>
      <c r="C58" s="36" t="n"/>
      <c r="D58" s="40" t="str">
        <f>IF($C58="","",IFERROR(INDEX(품목목록!$B$3:$B$302,MATCH($C58,품목목록!$A$3:$A$302,0)),"미등록"))</f>
        <v/>
      </c>
      <c r="E58" s="41" t="n"/>
      <c r="F58" s="40" t="str">
        <f>IF($A58="","",COUNTIFS($A$3:$A58,$A58))</f>
        <v/>
      </c>
      <c r="G58" s="40" t="str">
        <f>IF($A58="","",$A58&amp;"|"&amp;$F58)</f>
        <v/>
      </c>
    </row>
    <row r="59" ht="15" customHeight="1" s="30">
      <c r="A59" s="36" t="n"/>
      <c r="B59" s="40" t="str">
        <f>IF($A59="","",IFERROR(INDEX(품목목록!$B$3:$B$302,MATCH($A59,품목목록!$A$3:$A$302,0)),"미등록"))</f>
        <v/>
      </c>
      <c r="C59" s="36" t="n"/>
      <c r="D59" s="40" t="str">
        <f>IF($C59="","",IFERROR(INDEX(품목목록!$B$3:$B$302,MATCH($C59,품목목록!$A$3:$A$302,0)),"미등록"))</f>
        <v/>
      </c>
      <c r="E59" s="41" t="n"/>
      <c r="F59" s="40" t="str">
        <f>IF($A59="","",COUNTIFS($A$3:$A59,$A59))</f>
        <v/>
      </c>
      <c r="G59" s="40" t="str">
        <f>IF($A59="","",$A59&amp;"|"&amp;$F59)</f>
        <v/>
      </c>
    </row>
    <row r="60" ht="15" customHeight="1" s="30">
      <c r="A60" s="36" t="n"/>
      <c r="B60" s="40" t="str">
        <f>IF($A60="","",IFERROR(INDEX(품목목록!$B$3:$B$302,MATCH($A60,품목목록!$A$3:$A$302,0)),"미등록"))</f>
        <v/>
      </c>
      <c r="C60" s="36" t="n"/>
      <c r="D60" s="40" t="str">
        <f>IF($C60="","",IFERROR(INDEX(품목목록!$B$3:$B$302,MATCH($C60,품목목록!$A$3:$A$302,0)),"미등록"))</f>
        <v/>
      </c>
      <c r="E60" s="41" t="n"/>
      <c r="F60" s="40" t="str">
        <f>IF($A60="","",COUNTIFS($A$3:$A60,$A60))</f>
        <v/>
      </c>
      <c r="G60" s="40" t="str">
        <f>IF($A60="","",$A60&amp;"|"&amp;$F60)</f>
        <v/>
      </c>
    </row>
    <row r="61" ht="15" customHeight="1" s="30">
      <c r="A61" s="36" t="n"/>
      <c r="B61" s="40" t="str">
        <f>IF($A61="","",IFERROR(INDEX(품목목록!$B$3:$B$302,MATCH($A61,품목목록!$A$3:$A$302,0)),"미등록"))</f>
        <v/>
      </c>
      <c r="C61" s="36" t="n"/>
      <c r="D61" s="40" t="str">
        <f>IF($C61="","",IFERROR(INDEX(품목목록!$B$3:$B$302,MATCH($C61,품목목록!$A$3:$A$302,0)),"미등록"))</f>
        <v/>
      </c>
      <c r="E61" s="41" t="n"/>
      <c r="F61" s="40" t="str">
        <f>IF($A61="","",COUNTIFS($A$3:$A61,$A61))</f>
        <v/>
      </c>
      <c r="G61" s="40" t="str">
        <f>IF($A61="","",$A61&amp;"|"&amp;$F61)</f>
        <v/>
      </c>
    </row>
    <row r="62" ht="15" customHeight="1" s="30">
      <c r="A62" s="36" t="n"/>
      <c r="B62" s="40" t="str">
        <f>IF($A62="","",IFERROR(INDEX(품목목록!$B$3:$B$302,MATCH($A62,품목목록!$A$3:$A$302,0)),"미등록"))</f>
        <v/>
      </c>
      <c r="C62" s="36" t="n"/>
      <c r="D62" s="40" t="str">
        <f>IF($C62="","",IFERROR(INDEX(품목목록!$B$3:$B$302,MATCH($C62,품목목록!$A$3:$A$302,0)),"미등록"))</f>
        <v/>
      </c>
      <c r="E62" s="41" t="n"/>
      <c r="F62" s="40" t="str">
        <f>IF($A62="","",COUNTIFS($A$3:$A62,$A62))</f>
        <v/>
      </c>
      <c r="G62" s="40" t="str">
        <f>IF($A62="","",$A62&amp;"|"&amp;$F62)</f>
        <v/>
      </c>
    </row>
    <row r="63" ht="15" customHeight="1" s="30">
      <c r="A63" s="36" t="n"/>
      <c r="B63" s="40" t="str">
        <f>IF($A63="","",IFERROR(INDEX(품목목록!$B$3:$B$302,MATCH($A63,품목목록!$A$3:$A$302,0)),"미등록"))</f>
        <v/>
      </c>
      <c r="C63" s="36" t="n"/>
      <c r="D63" s="40" t="str">
        <f>IF($C63="","",IFERROR(INDEX(품목목록!$B$3:$B$302,MATCH($C63,품목목록!$A$3:$A$302,0)),"미등록"))</f>
        <v/>
      </c>
      <c r="E63" s="41" t="n"/>
      <c r="F63" s="40" t="str">
        <f>IF($A63="","",COUNTIFS($A$3:$A63,$A63))</f>
        <v/>
      </c>
      <c r="G63" s="40" t="str">
        <f>IF($A63="","",$A63&amp;"|"&amp;$F63)</f>
        <v/>
      </c>
    </row>
    <row r="64" ht="15" customHeight="1" s="30">
      <c r="A64" s="36" t="n"/>
      <c r="B64" s="40" t="str">
        <f>IF($A64="","",IFERROR(INDEX(품목목록!$B$3:$B$302,MATCH($A64,품목목록!$A$3:$A$302,0)),"미등록"))</f>
        <v/>
      </c>
      <c r="C64" s="36" t="n"/>
      <c r="D64" s="40" t="str">
        <f>IF($C64="","",IFERROR(INDEX(품목목록!$B$3:$B$302,MATCH($C64,품목목록!$A$3:$A$302,0)),"미등록"))</f>
        <v/>
      </c>
      <c r="E64" s="41" t="n"/>
      <c r="F64" s="40" t="str">
        <f>IF($A64="","",COUNTIFS($A$3:$A64,$A64))</f>
        <v/>
      </c>
      <c r="G64" s="40" t="str">
        <f>IF($A64="","",$A64&amp;"|"&amp;$F64)</f>
        <v/>
      </c>
    </row>
    <row r="65" ht="15" customHeight="1" s="30">
      <c r="A65" s="36" t="n"/>
      <c r="B65" s="40" t="str">
        <f>IF($A65="","",IFERROR(INDEX(품목목록!$B$3:$B$302,MATCH($A65,품목목록!$A$3:$A$302,0)),"미등록"))</f>
        <v/>
      </c>
      <c r="C65" s="36" t="n"/>
      <c r="D65" s="40" t="str">
        <f>IF($C65="","",IFERROR(INDEX(품목목록!$B$3:$B$302,MATCH($C65,품목목록!$A$3:$A$302,0)),"미등록"))</f>
        <v/>
      </c>
      <c r="E65" s="41" t="n"/>
      <c r="F65" s="40" t="str">
        <f>IF($A65="","",COUNTIFS($A$3:$A65,$A65))</f>
        <v/>
      </c>
      <c r="G65" s="40" t="str">
        <f>IF($A65="","",$A65&amp;"|"&amp;$F65)</f>
        <v/>
      </c>
    </row>
    <row r="66" ht="15" customHeight="1" s="30">
      <c r="A66" s="36" t="n"/>
      <c r="B66" s="40" t="str">
        <f>IF($A66="","",IFERROR(INDEX(품목목록!$B$3:$B$302,MATCH($A66,품목목록!$A$3:$A$302,0)),"미등록"))</f>
        <v/>
      </c>
      <c r="C66" s="36" t="n"/>
      <c r="D66" s="40" t="str">
        <f>IF($C66="","",IFERROR(INDEX(품목목록!$B$3:$B$302,MATCH($C66,품목목록!$A$3:$A$302,0)),"미등록"))</f>
        <v/>
      </c>
      <c r="E66" s="41" t="n"/>
      <c r="F66" s="40" t="str">
        <f>IF($A66="","",COUNTIFS($A$3:$A66,$A66))</f>
        <v/>
      </c>
      <c r="G66" s="40" t="str">
        <f>IF($A66="","",$A66&amp;"|"&amp;$F66)</f>
        <v/>
      </c>
    </row>
    <row r="67" ht="15" customHeight="1" s="30">
      <c r="A67" s="36" t="n"/>
      <c r="B67" s="40" t="str">
        <f>IF($A67="","",IFERROR(INDEX(품목목록!$B$3:$B$302,MATCH($A67,품목목록!$A$3:$A$302,0)),"미등록"))</f>
        <v/>
      </c>
      <c r="C67" s="36" t="n"/>
      <c r="D67" s="40" t="str">
        <f>IF($C67="","",IFERROR(INDEX(품목목록!$B$3:$B$302,MATCH($C67,품목목록!$A$3:$A$302,0)),"미등록"))</f>
        <v/>
      </c>
      <c r="E67" s="41" t="n"/>
      <c r="F67" s="40" t="str">
        <f>IF($A67="","",COUNTIFS($A$3:$A67,$A67))</f>
        <v/>
      </c>
      <c r="G67" s="40" t="str">
        <f>IF($A67="","",$A67&amp;"|"&amp;$F67)</f>
        <v/>
      </c>
    </row>
    <row r="68" ht="15" customHeight="1" s="30">
      <c r="A68" s="36" t="n"/>
      <c r="B68" s="40" t="str">
        <f>IF($A68="","",IFERROR(INDEX(품목목록!$B$3:$B$302,MATCH($A68,품목목록!$A$3:$A$302,0)),"미등록"))</f>
        <v/>
      </c>
      <c r="C68" s="36" t="n"/>
      <c r="D68" s="40" t="str">
        <f>IF($C68="","",IFERROR(INDEX(품목목록!$B$3:$B$302,MATCH($C68,품목목록!$A$3:$A$302,0)),"미등록"))</f>
        <v/>
      </c>
      <c r="E68" s="41" t="n"/>
      <c r="F68" s="40" t="str">
        <f>IF($A68="","",COUNTIFS($A$3:$A68,$A68))</f>
        <v/>
      </c>
      <c r="G68" s="40" t="str">
        <f>IF($A68="","",$A68&amp;"|"&amp;$F68)</f>
        <v/>
      </c>
    </row>
    <row r="69" ht="15" customHeight="1" s="30">
      <c r="A69" s="36" t="n"/>
      <c r="B69" s="40" t="str">
        <f>IF($A69="","",IFERROR(INDEX(품목목록!$B$3:$B$302,MATCH($A69,품목목록!$A$3:$A$302,0)),"미등록"))</f>
        <v/>
      </c>
      <c r="C69" s="36" t="n"/>
      <c r="D69" s="40" t="str">
        <f>IF($C69="","",IFERROR(INDEX(품목목록!$B$3:$B$302,MATCH($C69,품목목록!$A$3:$A$302,0)),"미등록"))</f>
        <v/>
      </c>
      <c r="E69" s="41" t="n"/>
      <c r="F69" s="40" t="str">
        <f>IF($A69="","",COUNTIFS($A$3:$A69,$A69))</f>
        <v/>
      </c>
      <c r="G69" s="40" t="str">
        <f>IF($A69="","",$A69&amp;"|"&amp;$F69)</f>
        <v/>
      </c>
    </row>
    <row r="70" ht="15" customHeight="1" s="30">
      <c r="A70" s="36" t="n"/>
      <c r="B70" s="40" t="str">
        <f>IF($A70="","",IFERROR(INDEX(품목목록!$B$3:$B$302,MATCH($A70,품목목록!$A$3:$A$302,0)),"미등록"))</f>
        <v/>
      </c>
      <c r="C70" s="36" t="n"/>
      <c r="D70" s="40" t="str">
        <f>IF($C70="","",IFERROR(INDEX(품목목록!$B$3:$B$302,MATCH($C70,품목목록!$A$3:$A$302,0)),"미등록"))</f>
        <v/>
      </c>
      <c r="E70" s="41" t="n"/>
      <c r="F70" s="40" t="str">
        <f>IF($A70="","",COUNTIFS($A$3:$A70,$A70))</f>
        <v/>
      </c>
      <c r="G70" s="40" t="str">
        <f>IF($A70="","",$A70&amp;"|"&amp;$F70)</f>
        <v/>
      </c>
    </row>
    <row r="71" ht="15" customHeight="1" s="30">
      <c r="A71" s="36" t="n"/>
      <c r="B71" s="40" t="str">
        <f>IF($A71="","",IFERROR(INDEX(품목목록!$B$3:$B$302,MATCH($A71,품목목록!$A$3:$A$302,0)),"미등록"))</f>
        <v/>
      </c>
      <c r="C71" s="36" t="n"/>
      <c r="D71" s="40" t="str">
        <f>IF($C71="","",IFERROR(INDEX(품목목록!$B$3:$B$302,MATCH($C71,품목목록!$A$3:$A$302,0)),"미등록"))</f>
        <v/>
      </c>
      <c r="E71" s="41" t="n"/>
      <c r="F71" s="40" t="str">
        <f>IF($A71="","",COUNTIFS($A$3:$A71,$A71))</f>
        <v/>
      </c>
      <c r="G71" s="40" t="str">
        <f>IF($A71="","",$A71&amp;"|"&amp;$F71)</f>
        <v/>
      </c>
    </row>
    <row r="72" ht="15" customHeight="1" s="30">
      <c r="A72" s="36" t="n"/>
      <c r="B72" s="40" t="str">
        <f>IF($A72="","",IFERROR(INDEX(품목목록!$B$3:$B$302,MATCH($A72,품목목록!$A$3:$A$302,0)),"미등록"))</f>
        <v/>
      </c>
      <c r="C72" s="36" t="n"/>
      <c r="D72" s="40" t="str">
        <f>IF($C72="","",IFERROR(INDEX(품목목록!$B$3:$B$302,MATCH($C72,품목목록!$A$3:$A$302,0)),"미등록"))</f>
        <v/>
      </c>
      <c r="E72" s="41" t="n"/>
      <c r="F72" s="40" t="str">
        <f>IF($A72="","",COUNTIFS($A$3:$A72,$A72))</f>
        <v/>
      </c>
      <c r="G72" s="40" t="str">
        <f>IF($A72="","",$A72&amp;"|"&amp;$F72)</f>
        <v/>
      </c>
    </row>
    <row r="73" ht="15" customHeight="1" s="30">
      <c r="A73" s="36" t="n"/>
      <c r="B73" s="40" t="str">
        <f>IF($A73="","",IFERROR(INDEX(품목목록!$B$3:$B$302,MATCH($A73,품목목록!$A$3:$A$302,0)),"미등록"))</f>
        <v/>
      </c>
      <c r="C73" s="36" t="n"/>
      <c r="D73" s="40" t="str">
        <f>IF($C73="","",IFERROR(INDEX(품목목록!$B$3:$B$302,MATCH($C73,품목목록!$A$3:$A$302,0)),"미등록"))</f>
        <v/>
      </c>
      <c r="E73" s="41" t="n"/>
      <c r="F73" s="40" t="str">
        <f>IF($A73="","",COUNTIFS($A$3:$A73,$A73))</f>
        <v/>
      </c>
      <c r="G73" s="40" t="str">
        <f>IF($A73="","",$A73&amp;"|"&amp;$F73)</f>
        <v/>
      </c>
    </row>
    <row r="74" ht="15" customHeight="1" s="30">
      <c r="A74" s="36" t="n"/>
      <c r="B74" s="40" t="str">
        <f>IF($A74="","",IFERROR(INDEX(품목목록!$B$3:$B$302,MATCH($A74,품목목록!$A$3:$A$302,0)),"미등록"))</f>
        <v/>
      </c>
      <c r="C74" s="36" t="n"/>
      <c r="D74" s="40" t="str">
        <f>IF($C74="","",IFERROR(INDEX(품목목록!$B$3:$B$302,MATCH($C74,품목목록!$A$3:$A$302,0)),"미등록"))</f>
        <v/>
      </c>
      <c r="E74" s="41" t="n"/>
      <c r="F74" s="40" t="str">
        <f>IF($A74="","",COUNTIFS($A$3:$A74,$A74))</f>
        <v/>
      </c>
      <c r="G74" s="40" t="str">
        <f>IF($A74="","",$A74&amp;"|"&amp;$F74)</f>
        <v/>
      </c>
    </row>
    <row r="75" ht="15" customHeight="1" s="30">
      <c r="A75" s="36" t="n"/>
      <c r="B75" s="40" t="str">
        <f>IF($A75="","",IFERROR(INDEX(품목목록!$B$3:$B$302,MATCH($A75,품목목록!$A$3:$A$302,0)),"미등록"))</f>
        <v/>
      </c>
      <c r="C75" s="36" t="n"/>
      <c r="D75" s="40" t="str">
        <f>IF($C75="","",IFERROR(INDEX(품목목록!$B$3:$B$302,MATCH($C75,품목목록!$A$3:$A$302,0)),"미등록"))</f>
        <v/>
      </c>
      <c r="E75" s="41" t="n"/>
      <c r="F75" s="40" t="str">
        <f>IF($A75="","",COUNTIFS($A$3:$A75,$A75))</f>
        <v/>
      </c>
      <c r="G75" s="40" t="str">
        <f>IF($A75="","",$A75&amp;"|"&amp;$F75)</f>
        <v/>
      </c>
    </row>
    <row r="76" ht="15" customHeight="1" s="30">
      <c r="A76" s="36" t="n"/>
      <c r="B76" s="40" t="str">
        <f>IF($A76="","",IFERROR(INDEX(품목목록!$B$3:$B$302,MATCH($A76,품목목록!$A$3:$A$302,0)),"미등록"))</f>
        <v/>
      </c>
      <c r="C76" s="36" t="n"/>
      <c r="D76" s="40" t="str">
        <f>IF($C76="","",IFERROR(INDEX(품목목록!$B$3:$B$302,MATCH($C76,품목목록!$A$3:$A$302,0)),"미등록"))</f>
        <v/>
      </c>
      <c r="E76" s="41" t="n"/>
      <c r="F76" s="40" t="str">
        <f>IF($A76="","",COUNTIFS($A$3:$A76,$A76))</f>
        <v/>
      </c>
      <c r="G76" s="40" t="str">
        <f>IF($A76="","",$A76&amp;"|"&amp;$F76)</f>
        <v/>
      </c>
    </row>
    <row r="77" ht="15" customHeight="1" s="30">
      <c r="A77" s="36" t="n"/>
      <c r="B77" s="40" t="str">
        <f>IF($A77="","",IFERROR(INDEX(품목목록!$B$3:$B$302,MATCH($A77,품목목록!$A$3:$A$302,0)),"미등록"))</f>
        <v/>
      </c>
      <c r="C77" s="36" t="n"/>
      <c r="D77" s="40" t="str">
        <f>IF($C77="","",IFERROR(INDEX(품목목록!$B$3:$B$302,MATCH($C77,품목목록!$A$3:$A$302,0)),"미등록"))</f>
        <v/>
      </c>
      <c r="E77" s="41" t="n"/>
      <c r="F77" s="40" t="str">
        <f>IF($A77="","",COUNTIFS($A$3:$A77,$A77))</f>
        <v/>
      </c>
      <c r="G77" s="40" t="str">
        <f>IF($A77="","",$A77&amp;"|"&amp;$F77)</f>
        <v/>
      </c>
    </row>
    <row r="78" ht="15" customHeight="1" s="30">
      <c r="A78" s="36" t="n"/>
      <c r="B78" s="40" t="str">
        <f>IF($A78="","",IFERROR(INDEX(품목목록!$B$3:$B$302,MATCH($A78,품목목록!$A$3:$A$302,0)),"미등록"))</f>
        <v/>
      </c>
      <c r="C78" s="36" t="n"/>
      <c r="D78" s="40" t="str">
        <f>IF($C78="","",IFERROR(INDEX(품목목록!$B$3:$B$302,MATCH($C78,품목목록!$A$3:$A$302,0)),"미등록"))</f>
        <v/>
      </c>
      <c r="E78" s="41" t="n"/>
      <c r="F78" s="40" t="str">
        <f>IF($A78="","",COUNTIFS($A$3:$A78,$A78))</f>
        <v/>
      </c>
      <c r="G78" s="40" t="str">
        <f>IF($A78="","",$A78&amp;"|"&amp;$F78)</f>
        <v/>
      </c>
    </row>
    <row r="79" ht="15" customHeight="1" s="30">
      <c r="A79" s="36" t="n"/>
      <c r="B79" s="40" t="str">
        <f>IF($A79="","",IFERROR(INDEX(품목목록!$B$3:$B$302,MATCH($A79,품목목록!$A$3:$A$302,0)),"미등록"))</f>
        <v/>
      </c>
      <c r="C79" s="36" t="n"/>
      <c r="D79" s="40" t="str">
        <f>IF($C79="","",IFERROR(INDEX(품목목록!$B$3:$B$302,MATCH($C79,품목목록!$A$3:$A$302,0)),"미등록"))</f>
        <v/>
      </c>
      <c r="E79" s="41" t="n"/>
      <c r="F79" s="40" t="str">
        <f>IF($A79="","",COUNTIFS($A$3:$A79,$A79))</f>
        <v/>
      </c>
      <c r="G79" s="40" t="str">
        <f>IF($A79="","",$A79&amp;"|"&amp;$F79)</f>
        <v/>
      </c>
    </row>
    <row r="80" ht="15" customHeight="1" s="30">
      <c r="A80" s="36" t="n"/>
      <c r="B80" s="40" t="str">
        <f>IF($A80="","",IFERROR(INDEX(품목목록!$B$3:$B$302,MATCH($A80,품목목록!$A$3:$A$302,0)),"미등록"))</f>
        <v/>
      </c>
      <c r="C80" s="36" t="n"/>
      <c r="D80" s="40" t="str">
        <f>IF($C80="","",IFERROR(INDEX(품목목록!$B$3:$B$302,MATCH($C80,품목목록!$A$3:$A$302,0)),"미등록"))</f>
        <v/>
      </c>
      <c r="E80" s="41" t="n"/>
      <c r="F80" s="40" t="str">
        <f>IF($A80="","",COUNTIFS($A$3:$A80,$A80))</f>
        <v/>
      </c>
      <c r="G80" s="40" t="str">
        <f>IF($A80="","",$A80&amp;"|"&amp;$F80)</f>
        <v/>
      </c>
    </row>
    <row r="81" ht="15" customHeight="1" s="30">
      <c r="A81" s="36" t="n"/>
      <c r="B81" s="40" t="str">
        <f>IF($A81="","",IFERROR(INDEX(품목목록!$B$3:$B$302,MATCH($A81,품목목록!$A$3:$A$302,0)),"미등록"))</f>
        <v/>
      </c>
      <c r="C81" s="36" t="n"/>
      <c r="D81" s="40" t="str">
        <f>IF($C81="","",IFERROR(INDEX(품목목록!$B$3:$B$302,MATCH($C81,품목목록!$A$3:$A$302,0)),"미등록"))</f>
        <v/>
      </c>
      <c r="E81" s="41" t="n"/>
      <c r="F81" s="40" t="str">
        <f>IF($A81="","",COUNTIFS($A$3:$A81,$A81))</f>
        <v/>
      </c>
      <c r="G81" s="40" t="str">
        <f>IF($A81="","",$A81&amp;"|"&amp;$F81)</f>
        <v/>
      </c>
    </row>
    <row r="82" ht="15" customHeight="1" s="30">
      <c r="A82" s="36" t="n"/>
      <c r="B82" s="40" t="str">
        <f>IF($A82="","",IFERROR(INDEX(품목목록!$B$3:$B$302,MATCH($A82,품목목록!$A$3:$A$302,0)),"미등록"))</f>
        <v/>
      </c>
      <c r="C82" s="36" t="n"/>
      <c r="D82" s="40" t="str">
        <f>IF($C82="","",IFERROR(INDEX(품목목록!$B$3:$B$302,MATCH($C82,품목목록!$A$3:$A$302,0)),"미등록"))</f>
        <v/>
      </c>
      <c r="E82" s="41" t="n"/>
      <c r="F82" s="40" t="str">
        <f>IF($A82="","",COUNTIFS($A$3:$A82,$A82))</f>
        <v/>
      </c>
      <c r="G82" s="40" t="str">
        <f>IF($A82="","",$A82&amp;"|"&amp;$F82)</f>
        <v/>
      </c>
    </row>
    <row r="83" ht="15" customHeight="1" s="30">
      <c r="A83" s="36" t="n"/>
      <c r="B83" s="40" t="str">
        <f>IF($A83="","",IFERROR(INDEX(품목목록!$B$3:$B$302,MATCH($A83,품목목록!$A$3:$A$302,0)),"미등록"))</f>
        <v/>
      </c>
      <c r="C83" s="36" t="n"/>
      <c r="D83" s="40" t="str">
        <f>IF($C83="","",IFERROR(INDEX(품목목록!$B$3:$B$302,MATCH($C83,품목목록!$A$3:$A$302,0)),"미등록"))</f>
        <v/>
      </c>
      <c r="E83" s="41" t="n"/>
      <c r="F83" s="40" t="str">
        <f>IF($A83="","",COUNTIFS($A$3:$A83,$A83))</f>
        <v/>
      </c>
      <c r="G83" s="40" t="str">
        <f>IF($A83="","",$A83&amp;"|"&amp;$F83)</f>
        <v/>
      </c>
    </row>
    <row r="84" ht="15" customHeight="1" s="30">
      <c r="A84" s="36" t="n"/>
      <c r="B84" s="40" t="str">
        <f>IF($A84="","",IFERROR(INDEX(품목목록!$B$3:$B$302,MATCH($A84,품목목록!$A$3:$A$302,0)),"미등록"))</f>
        <v/>
      </c>
      <c r="C84" s="36" t="n"/>
      <c r="D84" s="40" t="str">
        <f>IF($C84="","",IFERROR(INDEX(품목목록!$B$3:$B$302,MATCH($C84,품목목록!$A$3:$A$302,0)),"미등록"))</f>
        <v/>
      </c>
      <c r="E84" s="41" t="n"/>
      <c r="F84" s="40" t="str">
        <f>IF($A84="","",COUNTIFS($A$3:$A84,$A84))</f>
        <v/>
      </c>
      <c r="G84" s="40" t="str">
        <f>IF($A84="","",$A84&amp;"|"&amp;$F84)</f>
        <v/>
      </c>
    </row>
    <row r="85" ht="15" customHeight="1" s="30">
      <c r="A85" s="36" t="n"/>
      <c r="B85" s="40" t="str">
        <f>IF($A85="","",IFERROR(INDEX(품목목록!$B$3:$B$302,MATCH($A85,품목목록!$A$3:$A$302,0)),"미등록"))</f>
        <v/>
      </c>
      <c r="C85" s="36" t="n"/>
      <c r="D85" s="40" t="str">
        <f>IF($C85="","",IFERROR(INDEX(품목목록!$B$3:$B$302,MATCH($C85,품목목록!$A$3:$A$302,0)),"미등록"))</f>
        <v/>
      </c>
      <c r="E85" s="41" t="n"/>
      <c r="F85" s="40" t="str">
        <f>IF($A85="","",COUNTIFS($A$3:$A85,$A85))</f>
        <v/>
      </c>
      <c r="G85" s="40" t="str">
        <f>IF($A85="","",$A85&amp;"|"&amp;$F85)</f>
        <v/>
      </c>
    </row>
    <row r="86" ht="15" customHeight="1" s="30">
      <c r="A86" s="36" t="n"/>
      <c r="B86" s="40" t="str">
        <f>IF($A86="","",IFERROR(INDEX(품목목록!$B$3:$B$302,MATCH($A86,품목목록!$A$3:$A$302,0)),"미등록"))</f>
        <v/>
      </c>
      <c r="C86" s="36" t="n"/>
      <c r="D86" s="40" t="str">
        <f>IF($C86="","",IFERROR(INDEX(품목목록!$B$3:$B$302,MATCH($C86,품목목록!$A$3:$A$302,0)),"미등록"))</f>
        <v/>
      </c>
      <c r="E86" s="41" t="n"/>
      <c r="F86" s="40" t="str">
        <f>IF($A86="","",COUNTIFS($A$3:$A86,$A86))</f>
        <v/>
      </c>
      <c r="G86" s="40" t="str">
        <f>IF($A86="","",$A86&amp;"|"&amp;$F86)</f>
        <v/>
      </c>
    </row>
    <row r="87" ht="15" customHeight="1" s="30">
      <c r="A87" s="36" t="n"/>
      <c r="B87" s="40" t="str">
        <f>IF($A87="","",IFERROR(INDEX(품목목록!$B$3:$B$302,MATCH($A87,품목목록!$A$3:$A$302,0)),"미등록"))</f>
        <v/>
      </c>
      <c r="C87" s="36" t="n"/>
      <c r="D87" s="40" t="str">
        <f>IF($C87="","",IFERROR(INDEX(품목목록!$B$3:$B$302,MATCH($C87,품목목록!$A$3:$A$302,0)),"미등록"))</f>
        <v/>
      </c>
      <c r="E87" s="41" t="n"/>
      <c r="F87" s="40" t="str">
        <f>IF($A87="","",COUNTIFS($A$3:$A87,$A87))</f>
        <v/>
      </c>
      <c r="G87" s="40" t="str">
        <f>IF($A87="","",$A87&amp;"|"&amp;$F87)</f>
        <v/>
      </c>
    </row>
    <row r="88" ht="15" customHeight="1" s="30">
      <c r="A88" s="36" t="n"/>
      <c r="B88" s="40" t="str">
        <f>IF($A88="","",IFERROR(INDEX(품목목록!$B$3:$B$302,MATCH($A88,품목목록!$A$3:$A$302,0)),"미등록"))</f>
        <v/>
      </c>
      <c r="C88" s="36" t="n"/>
      <c r="D88" s="40" t="str">
        <f>IF($C88="","",IFERROR(INDEX(품목목록!$B$3:$B$302,MATCH($C88,품목목록!$A$3:$A$302,0)),"미등록"))</f>
        <v/>
      </c>
      <c r="E88" s="41" t="n"/>
      <c r="F88" s="40" t="str">
        <f>IF($A88="","",COUNTIFS($A$3:$A88,$A88))</f>
        <v/>
      </c>
      <c r="G88" s="40" t="str">
        <f>IF($A88="","",$A88&amp;"|"&amp;$F88)</f>
        <v/>
      </c>
    </row>
    <row r="89" ht="15" customHeight="1" s="30">
      <c r="A89" s="36" t="n"/>
      <c r="B89" s="40" t="str">
        <f>IF($A89="","",IFERROR(INDEX(품목목록!$B$3:$B$302,MATCH($A89,품목목록!$A$3:$A$302,0)),"미등록"))</f>
        <v/>
      </c>
      <c r="C89" s="36" t="n"/>
      <c r="D89" s="40" t="str">
        <f>IF($C89="","",IFERROR(INDEX(품목목록!$B$3:$B$302,MATCH($C89,품목목록!$A$3:$A$302,0)),"미등록"))</f>
        <v/>
      </c>
      <c r="E89" s="41" t="n"/>
      <c r="F89" s="40" t="str">
        <f>IF($A89="","",COUNTIFS($A$3:$A89,$A89))</f>
        <v/>
      </c>
      <c r="G89" s="40" t="str">
        <f>IF($A89="","",$A89&amp;"|"&amp;$F89)</f>
        <v/>
      </c>
    </row>
    <row r="90" ht="15" customHeight="1" s="30">
      <c r="A90" s="36" t="n"/>
      <c r="B90" s="40" t="str">
        <f>IF($A90="","",IFERROR(INDEX(품목목록!$B$3:$B$302,MATCH($A90,품목목록!$A$3:$A$302,0)),"미등록"))</f>
        <v/>
      </c>
      <c r="C90" s="36" t="n"/>
      <c r="D90" s="40" t="str">
        <f>IF($C90="","",IFERROR(INDEX(품목목록!$B$3:$B$302,MATCH($C90,품목목록!$A$3:$A$302,0)),"미등록"))</f>
        <v/>
      </c>
      <c r="E90" s="41" t="n"/>
      <c r="F90" s="40" t="str">
        <f>IF($A90="","",COUNTIFS($A$3:$A90,$A90))</f>
        <v/>
      </c>
      <c r="G90" s="40" t="str">
        <f>IF($A90="","",$A90&amp;"|"&amp;$F90)</f>
        <v/>
      </c>
    </row>
    <row r="91" ht="15" customHeight="1" s="30">
      <c r="A91" s="36" t="n"/>
      <c r="B91" s="40" t="str">
        <f>IF($A91="","",IFERROR(INDEX(품목목록!$B$3:$B$302,MATCH($A91,품목목록!$A$3:$A$302,0)),"미등록"))</f>
        <v/>
      </c>
      <c r="C91" s="36" t="n"/>
      <c r="D91" s="40" t="str">
        <f>IF($C91="","",IFERROR(INDEX(품목목록!$B$3:$B$302,MATCH($C91,품목목록!$A$3:$A$302,0)),"미등록"))</f>
        <v/>
      </c>
      <c r="E91" s="41" t="n"/>
      <c r="F91" s="40" t="str">
        <f>IF($A91="","",COUNTIFS($A$3:$A91,$A91))</f>
        <v/>
      </c>
      <c r="G91" s="40" t="str">
        <f>IF($A91="","",$A91&amp;"|"&amp;$F91)</f>
        <v/>
      </c>
    </row>
    <row r="92" ht="15" customHeight="1" s="30">
      <c r="A92" s="36" t="n"/>
      <c r="B92" s="40" t="str">
        <f>IF($A92="","",IFERROR(INDEX(품목목록!$B$3:$B$302,MATCH($A92,품목목록!$A$3:$A$302,0)),"미등록"))</f>
        <v/>
      </c>
      <c r="C92" s="36" t="n"/>
      <c r="D92" s="40" t="str">
        <f>IF($C92="","",IFERROR(INDEX(품목목록!$B$3:$B$302,MATCH($C92,품목목록!$A$3:$A$302,0)),"미등록"))</f>
        <v/>
      </c>
      <c r="E92" s="41" t="n"/>
      <c r="F92" s="40" t="str">
        <f>IF($A92="","",COUNTIFS($A$3:$A92,$A92))</f>
        <v/>
      </c>
      <c r="G92" s="40" t="str">
        <f>IF($A92="","",$A92&amp;"|"&amp;$F92)</f>
        <v/>
      </c>
    </row>
    <row r="93" ht="15" customHeight="1" s="30">
      <c r="A93" s="36" t="n"/>
      <c r="B93" s="40" t="str">
        <f>IF($A93="","",IFERROR(INDEX(품목목록!$B$3:$B$302,MATCH($A93,품목목록!$A$3:$A$302,0)),"미등록"))</f>
        <v/>
      </c>
      <c r="C93" s="36" t="n"/>
      <c r="D93" s="40" t="str">
        <f>IF($C93="","",IFERROR(INDEX(품목목록!$B$3:$B$302,MATCH($C93,품목목록!$A$3:$A$302,0)),"미등록"))</f>
        <v/>
      </c>
      <c r="E93" s="41" t="n"/>
      <c r="F93" s="40" t="str">
        <f>IF($A93="","",COUNTIFS($A$3:$A93,$A93))</f>
        <v/>
      </c>
      <c r="G93" s="40" t="str">
        <f>IF($A93="","",$A93&amp;"|"&amp;$F93)</f>
        <v/>
      </c>
    </row>
    <row r="94" ht="15" customHeight="1" s="30">
      <c r="A94" s="36" t="n"/>
      <c r="B94" s="40" t="str">
        <f>IF($A94="","",IFERROR(INDEX(품목목록!$B$3:$B$302,MATCH($A94,품목목록!$A$3:$A$302,0)),"미등록"))</f>
        <v/>
      </c>
      <c r="C94" s="36" t="n"/>
      <c r="D94" s="40" t="str">
        <f>IF($C94="","",IFERROR(INDEX(품목목록!$B$3:$B$302,MATCH($C94,품목목록!$A$3:$A$302,0)),"미등록"))</f>
        <v/>
      </c>
      <c r="E94" s="41" t="n"/>
      <c r="F94" s="40" t="str">
        <f>IF($A94="","",COUNTIFS($A$3:$A94,$A94))</f>
        <v/>
      </c>
      <c r="G94" s="40" t="str">
        <f>IF($A94="","",$A94&amp;"|"&amp;$F94)</f>
        <v/>
      </c>
    </row>
    <row r="95" ht="15" customHeight="1" s="30">
      <c r="A95" s="36" t="n"/>
      <c r="B95" s="40" t="str">
        <f>IF($A95="","",IFERROR(INDEX(품목목록!$B$3:$B$302,MATCH($A95,품목목록!$A$3:$A$302,0)),"미등록"))</f>
        <v/>
      </c>
      <c r="C95" s="36" t="n"/>
      <c r="D95" s="40" t="str">
        <f>IF($C95="","",IFERROR(INDEX(품목목록!$B$3:$B$302,MATCH($C95,품목목록!$A$3:$A$302,0)),"미등록"))</f>
        <v/>
      </c>
      <c r="E95" s="41" t="n"/>
      <c r="F95" s="40" t="str">
        <f>IF($A95="","",COUNTIFS($A$3:$A95,$A95))</f>
        <v/>
      </c>
      <c r="G95" s="40" t="str">
        <f>IF($A95="","",$A95&amp;"|"&amp;$F95)</f>
        <v/>
      </c>
    </row>
    <row r="96" ht="15" customHeight="1" s="30">
      <c r="A96" s="36" t="n"/>
      <c r="B96" s="40" t="str">
        <f>IF($A96="","",IFERROR(INDEX(품목목록!$B$3:$B$302,MATCH($A96,품목목록!$A$3:$A$302,0)),"미등록"))</f>
        <v/>
      </c>
      <c r="C96" s="36" t="n"/>
      <c r="D96" s="40" t="str">
        <f>IF($C96="","",IFERROR(INDEX(품목목록!$B$3:$B$302,MATCH($C96,품목목록!$A$3:$A$302,0)),"미등록"))</f>
        <v/>
      </c>
      <c r="E96" s="41" t="n"/>
      <c r="F96" s="40" t="str">
        <f>IF($A96="","",COUNTIFS($A$3:$A96,$A96))</f>
        <v/>
      </c>
      <c r="G96" s="40" t="str">
        <f>IF($A96="","",$A96&amp;"|"&amp;$F96)</f>
        <v/>
      </c>
    </row>
    <row r="97" ht="15" customHeight="1" s="30">
      <c r="A97" s="36" t="n"/>
      <c r="B97" s="40" t="str">
        <f>IF($A97="","",IFERROR(INDEX(품목목록!$B$3:$B$302,MATCH($A97,품목목록!$A$3:$A$302,0)),"미등록"))</f>
        <v/>
      </c>
      <c r="C97" s="36" t="n"/>
      <c r="D97" s="40" t="str">
        <f>IF($C97="","",IFERROR(INDEX(품목목록!$B$3:$B$302,MATCH($C97,품목목록!$A$3:$A$302,0)),"미등록"))</f>
        <v/>
      </c>
      <c r="E97" s="41" t="n"/>
      <c r="F97" s="40" t="str">
        <f>IF($A97="","",COUNTIFS($A$3:$A97,$A97))</f>
        <v/>
      </c>
      <c r="G97" s="40" t="str">
        <f>IF($A97="","",$A97&amp;"|"&amp;$F97)</f>
        <v/>
      </c>
    </row>
    <row r="98" ht="15" customHeight="1" s="30">
      <c r="A98" s="36" t="n"/>
      <c r="B98" s="40" t="str">
        <f>IF($A98="","",IFERROR(INDEX(품목목록!$B$3:$B$302,MATCH($A98,품목목록!$A$3:$A$302,0)),"미등록"))</f>
        <v/>
      </c>
      <c r="C98" s="36" t="n"/>
      <c r="D98" s="40" t="str">
        <f>IF($C98="","",IFERROR(INDEX(품목목록!$B$3:$B$302,MATCH($C98,품목목록!$A$3:$A$302,0)),"미등록"))</f>
        <v/>
      </c>
      <c r="E98" s="41" t="n"/>
      <c r="F98" s="40" t="str">
        <f>IF($A98="","",COUNTIFS($A$3:$A98,$A98))</f>
        <v/>
      </c>
      <c r="G98" s="40" t="str">
        <f>IF($A98="","",$A98&amp;"|"&amp;$F98)</f>
        <v/>
      </c>
    </row>
    <row r="99" ht="15" customHeight="1" s="30">
      <c r="A99" s="36" t="n"/>
      <c r="B99" s="40" t="str">
        <f>IF($A99="","",IFERROR(INDEX(품목목록!$B$3:$B$302,MATCH($A99,품목목록!$A$3:$A$302,0)),"미등록"))</f>
        <v/>
      </c>
      <c r="C99" s="36" t="n"/>
      <c r="D99" s="40" t="str">
        <f>IF($C99="","",IFERROR(INDEX(품목목록!$B$3:$B$302,MATCH($C99,품목목록!$A$3:$A$302,0)),"미등록"))</f>
        <v/>
      </c>
      <c r="E99" s="41" t="n"/>
      <c r="F99" s="40" t="str">
        <f>IF($A99="","",COUNTIFS($A$3:$A99,$A99))</f>
        <v/>
      </c>
      <c r="G99" s="40" t="str">
        <f>IF($A99="","",$A99&amp;"|"&amp;$F99)</f>
        <v/>
      </c>
    </row>
    <row r="100" ht="15" customHeight="1" s="30">
      <c r="A100" s="36" t="n"/>
      <c r="B100" s="40" t="str">
        <f>IF($A100="","",IFERROR(INDEX(품목목록!$B$3:$B$302,MATCH($A100,품목목록!$A$3:$A$302,0)),"미등록"))</f>
        <v/>
      </c>
      <c r="C100" s="36" t="n"/>
      <c r="D100" s="40" t="str">
        <f>IF($C100="","",IFERROR(INDEX(품목목록!$B$3:$B$302,MATCH($C100,품목목록!$A$3:$A$302,0)),"미등록"))</f>
        <v/>
      </c>
      <c r="E100" s="41" t="n"/>
      <c r="F100" s="40" t="str">
        <f>IF($A100="","",COUNTIFS($A$3:$A100,$A100))</f>
        <v/>
      </c>
      <c r="G100" s="40" t="str">
        <f>IF($A100="","",$A100&amp;"|"&amp;$F100)</f>
        <v/>
      </c>
    </row>
    <row r="101" ht="15" customHeight="1" s="30">
      <c r="A101" s="36" t="n"/>
      <c r="B101" s="40" t="str">
        <f>IF($A101="","",IFERROR(INDEX(품목목록!$B$3:$B$302,MATCH($A101,품목목록!$A$3:$A$302,0)),"미등록"))</f>
        <v/>
      </c>
      <c r="C101" s="36" t="n"/>
      <c r="D101" s="40" t="str">
        <f>IF($C101="","",IFERROR(INDEX(품목목록!$B$3:$B$302,MATCH($C101,품목목록!$A$3:$A$302,0)),"미등록"))</f>
        <v/>
      </c>
      <c r="E101" s="41" t="n"/>
      <c r="F101" s="40" t="str">
        <f>IF($A101="","",COUNTIFS($A$3:$A101,$A101))</f>
        <v/>
      </c>
      <c r="G101" s="40" t="str">
        <f>IF($A101="","",$A101&amp;"|"&amp;$F101)</f>
        <v/>
      </c>
    </row>
    <row r="102" ht="15" customHeight="1" s="30">
      <c r="A102" s="36" t="n"/>
      <c r="B102" s="40" t="str">
        <f>IF($A102="","",IFERROR(INDEX(품목목록!$B$3:$B$302,MATCH($A102,품목목록!$A$3:$A$302,0)),"미등록"))</f>
        <v/>
      </c>
      <c r="C102" s="36" t="n"/>
      <c r="D102" s="40" t="str">
        <f>IF($C102="","",IFERROR(INDEX(품목목록!$B$3:$B$302,MATCH($C102,품목목록!$A$3:$A$302,0)),"미등록"))</f>
        <v/>
      </c>
      <c r="E102" s="41" t="n"/>
      <c r="F102" s="40" t="str">
        <f>IF($A102="","",COUNTIFS($A$3:$A102,$A102))</f>
        <v/>
      </c>
      <c r="G102" s="40" t="str">
        <f>IF($A102="","",$A102&amp;"|"&amp;$F102)</f>
        <v/>
      </c>
    </row>
    <row r="103" ht="15" customHeight="1" s="30">
      <c r="A103" s="36" t="n"/>
      <c r="B103" s="40" t="str">
        <f>IF($A103="","",IFERROR(INDEX(품목목록!$B$3:$B$302,MATCH($A103,품목목록!$A$3:$A$302,0)),"미등록"))</f>
        <v/>
      </c>
      <c r="C103" s="36" t="n"/>
      <c r="D103" s="40" t="str">
        <f>IF($C103="","",IFERROR(INDEX(품목목록!$B$3:$B$302,MATCH($C103,품목목록!$A$3:$A$302,0)),"미등록"))</f>
        <v/>
      </c>
      <c r="E103" s="41" t="n"/>
      <c r="F103" s="40" t="str">
        <f>IF($A103="","",COUNTIFS($A$3:$A103,$A103))</f>
        <v/>
      </c>
      <c r="G103" s="40" t="str">
        <f>IF($A103="","",$A103&amp;"|"&amp;$F103)</f>
        <v/>
      </c>
    </row>
    <row r="104" ht="15" customHeight="1" s="30">
      <c r="A104" s="36" t="n"/>
      <c r="B104" s="40" t="str">
        <f>IF($A104="","",IFERROR(INDEX(품목목록!$B$3:$B$302,MATCH($A104,품목목록!$A$3:$A$302,0)),"미등록"))</f>
        <v/>
      </c>
      <c r="C104" s="36" t="n"/>
      <c r="D104" s="40" t="str">
        <f>IF($C104="","",IFERROR(INDEX(품목목록!$B$3:$B$302,MATCH($C104,품목목록!$A$3:$A$302,0)),"미등록"))</f>
        <v/>
      </c>
      <c r="E104" s="41" t="n"/>
      <c r="F104" s="40" t="str">
        <f>IF($A104="","",COUNTIFS($A$3:$A104,$A104))</f>
        <v/>
      </c>
      <c r="G104" s="40" t="str">
        <f>IF($A104="","",$A104&amp;"|"&amp;$F104)</f>
        <v/>
      </c>
    </row>
    <row r="105" ht="15" customHeight="1" s="30">
      <c r="A105" s="36" t="n"/>
      <c r="B105" s="40" t="str">
        <f>IF($A105="","",IFERROR(INDEX(품목목록!$B$3:$B$302,MATCH($A105,품목목록!$A$3:$A$302,0)),"미등록"))</f>
        <v/>
      </c>
      <c r="C105" s="36" t="n"/>
      <c r="D105" s="40" t="str">
        <f>IF($C105="","",IFERROR(INDEX(품목목록!$B$3:$B$302,MATCH($C105,품목목록!$A$3:$A$302,0)),"미등록"))</f>
        <v/>
      </c>
      <c r="E105" s="41" t="n"/>
      <c r="F105" s="40" t="str">
        <f>IF($A105="","",COUNTIFS($A$3:$A105,$A105))</f>
        <v/>
      </c>
      <c r="G105" s="40" t="str">
        <f>IF($A105="","",$A105&amp;"|"&amp;$F105)</f>
        <v/>
      </c>
    </row>
    <row r="106" ht="15" customHeight="1" s="30">
      <c r="A106" s="36" t="n"/>
      <c r="B106" s="40" t="str">
        <f>IF($A106="","",IFERROR(INDEX(품목목록!$B$3:$B$302,MATCH($A106,품목목록!$A$3:$A$302,0)),"미등록"))</f>
        <v/>
      </c>
      <c r="C106" s="36" t="n"/>
      <c r="D106" s="40" t="str">
        <f>IF($C106="","",IFERROR(INDEX(품목목록!$B$3:$B$302,MATCH($C106,품목목록!$A$3:$A$302,0)),"미등록"))</f>
        <v/>
      </c>
      <c r="E106" s="41" t="n"/>
      <c r="F106" s="40" t="str">
        <f>IF($A106="","",COUNTIFS($A$3:$A106,$A106))</f>
        <v/>
      </c>
      <c r="G106" s="40" t="str">
        <f>IF($A106="","",$A106&amp;"|"&amp;$F106)</f>
        <v/>
      </c>
    </row>
    <row r="107" ht="15" customHeight="1" s="30">
      <c r="A107" s="36" t="n"/>
      <c r="B107" s="40" t="str">
        <f>IF($A107="","",IFERROR(INDEX(품목목록!$B$3:$B$302,MATCH($A107,품목목록!$A$3:$A$302,0)),"미등록"))</f>
        <v/>
      </c>
      <c r="C107" s="36" t="n"/>
      <c r="D107" s="40" t="str">
        <f>IF($C107="","",IFERROR(INDEX(품목목록!$B$3:$B$302,MATCH($C107,품목목록!$A$3:$A$302,0)),"미등록"))</f>
        <v/>
      </c>
      <c r="E107" s="41" t="n"/>
      <c r="F107" s="40" t="str">
        <f>IF($A107="","",COUNTIFS($A$3:$A107,$A107))</f>
        <v/>
      </c>
      <c r="G107" s="40" t="str">
        <f>IF($A107="","",$A107&amp;"|"&amp;$F107)</f>
        <v/>
      </c>
    </row>
    <row r="108" ht="15" customHeight="1" s="30">
      <c r="A108" s="36" t="n"/>
      <c r="B108" s="40" t="str">
        <f>IF($A108="","",IFERROR(INDEX(품목목록!$B$3:$B$302,MATCH($A108,품목목록!$A$3:$A$302,0)),"미등록"))</f>
        <v/>
      </c>
      <c r="C108" s="36" t="n"/>
      <c r="D108" s="40" t="str">
        <f>IF($C108="","",IFERROR(INDEX(품목목록!$B$3:$B$302,MATCH($C108,품목목록!$A$3:$A$302,0)),"미등록"))</f>
        <v/>
      </c>
      <c r="E108" s="41" t="n"/>
      <c r="F108" s="40" t="str">
        <f>IF($A108="","",COUNTIFS($A$3:$A108,$A108))</f>
        <v/>
      </c>
      <c r="G108" s="40" t="str">
        <f>IF($A108="","",$A108&amp;"|"&amp;$F108)</f>
        <v/>
      </c>
    </row>
    <row r="109" ht="15" customHeight="1" s="30">
      <c r="A109" s="36" t="n"/>
      <c r="B109" s="40" t="str">
        <f>IF($A109="","",IFERROR(INDEX(품목목록!$B$3:$B$302,MATCH($A109,품목목록!$A$3:$A$302,0)),"미등록"))</f>
        <v/>
      </c>
      <c r="C109" s="36" t="n"/>
      <c r="D109" s="40" t="str">
        <f>IF($C109="","",IFERROR(INDEX(품목목록!$B$3:$B$302,MATCH($C109,품목목록!$A$3:$A$302,0)),"미등록"))</f>
        <v/>
      </c>
      <c r="E109" s="41" t="n"/>
      <c r="F109" s="40" t="str">
        <f>IF($A109="","",COUNTIFS($A$3:$A109,$A109))</f>
        <v/>
      </c>
      <c r="G109" s="40" t="str">
        <f>IF($A109="","",$A109&amp;"|"&amp;$F109)</f>
        <v/>
      </c>
    </row>
    <row r="110" ht="15" customHeight="1" s="30">
      <c r="A110" s="36" t="n"/>
      <c r="B110" s="40" t="str">
        <f>IF($A110="","",IFERROR(INDEX(품목목록!$B$3:$B$302,MATCH($A110,품목목록!$A$3:$A$302,0)),"미등록"))</f>
        <v/>
      </c>
      <c r="C110" s="36" t="n"/>
      <c r="D110" s="40" t="str">
        <f>IF($C110="","",IFERROR(INDEX(품목목록!$B$3:$B$302,MATCH($C110,품목목록!$A$3:$A$302,0)),"미등록"))</f>
        <v/>
      </c>
      <c r="E110" s="41" t="n"/>
      <c r="F110" s="40" t="str">
        <f>IF($A110="","",COUNTIFS($A$3:$A110,$A110))</f>
        <v/>
      </c>
      <c r="G110" s="40" t="str">
        <f>IF($A110="","",$A110&amp;"|"&amp;$F110)</f>
        <v/>
      </c>
    </row>
    <row r="111" ht="15" customHeight="1" s="30">
      <c r="A111" s="36" t="n"/>
      <c r="B111" s="40" t="str">
        <f>IF($A111="","",IFERROR(INDEX(품목목록!$B$3:$B$302,MATCH($A111,품목목록!$A$3:$A$302,0)),"미등록"))</f>
        <v/>
      </c>
      <c r="C111" s="36" t="n"/>
      <c r="D111" s="40" t="str">
        <f>IF($C111="","",IFERROR(INDEX(품목목록!$B$3:$B$302,MATCH($C111,품목목록!$A$3:$A$302,0)),"미등록"))</f>
        <v/>
      </c>
      <c r="E111" s="41" t="n"/>
      <c r="F111" s="40" t="str">
        <f>IF($A111="","",COUNTIFS($A$3:$A111,$A111))</f>
        <v/>
      </c>
      <c r="G111" s="40" t="str">
        <f>IF($A111="","",$A111&amp;"|"&amp;$F111)</f>
        <v/>
      </c>
    </row>
    <row r="112" ht="15" customHeight="1" s="30">
      <c r="A112" s="36" t="n"/>
      <c r="B112" s="40" t="str">
        <f>IF($A112="","",IFERROR(INDEX(품목목록!$B$3:$B$302,MATCH($A112,품목목록!$A$3:$A$302,0)),"미등록"))</f>
        <v/>
      </c>
      <c r="C112" s="36" t="n"/>
      <c r="D112" s="40" t="str">
        <f>IF($C112="","",IFERROR(INDEX(품목목록!$B$3:$B$302,MATCH($C112,품목목록!$A$3:$A$302,0)),"미등록"))</f>
        <v/>
      </c>
      <c r="E112" s="41" t="n"/>
      <c r="F112" s="40" t="str">
        <f>IF($A112="","",COUNTIFS($A$3:$A112,$A112))</f>
        <v/>
      </c>
      <c r="G112" s="40" t="str">
        <f>IF($A112="","",$A112&amp;"|"&amp;$F112)</f>
        <v/>
      </c>
    </row>
    <row r="113" ht="15" customHeight="1" s="30">
      <c r="A113" s="36" t="n"/>
      <c r="B113" s="40" t="str">
        <f>IF($A113="","",IFERROR(INDEX(품목목록!$B$3:$B$302,MATCH($A113,품목목록!$A$3:$A$302,0)),"미등록"))</f>
        <v/>
      </c>
      <c r="C113" s="36" t="n"/>
      <c r="D113" s="40" t="str">
        <f>IF($C113="","",IFERROR(INDEX(품목목록!$B$3:$B$302,MATCH($C113,품목목록!$A$3:$A$302,0)),"미등록"))</f>
        <v/>
      </c>
      <c r="E113" s="41" t="n"/>
      <c r="F113" s="40" t="str">
        <f>IF($A113="","",COUNTIFS($A$3:$A113,$A113))</f>
        <v/>
      </c>
      <c r="G113" s="40" t="str">
        <f>IF($A113="","",$A113&amp;"|"&amp;$F113)</f>
        <v/>
      </c>
    </row>
    <row r="114" ht="15" customHeight="1" s="30">
      <c r="A114" s="36" t="n"/>
      <c r="B114" s="40" t="str">
        <f>IF($A114="","",IFERROR(INDEX(품목목록!$B$3:$B$302,MATCH($A114,품목목록!$A$3:$A$302,0)),"미등록"))</f>
        <v/>
      </c>
      <c r="C114" s="36" t="n"/>
      <c r="D114" s="40" t="str">
        <f>IF($C114="","",IFERROR(INDEX(품목목록!$B$3:$B$302,MATCH($C114,품목목록!$A$3:$A$302,0)),"미등록"))</f>
        <v/>
      </c>
      <c r="E114" s="41" t="n"/>
      <c r="F114" s="40" t="str">
        <f>IF($A114="","",COUNTIFS($A$3:$A114,$A114))</f>
        <v/>
      </c>
      <c r="G114" s="40" t="str">
        <f>IF($A114="","",$A114&amp;"|"&amp;$F114)</f>
        <v/>
      </c>
    </row>
    <row r="115" ht="15" customHeight="1" s="30">
      <c r="A115" s="36" t="n"/>
      <c r="B115" s="40" t="str">
        <f>IF($A115="","",IFERROR(INDEX(품목목록!$B$3:$B$302,MATCH($A115,품목목록!$A$3:$A$302,0)),"미등록"))</f>
        <v/>
      </c>
      <c r="C115" s="36" t="n"/>
      <c r="D115" s="40" t="str">
        <f>IF($C115="","",IFERROR(INDEX(품목목록!$B$3:$B$302,MATCH($C115,품목목록!$A$3:$A$302,0)),"미등록"))</f>
        <v/>
      </c>
      <c r="E115" s="41" t="n"/>
      <c r="F115" s="40" t="str">
        <f>IF($A115="","",COUNTIFS($A$3:$A115,$A115))</f>
        <v/>
      </c>
      <c r="G115" s="40" t="str">
        <f>IF($A115="","",$A115&amp;"|"&amp;$F115)</f>
        <v/>
      </c>
    </row>
    <row r="116" ht="15" customHeight="1" s="30">
      <c r="A116" s="36" t="n"/>
      <c r="B116" s="40" t="str">
        <f>IF($A116="","",IFERROR(INDEX(품목목록!$B$3:$B$302,MATCH($A116,품목목록!$A$3:$A$302,0)),"미등록"))</f>
        <v/>
      </c>
      <c r="C116" s="36" t="n"/>
      <c r="D116" s="40" t="str">
        <f>IF($C116="","",IFERROR(INDEX(품목목록!$B$3:$B$302,MATCH($C116,품목목록!$A$3:$A$302,0)),"미등록"))</f>
        <v/>
      </c>
      <c r="E116" s="41" t="n"/>
      <c r="F116" s="40" t="str">
        <f>IF($A116="","",COUNTIFS($A$3:$A116,$A116))</f>
        <v/>
      </c>
      <c r="G116" s="40" t="str">
        <f>IF($A116="","",$A116&amp;"|"&amp;$F116)</f>
        <v/>
      </c>
    </row>
    <row r="117" ht="15" customHeight="1" s="30">
      <c r="A117" s="36" t="n"/>
      <c r="B117" s="40" t="str">
        <f>IF($A117="","",IFERROR(INDEX(품목목록!$B$3:$B$302,MATCH($A117,품목목록!$A$3:$A$302,0)),"미등록"))</f>
        <v/>
      </c>
      <c r="C117" s="36" t="n"/>
      <c r="D117" s="40" t="str">
        <f>IF($C117="","",IFERROR(INDEX(품목목록!$B$3:$B$302,MATCH($C117,품목목록!$A$3:$A$302,0)),"미등록"))</f>
        <v/>
      </c>
      <c r="E117" s="41" t="n"/>
      <c r="F117" s="40" t="str">
        <f>IF($A117="","",COUNTIFS($A$3:$A117,$A117))</f>
        <v/>
      </c>
      <c r="G117" s="40" t="str">
        <f>IF($A117="","",$A117&amp;"|"&amp;$F117)</f>
        <v/>
      </c>
    </row>
    <row r="118" ht="15" customHeight="1" s="30">
      <c r="A118" s="36" t="n"/>
      <c r="B118" s="40" t="str">
        <f>IF($A118="","",IFERROR(INDEX(품목목록!$B$3:$B$302,MATCH($A118,품목목록!$A$3:$A$302,0)),"미등록"))</f>
        <v/>
      </c>
      <c r="C118" s="36" t="n"/>
      <c r="D118" s="40" t="str">
        <f>IF($C118="","",IFERROR(INDEX(품목목록!$B$3:$B$302,MATCH($C118,품목목록!$A$3:$A$302,0)),"미등록"))</f>
        <v/>
      </c>
      <c r="E118" s="41" t="n"/>
      <c r="F118" s="40" t="str">
        <f>IF($A118="","",COUNTIFS($A$3:$A118,$A118))</f>
        <v/>
      </c>
      <c r="G118" s="40" t="str">
        <f>IF($A118="","",$A118&amp;"|"&amp;$F118)</f>
        <v/>
      </c>
    </row>
    <row r="119" ht="15" customHeight="1" s="30">
      <c r="A119" s="36" t="n"/>
      <c r="B119" s="40" t="str">
        <f>IF($A119="","",IFERROR(INDEX(품목목록!$B$3:$B$302,MATCH($A119,품목목록!$A$3:$A$302,0)),"미등록"))</f>
        <v/>
      </c>
      <c r="C119" s="36" t="n"/>
      <c r="D119" s="40" t="str">
        <f>IF($C119="","",IFERROR(INDEX(품목목록!$B$3:$B$302,MATCH($C119,품목목록!$A$3:$A$302,0)),"미등록"))</f>
        <v/>
      </c>
      <c r="E119" s="41" t="n"/>
      <c r="F119" s="40" t="str">
        <f>IF($A119="","",COUNTIFS($A$3:$A119,$A119))</f>
        <v/>
      </c>
      <c r="G119" s="40" t="str">
        <f>IF($A119="","",$A119&amp;"|"&amp;$F119)</f>
        <v/>
      </c>
    </row>
    <row r="120" ht="15" customHeight="1" s="30">
      <c r="A120" s="36" t="n"/>
      <c r="B120" s="40" t="str">
        <f>IF($A120="","",IFERROR(INDEX(품목목록!$B$3:$B$302,MATCH($A120,품목목록!$A$3:$A$302,0)),"미등록"))</f>
        <v/>
      </c>
      <c r="C120" s="36" t="n"/>
      <c r="D120" s="40" t="str">
        <f>IF($C120="","",IFERROR(INDEX(품목목록!$B$3:$B$302,MATCH($C120,품목목록!$A$3:$A$302,0)),"미등록"))</f>
        <v/>
      </c>
      <c r="E120" s="41" t="n"/>
      <c r="F120" s="40" t="str">
        <f>IF($A120="","",COUNTIFS($A$3:$A120,$A120))</f>
        <v/>
      </c>
      <c r="G120" s="40" t="str">
        <f>IF($A120="","",$A120&amp;"|"&amp;$F120)</f>
        <v/>
      </c>
    </row>
    <row r="121" ht="15" customHeight="1" s="30">
      <c r="A121" s="36" t="n"/>
      <c r="B121" s="40" t="str">
        <f>IF($A121="","",IFERROR(INDEX(품목목록!$B$3:$B$302,MATCH($A121,품목목록!$A$3:$A$302,0)),"미등록"))</f>
        <v/>
      </c>
      <c r="C121" s="36" t="n"/>
      <c r="D121" s="40" t="str">
        <f>IF($C121="","",IFERROR(INDEX(품목목록!$B$3:$B$302,MATCH($C121,품목목록!$A$3:$A$302,0)),"미등록"))</f>
        <v/>
      </c>
      <c r="E121" s="41" t="n"/>
      <c r="F121" s="40" t="str">
        <f>IF($A121="","",COUNTIFS($A$3:$A121,$A121))</f>
        <v/>
      </c>
      <c r="G121" s="40" t="str">
        <f>IF($A121="","",$A121&amp;"|"&amp;$F121)</f>
        <v/>
      </c>
    </row>
    <row r="122" ht="15" customHeight="1" s="30">
      <c r="A122" s="36" t="n"/>
      <c r="B122" s="40" t="str">
        <f>IF($A122="","",IFERROR(INDEX(품목목록!$B$3:$B$302,MATCH($A122,품목목록!$A$3:$A$302,0)),"미등록"))</f>
        <v/>
      </c>
      <c r="C122" s="36" t="n"/>
      <c r="D122" s="40" t="str">
        <f>IF($C122="","",IFERROR(INDEX(품목목록!$B$3:$B$302,MATCH($C122,품목목록!$A$3:$A$302,0)),"미등록"))</f>
        <v/>
      </c>
      <c r="E122" s="41" t="n"/>
      <c r="F122" s="40" t="str">
        <f>IF($A122="","",COUNTIFS($A$3:$A122,$A122))</f>
        <v/>
      </c>
      <c r="G122" s="40" t="str">
        <f>IF($A122="","",$A122&amp;"|"&amp;$F122)</f>
        <v/>
      </c>
    </row>
    <row r="123" ht="15" customHeight="1" s="30">
      <c r="A123" s="36" t="n"/>
      <c r="B123" s="40" t="str">
        <f>IF($A123="","",IFERROR(INDEX(품목목록!$B$3:$B$302,MATCH($A123,품목목록!$A$3:$A$302,0)),"미등록"))</f>
        <v/>
      </c>
      <c r="C123" s="36" t="n"/>
      <c r="D123" s="40" t="str">
        <f>IF($C123="","",IFERROR(INDEX(품목목록!$B$3:$B$302,MATCH($C123,품목목록!$A$3:$A$302,0)),"미등록"))</f>
        <v/>
      </c>
      <c r="E123" s="41" t="n"/>
      <c r="F123" s="40" t="str">
        <f>IF($A123="","",COUNTIFS($A$3:$A123,$A123))</f>
        <v/>
      </c>
      <c r="G123" s="40" t="str">
        <f>IF($A123="","",$A123&amp;"|"&amp;$F123)</f>
        <v/>
      </c>
    </row>
    <row r="124" ht="15" customHeight="1" s="30">
      <c r="A124" s="36" t="n"/>
      <c r="B124" s="40" t="str">
        <f>IF($A124="","",IFERROR(INDEX(품목목록!$B$3:$B$302,MATCH($A124,품목목록!$A$3:$A$302,0)),"미등록"))</f>
        <v/>
      </c>
      <c r="C124" s="36" t="n"/>
      <c r="D124" s="40" t="str">
        <f>IF($C124="","",IFERROR(INDEX(품목목록!$B$3:$B$302,MATCH($C124,품목목록!$A$3:$A$302,0)),"미등록"))</f>
        <v/>
      </c>
      <c r="E124" s="41" t="n"/>
      <c r="F124" s="40" t="str">
        <f>IF($A124="","",COUNTIFS($A$3:$A124,$A124))</f>
        <v/>
      </c>
      <c r="G124" s="40" t="str">
        <f>IF($A124="","",$A124&amp;"|"&amp;$F124)</f>
        <v/>
      </c>
    </row>
    <row r="125" ht="15" customHeight="1" s="30">
      <c r="A125" s="36" t="n"/>
      <c r="B125" s="40" t="str">
        <f>IF($A125="","",IFERROR(INDEX(품목목록!$B$3:$B$302,MATCH($A125,품목목록!$A$3:$A$302,0)),"미등록"))</f>
        <v/>
      </c>
      <c r="C125" s="36" t="n"/>
      <c r="D125" s="40" t="str">
        <f>IF($C125="","",IFERROR(INDEX(품목목록!$B$3:$B$302,MATCH($C125,품목목록!$A$3:$A$302,0)),"미등록"))</f>
        <v/>
      </c>
      <c r="E125" s="41" t="n"/>
      <c r="F125" s="40" t="str">
        <f>IF($A125="","",COUNTIFS($A$3:$A125,$A125))</f>
        <v/>
      </c>
      <c r="G125" s="40" t="str">
        <f>IF($A125="","",$A125&amp;"|"&amp;$F125)</f>
        <v/>
      </c>
    </row>
    <row r="126" ht="15" customHeight="1" s="30">
      <c r="A126" s="36" t="n"/>
      <c r="B126" s="40" t="str">
        <f>IF($A126="","",IFERROR(INDEX(품목목록!$B$3:$B$302,MATCH($A126,품목목록!$A$3:$A$302,0)),"미등록"))</f>
        <v/>
      </c>
      <c r="C126" s="36" t="n"/>
      <c r="D126" s="40" t="str">
        <f>IF($C126="","",IFERROR(INDEX(품목목록!$B$3:$B$302,MATCH($C126,품목목록!$A$3:$A$302,0)),"미등록"))</f>
        <v/>
      </c>
      <c r="E126" s="41" t="n"/>
      <c r="F126" s="40" t="str">
        <f>IF($A126="","",COUNTIFS($A$3:$A126,$A126))</f>
        <v/>
      </c>
      <c r="G126" s="40" t="str">
        <f>IF($A126="","",$A126&amp;"|"&amp;$F126)</f>
        <v/>
      </c>
    </row>
    <row r="127" ht="15" customHeight="1" s="30">
      <c r="A127" s="36" t="n"/>
      <c r="B127" s="40" t="str">
        <f>IF($A127="","",IFERROR(INDEX(품목목록!$B$3:$B$302,MATCH($A127,품목목록!$A$3:$A$302,0)),"미등록"))</f>
        <v/>
      </c>
      <c r="C127" s="36" t="n"/>
      <c r="D127" s="40" t="str">
        <f>IF($C127="","",IFERROR(INDEX(품목목록!$B$3:$B$302,MATCH($C127,품목목록!$A$3:$A$302,0)),"미등록"))</f>
        <v/>
      </c>
      <c r="E127" s="41" t="n"/>
      <c r="F127" s="40" t="str">
        <f>IF($A127="","",COUNTIFS($A$3:$A127,$A127))</f>
        <v/>
      </c>
      <c r="G127" s="40" t="str">
        <f>IF($A127="","",$A127&amp;"|"&amp;$F127)</f>
        <v/>
      </c>
    </row>
    <row r="128" ht="15" customHeight="1" s="30">
      <c r="A128" s="36" t="n"/>
      <c r="B128" s="40" t="str">
        <f>IF($A128="","",IFERROR(INDEX(품목목록!$B$3:$B$302,MATCH($A128,품목목록!$A$3:$A$302,0)),"미등록"))</f>
        <v/>
      </c>
      <c r="C128" s="36" t="n"/>
      <c r="D128" s="40" t="str">
        <f>IF($C128="","",IFERROR(INDEX(품목목록!$B$3:$B$302,MATCH($C128,품목목록!$A$3:$A$302,0)),"미등록"))</f>
        <v/>
      </c>
      <c r="E128" s="41" t="n"/>
      <c r="F128" s="40" t="str">
        <f>IF($A128="","",COUNTIFS($A$3:$A128,$A128))</f>
        <v/>
      </c>
      <c r="G128" s="40" t="str">
        <f>IF($A128="","",$A128&amp;"|"&amp;$F128)</f>
        <v/>
      </c>
    </row>
    <row r="129" ht="15" customHeight="1" s="30">
      <c r="A129" s="36" t="n"/>
      <c r="B129" s="40" t="str">
        <f>IF($A129="","",IFERROR(INDEX(품목목록!$B$3:$B$302,MATCH($A129,품목목록!$A$3:$A$302,0)),"미등록"))</f>
        <v/>
      </c>
      <c r="C129" s="36" t="n"/>
      <c r="D129" s="40" t="str">
        <f>IF($C129="","",IFERROR(INDEX(품목목록!$B$3:$B$302,MATCH($C129,품목목록!$A$3:$A$302,0)),"미등록"))</f>
        <v/>
      </c>
      <c r="E129" s="41" t="n"/>
      <c r="F129" s="40" t="str">
        <f>IF($A129="","",COUNTIFS($A$3:$A129,$A129))</f>
        <v/>
      </c>
      <c r="G129" s="40" t="str">
        <f>IF($A129="","",$A129&amp;"|"&amp;$F129)</f>
        <v/>
      </c>
    </row>
    <row r="130" ht="15" customHeight="1" s="30">
      <c r="A130" s="36" t="n"/>
      <c r="B130" s="40" t="str">
        <f>IF($A130="","",IFERROR(INDEX(품목목록!$B$3:$B$302,MATCH($A130,품목목록!$A$3:$A$302,0)),"미등록"))</f>
        <v/>
      </c>
      <c r="C130" s="36" t="n"/>
      <c r="D130" s="40" t="str">
        <f>IF($C130="","",IFERROR(INDEX(품목목록!$B$3:$B$302,MATCH($C130,품목목록!$A$3:$A$302,0)),"미등록"))</f>
        <v/>
      </c>
      <c r="E130" s="41" t="n"/>
      <c r="F130" s="40" t="str">
        <f>IF($A130="","",COUNTIFS($A$3:$A130,$A130))</f>
        <v/>
      </c>
      <c r="G130" s="40" t="str">
        <f>IF($A130="","",$A130&amp;"|"&amp;$F130)</f>
        <v/>
      </c>
    </row>
    <row r="131" ht="15" customHeight="1" s="30">
      <c r="A131" s="36" t="n"/>
      <c r="B131" s="40" t="str">
        <f>IF($A131="","",IFERROR(INDEX(품목목록!$B$3:$B$302,MATCH($A131,품목목록!$A$3:$A$302,0)),"미등록"))</f>
        <v/>
      </c>
      <c r="C131" s="36" t="n"/>
      <c r="D131" s="40" t="str">
        <f>IF($C131="","",IFERROR(INDEX(품목목록!$B$3:$B$302,MATCH($C131,품목목록!$A$3:$A$302,0)),"미등록"))</f>
        <v/>
      </c>
      <c r="E131" s="41" t="n"/>
      <c r="F131" s="40" t="str">
        <f>IF($A131="","",COUNTIFS($A$3:$A131,$A131))</f>
        <v/>
      </c>
      <c r="G131" s="40" t="str">
        <f>IF($A131="","",$A131&amp;"|"&amp;$F131)</f>
        <v/>
      </c>
    </row>
    <row r="132" ht="15" customHeight="1" s="30">
      <c r="A132" s="36" t="n"/>
      <c r="B132" s="40" t="str">
        <f>IF($A132="","",IFERROR(INDEX(품목목록!$B$3:$B$302,MATCH($A132,품목목록!$A$3:$A$302,0)),"미등록"))</f>
        <v/>
      </c>
      <c r="C132" s="36" t="n"/>
      <c r="D132" s="40" t="str">
        <f>IF($C132="","",IFERROR(INDEX(품목목록!$B$3:$B$302,MATCH($C132,품목목록!$A$3:$A$302,0)),"미등록"))</f>
        <v/>
      </c>
      <c r="E132" s="41" t="n"/>
      <c r="F132" s="40" t="str">
        <f>IF($A132="","",COUNTIFS($A$3:$A132,$A132))</f>
        <v/>
      </c>
      <c r="G132" s="40" t="str">
        <f>IF($A132="","",$A132&amp;"|"&amp;$F132)</f>
        <v/>
      </c>
    </row>
    <row r="133" ht="15" customHeight="1" s="30">
      <c r="A133" s="36" t="n"/>
      <c r="B133" s="40" t="str">
        <f>IF($A133="","",IFERROR(INDEX(품목목록!$B$3:$B$302,MATCH($A133,품목목록!$A$3:$A$302,0)),"미등록"))</f>
        <v/>
      </c>
      <c r="C133" s="36" t="n"/>
      <c r="D133" s="40" t="str">
        <f>IF($C133="","",IFERROR(INDEX(품목목록!$B$3:$B$302,MATCH($C133,품목목록!$A$3:$A$302,0)),"미등록"))</f>
        <v/>
      </c>
      <c r="E133" s="41" t="n"/>
      <c r="F133" s="40" t="str">
        <f>IF($A133="","",COUNTIFS($A$3:$A133,$A133))</f>
        <v/>
      </c>
      <c r="G133" s="40" t="str">
        <f>IF($A133="","",$A133&amp;"|"&amp;$F133)</f>
        <v/>
      </c>
    </row>
    <row r="134" ht="15" customHeight="1" s="30">
      <c r="A134" s="36" t="n"/>
      <c r="B134" s="40" t="str">
        <f>IF($A134="","",IFERROR(INDEX(품목목록!$B$3:$B$302,MATCH($A134,품목목록!$A$3:$A$302,0)),"미등록"))</f>
        <v/>
      </c>
      <c r="C134" s="36" t="n"/>
      <c r="D134" s="40" t="str">
        <f>IF($C134="","",IFERROR(INDEX(품목목록!$B$3:$B$302,MATCH($C134,품목목록!$A$3:$A$302,0)),"미등록"))</f>
        <v/>
      </c>
      <c r="E134" s="41" t="n"/>
      <c r="F134" s="40" t="str">
        <f>IF($A134="","",COUNTIFS($A$3:$A134,$A134))</f>
        <v/>
      </c>
      <c r="G134" s="40" t="str">
        <f>IF($A134="","",$A134&amp;"|"&amp;$F134)</f>
        <v/>
      </c>
    </row>
    <row r="135" ht="15" customHeight="1" s="30">
      <c r="A135" s="36" t="n"/>
      <c r="B135" s="40" t="str">
        <f>IF($A135="","",IFERROR(INDEX(품목목록!$B$3:$B$302,MATCH($A135,품목목록!$A$3:$A$302,0)),"미등록"))</f>
        <v/>
      </c>
      <c r="C135" s="36" t="n"/>
      <c r="D135" s="40" t="str">
        <f>IF($C135="","",IFERROR(INDEX(품목목록!$B$3:$B$302,MATCH($C135,품목목록!$A$3:$A$302,0)),"미등록"))</f>
        <v/>
      </c>
      <c r="E135" s="41" t="n"/>
      <c r="F135" s="40" t="str">
        <f>IF($A135="","",COUNTIFS($A$3:$A135,$A135))</f>
        <v/>
      </c>
      <c r="G135" s="40" t="str">
        <f>IF($A135="","",$A135&amp;"|"&amp;$F135)</f>
        <v/>
      </c>
    </row>
    <row r="136" ht="15" customHeight="1" s="30">
      <c r="A136" s="36" t="n"/>
      <c r="B136" s="40" t="str">
        <f>IF($A136="","",IFERROR(INDEX(품목목록!$B$3:$B$302,MATCH($A136,품목목록!$A$3:$A$302,0)),"미등록"))</f>
        <v/>
      </c>
      <c r="C136" s="36" t="n"/>
      <c r="D136" s="40" t="str">
        <f>IF($C136="","",IFERROR(INDEX(품목목록!$B$3:$B$302,MATCH($C136,품목목록!$A$3:$A$302,0)),"미등록"))</f>
        <v/>
      </c>
      <c r="E136" s="41" t="n"/>
      <c r="F136" s="40" t="str">
        <f>IF($A136="","",COUNTIFS($A$3:$A136,$A136))</f>
        <v/>
      </c>
      <c r="G136" s="40" t="str">
        <f>IF($A136="","",$A136&amp;"|"&amp;$F136)</f>
        <v/>
      </c>
    </row>
    <row r="137" ht="15" customHeight="1" s="30">
      <c r="A137" s="36" t="n"/>
      <c r="B137" s="40" t="str">
        <f>IF($A137="","",IFERROR(INDEX(품목목록!$B$3:$B$302,MATCH($A137,품목목록!$A$3:$A$302,0)),"미등록"))</f>
        <v/>
      </c>
      <c r="C137" s="36" t="n"/>
      <c r="D137" s="40" t="str">
        <f>IF($C137="","",IFERROR(INDEX(품목목록!$B$3:$B$302,MATCH($C137,품목목록!$A$3:$A$302,0)),"미등록"))</f>
        <v/>
      </c>
      <c r="E137" s="41" t="n"/>
      <c r="F137" s="40" t="str">
        <f>IF($A137="","",COUNTIFS($A$3:$A137,$A137))</f>
        <v/>
      </c>
      <c r="G137" s="40" t="str">
        <f>IF($A137="","",$A137&amp;"|"&amp;$F137)</f>
        <v/>
      </c>
    </row>
    <row r="138" ht="15" customHeight="1" s="30">
      <c r="A138" s="36" t="n"/>
      <c r="B138" s="40" t="str">
        <f>IF($A138="","",IFERROR(INDEX(품목목록!$B$3:$B$302,MATCH($A138,품목목록!$A$3:$A$302,0)),"미등록"))</f>
        <v/>
      </c>
      <c r="C138" s="36" t="n"/>
      <c r="D138" s="40" t="str">
        <f>IF($C138="","",IFERROR(INDEX(품목목록!$B$3:$B$302,MATCH($C138,품목목록!$A$3:$A$302,0)),"미등록"))</f>
        <v/>
      </c>
      <c r="E138" s="41" t="n"/>
      <c r="F138" s="40" t="str">
        <f>IF($A138="","",COUNTIFS($A$3:$A138,$A138))</f>
        <v/>
      </c>
      <c r="G138" s="40" t="str">
        <f>IF($A138="","",$A138&amp;"|"&amp;$F138)</f>
        <v/>
      </c>
    </row>
    <row r="139" ht="15" customHeight="1" s="30">
      <c r="A139" s="36" t="n"/>
      <c r="B139" s="40" t="str">
        <f>IF($A139="","",IFERROR(INDEX(품목목록!$B$3:$B$302,MATCH($A139,품목목록!$A$3:$A$302,0)),"미등록"))</f>
        <v/>
      </c>
      <c r="C139" s="36" t="n"/>
      <c r="D139" s="40" t="str">
        <f>IF($C139="","",IFERROR(INDEX(품목목록!$B$3:$B$302,MATCH($C139,품목목록!$A$3:$A$302,0)),"미등록"))</f>
        <v/>
      </c>
      <c r="E139" s="41" t="n"/>
      <c r="F139" s="40" t="str">
        <f>IF($A139="","",COUNTIFS($A$3:$A139,$A139))</f>
        <v/>
      </c>
      <c r="G139" s="40" t="str">
        <f>IF($A139="","",$A139&amp;"|"&amp;$F139)</f>
        <v/>
      </c>
    </row>
    <row r="140" ht="15" customHeight="1" s="30">
      <c r="A140" s="36" t="n"/>
      <c r="B140" s="40" t="str">
        <f>IF($A140="","",IFERROR(INDEX(품목목록!$B$3:$B$302,MATCH($A140,품목목록!$A$3:$A$302,0)),"미등록"))</f>
        <v/>
      </c>
      <c r="C140" s="36" t="n"/>
      <c r="D140" s="40" t="str">
        <f>IF($C140="","",IFERROR(INDEX(품목목록!$B$3:$B$302,MATCH($C140,품목목록!$A$3:$A$302,0)),"미등록"))</f>
        <v/>
      </c>
      <c r="E140" s="41" t="n"/>
      <c r="F140" s="40" t="str">
        <f>IF($A140="","",COUNTIFS($A$3:$A140,$A140))</f>
        <v/>
      </c>
      <c r="G140" s="40" t="str">
        <f>IF($A140="","",$A140&amp;"|"&amp;$F140)</f>
        <v/>
      </c>
    </row>
    <row r="141" ht="15" customHeight="1" s="30">
      <c r="A141" s="36" t="n"/>
      <c r="B141" s="40" t="str">
        <f>IF($A141="","",IFERROR(INDEX(품목목록!$B$3:$B$302,MATCH($A141,품목목록!$A$3:$A$302,0)),"미등록"))</f>
        <v/>
      </c>
      <c r="C141" s="36" t="n"/>
      <c r="D141" s="40" t="str">
        <f>IF($C141="","",IFERROR(INDEX(품목목록!$B$3:$B$302,MATCH($C141,품목목록!$A$3:$A$302,0)),"미등록"))</f>
        <v/>
      </c>
      <c r="E141" s="41" t="n"/>
      <c r="F141" s="40" t="str">
        <f>IF($A141="","",COUNTIFS($A$3:$A141,$A141))</f>
        <v/>
      </c>
      <c r="G141" s="40" t="str">
        <f>IF($A141="","",$A141&amp;"|"&amp;$F141)</f>
        <v/>
      </c>
    </row>
    <row r="142" ht="15" customHeight="1" s="30">
      <c r="A142" s="36" t="n"/>
      <c r="B142" s="40" t="str">
        <f>IF($A142="","",IFERROR(INDEX(품목목록!$B$3:$B$302,MATCH($A142,품목목록!$A$3:$A$302,0)),"미등록"))</f>
        <v/>
      </c>
      <c r="C142" s="36" t="n"/>
      <c r="D142" s="40" t="str">
        <f>IF($C142="","",IFERROR(INDEX(품목목록!$B$3:$B$302,MATCH($C142,품목목록!$A$3:$A$302,0)),"미등록"))</f>
        <v/>
      </c>
      <c r="E142" s="41" t="n"/>
      <c r="F142" s="40" t="str">
        <f>IF($A142="","",COUNTIFS($A$3:$A142,$A142))</f>
        <v/>
      </c>
      <c r="G142" s="40" t="str">
        <f>IF($A142="","",$A142&amp;"|"&amp;$F142)</f>
        <v/>
      </c>
    </row>
    <row r="143" ht="15" customHeight="1" s="30">
      <c r="A143" s="36" t="n"/>
      <c r="B143" s="40" t="str">
        <f>IF($A143="","",IFERROR(INDEX(품목목록!$B$3:$B$302,MATCH($A143,품목목록!$A$3:$A$302,0)),"미등록"))</f>
        <v/>
      </c>
      <c r="C143" s="36" t="n"/>
      <c r="D143" s="40" t="str">
        <f>IF($C143="","",IFERROR(INDEX(품목목록!$B$3:$B$302,MATCH($C143,품목목록!$A$3:$A$302,0)),"미등록"))</f>
        <v/>
      </c>
      <c r="E143" s="41" t="n"/>
      <c r="F143" s="40" t="str">
        <f>IF($A143="","",COUNTIFS($A$3:$A143,$A143))</f>
        <v/>
      </c>
      <c r="G143" s="40" t="str">
        <f>IF($A143="","",$A143&amp;"|"&amp;$F143)</f>
        <v/>
      </c>
    </row>
    <row r="144" ht="15" customHeight="1" s="30">
      <c r="A144" s="36" t="n"/>
      <c r="B144" s="40" t="str">
        <f>IF($A144="","",IFERROR(INDEX(품목목록!$B$3:$B$302,MATCH($A144,품목목록!$A$3:$A$302,0)),"미등록"))</f>
        <v/>
      </c>
      <c r="C144" s="36" t="n"/>
      <c r="D144" s="40" t="str">
        <f>IF($C144="","",IFERROR(INDEX(품목목록!$B$3:$B$302,MATCH($C144,품목목록!$A$3:$A$302,0)),"미등록"))</f>
        <v/>
      </c>
      <c r="E144" s="41" t="n"/>
      <c r="F144" s="40" t="str">
        <f>IF($A144="","",COUNTIFS($A$3:$A144,$A144))</f>
        <v/>
      </c>
      <c r="G144" s="40" t="str">
        <f>IF($A144="","",$A144&amp;"|"&amp;$F144)</f>
        <v/>
      </c>
    </row>
    <row r="145" ht="15" customHeight="1" s="30">
      <c r="A145" s="36" t="n"/>
      <c r="B145" s="40" t="str">
        <f>IF($A145="","",IFERROR(INDEX(품목목록!$B$3:$B$302,MATCH($A145,품목목록!$A$3:$A$302,0)),"미등록"))</f>
        <v/>
      </c>
      <c r="C145" s="36" t="n"/>
      <c r="D145" s="40" t="str">
        <f>IF($C145="","",IFERROR(INDEX(품목목록!$B$3:$B$302,MATCH($C145,품목목록!$A$3:$A$302,0)),"미등록"))</f>
        <v/>
      </c>
      <c r="E145" s="41" t="n"/>
      <c r="F145" s="40" t="str">
        <f>IF($A145="","",COUNTIFS($A$3:$A145,$A145))</f>
        <v/>
      </c>
      <c r="G145" s="40" t="str">
        <f>IF($A145="","",$A145&amp;"|"&amp;$F145)</f>
        <v/>
      </c>
    </row>
    <row r="146" ht="15" customHeight="1" s="30">
      <c r="A146" s="36" t="n"/>
      <c r="B146" s="40" t="str">
        <f>IF($A146="","",IFERROR(INDEX(품목목록!$B$3:$B$302,MATCH($A146,품목목록!$A$3:$A$302,0)),"미등록"))</f>
        <v/>
      </c>
      <c r="C146" s="36" t="n"/>
      <c r="D146" s="40" t="str">
        <f>IF($C146="","",IFERROR(INDEX(품목목록!$B$3:$B$302,MATCH($C146,품목목록!$A$3:$A$302,0)),"미등록"))</f>
        <v/>
      </c>
      <c r="E146" s="41" t="n"/>
      <c r="F146" s="40" t="str">
        <f>IF($A146="","",COUNTIFS($A$3:$A146,$A146))</f>
        <v/>
      </c>
      <c r="G146" s="40" t="str">
        <f>IF($A146="","",$A146&amp;"|"&amp;$F146)</f>
        <v/>
      </c>
    </row>
    <row r="147" ht="15" customHeight="1" s="30">
      <c r="A147" s="36" t="n"/>
      <c r="B147" s="40" t="str">
        <f>IF($A147="","",IFERROR(INDEX(품목목록!$B$3:$B$302,MATCH($A147,품목목록!$A$3:$A$302,0)),"미등록"))</f>
        <v/>
      </c>
      <c r="C147" s="36" t="n"/>
      <c r="D147" s="40" t="str">
        <f>IF($C147="","",IFERROR(INDEX(품목목록!$B$3:$B$302,MATCH($C147,품목목록!$A$3:$A$302,0)),"미등록"))</f>
        <v/>
      </c>
      <c r="E147" s="41" t="n"/>
      <c r="F147" s="40" t="str">
        <f>IF($A147="","",COUNTIFS($A$3:$A147,$A147))</f>
        <v/>
      </c>
      <c r="G147" s="40" t="str">
        <f>IF($A147="","",$A147&amp;"|"&amp;$F147)</f>
        <v/>
      </c>
    </row>
    <row r="148" ht="15" customHeight="1" s="30">
      <c r="A148" s="36" t="n"/>
      <c r="B148" s="40" t="str">
        <f>IF($A148="","",IFERROR(INDEX(품목목록!$B$3:$B$302,MATCH($A148,품목목록!$A$3:$A$302,0)),"미등록"))</f>
        <v/>
      </c>
      <c r="C148" s="36" t="n"/>
      <c r="D148" s="40" t="str">
        <f>IF($C148="","",IFERROR(INDEX(품목목록!$B$3:$B$302,MATCH($C148,품목목록!$A$3:$A$302,0)),"미등록"))</f>
        <v/>
      </c>
      <c r="E148" s="41" t="n"/>
      <c r="F148" s="40" t="str">
        <f>IF($A148="","",COUNTIFS($A$3:$A148,$A148))</f>
        <v/>
      </c>
      <c r="G148" s="40" t="str">
        <f>IF($A148="","",$A148&amp;"|"&amp;$F148)</f>
        <v/>
      </c>
    </row>
    <row r="149" ht="15" customHeight="1" s="30">
      <c r="A149" s="36" t="n"/>
      <c r="B149" s="40" t="str">
        <f>IF($A149="","",IFERROR(INDEX(품목목록!$B$3:$B$302,MATCH($A149,품목목록!$A$3:$A$302,0)),"미등록"))</f>
        <v/>
      </c>
      <c r="C149" s="36" t="n"/>
      <c r="D149" s="40" t="str">
        <f>IF($C149="","",IFERROR(INDEX(품목목록!$B$3:$B$302,MATCH($C149,품목목록!$A$3:$A$302,0)),"미등록"))</f>
        <v/>
      </c>
      <c r="E149" s="41" t="n"/>
      <c r="F149" s="40" t="str">
        <f>IF($A149="","",COUNTIFS($A$3:$A149,$A149))</f>
        <v/>
      </c>
      <c r="G149" s="40" t="str">
        <f>IF($A149="","",$A149&amp;"|"&amp;$F149)</f>
        <v/>
      </c>
    </row>
    <row r="150" ht="15" customHeight="1" s="30">
      <c r="A150" s="36" t="n"/>
      <c r="B150" s="40" t="str">
        <f>IF($A150="","",IFERROR(INDEX(품목목록!$B$3:$B$302,MATCH($A150,품목목록!$A$3:$A$302,0)),"미등록"))</f>
        <v/>
      </c>
      <c r="C150" s="36" t="n"/>
      <c r="D150" s="40" t="str">
        <f>IF($C150="","",IFERROR(INDEX(품목목록!$B$3:$B$302,MATCH($C150,품목목록!$A$3:$A$302,0)),"미등록"))</f>
        <v/>
      </c>
      <c r="E150" s="41" t="n"/>
      <c r="F150" s="40" t="str">
        <f>IF($A150="","",COUNTIFS($A$3:$A150,$A150))</f>
        <v/>
      </c>
      <c r="G150" s="40" t="str">
        <f>IF($A150="","",$A150&amp;"|"&amp;$F150)</f>
        <v/>
      </c>
    </row>
    <row r="151" ht="15" customHeight="1" s="30">
      <c r="A151" s="36" t="n"/>
      <c r="B151" s="40" t="str">
        <f>IF($A151="","",IFERROR(INDEX(품목목록!$B$3:$B$302,MATCH($A151,품목목록!$A$3:$A$302,0)),"미등록"))</f>
        <v/>
      </c>
      <c r="C151" s="36" t="n"/>
      <c r="D151" s="40" t="str">
        <f>IF($C151="","",IFERROR(INDEX(품목목록!$B$3:$B$302,MATCH($C151,품목목록!$A$3:$A$302,0)),"미등록"))</f>
        <v/>
      </c>
      <c r="E151" s="41" t="n"/>
      <c r="F151" s="40" t="str">
        <f>IF($A151="","",COUNTIFS($A$3:$A151,$A151))</f>
        <v/>
      </c>
      <c r="G151" s="40" t="str">
        <f>IF($A151="","",$A151&amp;"|"&amp;$F151)</f>
        <v/>
      </c>
    </row>
    <row r="152" ht="15" customHeight="1" s="30">
      <c r="A152" s="36" t="n"/>
      <c r="B152" s="40" t="str">
        <f>IF($A152="","",IFERROR(INDEX(품목목록!$B$3:$B$302,MATCH($A152,품목목록!$A$3:$A$302,0)),"미등록"))</f>
        <v/>
      </c>
      <c r="C152" s="36" t="n"/>
      <c r="D152" s="40" t="str">
        <f>IF($C152="","",IFERROR(INDEX(품목목록!$B$3:$B$302,MATCH($C152,품목목록!$A$3:$A$302,0)),"미등록"))</f>
        <v/>
      </c>
      <c r="E152" s="41" t="n"/>
      <c r="F152" s="40" t="str">
        <f>IF($A152="","",COUNTIFS($A$3:$A152,$A152))</f>
        <v/>
      </c>
      <c r="G152" s="40" t="str">
        <f>IF($A152="","",$A152&amp;"|"&amp;$F152)</f>
        <v/>
      </c>
    </row>
    <row r="153" ht="15" customHeight="1" s="30">
      <c r="A153" s="36" t="n"/>
      <c r="B153" s="40" t="str">
        <f>IF($A153="","",IFERROR(INDEX(품목목록!$B$3:$B$302,MATCH($A153,품목목록!$A$3:$A$302,0)),"미등록"))</f>
        <v/>
      </c>
      <c r="C153" s="36" t="n"/>
      <c r="D153" s="40" t="str">
        <f>IF($C153="","",IFERROR(INDEX(품목목록!$B$3:$B$302,MATCH($C153,품목목록!$A$3:$A$302,0)),"미등록"))</f>
        <v/>
      </c>
      <c r="E153" s="41" t="n"/>
      <c r="F153" s="40" t="str">
        <f>IF($A153="","",COUNTIFS($A$3:$A153,$A153))</f>
        <v/>
      </c>
      <c r="G153" s="40" t="str">
        <f>IF($A153="","",$A153&amp;"|"&amp;$F153)</f>
        <v/>
      </c>
    </row>
    <row r="154" ht="15" customHeight="1" s="30">
      <c r="A154" s="36" t="n"/>
      <c r="B154" s="40" t="str">
        <f>IF($A154="","",IFERROR(INDEX(품목목록!$B$3:$B$302,MATCH($A154,품목목록!$A$3:$A$302,0)),"미등록"))</f>
        <v/>
      </c>
      <c r="C154" s="36" t="n"/>
      <c r="D154" s="40" t="str">
        <f>IF($C154="","",IFERROR(INDEX(품목목록!$B$3:$B$302,MATCH($C154,품목목록!$A$3:$A$302,0)),"미등록"))</f>
        <v/>
      </c>
      <c r="E154" s="41" t="n"/>
      <c r="F154" s="40" t="str">
        <f>IF($A154="","",COUNTIFS($A$3:$A154,$A154))</f>
        <v/>
      </c>
      <c r="G154" s="40" t="str">
        <f>IF($A154="","",$A154&amp;"|"&amp;$F154)</f>
        <v/>
      </c>
    </row>
    <row r="155" ht="15" customHeight="1" s="30">
      <c r="A155" s="36" t="n"/>
      <c r="B155" s="40" t="str">
        <f>IF($A155="","",IFERROR(INDEX(품목목록!$B$3:$B$302,MATCH($A155,품목목록!$A$3:$A$302,0)),"미등록"))</f>
        <v/>
      </c>
      <c r="C155" s="36" t="n"/>
      <c r="D155" s="40" t="str">
        <f>IF($C155="","",IFERROR(INDEX(품목목록!$B$3:$B$302,MATCH($C155,품목목록!$A$3:$A$302,0)),"미등록"))</f>
        <v/>
      </c>
      <c r="E155" s="41" t="n"/>
      <c r="F155" s="40" t="str">
        <f>IF($A155="","",COUNTIFS($A$3:$A155,$A155))</f>
        <v/>
      </c>
      <c r="G155" s="40" t="str">
        <f>IF($A155="","",$A155&amp;"|"&amp;$F155)</f>
        <v/>
      </c>
    </row>
    <row r="156" ht="15" customHeight="1" s="30">
      <c r="A156" s="36" t="n"/>
      <c r="B156" s="40" t="str">
        <f>IF($A156="","",IFERROR(INDEX(품목목록!$B$3:$B$302,MATCH($A156,품목목록!$A$3:$A$302,0)),"미등록"))</f>
        <v/>
      </c>
      <c r="C156" s="36" t="n"/>
      <c r="D156" s="40" t="str">
        <f>IF($C156="","",IFERROR(INDEX(품목목록!$B$3:$B$302,MATCH($C156,품목목록!$A$3:$A$302,0)),"미등록"))</f>
        <v/>
      </c>
      <c r="E156" s="41" t="n"/>
      <c r="F156" s="40" t="str">
        <f>IF($A156="","",COUNTIFS($A$3:$A156,$A156))</f>
        <v/>
      </c>
      <c r="G156" s="40" t="str">
        <f>IF($A156="","",$A156&amp;"|"&amp;$F156)</f>
        <v/>
      </c>
    </row>
    <row r="157" ht="15" customHeight="1" s="30">
      <c r="A157" s="36" t="n"/>
      <c r="B157" s="40" t="str">
        <f>IF($A157="","",IFERROR(INDEX(품목목록!$B$3:$B$302,MATCH($A157,품목목록!$A$3:$A$302,0)),"미등록"))</f>
        <v/>
      </c>
      <c r="C157" s="36" t="n"/>
      <c r="D157" s="40" t="str">
        <f>IF($C157="","",IFERROR(INDEX(품목목록!$B$3:$B$302,MATCH($C157,품목목록!$A$3:$A$302,0)),"미등록"))</f>
        <v/>
      </c>
      <c r="E157" s="41" t="n"/>
      <c r="F157" s="40" t="str">
        <f>IF($A157="","",COUNTIFS($A$3:$A157,$A157))</f>
        <v/>
      </c>
      <c r="G157" s="40" t="str">
        <f>IF($A157="","",$A157&amp;"|"&amp;$F157)</f>
        <v/>
      </c>
    </row>
    <row r="158" ht="15" customHeight="1" s="30">
      <c r="A158" s="36" t="n"/>
      <c r="B158" s="40" t="str">
        <f>IF($A158="","",IFERROR(INDEX(품목목록!$B$3:$B$302,MATCH($A158,품목목록!$A$3:$A$302,0)),"미등록"))</f>
        <v/>
      </c>
      <c r="C158" s="36" t="n"/>
      <c r="D158" s="40" t="str">
        <f>IF($C158="","",IFERROR(INDEX(품목목록!$B$3:$B$302,MATCH($C158,품목목록!$A$3:$A$302,0)),"미등록"))</f>
        <v/>
      </c>
      <c r="E158" s="41" t="n"/>
      <c r="F158" s="40" t="str">
        <f>IF($A158="","",COUNTIFS($A$3:$A158,$A158))</f>
        <v/>
      </c>
      <c r="G158" s="40" t="str">
        <f>IF($A158="","",$A158&amp;"|"&amp;$F158)</f>
        <v/>
      </c>
    </row>
    <row r="159" ht="15" customHeight="1" s="30">
      <c r="A159" s="36" t="n"/>
      <c r="B159" s="40" t="str">
        <f>IF($A159="","",IFERROR(INDEX(품목목록!$B$3:$B$302,MATCH($A159,품목목록!$A$3:$A$302,0)),"미등록"))</f>
        <v/>
      </c>
      <c r="C159" s="36" t="n"/>
      <c r="D159" s="40" t="str">
        <f>IF($C159="","",IFERROR(INDEX(품목목록!$B$3:$B$302,MATCH($C159,품목목록!$A$3:$A$302,0)),"미등록"))</f>
        <v/>
      </c>
      <c r="E159" s="41" t="n"/>
      <c r="F159" s="40" t="str">
        <f>IF($A159="","",COUNTIFS($A$3:$A159,$A159))</f>
        <v/>
      </c>
      <c r="G159" s="40" t="str">
        <f>IF($A159="","",$A159&amp;"|"&amp;$F159)</f>
        <v/>
      </c>
    </row>
    <row r="160" ht="15" customHeight="1" s="30">
      <c r="A160" s="36" t="n"/>
      <c r="B160" s="40" t="str">
        <f>IF($A160="","",IFERROR(INDEX(품목목록!$B$3:$B$302,MATCH($A160,품목목록!$A$3:$A$302,0)),"미등록"))</f>
        <v/>
      </c>
      <c r="C160" s="36" t="n"/>
      <c r="D160" s="40" t="str">
        <f>IF($C160="","",IFERROR(INDEX(품목목록!$B$3:$B$302,MATCH($C160,품목목록!$A$3:$A$302,0)),"미등록"))</f>
        <v/>
      </c>
      <c r="E160" s="41" t="n"/>
      <c r="F160" s="40" t="str">
        <f>IF($A160="","",COUNTIFS($A$3:$A160,$A160))</f>
        <v/>
      </c>
      <c r="G160" s="40" t="str">
        <f>IF($A160="","",$A160&amp;"|"&amp;$F160)</f>
        <v/>
      </c>
    </row>
    <row r="161" ht="15" customHeight="1" s="30">
      <c r="A161" s="36" t="n"/>
      <c r="B161" s="40" t="str">
        <f>IF($A161="","",IFERROR(INDEX(품목목록!$B$3:$B$302,MATCH($A161,품목목록!$A$3:$A$302,0)),"미등록"))</f>
        <v/>
      </c>
      <c r="C161" s="36" t="n"/>
      <c r="D161" s="40" t="str">
        <f>IF($C161="","",IFERROR(INDEX(품목목록!$B$3:$B$302,MATCH($C161,품목목록!$A$3:$A$302,0)),"미등록"))</f>
        <v/>
      </c>
      <c r="E161" s="41" t="n"/>
      <c r="F161" s="40" t="str">
        <f>IF($A161="","",COUNTIFS($A$3:$A161,$A161))</f>
        <v/>
      </c>
      <c r="G161" s="40" t="str">
        <f>IF($A161="","",$A161&amp;"|"&amp;$F161)</f>
        <v/>
      </c>
    </row>
    <row r="162" ht="15" customHeight="1" s="30">
      <c r="A162" s="36" t="n"/>
      <c r="B162" s="40" t="str">
        <f>IF($A162="","",IFERROR(INDEX(품목목록!$B$3:$B$302,MATCH($A162,품목목록!$A$3:$A$302,0)),"미등록"))</f>
        <v/>
      </c>
      <c r="C162" s="36" t="n"/>
      <c r="D162" s="40" t="str">
        <f>IF($C162="","",IFERROR(INDEX(품목목록!$B$3:$B$302,MATCH($C162,품목목록!$A$3:$A$302,0)),"미등록"))</f>
        <v/>
      </c>
      <c r="E162" s="41" t="n"/>
      <c r="F162" s="40" t="str">
        <f>IF($A162="","",COUNTIFS($A$3:$A162,$A162))</f>
        <v/>
      </c>
      <c r="G162" s="40" t="str">
        <f>IF($A162="","",$A162&amp;"|"&amp;$F162)</f>
        <v/>
      </c>
    </row>
    <row r="163" ht="15" customHeight="1" s="30">
      <c r="A163" s="36" t="n"/>
      <c r="B163" s="40" t="str">
        <f>IF($A163="","",IFERROR(INDEX(품목목록!$B$3:$B$302,MATCH($A163,품목목록!$A$3:$A$302,0)),"미등록"))</f>
        <v/>
      </c>
      <c r="C163" s="36" t="n"/>
      <c r="D163" s="40" t="str">
        <f>IF($C163="","",IFERROR(INDEX(품목목록!$B$3:$B$302,MATCH($C163,품목목록!$A$3:$A$302,0)),"미등록"))</f>
        <v/>
      </c>
      <c r="E163" s="41" t="n"/>
      <c r="F163" s="40" t="str">
        <f>IF($A163="","",COUNTIFS($A$3:$A163,$A163))</f>
        <v/>
      </c>
      <c r="G163" s="40" t="str">
        <f>IF($A163="","",$A163&amp;"|"&amp;$F163)</f>
        <v/>
      </c>
    </row>
    <row r="164" ht="15" customHeight="1" s="30">
      <c r="A164" s="36" t="n"/>
      <c r="B164" s="40" t="str">
        <f>IF($A164="","",IFERROR(INDEX(품목목록!$B$3:$B$302,MATCH($A164,품목목록!$A$3:$A$302,0)),"미등록"))</f>
        <v/>
      </c>
      <c r="C164" s="36" t="n"/>
      <c r="D164" s="40" t="str">
        <f>IF($C164="","",IFERROR(INDEX(품목목록!$B$3:$B$302,MATCH($C164,품목목록!$A$3:$A$302,0)),"미등록"))</f>
        <v/>
      </c>
      <c r="E164" s="41" t="n"/>
      <c r="F164" s="40" t="str">
        <f>IF($A164="","",COUNTIFS($A$3:$A164,$A164))</f>
        <v/>
      </c>
      <c r="G164" s="40" t="str">
        <f>IF($A164="","",$A164&amp;"|"&amp;$F164)</f>
        <v/>
      </c>
    </row>
    <row r="165" ht="15" customHeight="1" s="30">
      <c r="A165" s="36" t="n"/>
      <c r="B165" s="40" t="str">
        <f>IF($A165="","",IFERROR(INDEX(품목목록!$B$3:$B$302,MATCH($A165,품목목록!$A$3:$A$302,0)),"미등록"))</f>
        <v/>
      </c>
      <c r="C165" s="36" t="n"/>
      <c r="D165" s="40" t="str">
        <f>IF($C165="","",IFERROR(INDEX(품목목록!$B$3:$B$302,MATCH($C165,품목목록!$A$3:$A$302,0)),"미등록"))</f>
        <v/>
      </c>
      <c r="E165" s="41" t="n"/>
      <c r="F165" s="40" t="str">
        <f>IF($A165="","",COUNTIFS($A$3:$A165,$A165))</f>
        <v/>
      </c>
      <c r="G165" s="40" t="str">
        <f>IF($A165="","",$A165&amp;"|"&amp;$F165)</f>
        <v/>
      </c>
    </row>
    <row r="166" ht="15" customHeight="1" s="30">
      <c r="A166" s="36" t="n"/>
      <c r="B166" s="40" t="str">
        <f>IF($A166="","",IFERROR(INDEX(품목목록!$B$3:$B$302,MATCH($A166,품목목록!$A$3:$A$302,0)),"미등록"))</f>
        <v/>
      </c>
      <c r="C166" s="36" t="n"/>
      <c r="D166" s="40" t="str">
        <f>IF($C166="","",IFERROR(INDEX(품목목록!$B$3:$B$302,MATCH($C166,품목목록!$A$3:$A$302,0)),"미등록"))</f>
        <v/>
      </c>
      <c r="E166" s="41" t="n"/>
      <c r="F166" s="40" t="str">
        <f>IF($A166="","",COUNTIFS($A$3:$A166,$A166))</f>
        <v/>
      </c>
      <c r="G166" s="40" t="str">
        <f>IF($A166="","",$A166&amp;"|"&amp;$F166)</f>
        <v/>
      </c>
    </row>
    <row r="167" ht="15" customHeight="1" s="30">
      <c r="A167" s="36" t="n"/>
      <c r="B167" s="40" t="str">
        <f>IF($A167="","",IFERROR(INDEX(품목목록!$B$3:$B$302,MATCH($A167,품목목록!$A$3:$A$302,0)),"미등록"))</f>
        <v/>
      </c>
      <c r="C167" s="36" t="n"/>
      <c r="D167" s="40" t="str">
        <f>IF($C167="","",IFERROR(INDEX(품목목록!$B$3:$B$302,MATCH($C167,품목목록!$A$3:$A$302,0)),"미등록"))</f>
        <v/>
      </c>
      <c r="E167" s="41" t="n"/>
      <c r="F167" s="40" t="str">
        <f>IF($A167="","",COUNTIFS($A$3:$A167,$A167))</f>
        <v/>
      </c>
      <c r="G167" s="40" t="str">
        <f>IF($A167="","",$A167&amp;"|"&amp;$F167)</f>
        <v/>
      </c>
    </row>
    <row r="168" ht="15" customHeight="1" s="30">
      <c r="A168" s="36" t="n"/>
      <c r="B168" s="40" t="str">
        <f>IF($A168="","",IFERROR(INDEX(품목목록!$B$3:$B$302,MATCH($A168,품목목록!$A$3:$A$302,0)),"미등록"))</f>
        <v/>
      </c>
      <c r="C168" s="36" t="n"/>
      <c r="D168" s="40" t="str">
        <f>IF($C168="","",IFERROR(INDEX(품목목록!$B$3:$B$302,MATCH($C168,품목목록!$A$3:$A$302,0)),"미등록"))</f>
        <v/>
      </c>
      <c r="E168" s="41" t="n"/>
      <c r="F168" s="40" t="str">
        <f>IF($A168="","",COUNTIFS($A$3:$A168,$A168))</f>
        <v/>
      </c>
      <c r="G168" s="40" t="str">
        <f>IF($A168="","",$A168&amp;"|"&amp;$F168)</f>
        <v/>
      </c>
    </row>
    <row r="169" ht="15" customHeight="1" s="30">
      <c r="A169" s="36" t="n"/>
      <c r="B169" s="40" t="str">
        <f>IF($A169="","",IFERROR(INDEX(품목목록!$B$3:$B$302,MATCH($A169,품목목록!$A$3:$A$302,0)),"미등록"))</f>
        <v/>
      </c>
      <c r="C169" s="36" t="n"/>
      <c r="D169" s="40" t="str">
        <f>IF($C169="","",IFERROR(INDEX(품목목록!$B$3:$B$302,MATCH($C169,품목목록!$A$3:$A$302,0)),"미등록"))</f>
        <v/>
      </c>
      <c r="E169" s="41" t="n"/>
      <c r="F169" s="40" t="str">
        <f>IF($A169="","",COUNTIFS($A$3:$A169,$A169))</f>
        <v/>
      </c>
      <c r="G169" s="40" t="str">
        <f>IF($A169="","",$A169&amp;"|"&amp;$F169)</f>
        <v/>
      </c>
    </row>
    <row r="170" ht="15" customHeight="1" s="30">
      <c r="A170" s="36" t="n"/>
      <c r="B170" s="40" t="str">
        <f>IF($A170="","",IFERROR(INDEX(품목목록!$B$3:$B$302,MATCH($A170,품목목록!$A$3:$A$302,0)),"미등록"))</f>
        <v/>
      </c>
      <c r="C170" s="36" t="n"/>
      <c r="D170" s="40" t="str">
        <f>IF($C170="","",IFERROR(INDEX(품목목록!$B$3:$B$302,MATCH($C170,품목목록!$A$3:$A$302,0)),"미등록"))</f>
        <v/>
      </c>
      <c r="E170" s="41" t="n"/>
      <c r="F170" s="40" t="str">
        <f>IF($A170="","",COUNTIFS($A$3:$A170,$A170))</f>
        <v/>
      </c>
      <c r="G170" s="40" t="str">
        <f>IF($A170="","",$A170&amp;"|"&amp;$F170)</f>
        <v/>
      </c>
    </row>
    <row r="171" ht="15" customHeight="1" s="30">
      <c r="A171" s="36" t="n"/>
      <c r="B171" s="40" t="str">
        <f>IF($A171="","",IFERROR(INDEX(품목목록!$B$3:$B$302,MATCH($A171,품목목록!$A$3:$A$302,0)),"미등록"))</f>
        <v/>
      </c>
      <c r="C171" s="36" t="n"/>
      <c r="D171" s="40" t="str">
        <f>IF($C171="","",IFERROR(INDEX(품목목록!$B$3:$B$302,MATCH($C171,품목목록!$A$3:$A$302,0)),"미등록"))</f>
        <v/>
      </c>
      <c r="E171" s="41" t="n"/>
      <c r="F171" s="40" t="str">
        <f>IF($A171="","",COUNTIFS($A$3:$A171,$A171))</f>
        <v/>
      </c>
      <c r="G171" s="40" t="str">
        <f>IF($A171="","",$A171&amp;"|"&amp;$F171)</f>
        <v/>
      </c>
    </row>
    <row r="172" ht="15" customHeight="1" s="30">
      <c r="A172" s="36" t="n"/>
      <c r="B172" s="40" t="str">
        <f>IF($A172="","",IFERROR(INDEX(품목목록!$B$3:$B$302,MATCH($A172,품목목록!$A$3:$A$302,0)),"미등록"))</f>
        <v/>
      </c>
      <c r="C172" s="36" t="n"/>
      <c r="D172" s="40" t="str">
        <f>IF($C172="","",IFERROR(INDEX(품목목록!$B$3:$B$302,MATCH($C172,품목목록!$A$3:$A$302,0)),"미등록"))</f>
        <v/>
      </c>
      <c r="E172" s="41" t="n"/>
      <c r="F172" s="40" t="str">
        <f>IF($A172="","",COUNTIFS($A$3:$A172,$A172))</f>
        <v/>
      </c>
      <c r="G172" s="40" t="str">
        <f>IF($A172="","",$A172&amp;"|"&amp;$F172)</f>
        <v/>
      </c>
    </row>
    <row r="173" ht="15" customHeight="1" s="30">
      <c r="A173" s="36" t="n"/>
      <c r="B173" s="40" t="str">
        <f>IF($A173="","",IFERROR(INDEX(품목목록!$B$3:$B$302,MATCH($A173,품목목록!$A$3:$A$302,0)),"미등록"))</f>
        <v/>
      </c>
      <c r="C173" s="36" t="n"/>
      <c r="D173" s="40" t="str">
        <f>IF($C173="","",IFERROR(INDEX(품목목록!$B$3:$B$302,MATCH($C173,품목목록!$A$3:$A$302,0)),"미등록"))</f>
        <v/>
      </c>
      <c r="E173" s="41" t="n"/>
      <c r="F173" s="40" t="str">
        <f>IF($A173="","",COUNTIFS($A$3:$A173,$A173))</f>
        <v/>
      </c>
      <c r="G173" s="40" t="str">
        <f>IF($A173="","",$A173&amp;"|"&amp;$F173)</f>
        <v/>
      </c>
    </row>
    <row r="174" ht="15" customHeight="1" s="30">
      <c r="A174" s="36" t="n"/>
      <c r="B174" s="40" t="str">
        <f>IF($A174="","",IFERROR(INDEX(품목목록!$B$3:$B$302,MATCH($A174,품목목록!$A$3:$A$302,0)),"미등록"))</f>
        <v/>
      </c>
      <c r="C174" s="36" t="n"/>
      <c r="D174" s="40" t="str">
        <f>IF($C174="","",IFERROR(INDEX(품목목록!$B$3:$B$302,MATCH($C174,품목목록!$A$3:$A$302,0)),"미등록"))</f>
        <v/>
      </c>
      <c r="E174" s="41" t="n"/>
      <c r="F174" s="40" t="str">
        <f>IF($A174="","",COUNTIFS($A$3:$A174,$A174))</f>
        <v/>
      </c>
      <c r="G174" s="40" t="str">
        <f>IF($A174="","",$A174&amp;"|"&amp;$F174)</f>
        <v/>
      </c>
    </row>
    <row r="175" ht="15" customHeight="1" s="30">
      <c r="A175" s="36" t="n"/>
      <c r="B175" s="40" t="str">
        <f>IF($A175="","",IFERROR(INDEX(품목목록!$B$3:$B$302,MATCH($A175,품목목록!$A$3:$A$302,0)),"미등록"))</f>
        <v/>
      </c>
      <c r="C175" s="36" t="n"/>
      <c r="D175" s="40" t="str">
        <f>IF($C175="","",IFERROR(INDEX(품목목록!$B$3:$B$302,MATCH($C175,품목목록!$A$3:$A$302,0)),"미등록"))</f>
        <v/>
      </c>
      <c r="E175" s="41" t="n"/>
      <c r="F175" s="40" t="str">
        <f>IF($A175="","",COUNTIFS($A$3:$A175,$A175))</f>
        <v/>
      </c>
      <c r="G175" s="40" t="str">
        <f>IF($A175="","",$A175&amp;"|"&amp;$F175)</f>
        <v/>
      </c>
    </row>
    <row r="176" ht="15" customHeight="1" s="30">
      <c r="A176" s="36" t="n"/>
      <c r="B176" s="40" t="str">
        <f>IF($A176="","",IFERROR(INDEX(품목목록!$B$3:$B$302,MATCH($A176,품목목록!$A$3:$A$302,0)),"미등록"))</f>
        <v/>
      </c>
      <c r="C176" s="36" t="n"/>
      <c r="D176" s="40" t="str">
        <f>IF($C176="","",IFERROR(INDEX(품목목록!$B$3:$B$302,MATCH($C176,품목목록!$A$3:$A$302,0)),"미등록"))</f>
        <v/>
      </c>
      <c r="E176" s="41" t="n"/>
      <c r="F176" s="40" t="str">
        <f>IF($A176="","",COUNTIFS($A$3:$A176,$A176))</f>
        <v/>
      </c>
      <c r="G176" s="40" t="str">
        <f>IF($A176="","",$A176&amp;"|"&amp;$F176)</f>
        <v/>
      </c>
    </row>
    <row r="177" ht="15" customHeight="1" s="30">
      <c r="A177" s="36" t="n"/>
      <c r="B177" s="40" t="str">
        <f>IF($A177="","",IFERROR(INDEX(품목목록!$B$3:$B$302,MATCH($A177,품목목록!$A$3:$A$302,0)),"미등록"))</f>
        <v/>
      </c>
      <c r="C177" s="36" t="n"/>
      <c r="D177" s="40" t="str">
        <f>IF($C177="","",IFERROR(INDEX(품목목록!$B$3:$B$302,MATCH($C177,품목목록!$A$3:$A$302,0)),"미등록"))</f>
        <v/>
      </c>
      <c r="E177" s="41" t="n"/>
      <c r="F177" s="40" t="str">
        <f>IF($A177="","",COUNTIFS($A$3:$A177,$A177))</f>
        <v/>
      </c>
      <c r="G177" s="40" t="str">
        <f>IF($A177="","",$A177&amp;"|"&amp;$F177)</f>
        <v/>
      </c>
    </row>
    <row r="178" ht="15" customHeight="1" s="30">
      <c r="A178" s="36" t="n"/>
      <c r="B178" s="40" t="str">
        <f>IF($A178="","",IFERROR(INDEX(품목목록!$B$3:$B$302,MATCH($A178,품목목록!$A$3:$A$302,0)),"미등록"))</f>
        <v/>
      </c>
      <c r="C178" s="36" t="n"/>
      <c r="D178" s="40" t="str">
        <f>IF($C178="","",IFERROR(INDEX(품목목록!$B$3:$B$302,MATCH($C178,품목목록!$A$3:$A$302,0)),"미등록"))</f>
        <v/>
      </c>
      <c r="E178" s="41" t="n"/>
      <c r="F178" s="40" t="str">
        <f>IF($A178="","",COUNTIFS($A$3:$A178,$A178))</f>
        <v/>
      </c>
      <c r="G178" s="40" t="str">
        <f>IF($A178="","",$A178&amp;"|"&amp;$F178)</f>
        <v/>
      </c>
    </row>
    <row r="179" ht="15" customHeight="1" s="30">
      <c r="A179" s="36" t="n"/>
      <c r="B179" s="40" t="str">
        <f>IF($A179="","",IFERROR(INDEX(품목목록!$B$3:$B$302,MATCH($A179,품목목록!$A$3:$A$302,0)),"미등록"))</f>
        <v/>
      </c>
      <c r="C179" s="36" t="n"/>
      <c r="D179" s="40" t="str">
        <f>IF($C179="","",IFERROR(INDEX(품목목록!$B$3:$B$302,MATCH($C179,품목목록!$A$3:$A$302,0)),"미등록"))</f>
        <v/>
      </c>
      <c r="E179" s="41" t="n"/>
      <c r="F179" s="40" t="str">
        <f>IF($A179="","",COUNTIFS($A$3:$A179,$A179))</f>
        <v/>
      </c>
      <c r="G179" s="40" t="str">
        <f>IF($A179="","",$A179&amp;"|"&amp;$F179)</f>
        <v/>
      </c>
    </row>
    <row r="180" ht="15" customHeight="1" s="30">
      <c r="A180" s="36" t="n"/>
      <c r="B180" s="40" t="str">
        <f>IF($A180="","",IFERROR(INDEX(품목목록!$B$3:$B$302,MATCH($A180,품목목록!$A$3:$A$302,0)),"미등록"))</f>
        <v/>
      </c>
      <c r="C180" s="36" t="n"/>
      <c r="D180" s="40" t="str">
        <f>IF($C180="","",IFERROR(INDEX(품목목록!$B$3:$B$302,MATCH($C180,품목목록!$A$3:$A$302,0)),"미등록"))</f>
        <v/>
      </c>
      <c r="E180" s="41" t="n"/>
      <c r="F180" s="40" t="str">
        <f>IF($A180="","",COUNTIFS($A$3:$A180,$A180))</f>
        <v/>
      </c>
      <c r="G180" s="40" t="str">
        <f>IF($A180="","",$A180&amp;"|"&amp;$F180)</f>
        <v/>
      </c>
    </row>
    <row r="181" ht="15" customHeight="1" s="30">
      <c r="A181" s="36" t="n"/>
      <c r="B181" s="40" t="str">
        <f>IF($A181="","",IFERROR(INDEX(품목목록!$B$3:$B$302,MATCH($A181,품목목록!$A$3:$A$302,0)),"미등록"))</f>
        <v/>
      </c>
      <c r="C181" s="36" t="n"/>
      <c r="D181" s="40" t="str">
        <f>IF($C181="","",IFERROR(INDEX(품목목록!$B$3:$B$302,MATCH($C181,품목목록!$A$3:$A$302,0)),"미등록"))</f>
        <v/>
      </c>
      <c r="E181" s="41" t="n"/>
      <c r="F181" s="40" t="str">
        <f>IF($A181="","",COUNTIFS($A$3:$A181,$A181))</f>
        <v/>
      </c>
      <c r="G181" s="40" t="str">
        <f>IF($A181="","",$A181&amp;"|"&amp;$F181)</f>
        <v/>
      </c>
    </row>
    <row r="182" ht="15" customHeight="1" s="30">
      <c r="A182" s="36" t="n"/>
      <c r="B182" s="40" t="str">
        <f>IF($A182="","",IFERROR(INDEX(품목목록!$B$3:$B$302,MATCH($A182,품목목록!$A$3:$A$302,0)),"미등록"))</f>
        <v/>
      </c>
      <c r="C182" s="36" t="n"/>
      <c r="D182" s="40" t="str">
        <f>IF($C182="","",IFERROR(INDEX(품목목록!$B$3:$B$302,MATCH($C182,품목목록!$A$3:$A$302,0)),"미등록"))</f>
        <v/>
      </c>
      <c r="E182" s="41" t="n"/>
      <c r="F182" s="40" t="str">
        <f>IF($A182="","",COUNTIFS($A$3:$A182,$A182))</f>
        <v/>
      </c>
      <c r="G182" s="40" t="str">
        <f>IF($A182="","",$A182&amp;"|"&amp;$F182)</f>
        <v/>
      </c>
    </row>
    <row r="183" ht="15" customHeight="1" s="30">
      <c r="A183" s="36" t="n"/>
      <c r="B183" s="40" t="str">
        <f>IF($A183="","",IFERROR(INDEX(품목목록!$B$3:$B$302,MATCH($A183,품목목록!$A$3:$A$302,0)),"미등록"))</f>
        <v/>
      </c>
      <c r="C183" s="36" t="n"/>
      <c r="D183" s="40" t="str">
        <f>IF($C183="","",IFERROR(INDEX(품목목록!$B$3:$B$302,MATCH($C183,품목목록!$A$3:$A$302,0)),"미등록"))</f>
        <v/>
      </c>
      <c r="E183" s="41" t="n"/>
      <c r="F183" s="40" t="str">
        <f>IF($A183="","",COUNTIFS($A$3:$A183,$A183))</f>
        <v/>
      </c>
      <c r="G183" s="40" t="str">
        <f>IF($A183="","",$A183&amp;"|"&amp;$F183)</f>
        <v/>
      </c>
    </row>
    <row r="184" ht="15" customHeight="1" s="30">
      <c r="A184" s="36" t="n"/>
      <c r="B184" s="40" t="str">
        <f>IF($A184="","",IFERROR(INDEX(품목목록!$B$3:$B$302,MATCH($A184,품목목록!$A$3:$A$302,0)),"미등록"))</f>
        <v/>
      </c>
      <c r="C184" s="36" t="n"/>
      <c r="D184" s="40" t="str">
        <f>IF($C184="","",IFERROR(INDEX(품목목록!$B$3:$B$302,MATCH($C184,품목목록!$A$3:$A$302,0)),"미등록"))</f>
        <v/>
      </c>
      <c r="E184" s="41" t="n"/>
      <c r="F184" s="40" t="str">
        <f>IF($A184="","",COUNTIFS($A$3:$A184,$A184))</f>
        <v/>
      </c>
      <c r="G184" s="40" t="str">
        <f>IF($A184="","",$A184&amp;"|"&amp;$F184)</f>
        <v/>
      </c>
    </row>
    <row r="185" ht="15" customHeight="1" s="30">
      <c r="A185" s="36" t="n"/>
      <c r="B185" s="40" t="str">
        <f>IF($A185="","",IFERROR(INDEX(품목목록!$B$3:$B$302,MATCH($A185,품목목록!$A$3:$A$302,0)),"미등록"))</f>
        <v/>
      </c>
      <c r="C185" s="36" t="n"/>
      <c r="D185" s="40" t="str">
        <f>IF($C185="","",IFERROR(INDEX(품목목록!$B$3:$B$302,MATCH($C185,품목목록!$A$3:$A$302,0)),"미등록"))</f>
        <v/>
      </c>
      <c r="E185" s="41" t="n"/>
      <c r="F185" s="40" t="str">
        <f>IF($A185="","",COUNTIFS($A$3:$A185,$A185))</f>
        <v/>
      </c>
      <c r="G185" s="40" t="str">
        <f>IF($A185="","",$A185&amp;"|"&amp;$F185)</f>
        <v/>
      </c>
    </row>
    <row r="186" ht="15" customHeight="1" s="30">
      <c r="A186" s="36" t="n"/>
      <c r="B186" s="40" t="str">
        <f>IF($A186="","",IFERROR(INDEX(품목목록!$B$3:$B$302,MATCH($A186,품목목록!$A$3:$A$302,0)),"미등록"))</f>
        <v/>
      </c>
      <c r="C186" s="36" t="n"/>
      <c r="D186" s="40" t="str">
        <f>IF($C186="","",IFERROR(INDEX(품목목록!$B$3:$B$302,MATCH($C186,품목목록!$A$3:$A$302,0)),"미등록"))</f>
        <v/>
      </c>
      <c r="E186" s="41" t="n"/>
      <c r="F186" s="40" t="str">
        <f>IF($A186="","",COUNTIFS($A$3:$A186,$A186))</f>
        <v/>
      </c>
      <c r="G186" s="40" t="str">
        <f>IF($A186="","",$A186&amp;"|"&amp;$F186)</f>
        <v/>
      </c>
    </row>
    <row r="187" ht="15" customHeight="1" s="30">
      <c r="A187" s="36" t="n"/>
      <c r="B187" s="40" t="str">
        <f>IF($A187="","",IFERROR(INDEX(품목목록!$B$3:$B$302,MATCH($A187,품목목록!$A$3:$A$302,0)),"미등록"))</f>
        <v/>
      </c>
      <c r="C187" s="36" t="n"/>
      <c r="D187" s="40" t="str">
        <f>IF($C187="","",IFERROR(INDEX(품목목록!$B$3:$B$302,MATCH($C187,품목목록!$A$3:$A$302,0)),"미등록"))</f>
        <v/>
      </c>
      <c r="E187" s="41" t="n"/>
      <c r="F187" s="40" t="str">
        <f>IF($A187="","",COUNTIFS($A$3:$A187,$A187))</f>
        <v/>
      </c>
      <c r="G187" s="40" t="str">
        <f>IF($A187="","",$A187&amp;"|"&amp;$F187)</f>
        <v/>
      </c>
    </row>
    <row r="188" ht="15" customHeight="1" s="30">
      <c r="A188" s="36" t="n"/>
      <c r="B188" s="40" t="str">
        <f>IF($A188="","",IFERROR(INDEX(품목목록!$B$3:$B$302,MATCH($A188,품목목록!$A$3:$A$302,0)),"미등록"))</f>
        <v/>
      </c>
      <c r="C188" s="36" t="n"/>
      <c r="D188" s="40" t="str">
        <f>IF($C188="","",IFERROR(INDEX(품목목록!$B$3:$B$302,MATCH($C188,품목목록!$A$3:$A$302,0)),"미등록"))</f>
        <v/>
      </c>
      <c r="E188" s="41" t="n"/>
      <c r="F188" s="40" t="str">
        <f>IF($A188="","",COUNTIFS($A$3:$A188,$A188))</f>
        <v/>
      </c>
      <c r="G188" s="40" t="str">
        <f>IF($A188="","",$A188&amp;"|"&amp;$F188)</f>
        <v/>
      </c>
    </row>
    <row r="189" ht="15" customHeight="1" s="30">
      <c r="A189" s="36" t="n"/>
      <c r="B189" s="40" t="str">
        <f>IF($A189="","",IFERROR(INDEX(품목목록!$B$3:$B$302,MATCH($A189,품목목록!$A$3:$A$302,0)),"미등록"))</f>
        <v/>
      </c>
      <c r="C189" s="36" t="n"/>
      <c r="D189" s="40" t="str">
        <f>IF($C189="","",IFERROR(INDEX(품목목록!$B$3:$B$302,MATCH($C189,품목목록!$A$3:$A$302,0)),"미등록"))</f>
        <v/>
      </c>
      <c r="E189" s="41" t="n"/>
      <c r="F189" s="40" t="str">
        <f>IF($A189="","",COUNTIFS($A$3:$A189,$A189))</f>
        <v/>
      </c>
      <c r="G189" s="40" t="str">
        <f>IF($A189="","",$A189&amp;"|"&amp;$F189)</f>
        <v/>
      </c>
    </row>
    <row r="190" ht="15" customHeight="1" s="30">
      <c r="A190" s="36" t="n"/>
      <c r="B190" s="40" t="str">
        <f>IF($A190="","",IFERROR(INDEX(품목목록!$B$3:$B$302,MATCH($A190,품목목록!$A$3:$A$302,0)),"미등록"))</f>
        <v/>
      </c>
      <c r="C190" s="36" t="n"/>
      <c r="D190" s="40" t="str">
        <f>IF($C190="","",IFERROR(INDEX(품목목록!$B$3:$B$302,MATCH($C190,품목목록!$A$3:$A$302,0)),"미등록"))</f>
        <v/>
      </c>
      <c r="E190" s="41" t="n"/>
      <c r="F190" s="40" t="str">
        <f>IF($A190="","",COUNTIFS($A$3:$A190,$A190))</f>
        <v/>
      </c>
      <c r="G190" s="40" t="str">
        <f>IF($A190="","",$A190&amp;"|"&amp;$F190)</f>
        <v/>
      </c>
    </row>
    <row r="191" ht="15" customHeight="1" s="30">
      <c r="A191" s="36" t="n"/>
      <c r="B191" s="40" t="str">
        <f>IF($A191="","",IFERROR(INDEX(품목목록!$B$3:$B$302,MATCH($A191,품목목록!$A$3:$A$302,0)),"미등록"))</f>
        <v/>
      </c>
      <c r="C191" s="36" t="n"/>
      <c r="D191" s="40" t="str">
        <f>IF($C191="","",IFERROR(INDEX(품목목록!$B$3:$B$302,MATCH($C191,품목목록!$A$3:$A$302,0)),"미등록"))</f>
        <v/>
      </c>
      <c r="E191" s="41" t="n"/>
      <c r="F191" s="40" t="str">
        <f>IF($A191="","",COUNTIFS($A$3:$A191,$A191))</f>
        <v/>
      </c>
      <c r="G191" s="40" t="str">
        <f>IF($A191="","",$A191&amp;"|"&amp;$F191)</f>
        <v/>
      </c>
    </row>
    <row r="192" ht="15" customHeight="1" s="30">
      <c r="A192" s="36" t="n"/>
      <c r="B192" s="40" t="str">
        <f>IF($A192="","",IFERROR(INDEX(품목목록!$B$3:$B$302,MATCH($A192,품목목록!$A$3:$A$302,0)),"미등록"))</f>
        <v/>
      </c>
      <c r="C192" s="36" t="n"/>
      <c r="D192" s="40" t="str">
        <f>IF($C192="","",IFERROR(INDEX(품목목록!$B$3:$B$302,MATCH($C192,품목목록!$A$3:$A$302,0)),"미등록"))</f>
        <v/>
      </c>
      <c r="E192" s="41" t="n"/>
      <c r="F192" s="40" t="str">
        <f>IF($A192="","",COUNTIFS($A$3:$A192,$A192))</f>
        <v/>
      </c>
      <c r="G192" s="40" t="str">
        <f>IF($A192="","",$A192&amp;"|"&amp;$F192)</f>
        <v/>
      </c>
    </row>
    <row r="193" ht="15" customHeight="1" s="30">
      <c r="A193" s="36" t="n"/>
      <c r="B193" s="40" t="str">
        <f>IF($A193="","",IFERROR(INDEX(품목목록!$B$3:$B$302,MATCH($A193,품목목록!$A$3:$A$302,0)),"미등록"))</f>
        <v/>
      </c>
      <c r="C193" s="36" t="n"/>
      <c r="D193" s="40" t="str">
        <f>IF($C193="","",IFERROR(INDEX(품목목록!$B$3:$B$302,MATCH($C193,품목목록!$A$3:$A$302,0)),"미등록"))</f>
        <v/>
      </c>
      <c r="E193" s="41" t="n"/>
      <c r="F193" s="40" t="str">
        <f>IF($A193="","",COUNTIFS($A$3:$A193,$A193))</f>
        <v/>
      </c>
      <c r="G193" s="40" t="str">
        <f>IF($A193="","",$A193&amp;"|"&amp;$F193)</f>
        <v/>
      </c>
    </row>
    <row r="194" ht="15" customHeight="1" s="30">
      <c r="A194" s="36" t="n"/>
      <c r="B194" s="40" t="str">
        <f>IF($A194="","",IFERROR(INDEX(품목목록!$B$3:$B$302,MATCH($A194,품목목록!$A$3:$A$302,0)),"미등록"))</f>
        <v/>
      </c>
      <c r="C194" s="36" t="n"/>
      <c r="D194" s="40" t="str">
        <f>IF($C194="","",IFERROR(INDEX(품목목록!$B$3:$B$302,MATCH($C194,품목목록!$A$3:$A$302,0)),"미등록"))</f>
        <v/>
      </c>
      <c r="E194" s="41" t="n"/>
      <c r="F194" s="40" t="str">
        <f>IF($A194="","",COUNTIFS($A$3:$A194,$A194))</f>
        <v/>
      </c>
      <c r="G194" s="40" t="str">
        <f>IF($A194="","",$A194&amp;"|"&amp;$F194)</f>
        <v/>
      </c>
    </row>
    <row r="195" ht="15" customHeight="1" s="30">
      <c r="A195" s="36" t="n"/>
      <c r="B195" s="40" t="str">
        <f>IF($A195="","",IFERROR(INDEX(품목목록!$B$3:$B$302,MATCH($A195,품목목록!$A$3:$A$302,0)),"미등록"))</f>
        <v/>
      </c>
      <c r="C195" s="36" t="n"/>
      <c r="D195" s="40" t="str">
        <f>IF($C195="","",IFERROR(INDEX(품목목록!$B$3:$B$302,MATCH($C195,품목목록!$A$3:$A$302,0)),"미등록"))</f>
        <v/>
      </c>
      <c r="E195" s="41" t="n"/>
      <c r="F195" s="40" t="str">
        <f>IF($A195="","",COUNTIFS($A$3:$A195,$A195))</f>
        <v/>
      </c>
      <c r="G195" s="40" t="str">
        <f>IF($A195="","",$A195&amp;"|"&amp;$F195)</f>
        <v/>
      </c>
    </row>
    <row r="196" ht="15" customHeight="1" s="30">
      <c r="A196" s="36" t="n"/>
      <c r="B196" s="40" t="str">
        <f>IF($A196="","",IFERROR(INDEX(품목목록!$B$3:$B$302,MATCH($A196,품목목록!$A$3:$A$302,0)),"미등록"))</f>
        <v/>
      </c>
      <c r="C196" s="36" t="n"/>
      <c r="D196" s="40" t="str">
        <f>IF($C196="","",IFERROR(INDEX(품목목록!$B$3:$B$302,MATCH($C196,품목목록!$A$3:$A$302,0)),"미등록"))</f>
        <v/>
      </c>
      <c r="E196" s="41" t="n"/>
      <c r="F196" s="40" t="str">
        <f>IF($A196="","",COUNTIFS($A$3:$A196,$A196))</f>
        <v/>
      </c>
      <c r="G196" s="40" t="str">
        <f>IF($A196="","",$A196&amp;"|"&amp;$F196)</f>
        <v/>
      </c>
    </row>
    <row r="197" ht="15" customHeight="1" s="30">
      <c r="A197" s="36" t="n"/>
      <c r="B197" s="40" t="str">
        <f>IF($A197="","",IFERROR(INDEX(품목목록!$B$3:$B$302,MATCH($A197,품목목록!$A$3:$A$302,0)),"미등록"))</f>
        <v/>
      </c>
      <c r="C197" s="36" t="n"/>
      <c r="D197" s="40" t="str">
        <f>IF($C197="","",IFERROR(INDEX(품목목록!$B$3:$B$302,MATCH($C197,품목목록!$A$3:$A$302,0)),"미등록"))</f>
        <v/>
      </c>
      <c r="E197" s="41" t="n"/>
      <c r="F197" s="40" t="str">
        <f>IF($A197="","",COUNTIFS($A$3:$A197,$A197))</f>
        <v/>
      </c>
      <c r="G197" s="40" t="str">
        <f>IF($A197="","",$A197&amp;"|"&amp;$F197)</f>
        <v/>
      </c>
    </row>
    <row r="198" ht="15" customHeight="1" s="30">
      <c r="A198" s="36" t="n"/>
      <c r="B198" s="40" t="str">
        <f>IF($A198="","",IFERROR(INDEX(품목목록!$B$3:$B$302,MATCH($A198,품목목록!$A$3:$A$302,0)),"미등록"))</f>
        <v/>
      </c>
      <c r="C198" s="36" t="n"/>
      <c r="D198" s="40" t="str">
        <f>IF($C198="","",IFERROR(INDEX(품목목록!$B$3:$B$302,MATCH($C198,품목목록!$A$3:$A$302,0)),"미등록"))</f>
        <v/>
      </c>
      <c r="E198" s="41" t="n"/>
      <c r="F198" s="40" t="str">
        <f>IF($A198="","",COUNTIFS($A$3:$A198,$A198))</f>
        <v/>
      </c>
      <c r="G198" s="40" t="str">
        <f>IF($A198="","",$A198&amp;"|"&amp;$F198)</f>
        <v/>
      </c>
    </row>
    <row r="199" ht="15" customHeight="1" s="30">
      <c r="A199" s="36" t="n"/>
      <c r="B199" s="40" t="str">
        <f>IF($A199="","",IFERROR(INDEX(품목목록!$B$3:$B$302,MATCH($A199,품목목록!$A$3:$A$302,0)),"미등록"))</f>
        <v/>
      </c>
      <c r="C199" s="36" t="n"/>
      <c r="D199" s="40" t="str">
        <f>IF($C199="","",IFERROR(INDEX(품목목록!$B$3:$B$302,MATCH($C199,품목목록!$A$3:$A$302,0)),"미등록"))</f>
        <v/>
      </c>
      <c r="E199" s="41" t="n"/>
      <c r="F199" s="40" t="str">
        <f>IF($A199="","",COUNTIFS($A$3:$A199,$A199))</f>
        <v/>
      </c>
      <c r="G199" s="40" t="str">
        <f>IF($A199="","",$A199&amp;"|"&amp;$F199)</f>
        <v/>
      </c>
    </row>
    <row r="200" ht="15" customHeight="1" s="30">
      <c r="A200" s="36" t="n"/>
      <c r="B200" s="40" t="str">
        <f>IF($A200="","",IFERROR(INDEX(품목목록!$B$3:$B$302,MATCH($A200,품목목록!$A$3:$A$302,0)),"미등록"))</f>
        <v/>
      </c>
      <c r="C200" s="36" t="n"/>
      <c r="D200" s="40" t="str">
        <f>IF($C200="","",IFERROR(INDEX(품목목록!$B$3:$B$302,MATCH($C200,품목목록!$A$3:$A$302,0)),"미등록"))</f>
        <v/>
      </c>
      <c r="E200" s="41" t="n"/>
      <c r="F200" s="40" t="str">
        <f>IF($A200="","",COUNTIFS($A$3:$A200,$A200))</f>
        <v/>
      </c>
      <c r="G200" s="40" t="str">
        <f>IF($A200="","",$A200&amp;"|"&amp;$F200)</f>
        <v/>
      </c>
    </row>
    <row r="201" ht="15" customHeight="1" s="30">
      <c r="A201" s="36" t="n"/>
      <c r="B201" s="40" t="str">
        <f>IF($A201="","",IFERROR(INDEX(품목목록!$B$3:$B$302,MATCH($A201,품목목록!$A$3:$A$302,0)),"미등록"))</f>
        <v/>
      </c>
      <c r="C201" s="36" t="n"/>
      <c r="D201" s="40" t="str">
        <f>IF($C201="","",IFERROR(INDEX(품목목록!$B$3:$B$302,MATCH($C201,품목목록!$A$3:$A$302,0)),"미등록"))</f>
        <v/>
      </c>
      <c r="E201" s="41" t="n"/>
      <c r="F201" s="40" t="str">
        <f>IF($A201="","",COUNTIFS($A$3:$A201,$A201))</f>
        <v/>
      </c>
      <c r="G201" s="40" t="str">
        <f>IF($A201="","",$A201&amp;"|"&amp;$F201)</f>
        <v/>
      </c>
    </row>
    <row r="202" ht="15" customHeight="1" s="30">
      <c r="A202" s="36" t="n"/>
      <c r="B202" s="40" t="str">
        <f>IF($A202="","",IFERROR(INDEX(품목목록!$B$3:$B$302,MATCH($A202,품목목록!$A$3:$A$302,0)),"미등록"))</f>
        <v/>
      </c>
      <c r="C202" s="36" t="n"/>
      <c r="D202" s="40" t="str">
        <f>IF($C202="","",IFERROR(INDEX(품목목록!$B$3:$B$302,MATCH($C202,품목목록!$A$3:$A$302,0)),"미등록"))</f>
        <v/>
      </c>
      <c r="E202" s="41" t="n"/>
      <c r="F202" s="40" t="str">
        <f>IF($A202="","",COUNTIFS($A$3:$A202,$A202))</f>
        <v/>
      </c>
      <c r="G202" s="40" t="str">
        <f>IF($A202="","",$A202&amp;"|"&amp;$F202)</f>
        <v/>
      </c>
    </row>
    <row r="203" ht="15" customHeight="1" s="30">
      <c r="A203" s="36" t="n"/>
      <c r="B203" s="40" t="str">
        <f>IF($A203="","",IFERROR(INDEX(품목목록!$B$3:$B$302,MATCH($A203,품목목록!$A$3:$A$302,0)),"미등록"))</f>
        <v/>
      </c>
      <c r="C203" s="36" t="n"/>
      <c r="D203" s="40" t="str">
        <f>IF($C203="","",IFERROR(INDEX(품목목록!$B$3:$B$302,MATCH($C203,품목목록!$A$3:$A$302,0)),"미등록"))</f>
        <v/>
      </c>
      <c r="E203" s="41" t="n"/>
      <c r="F203" s="40" t="str">
        <f>IF($A203="","",COUNTIFS($A$3:$A203,$A203))</f>
        <v/>
      </c>
      <c r="G203" s="40" t="str">
        <f>IF($A203="","",$A203&amp;"|"&amp;$F203)</f>
        <v/>
      </c>
    </row>
    <row r="204" ht="15" customHeight="1" s="30">
      <c r="A204" s="36" t="n"/>
      <c r="B204" s="40" t="str">
        <f>IF($A204="","",IFERROR(INDEX(품목목록!$B$3:$B$302,MATCH($A204,품목목록!$A$3:$A$302,0)),"미등록"))</f>
        <v/>
      </c>
      <c r="C204" s="36" t="n"/>
      <c r="D204" s="40" t="str">
        <f>IF($C204="","",IFERROR(INDEX(품목목록!$B$3:$B$302,MATCH($C204,품목목록!$A$3:$A$302,0)),"미등록"))</f>
        <v/>
      </c>
      <c r="E204" s="41" t="n"/>
      <c r="F204" s="40" t="str">
        <f>IF($A204="","",COUNTIFS($A$3:$A204,$A204))</f>
        <v/>
      </c>
      <c r="G204" s="40" t="str">
        <f>IF($A204="","",$A204&amp;"|"&amp;$F204)</f>
        <v/>
      </c>
    </row>
    <row r="205" ht="15" customHeight="1" s="30">
      <c r="A205" s="36" t="n"/>
      <c r="B205" s="40" t="str">
        <f>IF($A205="","",IFERROR(INDEX(품목목록!$B$3:$B$302,MATCH($A205,품목목록!$A$3:$A$302,0)),"미등록"))</f>
        <v/>
      </c>
      <c r="C205" s="36" t="n"/>
      <c r="D205" s="40" t="str">
        <f>IF($C205="","",IFERROR(INDEX(품목목록!$B$3:$B$302,MATCH($C205,품목목록!$A$3:$A$302,0)),"미등록"))</f>
        <v/>
      </c>
      <c r="E205" s="41" t="n"/>
      <c r="F205" s="40" t="str">
        <f>IF($A205="","",COUNTIFS($A$3:$A205,$A205))</f>
        <v/>
      </c>
      <c r="G205" s="40" t="str">
        <f>IF($A205="","",$A205&amp;"|"&amp;$F205)</f>
        <v/>
      </c>
    </row>
    <row r="206" ht="15" customHeight="1" s="30">
      <c r="A206" s="36" t="n"/>
      <c r="B206" s="40" t="str">
        <f>IF($A206="","",IFERROR(INDEX(품목목록!$B$3:$B$302,MATCH($A206,품목목록!$A$3:$A$302,0)),"미등록"))</f>
        <v/>
      </c>
      <c r="C206" s="36" t="n"/>
      <c r="D206" s="40" t="str">
        <f>IF($C206="","",IFERROR(INDEX(품목목록!$B$3:$B$302,MATCH($C206,품목목록!$A$3:$A$302,0)),"미등록"))</f>
        <v/>
      </c>
      <c r="E206" s="41" t="n"/>
      <c r="F206" s="40" t="str">
        <f>IF($A206="","",COUNTIFS($A$3:$A206,$A206))</f>
        <v/>
      </c>
      <c r="G206" s="40" t="str">
        <f>IF($A206="","",$A206&amp;"|"&amp;$F206)</f>
        <v/>
      </c>
    </row>
    <row r="207" ht="15" customHeight="1" s="30">
      <c r="A207" s="36" t="n"/>
      <c r="B207" s="40" t="str">
        <f>IF($A207="","",IFERROR(INDEX(품목목록!$B$3:$B$302,MATCH($A207,품목목록!$A$3:$A$302,0)),"미등록"))</f>
        <v/>
      </c>
      <c r="C207" s="36" t="n"/>
      <c r="D207" s="40" t="str">
        <f>IF($C207="","",IFERROR(INDEX(품목목록!$B$3:$B$302,MATCH($C207,품목목록!$A$3:$A$302,0)),"미등록"))</f>
        <v/>
      </c>
      <c r="E207" s="41" t="n"/>
      <c r="F207" s="40" t="str">
        <f>IF($A207="","",COUNTIFS($A$3:$A207,$A207))</f>
        <v/>
      </c>
      <c r="G207" s="40" t="str">
        <f>IF($A207="","",$A207&amp;"|"&amp;$F207)</f>
        <v/>
      </c>
    </row>
    <row r="208" ht="15" customHeight="1" s="30">
      <c r="A208" s="36" t="n"/>
      <c r="B208" s="40" t="str">
        <f>IF($A208="","",IFERROR(INDEX(품목목록!$B$3:$B$302,MATCH($A208,품목목록!$A$3:$A$302,0)),"미등록"))</f>
        <v/>
      </c>
      <c r="C208" s="36" t="n"/>
      <c r="D208" s="40" t="str">
        <f>IF($C208="","",IFERROR(INDEX(품목목록!$B$3:$B$302,MATCH($C208,품목목록!$A$3:$A$302,0)),"미등록"))</f>
        <v/>
      </c>
      <c r="E208" s="41" t="n"/>
      <c r="F208" s="40" t="str">
        <f>IF($A208="","",COUNTIFS($A$3:$A208,$A208))</f>
        <v/>
      </c>
      <c r="G208" s="40" t="str">
        <f>IF($A208="","",$A208&amp;"|"&amp;$F208)</f>
        <v/>
      </c>
    </row>
    <row r="209" ht="15" customHeight="1" s="30">
      <c r="A209" s="36" t="n"/>
      <c r="B209" s="40" t="str">
        <f>IF($A209="","",IFERROR(INDEX(품목목록!$B$3:$B$302,MATCH($A209,품목목록!$A$3:$A$302,0)),"미등록"))</f>
        <v/>
      </c>
      <c r="C209" s="36" t="n"/>
      <c r="D209" s="40" t="str">
        <f>IF($C209="","",IFERROR(INDEX(품목목록!$B$3:$B$302,MATCH($C209,품목목록!$A$3:$A$302,0)),"미등록"))</f>
        <v/>
      </c>
      <c r="E209" s="41" t="n"/>
      <c r="F209" s="40" t="str">
        <f>IF($A209="","",COUNTIFS($A$3:$A209,$A209))</f>
        <v/>
      </c>
      <c r="G209" s="40" t="str">
        <f>IF($A209="","",$A209&amp;"|"&amp;$F209)</f>
        <v/>
      </c>
    </row>
    <row r="210" ht="15" customHeight="1" s="30">
      <c r="A210" s="36" t="n"/>
      <c r="B210" s="40" t="str">
        <f>IF($A210="","",IFERROR(INDEX(품목목록!$B$3:$B$302,MATCH($A210,품목목록!$A$3:$A$302,0)),"미등록"))</f>
        <v/>
      </c>
      <c r="C210" s="36" t="n"/>
      <c r="D210" s="40" t="str">
        <f>IF($C210="","",IFERROR(INDEX(품목목록!$B$3:$B$302,MATCH($C210,품목목록!$A$3:$A$302,0)),"미등록"))</f>
        <v/>
      </c>
      <c r="E210" s="41" t="n"/>
      <c r="F210" s="40" t="str">
        <f>IF($A210="","",COUNTIFS($A$3:$A210,$A210))</f>
        <v/>
      </c>
      <c r="G210" s="40" t="str">
        <f>IF($A210="","",$A210&amp;"|"&amp;$F210)</f>
        <v/>
      </c>
    </row>
    <row r="211" ht="15" customHeight="1" s="30">
      <c r="A211" s="36" t="n"/>
      <c r="B211" s="40" t="str">
        <f>IF($A211="","",IFERROR(INDEX(품목목록!$B$3:$B$302,MATCH($A211,품목목록!$A$3:$A$302,0)),"미등록"))</f>
        <v/>
      </c>
      <c r="C211" s="36" t="n"/>
      <c r="D211" s="40" t="str">
        <f>IF($C211="","",IFERROR(INDEX(품목목록!$B$3:$B$302,MATCH($C211,품목목록!$A$3:$A$302,0)),"미등록"))</f>
        <v/>
      </c>
      <c r="E211" s="41" t="n"/>
      <c r="F211" s="40" t="str">
        <f>IF($A211="","",COUNTIFS($A$3:$A211,$A211))</f>
        <v/>
      </c>
      <c r="G211" s="40" t="str">
        <f>IF($A211="","",$A211&amp;"|"&amp;$F211)</f>
        <v/>
      </c>
    </row>
    <row r="212" ht="15" customHeight="1" s="30">
      <c r="A212" s="36" t="n"/>
      <c r="B212" s="40" t="str">
        <f>IF($A212="","",IFERROR(INDEX(품목목록!$B$3:$B$302,MATCH($A212,품목목록!$A$3:$A$302,0)),"미등록"))</f>
        <v/>
      </c>
      <c r="C212" s="36" t="n"/>
      <c r="D212" s="40" t="str">
        <f>IF($C212="","",IFERROR(INDEX(품목목록!$B$3:$B$302,MATCH($C212,품목목록!$A$3:$A$302,0)),"미등록"))</f>
        <v/>
      </c>
      <c r="E212" s="41" t="n"/>
      <c r="F212" s="40" t="str">
        <f>IF($A212="","",COUNTIFS($A$3:$A212,$A212))</f>
        <v/>
      </c>
      <c r="G212" s="40" t="str">
        <f>IF($A212="","",$A212&amp;"|"&amp;$F212)</f>
        <v/>
      </c>
    </row>
    <row r="213" ht="15" customHeight="1" s="30">
      <c r="A213" s="36" t="n"/>
      <c r="B213" s="40" t="str">
        <f>IF($A213="","",IFERROR(INDEX(품목목록!$B$3:$B$302,MATCH($A213,품목목록!$A$3:$A$302,0)),"미등록"))</f>
        <v/>
      </c>
      <c r="C213" s="36" t="n"/>
      <c r="D213" s="40" t="str">
        <f>IF($C213="","",IFERROR(INDEX(품목목록!$B$3:$B$302,MATCH($C213,품목목록!$A$3:$A$302,0)),"미등록"))</f>
        <v/>
      </c>
      <c r="E213" s="41" t="n"/>
      <c r="F213" s="40" t="str">
        <f>IF($A213="","",COUNTIFS($A$3:$A213,$A213))</f>
        <v/>
      </c>
      <c r="G213" s="40" t="str">
        <f>IF($A213="","",$A213&amp;"|"&amp;$F213)</f>
        <v/>
      </c>
    </row>
    <row r="214" ht="15" customHeight="1" s="30">
      <c r="A214" s="36" t="n"/>
      <c r="B214" s="40" t="str">
        <f>IF($A214="","",IFERROR(INDEX(품목목록!$B$3:$B$302,MATCH($A214,품목목록!$A$3:$A$302,0)),"미등록"))</f>
        <v/>
      </c>
      <c r="C214" s="36" t="n"/>
      <c r="D214" s="40" t="str">
        <f>IF($C214="","",IFERROR(INDEX(품목목록!$B$3:$B$302,MATCH($C214,품목목록!$A$3:$A$302,0)),"미등록"))</f>
        <v/>
      </c>
      <c r="E214" s="41" t="n"/>
      <c r="F214" s="40" t="str">
        <f>IF($A214="","",COUNTIFS($A$3:$A214,$A214))</f>
        <v/>
      </c>
      <c r="G214" s="40" t="str">
        <f>IF($A214="","",$A214&amp;"|"&amp;$F214)</f>
        <v/>
      </c>
    </row>
    <row r="215" ht="15" customHeight="1" s="30">
      <c r="A215" s="36" t="n"/>
      <c r="B215" s="40" t="str">
        <f>IF($A215="","",IFERROR(INDEX(품목목록!$B$3:$B$302,MATCH($A215,품목목록!$A$3:$A$302,0)),"미등록"))</f>
        <v/>
      </c>
      <c r="C215" s="36" t="n"/>
      <c r="D215" s="40" t="str">
        <f>IF($C215="","",IFERROR(INDEX(품목목록!$B$3:$B$302,MATCH($C215,품목목록!$A$3:$A$302,0)),"미등록"))</f>
        <v/>
      </c>
      <c r="E215" s="41" t="n"/>
      <c r="F215" s="40" t="str">
        <f>IF($A215="","",COUNTIFS($A$3:$A215,$A215))</f>
        <v/>
      </c>
      <c r="G215" s="40" t="str">
        <f>IF($A215="","",$A215&amp;"|"&amp;$F215)</f>
        <v/>
      </c>
    </row>
    <row r="216" ht="15" customHeight="1" s="30">
      <c r="A216" s="36" t="n"/>
      <c r="B216" s="40" t="str">
        <f>IF($A216="","",IFERROR(INDEX(품목목록!$B$3:$B$302,MATCH($A216,품목목록!$A$3:$A$302,0)),"미등록"))</f>
        <v/>
      </c>
      <c r="C216" s="36" t="n"/>
      <c r="D216" s="40" t="str">
        <f>IF($C216="","",IFERROR(INDEX(품목목록!$B$3:$B$302,MATCH($C216,품목목록!$A$3:$A$302,0)),"미등록"))</f>
        <v/>
      </c>
      <c r="E216" s="41" t="n"/>
      <c r="F216" s="40" t="str">
        <f>IF($A216="","",COUNTIFS($A$3:$A216,$A216))</f>
        <v/>
      </c>
      <c r="G216" s="40" t="str">
        <f>IF($A216="","",$A216&amp;"|"&amp;$F216)</f>
        <v/>
      </c>
    </row>
    <row r="217" ht="15" customHeight="1" s="30">
      <c r="A217" s="36" t="n"/>
      <c r="B217" s="40" t="str">
        <f>IF($A217="","",IFERROR(INDEX(품목목록!$B$3:$B$302,MATCH($A217,품목목록!$A$3:$A$302,0)),"미등록"))</f>
        <v/>
      </c>
      <c r="C217" s="36" t="n"/>
      <c r="D217" s="40" t="str">
        <f>IF($C217="","",IFERROR(INDEX(품목목록!$B$3:$B$302,MATCH($C217,품목목록!$A$3:$A$302,0)),"미등록"))</f>
        <v/>
      </c>
      <c r="E217" s="41" t="n"/>
      <c r="F217" s="40" t="str">
        <f>IF($A217="","",COUNTIFS($A$3:$A217,$A217))</f>
        <v/>
      </c>
      <c r="G217" s="40" t="str">
        <f>IF($A217="","",$A217&amp;"|"&amp;$F217)</f>
        <v/>
      </c>
    </row>
    <row r="218" ht="15" customHeight="1" s="30">
      <c r="A218" s="36" t="n"/>
      <c r="B218" s="40" t="str">
        <f>IF($A218="","",IFERROR(INDEX(품목목록!$B$3:$B$302,MATCH($A218,품목목록!$A$3:$A$302,0)),"미등록"))</f>
        <v/>
      </c>
      <c r="C218" s="36" t="n"/>
      <c r="D218" s="40" t="str">
        <f>IF($C218="","",IFERROR(INDEX(품목목록!$B$3:$B$302,MATCH($C218,품목목록!$A$3:$A$302,0)),"미등록"))</f>
        <v/>
      </c>
      <c r="E218" s="41" t="n"/>
      <c r="F218" s="40" t="str">
        <f>IF($A218="","",COUNTIFS($A$3:$A218,$A218))</f>
        <v/>
      </c>
      <c r="G218" s="40" t="str">
        <f>IF($A218="","",$A218&amp;"|"&amp;$F218)</f>
        <v/>
      </c>
    </row>
    <row r="219" ht="15" customHeight="1" s="30">
      <c r="A219" s="36" t="n"/>
      <c r="B219" s="40" t="str">
        <f>IF($A219="","",IFERROR(INDEX(품목목록!$B$3:$B$302,MATCH($A219,품목목록!$A$3:$A$302,0)),"미등록"))</f>
        <v/>
      </c>
      <c r="C219" s="36" t="n"/>
      <c r="D219" s="40" t="str">
        <f>IF($C219="","",IFERROR(INDEX(품목목록!$B$3:$B$302,MATCH($C219,품목목록!$A$3:$A$302,0)),"미등록"))</f>
        <v/>
      </c>
      <c r="E219" s="41" t="n"/>
      <c r="F219" s="40" t="str">
        <f>IF($A219="","",COUNTIFS($A$3:$A219,$A219))</f>
        <v/>
      </c>
      <c r="G219" s="40" t="str">
        <f>IF($A219="","",$A219&amp;"|"&amp;$F219)</f>
        <v/>
      </c>
    </row>
    <row r="220" ht="15" customHeight="1" s="30">
      <c r="A220" s="36" t="n"/>
      <c r="B220" s="40" t="str">
        <f>IF($A220="","",IFERROR(INDEX(품목목록!$B$3:$B$302,MATCH($A220,품목목록!$A$3:$A$302,0)),"미등록"))</f>
        <v/>
      </c>
      <c r="C220" s="36" t="n"/>
      <c r="D220" s="40" t="str">
        <f>IF($C220="","",IFERROR(INDEX(품목목록!$B$3:$B$302,MATCH($C220,품목목록!$A$3:$A$302,0)),"미등록"))</f>
        <v/>
      </c>
      <c r="E220" s="41" t="n"/>
      <c r="F220" s="40" t="str">
        <f>IF($A220="","",COUNTIFS($A$3:$A220,$A220))</f>
        <v/>
      </c>
      <c r="G220" s="40" t="str">
        <f>IF($A220="","",$A220&amp;"|"&amp;$F220)</f>
        <v/>
      </c>
    </row>
    <row r="221" ht="15" customHeight="1" s="30">
      <c r="A221" s="36" t="n"/>
      <c r="B221" s="40" t="str">
        <f>IF($A221="","",IFERROR(INDEX(품목목록!$B$3:$B$302,MATCH($A221,품목목록!$A$3:$A$302,0)),"미등록"))</f>
        <v/>
      </c>
      <c r="C221" s="36" t="n"/>
      <c r="D221" s="40" t="str">
        <f>IF($C221="","",IFERROR(INDEX(품목목록!$B$3:$B$302,MATCH($C221,품목목록!$A$3:$A$302,0)),"미등록"))</f>
        <v/>
      </c>
      <c r="E221" s="41" t="n"/>
      <c r="F221" s="40" t="str">
        <f>IF($A221="","",COUNTIFS($A$3:$A221,$A221))</f>
        <v/>
      </c>
      <c r="G221" s="40" t="str">
        <f>IF($A221="","",$A221&amp;"|"&amp;$F221)</f>
        <v/>
      </c>
    </row>
    <row r="222" ht="15" customHeight="1" s="30">
      <c r="A222" s="36" t="n"/>
      <c r="B222" s="40" t="str">
        <f>IF($A222="","",IFERROR(INDEX(품목목록!$B$3:$B$302,MATCH($A222,품목목록!$A$3:$A$302,0)),"미등록"))</f>
        <v/>
      </c>
      <c r="C222" s="36" t="n"/>
      <c r="D222" s="40" t="str">
        <f>IF($C222="","",IFERROR(INDEX(품목목록!$B$3:$B$302,MATCH($C222,품목목록!$A$3:$A$302,0)),"미등록"))</f>
        <v/>
      </c>
      <c r="E222" s="41" t="n"/>
      <c r="F222" s="40" t="str">
        <f>IF($A222="","",COUNTIFS($A$3:$A222,$A222))</f>
        <v/>
      </c>
      <c r="G222" s="40" t="str">
        <f>IF($A222="","",$A222&amp;"|"&amp;$F222)</f>
        <v/>
      </c>
    </row>
    <row r="223" ht="15" customHeight="1" s="30">
      <c r="A223" s="36" t="n"/>
      <c r="B223" s="40" t="str">
        <f>IF($A223="","",IFERROR(INDEX(품목목록!$B$3:$B$302,MATCH($A223,품목목록!$A$3:$A$302,0)),"미등록"))</f>
        <v/>
      </c>
      <c r="C223" s="36" t="n"/>
      <c r="D223" s="40" t="str">
        <f>IF($C223="","",IFERROR(INDEX(품목목록!$B$3:$B$302,MATCH($C223,품목목록!$A$3:$A$302,0)),"미등록"))</f>
        <v/>
      </c>
      <c r="E223" s="41" t="n"/>
      <c r="F223" s="40" t="str">
        <f>IF($A223="","",COUNTIFS($A$3:$A223,$A223))</f>
        <v/>
      </c>
      <c r="G223" s="40" t="str">
        <f>IF($A223="","",$A223&amp;"|"&amp;$F223)</f>
        <v/>
      </c>
    </row>
    <row r="224" ht="15" customHeight="1" s="30">
      <c r="A224" s="36" t="n"/>
      <c r="B224" s="40" t="str">
        <f>IF($A224="","",IFERROR(INDEX(품목목록!$B$3:$B$302,MATCH($A224,품목목록!$A$3:$A$302,0)),"미등록"))</f>
        <v/>
      </c>
      <c r="C224" s="36" t="n"/>
      <c r="D224" s="40" t="str">
        <f>IF($C224="","",IFERROR(INDEX(품목목록!$B$3:$B$302,MATCH($C224,품목목록!$A$3:$A$302,0)),"미등록"))</f>
        <v/>
      </c>
      <c r="E224" s="41" t="n"/>
      <c r="F224" s="40" t="str">
        <f>IF($A224="","",COUNTIFS($A$3:$A224,$A224))</f>
        <v/>
      </c>
      <c r="G224" s="40" t="str">
        <f>IF($A224="","",$A224&amp;"|"&amp;$F224)</f>
        <v/>
      </c>
    </row>
    <row r="225" ht="15" customHeight="1" s="30">
      <c r="A225" s="36" t="n"/>
      <c r="B225" s="40" t="str">
        <f>IF($A225="","",IFERROR(INDEX(품목목록!$B$3:$B$302,MATCH($A225,품목목록!$A$3:$A$302,0)),"미등록"))</f>
        <v/>
      </c>
      <c r="C225" s="36" t="n"/>
      <c r="D225" s="40" t="str">
        <f>IF($C225="","",IFERROR(INDEX(품목목록!$B$3:$B$302,MATCH($C225,품목목록!$A$3:$A$302,0)),"미등록"))</f>
        <v/>
      </c>
      <c r="E225" s="41" t="n"/>
      <c r="F225" s="40" t="str">
        <f>IF($A225="","",COUNTIFS($A$3:$A225,$A225))</f>
        <v/>
      </c>
      <c r="G225" s="40" t="str">
        <f>IF($A225="","",$A225&amp;"|"&amp;$F225)</f>
        <v/>
      </c>
    </row>
    <row r="226" ht="15" customHeight="1" s="30">
      <c r="A226" s="36" t="n"/>
      <c r="B226" s="40" t="str">
        <f>IF($A226="","",IFERROR(INDEX(품목목록!$B$3:$B$302,MATCH($A226,품목목록!$A$3:$A$302,0)),"미등록"))</f>
        <v/>
      </c>
      <c r="C226" s="36" t="n"/>
      <c r="D226" s="40" t="str">
        <f>IF($C226="","",IFERROR(INDEX(품목목록!$B$3:$B$302,MATCH($C226,품목목록!$A$3:$A$302,0)),"미등록"))</f>
        <v/>
      </c>
      <c r="E226" s="41" t="n"/>
      <c r="F226" s="40" t="str">
        <f>IF($A226="","",COUNTIFS($A$3:$A226,$A226))</f>
        <v/>
      </c>
      <c r="G226" s="40" t="str">
        <f>IF($A226="","",$A226&amp;"|"&amp;$F226)</f>
        <v/>
      </c>
    </row>
    <row r="227" ht="15" customHeight="1" s="30">
      <c r="A227" s="36" t="n"/>
      <c r="B227" s="40" t="str">
        <f>IF($A227="","",IFERROR(INDEX(품목목록!$B$3:$B$302,MATCH($A227,품목목록!$A$3:$A$302,0)),"미등록"))</f>
        <v/>
      </c>
      <c r="C227" s="36" t="n"/>
      <c r="D227" s="40" t="str">
        <f>IF($C227="","",IFERROR(INDEX(품목목록!$B$3:$B$302,MATCH($C227,품목목록!$A$3:$A$302,0)),"미등록"))</f>
        <v/>
      </c>
      <c r="E227" s="41" t="n"/>
      <c r="F227" s="40" t="str">
        <f>IF($A227="","",COUNTIFS($A$3:$A227,$A227))</f>
        <v/>
      </c>
      <c r="G227" s="40" t="str">
        <f>IF($A227="","",$A227&amp;"|"&amp;$F227)</f>
        <v/>
      </c>
    </row>
    <row r="228" ht="15" customHeight="1" s="30">
      <c r="A228" s="36" t="n"/>
      <c r="B228" s="40" t="str">
        <f>IF($A228="","",IFERROR(INDEX(품목목록!$B$3:$B$302,MATCH($A228,품목목록!$A$3:$A$302,0)),"미등록"))</f>
        <v/>
      </c>
      <c r="C228" s="36" t="n"/>
      <c r="D228" s="40" t="str">
        <f>IF($C228="","",IFERROR(INDEX(품목목록!$B$3:$B$302,MATCH($C228,품목목록!$A$3:$A$302,0)),"미등록"))</f>
        <v/>
      </c>
      <c r="E228" s="41" t="n"/>
      <c r="F228" s="40" t="str">
        <f>IF($A228="","",COUNTIFS($A$3:$A228,$A228))</f>
        <v/>
      </c>
      <c r="G228" s="40" t="str">
        <f>IF($A228="","",$A228&amp;"|"&amp;$F228)</f>
        <v/>
      </c>
    </row>
    <row r="229" ht="15" customHeight="1" s="30">
      <c r="A229" s="36" t="n"/>
      <c r="B229" s="40" t="str">
        <f>IF($A229="","",IFERROR(INDEX(품목목록!$B$3:$B$302,MATCH($A229,품목목록!$A$3:$A$302,0)),"미등록"))</f>
        <v/>
      </c>
      <c r="C229" s="36" t="n"/>
      <c r="D229" s="40" t="str">
        <f>IF($C229="","",IFERROR(INDEX(품목목록!$B$3:$B$302,MATCH($C229,품목목록!$A$3:$A$302,0)),"미등록"))</f>
        <v/>
      </c>
      <c r="E229" s="41" t="n"/>
      <c r="F229" s="40" t="str">
        <f>IF($A229="","",COUNTIFS($A$3:$A229,$A229))</f>
        <v/>
      </c>
      <c r="G229" s="40" t="str">
        <f>IF($A229="","",$A229&amp;"|"&amp;$F229)</f>
        <v/>
      </c>
    </row>
    <row r="230" ht="15" customHeight="1" s="30">
      <c r="A230" s="36" t="n"/>
      <c r="B230" s="40" t="str">
        <f>IF($A230="","",IFERROR(INDEX(품목목록!$B$3:$B$302,MATCH($A230,품목목록!$A$3:$A$302,0)),"미등록"))</f>
        <v/>
      </c>
      <c r="C230" s="36" t="n"/>
      <c r="D230" s="40" t="str">
        <f>IF($C230="","",IFERROR(INDEX(품목목록!$B$3:$B$302,MATCH($C230,품목목록!$A$3:$A$302,0)),"미등록"))</f>
        <v/>
      </c>
      <c r="E230" s="41" t="n"/>
      <c r="F230" s="40" t="str">
        <f>IF($A230="","",COUNTIFS($A$3:$A230,$A230))</f>
        <v/>
      </c>
      <c r="G230" s="40" t="str">
        <f>IF($A230="","",$A230&amp;"|"&amp;$F230)</f>
        <v/>
      </c>
    </row>
    <row r="231" ht="15" customHeight="1" s="30">
      <c r="A231" s="36" t="n"/>
      <c r="B231" s="40" t="str">
        <f>IF($A231="","",IFERROR(INDEX(품목목록!$B$3:$B$302,MATCH($A231,품목목록!$A$3:$A$302,0)),"미등록"))</f>
        <v/>
      </c>
      <c r="C231" s="36" t="n"/>
      <c r="D231" s="40" t="str">
        <f>IF($C231="","",IFERROR(INDEX(품목목록!$B$3:$B$302,MATCH($C231,품목목록!$A$3:$A$302,0)),"미등록"))</f>
        <v/>
      </c>
      <c r="E231" s="41" t="n"/>
      <c r="F231" s="40" t="str">
        <f>IF($A231="","",COUNTIFS($A$3:$A231,$A231))</f>
        <v/>
      </c>
      <c r="G231" s="40" t="str">
        <f>IF($A231="","",$A231&amp;"|"&amp;$F231)</f>
        <v/>
      </c>
    </row>
    <row r="232" ht="15" customHeight="1" s="30">
      <c r="A232" s="36" t="n"/>
      <c r="B232" s="40" t="str">
        <f>IF($A232="","",IFERROR(INDEX(품목목록!$B$3:$B$302,MATCH($A232,품목목록!$A$3:$A$302,0)),"미등록"))</f>
        <v/>
      </c>
      <c r="C232" s="36" t="n"/>
      <c r="D232" s="40" t="str">
        <f>IF($C232="","",IFERROR(INDEX(품목목록!$B$3:$B$302,MATCH($C232,품목목록!$A$3:$A$302,0)),"미등록"))</f>
        <v/>
      </c>
      <c r="E232" s="41" t="n"/>
      <c r="F232" s="40" t="str">
        <f>IF($A232="","",COUNTIFS($A$3:$A232,$A232))</f>
        <v/>
      </c>
      <c r="G232" s="40" t="str">
        <f>IF($A232="","",$A232&amp;"|"&amp;$F232)</f>
        <v/>
      </c>
    </row>
    <row r="233" ht="15" customHeight="1" s="30">
      <c r="A233" s="36" t="n"/>
      <c r="B233" s="40" t="str">
        <f>IF($A233="","",IFERROR(INDEX(품목목록!$B$3:$B$302,MATCH($A233,품목목록!$A$3:$A$302,0)),"미등록"))</f>
        <v/>
      </c>
      <c r="C233" s="36" t="n"/>
      <c r="D233" s="40" t="str">
        <f>IF($C233="","",IFERROR(INDEX(품목목록!$B$3:$B$302,MATCH($C233,품목목록!$A$3:$A$302,0)),"미등록"))</f>
        <v/>
      </c>
      <c r="E233" s="41" t="n"/>
      <c r="F233" s="40" t="str">
        <f>IF($A233="","",COUNTIFS($A$3:$A233,$A233))</f>
        <v/>
      </c>
      <c r="G233" s="40" t="str">
        <f>IF($A233="","",$A233&amp;"|"&amp;$F233)</f>
        <v/>
      </c>
    </row>
    <row r="234" ht="15" customHeight="1" s="30">
      <c r="A234" s="36" t="n"/>
      <c r="B234" s="40" t="str">
        <f>IF($A234="","",IFERROR(INDEX(품목목록!$B$3:$B$302,MATCH($A234,품목목록!$A$3:$A$302,0)),"미등록"))</f>
        <v/>
      </c>
      <c r="C234" s="36" t="n"/>
      <c r="D234" s="40" t="str">
        <f>IF($C234="","",IFERROR(INDEX(품목목록!$B$3:$B$302,MATCH($C234,품목목록!$A$3:$A$302,0)),"미등록"))</f>
        <v/>
      </c>
      <c r="E234" s="41" t="n"/>
      <c r="F234" s="40" t="str">
        <f>IF($A234="","",COUNTIFS($A$3:$A234,$A234))</f>
        <v/>
      </c>
      <c r="G234" s="40" t="str">
        <f>IF($A234="","",$A234&amp;"|"&amp;$F234)</f>
        <v/>
      </c>
    </row>
    <row r="235" ht="15" customHeight="1" s="30">
      <c r="A235" s="36" t="n"/>
      <c r="B235" s="40" t="str">
        <f>IF($A235="","",IFERROR(INDEX(품목목록!$B$3:$B$302,MATCH($A235,품목목록!$A$3:$A$302,0)),"미등록"))</f>
        <v/>
      </c>
      <c r="C235" s="36" t="n"/>
      <c r="D235" s="40" t="str">
        <f>IF($C235="","",IFERROR(INDEX(품목목록!$B$3:$B$302,MATCH($C235,품목목록!$A$3:$A$302,0)),"미등록"))</f>
        <v/>
      </c>
      <c r="E235" s="41" t="n"/>
      <c r="F235" s="40" t="str">
        <f>IF($A235="","",COUNTIFS($A$3:$A235,$A235))</f>
        <v/>
      </c>
      <c r="G235" s="40" t="str">
        <f>IF($A235="","",$A235&amp;"|"&amp;$F235)</f>
        <v/>
      </c>
    </row>
    <row r="236" ht="15" customHeight="1" s="30">
      <c r="A236" s="36" t="n"/>
      <c r="B236" s="40" t="str">
        <f>IF($A236="","",IFERROR(INDEX(품목목록!$B$3:$B$302,MATCH($A236,품목목록!$A$3:$A$302,0)),"미등록"))</f>
        <v/>
      </c>
      <c r="C236" s="36" t="n"/>
      <c r="D236" s="40" t="str">
        <f>IF($C236="","",IFERROR(INDEX(품목목록!$B$3:$B$302,MATCH($C236,품목목록!$A$3:$A$302,0)),"미등록"))</f>
        <v/>
      </c>
      <c r="E236" s="41" t="n"/>
      <c r="F236" s="40" t="str">
        <f>IF($A236="","",COUNTIFS($A$3:$A236,$A236))</f>
        <v/>
      </c>
      <c r="G236" s="40" t="str">
        <f>IF($A236="","",$A236&amp;"|"&amp;$F236)</f>
        <v/>
      </c>
    </row>
    <row r="237" ht="15" customHeight="1" s="30">
      <c r="A237" s="36" t="n"/>
      <c r="B237" s="40" t="str">
        <f>IF($A237="","",IFERROR(INDEX(품목목록!$B$3:$B$302,MATCH($A237,품목목록!$A$3:$A$302,0)),"미등록"))</f>
        <v/>
      </c>
      <c r="C237" s="36" t="n"/>
      <c r="D237" s="40" t="str">
        <f>IF($C237="","",IFERROR(INDEX(품목목록!$B$3:$B$302,MATCH($C237,품목목록!$A$3:$A$302,0)),"미등록"))</f>
        <v/>
      </c>
      <c r="E237" s="41" t="n"/>
      <c r="F237" s="40" t="str">
        <f>IF($A237="","",COUNTIFS($A$3:$A237,$A237))</f>
        <v/>
      </c>
      <c r="G237" s="40" t="str">
        <f>IF($A237="","",$A237&amp;"|"&amp;$F237)</f>
        <v/>
      </c>
    </row>
    <row r="238" ht="15" customHeight="1" s="30">
      <c r="A238" s="36" t="n"/>
      <c r="B238" s="40" t="str">
        <f>IF($A238="","",IFERROR(INDEX(품목목록!$B$3:$B$302,MATCH($A238,품목목록!$A$3:$A$302,0)),"미등록"))</f>
        <v/>
      </c>
      <c r="C238" s="36" t="n"/>
      <c r="D238" s="40" t="str">
        <f>IF($C238="","",IFERROR(INDEX(품목목록!$B$3:$B$302,MATCH($C238,품목목록!$A$3:$A$302,0)),"미등록"))</f>
        <v/>
      </c>
      <c r="E238" s="41" t="n"/>
      <c r="F238" s="40" t="str">
        <f>IF($A238="","",COUNTIFS($A$3:$A238,$A238))</f>
        <v/>
      </c>
      <c r="G238" s="40" t="str">
        <f>IF($A238="","",$A238&amp;"|"&amp;$F238)</f>
        <v/>
      </c>
    </row>
    <row r="239" ht="15" customHeight="1" s="30">
      <c r="A239" s="36" t="n"/>
      <c r="B239" s="40" t="str">
        <f>IF($A239="","",IFERROR(INDEX(품목목록!$B$3:$B$302,MATCH($A239,품목목록!$A$3:$A$302,0)),"미등록"))</f>
        <v/>
      </c>
      <c r="C239" s="36" t="n"/>
      <c r="D239" s="40" t="str">
        <f>IF($C239="","",IFERROR(INDEX(품목목록!$B$3:$B$302,MATCH($C239,품목목록!$A$3:$A$302,0)),"미등록"))</f>
        <v/>
      </c>
      <c r="E239" s="41" t="n"/>
      <c r="F239" s="40" t="str">
        <f>IF($A239="","",COUNTIFS($A$3:$A239,$A239))</f>
        <v/>
      </c>
      <c r="G239" s="40" t="str">
        <f>IF($A239="","",$A239&amp;"|"&amp;$F239)</f>
        <v/>
      </c>
    </row>
    <row r="240" ht="15" customHeight="1" s="30">
      <c r="A240" s="36" t="n"/>
      <c r="B240" s="40" t="str">
        <f>IF($A240="","",IFERROR(INDEX(품목목록!$B$3:$B$302,MATCH($A240,품목목록!$A$3:$A$302,0)),"미등록"))</f>
        <v/>
      </c>
      <c r="C240" s="36" t="n"/>
      <c r="D240" s="40" t="str">
        <f>IF($C240="","",IFERROR(INDEX(품목목록!$B$3:$B$302,MATCH($C240,품목목록!$A$3:$A$302,0)),"미등록"))</f>
        <v/>
      </c>
      <c r="E240" s="41" t="n"/>
      <c r="F240" s="40" t="str">
        <f>IF($A240="","",COUNTIFS($A$3:$A240,$A240))</f>
        <v/>
      </c>
      <c r="G240" s="40" t="str">
        <f>IF($A240="","",$A240&amp;"|"&amp;$F240)</f>
        <v/>
      </c>
    </row>
    <row r="241" ht="15" customHeight="1" s="30">
      <c r="A241" s="36" t="n"/>
      <c r="B241" s="40" t="str">
        <f>IF($A241="","",IFERROR(INDEX(품목목록!$B$3:$B$302,MATCH($A241,품목목록!$A$3:$A$302,0)),"미등록"))</f>
        <v/>
      </c>
      <c r="C241" s="36" t="n"/>
      <c r="D241" s="40" t="str">
        <f>IF($C241="","",IFERROR(INDEX(품목목록!$B$3:$B$302,MATCH($C241,품목목록!$A$3:$A$302,0)),"미등록"))</f>
        <v/>
      </c>
      <c r="E241" s="41" t="n"/>
      <c r="F241" s="40" t="str">
        <f>IF($A241="","",COUNTIFS($A$3:$A241,$A241))</f>
        <v/>
      </c>
      <c r="G241" s="40" t="str">
        <f>IF($A241="","",$A241&amp;"|"&amp;$F241)</f>
        <v/>
      </c>
    </row>
    <row r="242" ht="15" customHeight="1" s="30">
      <c r="A242" s="36" t="n"/>
      <c r="B242" s="40" t="str">
        <f>IF($A242="","",IFERROR(INDEX(품목목록!$B$3:$B$302,MATCH($A242,품목목록!$A$3:$A$302,0)),"미등록"))</f>
        <v/>
      </c>
      <c r="C242" s="36" t="n"/>
      <c r="D242" s="40" t="str">
        <f>IF($C242="","",IFERROR(INDEX(품목목록!$B$3:$B$302,MATCH($C242,품목목록!$A$3:$A$302,0)),"미등록"))</f>
        <v/>
      </c>
      <c r="E242" s="41" t="n"/>
      <c r="F242" s="40" t="str">
        <f>IF($A242="","",COUNTIFS($A$3:$A242,$A242))</f>
        <v/>
      </c>
      <c r="G242" s="40" t="str">
        <f>IF($A242="","",$A242&amp;"|"&amp;$F242)</f>
        <v/>
      </c>
    </row>
    <row r="243" ht="15" customHeight="1" s="30">
      <c r="A243" s="36" t="n"/>
      <c r="B243" s="40" t="str">
        <f>IF($A243="","",IFERROR(INDEX(품목목록!$B$3:$B$302,MATCH($A243,품목목록!$A$3:$A$302,0)),"미등록"))</f>
        <v/>
      </c>
      <c r="C243" s="36" t="n"/>
      <c r="D243" s="40" t="str">
        <f>IF($C243="","",IFERROR(INDEX(품목목록!$B$3:$B$302,MATCH($C243,품목목록!$A$3:$A$302,0)),"미등록"))</f>
        <v/>
      </c>
      <c r="E243" s="41" t="n"/>
      <c r="F243" s="40" t="str">
        <f>IF($A243="","",COUNTIFS($A$3:$A243,$A243))</f>
        <v/>
      </c>
      <c r="G243" s="40" t="str">
        <f>IF($A243="","",$A243&amp;"|"&amp;$F243)</f>
        <v/>
      </c>
    </row>
    <row r="244" ht="15" customHeight="1" s="30">
      <c r="A244" s="36" t="n"/>
      <c r="B244" s="40" t="str">
        <f>IF($A244="","",IFERROR(INDEX(품목목록!$B$3:$B$302,MATCH($A244,품목목록!$A$3:$A$302,0)),"미등록"))</f>
        <v/>
      </c>
      <c r="C244" s="36" t="n"/>
      <c r="D244" s="40" t="str">
        <f>IF($C244="","",IFERROR(INDEX(품목목록!$B$3:$B$302,MATCH($C244,품목목록!$A$3:$A$302,0)),"미등록"))</f>
        <v/>
      </c>
      <c r="E244" s="41" t="n"/>
      <c r="F244" s="40" t="str">
        <f>IF($A244="","",COUNTIFS($A$3:$A244,$A244))</f>
        <v/>
      </c>
      <c r="G244" s="40" t="str">
        <f>IF($A244="","",$A244&amp;"|"&amp;$F244)</f>
        <v/>
      </c>
    </row>
    <row r="245" ht="15" customHeight="1" s="30">
      <c r="A245" s="36" t="n"/>
      <c r="B245" s="40" t="str">
        <f>IF($A245="","",IFERROR(INDEX(품목목록!$B$3:$B$302,MATCH($A245,품목목록!$A$3:$A$302,0)),"미등록"))</f>
        <v/>
      </c>
      <c r="C245" s="36" t="n"/>
      <c r="D245" s="40" t="str">
        <f>IF($C245="","",IFERROR(INDEX(품목목록!$B$3:$B$302,MATCH($C245,품목목록!$A$3:$A$302,0)),"미등록"))</f>
        <v/>
      </c>
      <c r="E245" s="41" t="n"/>
      <c r="F245" s="40" t="str">
        <f>IF($A245="","",COUNTIFS($A$3:$A245,$A245))</f>
        <v/>
      </c>
      <c r="G245" s="40" t="str">
        <f>IF($A245="","",$A245&amp;"|"&amp;$F245)</f>
        <v/>
      </c>
    </row>
    <row r="246" ht="15" customHeight="1" s="30">
      <c r="A246" s="36" t="n"/>
      <c r="B246" s="40" t="str">
        <f>IF($A246="","",IFERROR(INDEX(품목목록!$B$3:$B$302,MATCH($A246,품목목록!$A$3:$A$302,0)),"미등록"))</f>
        <v/>
      </c>
      <c r="C246" s="36" t="n"/>
      <c r="D246" s="40" t="str">
        <f>IF($C246="","",IFERROR(INDEX(품목목록!$B$3:$B$302,MATCH($C246,품목목록!$A$3:$A$302,0)),"미등록"))</f>
        <v/>
      </c>
      <c r="E246" s="41" t="n"/>
      <c r="F246" s="40" t="str">
        <f>IF($A246="","",COUNTIFS($A$3:$A246,$A246))</f>
        <v/>
      </c>
      <c r="G246" s="40" t="str">
        <f>IF($A246="","",$A246&amp;"|"&amp;$F246)</f>
        <v/>
      </c>
    </row>
    <row r="247" ht="15" customHeight="1" s="30">
      <c r="A247" s="36" t="n"/>
      <c r="B247" s="40" t="str">
        <f>IF($A247="","",IFERROR(INDEX(품목목록!$B$3:$B$302,MATCH($A247,품목목록!$A$3:$A$302,0)),"미등록"))</f>
        <v/>
      </c>
      <c r="C247" s="36" t="n"/>
      <c r="D247" s="40" t="str">
        <f>IF($C247="","",IFERROR(INDEX(품목목록!$B$3:$B$302,MATCH($C247,품목목록!$A$3:$A$302,0)),"미등록"))</f>
        <v/>
      </c>
      <c r="E247" s="41" t="n"/>
      <c r="F247" s="40" t="str">
        <f>IF($A247="","",COUNTIFS($A$3:$A247,$A247))</f>
        <v/>
      </c>
      <c r="G247" s="40" t="str">
        <f>IF($A247="","",$A247&amp;"|"&amp;$F247)</f>
        <v/>
      </c>
    </row>
    <row r="248" ht="15" customHeight="1" s="30">
      <c r="A248" s="36" t="n"/>
      <c r="B248" s="40" t="str">
        <f>IF($A248="","",IFERROR(INDEX(품목목록!$B$3:$B$302,MATCH($A248,품목목록!$A$3:$A$302,0)),"미등록"))</f>
        <v/>
      </c>
      <c r="C248" s="36" t="n"/>
      <c r="D248" s="40" t="str">
        <f>IF($C248="","",IFERROR(INDEX(품목목록!$B$3:$B$302,MATCH($C248,품목목록!$A$3:$A$302,0)),"미등록"))</f>
        <v/>
      </c>
      <c r="E248" s="41" t="n"/>
      <c r="F248" s="40" t="str">
        <f>IF($A248="","",COUNTIFS($A$3:$A248,$A248))</f>
        <v/>
      </c>
      <c r="G248" s="40" t="str">
        <f>IF($A248="","",$A248&amp;"|"&amp;$F248)</f>
        <v/>
      </c>
    </row>
    <row r="249" ht="15" customHeight="1" s="30">
      <c r="A249" s="36" t="n"/>
      <c r="B249" s="40" t="str">
        <f>IF($A249="","",IFERROR(INDEX(품목목록!$B$3:$B$302,MATCH($A249,품목목록!$A$3:$A$302,0)),"미등록"))</f>
        <v/>
      </c>
      <c r="C249" s="36" t="n"/>
      <c r="D249" s="40" t="str">
        <f>IF($C249="","",IFERROR(INDEX(품목목록!$B$3:$B$302,MATCH($C249,품목목록!$A$3:$A$302,0)),"미등록"))</f>
        <v/>
      </c>
      <c r="E249" s="41" t="n"/>
      <c r="F249" s="40" t="str">
        <f>IF($A249="","",COUNTIFS($A$3:$A249,$A249))</f>
        <v/>
      </c>
      <c r="G249" s="40" t="str">
        <f>IF($A249="","",$A249&amp;"|"&amp;$F249)</f>
        <v/>
      </c>
    </row>
    <row r="250" ht="15" customHeight="1" s="30">
      <c r="A250" s="36" t="n"/>
      <c r="B250" s="40" t="str">
        <f>IF($A250="","",IFERROR(INDEX(품목목록!$B$3:$B$302,MATCH($A250,품목목록!$A$3:$A$302,0)),"미등록"))</f>
        <v/>
      </c>
      <c r="C250" s="36" t="n"/>
      <c r="D250" s="40" t="str">
        <f>IF($C250="","",IFERROR(INDEX(품목목록!$B$3:$B$302,MATCH($C250,품목목록!$A$3:$A$302,0)),"미등록"))</f>
        <v/>
      </c>
      <c r="E250" s="41" t="n"/>
      <c r="F250" s="40" t="str">
        <f>IF($A250="","",COUNTIFS($A$3:$A250,$A250))</f>
        <v/>
      </c>
      <c r="G250" s="40" t="str">
        <f>IF($A250="","",$A250&amp;"|"&amp;$F250)</f>
        <v/>
      </c>
    </row>
    <row r="251" ht="15" customHeight="1" s="30">
      <c r="A251" s="36" t="n"/>
      <c r="B251" s="40" t="str">
        <f>IF($A251="","",IFERROR(INDEX(품목목록!$B$3:$B$302,MATCH($A251,품목목록!$A$3:$A$302,0)),"미등록"))</f>
        <v/>
      </c>
      <c r="C251" s="36" t="n"/>
      <c r="D251" s="40" t="str">
        <f>IF($C251="","",IFERROR(INDEX(품목목록!$B$3:$B$302,MATCH($C251,품목목록!$A$3:$A$302,0)),"미등록"))</f>
        <v/>
      </c>
      <c r="E251" s="41" t="n"/>
      <c r="F251" s="40" t="str">
        <f>IF($A251="","",COUNTIFS($A$3:$A251,$A251))</f>
        <v/>
      </c>
      <c r="G251" s="40" t="str">
        <f>IF($A251="","",$A251&amp;"|"&amp;$F251)</f>
        <v/>
      </c>
    </row>
    <row r="252" ht="15" customHeight="1" s="30">
      <c r="A252" s="36" t="n"/>
      <c r="B252" s="40" t="str">
        <f>IF($A252="","",IFERROR(INDEX(품목목록!$B$3:$B$302,MATCH($A252,품목목록!$A$3:$A$302,0)),"미등록"))</f>
        <v/>
      </c>
      <c r="C252" s="36" t="n"/>
      <c r="D252" s="40" t="str">
        <f>IF($C252="","",IFERROR(INDEX(품목목록!$B$3:$B$302,MATCH($C252,품목목록!$A$3:$A$302,0)),"미등록"))</f>
        <v/>
      </c>
      <c r="E252" s="41" t="n"/>
      <c r="F252" s="40" t="str">
        <f>IF($A252="","",COUNTIFS($A$3:$A252,$A252))</f>
        <v/>
      </c>
      <c r="G252" s="40" t="str">
        <f>IF($A252="","",$A252&amp;"|"&amp;$F252)</f>
        <v/>
      </c>
    </row>
    <row r="253" ht="15" customHeight="1" s="30">
      <c r="A253" s="36" t="n"/>
      <c r="B253" s="40" t="str">
        <f>IF($A253="","",IFERROR(INDEX(품목목록!$B$3:$B$302,MATCH($A253,품목목록!$A$3:$A$302,0)),"미등록"))</f>
        <v/>
      </c>
      <c r="C253" s="36" t="n"/>
      <c r="D253" s="40" t="str">
        <f>IF($C253="","",IFERROR(INDEX(품목목록!$B$3:$B$302,MATCH($C253,품목목록!$A$3:$A$302,0)),"미등록"))</f>
        <v/>
      </c>
      <c r="E253" s="41" t="n"/>
      <c r="F253" s="40" t="str">
        <f>IF($A253="","",COUNTIFS($A$3:$A253,$A253))</f>
        <v/>
      </c>
      <c r="G253" s="40" t="str">
        <f>IF($A253="","",$A253&amp;"|"&amp;$F253)</f>
        <v/>
      </c>
    </row>
    <row r="254" ht="15" customHeight="1" s="30">
      <c r="A254" s="36" t="n"/>
      <c r="B254" s="40" t="str">
        <f>IF($A254="","",IFERROR(INDEX(품목목록!$B$3:$B$302,MATCH($A254,품목목록!$A$3:$A$302,0)),"미등록"))</f>
        <v/>
      </c>
      <c r="C254" s="36" t="n"/>
      <c r="D254" s="40" t="str">
        <f>IF($C254="","",IFERROR(INDEX(품목목록!$B$3:$B$302,MATCH($C254,품목목록!$A$3:$A$302,0)),"미등록"))</f>
        <v/>
      </c>
      <c r="E254" s="41" t="n"/>
      <c r="F254" s="40" t="str">
        <f>IF($A254="","",COUNTIFS($A$3:$A254,$A254))</f>
        <v/>
      </c>
      <c r="G254" s="40" t="str">
        <f>IF($A254="","",$A254&amp;"|"&amp;$F254)</f>
        <v/>
      </c>
    </row>
    <row r="255" ht="15" customHeight="1" s="30">
      <c r="A255" s="36" t="n"/>
      <c r="B255" s="40" t="str">
        <f>IF($A255="","",IFERROR(INDEX(품목목록!$B$3:$B$302,MATCH($A255,품목목록!$A$3:$A$302,0)),"미등록"))</f>
        <v/>
      </c>
      <c r="C255" s="36" t="n"/>
      <c r="D255" s="40" t="str">
        <f>IF($C255="","",IFERROR(INDEX(품목목록!$B$3:$B$302,MATCH($C255,품목목록!$A$3:$A$302,0)),"미등록"))</f>
        <v/>
      </c>
      <c r="E255" s="41" t="n"/>
      <c r="F255" s="40" t="str">
        <f>IF($A255="","",COUNTIFS($A$3:$A255,$A255))</f>
        <v/>
      </c>
      <c r="G255" s="40" t="str">
        <f>IF($A255="","",$A255&amp;"|"&amp;$F255)</f>
        <v/>
      </c>
    </row>
    <row r="256" ht="15" customHeight="1" s="30">
      <c r="A256" s="36" t="n"/>
      <c r="B256" s="40" t="str">
        <f>IF($A256="","",IFERROR(INDEX(품목목록!$B$3:$B$302,MATCH($A256,품목목록!$A$3:$A$302,0)),"미등록"))</f>
        <v/>
      </c>
      <c r="C256" s="36" t="n"/>
      <c r="D256" s="40" t="str">
        <f>IF($C256="","",IFERROR(INDEX(품목목록!$B$3:$B$302,MATCH($C256,품목목록!$A$3:$A$302,0)),"미등록"))</f>
        <v/>
      </c>
      <c r="E256" s="41" t="n"/>
      <c r="F256" s="40" t="str">
        <f>IF($A256="","",COUNTIFS($A$3:$A256,$A256))</f>
        <v/>
      </c>
      <c r="G256" s="40" t="str">
        <f>IF($A256="","",$A256&amp;"|"&amp;$F256)</f>
        <v/>
      </c>
    </row>
    <row r="257" ht="15" customHeight="1" s="30">
      <c r="A257" s="36" t="n"/>
      <c r="B257" s="40" t="str">
        <f>IF($A257="","",IFERROR(INDEX(품목목록!$B$3:$B$302,MATCH($A257,품목목록!$A$3:$A$302,0)),"미등록"))</f>
        <v/>
      </c>
      <c r="C257" s="36" t="n"/>
      <c r="D257" s="40" t="str">
        <f>IF($C257="","",IFERROR(INDEX(품목목록!$B$3:$B$302,MATCH($C257,품목목록!$A$3:$A$302,0)),"미등록"))</f>
        <v/>
      </c>
      <c r="E257" s="41" t="n"/>
      <c r="F257" s="40" t="str">
        <f>IF($A257="","",COUNTIFS($A$3:$A257,$A257))</f>
        <v/>
      </c>
      <c r="G257" s="40" t="str">
        <f>IF($A257="","",$A257&amp;"|"&amp;$F257)</f>
        <v/>
      </c>
    </row>
    <row r="258" ht="15" customHeight="1" s="30">
      <c r="A258" s="36" t="n"/>
      <c r="B258" s="40" t="str">
        <f>IF($A258="","",IFERROR(INDEX(품목목록!$B$3:$B$302,MATCH($A258,품목목록!$A$3:$A$302,0)),"미등록"))</f>
        <v/>
      </c>
      <c r="C258" s="36" t="n"/>
      <c r="D258" s="40" t="str">
        <f>IF($C258="","",IFERROR(INDEX(품목목록!$B$3:$B$302,MATCH($C258,품목목록!$A$3:$A$302,0)),"미등록"))</f>
        <v/>
      </c>
      <c r="E258" s="41" t="n"/>
      <c r="F258" s="40" t="str">
        <f>IF($A258="","",COUNTIFS($A$3:$A258,$A258))</f>
        <v/>
      </c>
      <c r="G258" s="40" t="str">
        <f>IF($A258="","",$A258&amp;"|"&amp;$F258)</f>
        <v/>
      </c>
    </row>
    <row r="259" ht="15" customHeight="1" s="30">
      <c r="A259" s="36" t="n"/>
      <c r="B259" s="40" t="str">
        <f>IF($A259="","",IFERROR(INDEX(품목목록!$B$3:$B$302,MATCH($A259,품목목록!$A$3:$A$302,0)),"미등록"))</f>
        <v/>
      </c>
      <c r="C259" s="36" t="n"/>
      <c r="D259" s="40" t="str">
        <f>IF($C259="","",IFERROR(INDEX(품목목록!$B$3:$B$302,MATCH($C259,품목목록!$A$3:$A$302,0)),"미등록"))</f>
        <v/>
      </c>
      <c r="E259" s="41" t="n"/>
      <c r="F259" s="40" t="str">
        <f>IF($A259="","",COUNTIFS($A$3:$A259,$A259))</f>
        <v/>
      </c>
      <c r="G259" s="40" t="str">
        <f>IF($A259="","",$A259&amp;"|"&amp;$F259)</f>
        <v/>
      </c>
    </row>
    <row r="260" ht="15" customHeight="1" s="30">
      <c r="A260" s="36" t="n"/>
      <c r="B260" s="40" t="str">
        <f>IF($A260="","",IFERROR(INDEX(품목목록!$B$3:$B$302,MATCH($A260,품목목록!$A$3:$A$302,0)),"미등록"))</f>
        <v/>
      </c>
      <c r="C260" s="36" t="n"/>
      <c r="D260" s="40" t="str">
        <f>IF($C260="","",IFERROR(INDEX(품목목록!$B$3:$B$302,MATCH($C260,품목목록!$A$3:$A$302,0)),"미등록"))</f>
        <v/>
      </c>
      <c r="E260" s="41" t="n"/>
      <c r="F260" s="40" t="str">
        <f>IF($A260="","",COUNTIFS($A$3:$A260,$A260))</f>
        <v/>
      </c>
      <c r="G260" s="40" t="str">
        <f>IF($A260="","",$A260&amp;"|"&amp;$F260)</f>
        <v/>
      </c>
    </row>
    <row r="261" ht="15" customHeight="1" s="30">
      <c r="A261" s="36" t="n"/>
      <c r="B261" s="40" t="str">
        <f>IF($A261="","",IFERROR(INDEX(품목목록!$B$3:$B$302,MATCH($A261,품목목록!$A$3:$A$302,0)),"미등록"))</f>
        <v/>
      </c>
      <c r="C261" s="36" t="n"/>
      <c r="D261" s="40" t="str">
        <f>IF($C261="","",IFERROR(INDEX(품목목록!$B$3:$B$302,MATCH($C261,품목목록!$A$3:$A$302,0)),"미등록"))</f>
        <v/>
      </c>
      <c r="E261" s="41" t="n"/>
      <c r="F261" s="40" t="str">
        <f>IF($A261="","",COUNTIFS($A$3:$A261,$A261))</f>
        <v/>
      </c>
      <c r="G261" s="40" t="str">
        <f>IF($A261="","",$A261&amp;"|"&amp;$F261)</f>
        <v/>
      </c>
    </row>
    <row r="262" ht="15" customHeight="1" s="30">
      <c r="A262" s="36" t="n"/>
      <c r="B262" s="40" t="str">
        <f>IF($A262="","",IFERROR(INDEX(품목목록!$B$3:$B$302,MATCH($A262,품목목록!$A$3:$A$302,0)),"미등록"))</f>
        <v/>
      </c>
      <c r="C262" s="36" t="n"/>
      <c r="D262" s="40" t="str">
        <f>IF($C262="","",IFERROR(INDEX(품목목록!$B$3:$B$302,MATCH($C262,품목목록!$A$3:$A$302,0)),"미등록"))</f>
        <v/>
      </c>
      <c r="E262" s="41" t="n"/>
      <c r="F262" s="40" t="str">
        <f>IF($A262="","",COUNTIFS($A$3:$A262,$A262))</f>
        <v/>
      </c>
      <c r="G262" s="40" t="str">
        <f>IF($A262="","",$A262&amp;"|"&amp;$F262)</f>
        <v/>
      </c>
    </row>
    <row r="263" ht="15" customHeight="1" s="30">
      <c r="A263" s="36" t="n"/>
      <c r="B263" s="40" t="str">
        <f>IF($A263="","",IFERROR(INDEX(품목목록!$B$3:$B$302,MATCH($A263,품목목록!$A$3:$A$302,0)),"미등록"))</f>
        <v/>
      </c>
      <c r="C263" s="36" t="n"/>
      <c r="D263" s="40" t="str">
        <f>IF($C263="","",IFERROR(INDEX(품목목록!$B$3:$B$302,MATCH($C263,품목목록!$A$3:$A$302,0)),"미등록"))</f>
        <v/>
      </c>
      <c r="E263" s="41" t="n"/>
      <c r="F263" s="40" t="str">
        <f>IF($A263="","",COUNTIFS($A$3:$A263,$A263))</f>
        <v/>
      </c>
      <c r="G263" s="40" t="str">
        <f>IF($A263="","",$A263&amp;"|"&amp;$F263)</f>
        <v/>
      </c>
    </row>
    <row r="264" ht="15" customHeight="1" s="30">
      <c r="A264" s="36" t="n"/>
      <c r="B264" s="40" t="str">
        <f>IF($A264="","",IFERROR(INDEX(품목목록!$B$3:$B$302,MATCH($A264,품목목록!$A$3:$A$302,0)),"미등록"))</f>
        <v/>
      </c>
      <c r="C264" s="36" t="n"/>
      <c r="D264" s="40" t="str">
        <f>IF($C264="","",IFERROR(INDEX(품목목록!$B$3:$B$302,MATCH($C264,품목목록!$A$3:$A$302,0)),"미등록"))</f>
        <v/>
      </c>
      <c r="E264" s="41" t="n"/>
      <c r="F264" s="40" t="str">
        <f>IF($A264="","",COUNTIFS($A$3:$A264,$A264))</f>
        <v/>
      </c>
      <c r="G264" s="40" t="str">
        <f>IF($A264="","",$A264&amp;"|"&amp;$F264)</f>
        <v/>
      </c>
    </row>
    <row r="265" ht="15" customHeight="1" s="30">
      <c r="A265" s="36" t="n"/>
      <c r="B265" s="40" t="str">
        <f>IF($A265="","",IFERROR(INDEX(품목목록!$B$3:$B$302,MATCH($A265,품목목록!$A$3:$A$302,0)),"미등록"))</f>
        <v/>
      </c>
      <c r="C265" s="36" t="n"/>
      <c r="D265" s="40" t="str">
        <f>IF($C265="","",IFERROR(INDEX(품목목록!$B$3:$B$302,MATCH($C265,품목목록!$A$3:$A$302,0)),"미등록"))</f>
        <v/>
      </c>
      <c r="E265" s="41" t="n"/>
      <c r="F265" s="40" t="str">
        <f>IF($A265="","",COUNTIFS($A$3:$A265,$A265))</f>
        <v/>
      </c>
      <c r="G265" s="40" t="str">
        <f>IF($A265="","",$A265&amp;"|"&amp;$F265)</f>
        <v/>
      </c>
    </row>
    <row r="266" ht="15" customHeight="1" s="30">
      <c r="A266" s="36" t="n"/>
      <c r="B266" s="40" t="str">
        <f>IF($A266="","",IFERROR(INDEX(품목목록!$B$3:$B$302,MATCH($A266,품목목록!$A$3:$A$302,0)),"미등록"))</f>
        <v/>
      </c>
      <c r="C266" s="36" t="n"/>
      <c r="D266" s="40" t="str">
        <f>IF($C266="","",IFERROR(INDEX(품목목록!$B$3:$B$302,MATCH($C266,품목목록!$A$3:$A$302,0)),"미등록"))</f>
        <v/>
      </c>
      <c r="E266" s="41" t="n"/>
      <c r="F266" s="40" t="str">
        <f>IF($A266="","",COUNTIFS($A$3:$A266,$A266))</f>
        <v/>
      </c>
      <c r="G266" s="40" t="str">
        <f>IF($A266="","",$A266&amp;"|"&amp;$F266)</f>
        <v/>
      </c>
    </row>
    <row r="267" ht="15" customHeight="1" s="30">
      <c r="A267" s="36" t="n"/>
      <c r="B267" s="40" t="str">
        <f>IF($A267="","",IFERROR(INDEX(품목목록!$B$3:$B$302,MATCH($A267,품목목록!$A$3:$A$302,0)),"미등록"))</f>
        <v/>
      </c>
      <c r="C267" s="36" t="n"/>
      <c r="D267" s="40" t="str">
        <f>IF($C267="","",IFERROR(INDEX(품목목록!$B$3:$B$302,MATCH($C267,품목목록!$A$3:$A$302,0)),"미등록"))</f>
        <v/>
      </c>
      <c r="E267" s="41" t="n"/>
      <c r="F267" s="40" t="str">
        <f>IF($A267="","",COUNTIFS($A$3:$A267,$A267))</f>
        <v/>
      </c>
      <c r="G267" s="40" t="str">
        <f>IF($A267="","",$A267&amp;"|"&amp;$F267)</f>
        <v/>
      </c>
    </row>
    <row r="268" ht="15" customHeight="1" s="30">
      <c r="A268" s="36" t="n"/>
      <c r="B268" s="40" t="str">
        <f>IF($A268="","",IFERROR(INDEX(품목목록!$B$3:$B$302,MATCH($A268,품목목록!$A$3:$A$302,0)),"미등록"))</f>
        <v/>
      </c>
      <c r="C268" s="36" t="n"/>
      <c r="D268" s="40" t="str">
        <f>IF($C268="","",IFERROR(INDEX(품목목록!$B$3:$B$302,MATCH($C268,품목목록!$A$3:$A$302,0)),"미등록"))</f>
        <v/>
      </c>
      <c r="E268" s="41" t="n"/>
      <c r="F268" s="40" t="str">
        <f>IF($A268="","",COUNTIFS($A$3:$A268,$A268))</f>
        <v/>
      </c>
      <c r="G268" s="40" t="str">
        <f>IF($A268="","",$A268&amp;"|"&amp;$F268)</f>
        <v/>
      </c>
    </row>
    <row r="269" ht="15" customHeight="1" s="30">
      <c r="A269" s="36" t="n"/>
      <c r="B269" s="40" t="str">
        <f>IF($A269="","",IFERROR(INDEX(품목목록!$B$3:$B$302,MATCH($A269,품목목록!$A$3:$A$302,0)),"미등록"))</f>
        <v/>
      </c>
      <c r="C269" s="36" t="n"/>
      <c r="D269" s="40" t="str">
        <f>IF($C269="","",IFERROR(INDEX(품목목록!$B$3:$B$302,MATCH($C269,품목목록!$A$3:$A$302,0)),"미등록"))</f>
        <v/>
      </c>
      <c r="E269" s="41" t="n"/>
      <c r="F269" s="40" t="str">
        <f>IF($A269="","",COUNTIFS($A$3:$A269,$A269))</f>
        <v/>
      </c>
      <c r="G269" s="40" t="str">
        <f>IF($A269="","",$A269&amp;"|"&amp;$F269)</f>
        <v/>
      </c>
    </row>
    <row r="270" ht="15" customHeight="1" s="30">
      <c r="A270" s="36" t="n"/>
      <c r="B270" s="40" t="str">
        <f>IF($A270="","",IFERROR(INDEX(품목목록!$B$3:$B$302,MATCH($A270,품목목록!$A$3:$A$302,0)),"미등록"))</f>
        <v/>
      </c>
      <c r="C270" s="36" t="n"/>
      <c r="D270" s="40" t="str">
        <f>IF($C270="","",IFERROR(INDEX(품목목록!$B$3:$B$302,MATCH($C270,품목목록!$A$3:$A$302,0)),"미등록"))</f>
        <v/>
      </c>
      <c r="E270" s="41" t="n"/>
      <c r="F270" s="40" t="str">
        <f>IF($A270="","",COUNTIFS($A$3:$A270,$A270))</f>
        <v/>
      </c>
      <c r="G270" s="40" t="str">
        <f>IF($A270="","",$A270&amp;"|"&amp;$F270)</f>
        <v/>
      </c>
    </row>
    <row r="271" ht="15" customHeight="1" s="30">
      <c r="A271" s="36" t="n"/>
      <c r="B271" s="40" t="str">
        <f>IF($A271="","",IFERROR(INDEX(품목목록!$B$3:$B$302,MATCH($A271,품목목록!$A$3:$A$302,0)),"미등록"))</f>
        <v/>
      </c>
      <c r="C271" s="36" t="n"/>
      <c r="D271" s="40" t="str">
        <f>IF($C271="","",IFERROR(INDEX(품목목록!$B$3:$B$302,MATCH($C271,품목목록!$A$3:$A$302,0)),"미등록"))</f>
        <v/>
      </c>
      <c r="E271" s="41" t="n"/>
      <c r="F271" s="40" t="str">
        <f>IF($A271="","",COUNTIFS($A$3:$A271,$A271))</f>
        <v/>
      </c>
      <c r="G271" s="40" t="str">
        <f>IF($A271="","",$A271&amp;"|"&amp;$F271)</f>
        <v/>
      </c>
    </row>
    <row r="272" ht="15" customHeight="1" s="30">
      <c r="A272" s="36" t="n"/>
      <c r="B272" s="40" t="str">
        <f>IF($A272="","",IFERROR(INDEX(품목목록!$B$3:$B$302,MATCH($A272,품목목록!$A$3:$A$302,0)),"미등록"))</f>
        <v/>
      </c>
      <c r="C272" s="36" t="n"/>
      <c r="D272" s="40" t="str">
        <f>IF($C272="","",IFERROR(INDEX(품목목록!$B$3:$B$302,MATCH($C272,품목목록!$A$3:$A$302,0)),"미등록"))</f>
        <v/>
      </c>
      <c r="E272" s="41" t="n"/>
      <c r="F272" s="40" t="str">
        <f>IF($A272="","",COUNTIFS($A$3:$A272,$A272))</f>
        <v/>
      </c>
      <c r="G272" s="40" t="str">
        <f>IF($A272="","",$A272&amp;"|"&amp;$F272)</f>
        <v/>
      </c>
    </row>
    <row r="273" ht="15" customHeight="1" s="30">
      <c r="A273" s="36" t="n"/>
      <c r="B273" s="40" t="str">
        <f>IF($A273="","",IFERROR(INDEX(품목목록!$B$3:$B$302,MATCH($A273,품목목록!$A$3:$A$302,0)),"미등록"))</f>
        <v/>
      </c>
      <c r="C273" s="36" t="n"/>
      <c r="D273" s="40" t="str">
        <f>IF($C273="","",IFERROR(INDEX(품목목록!$B$3:$B$302,MATCH($C273,품목목록!$A$3:$A$302,0)),"미등록"))</f>
        <v/>
      </c>
      <c r="E273" s="41" t="n"/>
      <c r="F273" s="40" t="str">
        <f>IF($A273="","",COUNTIFS($A$3:$A273,$A273))</f>
        <v/>
      </c>
      <c r="G273" s="40" t="str">
        <f>IF($A273="","",$A273&amp;"|"&amp;$F273)</f>
        <v/>
      </c>
    </row>
    <row r="274" ht="15" customHeight="1" s="30">
      <c r="A274" s="36" t="n"/>
      <c r="B274" s="40" t="str">
        <f>IF($A274="","",IFERROR(INDEX(품목목록!$B$3:$B$302,MATCH($A274,품목목록!$A$3:$A$302,0)),"미등록"))</f>
        <v/>
      </c>
      <c r="C274" s="36" t="n"/>
      <c r="D274" s="40" t="str">
        <f>IF($C274="","",IFERROR(INDEX(품목목록!$B$3:$B$302,MATCH($C274,품목목록!$A$3:$A$302,0)),"미등록"))</f>
        <v/>
      </c>
      <c r="E274" s="41" t="n"/>
      <c r="F274" s="40" t="str">
        <f>IF($A274="","",COUNTIFS($A$3:$A274,$A274))</f>
        <v/>
      </c>
      <c r="G274" s="40" t="str">
        <f>IF($A274="","",$A274&amp;"|"&amp;$F274)</f>
        <v/>
      </c>
    </row>
    <row r="275" ht="15" customHeight="1" s="30">
      <c r="A275" s="36" t="n"/>
      <c r="B275" s="40" t="str">
        <f>IF($A275="","",IFERROR(INDEX(품목목록!$B$3:$B$302,MATCH($A275,품목목록!$A$3:$A$302,0)),"미등록"))</f>
        <v/>
      </c>
      <c r="C275" s="36" t="n"/>
      <c r="D275" s="40" t="str">
        <f>IF($C275="","",IFERROR(INDEX(품목목록!$B$3:$B$302,MATCH($C275,품목목록!$A$3:$A$302,0)),"미등록"))</f>
        <v/>
      </c>
      <c r="E275" s="41" t="n"/>
      <c r="F275" s="40" t="str">
        <f>IF($A275="","",COUNTIFS($A$3:$A275,$A275))</f>
        <v/>
      </c>
      <c r="G275" s="40" t="str">
        <f>IF($A275="","",$A275&amp;"|"&amp;$F275)</f>
        <v/>
      </c>
    </row>
    <row r="276" ht="15" customHeight="1" s="30">
      <c r="A276" s="36" t="n"/>
      <c r="B276" s="40" t="str">
        <f>IF($A276="","",IFERROR(INDEX(품목목록!$B$3:$B$302,MATCH($A276,품목목록!$A$3:$A$302,0)),"미등록"))</f>
        <v/>
      </c>
      <c r="C276" s="36" t="n"/>
      <c r="D276" s="40" t="str">
        <f>IF($C276="","",IFERROR(INDEX(품목목록!$B$3:$B$302,MATCH($C276,품목목록!$A$3:$A$302,0)),"미등록"))</f>
        <v/>
      </c>
      <c r="E276" s="41" t="n"/>
      <c r="F276" s="40" t="str">
        <f>IF($A276="","",COUNTIFS($A$3:$A276,$A276))</f>
        <v/>
      </c>
      <c r="G276" s="40" t="str">
        <f>IF($A276="","",$A276&amp;"|"&amp;$F276)</f>
        <v/>
      </c>
    </row>
    <row r="277" ht="15" customHeight="1" s="30">
      <c r="A277" s="36" t="n"/>
      <c r="B277" s="40" t="str">
        <f>IF($A277="","",IFERROR(INDEX(품목목록!$B$3:$B$302,MATCH($A277,품목목록!$A$3:$A$302,0)),"미등록"))</f>
        <v/>
      </c>
      <c r="C277" s="36" t="n"/>
      <c r="D277" s="40" t="str">
        <f>IF($C277="","",IFERROR(INDEX(품목목록!$B$3:$B$302,MATCH($C277,품목목록!$A$3:$A$302,0)),"미등록"))</f>
        <v/>
      </c>
      <c r="E277" s="41" t="n"/>
      <c r="F277" s="40" t="str">
        <f>IF($A277="","",COUNTIFS($A$3:$A277,$A277))</f>
        <v/>
      </c>
      <c r="G277" s="40" t="str">
        <f>IF($A277="","",$A277&amp;"|"&amp;$F277)</f>
        <v/>
      </c>
    </row>
    <row r="278" ht="15" customHeight="1" s="30">
      <c r="A278" s="36" t="n"/>
      <c r="B278" s="40" t="str">
        <f>IF($A278="","",IFERROR(INDEX(품목목록!$B$3:$B$302,MATCH($A278,품목목록!$A$3:$A$302,0)),"미등록"))</f>
        <v/>
      </c>
      <c r="C278" s="36" t="n"/>
      <c r="D278" s="40" t="str">
        <f>IF($C278="","",IFERROR(INDEX(품목목록!$B$3:$B$302,MATCH($C278,품목목록!$A$3:$A$302,0)),"미등록"))</f>
        <v/>
      </c>
      <c r="E278" s="41" t="n"/>
      <c r="F278" s="40" t="str">
        <f>IF($A278="","",COUNTIFS($A$3:$A278,$A278))</f>
        <v/>
      </c>
      <c r="G278" s="40" t="str">
        <f>IF($A278="","",$A278&amp;"|"&amp;$F278)</f>
        <v/>
      </c>
    </row>
    <row r="279" ht="15" customHeight="1" s="30">
      <c r="A279" s="36" t="n"/>
      <c r="B279" s="40" t="str">
        <f>IF($A279="","",IFERROR(INDEX(품목목록!$B$3:$B$302,MATCH($A279,품목목록!$A$3:$A$302,0)),"미등록"))</f>
        <v/>
      </c>
      <c r="C279" s="36" t="n"/>
      <c r="D279" s="40" t="str">
        <f>IF($C279="","",IFERROR(INDEX(품목목록!$B$3:$B$302,MATCH($C279,품목목록!$A$3:$A$302,0)),"미등록"))</f>
        <v/>
      </c>
      <c r="E279" s="41" t="n"/>
      <c r="F279" s="40" t="str">
        <f>IF($A279="","",COUNTIFS($A$3:$A279,$A279))</f>
        <v/>
      </c>
      <c r="G279" s="40" t="str">
        <f>IF($A279="","",$A279&amp;"|"&amp;$F279)</f>
        <v/>
      </c>
    </row>
    <row r="280" ht="15" customHeight="1" s="30">
      <c r="A280" s="36" t="n"/>
      <c r="B280" s="40" t="str">
        <f>IF($A280="","",IFERROR(INDEX(품목목록!$B$3:$B$302,MATCH($A280,품목목록!$A$3:$A$302,0)),"미등록"))</f>
        <v/>
      </c>
      <c r="C280" s="36" t="n"/>
      <c r="D280" s="40" t="str">
        <f>IF($C280="","",IFERROR(INDEX(품목목록!$B$3:$B$302,MATCH($C280,품목목록!$A$3:$A$302,0)),"미등록"))</f>
        <v/>
      </c>
      <c r="E280" s="41" t="n"/>
      <c r="F280" s="40" t="str">
        <f>IF($A280="","",COUNTIFS($A$3:$A280,$A280))</f>
        <v/>
      </c>
      <c r="G280" s="40" t="str">
        <f>IF($A280="","",$A280&amp;"|"&amp;$F280)</f>
        <v/>
      </c>
    </row>
    <row r="281" ht="15" customHeight="1" s="30">
      <c r="A281" s="36" t="n"/>
      <c r="B281" s="40" t="str">
        <f>IF($A281="","",IFERROR(INDEX(품목목록!$B$3:$B$302,MATCH($A281,품목목록!$A$3:$A$302,0)),"미등록"))</f>
        <v/>
      </c>
      <c r="C281" s="36" t="n"/>
      <c r="D281" s="40" t="str">
        <f>IF($C281="","",IFERROR(INDEX(품목목록!$B$3:$B$302,MATCH($C281,품목목록!$A$3:$A$302,0)),"미등록"))</f>
        <v/>
      </c>
      <c r="E281" s="41" t="n"/>
      <c r="F281" s="40" t="str">
        <f>IF($A281="","",COUNTIFS($A$3:$A281,$A281))</f>
        <v/>
      </c>
      <c r="G281" s="40" t="str">
        <f>IF($A281="","",$A281&amp;"|"&amp;$F281)</f>
        <v/>
      </c>
    </row>
    <row r="282" ht="15" customHeight="1" s="30">
      <c r="A282" s="36" t="n"/>
      <c r="B282" s="40" t="str">
        <f>IF($A282="","",IFERROR(INDEX(품목목록!$B$3:$B$302,MATCH($A282,품목목록!$A$3:$A$302,0)),"미등록"))</f>
        <v/>
      </c>
      <c r="C282" s="36" t="n"/>
      <c r="D282" s="40" t="str">
        <f>IF($C282="","",IFERROR(INDEX(품목목록!$B$3:$B$302,MATCH($C282,품목목록!$A$3:$A$302,0)),"미등록"))</f>
        <v/>
      </c>
      <c r="E282" s="41" t="n"/>
      <c r="F282" s="40" t="str">
        <f>IF($A282="","",COUNTIFS($A$3:$A282,$A282))</f>
        <v/>
      </c>
      <c r="G282" s="40" t="str">
        <f>IF($A282="","",$A282&amp;"|"&amp;$F282)</f>
        <v/>
      </c>
    </row>
    <row r="283" ht="15" customHeight="1" s="30">
      <c r="A283" s="36" t="n"/>
      <c r="B283" s="40" t="str">
        <f>IF($A283="","",IFERROR(INDEX(품목목록!$B$3:$B$302,MATCH($A283,품목목록!$A$3:$A$302,0)),"미등록"))</f>
        <v/>
      </c>
      <c r="C283" s="36" t="n"/>
      <c r="D283" s="40" t="str">
        <f>IF($C283="","",IFERROR(INDEX(품목목록!$B$3:$B$302,MATCH($C283,품목목록!$A$3:$A$302,0)),"미등록"))</f>
        <v/>
      </c>
      <c r="E283" s="41" t="n"/>
      <c r="F283" s="40" t="str">
        <f>IF($A283="","",COUNTIFS($A$3:$A283,$A283))</f>
        <v/>
      </c>
      <c r="G283" s="40" t="str">
        <f>IF($A283="","",$A283&amp;"|"&amp;$F283)</f>
        <v/>
      </c>
    </row>
    <row r="284" ht="15" customHeight="1" s="30">
      <c r="A284" s="36" t="n"/>
      <c r="B284" s="40" t="str">
        <f>IF($A284="","",IFERROR(INDEX(품목목록!$B$3:$B$302,MATCH($A284,품목목록!$A$3:$A$302,0)),"미등록"))</f>
        <v/>
      </c>
      <c r="C284" s="36" t="n"/>
      <c r="D284" s="40" t="str">
        <f>IF($C284="","",IFERROR(INDEX(품목목록!$B$3:$B$302,MATCH($C284,품목목록!$A$3:$A$302,0)),"미등록"))</f>
        <v/>
      </c>
      <c r="E284" s="41" t="n"/>
      <c r="F284" s="40" t="str">
        <f>IF($A284="","",COUNTIFS($A$3:$A284,$A284))</f>
        <v/>
      </c>
      <c r="G284" s="40" t="str">
        <f>IF($A284="","",$A284&amp;"|"&amp;$F284)</f>
        <v/>
      </c>
    </row>
    <row r="285" ht="15" customHeight="1" s="30">
      <c r="A285" s="36" t="n"/>
      <c r="B285" s="40" t="str">
        <f>IF($A285="","",IFERROR(INDEX(품목목록!$B$3:$B$302,MATCH($A285,품목목록!$A$3:$A$302,0)),"미등록"))</f>
        <v/>
      </c>
      <c r="C285" s="36" t="n"/>
      <c r="D285" s="40" t="str">
        <f>IF($C285="","",IFERROR(INDEX(품목목록!$B$3:$B$302,MATCH($C285,품목목록!$A$3:$A$302,0)),"미등록"))</f>
        <v/>
      </c>
      <c r="E285" s="41" t="n"/>
      <c r="F285" s="40" t="str">
        <f>IF($A285="","",COUNTIFS($A$3:$A285,$A285))</f>
        <v/>
      </c>
      <c r="G285" s="40" t="str">
        <f>IF($A285="","",$A285&amp;"|"&amp;$F285)</f>
        <v/>
      </c>
    </row>
    <row r="286" ht="15" customHeight="1" s="30">
      <c r="A286" s="36" t="n"/>
      <c r="B286" s="40" t="str">
        <f>IF($A286="","",IFERROR(INDEX(품목목록!$B$3:$B$302,MATCH($A286,품목목록!$A$3:$A$302,0)),"미등록"))</f>
        <v/>
      </c>
      <c r="C286" s="36" t="n"/>
      <c r="D286" s="40" t="str">
        <f>IF($C286="","",IFERROR(INDEX(품목목록!$B$3:$B$302,MATCH($C286,품목목록!$A$3:$A$302,0)),"미등록"))</f>
        <v/>
      </c>
      <c r="E286" s="41" t="n"/>
      <c r="F286" s="40" t="str">
        <f>IF($A286="","",COUNTIFS($A$3:$A286,$A286))</f>
        <v/>
      </c>
      <c r="G286" s="40" t="str">
        <f>IF($A286="","",$A286&amp;"|"&amp;$F286)</f>
        <v/>
      </c>
    </row>
    <row r="287" ht="15" customHeight="1" s="30">
      <c r="A287" s="36" t="n"/>
      <c r="B287" s="40" t="str">
        <f>IF($A287="","",IFERROR(INDEX(품목목록!$B$3:$B$302,MATCH($A287,품목목록!$A$3:$A$302,0)),"미등록"))</f>
        <v/>
      </c>
      <c r="C287" s="36" t="n"/>
      <c r="D287" s="40" t="str">
        <f>IF($C287="","",IFERROR(INDEX(품목목록!$B$3:$B$302,MATCH($C287,품목목록!$A$3:$A$302,0)),"미등록"))</f>
        <v/>
      </c>
      <c r="E287" s="41" t="n"/>
      <c r="F287" s="40" t="str">
        <f>IF($A287="","",COUNTIFS($A$3:$A287,$A287))</f>
        <v/>
      </c>
      <c r="G287" s="40" t="str">
        <f>IF($A287="","",$A287&amp;"|"&amp;$F287)</f>
        <v/>
      </c>
    </row>
    <row r="288" ht="15" customHeight="1" s="30">
      <c r="A288" s="36" t="n"/>
      <c r="B288" s="40" t="str">
        <f>IF($A288="","",IFERROR(INDEX(품목목록!$B$3:$B$302,MATCH($A288,품목목록!$A$3:$A$302,0)),"미등록"))</f>
        <v/>
      </c>
      <c r="C288" s="36" t="n"/>
      <c r="D288" s="40" t="str">
        <f>IF($C288="","",IFERROR(INDEX(품목목록!$B$3:$B$302,MATCH($C288,품목목록!$A$3:$A$302,0)),"미등록"))</f>
        <v/>
      </c>
      <c r="E288" s="41" t="n"/>
      <c r="F288" s="40" t="str">
        <f>IF($A288="","",COUNTIFS($A$3:$A288,$A288))</f>
        <v/>
      </c>
      <c r="G288" s="40" t="str">
        <f>IF($A288="","",$A288&amp;"|"&amp;$F288)</f>
        <v/>
      </c>
    </row>
    <row r="289" ht="15" customHeight="1" s="30">
      <c r="A289" s="36" t="n"/>
      <c r="B289" s="40" t="str">
        <f>IF($A289="","",IFERROR(INDEX(품목목록!$B$3:$B$302,MATCH($A289,품목목록!$A$3:$A$302,0)),"미등록"))</f>
        <v/>
      </c>
      <c r="C289" s="36" t="n"/>
      <c r="D289" s="40" t="str">
        <f>IF($C289="","",IFERROR(INDEX(품목목록!$B$3:$B$302,MATCH($C289,품목목록!$A$3:$A$302,0)),"미등록"))</f>
        <v/>
      </c>
      <c r="E289" s="41" t="n"/>
      <c r="F289" s="40" t="str">
        <f>IF($A289="","",COUNTIFS($A$3:$A289,$A289))</f>
        <v/>
      </c>
      <c r="G289" s="40" t="str">
        <f>IF($A289="","",$A289&amp;"|"&amp;$F289)</f>
        <v/>
      </c>
    </row>
    <row r="290" ht="15" customHeight="1" s="30">
      <c r="A290" s="36" t="n"/>
      <c r="B290" s="40" t="str">
        <f>IF($A290="","",IFERROR(INDEX(품목목록!$B$3:$B$302,MATCH($A290,품목목록!$A$3:$A$302,0)),"미등록"))</f>
        <v/>
      </c>
      <c r="C290" s="36" t="n"/>
      <c r="D290" s="40" t="str">
        <f>IF($C290="","",IFERROR(INDEX(품목목록!$B$3:$B$302,MATCH($C290,품목목록!$A$3:$A$302,0)),"미등록"))</f>
        <v/>
      </c>
      <c r="E290" s="41" t="n"/>
      <c r="F290" s="40" t="str">
        <f>IF($A290="","",COUNTIFS($A$3:$A290,$A290))</f>
        <v/>
      </c>
      <c r="G290" s="40" t="str">
        <f>IF($A290="","",$A290&amp;"|"&amp;$F290)</f>
        <v/>
      </c>
    </row>
    <row r="291" ht="15" customHeight="1" s="30">
      <c r="A291" s="36" t="n"/>
      <c r="B291" s="40" t="str">
        <f>IF($A291="","",IFERROR(INDEX(품목목록!$B$3:$B$302,MATCH($A291,품목목록!$A$3:$A$302,0)),"미등록"))</f>
        <v/>
      </c>
      <c r="C291" s="36" t="n"/>
      <c r="D291" s="40" t="str">
        <f>IF($C291="","",IFERROR(INDEX(품목목록!$B$3:$B$302,MATCH($C291,품목목록!$A$3:$A$302,0)),"미등록"))</f>
        <v/>
      </c>
      <c r="E291" s="41" t="n"/>
      <c r="F291" s="40" t="str">
        <f>IF($A291="","",COUNTIFS($A$3:$A291,$A291))</f>
        <v/>
      </c>
      <c r="G291" s="40" t="str">
        <f>IF($A291="","",$A291&amp;"|"&amp;$F291)</f>
        <v/>
      </c>
    </row>
    <row r="292" ht="15" customHeight="1" s="30">
      <c r="A292" s="36" t="n"/>
      <c r="B292" s="40" t="str">
        <f>IF($A292="","",IFERROR(INDEX(품목목록!$B$3:$B$302,MATCH($A292,품목목록!$A$3:$A$302,0)),"미등록"))</f>
        <v/>
      </c>
      <c r="C292" s="36" t="n"/>
      <c r="D292" s="40" t="str">
        <f>IF($C292="","",IFERROR(INDEX(품목목록!$B$3:$B$302,MATCH($C292,품목목록!$A$3:$A$302,0)),"미등록"))</f>
        <v/>
      </c>
      <c r="E292" s="41" t="n"/>
      <c r="F292" s="40" t="str">
        <f>IF($A292="","",COUNTIFS($A$3:$A292,$A292))</f>
        <v/>
      </c>
      <c r="G292" s="40" t="str">
        <f>IF($A292="","",$A292&amp;"|"&amp;$F292)</f>
        <v/>
      </c>
    </row>
    <row r="293" ht="15" customHeight="1" s="30">
      <c r="A293" s="36" t="n"/>
      <c r="B293" s="40" t="str">
        <f>IF($A293="","",IFERROR(INDEX(품목목록!$B$3:$B$302,MATCH($A293,품목목록!$A$3:$A$302,0)),"미등록"))</f>
        <v/>
      </c>
      <c r="C293" s="36" t="n"/>
      <c r="D293" s="40" t="str">
        <f>IF($C293="","",IFERROR(INDEX(품목목록!$B$3:$B$302,MATCH($C293,품목목록!$A$3:$A$302,0)),"미등록"))</f>
        <v/>
      </c>
      <c r="E293" s="41" t="n"/>
      <c r="F293" s="40" t="str">
        <f>IF($A293="","",COUNTIFS($A$3:$A293,$A293))</f>
        <v/>
      </c>
      <c r="G293" s="40" t="str">
        <f>IF($A293="","",$A293&amp;"|"&amp;$F293)</f>
        <v/>
      </c>
    </row>
    <row r="294" ht="15" customHeight="1" s="30">
      <c r="A294" s="36" t="n"/>
      <c r="B294" s="40" t="str">
        <f>IF($A294="","",IFERROR(INDEX(품목목록!$B$3:$B$302,MATCH($A294,품목목록!$A$3:$A$302,0)),"미등록"))</f>
        <v/>
      </c>
      <c r="C294" s="36" t="n"/>
      <c r="D294" s="40" t="str">
        <f>IF($C294="","",IFERROR(INDEX(품목목록!$B$3:$B$302,MATCH($C294,품목목록!$A$3:$A$302,0)),"미등록"))</f>
        <v/>
      </c>
      <c r="E294" s="41" t="n"/>
      <c r="F294" s="40" t="str">
        <f>IF($A294="","",COUNTIFS($A$3:$A294,$A294))</f>
        <v/>
      </c>
      <c r="G294" s="40" t="str">
        <f>IF($A294="","",$A294&amp;"|"&amp;$F294)</f>
        <v/>
      </c>
    </row>
    <row r="295" ht="15" customHeight="1" s="30">
      <c r="A295" s="36" t="n"/>
      <c r="B295" s="40" t="str">
        <f>IF($A295="","",IFERROR(INDEX(품목목록!$B$3:$B$302,MATCH($A295,품목목록!$A$3:$A$302,0)),"미등록"))</f>
        <v/>
      </c>
      <c r="C295" s="36" t="n"/>
      <c r="D295" s="40" t="str">
        <f>IF($C295="","",IFERROR(INDEX(품목목록!$B$3:$B$302,MATCH($C295,품목목록!$A$3:$A$302,0)),"미등록"))</f>
        <v/>
      </c>
      <c r="E295" s="41" t="n"/>
      <c r="F295" s="40" t="str">
        <f>IF($A295="","",COUNTIFS($A$3:$A295,$A295))</f>
        <v/>
      </c>
      <c r="G295" s="40" t="str">
        <f>IF($A295="","",$A295&amp;"|"&amp;$F295)</f>
        <v/>
      </c>
    </row>
    <row r="296" ht="15" customHeight="1" s="30">
      <c r="A296" s="36" t="n"/>
      <c r="B296" s="40" t="str">
        <f>IF($A296="","",IFERROR(INDEX(품목목록!$B$3:$B$302,MATCH($A296,품목목록!$A$3:$A$302,0)),"미등록"))</f>
        <v/>
      </c>
      <c r="C296" s="36" t="n"/>
      <c r="D296" s="40" t="str">
        <f>IF($C296="","",IFERROR(INDEX(품목목록!$B$3:$B$302,MATCH($C296,품목목록!$A$3:$A$302,0)),"미등록"))</f>
        <v/>
      </c>
      <c r="E296" s="41" t="n"/>
      <c r="F296" s="40" t="str">
        <f>IF($A296="","",COUNTIFS($A$3:$A296,$A296))</f>
        <v/>
      </c>
      <c r="G296" s="40" t="str">
        <f>IF($A296="","",$A296&amp;"|"&amp;$F296)</f>
        <v/>
      </c>
    </row>
    <row r="297" ht="15" customHeight="1" s="30">
      <c r="A297" s="36" t="n"/>
      <c r="B297" s="40" t="str">
        <f>IF($A297="","",IFERROR(INDEX(품목목록!$B$3:$B$302,MATCH($A297,품목목록!$A$3:$A$302,0)),"미등록"))</f>
        <v/>
      </c>
      <c r="C297" s="36" t="n"/>
      <c r="D297" s="40" t="str">
        <f>IF($C297="","",IFERROR(INDEX(품목목록!$B$3:$B$302,MATCH($C297,품목목록!$A$3:$A$302,0)),"미등록"))</f>
        <v/>
      </c>
      <c r="E297" s="41" t="n"/>
      <c r="F297" s="40" t="str">
        <f>IF($A297="","",COUNTIFS($A$3:$A297,$A297))</f>
        <v/>
      </c>
      <c r="G297" s="40" t="str">
        <f>IF($A297="","",$A297&amp;"|"&amp;$F297)</f>
        <v/>
      </c>
    </row>
    <row r="298" ht="15" customHeight="1" s="30">
      <c r="A298" s="36" t="n"/>
      <c r="B298" s="40" t="str">
        <f>IF($A298="","",IFERROR(INDEX(품목목록!$B$3:$B$302,MATCH($A298,품목목록!$A$3:$A$302,0)),"미등록"))</f>
        <v/>
      </c>
      <c r="C298" s="36" t="n"/>
      <c r="D298" s="40" t="str">
        <f>IF($C298="","",IFERROR(INDEX(품목목록!$B$3:$B$302,MATCH($C298,품목목록!$A$3:$A$302,0)),"미등록"))</f>
        <v/>
      </c>
      <c r="E298" s="41" t="n"/>
      <c r="F298" s="40" t="str">
        <f>IF($A298="","",COUNTIFS($A$3:$A298,$A298))</f>
        <v/>
      </c>
      <c r="G298" s="40" t="str">
        <f>IF($A298="","",$A298&amp;"|"&amp;$F298)</f>
        <v/>
      </c>
    </row>
    <row r="299" ht="15" customHeight="1" s="30">
      <c r="A299" s="36" t="n"/>
      <c r="B299" s="40" t="str">
        <f>IF($A299="","",IFERROR(INDEX(품목목록!$B$3:$B$302,MATCH($A299,품목목록!$A$3:$A$302,0)),"미등록"))</f>
        <v/>
      </c>
      <c r="C299" s="36" t="n"/>
      <c r="D299" s="40" t="str">
        <f>IF($C299="","",IFERROR(INDEX(품목목록!$B$3:$B$302,MATCH($C299,품목목록!$A$3:$A$302,0)),"미등록"))</f>
        <v/>
      </c>
      <c r="E299" s="41" t="n"/>
      <c r="F299" s="40" t="str">
        <f>IF($A299="","",COUNTIFS($A$3:$A299,$A299))</f>
        <v/>
      </c>
      <c r="G299" s="40" t="str">
        <f>IF($A299="","",$A299&amp;"|"&amp;$F299)</f>
        <v/>
      </c>
    </row>
    <row r="300" ht="15" customHeight="1" s="30">
      <c r="A300" s="36" t="n"/>
      <c r="B300" s="40" t="str">
        <f>IF($A300="","",IFERROR(INDEX(품목목록!$B$3:$B$302,MATCH($A300,품목목록!$A$3:$A$302,0)),"미등록"))</f>
        <v/>
      </c>
      <c r="C300" s="36" t="n"/>
      <c r="D300" s="40" t="str">
        <f>IF($C300="","",IFERROR(INDEX(품목목록!$B$3:$B$302,MATCH($C300,품목목록!$A$3:$A$302,0)),"미등록"))</f>
        <v/>
      </c>
      <c r="E300" s="41" t="n"/>
      <c r="F300" s="40" t="str">
        <f>IF($A300="","",COUNTIFS($A$3:$A300,$A300))</f>
        <v/>
      </c>
      <c r="G300" s="40" t="str">
        <f>IF($A300="","",$A300&amp;"|"&amp;$F300)</f>
        <v/>
      </c>
    </row>
    <row r="301" ht="15" customHeight="1" s="30">
      <c r="A301" s="36" t="n"/>
      <c r="B301" s="40" t="str">
        <f>IF($A301="","",IFERROR(INDEX(품목목록!$B$3:$B$302,MATCH($A301,품목목록!$A$3:$A$302,0)),"미등록"))</f>
        <v/>
      </c>
      <c r="C301" s="36" t="n"/>
      <c r="D301" s="40" t="str">
        <f>IF($C301="","",IFERROR(INDEX(품목목록!$B$3:$B$302,MATCH($C301,품목목록!$A$3:$A$302,0)),"미등록"))</f>
        <v/>
      </c>
      <c r="E301" s="41" t="n"/>
      <c r="F301" s="40" t="str">
        <f>IF($A301="","",COUNTIFS($A$3:$A301,$A301))</f>
        <v/>
      </c>
      <c r="G301" s="40" t="str">
        <f>IF($A301="","",$A301&amp;"|"&amp;$F301)</f>
        <v/>
      </c>
    </row>
    <row r="302" ht="15" customHeight="1" s="30">
      <c r="A302" s="36" t="n"/>
      <c r="B302" s="40" t="str">
        <f>IF($A302="","",IFERROR(INDEX(품목목록!$B$3:$B$302,MATCH($A302,품목목록!$A$3:$A$302,0)),"미등록"))</f>
        <v/>
      </c>
      <c r="C302" s="36" t="n"/>
      <c r="D302" s="40" t="str">
        <f>IF($C302="","",IFERROR(INDEX(품목목록!$B$3:$B$302,MATCH($C302,품목목록!$A$3:$A$302,0)),"미등록"))</f>
        <v/>
      </c>
      <c r="E302" s="41" t="n"/>
      <c r="F302" s="40" t="str">
        <f>IF($A302="","",COUNTIFS($A$3:$A302,$A302))</f>
        <v/>
      </c>
      <c r="G302" s="40" t="str">
        <f>IF($A302="","",$A302&amp;"|"&amp;$F302)</f>
        <v/>
      </c>
    </row>
  </sheetData>
  <mergeCells count="1">
    <mergeCell ref="A1:G1"/>
  </mergeCells>
  <dataValidations count="2">
    <dataValidation sqref="A3:A302" showDropDown="0" showInputMessage="0" showErrorMessage="0" allowBlank="1" type="list" errorStyle="stop" operator="between">
      <formula1>품목목록!$A$3:$A$302</formula1>
      <formula2>0</formula2>
    </dataValidation>
    <dataValidation sqref="C3:C302" showDropDown="0" showInputMessage="0" showErrorMessage="0" allowBlank="1" type="list" errorStyle="stop" operator="between">
      <formula1>품목목록!$A$3:$A$302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J1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29" min="1" max="1"/>
    <col width="13" customWidth="1" style="29" min="2" max="2"/>
    <col width="24" customWidth="1" style="29" min="3" max="3"/>
    <col width="13" customWidth="1" style="29" min="4" max="4"/>
    <col width="26" customWidth="1" style="29" min="5" max="5"/>
    <col width="13" customWidth="1" style="29" min="6" max="6"/>
    <col width="11" customWidth="1" style="29" min="7" max="7"/>
    <col width="14" customWidth="1" style="29" min="8" max="8"/>
    <col width="16" customWidth="1" style="29" min="9" max="9"/>
    <col width="24" customWidth="1" style="29" min="10" max="10"/>
  </cols>
  <sheetData>
    <row r="1" ht="25.5" customHeight="1" s="30">
      <c r="A1" s="31" t="inlineStr">
        <is>
          <t>발주접수  (받은 발주서 그대로)</t>
        </is>
      </c>
    </row>
    <row r="2" ht="15" customHeight="1" s="30">
      <c r="A2" s="42" t="inlineStr">
        <is>
          <t>No(자동)</t>
        </is>
      </c>
      <c r="B2" s="35" t="inlineStr">
        <is>
          <t>발주일</t>
        </is>
      </c>
      <c r="C2" s="35" t="inlineStr">
        <is>
          <t>거래처</t>
        </is>
      </c>
      <c r="D2" s="35" t="inlineStr">
        <is>
          <t>품번</t>
        </is>
      </c>
      <c r="E2" s="39" t="inlineStr">
        <is>
          <t>품명(자동)</t>
        </is>
      </c>
      <c r="F2" s="39" t="inlineStr">
        <is>
          <t>구분(자동)</t>
        </is>
      </c>
      <c r="G2" s="35" t="inlineStr">
        <is>
          <t>수량</t>
        </is>
      </c>
      <c r="H2" s="39" t="inlineStr">
        <is>
          <t>단가(자동)</t>
        </is>
      </c>
      <c r="I2" s="39" t="inlineStr">
        <is>
          <t>금액(자동)</t>
        </is>
      </c>
      <c r="J2" s="35" t="inlineStr">
        <is>
          <t>비고</t>
        </is>
      </c>
    </row>
    <row r="3" ht="15" customHeight="1" s="30">
      <c r="A3" s="43" t="n">
        <f>IF($D3="","",ROW()-2)</f>
        <v>1</v>
      </c>
      <c r="B3" s="44" t="n">
        <v>46275</v>
      </c>
      <c r="C3" s="37" t="inlineStr">
        <is>
          <t>○○마트</t>
        </is>
      </c>
      <c r="D3" s="36" t="inlineStr">
        <is>
          <t>K001</t>
        </is>
      </c>
      <c r="E3" s="43" t="str">
        <f>IF($D3="","",IFERROR(INDEX(품목목록!$B$3:$B$302,MATCH($D3,품목목록!$A$3:$A$302,0)),"미등록품번"))</f>
        <v>선물세트 A</v>
      </c>
      <c r="F3" s="43" t="str">
        <f>IF($D3="","",IFERROR(INDEX(품목목록!$F$3:$F$302,MATCH($D3,품목목록!$A$3:$A$302,0)),""))</f>
        <v>세트</v>
      </c>
      <c r="G3" s="41" t="n">
        <v>3</v>
      </c>
      <c r="H3" s="45" t="n">
        <f>IF($D3="","",IFERROR(INDEX(품목목록!$E$3:$E$302,MATCH($D3,품목목록!$A$3:$A$302,0)),0))</f>
        <v>0</v>
      </c>
      <c r="I3" s="45" t="n">
        <f>IF(OR($G3="",$H3=""),"",ROUND($G3*$H3,0))</f>
        <v>0</v>
      </c>
      <c r="J3" s="37" t="n"/>
    </row>
    <row r="4" ht="15" customHeight="1" s="30">
      <c r="A4" s="43" t="n">
        <f>IF($D4="","",ROW()-2)</f>
        <v>2</v>
      </c>
      <c r="B4" s="44" t="n">
        <v>46275</v>
      </c>
      <c r="C4" s="37" t="inlineStr">
        <is>
          <t>○○마트</t>
        </is>
      </c>
      <c r="D4" s="36" t="inlineStr">
        <is>
          <t>P001</t>
        </is>
      </c>
      <c r="E4" s="43" t="str">
        <f>IF($D4="","",IFERROR(INDEX(품목목록!$B$3:$B$302,MATCH($D4,품목목록!$A$3:$A$302,0)),"미등록품번"))</f>
        <v>홍삼즙 30포</v>
      </c>
      <c r="F4" s="43" t="str">
        <f>IF($D4="","",IFERROR(INDEX(품목목록!$F$3:$F$302,MATCH($D4,품목목록!$A$3:$A$302,0)),""))</f>
        <v>낱개</v>
      </c>
      <c r="G4" s="41" t="n">
        <v>10</v>
      </c>
      <c r="H4" s="45" t="n">
        <f>IF($D4="","",IFERROR(INDEX(품목목록!$E$3:$E$302,MATCH($D4,품목목록!$A$3:$A$302,0)),0))</f>
        <v>28000</v>
      </c>
      <c r="I4" s="45" t="n">
        <f>IF(OR($G4="",$H4=""),"",ROUND($G4*$H4,0))</f>
        <v>280000</v>
      </c>
      <c r="J4" s="37" t="n"/>
    </row>
    <row r="5" ht="15" customHeight="1" s="30">
      <c r="A5" s="43" t="n">
        <f>IF($D5="","",ROW()-2)</f>
        <v>3</v>
      </c>
      <c r="B5" s="44" t="n">
        <v>46276</v>
      </c>
      <c r="C5" s="37" t="inlineStr">
        <is>
          <t>△△백화점</t>
        </is>
      </c>
      <c r="D5" s="36" t="inlineStr">
        <is>
          <t>K002</t>
        </is>
      </c>
      <c r="E5" s="43" t="str">
        <f>IF($D5="","",IFERROR(INDEX(품목목록!$B$3:$B$302,MATCH($D5,품목목록!$A$3:$A$302,0)),"미등록품번"))</f>
        <v>선물세트 B</v>
      </c>
      <c r="F5" s="43" t="str">
        <f>IF($D5="","",IFERROR(INDEX(품목목록!$F$3:$F$302,MATCH($D5,품목목록!$A$3:$A$302,0)),""))</f>
        <v>세트</v>
      </c>
      <c r="G5" s="41" t="n">
        <v>5</v>
      </c>
      <c r="H5" s="45" t="n">
        <f>IF($D5="","",IFERROR(INDEX(품목목록!$E$3:$E$302,MATCH($D5,품목목록!$A$3:$A$302,0)),0))</f>
        <v>0</v>
      </c>
      <c r="I5" s="45" t="n">
        <f>IF(OR($G5="",$H5=""),"",ROUND($G5*$H5,0))</f>
        <v>0</v>
      </c>
      <c r="J5" s="37" t="n"/>
    </row>
    <row r="6" ht="15" customHeight="1" s="30">
      <c r="A6" s="43" t="str">
        <f>IF($D6="","",ROW()-2)</f>
        <v/>
      </c>
      <c r="B6" s="44" t="n"/>
      <c r="C6" s="37" t="n"/>
      <c r="D6" s="36" t="n"/>
      <c r="E6" s="43" t="str">
        <f>IF($D6="","",IFERROR(INDEX(품목목록!$B$3:$B$302,MATCH($D6,품목목록!$A$3:$A$302,0)),"미등록품번"))</f>
        <v/>
      </c>
      <c r="F6" s="43" t="str">
        <f>IF($D6="","",IFERROR(INDEX(품목목록!$F$3:$F$302,MATCH($D6,품목목록!$A$3:$A$302,0)),""))</f>
        <v/>
      </c>
      <c r="G6" s="41" t="n"/>
      <c r="H6" s="45" t="str">
        <f>IF($D6="","",IFERROR(INDEX(품목목록!$E$3:$E$302,MATCH($D6,품목목록!$A$3:$A$302,0)),0))</f>
        <v/>
      </c>
      <c r="I6" s="45" t="str">
        <f>IF(OR($G6="",$H6=""),"",ROUND($G6*$H6,0))</f>
        <v/>
      </c>
      <c r="J6" s="37" t="n"/>
    </row>
    <row r="7" ht="15" customHeight="1" s="30">
      <c r="A7" s="43" t="str">
        <f>IF($D7="","",ROW()-2)</f>
        <v/>
      </c>
      <c r="B7" s="44" t="n"/>
      <c r="C7" s="37" t="n"/>
      <c r="D7" s="36" t="n"/>
      <c r="E7" s="43" t="str">
        <f>IF($D7="","",IFERROR(INDEX(품목목록!$B$3:$B$302,MATCH($D7,품목목록!$A$3:$A$302,0)),"미등록품번"))</f>
        <v/>
      </c>
      <c r="F7" s="43" t="str">
        <f>IF($D7="","",IFERROR(INDEX(품목목록!$F$3:$F$302,MATCH($D7,품목목록!$A$3:$A$302,0)),""))</f>
        <v/>
      </c>
      <c r="G7" s="41" t="n"/>
      <c r="H7" s="45" t="str">
        <f>IF($D7="","",IFERROR(INDEX(품목목록!$E$3:$E$302,MATCH($D7,품목목록!$A$3:$A$302,0)),0))</f>
        <v/>
      </c>
      <c r="I7" s="45" t="str">
        <f>IF(OR($G7="",$H7=""),"",ROUND($G7*$H7,0))</f>
        <v/>
      </c>
      <c r="J7" s="37" t="n"/>
    </row>
    <row r="8" ht="15" customHeight="1" s="30">
      <c r="A8" s="43" t="str">
        <f>IF($D8="","",ROW()-2)</f>
        <v/>
      </c>
      <c r="B8" s="44" t="n"/>
      <c r="C8" s="37" t="n"/>
      <c r="D8" s="36" t="n"/>
      <c r="E8" s="43" t="str">
        <f>IF($D8="","",IFERROR(INDEX(품목목록!$B$3:$B$302,MATCH($D8,품목목록!$A$3:$A$302,0)),"미등록품번"))</f>
        <v/>
      </c>
      <c r="F8" s="43" t="str">
        <f>IF($D8="","",IFERROR(INDEX(품목목록!$F$3:$F$302,MATCH($D8,품목목록!$A$3:$A$302,0)),""))</f>
        <v/>
      </c>
      <c r="G8" s="41" t="n"/>
      <c r="H8" s="45" t="str">
        <f>IF($D8="","",IFERROR(INDEX(품목목록!$E$3:$E$302,MATCH($D8,품목목록!$A$3:$A$302,0)),0))</f>
        <v/>
      </c>
      <c r="I8" s="45" t="str">
        <f>IF(OR($G8="",$H8=""),"",ROUND($G8*$H8,0))</f>
        <v/>
      </c>
      <c r="J8" s="37" t="n"/>
    </row>
    <row r="9" ht="15" customHeight="1" s="30">
      <c r="A9" s="43" t="str">
        <f>IF($D9="","",ROW()-2)</f>
        <v/>
      </c>
      <c r="B9" s="44" t="n"/>
      <c r="C9" s="37" t="n"/>
      <c r="D9" s="36" t="n"/>
      <c r="E9" s="43" t="str">
        <f>IF($D9="","",IFERROR(INDEX(품목목록!$B$3:$B$302,MATCH($D9,품목목록!$A$3:$A$302,0)),"미등록품번"))</f>
        <v/>
      </c>
      <c r="F9" s="43" t="str">
        <f>IF($D9="","",IFERROR(INDEX(품목목록!$F$3:$F$302,MATCH($D9,품목목록!$A$3:$A$302,0)),""))</f>
        <v/>
      </c>
      <c r="G9" s="41" t="n"/>
      <c r="H9" s="45" t="str">
        <f>IF($D9="","",IFERROR(INDEX(품목목록!$E$3:$E$302,MATCH($D9,품목목록!$A$3:$A$302,0)),0))</f>
        <v/>
      </c>
      <c r="I9" s="45" t="str">
        <f>IF(OR($G9="",$H9=""),"",ROUND($G9*$H9,0))</f>
        <v/>
      </c>
      <c r="J9" s="37" t="n"/>
    </row>
    <row r="10" ht="15" customHeight="1" s="30">
      <c r="A10" s="43" t="str">
        <f>IF($D10="","",ROW()-2)</f>
        <v/>
      </c>
      <c r="B10" s="44" t="n"/>
      <c r="C10" s="37" t="n"/>
      <c r="D10" s="36" t="n"/>
      <c r="E10" s="43" t="str">
        <f>IF($D10="","",IFERROR(INDEX(품목목록!$B$3:$B$302,MATCH($D10,품목목록!$A$3:$A$302,0)),"미등록품번"))</f>
        <v/>
      </c>
      <c r="F10" s="43" t="str">
        <f>IF($D10="","",IFERROR(INDEX(품목목록!$F$3:$F$302,MATCH($D10,품목목록!$A$3:$A$302,0)),""))</f>
        <v/>
      </c>
      <c r="G10" s="41" t="n"/>
      <c r="H10" s="45" t="str">
        <f>IF($D10="","",IFERROR(INDEX(품목목록!$E$3:$E$302,MATCH($D10,품목목록!$A$3:$A$302,0)),0))</f>
        <v/>
      </c>
      <c r="I10" s="45" t="str">
        <f>IF(OR($G10="",$H10=""),"",ROUND($G10*$H10,0))</f>
        <v/>
      </c>
      <c r="J10" s="37" t="n"/>
    </row>
    <row r="11" ht="15" customHeight="1" s="30">
      <c r="A11" s="43" t="str">
        <f>IF($D11="","",ROW()-2)</f>
        <v/>
      </c>
      <c r="B11" s="44" t="n"/>
      <c r="C11" s="37" t="n"/>
      <c r="D11" s="36" t="n"/>
      <c r="E11" s="43" t="str">
        <f>IF($D11="","",IFERROR(INDEX(품목목록!$B$3:$B$302,MATCH($D11,품목목록!$A$3:$A$302,0)),"미등록품번"))</f>
        <v/>
      </c>
      <c r="F11" s="43" t="str">
        <f>IF($D11="","",IFERROR(INDEX(품목목록!$F$3:$F$302,MATCH($D11,품목목록!$A$3:$A$302,0)),""))</f>
        <v/>
      </c>
      <c r="G11" s="41" t="n"/>
      <c r="H11" s="45" t="str">
        <f>IF($D11="","",IFERROR(INDEX(품목목록!$E$3:$E$302,MATCH($D11,품목목록!$A$3:$A$302,0)),0))</f>
        <v/>
      </c>
      <c r="I11" s="45" t="str">
        <f>IF(OR($G11="",$H11=""),"",ROUND($G11*$H11,0))</f>
        <v/>
      </c>
      <c r="J11" s="37" t="n"/>
    </row>
    <row r="12" ht="15" customHeight="1" s="30">
      <c r="A12" s="43" t="str">
        <f>IF($D12="","",ROW()-2)</f>
        <v/>
      </c>
      <c r="B12" s="44" t="n"/>
      <c r="C12" s="37" t="n"/>
      <c r="D12" s="36" t="n"/>
      <c r="E12" s="43" t="str">
        <f>IF($D12="","",IFERROR(INDEX(품목목록!$B$3:$B$302,MATCH($D12,품목목록!$A$3:$A$302,0)),"미등록품번"))</f>
        <v/>
      </c>
      <c r="F12" s="43" t="str">
        <f>IF($D12="","",IFERROR(INDEX(품목목록!$F$3:$F$302,MATCH($D12,품목목록!$A$3:$A$302,0)),""))</f>
        <v/>
      </c>
      <c r="G12" s="41" t="n"/>
      <c r="H12" s="45" t="str">
        <f>IF($D12="","",IFERROR(INDEX(품목목록!$E$3:$E$302,MATCH($D12,품목목록!$A$3:$A$302,0)),0))</f>
        <v/>
      </c>
      <c r="I12" s="45" t="str">
        <f>IF(OR($G12="",$H12=""),"",ROUND($G12*$H12,0))</f>
        <v/>
      </c>
      <c r="J12" s="37" t="n"/>
    </row>
    <row r="13" ht="15" customHeight="1" s="30">
      <c r="A13" s="43" t="str">
        <f>IF($D13="","",ROW()-2)</f>
        <v/>
      </c>
      <c r="B13" s="44" t="n"/>
      <c r="C13" s="37" t="n"/>
      <c r="D13" s="36" t="n"/>
      <c r="E13" s="43" t="str">
        <f>IF($D13="","",IFERROR(INDEX(품목목록!$B$3:$B$302,MATCH($D13,품목목록!$A$3:$A$302,0)),"미등록품번"))</f>
        <v/>
      </c>
      <c r="F13" s="43" t="str">
        <f>IF($D13="","",IFERROR(INDEX(품목목록!$F$3:$F$302,MATCH($D13,품목목록!$A$3:$A$302,0)),""))</f>
        <v/>
      </c>
      <c r="G13" s="41" t="n"/>
      <c r="H13" s="45" t="str">
        <f>IF($D13="","",IFERROR(INDEX(품목목록!$E$3:$E$302,MATCH($D13,품목목록!$A$3:$A$302,0)),0))</f>
        <v/>
      </c>
      <c r="I13" s="45" t="str">
        <f>IF(OR($G13="",$H13=""),"",ROUND($G13*$H13,0))</f>
        <v/>
      </c>
      <c r="J13" s="37" t="n"/>
    </row>
    <row r="14" ht="15" customHeight="1" s="30">
      <c r="A14" s="43" t="str">
        <f>IF($D14="","",ROW()-2)</f>
        <v/>
      </c>
      <c r="B14" s="44" t="n"/>
      <c r="C14" s="37" t="n"/>
      <c r="D14" s="36" t="n"/>
      <c r="E14" s="43" t="str">
        <f>IF($D14="","",IFERROR(INDEX(품목목록!$B$3:$B$302,MATCH($D14,품목목록!$A$3:$A$302,0)),"미등록품번"))</f>
        <v/>
      </c>
      <c r="F14" s="43" t="str">
        <f>IF($D14="","",IFERROR(INDEX(품목목록!$F$3:$F$302,MATCH($D14,품목목록!$A$3:$A$302,0)),""))</f>
        <v/>
      </c>
      <c r="G14" s="41" t="n"/>
      <c r="H14" s="45" t="str">
        <f>IF($D14="","",IFERROR(INDEX(품목목록!$E$3:$E$302,MATCH($D14,품목목록!$A$3:$A$302,0)),0))</f>
        <v/>
      </c>
      <c r="I14" s="45" t="str">
        <f>IF(OR($G14="",$H14=""),"",ROUND($G14*$H14,0))</f>
        <v/>
      </c>
      <c r="J14" s="37" t="n"/>
    </row>
    <row r="15" ht="15" customHeight="1" s="30">
      <c r="A15" s="43" t="str">
        <f>IF($D15="","",ROW()-2)</f>
        <v/>
      </c>
      <c r="B15" s="44" t="n"/>
      <c r="C15" s="37" t="n"/>
      <c r="D15" s="36" t="n"/>
      <c r="E15" s="43" t="str">
        <f>IF($D15="","",IFERROR(INDEX(품목목록!$B$3:$B$302,MATCH($D15,품목목록!$A$3:$A$302,0)),"미등록품번"))</f>
        <v/>
      </c>
      <c r="F15" s="43" t="str">
        <f>IF($D15="","",IFERROR(INDEX(품목목록!$F$3:$F$302,MATCH($D15,품목목록!$A$3:$A$302,0)),""))</f>
        <v/>
      </c>
      <c r="G15" s="41" t="n"/>
      <c r="H15" s="45" t="str">
        <f>IF($D15="","",IFERROR(INDEX(품목목록!$E$3:$E$302,MATCH($D15,품목목록!$A$3:$A$302,0)),0))</f>
        <v/>
      </c>
      <c r="I15" s="45" t="str">
        <f>IF(OR($G15="",$H15=""),"",ROUND($G15*$H15,0))</f>
        <v/>
      </c>
      <c r="J15" s="37" t="n"/>
    </row>
    <row r="16" ht="15" customHeight="1" s="30">
      <c r="A16" s="43" t="str">
        <f>IF($D16="","",ROW()-2)</f>
        <v/>
      </c>
      <c r="B16" s="44" t="n"/>
      <c r="C16" s="37" t="n"/>
      <c r="D16" s="36" t="n"/>
      <c r="E16" s="43" t="str">
        <f>IF($D16="","",IFERROR(INDEX(품목목록!$B$3:$B$302,MATCH($D16,품목목록!$A$3:$A$302,0)),"미등록품번"))</f>
        <v/>
      </c>
      <c r="F16" s="43" t="str">
        <f>IF($D16="","",IFERROR(INDEX(품목목록!$F$3:$F$302,MATCH($D16,품목목록!$A$3:$A$302,0)),""))</f>
        <v/>
      </c>
      <c r="G16" s="41" t="n"/>
      <c r="H16" s="45" t="str">
        <f>IF($D16="","",IFERROR(INDEX(품목목록!$E$3:$E$302,MATCH($D16,품목목록!$A$3:$A$302,0)),0))</f>
        <v/>
      </c>
      <c r="I16" s="45" t="str">
        <f>IF(OR($G16="",$H16=""),"",ROUND($G16*$H16,0))</f>
        <v/>
      </c>
      <c r="J16" s="37" t="n"/>
    </row>
    <row r="17" ht="15" customHeight="1" s="30">
      <c r="A17" s="43" t="str">
        <f>IF($D17="","",ROW()-2)</f>
        <v/>
      </c>
      <c r="B17" s="44" t="n"/>
      <c r="C17" s="37" t="n"/>
      <c r="D17" s="36" t="n"/>
      <c r="E17" s="43" t="str">
        <f>IF($D17="","",IFERROR(INDEX(품목목록!$B$3:$B$302,MATCH($D17,품목목록!$A$3:$A$302,0)),"미등록품번"))</f>
        <v/>
      </c>
      <c r="F17" s="43" t="str">
        <f>IF($D17="","",IFERROR(INDEX(품목목록!$F$3:$F$302,MATCH($D17,품목목록!$A$3:$A$302,0)),""))</f>
        <v/>
      </c>
      <c r="G17" s="41" t="n"/>
      <c r="H17" s="45" t="str">
        <f>IF($D17="","",IFERROR(INDEX(품목목록!$E$3:$E$302,MATCH($D17,품목목록!$A$3:$A$302,0)),0))</f>
        <v/>
      </c>
      <c r="I17" s="45" t="str">
        <f>IF(OR($G17="",$H17=""),"",ROUND($G17*$H17,0))</f>
        <v/>
      </c>
      <c r="J17" s="37" t="n"/>
    </row>
    <row r="18" ht="15" customHeight="1" s="30">
      <c r="A18" s="43" t="str">
        <f>IF($D18="","",ROW()-2)</f>
        <v/>
      </c>
      <c r="B18" s="44" t="n"/>
      <c r="C18" s="37" t="n"/>
      <c r="D18" s="36" t="n"/>
      <c r="E18" s="43" t="str">
        <f>IF($D18="","",IFERROR(INDEX(품목목록!$B$3:$B$302,MATCH($D18,품목목록!$A$3:$A$302,0)),"미등록품번"))</f>
        <v/>
      </c>
      <c r="F18" s="43" t="str">
        <f>IF($D18="","",IFERROR(INDEX(품목목록!$F$3:$F$302,MATCH($D18,품목목록!$A$3:$A$302,0)),""))</f>
        <v/>
      </c>
      <c r="G18" s="41" t="n"/>
      <c r="H18" s="45" t="str">
        <f>IF($D18="","",IFERROR(INDEX(품목목록!$E$3:$E$302,MATCH($D18,품목목록!$A$3:$A$302,0)),0))</f>
        <v/>
      </c>
      <c r="I18" s="45" t="str">
        <f>IF(OR($G18="",$H18=""),"",ROUND($G18*$H18,0))</f>
        <v/>
      </c>
      <c r="J18" s="37" t="n"/>
    </row>
    <row r="19" ht="15" customHeight="1" s="30">
      <c r="A19" s="43" t="str">
        <f>IF($D19="","",ROW()-2)</f>
        <v/>
      </c>
      <c r="B19" s="44" t="n"/>
      <c r="C19" s="37" t="n"/>
      <c r="D19" s="36" t="n"/>
      <c r="E19" s="43" t="str">
        <f>IF($D19="","",IFERROR(INDEX(품목목록!$B$3:$B$302,MATCH($D19,품목목록!$A$3:$A$302,0)),"미등록품번"))</f>
        <v/>
      </c>
      <c r="F19" s="43" t="str">
        <f>IF($D19="","",IFERROR(INDEX(품목목록!$F$3:$F$302,MATCH($D19,품목목록!$A$3:$A$302,0)),""))</f>
        <v/>
      </c>
      <c r="G19" s="41" t="n"/>
      <c r="H19" s="45" t="str">
        <f>IF($D19="","",IFERROR(INDEX(품목목록!$E$3:$E$302,MATCH($D19,품목목록!$A$3:$A$302,0)),0))</f>
        <v/>
      </c>
      <c r="I19" s="45" t="str">
        <f>IF(OR($G19="",$H19=""),"",ROUND($G19*$H19,0))</f>
        <v/>
      </c>
      <c r="J19" s="37" t="n"/>
    </row>
    <row r="20" ht="15" customHeight="1" s="30">
      <c r="A20" s="43" t="str">
        <f>IF($D20="","",ROW()-2)</f>
        <v/>
      </c>
      <c r="B20" s="44" t="n"/>
      <c r="C20" s="37" t="n"/>
      <c r="D20" s="36" t="n"/>
      <c r="E20" s="43" t="str">
        <f>IF($D20="","",IFERROR(INDEX(품목목록!$B$3:$B$302,MATCH($D20,품목목록!$A$3:$A$302,0)),"미등록품번"))</f>
        <v/>
      </c>
      <c r="F20" s="43" t="str">
        <f>IF($D20="","",IFERROR(INDEX(품목목록!$F$3:$F$302,MATCH($D20,품목목록!$A$3:$A$302,0)),""))</f>
        <v/>
      </c>
      <c r="G20" s="41" t="n"/>
      <c r="H20" s="45" t="str">
        <f>IF($D20="","",IFERROR(INDEX(품목목록!$E$3:$E$302,MATCH($D20,품목목록!$A$3:$A$302,0)),0))</f>
        <v/>
      </c>
      <c r="I20" s="45" t="str">
        <f>IF(OR($G20="",$H20=""),"",ROUND($G20*$H20,0))</f>
        <v/>
      </c>
      <c r="J20" s="37" t="n"/>
    </row>
    <row r="21" ht="15" customHeight="1" s="30">
      <c r="A21" s="43" t="str">
        <f>IF($D21="","",ROW()-2)</f>
        <v/>
      </c>
      <c r="B21" s="44" t="n"/>
      <c r="C21" s="37" t="n"/>
      <c r="D21" s="36" t="n"/>
      <c r="E21" s="43" t="str">
        <f>IF($D21="","",IFERROR(INDEX(품목목록!$B$3:$B$302,MATCH($D21,품목목록!$A$3:$A$302,0)),"미등록품번"))</f>
        <v/>
      </c>
      <c r="F21" s="43" t="str">
        <f>IF($D21="","",IFERROR(INDEX(품목목록!$F$3:$F$302,MATCH($D21,품목목록!$A$3:$A$302,0)),""))</f>
        <v/>
      </c>
      <c r="G21" s="41" t="n"/>
      <c r="H21" s="45" t="str">
        <f>IF($D21="","",IFERROR(INDEX(품목목록!$E$3:$E$302,MATCH($D21,품목목록!$A$3:$A$302,0)),0))</f>
        <v/>
      </c>
      <c r="I21" s="45" t="str">
        <f>IF(OR($G21="",$H21=""),"",ROUND($G21*$H21,0))</f>
        <v/>
      </c>
      <c r="J21" s="37" t="n"/>
    </row>
    <row r="22" ht="15" customHeight="1" s="30">
      <c r="A22" s="43" t="str">
        <f>IF($D22="","",ROW()-2)</f>
        <v/>
      </c>
      <c r="B22" s="44" t="n"/>
      <c r="C22" s="37" t="n"/>
      <c r="D22" s="36" t="n"/>
      <c r="E22" s="43" t="str">
        <f>IF($D22="","",IFERROR(INDEX(품목목록!$B$3:$B$302,MATCH($D22,품목목록!$A$3:$A$302,0)),"미등록품번"))</f>
        <v/>
      </c>
      <c r="F22" s="43" t="str">
        <f>IF($D22="","",IFERROR(INDEX(품목목록!$F$3:$F$302,MATCH($D22,품목목록!$A$3:$A$302,0)),""))</f>
        <v/>
      </c>
      <c r="G22" s="41" t="n"/>
      <c r="H22" s="45" t="str">
        <f>IF($D22="","",IFERROR(INDEX(품목목록!$E$3:$E$302,MATCH($D22,품목목록!$A$3:$A$302,0)),0))</f>
        <v/>
      </c>
      <c r="I22" s="45" t="str">
        <f>IF(OR($G22="",$H22=""),"",ROUND($G22*$H22,0))</f>
        <v/>
      </c>
      <c r="J22" s="37" t="n"/>
    </row>
    <row r="23" ht="15" customHeight="1" s="30">
      <c r="A23" s="43" t="str">
        <f>IF($D23="","",ROW()-2)</f>
        <v/>
      </c>
      <c r="B23" s="44" t="n"/>
      <c r="C23" s="37" t="n"/>
      <c r="D23" s="36" t="n"/>
      <c r="E23" s="43" t="str">
        <f>IF($D23="","",IFERROR(INDEX(품목목록!$B$3:$B$302,MATCH($D23,품목목록!$A$3:$A$302,0)),"미등록품번"))</f>
        <v/>
      </c>
      <c r="F23" s="43" t="str">
        <f>IF($D23="","",IFERROR(INDEX(품목목록!$F$3:$F$302,MATCH($D23,품목목록!$A$3:$A$302,0)),""))</f>
        <v/>
      </c>
      <c r="G23" s="41" t="n"/>
      <c r="H23" s="45" t="str">
        <f>IF($D23="","",IFERROR(INDEX(품목목록!$E$3:$E$302,MATCH($D23,품목목록!$A$3:$A$302,0)),0))</f>
        <v/>
      </c>
      <c r="I23" s="45" t="str">
        <f>IF(OR($G23="",$H23=""),"",ROUND($G23*$H23,0))</f>
        <v/>
      </c>
      <c r="J23" s="37" t="n"/>
    </row>
    <row r="24" ht="15" customHeight="1" s="30">
      <c r="A24" s="43" t="str">
        <f>IF($D24="","",ROW()-2)</f>
        <v/>
      </c>
      <c r="B24" s="44" t="n"/>
      <c r="C24" s="37" t="n"/>
      <c r="D24" s="36" t="n"/>
      <c r="E24" s="43" t="str">
        <f>IF($D24="","",IFERROR(INDEX(품목목록!$B$3:$B$302,MATCH($D24,품목목록!$A$3:$A$302,0)),"미등록품번"))</f>
        <v/>
      </c>
      <c r="F24" s="43" t="str">
        <f>IF($D24="","",IFERROR(INDEX(품목목록!$F$3:$F$302,MATCH($D24,품목목록!$A$3:$A$302,0)),""))</f>
        <v/>
      </c>
      <c r="G24" s="41" t="n"/>
      <c r="H24" s="45" t="str">
        <f>IF($D24="","",IFERROR(INDEX(품목목록!$E$3:$E$302,MATCH($D24,품목목록!$A$3:$A$302,0)),0))</f>
        <v/>
      </c>
      <c r="I24" s="45" t="str">
        <f>IF(OR($G24="",$H24=""),"",ROUND($G24*$H24,0))</f>
        <v/>
      </c>
      <c r="J24" s="37" t="n"/>
    </row>
    <row r="25" ht="15" customHeight="1" s="30">
      <c r="A25" s="43" t="str">
        <f>IF($D25="","",ROW()-2)</f>
        <v/>
      </c>
      <c r="B25" s="44" t="n"/>
      <c r="C25" s="37" t="n"/>
      <c r="D25" s="36" t="n"/>
      <c r="E25" s="43" t="str">
        <f>IF($D25="","",IFERROR(INDEX(품목목록!$B$3:$B$302,MATCH($D25,품목목록!$A$3:$A$302,0)),"미등록품번"))</f>
        <v/>
      </c>
      <c r="F25" s="43" t="str">
        <f>IF($D25="","",IFERROR(INDEX(품목목록!$F$3:$F$302,MATCH($D25,품목목록!$A$3:$A$302,0)),""))</f>
        <v/>
      </c>
      <c r="G25" s="41" t="n"/>
      <c r="H25" s="45" t="str">
        <f>IF($D25="","",IFERROR(INDEX(품목목록!$E$3:$E$302,MATCH($D25,품목목록!$A$3:$A$302,0)),0))</f>
        <v/>
      </c>
      <c r="I25" s="45" t="str">
        <f>IF(OR($G25="",$H25=""),"",ROUND($G25*$H25,0))</f>
        <v/>
      </c>
      <c r="J25" s="37" t="n"/>
    </row>
    <row r="26" ht="15" customHeight="1" s="30">
      <c r="A26" s="43" t="str">
        <f>IF($D26="","",ROW()-2)</f>
        <v/>
      </c>
      <c r="B26" s="44" t="n"/>
      <c r="C26" s="37" t="n"/>
      <c r="D26" s="36" t="n"/>
      <c r="E26" s="43" t="str">
        <f>IF($D26="","",IFERROR(INDEX(품목목록!$B$3:$B$302,MATCH($D26,품목목록!$A$3:$A$302,0)),"미등록품번"))</f>
        <v/>
      </c>
      <c r="F26" s="43" t="str">
        <f>IF($D26="","",IFERROR(INDEX(품목목록!$F$3:$F$302,MATCH($D26,품목목록!$A$3:$A$302,0)),""))</f>
        <v/>
      </c>
      <c r="G26" s="41" t="n"/>
      <c r="H26" s="45" t="str">
        <f>IF($D26="","",IFERROR(INDEX(품목목록!$E$3:$E$302,MATCH($D26,품목목록!$A$3:$A$302,0)),0))</f>
        <v/>
      </c>
      <c r="I26" s="45" t="str">
        <f>IF(OR($G26="",$H26=""),"",ROUND($G26*$H26,0))</f>
        <v/>
      </c>
      <c r="J26" s="37" t="n"/>
    </row>
    <row r="27" ht="15" customHeight="1" s="30">
      <c r="A27" s="43" t="str">
        <f>IF($D27="","",ROW()-2)</f>
        <v/>
      </c>
      <c r="B27" s="44" t="n"/>
      <c r="C27" s="37" t="n"/>
      <c r="D27" s="36" t="n"/>
      <c r="E27" s="43" t="str">
        <f>IF($D27="","",IFERROR(INDEX(품목목록!$B$3:$B$302,MATCH($D27,품목목록!$A$3:$A$302,0)),"미등록품번"))</f>
        <v/>
      </c>
      <c r="F27" s="43" t="str">
        <f>IF($D27="","",IFERROR(INDEX(품목목록!$F$3:$F$302,MATCH($D27,품목목록!$A$3:$A$302,0)),""))</f>
        <v/>
      </c>
      <c r="G27" s="41" t="n"/>
      <c r="H27" s="45" t="str">
        <f>IF($D27="","",IFERROR(INDEX(품목목록!$E$3:$E$302,MATCH($D27,품목목록!$A$3:$A$302,0)),0))</f>
        <v/>
      </c>
      <c r="I27" s="45" t="str">
        <f>IF(OR($G27="",$H27=""),"",ROUND($G27*$H27,0))</f>
        <v/>
      </c>
      <c r="J27" s="37" t="n"/>
    </row>
    <row r="28" ht="15" customHeight="1" s="30">
      <c r="A28" s="43" t="str">
        <f>IF($D28="","",ROW()-2)</f>
        <v/>
      </c>
      <c r="B28" s="44" t="n"/>
      <c r="C28" s="37" t="n"/>
      <c r="D28" s="36" t="n"/>
      <c r="E28" s="43" t="str">
        <f>IF($D28="","",IFERROR(INDEX(품목목록!$B$3:$B$302,MATCH($D28,품목목록!$A$3:$A$302,0)),"미등록품번"))</f>
        <v/>
      </c>
      <c r="F28" s="43" t="str">
        <f>IF($D28="","",IFERROR(INDEX(품목목록!$F$3:$F$302,MATCH($D28,품목목록!$A$3:$A$302,0)),""))</f>
        <v/>
      </c>
      <c r="G28" s="41" t="n"/>
      <c r="H28" s="45" t="str">
        <f>IF($D28="","",IFERROR(INDEX(품목목록!$E$3:$E$302,MATCH($D28,품목목록!$A$3:$A$302,0)),0))</f>
        <v/>
      </c>
      <c r="I28" s="45" t="str">
        <f>IF(OR($G28="",$H28=""),"",ROUND($G28*$H28,0))</f>
        <v/>
      </c>
      <c r="J28" s="37" t="n"/>
    </row>
    <row r="29" ht="15" customHeight="1" s="30">
      <c r="A29" s="43" t="str">
        <f>IF($D29="","",ROW()-2)</f>
        <v/>
      </c>
      <c r="B29" s="44" t="n"/>
      <c r="C29" s="37" t="n"/>
      <c r="D29" s="36" t="n"/>
      <c r="E29" s="43" t="str">
        <f>IF($D29="","",IFERROR(INDEX(품목목록!$B$3:$B$302,MATCH($D29,품목목록!$A$3:$A$302,0)),"미등록품번"))</f>
        <v/>
      </c>
      <c r="F29" s="43" t="str">
        <f>IF($D29="","",IFERROR(INDEX(품목목록!$F$3:$F$302,MATCH($D29,품목목록!$A$3:$A$302,0)),""))</f>
        <v/>
      </c>
      <c r="G29" s="41" t="n"/>
      <c r="H29" s="45" t="str">
        <f>IF($D29="","",IFERROR(INDEX(품목목록!$E$3:$E$302,MATCH($D29,품목목록!$A$3:$A$302,0)),0))</f>
        <v/>
      </c>
      <c r="I29" s="45" t="str">
        <f>IF(OR($G29="",$H29=""),"",ROUND($G29*$H29,0))</f>
        <v/>
      </c>
      <c r="J29" s="37" t="n"/>
    </row>
    <row r="30" ht="15" customHeight="1" s="30">
      <c r="A30" s="43" t="str">
        <f>IF($D30="","",ROW()-2)</f>
        <v/>
      </c>
      <c r="B30" s="44" t="n"/>
      <c r="C30" s="37" t="n"/>
      <c r="D30" s="36" t="n"/>
      <c r="E30" s="43" t="str">
        <f>IF($D30="","",IFERROR(INDEX(품목목록!$B$3:$B$302,MATCH($D30,품목목록!$A$3:$A$302,0)),"미등록품번"))</f>
        <v/>
      </c>
      <c r="F30" s="43" t="str">
        <f>IF($D30="","",IFERROR(INDEX(품목목록!$F$3:$F$302,MATCH($D30,품목목록!$A$3:$A$302,0)),""))</f>
        <v/>
      </c>
      <c r="G30" s="41" t="n"/>
      <c r="H30" s="45" t="str">
        <f>IF($D30="","",IFERROR(INDEX(품목목록!$E$3:$E$302,MATCH($D30,품목목록!$A$3:$A$302,0)),0))</f>
        <v/>
      </c>
      <c r="I30" s="45" t="str">
        <f>IF(OR($G30="",$H30=""),"",ROUND($G30*$H30,0))</f>
        <v/>
      </c>
      <c r="J30" s="37" t="n"/>
    </row>
    <row r="31" ht="15" customHeight="1" s="30">
      <c r="A31" s="43" t="str">
        <f>IF($D31="","",ROW()-2)</f>
        <v/>
      </c>
      <c r="B31" s="44" t="n"/>
      <c r="C31" s="37" t="n"/>
      <c r="D31" s="36" t="n"/>
      <c r="E31" s="43" t="str">
        <f>IF($D31="","",IFERROR(INDEX(품목목록!$B$3:$B$302,MATCH($D31,품목목록!$A$3:$A$302,0)),"미등록품번"))</f>
        <v/>
      </c>
      <c r="F31" s="43" t="str">
        <f>IF($D31="","",IFERROR(INDEX(품목목록!$F$3:$F$302,MATCH($D31,품목목록!$A$3:$A$302,0)),""))</f>
        <v/>
      </c>
      <c r="G31" s="41" t="n"/>
      <c r="H31" s="45" t="str">
        <f>IF($D31="","",IFERROR(INDEX(품목목록!$E$3:$E$302,MATCH($D31,품목목록!$A$3:$A$302,0)),0))</f>
        <v/>
      </c>
      <c r="I31" s="45" t="str">
        <f>IF(OR($G31="",$H31=""),"",ROUND($G31*$H31,0))</f>
        <v/>
      </c>
      <c r="J31" s="37" t="n"/>
    </row>
    <row r="32" ht="15" customHeight="1" s="30">
      <c r="A32" s="43" t="str">
        <f>IF($D32="","",ROW()-2)</f>
        <v/>
      </c>
      <c r="B32" s="44" t="n"/>
      <c r="C32" s="37" t="n"/>
      <c r="D32" s="36" t="n"/>
      <c r="E32" s="43" t="str">
        <f>IF($D32="","",IFERROR(INDEX(품목목록!$B$3:$B$302,MATCH($D32,품목목록!$A$3:$A$302,0)),"미등록품번"))</f>
        <v/>
      </c>
      <c r="F32" s="43" t="str">
        <f>IF($D32="","",IFERROR(INDEX(품목목록!$F$3:$F$302,MATCH($D32,품목목록!$A$3:$A$302,0)),""))</f>
        <v/>
      </c>
      <c r="G32" s="41" t="n"/>
      <c r="H32" s="45" t="str">
        <f>IF($D32="","",IFERROR(INDEX(품목목록!$E$3:$E$302,MATCH($D32,품목목록!$A$3:$A$302,0)),0))</f>
        <v/>
      </c>
      <c r="I32" s="45" t="str">
        <f>IF(OR($G32="",$H32=""),"",ROUND($G32*$H32,0))</f>
        <v/>
      </c>
      <c r="J32" s="37" t="n"/>
    </row>
    <row r="33" ht="15" customHeight="1" s="30">
      <c r="A33" s="43" t="str">
        <f>IF($D33="","",ROW()-2)</f>
        <v/>
      </c>
      <c r="B33" s="44" t="n"/>
      <c r="C33" s="37" t="n"/>
      <c r="D33" s="36" t="n"/>
      <c r="E33" s="43" t="str">
        <f>IF($D33="","",IFERROR(INDEX(품목목록!$B$3:$B$302,MATCH($D33,품목목록!$A$3:$A$302,0)),"미등록품번"))</f>
        <v/>
      </c>
      <c r="F33" s="43" t="str">
        <f>IF($D33="","",IFERROR(INDEX(품목목록!$F$3:$F$302,MATCH($D33,품목목록!$A$3:$A$302,0)),""))</f>
        <v/>
      </c>
      <c r="G33" s="41" t="n"/>
      <c r="H33" s="45" t="str">
        <f>IF($D33="","",IFERROR(INDEX(품목목록!$E$3:$E$302,MATCH($D33,품목목록!$A$3:$A$302,0)),0))</f>
        <v/>
      </c>
      <c r="I33" s="45" t="str">
        <f>IF(OR($G33="",$H33=""),"",ROUND($G33*$H33,0))</f>
        <v/>
      </c>
      <c r="J33" s="37" t="n"/>
    </row>
    <row r="34" ht="15" customHeight="1" s="30">
      <c r="A34" s="43" t="str">
        <f>IF($D34="","",ROW()-2)</f>
        <v/>
      </c>
      <c r="B34" s="44" t="n"/>
      <c r="C34" s="37" t="n"/>
      <c r="D34" s="36" t="n"/>
      <c r="E34" s="43" t="str">
        <f>IF($D34="","",IFERROR(INDEX(품목목록!$B$3:$B$302,MATCH($D34,품목목록!$A$3:$A$302,0)),"미등록품번"))</f>
        <v/>
      </c>
      <c r="F34" s="43" t="str">
        <f>IF($D34="","",IFERROR(INDEX(품목목록!$F$3:$F$302,MATCH($D34,품목목록!$A$3:$A$302,0)),""))</f>
        <v/>
      </c>
      <c r="G34" s="41" t="n"/>
      <c r="H34" s="45" t="str">
        <f>IF($D34="","",IFERROR(INDEX(품목목록!$E$3:$E$302,MATCH($D34,품목목록!$A$3:$A$302,0)),0))</f>
        <v/>
      </c>
      <c r="I34" s="45" t="str">
        <f>IF(OR($G34="",$H34=""),"",ROUND($G34*$H34,0))</f>
        <v/>
      </c>
      <c r="J34" s="37" t="n"/>
    </row>
    <row r="35" ht="15" customHeight="1" s="30">
      <c r="A35" s="43" t="str">
        <f>IF($D35="","",ROW()-2)</f>
        <v/>
      </c>
      <c r="B35" s="44" t="n"/>
      <c r="C35" s="37" t="n"/>
      <c r="D35" s="36" t="n"/>
      <c r="E35" s="43" t="str">
        <f>IF($D35="","",IFERROR(INDEX(품목목록!$B$3:$B$302,MATCH($D35,품목목록!$A$3:$A$302,0)),"미등록품번"))</f>
        <v/>
      </c>
      <c r="F35" s="43" t="str">
        <f>IF($D35="","",IFERROR(INDEX(품목목록!$F$3:$F$302,MATCH($D35,품목목록!$A$3:$A$302,0)),""))</f>
        <v/>
      </c>
      <c r="G35" s="41" t="n"/>
      <c r="H35" s="45" t="str">
        <f>IF($D35="","",IFERROR(INDEX(품목목록!$E$3:$E$302,MATCH($D35,품목목록!$A$3:$A$302,0)),0))</f>
        <v/>
      </c>
      <c r="I35" s="45" t="str">
        <f>IF(OR($G35="",$H35=""),"",ROUND($G35*$H35,0))</f>
        <v/>
      </c>
      <c r="J35" s="37" t="n"/>
    </row>
    <row r="36" ht="15" customHeight="1" s="30">
      <c r="A36" s="43" t="str">
        <f>IF($D36="","",ROW()-2)</f>
        <v/>
      </c>
      <c r="B36" s="44" t="n"/>
      <c r="C36" s="37" t="n"/>
      <c r="D36" s="36" t="n"/>
      <c r="E36" s="43" t="str">
        <f>IF($D36="","",IFERROR(INDEX(품목목록!$B$3:$B$302,MATCH($D36,품목목록!$A$3:$A$302,0)),"미등록품번"))</f>
        <v/>
      </c>
      <c r="F36" s="43" t="str">
        <f>IF($D36="","",IFERROR(INDEX(품목목록!$F$3:$F$302,MATCH($D36,품목목록!$A$3:$A$302,0)),""))</f>
        <v/>
      </c>
      <c r="G36" s="41" t="n"/>
      <c r="H36" s="45" t="str">
        <f>IF($D36="","",IFERROR(INDEX(품목목록!$E$3:$E$302,MATCH($D36,품목목록!$A$3:$A$302,0)),0))</f>
        <v/>
      </c>
      <c r="I36" s="45" t="str">
        <f>IF(OR($G36="",$H36=""),"",ROUND($G36*$H36,0))</f>
        <v/>
      </c>
      <c r="J36" s="37" t="n"/>
    </row>
    <row r="37" ht="15" customHeight="1" s="30">
      <c r="A37" s="43" t="str">
        <f>IF($D37="","",ROW()-2)</f>
        <v/>
      </c>
      <c r="B37" s="44" t="n"/>
      <c r="C37" s="37" t="n"/>
      <c r="D37" s="36" t="n"/>
      <c r="E37" s="43" t="str">
        <f>IF($D37="","",IFERROR(INDEX(품목목록!$B$3:$B$302,MATCH($D37,품목목록!$A$3:$A$302,0)),"미등록품번"))</f>
        <v/>
      </c>
      <c r="F37" s="43" t="str">
        <f>IF($D37="","",IFERROR(INDEX(품목목록!$F$3:$F$302,MATCH($D37,품목목록!$A$3:$A$302,0)),""))</f>
        <v/>
      </c>
      <c r="G37" s="41" t="n"/>
      <c r="H37" s="45" t="str">
        <f>IF($D37="","",IFERROR(INDEX(품목목록!$E$3:$E$302,MATCH($D37,품목목록!$A$3:$A$302,0)),0))</f>
        <v/>
      </c>
      <c r="I37" s="45" t="str">
        <f>IF(OR($G37="",$H37=""),"",ROUND($G37*$H37,0))</f>
        <v/>
      </c>
      <c r="J37" s="37" t="n"/>
    </row>
    <row r="38" ht="15" customHeight="1" s="30">
      <c r="A38" s="43" t="str">
        <f>IF($D38="","",ROW()-2)</f>
        <v/>
      </c>
      <c r="B38" s="44" t="n"/>
      <c r="C38" s="37" t="n"/>
      <c r="D38" s="36" t="n"/>
      <c r="E38" s="43" t="str">
        <f>IF($D38="","",IFERROR(INDEX(품목목록!$B$3:$B$302,MATCH($D38,품목목록!$A$3:$A$302,0)),"미등록품번"))</f>
        <v/>
      </c>
      <c r="F38" s="43" t="str">
        <f>IF($D38="","",IFERROR(INDEX(품목목록!$F$3:$F$302,MATCH($D38,품목목록!$A$3:$A$302,0)),""))</f>
        <v/>
      </c>
      <c r="G38" s="41" t="n"/>
      <c r="H38" s="45" t="str">
        <f>IF($D38="","",IFERROR(INDEX(품목목록!$E$3:$E$302,MATCH($D38,품목목록!$A$3:$A$302,0)),0))</f>
        <v/>
      </c>
      <c r="I38" s="45" t="str">
        <f>IF(OR($G38="",$H38=""),"",ROUND($G38*$H38,0))</f>
        <v/>
      </c>
      <c r="J38" s="37" t="n"/>
    </row>
    <row r="39" ht="15" customHeight="1" s="30">
      <c r="A39" s="43" t="str">
        <f>IF($D39="","",ROW()-2)</f>
        <v/>
      </c>
      <c r="B39" s="44" t="n"/>
      <c r="C39" s="37" t="n"/>
      <c r="D39" s="36" t="n"/>
      <c r="E39" s="43" t="str">
        <f>IF($D39="","",IFERROR(INDEX(품목목록!$B$3:$B$302,MATCH($D39,품목목록!$A$3:$A$302,0)),"미등록품번"))</f>
        <v/>
      </c>
      <c r="F39" s="43" t="str">
        <f>IF($D39="","",IFERROR(INDEX(품목목록!$F$3:$F$302,MATCH($D39,품목목록!$A$3:$A$302,0)),""))</f>
        <v/>
      </c>
      <c r="G39" s="41" t="n"/>
      <c r="H39" s="45" t="str">
        <f>IF($D39="","",IFERROR(INDEX(품목목록!$E$3:$E$302,MATCH($D39,품목목록!$A$3:$A$302,0)),0))</f>
        <v/>
      </c>
      <c r="I39" s="45" t="str">
        <f>IF(OR($G39="",$H39=""),"",ROUND($G39*$H39,0))</f>
        <v/>
      </c>
      <c r="J39" s="37" t="n"/>
    </row>
    <row r="40" ht="15" customHeight="1" s="30">
      <c r="A40" s="43" t="str">
        <f>IF($D40="","",ROW()-2)</f>
        <v/>
      </c>
      <c r="B40" s="44" t="n"/>
      <c r="C40" s="37" t="n"/>
      <c r="D40" s="36" t="n"/>
      <c r="E40" s="43" t="str">
        <f>IF($D40="","",IFERROR(INDEX(품목목록!$B$3:$B$302,MATCH($D40,품목목록!$A$3:$A$302,0)),"미등록품번"))</f>
        <v/>
      </c>
      <c r="F40" s="43" t="str">
        <f>IF($D40="","",IFERROR(INDEX(품목목록!$F$3:$F$302,MATCH($D40,품목목록!$A$3:$A$302,0)),""))</f>
        <v/>
      </c>
      <c r="G40" s="41" t="n"/>
      <c r="H40" s="45" t="str">
        <f>IF($D40="","",IFERROR(INDEX(품목목록!$E$3:$E$302,MATCH($D40,품목목록!$A$3:$A$302,0)),0))</f>
        <v/>
      </c>
      <c r="I40" s="45" t="str">
        <f>IF(OR($G40="",$H40=""),"",ROUND($G40*$H40,0))</f>
        <v/>
      </c>
      <c r="J40" s="37" t="n"/>
    </row>
    <row r="41" ht="15" customHeight="1" s="30">
      <c r="A41" s="43" t="str">
        <f>IF($D41="","",ROW()-2)</f>
        <v/>
      </c>
      <c r="B41" s="44" t="n"/>
      <c r="C41" s="37" t="n"/>
      <c r="D41" s="36" t="n"/>
      <c r="E41" s="43" t="str">
        <f>IF($D41="","",IFERROR(INDEX(품목목록!$B$3:$B$302,MATCH($D41,품목목록!$A$3:$A$302,0)),"미등록품번"))</f>
        <v/>
      </c>
      <c r="F41" s="43" t="str">
        <f>IF($D41="","",IFERROR(INDEX(품목목록!$F$3:$F$302,MATCH($D41,품목목록!$A$3:$A$302,0)),""))</f>
        <v/>
      </c>
      <c r="G41" s="41" t="n"/>
      <c r="H41" s="45" t="str">
        <f>IF($D41="","",IFERROR(INDEX(품목목록!$E$3:$E$302,MATCH($D41,품목목록!$A$3:$A$302,0)),0))</f>
        <v/>
      </c>
      <c r="I41" s="45" t="str">
        <f>IF(OR($G41="",$H41=""),"",ROUND($G41*$H41,0))</f>
        <v/>
      </c>
      <c r="J41" s="37" t="n"/>
    </row>
    <row r="42" ht="15" customHeight="1" s="30">
      <c r="A42" s="43" t="str">
        <f>IF($D42="","",ROW()-2)</f>
        <v/>
      </c>
      <c r="B42" s="44" t="n"/>
      <c r="C42" s="37" t="n"/>
      <c r="D42" s="36" t="n"/>
      <c r="E42" s="43" t="str">
        <f>IF($D42="","",IFERROR(INDEX(품목목록!$B$3:$B$302,MATCH($D42,품목목록!$A$3:$A$302,0)),"미등록품번"))</f>
        <v/>
      </c>
      <c r="F42" s="43" t="str">
        <f>IF($D42="","",IFERROR(INDEX(품목목록!$F$3:$F$302,MATCH($D42,품목목록!$A$3:$A$302,0)),""))</f>
        <v/>
      </c>
      <c r="G42" s="41" t="n"/>
      <c r="H42" s="45" t="str">
        <f>IF($D42="","",IFERROR(INDEX(품목목록!$E$3:$E$302,MATCH($D42,품목목록!$A$3:$A$302,0)),0))</f>
        <v/>
      </c>
      <c r="I42" s="45" t="str">
        <f>IF(OR($G42="",$H42=""),"",ROUND($G42*$H42,0))</f>
        <v/>
      </c>
      <c r="J42" s="37" t="n"/>
    </row>
    <row r="43" ht="15" customHeight="1" s="30">
      <c r="A43" s="43" t="str">
        <f>IF($D43="","",ROW()-2)</f>
        <v/>
      </c>
      <c r="B43" s="44" t="n"/>
      <c r="C43" s="37" t="n"/>
      <c r="D43" s="36" t="n"/>
      <c r="E43" s="43" t="str">
        <f>IF($D43="","",IFERROR(INDEX(품목목록!$B$3:$B$302,MATCH($D43,품목목록!$A$3:$A$302,0)),"미등록품번"))</f>
        <v/>
      </c>
      <c r="F43" s="43" t="str">
        <f>IF($D43="","",IFERROR(INDEX(품목목록!$F$3:$F$302,MATCH($D43,품목목록!$A$3:$A$302,0)),""))</f>
        <v/>
      </c>
      <c r="G43" s="41" t="n"/>
      <c r="H43" s="45" t="str">
        <f>IF($D43="","",IFERROR(INDEX(품목목록!$E$3:$E$302,MATCH($D43,품목목록!$A$3:$A$302,0)),0))</f>
        <v/>
      </c>
      <c r="I43" s="45" t="str">
        <f>IF(OR($G43="",$H43=""),"",ROUND($G43*$H43,0))</f>
        <v/>
      </c>
      <c r="J43" s="37" t="n"/>
    </row>
    <row r="44" ht="15" customHeight="1" s="30">
      <c r="A44" s="43" t="str">
        <f>IF($D44="","",ROW()-2)</f>
        <v/>
      </c>
      <c r="B44" s="44" t="n"/>
      <c r="C44" s="37" t="n"/>
      <c r="D44" s="36" t="n"/>
      <c r="E44" s="43" t="str">
        <f>IF($D44="","",IFERROR(INDEX(품목목록!$B$3:$B$302,MATCH($D44,품목목록!$A$3:$A$302,0)),"미등록품번"))</f>
        <v/>
      </c>
      <c r="F44" s="43" t="str">
        <f>IF($D44="","",IFERROR(INDEX(품목목록!$F$3:$F$302,MATCH($D44,품목목록!$A$3:$A$302,0)),""))</f>
        <v/>
      </c>
      <c r="G44" s="41" t="n"/>
      <c r="H44" s="45" t="str">
        <f>IF($D44="","",IFERROR(INDEX(품목목록!$E$3:$E$302,MATCH($D44,품목목록!$A$3:$A$302,0)),0))</f>
        <v/>
      </c>
      <c r="I44" s="45" t="str">
        <f>IF(OR($G44="",$H44=""),"",ROUND($G44*$H44,0))</f>
        <v/>
      </c>
      <c r="J44" s="37" t="n"/>
    </row>
    <row r="45" ht="15" customHeight="1" s="30">
      <c r="A45" s="43" t="str">
        <f>IF($D45="","",ROW()-2)</f>
        <v/>
      </c>
      <c r="B45" s="44" t="n"/>
      <c r="C45" s="37" t="n"/>
      <c r="D45" s="36" t="n"/>
      <c r="E45" s="43" t="str">
        <f>IF($D45="","",IFERROR(INDEX(품목목록!$B$3:$B$302,MATCH($D45,품목목록!$A$3:$A$302,0)),"미등록품번"))</f>
        <v/>
      </c>
      <c r="F45" s="43" t="str">
        <f>IF($D45="","",IFERROR(INDEX(품목목록!$F$3:$F$302,MATCH($D45,품목목록!$A$3:$A$302,0)),""))</f>
        <v/>
      </c>
      <c r="G45" s="41" t="n"/>
      <c r="H45" s="45" t="str">
        <f>IF($D45="","",IFERROR(INDEX(품목목록!$E$3:$E$302,MATCH($D45,품목목록!$A$3:$A$302,0)),0))</f>
        <v/>
      </c>
      <c r="I45" s="45" t="str">
        <f>IF(OR($G45="",$H45=""),"",ROUND($G45*$H45,0))</f>
        <v/>
      </c>
      <c r="J45" s="37" t="n"/>
    </row>
    <row r="46" ht="15" customHeight="1" s="30">
      <c r="A46" s="43" t="str">
        <f>IF($D46="","",ROW()-2)</f>
        <v/>
      </c>
      <c r="B46" s="44" t="n"/>
      <c r="C46" s="37" t="n"/>
      <c r="D46" s="36" t="n"/>
      <c r="E46" s="43" t="str">
        <f>IF($D46="","",IFERROR(INDEX(품목목록!$B$3:$B$302,MATCH($D46,품목목록!$A$3:$A$302,0)),"미등록품번"))</f>
        <v/>
      </c>
      <c r="F46" s="43" t="str">
        <f>IF($D46="","",IFERROR(INDEX(품목목록!$F$3:$F$302,MATCH($D46,품목목록!$A$3:$A$302,0)),""))</f>
        <v/>
      </c>
      <c r="G46" s="41" t="n"/>
      <c r="H46" s="45" t="str">
        <f>IF($D46="","",IFERROR(INDEX(품목목록!$E$3:$E$302,MATCH($D46,품목목록!$A$3:$A$302,0)),0))</f>
        <v/>
      </c>
      <c r="I46" s="45" t="str">
        <f>IF(OR($G46="",$H46=""),"",ROUND($G46*$H46,0))</f>
        <v/>
      </c>
      <c r="J46" s="37" t="n"/>
    </row>
    <row r="47" ht="15" customHeight="1" s="30">
      <c r="A47" s="43" t="str">
        <f>IF($D47="","",ROW()-2)</f>
        <v/>
      </c>
      <c r="B47" s="44" t="n"/>
      <c r="C47" s="37" t="n"/>
      <c r="D47" s="36" t="n"/>
      <c r="E47" s="43" t="str">
        <f>IF($D47="","",IFERROR(INDEX(품목목록!$B$3:$B$302,MATCH($D47,품목목록!$A$3:$A$302,0)),"미등록품번"))</f>
        <v/>
      </c>
      <c r="F47" s="43" t="str">
        <f>IF($D47="","",IFERROR(INDEX(품목목록!$F$3:$F$302,MATCH($D47,품목목록!$A$3:$A$302,0)),""))</f>
        <v/>
      </c>
      <c r="G47" s="41" t="n"/>
      <c r="H47" s="45" t="str">
        <f>IF($D47="","",IFERROR(INDEX(품목목록!$E$3:$E$302,MATCH($D47,품목목록!$A$3:$A$302,0)),0))</f>
        <v/>
      </c>
      <c r="I47" s="45" t="str">
        <f>IF(OR($G47="",$H47=""),"",ROUND($G47*$H47,0))</f>
        <v/>
      </c>
      <c r="J47" s="37" t="n"/>
    </row>
    <row r="48" ht="15" customHeight="1" s="30">
      <c r="A48" s="43" t="str">
        <f>IF($D48="","",ROW()-2)</f>
        <v/>
      </c>
      <c r="B48" s="44" t="n"/>
      <c r="C48" s="37" t="n"/>
      <c r="D48" s="36" t="n"/>
      <c r="E48" s="43" t="str">
        <f>IF($D48="","",IFERROR(INDEX(품목목록!$B$3:$B$302,MATCH($D48,품목목록!$A$3:$A$302,0)),"미등록품번"))</f>
        <v/>
      </c>
      <c r="F48" s="43" t="str">
        <f>IF($D48="","",IFERROR(INDEX(품목목록!$F$3:$F$302,MATCH($D48,품목목록!$A$3:$A$302,0)),""))</f>
        <v/>
      </c>
      <c r="G48" s="41" t="n"/>
      <c r="H48" s="45" t="str">
        <f>IF($D48="","",IFERROR(INDEX(품목목록!$E$3:$E$302,MATCH($D48,품목목록!$A$3:$A$302,0)),0))</f>
        <v/>
      </c>
      <c r="I48" s="45" t="str">
        <f>IF(OR($G48="",$H48=""),"",ROUND($G48*$H48,0))</f>
        <v/>
      </c>
      <c r="J48" s="37" t="n"/>
    </row>
    <row r="49" ht="15" customHeight="1" s="30">
      <c r="A49" s="43" t="str">
        <f>IF($D49="","",ROW()-2)</f>
        <v/>
      </c>
      <c r="B49" s="44" t="n"/>
      <c r="C49" s="37" t="n"/>
      <c r="D49" s="36" t="n"/>
      <c r="E49" s="43" t="str">
        <f>IF($D49="","",IFERROR(INDEX(품목목록!$B$3:$B$302,MATCH($D49,품목목록!$A$3:$A$302,0)),"미등록품번"))</f>
        <v/>
      </c>
      <c r="F49" s="43" t="str">
        <f>IF($D49="","",IFERROR(INDEX(품목목록!$F$3:$F$302,MATCH($D49,품목목록!$A$3:$A$302,0)),""))</f>
        <v/>
      </c>
      <c r="G49" s="41" t="n"/>
      <c r="H49" s="45" t="str">
        <f>IF($D49="","",IFERROR(INDEX(품목목록!$E$3:$E$302,MATCH($D49,품목목록!$A$3:$A$302,0)),0))</f>
        <v/>
      </c>
      <c r="I49" s="45" t="str">
        <f>IF(OR($G49="",$H49=""),"",ROUND($G49*$H49,0))</f>
        <v/>
      </c>
      <c r="J49" s="37" t="n"/>
    </row>
    <row r="50" ht="15" customHeight="1" s="30">
      <c r="A50" s="43" t="str">
        <f>IF($D50="","",ROW()-2)</f>
        <v/>
      </c>
      <c r="B50" s="44" t="n"/>
      <c r="C50" s="37" t="n"/>
      <c r="D50" s="36" t="n"/>
      <c r="E50" s="43" t="str">
        <f>IF($D50="","",IFERROR(INDEX(품목목록!$B$3:$B$302,MATCH($D50,품목목록!$A$3:$A$302,0)),"미등록품번"))</f>
        <v/>
      </c>
      <c r="F50" s="43" t="str">
        <f>IF($D50="","",IFERROR(INDEX(품목목록!$F$3:$F$302,MATCH($D50,품목목록!$A$3:$A$302,0)),""))</f>
        <v/>
      </c>
      <c r="G50" s="41" t="n"/>
      <c r="H50" s="45" t="str">
        <f>IF($D50="","",IFERROR(INDEX(품목목록!$E$3:$E$302,MATCH($D50,품목목록!$A$3:$A$302,0)),0))</f>
        <v/>
      </c>
      <c r="I50" s="45" t="str">
        <f>IF(OR($G50="",$H50=""),"",ROUND($G50*$H50,0))</f>
        <v/>
      </c>
      <c r="J50" s="37" t="n"/>
    </row>
    <row r="51" ht="15" customHeight="1" s="30">
      <c r="A51" s="43" t="str">
        <f>IF($D51="","",ROW()-2)</f>
        <v/>
      </c>
      <c r="B51" s="44" t="n"/>
      <c r="C51" s="37" t="n"/>
      <c r="D51" s="36" t="n"/>
      <c r="E51" s="43" t="str">
        <f>IF($D51="","",IFERROR(INDEX(품목목록!$B$3:$B$302,MATCH($D51,품목목록!$A$3:$A$302,0)),"미등록품번"))</f>
        <v/>
      </c>
      <c r="F51" s="43" t="str">
        <f>IF($D51="","",IFERROR(INDEX(품목목록!$F$3:$F$302,MATCH($D51,품목목록!$A$3:$A$302,0)),""))</f>
        <v/>
      </c>
      <c r="G51" s="41" t="n"/>
      <c r="H51" s="45" t="str">
        <f>IF($D51="","",IFERROR(INDEX(품목목록!$E$3:$E$302,MATCH($D51,품목목록!$A$3:$A$302,0)),0))</f>
        <v/>
      </c>
      <c r="I51" s="45" t="str">
        <f>IF(OR($G51="",$H51=""),"",ROUND($G51*$H51,0))</f>
        <v/>
      </c>
      <c r="J51" s="37" t="n"/>
    </row>
    <row r="52" ht="15" customHeight="1" s="30">
      <c r="A52" s="43" t="str">
        <f>IF($D52="","",ROW()-2)</f>
        <v/>
      </c>
      <c r="B52" s="44" t="n"/>
      <c r="C52" s="37" t="n"/>
      <c r="D52" s="36" t="n"/>
      <c r="E52" s="43" t="str">
        <f>IF($D52="","",IFERROR(INDEX(품목목록!$B$3:$B$302,MATCH($D52,품목목록!$A$3:$A$302,0)),"미등록품번"))</f>
        <v/>
      </c>
      <c r="F52" s="43" t="str">
        <f>IF($D52="","",IFERROR(INDEX(품목목록!$F$3:$F$302,MATCH($D52,품목목록!$A$3:$A$302,0)),""))</f>
        <v/>
      </c>
      <c r="G52" s="41" t="n"/>
      <c r="H52" s="45" t="str">
        <f>IF($D52="","",IFERROR(INDEX(품목목록!$E$3:$E$302,MATCH($D52,품목목록!$A$3:$A$302,0)),0))</f>
        <v/>
      </c>
      <c r="I52" s="45" t="str">
        <f>IF(OR($G52="",$H52=""),"",ROUND($G52*$H52,0))</f>
        <v/>
      </c>
      <c r="J52" s="37" t="n"/>
    </row>
    <row r="53" ht="15" customHeight="1" s="30">
      <c r="A53" s="43" t="str">
        <f>IF($D53="","",ROW()-2)</f>
        <v/>
      </c>
      <c r="B53" s="44" t="n"/>
      <c r="C53" s="37" t="n"/>
      <c r="D53" s="36" t="n"/>
      <c r="E53" s="43" t="str">
        <f>IF($D53="","",IFERROR(INDEX(품목목록!$B$3:$B$302,MATCH($D53,품목목록!$A$3:$A$302,0)),"미등록품번"))</f>
        <v/>
      </c>
      <c r="F53" s="43" t="str">
        <f>IF($D53="","",IFERROR(INDEX(품목목록!$F$3:$F$302,MATCH($D53,품목목록!$A$3:$A$302,0)),""))</f>
        <v/>
      </c>
      <c r="G53" s="41" t="n"/>
      <c r="H53" s="45" t="str">
        <f>IF($D53="","",IFERROR(INDEX(품목목록!$E$3:$E$302,MATCH($D53,품목목록!$A$3:$A$302,0)),0))</f>
        <v/>
      </c>
      <c r="I53" s="45" t="str">
        <f>IF(OR($G53="",$H53=""),"",ROUND($G53*$H53,0))</f>
        <v/>
      </c>
      <c r="J53" s="37" t="n"/>
    </row>
    <row r="54" ht="15" customHeight="1" s="30">
      <c r="A54" s="43" t="str">
        <f>IF($D54="","",ROW()-2)</f>
        <v/>
      </c>
      <c r="B54" s="44" t="n"/>
      <c r="C54" s="37" t="n"/>
      <c r="D54" s="36" t="n"/>
      <c r="E54" s="43" t="str">
        <f>IF($D54="","",IFERROR(INDEX(품목목록!$B$3:$B$302,MATCH($D54,품목목록!$A$3:$A$302,0)),"미등록품번"))</f>
        <v/>
      </c>
      <c r="F54" s="43" t="str">
        <f>IF($D54="","",IFERROR(INDEX(품목목록!$F$3:$F$302,MATCH($D54,품목목록!$A$3:$A$302,0)),""))</f>
        <v/>
      </c>
      <c r="G54" s="41" t="n"/>
      <c r="H54" s="45" t="str">
        <f>IF($D54="","",IFERROR(INDEX(품목목록!$E$3:$E$302,MATCH($D54,품목목록!$A$3:$A$302,0)),0))</f>
        <v/>
      </c>
      <c r="I54" s="45" t="str">
        <f>IF(OR($G54="",$H54=""),"",ROUND($G54*$H54,0))</f>
        <v/>
      </c>
      <c r="J54" s="37" t="n"/>
    </row>
    <row r="55" ht="15" customHeight="1" s="30">
      <c r="A55" s="43" t="str">
        <f>IF($D55="","",ROW()-2)</f>
        <v/>
      </c>
      <c r="B55" s="44" t="n"/>
      <c r="C55" s="37" t="n"/>
      <c r="D55" s="36" t="n"/>
      <c r="E55" s="43" t="str">
        <f>IF($D55="","",IFERROR(INDEX(품목목록!$B$3:$B$302,MATCH($D55,품목목록!$A$3:$A$302,0)),"미등록품번"))</f>
        <v/>
      </c>
      <c r="F55" s="43" t="str">
        <f>IF($D55="","",IFERROR(INDEX(품목목록!$F$3:$F$302,MATCH($D55,품목목록!$A$3:$A$302,0)),""))</f>
        <v/>
      </c>
      <c r="G55" s="41" t="n"/>
      <c r="H55" s="45" t="str">
        <f>IF($D55="","",IFERROR(INDEX(품목목록!$E$3:$E$302,MATCH($D55,품목목록!$A$3:$A$302,0)),0))</f>
        <v/>
      </c>
      <c r="I55" s="45" t="str">
        <f>IF(OR($G55="",$H55=""),"",ROUND($G55*$H55,0))</f>
        <v/>
      </c>
      <c r="J55" s="37" t="n"/>
    </row>
    <row r="56" ht="15" customHeight="1" s="30">
      <c r="A56" s="43" t="str">
        <f>IF($D56="","",ROW()-2)</f>
        <v/>
      </c>
      <c r="B56" s="44" t="n"/>
      <c r="C56" s="37" t="n"/>
      <c r="D56" s="36" t="n"/>
      <c r="E56" s="43" t="str">
        <f>IF($D56="","",IFERROR(INDEX(품목목록!$B$3:$B$302,MATCH($D56,품목목록!$A$3:$A$302,0)),"미등록품번"))</f>
        <v/>
      </c>
      <c r="F56" s="43" t="str">
        <f>IF($D56="","",IFERROR(INDEX(품목목록!$F$3:$F$302,MATCH($D56,품목목록!$A$3:$A$302,0)),""))</f>
        <v/>
      </c>
      <c r="G56" s="41" t="n"/>
      <c r="H56" s="45" t="str">
        <f>IF($D56="","",IFERROR(INDEX(품목목록!$E$3:$E$302,MATCH($D56,품목목록!$A$3:$A$302,0)),0))</f>
        <v/>
      </c>
      <c r="I56" s="45" t="str">
        <f>IF(OR($G56="",$H56=""),"",ROUND($G56*$H56,0))</f>
        <v/>
      </c>
      <c r="J56" s="37" t="n"/>
    </row>
    <row r="57" ht="15" customHeight="1" s="30">
      <c r="A57" s="43" t="str">
        <f>IF($D57="","",ROW()-2)</f>
        <v/>
      </c>
      <c r="B57" s="44" t="n"/>
      <c r="C57" s="37" t="n"/>
      <c r="D57" s="36" t="n"/>
      <c r="E57" s="43" t="str">
        <f>IF($D57="","",IFERROR(INDEX(품목목록!$B$3:$B$302,MATCH($D57,품목목록!$A$3:$A$302,0)),"미등록품번"))</f>
        <v/>
      </c>
      <c r="F57" s="43" t="str">
        <f>IF($D57="","",IFERROR(INDEX(품목목록!$F$3:$F$302,MATCH($D57,품목목록!$A$3:$A$302,0)),""))</f>
        <v/>
      </c>
      <c r="G57" s="41" t="n"/>
      <c r="H57" s="45" t="str">
        <f>IF($D57="","",IFERROR(INDEX(품목목록!$E$3:$E$302,MATCH($D57,품목목록!$A$3:$A$302,0)),0))</f>
        <v/>
      </c>
      <c r="I57" s="45" t="str">
        <f>IF(OR($G57="",$H57=""),"",ROUND($G57*$H57,0))</f>
        <v/>
      </c>
      <c r="J57" s="37" t="n"/>
    </row>
    <row r="58" ht="15" customHeight="1" s="30">
      <c r="A58" s="43" t="str">
        <f>IF($D58="","",ROW()-2)</f>
        <v/>
      </c>
      <c r="B58" s="44" t="n"/>
      <c r="C58" s="37" t="n"/>
      <c r="D58" s="36" t="n"/>
      <c r="E58" s="43" t="str">
        <f>IF($D58="","",IFERROR(INDEX(품목목록!$B$3:$B$302,MATCH($D58,품목목록!$A$3:$A$302,0)),"미등록품번"))</f>
        <v/>
      </c>
      <c r="F58" s="43" t="str">
        <f>IF($D58="","",IFERROR(INDEX(품목목록!$F$3:$F$302,MATCH($D58,품목목록!$A$3:$A$302,0)),""))</f>
        <v/>
      </c>
      <c r="G58" s="41" t="n"/>
      <c r="H58" s="45" t="str">
        <f>IF($D58="","",IFERROR(INDEX(품목목록!$E$3:$E$302,MATCH($D58,품목목록!$A$3:$A$302,0)),0))</f>
        <v/>
      </c>
      <c r="I58" s="45" t="str">
        <f>IF(OR($G58="",$H58=""),"",ROUND($G58*$H58,0))</f>
        <v/>
      </c>
      <c r="J58" s="37" t="n"/>
    </row>
    <row r="59" ht="15" customHeight="1" s="30">
      <c r="A59" s="43" t="str">
        <f>IF($D59="","",ROW()-2)</f>
        <v/>
      </c>
      <c r="B59" s="44" t="n"/>
      <c r="C59" s="37" t="n"/>
      <c r="D59" s="36" t="n"/>
      <c r="E59" s="43" t="str">
        <f>IF($D59="","",IFERROR(INDEX(품목목록!$B$3:$B$302,MATCH($D59,품목목록!$A$3:$A$302,0)),"미등록품번"))</f>
        <v/>
      </c>
      <c r="F59" s="43" t="str">
        <f>IF($D59="","",IFERROR(INDEX(품목목록!$F$3:$F$302,MATCH($D59,품목목록!$A$3:$A$302,0)),""))</f>
        <v/>
      </c>
      <c r="G59" s="41" t="n"/>
      <c r="H59" s="45" t="str">
        <f>IF($D59="","",IFERROR(INDEX(품목목록!$E$3:$E$302,MATCH($D59,품목목록!$A$3:$A$302,0)),0))</f>
        <v/>
      </c>
      <c r="I59" s="45" t="str">
        <f>IF(OR($G59="",$H59=""),"",ROUND($G59*$H59,0))</f>
        <v/>
      </c>
      <c r="J59" s="37" t="n"/>
    </row>
    <row r="60" ht="15" customHeight="1" s="30">
      <c r="A60" s="43" t="str">
        <f>IF($D60="","",ROW()-2)</f>
        <v/>
      </c>
      <c r="B60" s="44" t="n"/>
      <c r="C60" s="37" t="n"/>
      <c r="D60" s="36" t="n"/>
      <c r="E60" s="43" t="str">
        <f>IF($D60="","",IFERROR(INDEX(품목목록!$B$3:$B$302,MATCH($D60,품목목록!$A$3:$A$302,0)),"미등록품번"))</f>
        <v/>
      </c>
      <c r="F60" s="43" t="str">
        <f>IF($D60="","",IFERROR(INDEX(품목목록!$F$3:$F$302,MATCH($D60,품목목록!$A$3:$A$302,0)),""))</f>
        <v/>
      </c>
      <c r="G60" s="41" t="n"/>
      <c r="H60" s="45" t="str">
        <f>IF($D60="","",IFERROR(INDEX(품목목록!$E$3:$E$302,MATCH($D60,품목목록!$A$3:$A$302,0)),0))</f>
        <v/>
      </c>
      <c r="I60" s="45" t="str">
        <f>IF(OR($G60="",$H60=""),"",ROUND($G60*$H60,0))</f>
        <v/>
      </c>
      <c r="J60" s="37" t="n"/>
    </row>
    <row r="61" ht="15" customHeight="1" s="30">
      <c r="A61" s="43" t="str">
        <f>IF($D61="","",ROW()-2)</f>
        <v/>
      </c>
      <c r="B61" s="44" t="n"/>
      <c r="C61" s="37" t="n"/>
      <c r="D61" s="36" t="n"/>
      <c r="E61" s="43" t="str">
        <f>IF($D61="","",IFERROR(INDEX(품목목록!$B$3:$B$302,MATCH($D61,품목목록!$A$3:$A$302,0)),"미등록품번"))</f>
        <v/>
      </c>
      <c r="F61" s="43" t="str">
        <f>IF($D61="","",IFERROR(INDEX(품목목록!$F$3:$F$302,MATCH($D61,품목목록!$A$3:$A$302,0)),""))</f>
        <v/>
      </c>
      <c r="G61" s="41" t="n"/>
      <c r="H61" s="45" t="str">
        <f>IF($D61="","",IFERROR(INDEX(품목목록!$E$3:$E$302,MATCH($D61,품목목록!$A$3:$A$302,0)),0))</f>
        <v/>
      </c>
      <c r="I61" s="45" t="str">
        <f>IF(OR($G61="",$H61=""),"",ROUND($G61*$H61,0))</f>
        <v/>
      </c>
      <c r="J61" s="37" t="n"/>
    </row>
    <row r="62" ht="15" customHeight="1" s="30">
      <c r="A62" s="43" t="str">
        <f>IF($D62="","",ROW()-2)</f>
        <v/>
      </c>
      <c r="B62" s="44" t="n"/>
      <c r="C62" s="37" t="n"/>
      <c r="D62" s="36" t="n"/>
      <c r="E62" s="43" t="str">
        <f>IF($D62="","",IFERROR(INDEX(품목목록!$B$3:$B$302,MATCH($D62,품목목록!$A$3:$A$302,0)),"미등록품번"))</f>
        <v/>
      </c>
      <c r="F62" s="43" t="str">
        <f>IF($D62="","",IFERROR(INDEX(품목목록!$F$3:$F$302,MATCH($D62,품목목록!$A$3:$A$302,0)),""))</f>
        <v/>
      </c>
      <c r="G62" s="41" t="n"/>
      <c r="H62" s="45" t="str">
        <f>IF($D62="","",IFERROR(INDEX(품목목록!$E$3:$E$302,MATCH($D62,품목목록!$A$3:$A$302,0)),0))</f>
        <v/>
      </c>
      <c r="I62" s="45" t="str">
        <f>IF(OR($G62="",$H62=""),"",ROUND($G62*$H62,0))</f>
        <v/>
      </c>
      <c r="J62" s="37" t="n"/>
    </row>
    <row r="63" ht="15" customHeight="1" s="30">
      <c r="A63" s="43" t="str">
        <f>IF($D63="","",ROW()-2)</f>
        <v/>
      </c>
      <c r="B63" s="44" t="n"/>
      <c r="C63" s="37" t="n"/>
      <c r="D63" s="36" t="n"/>
      <c r="E63" s="43" t="str">
        <f>IF($D63="","",IFERROR(INDEX(품목목록!$B$3:$B$302,MATCH($D63,품목목록!$A$3:$A$302,0)),"미등록품번"))</f>
        <v/>
      </c>
      <c r="F63" s="43" t="str">
        <f>IF($D63="","",IFERROR(INDEX(품목목록!$F$3:$F$302,MATCH($D63,품목목록!$A$3:$A$302,0)),""))</f>
        <v/>
      </c>
      <c r="G63" s="41" t="n"/>
      <c r="H63" s="45" t="str">
        <f>IF($D63="","",IFERROR(INDEX(품목목록!$E$3:$E$302,MATCH($D63,품목목록!$A$3:$A$302,0)),0))</f>
        <v/>
      </c>
      <c r="I63" s="45" t="str">
        <f>IF(OR($G63="",$H63=""),"",ROUND($G63*$H63,0))</f>
        <v/>
      </c>
      <c r="J63" s="37" t="n"/>
    </row>
    <row r="64" ht="15" customHeight="1" s="30">
      <c r="A64" s="43" t="str">
        <f>IF($D64="","",ROW()-2)</f>
        <v/>
      </c>
      <c r="B64" s="44" t="n"/>
      <c r="C64" s="37" t="n"/>
      <c r="D64" s="36" t="n"/>
      <c r="E64" s="43" t="str">
        <f>IF($D64="","",IFERROR(INDEX(품목목록!$B$3:$B$302,MATCH($D64,품목목록!$A$3:$A$302,0)),"미등록품번"))</f>
        <v/>
      </c>
      <c r="F64" s="43" t="str">
        <f>IF($D64="","",IFERROR(INDEX(품목목록!$F$3:$F$302,MATCH($D64,품목목록!$A$3:$A$302,0)),""))</f>
        <v/>
      </c>
      <c r="G64" s="41" t="n"/>
      <c r="H64" s="45" t="str">
        <f>IF($D64="","",IFERROR(INDEX(품목목록!$E$3:$E$302,MATCH($D64,품목목록!$A$3:$A$302,0)),0))</f>
        <v/>
      </c>
      <c r="I64" s="45" t="str">
        <f>IF(OR($G64="",$H64=""),"",ROUND($G64*$H64,0))</f>
        <v/>
      </c>
      <c r="J64" s="37" t="n"/>
    </row>
    <row r="65" ht="15" customHeight="1" s="30">
      <c r="A65" s="43" t="str">
        <f>IF($D65="","",ROW()-2)</f>
        <v/>
      </c>
      <c r="B65" s="44" t="n"/>
      <c r="C65" s="37" t="n"/>
      <c r="D65" s="36" t="n"/>
      <c r="E65" s="43" t="str">
        <f>IF($D65="","",IFERROR(INDEX(품목목록!$B$3:$B$302,MATCH($D65,품목목록!$A$3:$A$302,0)),"미등록품번"))</f>
        <v/>
      </c>
      <c r="F65" s="43" t="str">
        <f>IF($D65="","",IFERROR(INDEX(품목목록!$F$3:$F$302,MATCH($D65,품목목록!$A$3:$A$302,0)),""))</f>
        <v/>
      </c>
      <c r="G65" s="41" t="n"/>
      <c r="H65" s="45" t="str">
        <f>IF($D65="","",IFERROR(INDEX(품목목록!$E$3:$E$302,MATCH($D65,품목목록!$A$3:$A$302,0)),0))</f>
        <v/>
      </c>
      <c r="I65" s="45" t="str">
        <f>IF(OR($G65="",$H65=""),"",ROUND($G65*$H65,0))</f>
        <v/>
      </c>
      <c r="J65" s="37" t="n"/>
    </row>
    <row r="66" ht="15" customHeight="1" s="30">
      <c r="A66" s="43" t="str">
        <f>IF($D66="","",ROW()-2)</f>
        <v/>
      </c>
      <c r="B66" s="44" t="n"/>
      <c r="C66" s="37" t="n"/>
      <c r="D66" s="36" t="n"/>
      <c r="E66" s="43" t="str">
        <f>IF($D66="","",IFERROR(INDEX(품목목록!$B$3:$B$302,MATCH($D66,품목목록!$A$3:$A$302,0)),"미등록품번"))</f>
        <v/>
      </c>
      <c r="F66" s="43" t="str">
        <f>IF($D66="","",IFERROR(INDEX(품목목록!$F$3:$F$302,MATCH($D66,품목목록!$A$3:$A$302,0)),""))</f>
        <v/>
      </c>
      <c r="G66" s="41" t="n"/>
      <c r="H66" s="45" t="str">
        <f>IF($D66="","",IFERROR(INDEX(품목목록!$E$3:$E$302,MATCH($D66,품목목록!$A$3:$A$302,0)),0))</f>
        <v/>
      </c>
      <c r="I66" s="45" t="str">
        <f>IF(OR($G66="",$H66=""),"",ROUND($G66*$H66,0))</f>
        <v/>
      </c>
      <c r="J66" s="37" t="n"/>
    </row>
    <row r="67" ht="15" customHeight="1" s="30">
      <c r="A67" s="43" t="str">
        <f>IF($D67="","",ROW()-2)</f>
        <v/>
      </c>
      <c r="B67" s="44" t="n"/>
      <c r="C67" s="37" t="n"/>
      <c r="D67" s="36" t="n"/>
      <c r="E67" s="43" t="str">
        <f>IF($D67="","",IFERROR(INDEX(품목목록!$B$3:$B$302,MATCH($D67,품목목록!$A$3:$A$302,0)),"미등록품번"))</f>
        <v/>
      </c>
      <c r="F67" s="43" t="str">
        <f>IF($D67="","",IFERROR(INDEX(품목목록!$F$3:$F$302,MATCH($D67,품목목록!$A$3:$A$302,0)),""))</f>
        <v/>
      </c>
      <c r="G67" s="41" t="n"/>
      <c r="H67" s="45" t="str">
        <f>IF($D67="","",IFERROR(INDEX(품목목록!$E$3:$E$302,MATCH($D67,품목목록!$A$3:$A$302,0)),0))</f>
        <v/>
      </c>
      <c r="I67" s="45" t="str">
        <f>IF(OR($G67="",$H67=""),"",ROUND($G67*$H67,0))</f>
        <v/>
      </c>
      <c r="J67" s="37" t="n"/>
    </row>
    <row r="68" ht="15" customHeight="1" s="30">
      <c r="A68" s="43" t="str">
        <f>IF($D68="","",ROW()-2)</f>
        <v/>
      </c>
      <c r="B68" s="44" t="n"/>
      <c r="C68" s="37" t="n"/>
      <c r="D68" s="36" t="n"/>
      <c r="E68" s="43" t="str">
        <f>IF($D68="","",IFERROR(INDEX(품목목록!$B$3:$B$302,MATCH($D68,품목목록!$A$3:$A$302,0)),"미등록품번"))</f>
        <v/>
      </c>
      <c r="F68" s="43" t="str">
        <f>IF($D68="","",IFERROR(INDEX(품목목록!$F$3:$F$302,MATCH($D68,품목목록!$A$3:$A$302,0)),""))</f>
        <v/>
      </c>
      <c r="G68" s="41" t="n"/>
      <c r="H68" s="45" t="str">
        <f>IF($D68="","",IFERROR(INDEX(품목목록!$E$3:$E$302,MATCH($D68,품목목록!$A$3:$A$302,0)),0))</f>
        <v/>
      </c>
      <c r="I68" s="45" t="str">
        <f>IF(OR($G68="",$H68=""),"",ROUND($G68*$H68,0))</f>
        <v/>
      </c>
      <c r="J68" s="37" t="n"/>
    </row>
    <row r="69" ht="15" customHeight="1" s="30">
      <c r="A69" s="43" t="str">
        <f>IF($D69="","",ROW()-2)</f>
        <v/>
      </c>
      <c r="B69" s="44" t="n"/>
      <c r="C69" s="37" t="n"/>
      <c r="D69" s="36" t="n"/>
      <c r="E69" s="43" t="str">
        <f>IF($D69="","",IFERROR(INDEX(품목목록!$B$3:$B$302,MATCH($D69,품목목록!$A$3:$A$302,0)),"미등록품번"))</f>
        <v/>
      </c>
      <c r="F69" s="43" t="str">
        <f>IF($D69="","",IFERROR(INDEX(품목목록!$F$3:$F$302,MATCH($D69,품목목록!$A$3:$A$302,0)),""))</f>
        <v/>
      </c>
      <c r="G69" s="41" t="n"/>
      <c r="H69" s="45" t="str">
        <f>IF($D69="","",IFERROR(INDEX(품목목록!$E$3:$E$302,MATCH($D69,품목목록!$A$3:$A$302,0)),0))</f>
        <v/>
      </c>
      <c r="I69" s="45" t="str">
        <f>IF(OR($G69="",$H69=""),"",ROUND($G69*$H69,0))</f>
        <v/>
      </c>
      <c r="J69" s="37" t="n"/>
    </row>
    <row r="70" ht="15" customHeight="1" s="30">
      <c r="A70" s="43" t="str">
        <f>IF($D70="","",ROW()-2)</f>
        <v/>
      </c>
      <c r="B70" s="44" t="n"/>
      <c r="C70" s="37" t="n"/>
      <c r="D70" s="36" t="n"/>
      <c r="E70" s="43" t="str">
        <f>IF($D70="","",IFERROR(INDEX(품목목록!$B$3:$B$302,MATCH($D70,품목목록!$A$3:$A$302,0)),"미등록품번"))</f>
        <v/>
      </c>
      <c r="F70" s="43" t="str">
        <f>IF($D70="","",IFERROR(INDEX(품목목록!$F$3:$F$302,MATCH($D70,품목목록!$A$3:$A$302,0)),""))</f>
        <v/>
      </c>
      <c r="G70" s="41" t="n"/>
      <c r="H70" s="45" t="str">
        <f>IF($D70="","",IFERROR(INDEX(품목목록!$E$3:$E$302,MATCH($D70,품목목록!$A$3:$A$302,0)),0))</f>
        <v/>
      </c>
      <c r="I70" s="45" t="str">
        <f>IF(OR($G70="",$H70=""),"",ROUND($G70*$H70,0))</f>
        <v/>
      </c>
      <c r="J70" s="37" t="n"/>
    </row>
    <row r="71" ht="15" customHeight="1" s="30">
      <c r="A71" s="43" t="str">
        <f>IF($D71="","",ROW()-2)</f>
        <v/>
      </c>
      <c r="B71" s="44" t="n"/>
      <c r="C71" s="37" t="n"/>
      <c r="D71" s="36" t="n"/>
      <c r="E71" s="43" t="str">
        <f>IF($D71="","",IFERROR(INDEX(품목목록!$B$3:$B$302,MATCH($D71,품목목록!$A$3:$A$302,0)),"미등록품번"))</f>
        <v/>
      </c>
      <c r="F71" s="43" t="str">
        <f>IF($D71="","",IFERROR(INDEX(품목목록!$F$3:$F$302,MATCH($D71,품목목록!$A$3:$A$302,0)),""))</f>
        <v/>
      </c>
      <c r="G71" s="41" t="n"/>
      <c r="H71" s="45" t="str">
        <f>IF($D71="","",IFERROR(INDEX(품목목록!$E$3:$E$302,MATCH($D71,품목목록!$A$3:$A$302,0)),0))</f>
        <v/>
      </c>
      <c r="I71" s="45" t="str">
        <f>IF(OR($G71="",$H71=""),"",ROUND($G71*$H71,0))</f>
        <v/>
      </c>
      <c r="J71" s="37" t="n"/>
    </row>
    <row r="72" ht="15" customHeight="1" s="30">
      <c r="A72" s="43" t="str">
        <f>IF($D72="","",ROW()-2)</f>
        <v/>
      </c>
      <c r="B72" s="44" t="n"/>
      <c r="C72" s="37" t="n"/>
      <c r="D72" s="36" t="n"/>
      <c r="E72" s="43" t="str">
        <f>IF($D72="","",IFERROR(INDEX(품목목록!$B$3:$B$302,MATCH($D72,품목목록!$A$3:$A$302,0)),"미등록품번"))</f>
        <v/>
      </c>
      <c r="F72" s="43" t="str">
        <f>IF($D72="","",IFERROR(INDEX(품목목록!$F$3:$F$302,MATCH($D72,품목목록!$A$3:$A$302,0)),""))</f>
        <v/>
      </c>
      <c r="G72" s="41" t="n"/>
      <c r="H72" s="45" t="str">
        <f>IF($D72="","",IFERROR(INDEX(품목목록!$E$3:$E$302,MATCH($D72,품목목록!$A$3:$A$302,0)),0))</f>
        <v/>
      </c>
      <c r="I72" s="45" t="str">
        <f>IF(OR($G72="",$H72=""),"",ROUND($G72*$H72,0))</f>
        <v/>
      </c>
      <c r="J72" s="37" t="n"/>
    </row>
    <row r="73" ht="15" customHeight="1" s="30">
      <c r="A73" s="43" t="str">
        <f>IF($D73="","",ROW()-2)</f>
        <v/>
      </c>
      <c r="B73" s="44" t="n"/>
      <c r="C73" s="37" t="n"/>
      <c r="D73" s="36" t="n"/>
      <c r="E73" s="43" t="str">
        <f>IF($D73="","",IFERROR(INDEX(품목목록!$B$3:$B$302,MATCH($D73,품목목록!$A$3:$A$302,0)),"미등록품번"))</f>
        <v/>
      </c>
      <c r="F73" s="43" t="str">
        <f>IF($D73="","",IFERROR(INDEX(품목목록!$F$3:$F$302,MATCH($D73,품목목록!$A$3:$A$302,0)),""))</f>
        <v/>
      </c>
      <c r="G73" s="41" t="n"/>
      <c r="H73" s="45" t="str">
        <f>IF($D73="","",IFERROR(INDEX(품목목록!$E$3:$E$302,MATCH($D73,품목목록!$A$3:$A$302,0)),0))</f>
        <v/>
      </c>
      <c r="I73" s="45" t="str">
        <f>IF(OR($G73="",$H73=""),"",ROUND($G73*$H73,0))</f>
        <v/>
      </c>
      <c r="J73" s="37" t="n"/>
    </row>
    <row r="74" ht="15" customHeight="1" s="30">
      <c r="A74" s="43" t="str">
        <f>IF($D74="","",ROW()-2)</f>
        <v/>
      </c>
      <c r="B74" s="44" t="n"/>
      <c r="C74" s="37" t="n"/>
      <c r="D74" s="36" t="n"/>
      <c r="E74" s="43" t="str">
        <f>IF($D74="","",IFERROR(INDEX(품목목록!$B$3:$B$302,MATCH($D74,품목목록!$A$3:$A$302,0)),"미등록품번"))</f>
        <v/>
      </c>
      <c r="F74" s="43" t="str">
        <f>IF($D74="","",IFERROR(INDEX(품목목록!$F$3:$F$302,MATCH($D74,품목목록!$A$3:$A$302,0)),""))</f>
        <v/>
      </c>
      <c r="G74" s="41" t="n"/>
      <c r="H74" s="45" t="str">
        <f>IF($D74="","",IFERROR(INDEX(품목목록!$E$3:$E$302,MATCH($D74,품목목록!$A$3:$A$302,0)),0))</f>
        <v/>
      </c>
      <c r="I74" s="45" t="str">
        <f>IF(OR($G74="",$H74=""),"",ROUND($G74*$H74,0))</f>
        <v/>
      </c>
      <c r="J74" s="37" t="n"/>
    </row>
    <row r="75" ht="15" customHeight="1" s="30">
      <c r="A75" s="43" t="str">
        <f>IF($D75="","",ROW()-2)</f>
        <v/>
      </c>
      <c r="B75" s="44" t="n"/>
      <c r="C75" s="37" t="n"/>
      <c r="D75" s="36" t="n"/>
      <c r="E75" s="43" t="str">
        <f>IF($D75="","",IFERROR(INDEX(품목목록!$B$3:$B$302,MATCH($D75,품목목록!$A$3:$A$302,0)),"미등록품번"))</f>
        <v/>
      </c>
      <c r="F75" s="43" t="str">
        <f>IF($D75="","",IFERROR(INDEX(품목목록!$F$3:$F$302,MATCH($D75,품목목록!$A$3:$A$302,0)),""))</f>
        <v/>
      </c>
      <c r="G75" s="41" t="n"/>
      <c r="H75" s="45" t="str">
        <f>IF($D75="","",IFERROR(INDEX(품목목록!$E$3:$E$302,MATCH($D75,품목목록!$A$3:$A$302,0)),0))</f>
        <v/>
      </c>
      <c r="I75" s="45" t="str">
        <f>IF(OR($G75="",$H75=""),"",ROUND($G75*$H75,0))</f>
        <v/>
      </c>
      <c r="J75" s="37" t="n"/>
    </row>
    <row r="76" ht="15" customHeight="1" s="30">
      <c r="A76" s="43" t="str">
        <f>IF($D76="","",ROW()-2)</f>
        <v/>
      </c>
      <c r="B76" s="44" t="n"/>
      <c r="C76" s="37" t="n"/>
      <c r="D76" s="36" t="n"/>
      <c r="E76" s="43" t="str">
        <f>IF($D76="","",IFERROR(INDEX(품목목록!$B$3:$B$302,MATCH($D76,품목목록!$A$3:$A$302,0)),"미등록품번"))</f>
        <v/>
      </c>
      <c r="F76" s="43" t="str">
        <f>IF($D76="","",IFERROR(INDEX(품목목록!$F$3:$F$302,MATCH($D76,품목목록!$A$3:$A$302,0)),""))</f>
        <v/>
      </c>
      <c r="G76" s="41" t="n"/>
      <c r="H76" s="45" t="str">
        <f>IF($D76="","",IFERROR(INDEX(품목목록!$E$3:$E$302,MATCH($D76,품목목록!$A$3:$A$302,0)),0))</f>
        <v/>
      </c>
      <c r="I76" s="45" t="str">
        <f>IF(OR($G76="",$H76=""),"",ROUND($G76*$H76,0))</f>
        <v/>
      </c>
      <c r="J76" s="37" t="n"/>
    </row>
    <row r="77" ht="15" customHeight="1" s="30">
      <c r="A77" s="43" t="str">
        <f>IF($D77="","",ROW()-2)</f>
        <v/>
      </c>
      <c r="B77" s="44" t="n"/>
      <c r="C77" s="37" t="n"/>
      <c r="D77" s="36" t="n"/>
      <c r="E77" s="43" t="str">
        <f>IF($D77="","",IFERROR(INDEX(품목목록!$B$3:$B$302,MATCH($D77,품목목록!$A$3:$A$302,0)),"미등록품번"))</f>
        <v/>
      </c>
      <c r="F77" s="43" t="str">
        <f>IF($D77="","",IFERROR(INDEX(품목목록!$F$3:$F$302,MATCH($D77,품목목록!$A$3:$A$302,0)),""))</f>
        <v/>
      </c>
      <c r="G77" s="41" t="n"/>
      <c r="H77" s="45" t="str">
        <f>IF($D77="","",IFERROR(INDEX(품목목록!$E$3:$E$302,MATCH($D77,품목목록!$A$3:$A$302,0)),0))</f>
        <v/>
      </c>
      <c r="I77" s="45" t="str">
        <f>IF(OR($G77="",$H77=""),"",ROUND($G77*$H77,0))</f>
        <v/>
      </c>
      <c r="J77" s="37" t="n"/>
    </row>
    <row r="78" ht="15" customHeight="1" s="30">
      <c r="A78" s="43" t="str">
        <f>IF($D78="","",ROW()-2)</f>
        <v/>
      </c>
      <c r="B78" s="44" t="n"/>
      <c r="C78" s="37" t="n"/>
      <c r="D78" s="36" t="n"/>
      <c r="E78" s="43" t="str">
        <f>IF($D78="","",IFERROR(INDEX(품목목록!$B$3:$B$302,MATCH($D78,품목목록!$A$3:$A$302,0)),"미등록품번"))</f>
        <v/>
      </c>
      <c r="F78" s="43" t="str">
        <f>IF($D78="","",IFERROR(INDEX(품목목록!$F$3:$F$302,MATCH($D78,품목목록!$A$3:$A$302,0)),""))</f>
        <v/>
      </c>
      <c r="G78" s="41" t="n"/>
      <c r="H78" s="45" t="str">
        <f>IF($D78="","",IFERROR(INDEX(품목목록!$E$3:$E$302,MATCH($D78,품목목록!$A$3:$A$302,0)),0))</f>
        <v/>
      </c>
      <c r="I78" s="45" t="str">
        <f>IF(OR($G78="",$H78=""),"",ROUND($G78*$H78,0))</f>
        <v/>
      </c>
      <c r="J78" s="37" t="n"/>
    </row>
    <row r="79" ht="15" customHeight="1" s="30">
      <c r="A79" s="43" t="str">
        <f>IF($D79="","",ROW()-2)</f>
        <v/>
      </c>
      <c r="B79" s="44" t="n"/>
      <c r="C79" s="37" t="n"/>
      <c r="D79" s="36" t="n"/>
      <c r="E79" s="43" t="str">
        <f>IF($D79="","",IFERROR(INDEX(품목목록!$B$3:$B$302,MATCH($D79,품목목록!$A$3:$A$302,0)),"미등록품번"))</f>
        <v/>
      </c>
      <c r="F79" s="43" t="str">
        <f>IF($D79="","",IFERROR(INDEX(품목목록!$F$3:$F$302,MATCH($D79,품목목록!$A$3:$A$302,0)),""))</f>
        <v/>
      </c>
      <c r="G79" s="41" t="n"/>
      <c r="H79" s="45" t="str">
        <f>IF($D79="","",IFERROR(INDEX(품목목록!$E$3:$E$302,MATCH($D79,품목목록!$A$3:$A$302,0)),0))</f>
        <v/>
      </c>
      <c r="I79" s="45" t="str">
        <f>IF(OR($G79="",$H79=""),"",ROUND($G79*$H79,0))</f>
        <v/>
      </c>
      <c r="J79" s="37" t="n"/>
    </row>
    <row r="80" ht="15" customHeight="1" s="30">
      <c r="A80" s="43" t="str">
        <f>IF($D80="","",ROW()-2)</f>
        <v/>
      </c>
      <c r="B80" s="44" t="n"/>
      <c r="C80" s="37" t="n"/>
      <c r="D80" s="36" t="n"/>
      <c r="E80" s="43" t="str">
        <f>IF($D80="","",IFERROR(INDEX(품목목록!$B$3:$B$302,MATCH($D80,품목목록!$A$3:$A$302,0)),"미등록품번"))</f>
        <v/>
      </c>
      <c r="F80" s="43" t="str">
        <f>IF($D80="","",IFERROR(INDEX(품목목록!$F$3:$F$302,MATCH($D80,품목목록!$A$3:$A$302,0)),""))</f>
        <v/>
      </c>
      <c r="G80" s="41" t="n"/>
      <c r="H80" s="45" t="str">
        <f>IF($D80="","",IFERROR(INDEX(품목목록!$E$3:$E$302,MATCH($D80,품목목록!$A$3:$A$302,0)),0))</f>
        <v/>
      </c>
      <c r="I80" s="45" t="str">
        <f>IF(OR($G80="",$H80=""),"",ROUND($G80*$H80,0))</f>
        <v/>
      </c>
      <c r="J80" s="37" t="n"/>
    </row>
    <row r="81" ht="15" customHeight="1" s="30">
      <c r="A81" s="43" t="str">
        <f>IF($D81="","",ROW()-2)</f>
        <v/>
      </c>
      <c r="B81" s="44" t="n"/>
      <c r="C81" s="37" t="n"/>
      <c r="D81" s="36" t="n"/>
      <c r="E81" s="43" t="str">
        <f>IF($D81="","",IFERROR(INDEX(품목목록!$B$3:$B$302,MATCH($D81,품목목록!$A$3:$A$302,0)),"미등록품번"))</f>
        <v/>
      </c>
      <c r="F81" s="43" t="str">
        <f>IF($D81="","",IFERROR(INDEX(품목목록!$F$3:$F$302,MATCH($D81,품목목록!$A$3:$A$302,0)),""))</f>
        <v/>
      </c>
      <c r="G81" s="41" t="n"/>
      <c r="H81" s="45" t="str">
        <f>IF($D81="","",IFERROR(INDEX(품목목록!$E$3:$E$302,MATCH($D81,품목목록!$A$3:$A$302,0)),0))</f>
        <v/>
      </c>
      <c r="I81" s="45" t="str">
        <f>IF(OR($G81="",$H81=""),"",ROUND($G81*$H81,0))</f>
        <v/>
      </c>
      <c r="J81" s="37" t="n"/>
    </row>
    <row r="82" ht="15" customHeight="1" s="30">
      <c r="A82" s="43" t="str">
        <f>IF($D82="","",ROW()-2)</f>
        <v/>
      </c>
      <c r="B82" s="44" t="n"/>
      <c r="C82" s="37" t="n"/>
      <c r="D82" s="36" t="n"/>
      <c r="E82" s="43" t="str">
        <f>IF($D82="","",IFERROR(INDEX(품목목록!$B$3:$B$302,MATCH($D82,품목목록!$A$3:$A$302,0)),"미등록품번"))</f>
        <v/>
      </c>
      <c r="F82" s="43" t="str">
        <f>IF($D82="","",IFERROR(INDEX(품목목록!$F$3:$F$302,MATCH($D82,품목목록!$A$3:$A$302,0)),""))</f>
        <v/>
      </c>
      <c r="G82" s="41" t="n"/>
      <c r="H82" s="45" t="str">
        <f>IF($D82="","",IFERROR(INDEX(품목목록!$E$3:$E$302,MATCH($D82,품목목록!$A$3:$A$302,0)),0))</f>
        <v/>
      </c>
      <c r="I82" s="45" t="str">
        <f>IF(OR($G82="",$H82=""),"",ROUND($G82*$H82,0))</f>
        <v/>
      </c>
      <c r="J82" s="37" t="n"/>
    </row>
    <row r="83" ht="15" customHeight="1" s="30">
      <c r="A83" s="43" t="str">
        <f>IF($D83="","",ROW()-2)</f>
        <v/>
      </c>
      <c r="B83" s="44" t="n"/>
      <c r="C83" s="37" t="n"/>
      <c r="D83" s="36" t="n"/>
      <c r="E83" s="43" t="str">
        <f>IF($D83="","",IFERROR(INDEX(품목목록!$B$3:$B$302,MATCH($D83,품목목록!$A$3:$A$302,0)),"미등록품번"))</f>
        <v/>
      </c>
      <c r="F83" s="43" t="str">
        <f>IF($D83="","",IFERROR(INDEX(품목목록!$F$3:$F$302,MATCH($D83,품목목록!$A$3:$A$302,0)),""))</f>
        <v/>
      </c>
      <c r="G83" s="41" t="n"/>
      <c r="H83" s="45" t="str">
        <f>IF($D83="","",IFERROR(INDEX(품목목록!$E$3:$E$302,MATCH($D83,품목목록!$A$3:$A$302,0)),0))</f>
        <v/>
      </c>
      <c r="I83" s="45" t="str">
        <f>IF(OR($G83="",$H83=""),"",ROUND($G83*$H83,0))</f>
        <v/>
      </c>
      <c r="J83" s="37" t="n"/>
    </row>
    <row r="84" ht="15" customHeight="1" s="30">
      <c r="A84" s="43" t="str">
        <f>IF($D84="","",ROW()-2)</f>
        <v/>
      </c>
      <c r="B84" s="44" t="n"/>
      <c r="C84" s="37" t="n"/>
      <c r="D84" s="36" t="n"/>
      <c r="E84" s="43" t="str">
        <f>IF($D84="","",IFERROR(INDEX(품목목록!$B$3:$B$302,MATCH($D84,품목목록!$A$3:$A$302,0)),"미등록품번"))</f>
        <v/>
      </c>
      <c r="F84" s="43" t="str">
        <f>IF($D84="","",IFERROR(INDEX(품목목록!$F$3:$F$302,MATCH($D84,품목목록!$A$3:$A$302,0)),""))</f>
        <v/>
      </c>
      <c r="G84" s="41" t="n"/>
      <c r="H84" s="45" t="str">
        <f>IF($D84="","",IFERROR(INDEX(품목목록!$E$3:$E$302,MATCH($D84,품목목록!$A$3:$A$302,0)),0))</f>
        <v/>
      </c>
      <c r="I84" s="45" t="str">
        <f>IF(OR($G84="",$H84=""),"",ROUND($G84*$H84,0))</f>
        <v/>
      </c>
      <c r="J84" s="37" t="n"/>
    </row>
    <row r="85" ht="15" customHeight="1" s="30">
      <c r="A85" s="43" t="str">
        <f>IF($D85="","",ROW()-2)</f>
        <v/>
      </c>
      <c r="B85" s="44" t="n"/>
      <c r="C85" s="37" t="n"/>
      <c r="D85" s="36" t="n"/>
      <c r="E85" s="43" t="str">
        <f>IF($D85="","",IFERROR(INDEX(품목목록!$B$3:$B$302,MATCH($D85,품목목록!$A$3:$A$302,0)),"미등록품번"))</f>
        <v/>
      </c>
      <c r="F85" s="43" t="str">
        <f>IF($D85="","",IFERROR(INDEX(품목목록!$F$3:$F$302,MATCH($D85,품목목록!$A$3:$A$302,0)),""))</f>
        <v/>
      </c>
      <c r="G85" s="41" t="n"/>
      <c r="H85" s="45" t="str">
        <f>IF($D85="","",IFERROR(INDEX(품목목록!$E$3:$E$302,MATCH($D85,품목목록!$A$3:$A$302,0)),0))</f>
        <v/>
      </c>
      <c r="I85" s="45" t="str">
        <f>IF(OR($G85="",$H85=""),"",ROUND($G85*$H85,0))</f>
        <v/>
      </c>
      <c r="J85" s="37" t="n"/>
    </row>
    <row r="86" ht="15" customHeight="1" s="30">
      <c r="A86" s="43" t="str">
        <f>IF($D86="","",ROW()-2)</f>
        <v/>
      </c>
      <c r="B86" s="44" t="n"/>
      <c r="C86" s="37" t="n"/>
      <c r="D86" s="36" t="n"/>
      <c r="E86" s="43" t="str">
        <f>IF($D86="","",IFERROR(INDEX(품목목록!$B$3:$B$302,MATCH($D86,품목목록!$A$3:$A$302,0)),"미등록품번"))</f>
        <v/>
      </c>
      <c r="F86" s="43" t="str">
        <f>IF($D86="","",IFERROR(INDEX(품목목록!$F$3:$F$302,MATCH($D86,품목목록!$A$3:$A$302,0)),""))</f>
        <v/>
      </c>
      <c r="G86" s="41" t="n"/>
      <c r="H86" s="45" t="str">
        <f>IF($D86="","",IFERROR(INDEX(품목목록!$E$3:$E$302,MATCH($D86,품목목록!$A$3:$A$302,0)),0))</f>
        <v/>
      </c>
      <c r="I86" s="45" t="str">
        <f>IF(OR($G86="",$H86=""),"",ROUND($G86*$H86,0))</f>
        <v/>
      </c>
      <c r="J86" s="37" t="n"/>
    </row>
    <row r="87" ht="15" customHeight="1" s="30">
      <c r="A87" s="43" t="str">
        <f>IF($D87="","",ROW()-2)</f>
        <v/>
      </c>
      <c r="B87" s="44" t="n"/>
      <c r="C87" s="37" t="n"/>
      <c r="D87" s="36" t="n"/>
      <c r="E87" s="43" t="str">
        <f>IF($D87="","",IFERROR(INDEX(품목목록!$B$3:$B$302,MATCH($D87,품목목록!$A$3:$A$302,0)),"미등록품번"))</f>
        <v/>
      </c>
      <c r="F87" s="43" t="str">
        <f>IF($D87="","",IFERROR(INDEX(품목목록!$F$3:$F$302,MATCH($D87,품목목록!$A$3:$A$302,0)),""))</f>
        <v/>
      </c>
      <c r="G87" s="41" t="n"/>
      <c r="H87" s="45" t="str">
        <f>IF($D87="","",IFERROR(INDEX(품목목록!$E$3:$E$302,MATCH($D87,품목목록!$A$3:$A$302,0)),0))</f>
        <v/>
      </c>
      <c r="I87" s="45" t="str">
        <f>IF(OR($G87="",$H87=""),"",ROUND($G87*$H87,0))</f>
        <v/>
      </c>
      <c r="J87" s="37" t="n"/>
    </row>
    <row r="88" ht="15" customHeight="1" s="30">
      <c r="A88" s="43" t="str">
        <f>IF($D88="","",ROW()-2)</f>
        <v/>
      </c>
      <c r="B88" s="44" t="n"/>
      <c r="C88" s="37" t="n"/>
      <c r="D88" s="36" t="n"/>
      <c r="E88" s="43" t="str">
        <f>IF($D88="","",IFERROR(INDEX(품목목록!$B$3:$B$302,MATCH($D88,품목목록!$A$3:$A$302,0)),"미등록품번"))</f>
        <v/>
      </c>
      <c r="F88" s="43" t="str">
        <f>IF($D88="","",IFERROR(INDEX(품목목록!$F$3:$F$302,MATCH($D88,품목목록!$A$3:$A$302,0)),""))</f>
        <v/>
      </c>
      <c r="G88" s="41" t="n"/>
      <c r="H88" s="45" t="str">
        <f>IF($D88="","",IFERROR(INDEX(품목목록!$E$3:$E$302,MATCH($D88,품목목록!$A$3:$A$302,0)),0))</f>
        <v/>
      </c>
      <c r="I88" s="45" t="str">
        <f>IF(OR($G88="",$H88=""),"",ROUND($G88*$H88,0))</f>
        <v/>
      </c>
      <c r="J88" s="37" t="n"/>
    </row>
    <row r="89" ht="15" customHeight="1" s="30">
      <c r="A89" s="43" t="str">
        <f>IF($D89="","",ROW()-2)</f>
        <v/>
      </c>
      <c r="B89" s="44" t="n"/>
      <c r="C89" s="37" t="n"/>
      <c r="D89" s="36" t="n"/>
      <c r="E89" s="43" t="str">
        <f>IF($D89="","",IFERROR(INDEX(품목목록!$B$3:$B$302,MATCH($D89,품목목록!$A$3:$A$302,0)),"미등록품번"))</f>
        <v/>
      </c>
      <c r="F89" s="43" t="str">
        <f>IF($D89="","",IFERROR(INDEX(품목목록!$F$3:$F$302,MATCH($D89,품목목록!$A$3:$A$302,0)),""))</f>
        <v/>
      </c>
      <c r="G89" s="41" t="n"/>
      <c r="H89" s="45" t="str">
        <f>IF($D89="","",IFERROR(INDEX(품목목록!$E$3:$E$302,MATCH($D89,품목목록!$A$3:$A$302,0)),0))</f>
        <v/>
      </c>
      <c r="I89" s="45" t="str">
        <f>IF(OR($G89="",$H89=""),"",ROUND($G89*$H89,0))</f>
        <v/>
      </c>
      <c r="J89" s="37" t="n"/>
    </row>
    <row r="90" ht="15" customHeight="1" s="30">
      <c r="A90" s="43" t="str">
        <f>IF($D90="","",ROW()-2)</f>
        <v/>
      </c>
      <c r="B90" s="44" t="n"/>
      <c r="C90" s="37" t="n"/>
      <c r="D90" s="36" t="n"/>
      <c r="E90" s="43" t="str">
        <f>IF($D90="","",IFERROR(INDEX(품목목록!$B$3:$B$302,MATCH($D90,품목목록!$A$3:$A$302,0)),"미등록품번"))</f>
        <v/>
      </c>
      <c r="F90" s="43" t="str">
        <f>IF($D90="","",IFERROR(INDEX(품목목록!$F$3:$F$302,MATCH($D90,품목목록!$A$3:$A$302,0)),""))</f>
        <v/>
      </c>
      <c r="G90" s="41" t="n"/>
      <c r="H90" s="45" t="str">
        <f>IF($D90="","",IFERROR(INDEX(품목목록!$E$3:$E$302,MATCH($D90,품목목록!$A$3:$A$302,0)),0))</f>
        <v/>
      </c>
      <c r="I90" s="45" t="str">
        <f>IF(OR($G90="",$H90=""),"",ROUND($G90*$H90,0))</f>
        <v/>
      </c>
      <c r="J90" s="37" t="n"/>
    </row>
    <row r="91" ht="15" customHeight="1" s="30">
      <c r="A91" s="43" t="str">
        <f>IF($D91="","",ROW()-2)</f>
        <v/>
      </c>
      <c r="B91" s="44" t="n"/>
      <c r="C91" s="37" t="n"/>
      <c r="D91" s="36" t="n"/>
      <c r="E91" s="43" t="str">
        <f>IF($D91="","",IFERROR(INDEX(품목목록!$B$3:$B$302,MATCH($D91,품목목록!$A$3:$A$302,0)),"미등록품번"))</f>
        <v/>
      </c>
      <c r="F91" s="43" t="str">
        <f>IF($D91="","",IFERROR(INDEX(품목목록!$F$3:$F$302,MATCH($D91,품목목록!$A$3:$A$302,0)),""))</f>
        <v/>
      </c>
      <c r="G91" s="41" t="n"/>
      <c r="H91" s="45" t="str">
        <f>IF($D91="","",IFERROR(INDEX(품목목록!$E$3:$E$302,MATCH($D91,품목목록!$A$3:$A$302,0)),0))</f>
        <v/>
      </c>
      <c r="I91" s="45" t="str">
        <f>IF(OR($G91="",$H91=""),"",ROUND($G91*$H91,0))</f>
        <v/>
      </c>
      <c r="J91" s="37" t="n"/>
    </row>
    <row r="92" ht="15" customHeight="1" s="30">
      <c r="A92" s="43" t="str">
        <f>IF($D92="","",ROW()-2)</f>
        <v/>
      </c>
      <c r="B92" s="44" t="n"/>
      <c r="C92" s="37" t="n"/>
      <c r="D92" s="36" t="n"/>
      <c r="E92" s="43" t="str">
        <f>IF($D92="","",IFERROR(INDEX(품목목록!$B$3:$B$302,MATCH($D92,품목목록!$A$3:$A$302,0)),"미등록품번"))</f>
        <v/>
      </c>
      <c r="F92" s="43" t="str">
        <f>IF($D92="","",IFERROR(INDEX(품목목록!$F$3:$F$302,MATCH($D92,품목목록!$A$3:$A$302,0)),""))</f>
        <v/>
      </c>
      <c r="G92" s="41" t="n"/>
      <c r="H92" s="45" t="str">
        <f>IF($D92="","",IFERROR(INDEX(품목목록!$E$3:$E$302,MATCH($D92,품목목록!$A$3:$A$302,0)),0))</f>
        <v/>
      </c>
      <c r="I92" s="45" t="str">
        <f>IF(OR($G92="",$H92=""),"",ROUND($G92*$H92,0))</f>
        <v/>
      </c>
      <c r="J92" s="37" t="n"/>
    </row>
    <row r="93" ht="15" customHeight="1" s="30">
      <c r="A93" s="43" t="str">
        <f>IF($D93="","",ROW()-2)</f>
        <v/>
      </c>
      <c r="B93" s="44" t="n"/>
      <c r="C93" s="37" t="n"/>
      <c r="D93" s="36" t="n"/>
      <c r="E93" s="43" t="str">
        <f>IF($D93="","",IFERROR(INDEX(품목목록!$B$3:$B$302,MATCH($D93,품목목록!$A$3:$A$302,0)),"미등록품번"))</f>
        <v/>
      </c>
      <c r="F93" s="43" t="str">
        <f>IF($D93="","",IFERROR(INDEX(품목목록!$F$3:$F$302,MATCH($D93,품목목록!$A$3:$A$302,0)),""))</f>
        <v/>
      </c>
      <c r="G93" s="41" t="n"/>
      <c r="H93" s="45" t="str">
        <f>IF($D93="","",IFERROR(INDEX(품목목록!$E$3:$E$302,MATCH($D93,품목목록!$A$3:$A$302,0)),0))</f>
        <v/>
      </c>
      <c r="I93" s="45" t="str">
        <f>IF(OR($G93="",$H93=""),"",ROUND($G93*$H93,0))</f>
        <v/>
      </c>
      <c r="J93" s="37" t="n"/>
    </row>
    <row r="94" ht="15" customHeight="1" s="30">
      <c r="A94" s="43" t="str">
        <f>IF($D94="","",ROW()-2)</f>
        <v/>
      </c>
      <c r="B94" s="44" t="n"/>
      <c r="C94" s="37" t="n"/>
      <c r="D94" s="36" t="n"/>
      <c r="E94" s="43" t="str">
        <f>IF($D94="","",IFERROR(INDEX(품목목록!$B$3:$B$302,MATCH($D94,품목목록!$A$3:$A$302,0)),"미등록품번"))</f>
        <v/>
      </c>
      <c r="F94" s="43" t="str">
        <f>IF($D94="","",IFERROR(INDEX(품목목록!$F$3:$F$302,MATCH($D94,품목목록!$A$3:$A$302,0)),""))</f>
        <v/>
      </c>
      <c r="G94" s="41" t="n"/>
      <c r="H94" s="45" t="str">
        <f>IF($D94="","",IFERROR(INDEX(품목목록!$E$3:$E$302,MATCH($D94,품목목록!$A$3:$A$302,0)),0))</f>
        <v/>
      </c>
      <c r="I94" s="45" t="str">
        <f>IF(OR($G94="",$H94=""),"",ROUND($G94*$H94,0))</f>
        <v/>
      </c>
      <c r="J94" s="37" t="n"/>
    </row>
    <row r="95" ht="15" customHeight="1" s="30">
      <c r="A95" s="43" t="str">
        <f>IF($D95="","",ROW()-2)</f>
        <v/>
      </c>
      <c r="B95" s="44" t="n"/>
      <c r="C95" s="37" t="n"/>
      <c r="D95" s="36" t="n"/>
      <c r="E95" s="43" t="str">
        <f>IF($D95="","",IFERROR(INDEX(품목목록!$B$3:$B$302,MATCH($D95,품목목록!$A$3:$A$302,0)),"미등록품번"))</f>
        <v/>
      </c>
      <c r="F95" s="43" t="str">
        <f>IF($D95="","",IFERROR(INDEX(품목목록!$F$3:$F$302,MATCH($D95,품목목록!$A$3:$A$302,0)),""))</f>
        <v/>
      </c>
      <c r="G95" s="41" t="n"/>
      <c r="H95" s="45" t="str">
        <f>IF($D95="","",IFERROR(INDEX(품목목록!$E$3:$E$302,MATCH($D95,품목목록!$A$3:$A$302,0)),0))</f>
        <v/>
      </c>
      <c r="I95" s="45" t="str">
        <f>IF(OR($G95="",$H95=""),"",ROUND($G95*$H95,0))</f>
        <v/>
      </c>
      <c r="J95" s="37" t="n"/>
    </row>
    <row r="96" ht="15" customHeight="1" s="30">
      <c r="A96" s="43" t="str">
        <f>IF($D96="","",ROW()-2)</f>
        <v/>
      </c>
      <c r="B96" s="44" t="n"/>
      <c r="C96" s="37" t="n"/>
      <c r="D96" s="36" t="n"/>
      <c r="E96" s="43" t="str">
        <f>IF($D96="","",IFERROR(INDEX(품목목록!$B$3:$B$302,MATCH($D96,품목목록!$A$3:$A$302,0)),"미등록품번"))</f>
        <v/>
      </c>
      <c r="F96" s="43" t="str">
        <f>IF($D96="","",IFERROR(INDEX(품목목록!$F$3:$F$302,MATCH($D96,품목목록!$A$3:$A$302,0)),""))</f>
        <v/>
      </c>
      <c r="G96" s="41" t="n"/>
      <c r="H96" s="45" t="str">
        <f>IF($D96="","",IFERROR(INDEX(품목목록!$E$3:$E$302,MATCH($D96,품목목록!$A$3:$A$302,0)),0))</f>
        <v/>
      </c>
      <c r="I96" s="45" t="str">
        <f>IF(OR($G96="",$H96=""),"",ROUND($G96*$H96,0))</f>
        <v/>
      </c>
      <c r="J96" s="37" t="n"/>
    </row>
    <row r="97" ht="15" customHeight="1" s="30">
      <c r="A97" s="43" t="str">
        <f>IF($D97="","",ROW()-2)</f>
        <v/>
      </c>
      <c r="B97" s="44" t="n"/>
      <c r="C97" s="37" t="n"/>
      <c r="D97" s="36" t="n"/>
      <c r="E97" s="43" t="str">
        <f>IF($D97="","",IFERROR(INDEX(품목목록!$B$3:$B$302,MATCH($D97,품목목록!$A$3:$A$302,0)),"미등록품번"))</f>
        <v/>
      </c>
      <c r="F97" s="43" t="str">
        <f>IF($D97="","",IFERROR(INDEX(품목목록!$F$3:$F$302,MATCH($D97,품목목록!$A$3:$A$302,0)),""))</f>
        <v/>
      </c>
      <c r="G97" s="41" t="n"/>
      <c r="H97" s="45" t="str">
        <f>IF($D97="","",IFERROR(INDEX(품목목록!$E$3:$E$302,MATCH($D97,품목목록!$A$3:$A$302,0)),0))</f>
        <v/>
      </c>
      <c r="I97" s="45" t="str">
        <f>IF(OR($G97="",$H97=""),"",ROUND($G97*$H97,0))</f>
        <v/>
      </c>
      <c r="J97" s="37" t="n"/>
    </row>
    <row r="98" ht="15" customHeight="1" s="30">
      <c r="A98" s="43" t="str">
        <f>IF($D98="","",ROW()-2)</f>
        <v/>
      </c>
      <c r="B98" s="44" t="n"/>
      <c r="C98" s="37" t="n"/>
      <c r="D98" s="36" t="n"/>
      <c r="E98" s="43" t="str">
        <f>IF($D98="","",IFERROR(INDEX(품목목록!$B$3:$B$302,MATCH($D98,품목목록!$A$3:$A$302,0)),"미등록품번"))</f>
        <v/>
      </c>
      <c r="F98" s="43" t="str">
        <f>IF($D98="","",IFERROR(INDEX(품목목록!$F$3:$F$302,MATCH($D98,품목목록!$A$3:$A$302,0)),""))</f>
        <v/>
      </c>
      <c r="G98" s="41" t="n"/>
      <c r="H98" s="45" t="str">
        <f>IF($D98="","",IFERROR(INDEX(품목목록!$E$3:$E$302,MATCH($D98,품목목록!$A$3:$A$302,0)),0))</f>
        <v/>
      </c>
      <c r="I98" s="45" t="str">
        <f>IF(OR($G98="",$H98=""),"",ROUND($G98*$H98,0))</f>
        <v/>
      </c>
      <c r="J98" s="37" t="n"/>
    </row>
    <row r="99" ht="15" customHeight="1" s="30">
      <c r="A99" s="43" t="str">
        <f>IF($D99="","",ROW()-2)</f>
        <v/>
      </c>
      <c r="B99" s="44" t="n"/>
      <c r="C99" s="37" t="n"/>
      <c r="D99" s="36" t="n"/>
      <c r="E99" s="43" t="str">
        <f>IF($D99="","",IFERROR(INDEX(품목목록!$B$3:$B$302,MATCH($D99,품목목록!$A$3:$A$302,0)),"미등록품번"))</f>
        <v/>
      </c>
      <c r="F99" s="43" t="str">
        <f>IF($D99="","",IFERROR(INDEX(품목목록!$F$3:$F$302,MATCH($D99,품목목록!$A$3:$A$302,0)),""))</f>
        <v/>
      </c>
      <c r="G99" s="41" t="n"/>
      <c r="H99" s="45" t="str">
        <f>IF($D99="","",IFERROR(INDEX(품목목록!$E$3:$E$302,MATCH($D99,품목목록!$A$3:$A$302,0)),0))</f>
        <v/>
      </c>
      <c r="I99" s="45" t="str">
        <f>IF(OR($G99="",$H99=""),"",ROUND($G99*$H99,0))</f>
        <v/>
      </c>
      <c r="J99" s="37" t="n"/>
    </row>
    <row r="100" ht="15" customHeight="1" s="30">
      <c r="A100" s="43" t="str">
        <f>IF($D100="","",ROW()-2)</f>
        <v/>
      </c>
      <c r="B100" s="44" t="n"/>
      <c r="C100" s="37" t="n"/>
      <c r="D100" s="36" t="n"/>
      <c r="E100" s="43" t="str">
        <f>IF($D100="","",IFERROR(INDEX(품목목록!$B$3:$B$302,MATCH($D100,품목목록!$A$3:$A$302,0)),"미등록품번"))</f>
        <v/>
      </c>
      <c r="F100" s="43" t="str">
        <f>IF($D100="","",IFERROR(INDEX(품목목록!$F$3:$F$302,MATCH($D100,품목목록!$A$3:$A$302,0)),""))</f>
        <v/>
      </c>
      <c r="G100" s="41" t="n"/>
      <c r="H100" s="45" t="str">
        <f>IF($D100="","",IFERROR(INDEX(품목목록!$E$3:$E$302,MATCH($D100,품목목록!$A$3:$A$302,0)),0))</f>
        <v/>
      </c>
      <c r="I100" s="45" t="str">
        <f>IF(OR($G100="",$H100=""),"",ROUND($G100*$H100,0))</f>
        <v/>
      </c>
      <c r="J100" s="37" t="n"/>
    </row>
    <row r="101" ht="15" customHeight="1" s="30">
      <c r="A101" s="43" t="str">
        <f>IF($D101="","",ROW()-2)</f>
        <v/>
      </c>
      <c r="B101" s="44" t="n"/>
      <c r="C101" s="37" t="n"/>
      <c r="D101" s="36" t="n"/>
      <c r="E101" s="43" t="str">
        <f>IF($D101="","",IFERROR(INDEX(품목목록!$B$3:$B$302,MATCH($D101,품목목록!$A$3:$A$302,0)),"미등록품번"))</f>
        <v/>
      </c>
      <c r="F101" s="43" t="str">
        <f>IF($D101="","",IFERROR(INDEX(품목목록!$F$3:$F$302,MATCH($D101,품목목록!$A$3:$A$302,0)),""))</f>
        <v/>
      </c>
      <c r="G101" s="41" t="n"/>
      <c r="H101" s="45" t="str">
        <f>IF($D101="","",IFERROR(INDEX(품목목록!$E$3:$E$302,MATCH($D101,품목목록!$A$3:$A$302,0)),0))</f>
        <v/>
      </c>
      <c r="I101" s="45" t="str">
        <f>IF(OR($G101="",$H101=""),"",ROUND($G101*$H101,0))</f>
        <v/>
      </c>
      <c r="J101" s="37" t="n"/>
    </row>
    <row r="102" ht="15" customHeight="1" s="30">
      <c r="A102" s="43" t="str">
        <f>IF($D102="","",ROW()-2)</f>
        <v/>
      </c>
      <c r="B102" s="44" t="n"/>
      <c r="C102" s="37" t="n"/>
      <c r="D102" s="36" t="n"/>
      <c r="E102" s="43" t="str">
        <f>IF($D102="","",IFERROR(INDEX(품목목록!$B$3:$B$302,MATCH($D102,품목목록!$A$3:$A$302,0)),"미등록품번"))</f>
        <v/>
      </c>
      <c r="F102" s="43" t="str">
        <f>IF($D102="","",IFERROR(INDEX(품목목록!$F$3:$F$302,MATCH($D102,품목목록!$A$3:$A$302,0)),""))</f>
        <v/>
      </c>
      <c r="G102" s="41" t="n"/>
      <c r="H102" s="45" t="str">
        <f>IF($D102="","",IFERROR(INDEX(품목목록!$E$3:$E$302,MATCH($D102,품목목록!$A$3:$A$302,0)),0))</f>
        <v/>
      </c>
      <c r="I102" s="45" t="str">
        <f>IF(OR($G102="",$H102=""),"",ROUND($G102*$H102,0))</f>
        <v/>
      </c>
      <c r="J102" s="37" t="n"/>
    </row>
    <row r="103" ht="15" customHeight="1" s="30">
      <c r="A103" s="43" t="str">
        <f>IF($D103="","",ROW()-2)</f>
        <v/>
      </c>
      <c r="B103" s="44" t="n"/>
      <c r="C103" s="37" t="n"/>
      <c r="D103" s="36" t="n"/>
      <c r="E103" s="43" t="str">
        <f>IF($D103="","",IFERROR(INDEX(품목목록!$B$3:$B$302,MATCH($D103,품목목록!$A$3:$A$302,0)),"미등록품번"))</f>
        <v/>
      </c>
      <c r="F103" s="43" t="str">
        <f>IF($D103="","",IFERROR(INDEX(품목목록!$F$3:$F$302,MATCH($D103,품목목록!$A$3:$A$302,0)),""))</f>
        <v/>
      </c>
      <c r="G103" s="41" t="n"/>
      <c r="H103" s="45" t="str">
        <f>IF($D103="","",IFERROR(INDEX(품목목록!$E$3:$E$302,MATCH($D103,품목목록!$A$3:$A$302,0)),0))</f>
        <v/>
      </c>
      <c r="I103" s="45" t="str">
        <f>IF(OR($G103="",$H103=""),"",ROUND($G103*$H103,0))</f>
        <v/>
      </c>
      <c r="J103" s="37" t="n"/>
    </row>
    <row r="104" ht="15" customHeight="1" s="30">
      <c r="A104" s="43" t="str">
        <f>IF($D104="","",ROW()-2)</f>
        <v/>
      </c>
      <c r="B104" s="44" t="n"/>
      <c r="C104" s="37" t="n"/>
      <c r="D104" s="36" t="n"/>
      <c r="E104" s="43" t="str">
        <f>IF($D104="","",IFERROR(INDEX(품목목록!$B$3:$B$302,MATCH($D104,품목목록!$A$3:$A$302,0)),"미등록품번"))</f>
        <v/>
      </c>
      <c r="F104" s="43" t="str">
        <f>IF($D104="","",IFERROR(INDEX(품목목록!$F$3:$F$302,MATCH($D104,품목목록!$A$3:$A$302,0)),""))</f>
        <v/>
      </c>
      <c r="G104" s="41" t="n"/>
      <c r="H104" s="45" t="str">
        <f>IF($D104="","",IFERROR(INDEX(품목목록!$E$3:$E$302,MATCH($D104,품목목록!$A$3:$A$302,0)),0))</f>
        <v/>
      </c>
      <c r="I104" s="45" t="str">
        <f>IF(OR($G104="",$H104=""),"",ROUND($G104*$H104,0))</f>
        <v/>
      </c>
      <c r="J104" s="37" t="n"/>
    </row>
    <row r="105" ht="15" customHeight="1" s="30">
      <c r="A105" s="43" t="str">
        <f>IF($D105="","",ROW()-2)</f>
        <v/>
      </c>
      <c r="B105" s="44" t="n"/>
      <c r="C105" s="37" t="n"/>
      <c r="D105" s="36" t="n"/>
      <c r="E105" s="43" t="str">
        <f>IF($D105="","",IFERROR(INDEX(품목목록!$B$3:$B$302,MATCH($D105,품목목록!$A$3:$A$302,0)),"미등록품번"))</f>
        <v/>
      </c>
      <c r="F105" s="43" t="str">
        <f>IF($D105="","",IFERROR(INDEX(품목목록!$F$3:$F$302,MATCH($D105,품목목록!$A$3:$A$302,0)),""))</f>
        <v/>
      </c>
      <c r="G105" s="41" t="n"/>
      <c r="H105" s="45" t="str">
        <f>IF($D105="","",IFERROR(INDEX(품목목록!$E$3:$E$302,MATCH($D105,품목목록!$A$3:$A$302,0)),0))</f>
        <v/>
      </c>
      <c r="I105" s="45" t="str">
        <f>IF(OR($G105="",$H105=""),"",ROUND($G105*$H105,0))</f>
        <v/>
      </c>
      <c r="J105" s="37" t="n"/>
    </row>
    <row r="106" ht="15" customHeight="1" s="30">
      <c r="A106" s="43" t="str">
        <f>IF($D106="","",ROW()-2)</f>
        <v/>
      </c>
      <c r="B106" s="44" t="n"/>
      <c r="C106" s="37" t="n"/>
      <c r="D106" s="36" t="n"/>
      <c r="E106" s="43" t="str">
        <f>IF($D106="","",IFERROR(INDEX(품목목록!$B$3:$B$302,MATCH($D106,품목목록!$A$3:$A$302,0)),"미등록품번"))</f>
        <v/>
      </c>
      <c r="F106" s="43" t="str">
        <f>IF($D106="","",IFERROR(INDEX(품목목록!$F$3:$F$302,MATCH($D106,품목목록!$A$3:$A$302,0)),""))</f>
        <v/>
      </c>
      <c r="G106" s="41" t="n"/>
      <c r="H106" s="45" t="str">
        <f>IF($D106="","",IFERROR(INDEX(품목목록!$E$3:$E$302,MATCH($D106,품목목록!$A$3:$A$302,0)),0))</f>
        <v/>
      </c>
      <c r="I106" s="45" t="str">
        <f>IF(OR($G106="",$H106=""),"",ROUND($G106*$H106,0))</f>
        <v/>
      </c>
      <c r="J106" s="37" t="n"/>
    </row>
    <row r="107" ht="15" customHeight="1" s="30">
      <c r="A107" s="43" t="str">
        <f>IF($D107="","",ROW()-2)</f>
        <v/>
      </c>
      <c r="B107" s="44" t="n"/>
      <c r="C107" s="37" t="n"/>
      <c r="D107" s="36" t="n"/>
      <c r="E107" s="43" t="str">
        <f>IF($D107="","",IFERROR(INDEX(품목목록!$B$3:$B$302,MATCH($D107,품목목록!$A$3:$A$302,0)),"미등록품번"))</f>
        <v/>
      </c>
      <c r="F107" s="43" t="str">
        <f>IF($D107="","",IFERROR(INDEX(품목목록!$F$3:$F$302,MATCH($D107,품목목록!$A$3:$A$302,0)),""))</f>
        <v/>
      </c>
      <c r="G107" s="41" t="n"/>
      <c r="H107" s="45" t="str">
        <f>IF($D107="","",IFERROR(INDEX(품목목록!$E$3:$E$302,MATCH($D107,품목목록!$A$3:$A$302,0)),0))</f>
        <v/>
      </c>
      <c r="I107" s="45" t="str">
        <f>IF(OR($G107="",$H107=""),"",ROUND($G107*$H107,0))</f>
        <v/>
      </c>
      <c r="J107" s="37" t="n"/>
    </row>
    <row r="108" ht="15" customHeight="1" s="30">
      <c r="A108" s="43" t="str">
        <f>IF($D108="","",ROW()-2)</f>
        <v/>
      </c>
      <c r="B108" s="44" t="n"/>
      <c r="C108" s="37" t="n"/>
      <c r="D108" s="36" t="n"/>
      <c r="E108" s="43" t="str">
        <f>IF($D108="","",IFERROR(INDEX(품목목록!$B$3:$B$302,MATCH($D108,품목목록!$A$3:$A$302,0)),"미등록품번"))</f>
        <v/>
      </c>
      <c r="F108" s="43" t="str">
        <f>IF($D108="","",IFERROR(INDEX(품목목록!$F$3:$F$302,MATCH($D108,품목목록!$A$3:$A$302,0)),""))</f>
        <v/>
      </c>
      <c r="G108" s="41" t="n"/>
      <c r="H108" s="45" t="str">
        <f>IF($D108="","",IFERROR(INDEX(품목목록!$E$3:$E$302,MATCH($D108,품목목록!$A$3:$A$302,0)),0))</f>
        <v/>
      </c>
      <c r="I108" s="45" t="str">
        <f>IF(OR($G108="",$H108=""),"",ROUND($G108*$H108,0))</f>
        <v/>
      </c>
      <c r="J108" s="37" t="n"/>
    </row>
    <row r="109" ht="15" customHeight="1" s="30">
      <c r="A109" s="43" t="str">
        <f>IF($D109="","",ROW()-2)</f>
        <v/>
      </c>
      <c r="B109" s="44" t="n"/>
      <c r="C109" s="37" t="n"/>
      <c r="D109" s="36" t="n"/>
      <c r="E109" s="43" t="str">
        <f>IF($D109="","",IFERROR(INDEX(품목목록!$B$3:$B$302,MATCH($D109,품목목록!$A$3:$A$302,0)),"미등록품번"))</f>
        <v/>
      </c>
      <c r="F109" s="43" t="str">
        <f>IF($D109="","",IFERROR(INDEX(품목목록!$F$3:$F$302,MATCH($D109,품목목록!$A$3:$A$302,0)),""))</f>
        <v/>
      </c>
      <c r="G109" s="41" t="n"/>
      <c r="H109" s="45" t="str">
        <f>IF($D109="","",IFERROR(INDEX(품목목록!$E$3:$E$302,MATCH($D109,품목목록!$A$3:$A$302,0)),0))</f>
        <v/>
      </c>
      <c r="I109" s="45" t="str">
        <f>IF(OR($G109="",$H109=""),"",ROUND($G109*$H109,0))</f>
        <v/>
      </c>
      <c r="J109" s="37" t="n"/>
    </row>
    <row r="110" ht="15" customHeight="1" s="30">
      <c r="A110" s="43" t="str">
        <f>IF($D110="","",ROW()-2)</f>
        <v/>
      </c>
      <c r="B110" s="44" t="n"/>
      <c r="C110" s="37" t="n"/>
      <c r="D110" s="36" t="n"/>
      <c r="E110" s="43" t="str">
        <f>IF($D110="","",IFERROR(INDEX(품목목록!$B$3:$B$302,MATCH($D110,품목목록!$A$3:$A$302,0)),"미등록품번"))</f>
        <v/>
      </c>
      <c r="F110" s="43" t="str">
        <f>IF($D110="","",IFERROR(INDEX(품목목록!$F$3:$F$302,MATCH($D110,품목목록!$A$3:$A$302,0)),""))</f>
        <v/>
      </c>
      <c r="G110" s="41" t="n"/>
      <c r="H110" s="45" t="str">
        <f>IF($D110="","",IFERROR(INDEX(품목목록!$E$3:$E$302,MATCH($D110,품목목록!$A$3:$A$302,0)),0))</f>
        <v/>
      </c>
      <c r="I110" s="45" t="str">
        <f>IF(OR($G110="",$H110=""),"",ROUND($G110*$H110,0))</f>
        <v/>
      </c>
      <c r="J110" s="37" t="n"/>
    </row>
    <row r="111" ht="15" customHeight="1" s="30">
      <c r="A111" s="43" t="str">
        <f>IF($D111="","",ROW()-2)</f>
        <v/>
      </c>
      <c r="B111" s="44" t="n"/>
      <c r="C111" s="37" t="n"/>
      <c r="D111" s="36" t="n"/>
      <c r="E111" s="43" t="str">
        <f>IF($D111="","",IFERROR(INDEX(품목목록!$B$3:$B$302,MATCH($D111,품목목록!$A$3:$A$302,0)),"미등록품번"))</f>
        <v/>
      </c>
      <c r="F111" s="43" t="str">
        <f>IF($D111="","",IFERROR(INDEX(품목목록!$F$3:$F$302,MATCH($D111,품목목록!$A$3:$A$302,0)),""))</f>
        <v/>
      </c>
      <c r="G111" s="41" t="n"/>
      <c r="H111" s="45" t="str">
        <f>IF($D111="","",IFERROR(INDEX(품목목록!$E$3:$E$302,MATCH($D111,품목목록!$A$3:$A$302,0)),0))</f>
        <v/>
      </c>
      <c r="I111" s="45" t="str">
        <f>IF(OR($G111="",$H111=""),"",ROUND($G111*$H111,0))</f>
        <v/>
      </c>
      <c r="J111" s="37" t="n"/>
    </row>
    <row r="112" ht="15" customHeight="1" s="30">
      <c r="A112" s="43" t="str">
        <f>IF($D112="","",ROW()-2)</f>
        <v/>
      </c>
      <c r="B112" s="44" t="n"/>
      <c r="C112" s="37" t="n"/>
      <c r="D112" s="36" t="n"/>
      <c r="E112" s="43" t="str">
        <f>IF($D112="","",IFERROR(INDEX(품목목록!$B$3:$B$302,MATCH($D112,품목목록!$A$3:$A$302,0)),"미등록품번"))</f>
        <v/>
      </c>
      <c r="F112" s="43" t="str">
        <f>IF($D112="","",IFERROR(INDEX(품목목록!$F$3:$F$302,MATCH($D112,품목목록!$A$3:$A$302,0)),""))</f>
        <v/>
      </c>
      <c r="G112" s="41" t="n"/>
      <c r="H112" s="45" t="str">
        <f>IF($D112="","",IFERROR(INDEX(품목목록!$E$3:$E$302,MATCH($D112,품목목록!$A$3:$A$302,0)),0))</f>
        <v/>
      </c>
      <c r="I112" s="45" t="str">
        <f>IF(OR($G112="",$H112=""),"",ROUND($G112*$H112,0))</f>
        <v/>
      </c>
      <c r="J112" s="37" t="n"/>
    </row>
    <row r="113" ht="15" customHeight="1" s="30">
      <c r="A113" s="43" t="str">
        <f>IF($D113="","",ROW()-2)</f>
        <v/>
      </c>
      <c r="B113" s="44" t="n"/>
      <c r="C113" s="37" t="n"/>
      <c r="D113" s="36" t="n"/>
      <c r="E113" s="43" t="str">
        <f>IF($D113="","",IFERROR(INDEX(품목목록!$B$3:$B$302,MATCH($D113,품목목록!$A$3:$A$302,0)),"미등록품번"))</f>
        <v/>
      </c>
      <c r="F113" s="43" t="str">
        <f>IF($D113="","",IFERROR(INDEX(품목목록!$F$3:$F$302,MATCH($D113,품목목록!$A$3:$A$302,0)),""))</f>
        <v/>
      </c>
      <c r="G113" s="41" t="n"/>
      <c r="H113" s="45" t="str">
        <f>IF($D113="","",IFERROR(INDEX(품목목록!$E$3:$E$302,MATCH($D113,품목목록!$A$3:$A$302,0)),0))</f>
        <v/>
      </c>
      <c r="I113" s="45" t="str">
        <f>IF(OR($G113="",$H113=""),"",ROUND($G113*$H113,0))</f>
        <v/>
      </c>
      <c r="J113" s="37" t="n"/>
    </row>
    <row r="114" ht="15" customHeight="1" s="30">
      <c r="A114" s="43" t="str">
        <f>IF($D114="","",ROW()-2)</f>
        <v/>
      </c>
      <c r="B114" s="44" t="n"/>
      <c r="C114" s="37" t="n"/>
      <c r="D114" s="36" t="n"/>
      <c r="E114" s="43" t="str">
        <f>IF($D114="","",IFERROR(INDEX(품목목록!$B$3:$B$302,MATCH($D114,품목목록!$A$3:$A$302,0)),"미등록품번"))</f>
        <v/>
      </c>
      <c r="F114" s="43" t="str">
        <f>IF($D114="","",IFERROR(INDEX(품목목록!$F$3:$F$302,MATCH($D114,품목목록!$A$3:$A$302,0)),""))</f>
        <v/>
      </c>
      <c r="G114" s="41" t="n"/>
      <c r="H114" s="45" t="str">
        <f>IF($D114="","",IFERROR(INDEX(품목목록!$E$3:$E$302,MATCH($D114,품목목록!$A$3:$A$302,0)),0))</f>
        <v/>
      </c>
      <c r="I114" s="45" t="str">
        <f>IF(OR($G114="",$H114=""),"",ROUND($G114*$H114,0))</f>
        <v/>
      </c>
      <c r="J114" s="37" t="n"/>
    </row>
    <row r="115" ht="15" customHeight="1" s="30">
      <c r="A115" s="43" t="str">
        <f>IF($D115="","",ROW()-2)</f>
        <v/>
      </c>
      <c r="B115" s="44" t="n"/>
      <c r="C115" s="37" t="n"/>
      <c r="D115" s="36" t="n"/>
      <c r="E115" s="43" t="str">
        <f>IF($D115="","",IFERROR(INDEX(품목목록!$B$3:$B$302,MATCH($D115,품목목록!$A$3:$A$302,0)),"미등록품번"))</f>
        <v/>
      </c>
      <c r="F115" s="43" t="str">
        <f>IF($D115="","",IFERROR(INDEX(품목목록!$F$3:$F$302,MATCH($D115,품목목록!$A$3:$A$302,0)),""))</f>
        <v/>
      </c>
      <c r="G115" s="41" t="n"/>
      <c r="H115" s="45" t="str">
        <f>IF($D115="","",IFERROR(INDEX(품목목록!$E$3:$E$302,MATCH($D115,품목목록!$A$3:$A$302,0)),0))</f>
        <v/>
      </c>
      <c r="I115" s="45" t="str">
        <f>IF(OR($G115="",$H115=""),"",ROUND($G115*$H115,0))</f>
        <v/>
      </c>
      <c r="J115" s="37" t="n"/>
    </row>
    <row r="116" ht="15" customHeight="1" s="30">
      <c r="A116" s="43" t="str">
        <f>IF($D116="","",ROW()-2)</f>
        <v/>
      </c>
      <c r="B116" s="44" t="n"/>
      <c r="C116" s="37" t="n"/>
      <c r="D116" s="36" t="n"/>
      <c r="E116" s="43" t="str">
        <f>IF($D116="","",IFERROR(INDEX(품목목록!$B$3:$B$302,MATCH($D116,품목목록!$A$3:$A$302,0)),"미등록품번"))</f>
        <v/>
      </c>
      <c r="F116" s="43" t="str">
        <f>IF($D116="","",IFERROR(INDEX(품목목록!$F$3:$F$302,MATCH($D116,품목목록!$A$3:$A$302,0)),""))</f>
        <v/>
      </c>
      <c r="G116" s="41" t="n"/>
      <c r="H116" s="45" t="str">
        <f>IF($D116="","",IFERROR(INDEX(품목목록!$E$3:$E$302,MATCH($D116,품목목록!$A$3:$A$302,0)),0))</f>
        <v/>
      </c>
      <c r="I116" s="45" t="str">
        <f>IF(OR($G116="",$H116=""),"",ROUND($G116*$H116,0))</f>
        <v/>
      </c>
      <c r="J116" s="37" t="n"/>
    </row>
    <row r="117" ht="15" customHeight="1" s="30">
      <c r="A117" s="43" t="str">
        <f>IF($D117="","",ROW()-2)</f>
        <v/>
      </c>
      <c r="B117" s="44" t="n"/>
      <c r="C117" s="37" t="n"/>
      <c r="D117" s="36" t="n"/>
      <c r="E117" s="43" t="str">
        <f>IF($D117="","",IFERROR(INDEX(품목목록!$B$3:$B$302,MATCH($D117,품목목록!$A$3:$A$302,0)),"미등록품번"))</f>
        <v/>
      </c>
      <c r="F117" s="43" t="str">
        <f>IF($D117="","",IFERROR(INDEX(품목목록!$F$3:$F$302,MATCH($D117,품목목록!$A$3:$A$302,0)),""))</f>
        <v/>
      </c>
      <c r="G117" s="41" t="n"/>
      <c r="H117" s="45" t="str">
        <f>IF($D117="","",IFERROR(INDEX(품목목록!$E$3:$E$302,MATCH($D117,품목목록!$A$3:$A$302,0)),0))</f>
        <v/>
      </c>
      <c r="I117" s="45" t="str">
        <f>IF(OR($G117="",$H117=""),"",ROUND($G117*$H117,0))</f>
        <v/>
      </c>
      <c r="J117" s="37" t="n"/>
    </row>
    <row r="118" ht="15" customHeight="1" s="30">
      <c r="A118" s="43" t="str">
        <f>IF($D118="","",ROW()-2)</f>
        <v/>
      </c>
      <c r="B118" s="44" t="n"/>
      <c r="C118" s="37" t="n"/>
      <c r="D118" s="36" t="n"/>
      <c r="E118" s="43" t="str">
        <f>IF($D118="","",IFERROR(INDEX(품목목록!$B$3:$B$302,MATCH($D118,품목목록!$A$3:$A$302,0)),"미등록품번"))</f>
        <v/>
      </c>
      <c r="F118" s="43" t="str">
        <f>IF($D118="","",IFERROR(INDEX(품목목록!$F$3:$F$302,MATCH($D118,품목목록!$A$3:$A$302,0)),""))</f>
        <v/>
      </c>
      <c r="G118" s="41" t="n"/>
      <c r="H118" s="45" t="str">
        <f>IF($D118="","",IFERROR(INDEX(품목목록!$E$3:$E$302,MATCH($D118,품목목록!$A$3:$A$302,0)),0))</f>
        <v/>
      </c>
      <c r="I118" s="45" t="str">
        <f>IF(OR($G118="",$H118=""),"",ROUND($G118*$H118,0))</f>
        <v/>
      </c>
      <c r="J118" s="37" t="n"/>
    </row>
    <row r="119" ht="15" customHeight="1" s="30">
      <c r="A119" s="43" t="str">
        <f>IF($D119="","",ROW()-2)</f>
        <v/>
      </c>
      <c r="B119" s="44" t="n"/>
      <c r="C119" s="37" t="n"/>
      <c r="D119" s="36" t="n"/>
      <c r="E119" s="43" t="str">
        <f>IF($D119="","",IFERROR(INDEX(품목목록!$B$3:$B$302,MATCH($D119,품목목록!$A$3:$A$302,0)),"미등록품번"))</f>
        <v/>
      </c>
      <c r="F119" s="43" t="str">
        <f>IF($D119="","",IFERROR(INDEX(품목목록!$F$3:$F$302,MATCH($D119,품목목록!$A$3:$A$302,0)),""))</f>
        <v/>
      </c>
      <c r="G119" s="41" t="n"/>
      <c r="H119" s="45" t="str">
        <f>IF($D119="","",IFERROR(INDEX(품목목록!$E$3:$E$302,MATCH($D119,품목목록!$A$3:$A$302,0)),0))</f>
        <v/>
      </c>
      <c r="I119" s="45" t="str">
        <f>IF(OR($G119="",$H119=""),"",ROUND($G119*$H119,0))</f>
        <v/>
      </c>
      <c r="J119" s="37" t="n"/>
    </row>
    <row r="120" ht="15" customHeight="1" s="30">
      <c r="A120" s="43" t="str">
        <f>IF($D120="","",ROW()-2)</f>
        <v/>
      </c>
      <c r="B120" s="44" t="n"/>
      <c r="C120" s="37" t="n"/>
      <c r="D120" s="36" t="n"/>
      <c r="E120" s="43" t="str">
        <f>IF($D120="","",IFERROR(INDEX(품목목록!$B$3:$B$302,MATCH($D120,품목목록!$A$3:$A$302,0)),"미등록품번"))</f>
        <v/>
      </c>
      <c r="F120" s="43" t="str">
        <f>IF($D120="","",IFERROR(INDEX(품목목록!$F$3:$F$302,MATCH($D120,품목목록!$A$3:$A$302,0)),""))</f>
        <v/>
      </c>
      <c r="G120" s="41" t="n"/>
      <c r="H120" s="45" t="str">
        <f>IF($D120="","",IFERROR(INDEX(품목목록!$E$3:$E$302,MATCH($D120,품목목록!$A$3:$A$302,0)),0))</f>
        <v/>
      </c>
      <c r="I120" s="45" t="str">
        <f>IF(OR($G120="",$H120=""),"",ROUND($G120*$H120,0))</f>
        <v/>
      </c>
      <c r="J120" s="37" t="n"/>
    </row>
    <row r="121" ht="15" customHeight="1" s="30">
      <c r="A121" s="43" t="str">
        <f>IF($D121="","",ROW()-2)</f>
        <v/>
      </c>
      <c r="B121" s="44" t="n"/>
      <c r="C121" s="37" t="n"/>
      <c r="D121" s="36" t="n"/>
      <c r="E121" s="43" t="str">
        <f>IF($D121="","",IFERROR(INDEX(품목목록!$B$3:$B$302,MATCH($D121,품목목록!$A$3:$A$302,0)),"미등록품번"))</f>
        <v/>
      </c>
      <c r="F121" s="43" t="str">
        <f>IF($D121="","",IFERROR(INDEX(품목목록!$F$3:$F$302,MATCH($D121,품목목록!$A$3:$A$302,0)),""))</f>
        <v/>
      </c>
      <c r="G121" s="41" t="n"/>
      <c r="H121" s="45" t="str">
        <f>IF($D121="","",IFERROR(INDEX(품목목록!$E$3:$E$302,MATCH($D121,품목목록!$A$3:$A$302,0)),0))</f>
        <v/>
      </c>
      <c r="I121" s="45" t="str">
        <f>IF(OR($G121="",$H121=""),"",ROUND($G121*$H121,0))</f>
        <v/>
      </c>
      <c r="J121" s="37" t="n"/>
    </row>
    <row r="122" ht="15" customHeight="1" s="30">
      <c r="A122" s="43" t="str">
        <f>IF($D122="","",ROW()-2)</f>
        <v/>
      </c>
      <c r="B122" s="44" t="n"/>
      <c r="C122" s="37" t="n"/>
      <c r="D122" s="36" t="n"/>
      <c r="E122" s="43" t="str">
        <f>IF($D122="","",IFERROR(INDEX(품목목록!$B$3:$B$302,MATCH($D122,품목목록!$A$3:$A$302,0)),"미등록품번"))</f>
        <v/>
      </c>
      <c r="F122" s="43" t="str">
        <f>IF($D122="","",IFERROR(INDEX(품목목록!$F$3:$F$302,MATCH($D122,품목목록!$A$3:$A$302,0)),""))</f>
        <v/>
      </c>
      <c r="G122" s="41" t="n"/>
      <c r="H122" s="45" t="str">
        <f>IF($D122="","",IFERROR(INDEX(품목목록!$E$3:$E$302,MATCH($D122,품목목록!$A$3:$A$302,0)),0))</f>
        <v/>
      </c>
      <c r="I122" s="45" t="str">
        <f>IF(OR($G122="",$H122=""),"",ROUND($G122*$H122,0))</f>
        <v/>
      </c>
      <c r="J122" s="37" t="n"/>
    </row>
  </sheetData>
  <mergeCells count="1">
    <mergeCell ref="A1:J1"/>
  </mergeCells>
  <conditionalFormatting sqref="A3:J122">
    <cfRule type="expression" rank="0" priority="2" equalAverage="0" aboveAverage="0" dxfId="0" text="" percent="0" bottom="0">
      <formula>$F3="세트"</formula>
    </cfRule>
  </conditionalFormatting>
  <dataValidations count="1">
    <dataValidation sqref="D3:D202" showDropDown="0" showInputMessage="0" showErrorMessage="0" allowBlank="1" type="list" errorStyle="stop" operator="between">
      <formula1>품목목록!$A$3:$A$302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R120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29" min="1" max="1"/>
    <col width="13" customWidth="1" style="29" min="2" max="2"/>
    <col width="24" customWidth="1" style="29" min="3" max="3"/>
    <col width="13" customWidth="1" style="29" min="4" max="4"/>
    <col width="26" customWidth="1" style="29" min="5" max="5"/>
    <col width="11" customWidth="1" style="29" min="6" max="6"/>
    <col width="13" customWidth="1" style="29" min="7" max="7"/>
    <col width="18" customWidth="1" style="29" min="8" max="8"/>
    <col width="12" customWidth="1" style="29" min="10" max="11"/>
    <col width="13" customWidth="1" style="30" min="11" max="11"/>
    <col width="13" customWidth="1" style="29" min="12" max="15"/>
    <col width="13" customWidth="1" style="30" min="13" max="13"/>
    <col width="13" customWidth="1" style="30" min="14" max="14"/>
    <col width="14" customWidth="1" style="30" min="15" max="15"/>
    <col width="20" customWidth="1" style="29" min="16" max="16"/>
    <col width="22" customWidth="1" style="29" min="17" max="17"/>
  </cols>
  <sheetData>
    <row r="1" ht="25.5" customHeight="1" s="30">
      <c r="A1" s="31" t="inlineStr">
        <is>
          <t>전개결과  (세트가 낱개로 풀린 결과 · 이걸 복사해서 쓰세요)</t>
        </is>
      </c>
    </row>
    <row r="2"/>
    <row r="3" ht="15" customHeight="1" s="30">
      <c r="A3" s="32" t="inlineStr">
        <is>
          <t>전개 줄 수</t>
        </is>
      </c>
      <c r="B3" s="46" t="n">
        <f>COUNTIF($J$6:$J$1205,TRUE())</f>
        <v>7</v>
      </c>
    </row>
    <row r="4"/>
    <row r="5" ht="15" customHeight="1" s="30">
      <c r="A5" s="35" t="inlineStr">
        <is>
          <t>순번</t>
        </is>
      </c>
      <c r="B5" s="35" t="inlineStr">
        <is>
          <t>발주일</t>
        </is>
      </c>
      <c r="C5" s="35" t="inlineStr">
        <is>
          <t>거래처</t>
        </is>
      </c>
      <c r="D5" s="35" t="inlineStr">
        <is>
          <t>품번</t>
        </is>
      </c>
      <c r="E5" s="35" t="inlineStr">
        <is>
          <t>품명</t>
        </is>
      </c>
      <c r="F5" s="35" t="inlineStr">
        <is>
          <t>단위</t>
        </is>
      </c>
      <c r="G5" s="35" t="inlineStr">
        <is>
          <t>소요수량</t>
        </is>
      </c>
      <c r="H5" s="35" t="inlineStr">
        <is>
          <t>출처</t>
        </is>
      </c>
      <c r="J5" s="34" t="inlineStr">
        <is>
          <t>대상(자동)</t>
        </is>
      </c>
      <c r="K5" s="34" t="inlineStr">
        <is>
          <t>순번(자동)</t>
        </is>
      </c>
      <c r="L5" s="34" t="inlineStr">
        <is>
          <t>키(자동)</t>
        </is>
      </c>
      <c r="M5" s="34" t="inlineStr">
        <is>
          <t>품번(자동)</t>
        </is>
      </c>
      <c r="N5" s="34" t="inlineStr">
        <is>
          <t>수량(자동)</t>
        </is>
      </c>
      <c r="O5" s="34" t="inlineStr">
        <is>
          <t>발주일(자동)</t>
        </is>
      </c>
      <c r="P5" s="34" t="inlineStr">
        <is>
          <t>거래처(자동)</t>
        </is>
      </c>
      <c r="Q5" s="34" t="inlineStr">
        <is>
          <t>출처(자동)</t>
        </is>
      </c>
    </row>
    <row r="6" ht="15" customHeight="1" s="30">
      <c r="A6" s="47" t="n">
        <f>IF($D6="","",1)</f>
        <v>1</v>
      </c>
      <c r="B6" s="48" t="n">
        <f>IFERROR(INDEX(전개결과!$O$6:$O$1205,MATCH("R"&amp;1,전개결과!$L$6:$L$1205,0)),"")</f>
        <v>46275</v>
      </c>
      <c r="C6" s="40" t="str">
        <f>IF($D6="","",IFERROR(INDEX(전개결과!$P$6:$P$1205,MATCH("R"&amp;1,전개결과!$L$6:$L$1205,0)),""))</f>
        <v>○○마트</v>
      </c>
      <c r="D6" s="40" t="str">
        <f>IFERROR(INDEX(전개결과!$M$6:$M$1205,MATCH("R"&amp;1,전개결과!$L$6:$L$1205,0)),"")</f>
        <v>P001</v>
      </c>
      <c r="E6" s="40" t="str">
        <f>IF($D6="","",IFERROR(INDEX(품목목록!$B$3:$B$302,MATCH($D6,품목목록!$A$3:$A$302,0)),""))</f>
        <v>홍삼즙 30포</v>
      </c>
      <c r="F6" s="47" t="str">
        <f>IF($D6="","",IFERROR(INDEX(품목목록!$D$3:$D$302,MATCH($D6,품목목록!$A$3:$A$302,0)),""))</f>
        <v>박스</v>
      </c>
      <c r="G6" s="49" t="n">
        <f>IFERROR(INDEX(전개결과!$N$6:$N$1205,MATCH("R"&amp;1,전개결과!$L$6:$L$1205,0)),"")</f>
        <v>15</v>
      </c>
      <c r="H6" s="40" t="str">
        <f>IF($D6="","",IFERROR(INDEX(전개결과!$Q$6:$Q$1205,MATCH("R"&amp;1,전개결과!$L$6:$L$1205,0)),""))</f>
        <v>선물세트 A 전개</v>
      </c>
      <c r="J6" s="50" t="b">
        <f>IF(발주접수!$D3="",FALSE(),IF(발주접수!$F3="세트",COUNTIF(세트구성!$G$3:$G$302,발주접수!$D3&amp;"|"&amp;1)&gt;0,0=0))</f>
        <v>1</v>
      </c>
      <c r="K6" s="34" t="n">
        <f>IF($J6=FALSE(),"",COUNTIF($J$6:$J6,TRUE()))</f>
        <v>1</v>
      </c>
      <c r="L6" s="34" t="str">
        <f>IF($K6="","","R"&amp;$K6)</f>
        <v>R1</v>
      </c>
      <c r="M6" s="34" t="str">
        <f>IF($J6=FALSE(),"",IF(발주접수!$F3="세트",IFERROR(INDEX(세트구성!$C$3:$C$302,MATCH(발주접수!$D3&amp;"|"&amp;1,세트구성!$G$3:$G$302,0)),""),발주접수!$D3))</f>
        <v>P001</v>
      </c>
      <c r="N6" s="34" t="n">
        <f>IF($J6=FALSE(),"",IF(발주접수!$F3="세트",발주접수!$G3*IFERROR(INDEX(세트구성!$E$3:$E$302,MATCH(발주접수!$D3&amp;"|"&amp;1,세트구성!$G$3:$G$302,0)),0),발주접수!$G3))</f>
        <v>15</v>
      </c>
      <c r="O6" s="51" t="n">
        <f>IF($J6=FALSE(),"",발주접수!$B3)</f>
        <v>46275</v>
      </c>
      <c r="P6" s="34" t="str">
        <f>IF($J6=FALSE(),"",발주접수!$C3)</f>
        <v>○○마트</v>
      </c>
      <c r="Q6" s="34" t="str">
        <f>IF($J6=FALSE(),"",IF(발주접수!$F3="세트",발주접수!$E3&amp;" 전개","직접 발주"))</f>
        <v>선물세트 A 전개</v>
      </c>
    </row>
    <row r="7" ht="15" customHeight="1" s="30">
      <c r="A7" s="47" t="n">
        <f>IF($D7="","",2)</f>
        <v>2</v>
      </c>
      <c r="B7" s="48" t="n">
        <f>IFERROR(INDEX(전개결과!$O$6:$O$1205,MATCH("R"&amp;2,전개결과!$L$6:$L$1205,0)),"")</f>
        <v>46275</v>
      </c>
      <c r="C7" s="40" t="str">
        <f>IF($D7="","",IFERROR(INDEX(전개결과!$P$6:$P$1205,MATCH("R"&amp;2,전개결과!$L$6:$L$1205,0)),""))</f>
        <v>○○마트</v>
      </c>
      <c r="D7" s="40" t="str">
        <f>IFERROR(INDEX(전개결과!$M$6:$M$1205,MATCH("R"&amp;2,전개결과!$L$6:$L$1205,0)),"")</f>
        <v>P002</v>
      </c>
      <c r="E7" s="40" t="str">
        <f>IF($D7="","",IFERROR(INDEX(품목목록!$B$3:$B$302,MATCH($D7,품목목록!$A$3:$A$302,0)),""))</f>
        <v>홍삼정 240g</v>
      </c>
      <c r="F7" s="47" t="str">
        <f>IF($D7="","",IFERROR(INDEX(품목목록!$D$3:$D$302,MATCH($D7,품목목록!$A$3:$A$302,0)),""))</f>
        <v>EA</v>
      </c>
      <c r="G7" s="49" t="n">
        <f>IFERROR(INDEX(전개결과!$N$6:$N$1205,MATCH("R"&amp;2,전개결과!$L$6:$L$1205,0)),"")</f>
        <v>3</v>
      </c>
      <c r="H7" s="40" t="str">
        <f>IF($D7="","",IFERROR(INDEX(전개결과!$Q$6:$Q$1205,MATCH("R"&amp;2,전개결과!$L$6:$L$1205,0)),""))</f>
        <v>선물세트 A 전개</v>
      </c>
      <c r="J7" s="50" t="b">
        <f>IF(발주접수!$D3="",FALSE(),IF(발주접수!$F3="세트",COUNTIF(세트구성!$G$3:$G$302,발주접수!$D3&amp;"|"&amp;2)&gt;0,1=0))</f>
        <v>1</v>
      </c>
      <c r="K7" s="34" t="n">
        <f>IF($J7=FALSE(),"",COUNTIF($J$6:$J7,TRUE()))</f>
        <v>2</v>
      </c>
      <c r="L7" s="34" t="str">
        <f>IF($K7="","","R"&amp;$K7)</f>
        <v>R2</v>
      </c>
      <c r="M7" s="34" t="str">
        <f>IF($J7=FALSE(),"",IF(발주접수!$F3="세트",IFERROR(INDEX(세트구성!$C$3:$C$302,MATCH(발주접수!$D3&amp;"|"&amp;2,세트구성!$G$3:$G$302,0)),""),발주접수!$D3))</f>
        <v>P002</v>
      </c>
      <c r="N7" s="34" t="n">
        <f>IF($J7=FALSE(),"",IF(발주접수!$F3="세트",발주접수!$G3*IFERROR(INDEX(세트구성!$E$3:$E$302,MATCH(발주접수!$D3&amp;"|"&amp;2,세트구성!$G$3:$G$302,0)),0),발주접수!$G3))</f>
        <v>3</v>
      </c>
      <c r="O7" s="51" t="n">
        <f>IF($J7=FALSE(),"",발주접수!$B3)</f>
        <v>46275</v>
      </c>
      <c r="P7" s="34" t="str">
        <f>IF($J7=FALSE(),"",발주접수!$C3)</f>
        <v>○○마트</v>
      </c>
      <c r="Q7" s="34" t="str">
        <f>IF($J7=FALSE(),"",IF(발주접수!$F3="세트",발주접수!$E3&amp;" 전개","직접 발주"))</f>
        <v>선물세트 A 전개</v>
      </c>
    </row>
    <row r="8" ht="15" customHeight="1" s="30">
      <c r="A8" s="47" t="n">
        <f>IF($D8="","",3)</f>
        <v>3</v>
      </c>
      <c r="B8" s="48" t="n">
        <f>IFERROR(INDEX(전개결과!$O$6:$O$1205,MATCH("R"&amp;3,전개결과!$L$6:$L$1205,0)),"")</f>
        <v>46275</v>
      </c>
      <c r="C8" s="40" t="str">
        <f>IF($D8="","",IFERROR(INDEX(전개결과!$P$6:$P$1205,MATCH("R"&amp;3,전개결과!$L$6:$L$1205,0)),""))</f>
        <v>○○마트</v>
      </c>
      <c r="D8" s="40" t="str">
        <f>IFERROR(INDEX(전개결과!$M$6:$M$1205,MATCH("R"&amp;3,전개결과!$L$6:$L$1205,0)),"")</f>
        <v>P003</v>
      </c>
      <c r="E8" s="40" t="str">
        <f>IF($D8="","",IFERROR(INDEX(품목목록!$B$3:$B$302,MATCH($D8,품목목록!$A$3:$A$302,0)),""))</f>
        <v>쇼핑백</v>
      </c>
      <c r="F8" s="47" t="str">
        <f>IF($D8="","",IFERROR(INDEX(품목목록!$D$3:$D$302,MATCH($D8,품목목록!$A$3:$A$302,0)),""))</f>
        <v>EA</v>
      </c>
      <c r="G8" s="49" t="n">
        <f>IFERROR(INDEX(전개결과!$N$6:$N$1205,MATCH("R"&amp;3,전개결과!$L$6:$L$1205,0)),"")</f>
        <v>3</v>
      </c>
      <c r="H8" s="40" t="str">
        <f>IF($D8="","",IFERROR(INDEX(전개결과!$Q$6:$Q$1205,MATCH("R"&amp;3,전개결과!$L$6:$L$1205,0)),""))</f>
        <v>선물세트 A 전개</v>
      </c>
      <c r="J8" s="50" t="b">
        <f>IF(발주접수!$D3="",FALSE(),IF(발주접수!$F3="세트",COUNTIF(세트구성!$G$3:$G$302,발주접수!$D3&amp;"|"&amp;3)&gt;0,2=0))</f>
        <v>1</v>
      </c>
      <c r="K8" s="34" t="n">
        <f>IF($J8=FALSE(),"",COUNTIF($J$6:$J8,TRUE()))</f>
        <v>3</v>
      </c>
      <c r="L8" s="34" t="str">
        <f>IF($K8="","","R"&amp;$K8)</f>
        <v>R3</v>
      </c>
      <c r="M8" s="34" t="str">
        <f>IF($J8=FALSE(),"",IF(발주접수!$F3="세트",IFERROR(INDEX(세트구성!$C$3:$C$302,MATCH(발주접수!$D3&amp;"|"&amp;3,세트구성!$G$3:$G$302,0)),""),발주접수!$D3))</f>
        <v>P003</v>
      </c>
      <c r="N8" s="34" t="n">
        <f>IF($J8=FALSE(),"",IF(발주접수!$F3="세트",발주접수!$G3*IFERROR(INDEX(세트구성!$E$3:$E$302,MATCH(발주접수!$D3&amp;"|"&amp;3,세트구성!$G$3:$G$302,0)),0),발주접수!$G3))</f>
        <v>3</v>
      </c>
      <c r="O8" s="51" t="n">
        <f>IF($J8=FALSE(),"",발주접수!$B3)</f>
        <v>46275</v>
      </c>
      <c r="P8" s="34" t="str">
        <f>IF($J8=FALSE(),"",발주접수!$C3)</f>
        <v>○○마트</v>
      </c>
      <c r="Q8" s="34" t="str">
        <f>IF($J8=FALSE(),"",IF(발주접수!$F3="세트",발주접수!$E3&amp;" 전개","직접 발주"))</f>
        <v>선물세트 A 전개</v>
      </c>
    </row>
    <row r="9" ht="15" customHeight="1" s="30">
      <c r="A9" s="47" t="n">
        <f>IF($D9="","",4)</f>
        <v>4</v>
      </c>
      <c r="B9" s="48" t="n">
        <f>IFERROR(INDEX(전개결과!$O$6:$O$1205,MATCH("R"&amp;4,전개결과!$L$6:$L$1205,0)),"")</f>
        <v>46275</v>
      </c>
      <c r="C9" s="40" t="str">
        <f>IF($D9="","",IFERROR(INDEX(전개결과!$P$6:$P$1205,MATCH("R"&amp;4,전개결과!$L$6:$L$1205,0)),""))</f>
        <v>○○마트</v>
      </c>
      <c r="D9" s="40" t="str">
        <f>IFERROR(INDEX(전개결과!$M$6:$M$1205,MATCH("R"&amp;4,전개결과!$L$6:$L$1205,0)),"")</f>
        <v>P001</v>
      </c>
      <c r="E9" s="40" t="str">
        <f>IF($D9="","",IFERROR(INDEX(품목목록!$B$3:$B$302,MATCH($D9,품목목록!$A$3:$A$302,0)),""))</f>
        <v>홍삼즙 30포</v>
      </c>
      <c r="F9" s="47" t="str">
        <f>IF($D9="","",IFERROR(INDEX(품목목록!$D$3:$D$302,MATCH($D9,품목목록!$A$3:$A$302,0)),""))</f>
        <v>박스</v>
      </c>
      <c r="G9" s="49" t="n">
        <f>IFERROR(INDEX(전개결과!$N$6:$N$1205,MATCH("R"&amp;4,전개결과!$L$6:$L$1205,0)),"")</f>
        <v>10</v>
      </c>
      <c r="H9" s="40" t="str">
        <f>IF($D9="","",IFERROR(INDEX(전개결과!$Q$6:$Q$1205,MATCH("R"&amp;4,전개결과!$L$6:$L$1205,0)),""))</f>
        <v>직접 발주</v>
      </c>
      <c r="J9" s="50" t="b">
        <f>IF(발주접수!$D3="",FALSE(),IF(발주접수!$F3="세트",COUNTIF(세트구성!$G$3:$G$302,발주접수!$D3&amp;"|"&amp;4)&gt;0,3=0))</f>
        <v>0</v>
      </c>
      <c r="K9" s="34" t="str">
        <f>IF($J9=FALSE(),"",COUNTIF($J$6:$J9,TRUE()))</f>
        <v/>
      </c>
      <c r="L9" s="34" t="str">
        <f>IF($K9="","","R"&amp;$K9)</f>
        <v/>
      </c>
      <c r="M9" s="34" t="str">
        <f>IF($J9=FALSE(),"",IF(발주접수!$F3="세트",IFERROR(INDEX(세트구성!$C$3:$C$302,MATCH(발주접수!$D3&amp;"|"&amp;4,세트구성!$G$3:$G$302,0)),""),발주접수!$D3))</f>
        <v/>
      </c>
      <c r="N9" s="34" t="str">
        <f>IF($J9=FALSE(),"",IF(발주접수!$F3="세트",발주접수!$G3*IFERROR(INDEX(세트구성!$E$3:$E$302,MATCH(발주접수!$D3&amp;"|"&amp;4,세트구성!$G$3:$G$302,0)),0),발주접수!$G3))</f>
        <v/>
      </c>
      <c r="O9" s="34" t="str">
        <f>IF($J9=FALSE(),"",발주접수!$B3)</f>
        <v/>
      </c>
      <c r="P9" s="34" t="str">
        <f>IF($J9=FALSE(),"",발주접수!$C3)</f>
        <v/>
      </c>
      <c r="Q9" s="34" t="str">
        <f>IF($J9=FALSE(),"",IF(발주접수!$F3="세트",발주접수!$E3&amp;" 전개","직접 발주"))</f>
        <v/>
      </c>
    </row>
    <row r="10" ht="15" customHeight="1" s="30">
      <c r="A10" s="47" t="n">
        <f>IF($D10="","",5)</f>
        <v>5</v>
      </c>
      <c r="B10" s="48" t="n">
        <f>IFERROR(INDEX(전개결과!$O$6:$O$1205,MATCH("R"&amp;5,전개결과!$L$6:$L$1205,0)),"")</f>
        <v>46276</v>
      </c>
      <c r="C10" s="40" t="str">
        <f>IF($D10="","",IFERROR(INDEX(전개결과!$P$6:$P$1205,MATCH("R"&amp;5,전개결과!$L$6:$L$1205,0)),""))</f>
        <v>△△백화점</v>
      </c>
      <c r="D10" s="40" t="str">
        <f>IFERROR(INDEX(전개결과!$M$6:$M$1205,MATCH("R"&amp;5,전개결과!$L$6:$L$1205,0)),"")</f>
        <v>P001</v>
      </c>
      <c r="E10" s="40" t="str">
        <f>IF($D10="","",IFERROR(INDEX(품목목록!$B$3:$B$302,MATCH($D10,품목목록!$A$3:$A$302,0)),""))</f>
        <v>홍삼즙 30포</v>
      </c>
      <c r="F10" s="47" t="str">
        <f>IF($D10="","",IFERROR(INDEX(품목목록!$D$3:$D$302,MATCH($D10,품목목록!$A$3:$A$302,0)),""))</f>
        <v>박스</v>
      </c>
      <c r="G10" s="49" t="n">
        <f>IFERROR(INDEX(전개결과!$N$6:$N$1205,MATCH("R"&amp;5,전개결과!$L$6:$L$1205,0)),"")</f>
        <v>15</v>
      </c>
      <c r="H10" s="40" t="str">
        <f>IF($D10="","",IFERROR(INDEX(전개결과!$Q$6:$Q$1205,MATCH("R"&amp;5,전개결과!$L$6:$L$1205,0)),""))</f>
        <v>선물세트 B 전개</v>
      </c>
      <c r="J10" s="50" t="b">
        <f>IF(발주접수!$D3="",FALSE(),IF(발주접수!$F3="세트",COUNTIF(세트구성!$G$3:$G$302,발주접수!$D3&amp;"|"&amp;5)&gt;0,4=0))</f>
        <v>0</v>
      </c>
      <c r="K10" s="34" t="str">
        <f>IF($J10=FALSE(),"",COUNTIF($J$6:$J10,TRUE()))</f>
        <v/>
      </c>
      <c r="L10" s="34" t="str">
        <f>IF($K10="","","R"&amp;$K10)</f>
        <v/>
      </c>
      <c r="M10" s="34" t="str">
        <f>IF($J10=FALSE(),"",IF(발주접수!$F3="세트",IFERROR(INDEX(세트구성!$C$3:$C$302,MATCH(발주접수!$D3&amp;"|"&amp;5,세트구성!$G$3:$G$302,0)),""),발주접수!$D3))</f>
        <v/>
      </c>
      <c r="N10" s="34" t="str">
        <f>IF($J10=FALSE(),"",IF(발주접수!$F3="세트",발주접수!$G3*IFERROR(INDEX(세트구성!$E$3:$E$302,MATCH(발주접수!$D3&amp;"|"&amp;5,세트구성!$G$3:$G$302,0)),0),발주접수!$G3))</f>
        <v/>
      </c>
      <c r="O10" s="34" t="str">
        <f>IF($J10=FALSE(),"",발주접수!$B3)</f>
        <v/>
      </c>
      <c r="P10" s="34" t="str">
        <f>IF($J10=FALSE(),"",발주접수!$C3)</f>
        <v/>
      </c>
      <c r="Q10" s="34" t="str">
        <f>IF($J10=FALSE(),"",IF(발주접수!$F3="세트",발주접수!$E3&amp;" 전개","직접 발주"))</f>
        <v/>
      </c>
    </row>
    <row r="11" ht="15" customHeight="1" s="30">
      <c r="A11" s="47" t="n">
        <f>IF($D11="","",6)</f>
        <v>6</v>
      </c>
      <c r="B11" s="48" t="n">
        <f>IFERROR(INDEX(전개결과!$O$6:$O$1205,MATCH("R"&amp;6,전개결과!$L$6:$L$1205,0)),"")</f>
        <v>46276</v>
      </c>
      <c r="C11" s="40" t="str">
        <f>IF($D11="","",IFERROR(INDEX(전개결과!$P$6:$P$1205,MATCH("R"&amp;6,전개결과!$L$6:$L$1205,0)),""))</f>
        <v>△△백화점</v>
      </c>
      <c r="D11" s="40" t="str">
        <f>IFERROR(INDEX(전개결과!$M$6:$M$1205,MATCH("R"&amp;6,전개결과!$L$6:$L$1205,0)),"")</f>
        <v>P002</v>
      </c>
      <c r="E11" s="40" t="str">
        <f>IF($D11="","",IFERROR(INDEX(품목목록!$B$3:$B$302,MATCH($D11,품목목록!$A$3:$A$302,0)),""))</f>
        <v>홍삼정 240g</v>
      </c>
      <c r="F11" s="47" t="str">
        <f>IF($D11="","",IFERROR(INDEX(품목목록!$D$3:$D$302,MATCH($D11,품목목록!$A$3:$A$302,0)),""))</f>
        <v>EA</v>
      </c>
      <c r="G11" s="49" t="n">
        <f>IFERROR(INDEX(전개결과!$N$6:$N$1205,MATCH("R"&amp;6,전개결과!$L$6:$L$1205,0)),"")</f>
        <v>10</v>
      </c>
      <c r="H11" s="40" t="str">
        <f>IF($D11="","",IFERROR(INDEX(전개결과!$Q$6:$Q$1205,MATCH("R"&amp;6,전개결과!$L$6:$L$1205,0)),""))</f>
        <v>선물세트 B 전개</v>
      </c>
      <c r="J11" s="50" t="b">
        <f>IF(발주접수!$D3="",FALSE(),IF(발주접수!$F3="세트",COUNTIF(세트구성!$G$3:$G$302,발주접수!$D3&amp;"|"&amp;6)&gt;0,5=0))</f>
        <v>0</v>
      </c>
      <c r="K11" s="34" t="str">
        <f>IF($J11=FALSE(),"",COUNTIF($J$6:$J11,TRUE()))</f>
        <v/>
      </c>
      <c r="L11" s="34" t="str">
        <f>IF($K11="","","R"&amp;$K11)</f>
        <v/>
      </c>
      <c r="M11" s="34" t="str">
        <f>IF($J11=FALSE(),"",IF(발주접수!$F3="세트",IFERROR(INDEX(세트구성!$C$3:$C$302,MATCH(발주접수!$D3&amp;"|"&amp;6,세트구성!$G$3:$G$302,0)),""),발주접수!$D3))</f>
        <v/>
      </c>
      <c r="N11" s="34" t="str">
        <f>IF($J11=FALSE(),"",IF(발주접수!$F3="세트",발주접수!$G3*IFERROR(INDEX(세트구성!$E$3:$E$302,MATCH(발주접수!$D3&amp;"|"&amp;6,세트구성!$G$3:$G$302,0)),0),발주접수!$G3))</f>
        <v/>
      </c>
      <c r="O11" s="34" t="str">
        <f>IF($J11=FALSE(),"",발주접수!$B3)</f>
        <v/>
      </c>
      <c r="P11" s="34" t="str">
        <f>IF($J11=FALSE(),"",발주접수!$C3)</f>
        <v/>
      </c>
      <c r="Q11" s="34" t="str">
        <f>IF($J11=FALSE(),"",IF(발주접수!$F3="세트",발주접수!$E3&amp;" 전개","직접 발주"))</f>
        <v/>
      </c>
    </row>
    <row r="12" ht="15" customHeight="1" s="30">
      <c r="A12" s="47" t="n">
        <f>IF($D12="","",7)</f>
        <v>7</v>
      </c>
      <c r="B12" s="48" t="n">
        <f>IFERROR(INDEX(전개결과!$O$6:$O$1205,MATCH("R"&amp;7,전개결과!$L$6:$L$1205,0)),"")</f>
        <v>46276</v>
      </c>
      <c r="C12" s="40" t="str">
        <f>IF($D12="","",IFERROR(INDEX(전개결과!$P$6:$P$1205,MATCH("R"&amp;7,전개결과!$L$6:$L$1205,0)),""))</f>
        <v>△△백화점</v>
      </c>
      <c r="D12" s="40" t="str">
        <f>IFERROR(INDEX(전개결과!$M$6:$M$1205,MATCH("R"&amp;7,전개결과!$L$6:$L$1205,0)),"")</f>
        <v>P003</v>
      </c>
      <c r="E12" s="40" t="str">
        <f>IF($D12="","",IFERROR(INDEX(품목목록!$B$3:$B$302,MATCH($D12,품목목록!$A$3:$A$302,0)),""))</f>
        <v>쇼핑백</v>
      </c>
      <c r="F12" s="47" t="str">
        <f>IF($D12="","",IFERROR(INDEX(품목목록!$D$3:$D$302,MATCH($D12,품목목록!$A$3:$A$302,0)),""))</f>
        <v>EA</v>
      </c>
      <c r="G12" s="49" t="n">
        <f>IFERROR(INDEX(전개결과!$N$6:$N$1205,MATCH("R"&amp;7,전개결과!$L$6:$L$1205,0)),"")</f>
        <v>5</v>
      </c>
      <c r="H12" s="40" t="str">
        <f>IF($D12="","",IFERROR(INDEX(전개결과!$Q$6:$Q$1205,MATCH("R"&amp;7,전개결과!$L$6:$L$1205,0)),""))</f>
        <v>선물세트 B 전개</v>
      </c>
      <c r="J12" s="50" t="b">
        <f>IF(발주접수!$D3="",FALSE(),IF(발주접수!$F3="세트",COUNTIF(세트구성!$G$3:$G$302,발주접수!$D3&amp;"|"&amp;7)&gt;0,6=0))</f>
        <v>0</v>
      </c>
      <c r="K12" s="34" t="str">
        <f>IF($J12=FALSE(),"",COUNTIF($J$6:$J12,TRUE()))</f>
        <v/>
      </c>
      <c r="L12" s="34" t="str">
        <f>IF($K12="","","R"&amp;$K12)</f>
        <v/>
      </c>
      <c r="M12" s="34" t="str">
        <f>IF($J12=FALSE(),"",IF(발주접수!$F3="세트",IFERROR(INDEX(세트구성!$C$3:$C$302,MATCH(발주접수!$D3&amp;"|"&amp;7,세트구성!$G$3:$G$302,0)),""),발주접수!$D3))</f>
        <v/>
      </c>
      <c r="N12" s="34" t="str">
        <f>IF($J12=FALSE(),"",IF(발주접수!$F3="세트",발주접수!$G3*IFERROR(INDEX(세트구성!$E$3:$E$302,MATCH(발주접수!$D3&amp;"|"&amp;7,세트구성!$G$3:$G$302,0)),0),발주접수!$G3))</f>
        <v/>
      </c>
      <c r="O12" s="34" t="str">
        <f>IF($J12=FALSE(),"",발주접수!$B3)</f>
        <v/>
      </c>
      <c r="P12" s="34" t="str">
        <f>IF($J12=FALSE(),"",발주접수!$C3)</f>
        <v/>
      </c>
      <c r="Q12" s="34" t="str">
        <f>IF($J12=FALSE(),"",IF(발주접수!$F3="세트",발주접수!$E3&amp;" 전개","직접 발주"))</f>
        <v/>
      </c>
    </row>
    <row r="13" ht="15" customHeight="1" s="30">
      <c r="A13" s="47" t="str">
        <f>IF($D13="","",8)</f>
        <v/>
      </c>
      <c r="B13" s="48" t="str">
        <f>IFERROR(INDEX(전개결과!$O$6:$O$1205,MATCH("R"&amp;8,전개결과!$L$6:$L$1205,0)),"")</f>
        <v/>
      </c>
      <c r="C13" s="40" t="str">
        <f>IF($D13="","",IFERROR(INDEX(전개결과!$P$6:$P$1205,MATCH("R"&amp;8,전개결과!$L$6:$L$1205,0)),""))</f>
        <v/>
      </c>
      <c r="D13" s="40" t="str">
        <f>IFERROR(INDEX(전개결과!$M$6:$M$1205,MATCH("R"&amp;8,전개결과!$L$6:$L$1205,0)),"")</f>
        <v/>
      </c>
      <c r="E13" s="40" t="str">
        <f>IF($D13="","",IFERROR(INDEX(품목목록!$B$3:$B$302,MATCH($D13,품목목록!$A$3:$A$302,0)),""))</f>
        <v/>
      </c>
      <c r="F13" s="47" t="str">
        <f>IF($D13="","",IFERROR(INDEX(품목목록!$D$3:$D$302,MATCH($D13,품목목록!$A$3:$A$302,0)),""))</f>
        <v/>
      </c>
      <c r="G13" s="49" t="str">
        <f>IFERROR(INDEX(전개결과!$N$6:$N$1205,MATCH("R"&amp;8,전개결과!$L$6:$L$1205,0)),"")</f>
        <v/>
      </c>
      <c r="H13" s="40" t="str">
        <f>IF($D13="","",IFERROR(INDEX(전개결과!$Q$6:$Q$1205,MATCH("R"&amp;8,전개결과!$L$6:$L$1205,0)),""))</f>
        <v/>
      </c>
      <c r="J13" s="50" t="b">
        <f>IF(발주접수!$D3="",FALSE(),IF(발주접수!$F3="세트",COUNTIF(세트구성!$G$3:$G$302,발주접수!$D3&amp;"|"&amp;8)&gt;0,7=0))</f>
        <v>0</v>
      </c>
      <c r="K13" s="34" t="str">
        <f>IF($J13=FALSE(),"",COUNTIF($J$6:$J13,TRUE()))</f>
        <v/>
      </c>
      <c r="L13" s="34" t="str">
        <f>IF($K13="","","R"&amp;$K13)</f>
        <v/>
      </c>
      <c r="M13" s="34" t="str">
        <f>IF($J13=FALSE(),"",IF(발주접수!$F3="세트",IFERROR(INDEX(세트구성!$C$3:$C$302,MATCH(발주접수!$D3&amp;"|"&amp;8,세트구성!$G$3:$G$302,0)),""),발주접수!$D3))</f>
        <v/>
      </c>
      <c r="N13" s="34" t="str">
        <f>IF($J13=FALSE(),"",IF(발주접수!$F3="세트",발주접수!$G3*IFERROR(INDEX(세트구성!$E$3:$E$302,MATCH(발주접수!$D3&amp;"|"&amp;8,세트구성!$G$3:$G$302,0)),0),발주접수!$G3))</f>
        <v/>
      </c>
      <c r="O13" s="34" t="str">
        <f>IF($J13=FALSE(),"",발주접수!$B3)</f>
        <v/>
      </c>
      <c r="P13" s="34" t="str">
        <f>IF($J13=FALSE(),"",발주접수!$C3)</f>
        <v/>
      </c>
      <c r="Q13" s="34" t="str">
        <f>IF($J13=FALSE(),"",IF(발주접수!$F3="세트",발주접수!$E3&amp;" 전개","직접 발주"))</f>
        <v/>
      </c>
    </row>
    <row r="14" ht="15" customHeight="1" s="30">
      <c r="A14" s="47" t="str">
        <f>IF($D14="","",9)</f>
        <v/>
      </c>
      <c r="B14" s="48" t="str">
        <f>IFERROR(INDEX(전개결과!$O$6:$O$1205,MATCH("R"&amp;9,전개결과!$L$6:$L$1205,0)),"")</f>
        <v/>
      </c>
      <c r="C14" s="40" t="str">
        <f>IF($D14="","",IFERROR(INDEX(전개결과!$P$6:$P$1205,MATCH("R"&amp;9,전개결과!$L$6:$L$1205,0)),""))</f>
        <v/>
      </c>
      <c r="D14" s="40" t="str">
        <f>IFERROR(INDEX(전개결과!$M$6:$M$1205,MATCH("R"&amp;9,전개결과!$L$6:$L$1205,0)),"")</f>
        <v/>
      </c>
      <c r="E14" s="40" t="str">
        <f>IF($D14="","",IFERROR(INDEX(품목목록!$B$3:$B$302,MATCH($D14,품목목록!$A$3:$A$302,0)),""))</f>
        <v/>
      </c>
      <c r="F14" s="47" t="str">
        <f>IF($D14="","",IFERROR(INDEX(품목목록!$D$3:$D$302,MATCH($D14,품목목록!$A$3:$A$302,0)),""))</f>
        <v/>
      </c>
      <c r="G14" s="49" t="str">
        <f>IFERROR(INDEX(전개결과!$N$6:$N$1205,MATCH("R"&amp;9,전개결과!$L$6:$L$1205,0)),"")</f>
        <v/>
      </c>
      <c r="H14" s="40" t="str">
        <f>IF($D14="","",IFERROR(INDEX(전개결과!$Q$6:$Q$1205,MATCH("R"&amp;9,전개결과!$L$6:$L$1205,0)),""))</f>
        <v/>
      </c>
      <c r="J14" s="50" t="b">
        <f>IF(발주접수!$D3="",FALSE(),IF(발주접수!$F3="세트",COUNTIF(세트구성!$G$3:$G$302,발주접수!$D3&amp;"|"&amp;9)&gt;0,8=0))</f>
        <v>0</v>
      </c>
      <c r="K14" s="34" t="str">
        <f>IF($J14=FALSE(),"",COUNTIF($J$6:$J14,TRUE()))</f>
        <v/>
      </c>
      <c r="L14" s="34" t="str">
        <f>IF($K14="","","R"&amp;$K14)</f>
        <v/>
      </c>
      <c r="M14" s="34" t="str">
        <f>IF($J14=FALSE(),"",IF(발주접수!$F3="세트",IFERROR(INDEX(세트구성!$C$3:$C$302,MATCH(발주접수!$D3&amp;"|"&amp;9,세트구성!$G$3:$G$302,0)),""),발주접수!$D3))</f>
        <v/>
      </c>
      <c r="N14" s="34" t="str">
        <f>IF($J14=FALSE(),"",IF(발주접수!$F3="세트",발주접수!$G3*IFERROR(INDEX(세트구성!$E$3:$E$302,MATCH(발주접수!$D3&amp;"|"&amp;9,세트구성!$G$3:$G$302,0)),0),발주접수!$G3))</f>
        <v/>
      </c>
      <c r="O14" s="34" t="str">
        <f>IF($J14=FALSE(),"",발주접수!$B3)</f>
        <v/>
      </c>
      <c r="P14" s="34" t="str">
        <f>IF($J14=FALSE(),"",발주접수!$C3)</f>
        <v/>
      </c>
      <c r="Q14" s="34" t="str">
        <f>IF($J14=FALSE(),"",IF(발주접수!$F3="세트",발주접수!$E3&amp;" 전개","직접 발주"))</f>
        <v/>
      </c>
    </row>
    <row r="15" ht="15" customHeight="1" s="30">
      <c r="A15" s="47" t="str">
        <f>IF($D15="","",10)</f>
        <v/>
      </c>
      <c r="B15" s="48" t="str">
        <f>IFERROR(INDEX(전개결과!$O$6:$O$1205,MATCH("R"&amp;10,전개결과!$L$6:$L$1205,0)),"")</f>
        <v/>
      </c>
      <c r="C15" s="40" t="str">
        <f>IF($D15="","",IFERROR(INDEX(전개결과!$P$6:$P$1205,MATCH("R"&amp;10,전개결과!$L$6:$L$1205,0)),""))</f>
        <v/>
      </c>
      <c r="D15" s="40" t="str">
        <f>IFERROR(INDEX(전개결과!$M$6:$M$1205,MATCH("R"&amp;10,전개결과!$L$6:$L$1205,0)),"")</f>
        <v/>
      </c>
      <c r="E15" s="40" t="str">
        <f>IF($D15="","",IFERROR(INDEX(품목목록!$B$3:$B$302,MATCH($D15,품목목록!$A$3:$A$302,0)),""))</f>
        <v/>
      </c>
      <c r="F15" s="47" t="str">
        <f>IF($D15="","",IFERROR(INDEX(품목목록!$D$3:$D$302,MATCH($D15,품목목록!$A$3:$A$302,0)),""))</f>
        <v/>
      </c>
      <c r="G15" s="49" t="str">
        <f>IFERROR(INDEX(전개결과!$N$6:$N$1205,MATCH("R"&amp;10,전개결과!$L$6:$L$1205,0)),"")</f>
        <v/>
      </c>
      <c r="H15" s="40" t="str">
        <f>IF($D15="","",IFERROR(INDEX(전개결과!$Q$6:$Q$1205,MATCH("R"&amp;10,전개결과!$L$6:$L$1205,0)),""))</f>
        <v/>
      </c>
      <c r="J15" s="50" t="b">
        <f>IF(발주접수!$D3="",FALSE(),IF(발주접수!$F3="세트",COUNTIF(세트구성!$G$3:$G$302,발주접수!$D3&amp;"|"&amp;10)&gt;0,9=0))</f>
        <v>0</v>
      </c>
      <c r="K15" s="34" t="str">
        <f>IF($J15=FALSE(),"",COUNTIF($J$6:$J15,TRUE()))</f>
        <v/>
      </c>
      <c r="L15" s="34" t="str">
        <f>IF($K15="","","R"&amp;$K15)</f>
        <v/>
      </c>
      <c r="M15" s="34" t="str">
        <f>IF($J15=FALSE(),"",IF(발주접수!$F3="세트",IFERROR(INDEX(세트구성!$C$3:$C$302,MATCH(발주접수!$D3&amp;"|"&amp;10,세트구성!$G$3:$G$302,0)),""),발주접수!$D3))</f>
        <v/>
      </c>
      <c r="N15" s="34" t="str">
        <f>IF($J15=FALSE(),"",IF(발주접수!$F3="세트",발주접수!$G3*IFERROR(INDEX(세트구성!$E$3:$E$302,MATCH(발주접수!$D3&amp;"|"&amp;10,세트구성!$G$3:$G$302,0)),0),발주접수!$G3))</f>
        <v/>
      </c>
      <c r="O15" s="34" t="str">
        <f>IF($J15=FALSE(),"",발주접수!$B3)</f>
        <v/>
      </c>
      <c r="P15" s="34" t="str">
        <f>IF($J15=FALSE(),"",발주접수!$C3)</f>
        <v/>
      </c>
      <c r="Q15" s="34" t="str">
        <f>IF($J15=FALSE(),"",IF(발주접수!$F3="세트",발주접수!$E3&amp;" 전개","직접 발주"))</f>
        <v/>
      </c>
    </row>
    <row r="16" ht="15" customHeight="1" s="30">
      <c r="A16" s="47" t="str">
        <f>IF($D16="","",11)</f>
        <v/>
      </c>
      <c r="B16" s="48" t="str">
        <f>IFERROR(INDEX(전개결과!$O$6:$O$1205,MATCH("R"&amp;11,전개결과!$L$6:$L$1205,0)),"")</f>
        <v/>
      </c>
      <c r="C16" s="40" t="str">
        <f>IF($D16="","",IFERROR(INDEX(전개결과!$P$6:$P$1205,MATCH("R"&amp;11,전개결과!$L$6:$L$1205,0)),""))</f>
        <v/>
      </c>
      <c r="D16" s="40" t="str">
        <f>IFERROR(INDEX(전개결과!$M$6:$M$1205,MATCH("R"&amp;11,전개결과!$L$6:$L$1205,0)),"")</f>
        <v/>
      </c>
      <c r="E16" s="40" t="str">
        <f>IF($D16="","",IFERROR(INDEX(품목목록!$B$3:$B$302,MATCH($D16,품목목록!$A$3:$A$302,0)),""))</f>
        <v/>
      </c>
      <c r="F16" s="47" t="str">
        <f>IF($D16="","",IFERROR(INDEX(품목목록!$D$3:$D$302,MATCH($D16,품목목록!$A$3:$A$302,0)),""))</f>
        <v/>
      </c>
      <c r="G16" s="49" t="str">
        <f>IFERROR(INDEX(전개결과!$N$6:$N$1205,MATCH("R"&amp;11,전개결과!$L$6:$L$1205,0)),"")</f>
        <v/>
      </c>
      <c r="H16" s="40" t="str">
        <f>IF($D16="","",IFERROR(INDEX(전개결과!$Q$6:$Q$1205,MATCH("R"&amp;11,전개결과!$L$6:$L$1205,0)),""))</f>
        <v/>
      </c>
      <c r="J16" s="50" t="b">
        <f>IF(발주접수!$D4="",FALSE(),IF(발주접수!$F4="세트",COUNTIF(세트구성!$G$3:$G$302,발주접수!$D4&amp;"|"&amp;1)&gt;0,0=0))</f>
        <v>1</v>
      </c>
      <c r="K16" s="34" t="n">
        <f>IF($J16=FALSE(),"",COUNTIF($J$6:$J16,TRUE()))</f>
        <v>4</v>
      </c>
      <c r="L16" s="34" t="str">
        <f>IF($K16="","","R"&amp;$K16)</f>
        <v>R4</v>
      </c>
      <c r="M16" s="34" t="str">
        <f>IF($J16=FALSE(),"",IF(발주접수!$F4="세트",IFERROR(INDEX(세트구성!$C$3:$C$302,MATCH(발주접수!$D4&amp;"|"&amp;1,세트구성!$G$3:$G$302,0)),""),발주접수!$D4))</f>
        <v>P001</v>
      </c>
      <c r="N16" s="52" t="n">
        <f>IF($J16=FALSE(),"",IF(발주접수!$F4="세트",발주접수!$G4*IFERROR(INDEX(세트구성!$E$3:$E$302,MATCH(발주접수!$D4&amp;"|"&amp;1,세트구성!$G$3:$G$302,0)),0),발주접수!$G4))</f>
        <v>10</v>
      </c>
      <c r="O16" s="51" t="n">
        <f>IF($J16=FALSE(),"",발주접수!$B4)</f>
        <v>46275</v>
      </c>
      <c r="P16" s="34" t="str">
        <f>IF($J16=FALSE(),"",발주접수!$C4)</f>
        <v>○○마트</v>
      </c>
      <c r="Q16" s="34" t="str">
        <f>IF($J16=FALSE(),"",IF(발주접수!$F4="세트",발주접수!$E4&amp;" 전개","직접 발주"))</f>
        <v>직접 발주</v>
      </c>
    </row>
    <row r="17" ht="15" customHeight="1" s="30">
      <c r="A17" s="47" t="str">
        <f>IF($D17="","",12)</f>
        <v/>
      </c>
      <c r="B17" s="48" t="str">
        <f>IFERROR(INDEX(전개결과!$O$6:$O$1205,MATCH("R"&amp;12,전개결과!$L$6:$L$1205,0)),"")</f>
        <v/>
      </c>
      <c r="C17" s="40" t="str">
        <f>IF($D17="","",IFERROR(INDEX(전개결과!$P$6:$P$1205,MATCH("R"&amp;12,전개결과!$L$6:$L$1205,0)),""))</f>
        <v/>
      </c>
      <c r="D17" s="40" t="str">
        <f>IFERROR(INDEX(전개결과!$M$6:$M$1205,MATCH("R"&amp;12,전개결과!$L$6:$L$1205,0)),"")</f>
        <v/>
      </c>
      <c r="E17" s="40" t="str">
        <f>IF($D17="","",IFERROR(INDEX(품목목록!$B$3:$B$302,MATCH($D17,품목목록!$A$3:$A$302,0)),""))</f>
        <v/>
      </c>
      <c r="F17" s="47" t="str">
        <f>IF($D17="","",IFERROR(INDEX(품목목록!$D$3:$D$302,MATCH($D17,품목목록!$A$3:$A$302,0)),""))</f>
        <v/>
      </c>
      <c r="G17" s="49" t="str">
        <f>IFERROR(INDEX(전개결과!$N$6:$N$1205,MATCH("R"&amp;12,전개결과!$L$6:$L$1205,0)),"")</f>
        <v/>
      </c>
      <c r="H17" s="40" t="str">
        <f>IF($D17="","",IFERROR(INDEX(전개결과!$Q$6:$Q$1205,MATCH("R"&amp;12,전개결과!$L$6:$L$1205,0)),""))</f>
        <v/>
      </c>
      <c r="J17" s="50" t="b">
        <f>IF(발주접수!$D4="",FALSE(),IF(발주접수!$F4="세트",COUNTIF(세트구성!$G$3:$G$302,발주접수!$D4&amp;"|"&amp;2)&gt;0,1=0))</f>
        <v>0</v>
      </c>
      <c r="K17" s="34" t="str">
        <f>IF($J17=FALSE(),"",COUNTIF($J$6:$J17,TRUE()))</f>
        <v/>
      </c>
      <c r="L17" s="34" t="str">
        <f>IF($K17="","","R"&amp;$K17)</f>
        <v/>
      </c>
      <c r="M17" s="34" t="str">
        <f>IF($J17=FALSE(),"",IF(발주접수!$F4="세트",IFERROR(INDEX(세트구성!$C$3:$C$302,MATCH(발주접수!$D4&amp;"|"&amp;2,세트구성!$G$3:$G$302,0)),""),발주접수!$D4))</f>
        <v/>
      </c>
      <c r="N17" s="34" t="str">
        <f>IF($J17=FALSE(),"",IF(발주접수!$F4="세트",발주접수!$G4*IFERROR(INDEX(세트구성!$E$3:$E$302,MATCH(발주접수!$D4&amp;"|"&amp;2,세트구성!$G$3:$G$302,0)),0),발주접수!$G4))</f>
        <v/>
      </c>
      <c r="O17" s="34" t="str">
        <f>IF($J17=FALSE(),"",발주접수!$B4)</f>
        <v/>
      </c>
      <c r="P17" s="34" t="str">
        <f>IF($J17=FALSE(),"",발주접수!$C4)</f>
        <v/>
      </c>
      <c r="Q17" s="34" t="str">
        <f>IF($J17=FALSE(),"",IF(발주접수!$F4="세트",발주접수!$E4&amp;" 전개","직접 발주"))</f>
        <v/>
      </c>
    </row>
    <row r="18" ht="15" customHeight="1" s="30">
      <c r="A18" s="47" t="str">
        <f>IF($D18="","",13)</f>
        <v/>
      </c>
      <c r="B18" s="48" t="str">
        <f>IFERROR(INDEX(전개결과!$O$6:$O$1205,MATCH("R"&amp;13,전개결과!$L$6:$L$1205,0)),"")</f>
        <v/>
      </c>
      <c r="C18" s="40" t="str">
        <f>IF($D18="","",IFERROR(INDEX(전개결과!$P$6:$P$1205,MATCH("R"&amp;13,전개결과!$L$6:$L$1205,0)),""))</f>
        <v/>
      </c>
      <c r="D18" s="40" t="str">
        <f>IFERROR(INDEX(전개결과!$M$6:$M$1205,MATCH("R"&amp;13,전개결과!$L$6:$L$1205,0)),"")</f>
        <v/>
      </c>
      <c r="E18" s="40" t="str">
        <f>IF($D18="","",IFERROR(INDEX(품목목록!$B$3:$B$302,MATCH($D18,품목목록!$A$3:$A$302,0)),""))</f>
        <v/>
      </c>
      <c r="F18" s="47" t="str">
        <f>IF($D18="","",IFERROR(INDEX(품목목록!$D$3:$D$302,MATCH($D18,품목목록!$A$3:$A$302,0)),""))</f>
        <v/>
      </c>
      <c r="G18" s="49" t="str">
        <f>IFERROR(INDEX(전개결과!$N$6:$N$1205,MATCH("R"&amp;13,전개결과!$L$6:$L$1205,0)),"")</f>
        <v/>
      </c>
      <c r="H18" s="40" t="str">
        <f>IF($D18="","",IFERROR(INDEX(전개결과!$Q$6:$Q$1205,MATCH("R"&amp;13,전개결과!$L$6:$L$1205,0)),""))</f>
        <v/>
      </c>
      <c r="J18" s="50" t="b">
        <f>IF(발주접수!$D4="",FALSE(),IF(발주접수!$F4="세트",COUNTIF(세트구성!$G$3:$G$302,발주접수!$D4&amp;"|"&amp;3)&gt;0,2=0))</f>
        <v>0</v>
      </c>
      <c r="K18" s="34" t="str">
        <f>IF($J18=FALSE(),"",COUNTIF($J$6:$J18,TRUE()))</f>
        <v/>
      </c>
      <c r="L18" s="34" t="str">
        <f>IF($K18="","","R"&amp;$K18)</f>
        <v/>
      </c>
      <c r="M18" s="34" t="str">
        <f>IF($J18=FALSE(),"",IF(발주접수!$F4="세트",IFERROR(INDEX(세트구성!$C$3:$C$302,MATCH(발주접수!$D4&amp;"|"&amp;3,세트구성!$G$3:$G$302,0)),""),발주접수!$D4))</f>
        <v/>
      </c>
      <c r="N18" s="34" t="str">
        <f>IF($J18=FALSE(),"",IF(발주접수!$F4="세트",발주접수!$G4*IFERROR(INDEX(세트구성!$E$3:$E$302,MATCH(발주접수!$D4&amp;"|"&amp;3,세트구성!$G$3:$G$302,0)),0),발주접수!$G4))</f>
        <v/>
      </c>
      <c r="O18" s="34" t="str">
        <f>IF($J18=FALSE(),"",발주접수!$B4)</f>
        <v/>
      </c>
      <c r="P18" s="34" t="str">
        <f>IF($J18=FALSE(),"",발주접수!$C4)</f>
        <v/>
      </c>
      <c r="Q18" s="34" t="str">
        <f>IF($J18=FALSE(),"",IF(발주접수!$F4="세트",발주접수!$E4&amp;" 전개","직접 발주"))</f>
        <v/>
      </c>
    </row>
    <row r="19" ht="15" customHeight="1" s="30">
      <c r="A19" s="47" t="str">
        <f>IF($D19="","",14)</f>
        <v/>
      </c>
      <c r="B19" s="48" t="str">
        <f>IFERROR(INDEX(전개결과!$O$6:$O$1205,MATCH("R"&amp;14,전개결과!$L$6:$L$1205,0)),"")</f>
        <v/>
      </c>
      <c r="C19" s="40" t="str">
        <f>IF($D19="","",IFERROR(INDEX(전개결과!$P$6:$P$1205,MATCH("R"&amp;14,전개결과!$L$6:$L$1205,0)),""))</f>
        <v/>
      </c>
      <c r="D19" s="40" t="str">
        <f>IFERROR(INDEX(전개결과!$M$6:$M$1205,MATCH("R"&amp;14,전개결과!$L$6:$L$1205,0)),"")</f>
        <v/>
      </c>
      <c r="E19" s="40" t="str">
        <f>IF($D19="","",IFERROR(INDEX(품목목록!$B$3:$B$302,MATCH($D19,품목목록!$A$3:$A$302,0)),""))</f>
        <v/>
      </c>
      <c r="F19" s="47" t="str">
        <f>IF($D19="","",IFERROR(INDEX(품목목록!$D$3:$D$302,MATCH($D19,품목목록!$A$3:$A$302,0)),""))</f>
        <v/>
      </c>
      <c r="G19" s="49" t="str">
        <f>IFERROR(INDEX(전개결과!$N$6:$N$1205,MATCH("R"&amp;14,전개결과!$L$6:$L$1205,0)),"")</f>
        <v/>
      </c>
      <c r="H19" s="40" t="str">
        <f>IF($D19="","",IFERROR(INDEX(전개결과!$Q$6:$Q$1205,MATCH("R"&amp;14,전개결과!$L$6:$L$1205,0)),""))</f>
        <v/>
      </c>
      <c r="J19" s="50" t="b">
        <f>IF(발주접수!$D4="",FALSE(),IF(발주접수!$F4="세트",COUNTIF(세트구성!$G$3:$G$302,발주접수!$D4&amp;"|"&amp;4)&gt;0,3=0))</f>
        <v>0</v>
      </c>
      <c r="K19" s="34" t="str">
        <f>IF($J19=FALSE(),"",COUNTIF($J$6:$J19,TRUE()))</f>
        <v/>
      </c>
      <c r="L19" s="34" t="str">
        <f>IF($K19="","","R"&amp;$K19)</f>
        <v/>
      </c>
      <c r="M19" s="34" t="str">
        <f>IF($J19=FALSE(),"",IF(발주접수!$F4="세트",IFERROR(INDEX(세트구성!$C$3:$C$302,MATCH(발주접수!$D4&amp;"|"&amp;4,세트구성!$G$3:$G$302,0)),""),발주접수!$D4))</f>
        <v/>
      </c>
      <c r="N19" s="34" t="str">
        <f>IF($J19=FALSE(),"",IF(발주접수!$F4="세트",발주접수!$G4*IFERROR(INDEX(세트구성!$E$3:$E$302,MATCH(발주접수!$D4&amp;"|"&amp;4,세트구성!$G$3:$G$302,0)),0),발주접수!$G4))</f>
        <v/>
      </c>
      <c r="O19" s="34" t="str">
        <f>IF($J19=FALSE(),"",발주접수!$B4)</f>
        <v/>
      </c>
      <c r="P19" s="34" t="str">
        <f>IF($J19=FALSE(),"",발주접수!$C4)</f>
        <v/>
      </c>
      <c r="Q19" s="34" t="str">
        <f>IF($J19=FALSE(),"",IF(발주접수!$F4="세트",발주접수!$E4&amp;" 전개","직접 발주"))</f>
        <v/>
      </c>
    </row>
    <row r="20" ht="15" customHeight="1" s="30">
      <c r="A20" s="47" t="str">
        <f>IF($D20="","",15)</f>
        <v/>
      </c>
      <c r="B20" s="48" t="str">
        <f>IFERROR(INDEX(전개결과!$O$6:$O$1205,MATCH("R"&amp;15,전개결과!$L$6:$L$1205,0)),"")</f>
        <v/>
      </c>
      <c r="C20" s="40" t="str">
        <f>IF($D20="","",IFERROR(INDEX(전개결과!$P$6:$P$1205,MATCH("R"&amp;15,전개결과!$L$6:$L$1205,0)),""))</f>
        <v/>
      </c>
      <c r="D20" s="40" t="str">
        <f>IFERROR(INDEX(전개결과!$M$6:$M$1205,MATCH("R"&amp;15,전개결과!$L$6:$L$1205,0)),"")</f>
        <v/>
      </c>
      <c r="E20" s="40" t="str">
        <f>IF($D20="","",IFERROR(INDEX(품목목록!$B$3:$B$302,MATCH($D20,품목목록!$A$3:$A$302,0)),""))</f>
        <v/>
      </c>
      <c r="F20" s="47" t="str">
        <f>IF($D20="","",IFERROR(INDEX(품목목록!$D$3:$D$302,MATCH($D20,품목목록!$A$3:$A$302,0)),""))</f>
        <v/>
      </c>
      <c r="G20" s="49" t="str">
        <f>IFERROR(INDEX(전개결과!$N$6:$N$1205,MATCH("R"&amp;15,전개결과!$L$6:$L$1205,0)),"")</f>
        <v/>
      </c>
      <c r="H20" s="40" t="str">
        <f>IF($D20="","",IFERROR(INDEX(전개결과!$Q$6:$Q$1205,MATCH("R"&amp;15,전개결과!$L$6:$L$1205,0)),""))</f>
        <v/>
      </c>
      <c r="J20" s="50" t="b">
        <f>IF(발주접수!$D4="",FALSE(),IF(발주접수!$F4="세트",COUNTIF(세트구성!$G$3:$G$302,발주접수!$D4&amp;"|"&amp;5)&gt;0,4=0))</f>
        <v>0</v>
      </c>
      <c r="K20" s="34" t="str">
        <f>IF($J20=FALSE(),"",COUNTIF($J$6:$J20,TRUE()))</f>
        <v/>
      </c>
      <c r="L20" s="34" t="str">
        <f>IF($K20="","","R"&amp;$K20)</f>
        <v/>
      </c>
      <c r="M20" s="34" t="str">
        <f>IF($J20=FALSE(),"",IF(발주접수!$F4="세트",IFERROR(INDEX(세트구성!$C$3:$C$302,MATCH(발주접수!$D4&amp;"|"&amp;5,세트구성!$G$3:$G$302,0)),""),발주접수!$D4))</f>
        <v/>
      </c>
      <c r="N20" s="34" t="str">
        <f>IF($J20=FALSE(),"",IF(발주접수!$F4="세트",발주접수!$G4*IFERROR(INDEX(세트구성!$E$3:$E$302,MATCH(발주접수!$D4&amp;"|"&amp;5,세트구성!$G$3:$G$302,0)),0),발주접수!$G4))</f>
        <v/>
      </c>
      <c r="O20" s="34" t="str">
        <f>IF($J20=FALSE(),"",발주접수!$B4)</f>
        <v/>
      </c>
      <c r="P20" s="34" t="str">
        <f>IF($J20=FALSE(),"",발주접수!$C4)</f>
        <v/>
      </c>
      <c r="Q20" s="34" t="str">
        <f>IF($J20=FALSE(),"",IF(발주접수!$F4="세트",발주접수!$E4&amp;" 전개","직접 발주"))</f>
        <v/>
      </c>
    </row>
    <row r="21" ht="15" customHeight="1" s="30">
      <c r="A21" s="47" t="str">
        <f>IF($D21="","",16)</f>
        <v/>
      </c>
      <c r="B21" s="48" t="str">
        <f>IFERROR(INDEX(전개결과!$O$6:$O$1205,MATCH("R"&amp;16,전개결과!$L$6:$L$1205,0)),"")</f>
        <v/>
      </c>
      <c r="C21" s="40" t="str">
        <f>IF($D21="","",IFERROR(INDEX(전개결과!$P$6:$P$1205,MATCH("R"&amp;16,전개결과!$L$6:$L$1205,0)),""))</f>
        <v/>
      </c>
      <c r="D21" s="40" t="str">
        <f>IFERROR(INDEX(전개결과!$M$6:$M$1205,MATCH("R"&amp;16,전개결과!$L$6:$L$1205,0)),"")</f>
        <v/>
      </c>
      <c r="E21" s="40" t="str">
        <f>IF($D21="","",IFERROR(INDEX(품목목록!$B$3:$B$302,MATCH($D21,품목목록!$A$3:$A$302,0)),""))</f>
        <v/>
      </c>
      <c r="F21" s="47" t="str">
        <f>IF($D21="","",IFERROR(INDEX(품목목록!$D$3:$D$302,MATCH($D21,품목목록!$A$3:$A$302,0)),""))</f>
        <v/>
      </c>
      <c r="G21" s="49" t="str">
        <f>IFERROR(INDEX(전개결과!$N$6:$N$1205,MATCH("R"&amp;16,전개결과!$L$6:$L$1205,0)),"")</f>
        <v/>
      </c>
      <c r="H21" s="40" t="str">
        <f>IF($D21="","",IFERROR(INDEX(전개결과!$Q$6:$Q$1205,MATCH("R"&amp;16,전개결과!$L$6:$L$1205,0)),""))</f>
        <v/>
      </c>
      <c r="J21" s="50" t="b">
        <f>IF(발주접수!$D4="",FALSE(),IF(발주접수!$F4="세트",COUNTIF(세트구성!$G$3:$G$302,발주접수!$D4&amp;"|"&amp;6)&gt;0,5=0))</f>
        <v>0</v>
      </c>
      <c r="K21" s="34" t="str">
        <f>IF($J21=FALSE(),"",COUNTIF($J$6:$J21,TRUE()))</f>
        <v/>
      </c>
      <c r="L21" s="34" t="str">
        <f>IF($K21="","","R"&amp;$K21)</f>
        <v/>
      </c>
      <c r="M21" s="34" t="str">
        <f>IF($J21=FALSE(),"",IF(발주접수!$F4="세트",IFERROR(INDEX(세트구성!$C$3:$C$302,MATCH(발주접수!$D4&amp;"|"&amp;6,세트구성!$G$3:$G$302,0)),""),발주접수!$D4))</f>
        <v/>
      </c>
      <c r="N21" s="34" t="str">
        <f>IF($J21=FALSE(),"",IF(발주접수!$F4="세트",발주접수!$G4*IFERROR(INDEX(세트구성!$E$3:$E$302,MATCH(발주접수!$D4&amp;"|"&amp;6,세트구성!$G$3:$G$302,0)),0),발주접수!$G4))</f>
        <v/>
      </c>
      <c r="O21" s="34" t="str">
        <f>IF($J21=FALSE(),"",발주접수!$B4)</f>
        <v/>
      </c>
      <c r="P21" s="34" t="str">
        <f>IF($J21=FALSE(),"",발주접수!$C4)</f>
        <v/>
      </c>
      <c r="Q21" s="34" t="str">
        <f>IF($J21=FALSE(),"",IF(발주접수!$F4="세트",발주접수!$E4&amp;" 전개","직접 발주"))</f>
        <v/>
      </c>
    </row>
    <row r="22" ht="15" customHeight="1" s="30">
      <c r="A22" s="47" t="str">
        <f>IF($D22="","",17)</f>
        <v/>
      </c>
      <c r="B22" s="48" t="str">
        <f>IFERROR(INDEX(전개결과!$O$6:$O$1205,MATCH("R"&amp;17,전개결과!$L$6:$L$1205,0)),"")</f>
        <v/>
      </c>
      <c r="C22" s="40" t="str">
        <f>IF($D22="","",IFERROR(INDEX(전개결과!$P$6:$P$1205,MATCH("R"&amp;17,전개결과!$L$6:$L$1205,0)),""))</f>
        <v/>
      </c>
      <c r="D22" s="40" t="str">
        <f>IFERROR(INDEX(전개결과!$M$6:$M$1205,MATCH("R"&amp;17,전개결과!$L$6:$L$1205,0)),"")</f>
        <v/>
      </c>
      <c r="E22" s="40" t="str">
        <f>IF($D22="","",IFERROR(INDEX(품목목록!$B$3:$B$302,MATCH($D22,품목목록!$A$3:$A$302,0)),""))</f>
        <v/>
      </c>
      <c r="F22" s="47" t="str">
        <f>IF($D22="","",IFERROR(INDEX(품목목록!$D$3:$D$302,MATCH($D22,품목목록!$A$3:$A$302,0)),""))</f>
        <v/>
      </c>
      <c r="G22" s="49" t="str">
        <f>IFERROR(INDEX(전개결과!$N$6:$N$1205,MATCH("R"&amp;17,전개결과!$L$6:$L$1205,0)),"")</f>
        <v/>
      </c>
      <c r="H22" s="40" t="str">
        <f>IF($D22="","",IFERROR(INDEX(전개결과!$Q$6:$Q$1205,MATCH("R"&amp;17,전개결과!$L$6:$L$1205,0)),""))</f>
        <v/>
      </c>
      <c r="J22" s="50" t="b">
        <f>IF(발주접수!$D4="",FALSE(),IF(발주접수!$F4="세트",COUNTIF(세트구성!$G$3:$G$302,발주접수!$D4&amp;"|"&amp;7)&gt;0,6=0))</f>
        <v>0</v>
      </c>
      <c r="K22" s="34" t="str">
        <f>IF($J22=FALSE(),"",COUNTIF($J$6:$J22,TRUE()))</f>
        <v/>
      </c>
      <c r="L22" s="34" t="str">
        <f>IF($K22="","","R"&amp;$K22)</f>
        <v/>
      </c>
      <c r="M22" s="34" t="str">
        <f>IF($J22=FALSE(),"",IF(발주접수!$F4="세트",IFERROR(INDEX(세트구성!$C$3:$C$302,MATCH(발주접수!$D4&amp;"|"&amp;7,세트구성!$G$3:$G$302,0)),""),발주접수!$D4))</f>
        <v/>
      </c>
      <c r="N22" s="34" t="str">
        <f>IF($J22=FALSE(),"",IF(발주접수!$F4="세트",발주접수!$G4*IFERROR(INDEX(세트구성!$E$3:$E$302,MATCH(발주접수!$D4&amp;"|"&amp;7,세트구성!$G$3:$G$302,0)),0),발주접수!$G4))</f>
        <v/>
      </c>
      <c r="O22" s="34" t="str">
        <f>IF($J22=FALSE(),"",발주접수!$B4)</f>
        <v/>
      </c>
      <c r="P22" s="34" t="str">
        <f>IF($J22=FALSE(),"",발주접수!$C4)</f>
        <v/>
      </c>
      <c r="Q22" s="34" t="str">
        <f>IF($J22=FALSE(),"",IF(발주접수!$F4="세트",발주접수!$E4&amp;" 전개","직접 발주"))</f>
        <v/>
      </c>
    </row>
    <row r="23" ht="15" customHeight="1" s="30">
      <c r="A23" s="47" t="str">
        <f>IF($D23="","",18)</f>
        <v/>
      </c>
      <c r="B23" s="48" t="str">
        <f>IFERROR(INDEX(전개결과!$O$6:$O$1205,MATCH("R"&amp;18,전개결과!$L$6:$L$1205,0)),"")</f>
        <v/>
      </c>
      <c r="C23" s="40" t="str">
        <f>IF($D23="","",IFERROR(INDEX(전개결과!$P$6:$P$1205,MATCH("R"&amp;18,전개결과!$L$6:$L$1205,0)),""))</f>
        <v/>
      </c>
      <c r="D23" s="40" t="str">
        <f>IFERROR(INDEX(전개결과!$M$6:$M$1205,MATCH("R"&amp;18,전개결과!$L$6:$L$1205,0)),"")</f>
        <v/>
      </c>
      <c r="E23" s="40" t="str">
        <f>IF($D23="","",IFERROR(INDEX(품목목록!$B$3:$B$302,MATCH($D23,품목목록!$A$3:$A$302,0)),""))</f>
        <v/>
      </c>
      <c r="F23" s="47" t="str">
        <f>IF($D23="","",IFERROR(INDEX(품목목록!$D$3:$D$302,MATCH($D23,품목목록!$A$3:$A$302,0)),""))</f>
        <v/>
      </c>
      <c r="G23" s="49" t="str">
        <f>IFERROR(INDEX(전개결과!$N$6:$N$1205,MATCH("R"&amp;18,전개결과!$L$6:$L$1205,0)),"")</f>
        <v/>
      </c>
      <c r="H23" s="40" t="str">
        <f>IF($D23="","",IFERROR(INDEX(전개결과!$Q$6:$Q$1205,MATCH("R"&amp;18,전개결과!$L$6:$L$1205,0)),""))</f>
        <v/>
      </c>
      <c r="J23" s="50" t="b">
        <f>IF(발주접수!$D4="",FALSE(),IF(발주접수!$F4="세트",COUNTIF(세트구성!$G$3:$G$302,발주접수!$D4&amp;"|"&amp;8)&gt;0,7=0))</f>
        <v>0</v>
      </c>
      <c r="K23" s="34" t="str">
        <f>IF($J23=FALSE(),"",COUNTIF($J$6:$J23,TRUE()))</f>
        <v/>
      </c>
      <c r="L23" s="34" t="str">
        <f>IF($K23="","","R"&amp;$K23)</f>
        <v/>
      </c>
      <c r="M23" s="34" t="str">
        <f>IF($J23=FALSE(),"",IF(발주접수!$F4="세트",IFERROR(INDEX(세트구성!$C$3:$C$302,MATCH(발주접수!$D4&amp;"|"&amp;8,세트구성!$G$3:$G$302,0)),""),발주접수!$D4))</f>
        <v/>
      </c>
      <c r="N23" s="34" t="str">
        <f>IF($J23=FALSE(),"",IF(발주접수!$F4="세트",발주접수!$G4*IFERROR(INDEX(세트구성!$E$3:$E$302,MATCH(발주접수!$D4&amp;"|"&amp;8,세트구성!$G$3:$G$302,0)),0),발주접수!$G4))</f>
        <v/>
      </c>
      <c r="O23" s="34" t="str">
        <f>IF($J23=FALSE(),"",발주접수!$B4)</f>
        <v/>
      </c>
      <c r="P23" s="34" t="str">
        <f>IF($J23=FALSE(),"",발주접수!$C4)</f>
        <v/>
      </c>
      <c r="Q23" s="34" t="str">
        <f>IF($J23=FALSE(),"",IF(발주접수!$F4="세트",발주접수!$E4&amp;" 전개","직접 발주"))</f>
        <v/>
      </c>
    </row>
    <row r="24" ht="15" customHeight="1" s="30">
      <c r="A24" s="47" t="str">
        <f>IF($D24="","",19)</f>
        <v/>
      </c>
      <c r="B24" s="48" t="str">
        <f>IFERROR(INDEX(전개결과!$O$6:$O$1205,MATCH("R"&amp;19,전개결과!$L$6:$L$1205,0)),"")</f>
        <v/>
      </c>
      <c r="C24" s="40" t="str">
        <f>IF($D24="","",IFERROR(INDEX(전개결과!$P$6:$P$1205,MATCH("R"&amp;19,전개결과!$L$6:$L$1205,0)),""))</f>
        <v/>
      </c>
      <c r="D24" s="40" t="str">
        <f>IFERROR(INDEX(전개결과!$M$6:$M$1205,MATCH("R"&amp;19,전개결과!$L$6:$L$1205,0)),"")</f>
        <v/>
      </c>
      <c r="E24" s="40" t="str">
        <f>IF($D24="","",IFERROR(INDEX(품목목록!$B$3:$B$302,MATCH($D24,품목목록!$A$3:$A$302,0)),""))</f>
        <v/>
      </c>
      <c r="F24" s="47" t="str">
        <f>IF($D24="","",IFERROR(INDEX(품목목록!$D$3:$D$302,MATCH($D24,품목목록!$A$3:$A$302,0)),""))</f>
        <v/>
      </c>
      <c r="G24" s="49" t="str">
        <f>IFERROR(INDEX(전개결과!$N$6:$N$1205,MATCH("R"&amp;19,전개결과!$L$6:$L$1205,0)),"")</f>
        <v/>
      </c>
      <c r="H24" s="40" t="str">
        <f>IF($D24="","",IFERROR(INDEX(전개결과!$Q$6:$Q$1205,MATCH("R"&amp;19,전개결과!$L$6:$L$1205,0)),""))</f>
        <v/>
      </c>
      <c r="J24" s="50" t="b">
        <f>IF(발주접수!$D4="",FALSE(),IF(발주접수!$F4="세트",COUNTIF(세트구성!$G$3:$G$302,발주접수!$D4&amp;"|"&amp;9)&gt;0,8=0))</f>
        <v>0</v>
      </c>
      <c r="K24" s="34" t="str">
        <f>IF($J24=FALSE(),"",COUNTIF($J$6:$J24,TRUE()))</f>
        <v/>
      </c>
      <c r="L24" s="34" t="str">
        <f>IF($K24="","","R"&amp;$K24)</f>
        <v/>
      </c>
      <c r="M24" s="34" t="str">
        <f>IF($J24=FALSE(),"",IF(발주접수!$F4="세트",IFERROR(INDEX(세트구성!$C$3:$C$302,MATCH(발주접수!$D4&amp;"|"&amp;9,세트구성!$G$3:$G$302,0)),""),발주접수!$D4))</f>
        <v/>
      </c>
      <c r="N24" s="34" t="str">
        <f>IF($J24=FALSE(),"",IF(발주접수!$F4="세트",발주접수!$G4*IFERROR(INDEX(세트구성!$E$3:$E$302,MATCH(발주접수!$D4&amp;"|"&amp;9,세트구성!$G$3:$G$302,0)),0),발주접수!$G4))</f>
        <v/>
      </c>
      <c r="O24" s="34" t="str">
        <f>IF($J24=FALSE(),"",발주접수!$B4)</f>
        <v/>
      </c>
      <c r="P24" s="34" t="str">
        <f>IF($J24=FALSE(),"",발주접수!$C4)</f>
        <v/>
      </c>
      <c r="Q24" s="34" t="str">
        <f>IF($J24=FALSE(),"",IF(발주접수!$F4="세트",발주접수!$E4&amp;" 전개","직접 발주"))</f>
        <v/>
      </c>
    </row>
    <row r="25" ht="15" customHeight="1" s="30">
      <c r="A25" s="47" t="str">
        <f>IF($D25="","",20)</f>
        <v/>
      </c>
      <c r="B25" s="48" t="str">
        <f>IFERROR(INDEX(전개결과!$O$6:$O$1205,MATCH("R"&amp;20,전개결과!$L$6:$L$1205,0)),"")</f>
        <v/>
      </c>
      <c r="C25" s="40" t="str">
        <f>IF($D25="","",IFERROR(INDEX(전개결과!$P$6:$P$1205,MATCH("R"&amp;20,전개결과!$L$6:$L$1205,0)),""))</f>
        <v/>
      </c>
      <c r="D25" s="40" t="str">
        <f>IFERROR(INDEX(전개결과!$M$6:$M$1205,MATCH("R"&amp;20,전개결과!$L$6:$L$1205,0)),"")</f>
        <v/>
      </c>
      <c r="E25" s="40" t="str">
        <f>IF($D25="","",IFERROR(INDEX(품목목록!$B$3:$B$302,MATCH($D25,품목목록!$A$3:$A$302,0)),""))</f>
        <v/>
      </c>
      <c r="F25" s="47" t="str">
        <f>IF($D25="","",IFERROR(INDEX(품목목록!$D$3:$D$302,MATCH($D25,품목목록!$A$3:$A$302,0)),""))</f>
        <v/>
      </c>
      <c r="G25" s="49" t="str">
        <f>IFERROR(INDEX(전개결과!$N$6:$N$1205,MATCH("R"&amp;20,전개결과!$L$6:$L$1205,0)),"")</f>
        <v/>
      </c>
      <c r="H25" s="40" t="str">
        <f>IF($D25="","",IFERROR(INDEX(전개결과!$Q$6:$Q$1205,MATCH("R"&amp;20,전개결과!$L$6:$L$1205,0)),""))</f>
        <v/>
      </c>
      <c r="J25" s="50" t="b">
        <f>IF(발주접수!$D4="",FALSE(),IF(발주접수!$F4="세트",COUNTIF(세트구성!$G$3:$G$302,발주접수!$D4&amp;"|"&amp;10)&gt;0,9=0))</f>
        <v>0</v>
      </c>
      <c r="K25" s="34" t="str">
        <f>IF($J25=FALSE(),"",COUNTIF($J$6:$J25,TRUE()))</f>
        <v/>
      </c>
      <c r="L25" s="34" t="str">
        <f>IF($K25="","","R"&amp;$K25)</f>
        <v/>
      </c>
      <c r="M25" s="34" t="str">
        <f>IF($J25=FALSE(),"",IF(발주접수!$F4="세트",IFERROR(INDEX(세트구성!$C$3:$C$302,MATCH(발주접수!$D4&amp;"|"&amp;10,세트구성!$G$3:$G$302,0)),""),발주접수!$D4))</f>
        <v/>
      </c>
      <c r="N25" s="34" t="str">
        <f>IF($J25=FALSE(),"",IF(발주접수!$F4="세트",발주접수!$G4*IFERROR(INDEX(세트구성!$E$3:$E$302,MATCH(발주접수!$D4&amp;"|"&amp;10,세트구성!$G$3:$G$302,0)),0),발주접수!$G4))</f>
        <v/>
      </c>
      <c r="O25" s="34" t="str">
        <f>IF($J25=FALSE(),"",발주접수!$B4)</f>
        <v/>
      </c>
      <c r="P25" s="34" t="str">
        <f>IF($J25=FALSE(),"",발주접수!$C4)</f>
        <v/>
      </c>
      <c r="Q25" s="34" t="str">
        <f>IF($J25=FALSE(),"",IF(발주접수!$F4="세트",발주접수!$E4&amp;" 전개","직접 발주"))</f>
        <v/>
      </c>
    </row>
    <row r="26" ht="15" customHeight="1" s="30">
      <c r="A26" s="47" t="str">
        <f>IF($D26="","",21)</f>
        <v/>
      </c>
      <c r="B26" s="48" t="str">
        <f>IFERROR(INDEX(전개결과!$O$6:$O$1205,MATCH("R"&amp;21,전개결과!$L$6:$L$1205,0)),"")</f>
        <v/>
      </c>
      <c r="C26" s="40" t="str">
        <f>IF($D26="","",IFERROR(INDEX(전개결과!$P$6:$P$1205,MATCH("R"&amp;21,전개결과!$L$6:$L$1205,0)),""))</f>
        <v/>
      </c>
      <c r="D26" s="40" t="str">
        <f>IFERROR(INDEX(전개결과!$M$6:$M$1205,MATCH("R"&amp;21,전개결과!$L$6:$L$1205,0)),"")</f>
        <v/>
      </c>
      <c r="E26" s="40" t="str">
        <f>IF($D26="","",IFERROR(INDEX(품목목록!$B$3:$B$302,MATCH($D26,품목목록!$A$3:$A$302,0)),""))</f>
        <v/>
      </c>
      <c r="F26" s="47" t="str">
        <f>IF($D26="","",IFERROR(INDEX(품목목록!$D$3:$D$302,MATCH($D26,품목목록!$A$3:$A$302,0)),""))</f>
        <v/>
      </c>
      <c r="G26" s="49" t="str">
        <f>IFERROR(INDEX(전개결과!$N$6:$N$1205,MATCH("R"&amp;21,전개결과!$L$6:$L$1205,0)),"")</f>
        <v/>
      </c>
      <c r="H26" s="40" t="str">
        <f>IF($D26="","",IFERROR(INDEX(전개결과!$Q$6:$Q$1205,MATCH("R"&amp;21,전개결과!$L$6:$L$1205,0)),""))</f>
        <v/>
      </c>
      <c r="J26" s="50" t="b">
        <f>IF(발주접수!$D5="",FALSE(),IF(발주접수!$F5="세트",COUNTIF(세트구성!$G$3:$G$302,발주접수!$D5&amp;"|"&amp;1)&gt;0,0=0))</f>
        <v>1</v>
      </c>
      <c r="K26" s="34" t="n">
        <f>IF($J26=FALSE(),"",COUNTIF($J$6:$J26,TRUE()))</f>
        <v>5</v>
      </c>
      <c r="L26" s="34" t="str">
        <f>IF($K26="","","R"&amp;$K26)</f>
        <v>R5</v>
      </c>
      <c r="M26" s="34" t="str">
        <f>IF($J26=FALSE(),"",IF(발주접수!$F5="세트",IFERROR(INDEX(세트구성!$C$3:$C$302,MATCH(발주접수!$D5&amp;"|"&amp;1,세트구성!$G$3:$G$302,0)),""),발주접수!$D5))</f>
        <v>P001</v>
      </c>
      <c r="N26" s="34" t="n">
        <f>IF($J26=FALSE(),"",IF(발주접수!$F5="세트",발주접수!$G5*IFERROR(INDEX(세트구성!$E$3:$E$302,MATCH(발주접수!$D5&amp;"|"&amp;1,세트구성!$G$3:$G$302,0)),0),발주접수!$G5))</f>
        <v>15</v>
      </c>
      <c r="O26" s="51" t="n">
        <f>IF($J26=FALSE(),"",발주접수!$B5)</f>
        <v>46276</v>
      </c>
      <c r="P26" s="34" t="str">
        <f>IF($J26=FALSE(),"",발주접수!$C5)</f>
        <v>△△백화점</v>
      </c>
      <c r="Q26" s="34" t="str">
        <f>IF($J26=FALSE(),"",IF(발주접수!$F5="세트",발주접수!$E5&amp;" 전개","직접 발주"))</f>
        <v>선물세트 B 전개</v>
      </c>
    </row>
    <row r="27" ht="15" customHeight="1" s="30">
      <c r="A27" s="47" t="str">
        <f>IF($D27="","",22)</f>
        <v/>
      </c>
      <c r="B27" s="48" t="str">
        <f>IFERROR(INDEX(전개결과!$O$6:$O$1205,MATCH("R"&amp;22,전개결과!$L$6:$L$1205,0)),"")</f>
        <v/>
      </c>
      <c r="C27" s="40" t="str">
        <f>IF($D27="","",IFERROR(INDEX(전개결과!$P$6:$P$1205,MATCH("R"&amp;22,전개결과!$L$6:$L$1205,0)),""))</f>
        <v/>
      </c>
      <c r="D27" s="40" t="str">
        <f>IFERROR(INDEX(전개결과!$M$6:$M$1205,MATCH("R"&amp;22,전개결과!$L$6:$L$1205,0)),"")</f>
        <v/>
      </c>
      <c r="E27" s="40" t="str">
        <f>IF($D27="","",IFERROR(INDEX(품목목록!$B$3:$B$302,MATCH($D27,품목목록!$A$3:$A$302,0)),""))</f>
        <v/>
      </c>
      <c r="F27" s="47" t="str">
        <f>IF($D27="","",IFERROR(INDEX(품목목록!$D$3:$D$302,MATCH($D27,품목목록!$A$3:$A$302,0)),""))</f>
        <v/>
      </c>
      <c r="G27" s="49" t="str">
        <f>IFERROR(INDEX(전개결과!$N$6:$N$1205,MATCH("R"&amp;22,전개결과!$L$6:$L$1205,0)),"")</f>
        <v/>
      </c>
      <c r="H27" s="40" t="str">
        <f>IF($D27="","",IFERROR(INDEX(전개결과!$Q$6:$Q$1205,MATCH("R"&amp;22,전개결과!$L$6:$L$1205,0)),""))</f>
        <v/>
      </c>
      <c r="J27" s="50" t="b">
        <f>IF(발주접수!$D5="",FALSE(),IF(발주접수!$F5="세트",COUNTIF(세트구성!$G$3:$G$302,발주접수!$D5&amp;"|"&amp;2)&gt;0,1=0))</f>
        <v>1</v>
      </c>
      <c r="K27" s="34" t="n">
        <f>IF($J27=FALSE(),"",COUNTIF($J$6:$J27,TRUE()))</f>
        <v>6</v>
      </c>
      <c r="L27" s="34" t="str">
        <f>IF($K27="","","R"&amp;$K27)</f>
        <v>R6</v>
      </c>
      <c r="M27" s="34" t="str">
        <f>IF($J27=FALSE(),"",IF(발주접수!$F5="세트",IFERROR(INDEX(세트구성!$C$3:$C$302,MATCH(발주접수!$D5&amp;"|"&amp;2,세트구성!$G$3:$G$302,0)),""),발주접수!$D5))</f>
        <v>P002</v>
      </c>
      <c r="N27" s="34" t="n">
        <f>IF($J27=FALSE(),"",IF(발주접수!$F5="세트",발주접수!$G5*IFERROR(INDEX(세트구성!$E$3:$E$302,MATCH(발주접수!$D5&amp;"|"&amp;2,세트구성!$G$3:$G$302,0)),0),발주접수!$G5))</f>
        <v>10</v>
      </c>
      <c r="O27" s="51" t="n">
        <f>IF($J27=FALSE(),"",발주접수!$B5)</f>
        <v>46276</v>
      </c>
      <c r="P27" s="34" t="str">
        <f>IF($J27=FALSE(),"",발주접수!$C5)</f>
        <v>△△백화점</v>
      </c>
      <c r="Q27" s="34" t="str">
        <f>IF($J27=FALSE(),"",IF(발주접수!$F5="세트",발주접수!$E5&amp;" 전개","직접 발주"))</f>
        <v>선물세트 B 전개</v>
      </c>
    </row>
    <row r="28" ht="15" customHeight="1" s="30">
      <c r="A28" s="47" t="str">
        <f>IF($D28="","",23)</f>
        <v/>
      </c>
      <c r="B28" s="48" t="str">
        <f>IFERROR(INDEX(전개결과!$O$6:$O$1205,MATCH("R"&amp;23,전개결과!$L$6:$L$1205,0)),"")</f>
        <v/>
      </c>
      <c r="C28" s="40" t="str">
        <f>IF($D28="","",IFERROR(INDEX(전개결과!$P$6:$P$1205,MATCH("R"&amp;23,전개결과!$L$6:$L$1205,0)),""))</f>
        <v/>
      </c>
      <c r="D28" s="40" t="str">
        <f>IFERROR(INDEX(전개결과!$M$6:$M$1205,MATCH("R"&amp;23,전개결과!$L$6:$L$1205,0)),"")</f>
        <v/>
      </c>
      <c r="E28" s="40" t="str">
        <f>IF($D28="","",IFERROR(INDEX(품목목록!$B$3:$B$302,MATCH($D28,품목목록!$A$3:$A$302,0)),""))</f>
        <v/>
      </c>
      <c r="F28" s="47" t="str">
        <f>IF($D28="","",IFERROR(INDEX(품목목록!$D$3:$D$302,MATCH($D28,품목목록!$A$3:$A$302,0)),""))</f>
        <v/>
      </c>
      <c r="G28" s="49" t="str">
        <f>IFERROR(INDEX(전개결과!$N$6:$N$1205,MATCH("R"&amp;23,전개결과!$L$6:$L$1205,0)),"")</f>
        <v/>
      </c>
      <c r="H28" s="40" t="str">
        <f>IF($D28="","",IFERROR(INDEX(전개결과!$Q$6:$Q$1205,MATCH("R"&amp;23,전개결과!$L$6:$L$1205,0)),""))</f>
        <v/>
      </c>
      <c r="J28" s="50" t="b">
        <f>IF(발주접수!$D5="",FALSE(),IF(발주접수!$F5="세트",COUNTIF(세트구성!$G$3:$G$302,발주접수!$D5&amp;"|"&amp;3)&gt;0,2=0))</f>
        <v>1</v>
      </c>
      <c r="K28" s="34" t="n">
        <f>IF($J28=FALSE(),"",COUNTIF($J$6:$J28,TRUE()))</f>
        <v>7</v>
      </c>
      <c r="L28" s="34" t="str">
        <f>IF($K28="","","R"&amp;$K28)</f>
        <v>R7</v>
      </c>
      <c r="M28" s="34" t="str">
        <f>IF($J28=FALSE(),"",IF(발주접수!$F5="세트",IFERROR(INDEX(세트구성!$C$3:$C$302,MATCH(발주접수!$D5&amp;"|"&amp;3,세트구성!$G$3:$G$302,0)),""),발주접수!$D5))</f>
        <v>P003</v>
      </c>
      <c r="N28" s="34" t="n">
        <f>IF($J28=FALSE(),"",IF(발주접수!$F5="세트",발주접수!$G5*IFERROR(INDEX(세트구성!$E$3:$E$302,MATCH(발주접수!$D5&amp;"|"&amp;3,세트구성!$G$3:$G$302,0)),0),발주접수!$G5))</f>
        <v>5</v>
      </c>
      <c r="O28" s="51" t="n">
        <f>IF($J28=FALSE(),"",발주접수!$B5)</f>
        <v>46276</v>
      </c>
      <c r="P28" s="34" t="str">
        <f>IF($J28=FALSE(),"",발주접수!$C5)</f>
        <v>△△백화점</v>
      </c>
      <c r="Q28" s="34" t="str">
        <f>IF($J28=FALSE(),"",IF(발주접수!$F5="세트",발주접수!$E5&amp;" 전개","직접 발주"))</f>
        <v>선물세트 B 전개</v>
      </c>
    </row>
    <row r="29" ht="15" customHeight="1" s="30">
      <c r="A29" s="47" t="str">
        <f>IF($D29="","",24)</f>
        <v/>
      </c>
      <c r="B29" s="48" t="str">
        <f>IFERROR(INDEX(전개결과!$O$6:$O$1205,MATCH("R"&amp;24,전개결과!$L$6:$L$1205,0)),"")</f>
        <v/>
      </c>
      <c r="C29" s="40" t="str">
        <f>IF($D29="","",IFERROR(INDEX(전개결과!$P$6:$P$1205,MATCH("R"&amp;24,전개결과!$L$6:$L$1205,0)),""))</f>
        <v/>
      </c>
      <c r="D29" s="40" t="str">
        <f>IFERROR(INDEX(전개결과!$M$6:$M$1205,MATCH("R"&amp;24,전개결과!$L$6:$L$1205,0)),"")</f>
        <v/>
      </c>
      <c r="E29" s="40" t="str">
        <f>IF($D29="","",IFERROR(INDEX(품목목록!$B$3:$B$302,MATCH($D29,품목목록!$A$3:$A$302,0)),""))</f>
        <v/>
      </c>
      <c r="F29" s="47" t="str">
        <f>IF($D29="","",IFERROR(INDEX(품목목록!$D$3:$D$302,MATCH($D29,품목목록!$A$3:$A$302,0)),""))</f>
        <v/>
      </c>
      <c r="G29" s="49" t="str">
        <f>IFERROR(INDEX(전개결과!$N$6:$N$1205,MATCH("R"&amp;24,전개결과!$L$6:$L$1205,0)),"")</f>
        <v/>
      </c>
      <c r="H29" s="40" t="str">
        <f>IF($D29="","",IFERROR(INDEX(전개결과!$Q$6:$Q$1205,MATCH("R"&amp;24,전개결과!$L$6:$L$1205,0)),""))</f>
        <v/>
      </c>
      <c r="J29" s="50" t="b">
        <f>IF(발주접수!$D5="",FALSE(),IF(발주접수!$F5="세트",COUNTIF(세트구성!$G$3:$G$302,발주접수!$D5&amp;"|"&amp;4)&gt;0,3=0))</f>
        <v>0</v>
      </c>
      <c r="K29" s="34" t="str">
        <f>IF($J29=FALSE(),"",COUNTIF($J$6:$J29,TRUE()))</f>
        <v/>
      </c>
      <c r="L29" s="34" t="str">
        <f>IF($K29="","","R"&amp;$K29)</f>
        <v/>
      </c>
      <c r="M29" s="34" t="str">
        <f>IF($J29=FALSE(),"",IF(발주접수!$F5="세트",IFERROR(INDEX(세트구성!$C$3:$C$302,MATCH(발주접수!$D5&amp;"|"&amp;4,세트구성!$G$3:$G$302,0)),""),발주접수!$D5))</f>
        <v/>
      </c>
      <c r="N29" s="34" t="str">
        <f>IF($J29=FALSE(),"",IF(발주접수!$F5="세트",발주접수!$G5*IFERROR(INDEX(세트구성!$E$3:$E$302,MATCH(발주접수!$D5&amp;"|"&amp;4,세트구성!$G$3:$G$302,0)),0),발주접수!$G5))</f>
        <v/>
      </c>
      <c r="O29" s="34" t="str">
        <f>IF($J29=FALSE(),"",발주접수!$B5)</f>
        <v/>
      </c>
      <c r="P29" s="34" t="str">
        <f>IF($J29=FALSE(),"",발주접수!$C5)</f>
        <v/>
      </c>
      <c r="Q29" s="34" t="str">
        <f>IF($J29=FALSE(),"",IF(발주접수!$F5="세트",발주접수!$E5&amp;" 전개","직접 발주"))</f>
        <v/>
      </c>
    </row>
    <row r="30" ht="15" customHeight="1" s="30">
      <c r="A30" s="47" t="str">
        <f>IF($D30="","",25)</f>
        <v/>
      </c>
      <c r="B30" s="48" t="str">
        <f>IFERROR(INDEX(전개결과!$O$6:$O$1205,MATCH("R"&amp;25,전개결과!$L$6:$L$1205,0)),"")</f>
        <v/>
      </c>
      <c r="C30" s="40" t="str">
        <f>IF($D30="","",IFERROR(INDEX(전개결과!$P$6:$P$1205,MATCH("R"&amp;25,전개결과!$L$6:$L$1205,0)),""))</f>
        <v/>
      </c>
      <c r="D30" s="40" t="str">
        <f>IFERROR(INDEX(전개결과!$M$6:$M$1205,MATCH("R"&amp;25,전개결과!$L$6:$L$1205,0)),"")</f>
        <v/>
      </c>
      <c r="E30" s="40" t="str">
        <f>IF($D30="","",IFERROR(INDEX(품목목록!$B$3:$B$302,MATCH($D30,품목목록!$A$3:$A$302,0)),""))</f>
        <v/>
      </c>
      <c r="F30" s="47" t="str">
        <f>IF($D30="","",IFERROR(INDEX(품목목록!$D$3:$D$302,MATCH($D30,품목목록!$A$3:$A$302,0)),""))</f>
        <v/>
      </c>
      <c r="G30" s="49" t="str">
        <f>IFERROR(INDEX(전개결과!$N$6:$N$1205,MATCH("R"&amp;25,전개결과!$L$6:$L$1205,0)),"")</f>
        <v/>
      </c>
      <c r="H30" s="40" t="str">
        <f>IF($D30="","",IFERROR(INDEX(전개결과!$Q$6:$Q$1205,MATCH("R"&amp;25,전개결과!$L$6:$L$1205,0)),""))</f>
        <v/>
      </c>
      <c r="J30" s="50" t="b">
        <f>IF(발주접수!$D5="",FALSE(),IF(발주접수!$F5="세트",COUNTIF(세트구성!$G$3:$G$302,발주접수!$D5&amp;"|"&amp;5)&gt;0,4=0))</f>
        <v>0</v>
      </c>
      <c r="K30" s="34" t="str">
        <f>IF($J30=FALSE(),"",COUNTIF($J$6:$J30,TRUE()))</f>
        <v/>
      </c>
      <c r="L30" s="34" t="str">
        <f>IF($K30="","","R"&amp;$K30)</f>
        <v/>
      </c>
      <c r="M30" s="34" t="str">
        <f>IF($J30=FALSE(),"",IF(발주접수!$F5="세트",IFERROR(INDEX(세트구성!$C$3:$C$302,MATCH(발주접수!$D5&amp;"|"&amp;5,세트구성!$G$3:$G$302,0)),""),발주접수!$D5))</f>
        <v/>
      </c>
      <c r="N30" s="34" t="str">
        <f>IF($J30=FALSE(),"",IF(발주접수!$F5="세트",발주접수!$G5*IFERROR(INDEX(세트구성!$E$3:$E$302,MATCH(발주접수!$D5&amp;"|"&amp;5,세트구성!$G$3:$G$302,0)),0),발주접수!$G5))</f>
        <v/>
      </c>
      <c r="O30" s="34" t="str">
        <f>IF($J30=FALSE(),"",발주접수!$B5)</f>
        <v/>
      </c>
      <c r="P30" s="34" t="str">
        <f>IF($J30=FALSE(),"",발주접수!$C5)</f>
        <v/>
      </c>
      <c r="Q30" s="34" t="str">
        <f>IF($J30=FALSE(),"",IF(발주접수!$F5="세트",발주접수!$E5&amp;" 전개","직접 발주"))</f>
        <v/>
      </c>
    </row>
    <row r="31" ht="15" customHeight="1" s="30">
      <c r="A31" s="47" t="str">
        <f>IF($D31="","",26)</f>
        <v/>
      </c>
      <c r="B31" s="48" t="str">
        <f>IFERROR(INDEX(전개결과!$O$6:$O$1205,MATCH("R"&amp;26,전개결과!$L$6:$L$1205,0)),"")</f>
        <v/>
      </c>
      <c r="C31" s="40" t="str">
        <f>IF($D31="","",IFERROR(INDEX(전개결과!$P$6:$P$1205,MATCH("R"&amp;26,전개결과!$L$6:$L$1205,0)),""))</f>
        <v/>
      </c>
      <c r="D31" s="40" t="str">
        <f>IFERROR(INDEX(전개결과!$M$6:$M$1205,MATCH("R"&amp;26,전개결과!$L$6:$L$1205,0)),"")</f>
        <v/>
      </c>
      <c r="E31" s="40" t="str">
        <f>IF($D31="","",IFERROR(INDEX(품목목록!$B$3:$B$302,MATCH($D31,품목목록!$A$3:$A$302,0)),""))</f>
        <v/>
      </c>
      <c r="F31" s="47" t="str">
        <f>IF($D31="","",IFERROR(INDEX(품목목록!$D$3:$D$302,MATCH($D31,품목목록!$A$3:$A$302,0)),""))</f>
        <v/>
      </c>
      <c r="G31" s="49" t="str">
        <f>IFERROR(INDEX(전개결과!$N$6:$N$1205,MATCH("R"&amp;26,전개결과!$L$6:$L$1205,0)),"")</f>
        <v/>
      </c>
      <c r="H31" s="40" t="str">
        <f>IF($D31="","",IFERROR(INDEX(전개결과!$Q$6:$Q$1205,MATCH("R"&amp;26,전개결과!$L$6:$L$1205,0)),""))</f>
        <v/>
      </c>
      <c r="J31" s="50" t="b">
        <f>IF(발주접수!$D5="",FALSE(),IF(발주접수!$F5="세트",COUNTIF(세트구성!$G$3:$G$302,발주접수!$D5&amp;"|"&amp;6)&gt;0,5=0))</f>
        <v>0</v>
      </c>
      <c r="K31" s="34" t="str">
        <f>IF($J31=FALSE(),"",COUNTIF($J$6:$J31,TRUE()))</f>
        <v/>
      </c>
      <c r="L31" s="34" t="str">
        <f>IF($K31="","","R"&amp;$K31)</f>
        <v/>
      </c>
      <c r="M31" s="34" t="str">
        <f>IF($J31=FALSE(),"",IF(발주접수!$F5="세트",IFERROR(INDEX(세트구성!$C$3:$C$302,MATCH(발주접수!$D5&amp;"|"&amp;6,세트구성!$G$3:$G$302,0)),""),발주접수!$D5))</f>
        <v/>
      </c>
      <c r="N31" s="34" t="str">
        <f>IF($J31=FALSE(),"",IF(발주접수!$F5="세트",발주접수!$G5*IFERROR(INDEX(세트구성!$E$3:$E$302,MATCH(발주접수!$D5&amp;"|"&amp;6,세트구성!$G$3:$G$302,0)),0),발주접수!$G5))</f>
        <v/>
      </c>
      <c r="O31" s="34" t="str">
        <f>IF($J31=FALSE(),"",발주접수!$B5)</f>
        <v/>
      </c>
      <c r="P31" s="34" t="str">
        <f>IF($J31=FALSE(),"",발주접수!$C5)</f>
        <v/>
      </c>
      <c r="Q31" s="34" t="str">
        <f>IF($J31=FALSE(),"",IF(발주접수!$F5="세트",발주접수!$E5&amp;" 전개","직접 발주"))</f>
        <v/>
      </c>
    </row>
    <row r="32" ht="15" customHeight="1" s="30">
      <c r="A32" s="47" t="str">
        <f>IF($D32="","",27)</f>
        <v/>
      </c>
      <c r="B32" s="48" t="str">
        <f>IFERROR(INDEX(전개결과!$O$6:$O$1205,MATCH("R"&amp;27,전개결과!$L$6:$L$1205,0)),"")</f>
        <v/>
      </c>
      <c r="C32" s="40" t="str">
        <f>IF($D32="","",IFERROR(INDEX(전개결과!$P$6:$P$1205,MATCH("R"&amp;27,전개결과!$L$6:$L$1205,0)),""))</f>
        <v/>
      </c>
      <c r="D32" s="40" t="str">
        <f>IFERROR(INDEX(전개결과!$M$6:$M$1205,MATCH("R"&amp;27,전개결과!$L$6:$L$1205,0)),"")</f>
        <v/>
      </c>
      <c r="E32" s="40" t="str">
        <f>IF($D32="","",IFERROR(INDEX(품목목록!$B$3:$B$302,MATCH($D32,품목목록!$A$3:$A$302,0)),""))</f>
        <v/>
      </c>
      <c r="F32" s="47" t="str">
        <f>IF($D32="","",IFERROR(INDEX(품목목록!$D$3:$D$302,MATCH($D32,품목목록!$A$3:$A$302,0)),""))</f>
        <v/>
      </c>
      <c r="G32" s="49" t="str">
        <f>IFERROR(INDEX(전개결과!$N$6:$N$1205,MATCH("R"&amp;27,전개결과!$L$6:$L$1205,0)),"")</f>
        <v/>
      </c>
      <c r="H32" s="40" t="str">
        <f>IF($D32="","",IFERROR(INDEX(전개결과!$Q$6:$Q$1205,MATCH("R"&amp;27,전개결과!$L$6:$L$1205,0)),""))</f>
        <v/>
      </c>
      <c r="J32" s="50" t="b">
        <f>IF(발주접수!$D5="",FALSE(),IF(발주접수!$F5="세트",COUNTIF(세트구성!$G$3:$G$302,발주접수!$D5&amp;"|"&amp;7)&gt;0,6=0))</f>
        <v>0</v>
      </c>
      <c r="K32" s="34" t="str">
        <f>IF($J32=FALSE(),"",COUNTIF($J$6:$J32,TRUE()))</f>
        <v/>
      </c>
      <c r="L32" s="34" t="str">
        <f>IF($K32="","","R"&amp;$K32)</f>
        <v/>
      </c>
      <c r="M32" s="34" t="str">
        <f>IF($J32=FALSE(),"",IF(발주접수!$F5="세트",IFERROR(INDEX(세트구성!$C$3:$C$302,MATCH(발주접수!$D5&amp;"|"&amp;7,세트구성!$G$3:$G$302,0)),""),발주접수!$D5))</f>
        <v/>
      </c>
      <c r="N32" s="34" t="str">
        <f>IF($J32=FALSE(),"",IF(발주접수!$F5="세트",발주접수!$G5*IFERROR(INDEX(세트구성!$E$3:$E$302,MATCH(발주접수!$D5&amp;"|"&amp;7,세트구성!$G$3:$G$302,0)),0),발주접수!$G5))</f>
        <v/>
      </c>
      <c r="O32" s="34" t="str">
        <f>IF($J32=FALSE(),"",발주접수!$B5)</f>
        <v/>
      </c>
      <c r="P32" s="34" t="str">
        <f>IF($J32=FALSE(),"",발주접수!$C5)</f>
        <v/>
      </c>
      <c r="Q32" s="34" t="str">
        <f>IF($J32=FALSE(),"",IF(발주접수!$F5="세트",발주접수!$E5&amp;" 전개","직접 발주"))</f>
        <v/>
      </c>
    </row>
    <row r="33" ht="15" customHeight="1" s="30">
      <c r="A33" s="47" t="str">
        <f>IF($D33="","",28)</f>
        <v/>
      </c>
      <c r="B33" s="48" t="str">
        <f>IFERROR(INDEX(전개결과!$O$6:$O$1205,MATCH("R"&amp;28,전개결과!$L$6:$L$1205,0)),"")</f>
        <v/>
      </c>
      <c r="C33" s="40" t="str">
        <f>IF($D33="","",IFERROR(INDEX(전개결과!$P$6:$P$1205,MATCH("R"&amp;28,전개결과!$L$6:$L$1205,0)),""))</f>
        <v/>
      </c>
      <c r="D33" s="40" t="str">
        <f>IFERROR(INDEX(전개결과!$M$6:$M$1205,MATCH("R"&amp;28,전개결과!$L$6:$L$1205,0)),"")</f>
        <v/>
      </c>
      <c r="E33" s="40" t="str">
        <f>IF($D33="","",IFERROR(INDEX(품목목록!$B$3:$B$302,MATCH($D33,품목목록!$A$3:$A$302,0)),""))</f>
        <v/>
      </c>
      <c r="F33" s="47" t="str">
        <f>IF($D33="","",IFERROR(INDEX(품목목록!$D$3:$D$302,MATCH($D33,품목목록!$A$3:$A$302,0)),""))</f>
        <v/>
      </c>
      <c r="G33" s="49" t="str">
        <f>IFERROR(INDEX(전개결과!$N$6:$N$1205,MATCH("R"&amp;28,전개결과!$L$6:$L$1205,0)),"")</f>
        <v/>
      </c>
      <c r="H33" s="40" t="str">
        <f>IF($D33="","",IFERROR(INDEX(전개결과!$Q$6:$Q$1205,MATCH("R"&amp;28,전개결과!$L$6:$L$1205,0)),""))</f>
        <v/>
      </c>
      <c r="J33" s="50" t="b">
        <f>IF(발주접수!$D5="",FALSE(),IF(발주접수!$F5="세트",COUNTIF(세트구성!$G$3:$G$302,발주접수!$D5&amp;"|"&amp;8)&gt;0,7=0))</f>
        <v>0</v>
      </c>
      <c r="K33" s="34" t="str">
        <f>IF($J33=FALSE(),"",COUNTIF($J$6:$J33,TRUE()))</f>
        <v/>
      </c>
      <c r="L33" s="34" t="str">
        <f>IF($K33="","","R"&amp;$K33)</f>
        <v/>
      </c>
      <c r="M33" s="34" t="str">
        <f>IF($J33=FALSE(),"",IF(발주접수!$F5="세트",IFERROR(INDEX(세트구성!$C$3:$C$302,MATCH(발주접수!$D5&amp;"|"&amp;8,세트구성!$G$3:$G$302,0)),""),발주접수!$D5))</f>
        <v/>
      </c>
      <c r="N33" s="34" t="str">
        <f>IF($J33=FALSE(),"",IF(발주접수!$F5="세트",발주접수!$G5*IFERROR(INDEX(세트구성!$E$3:$E$302,MATCH(발주접수!$D5&amp;"|"&amp;8,세트구성!$G$3:$G$302,0)),0),발주접수!$G5))</f>
        <v/>
      </c>
      <c r="O33" s="34" t="str">
        <f>IF($J33=FALSE(),"",발주접수!$B5)</f>
        <v/>
      </c>
      <c r="P33" s="34" t="str">
        <f>IF($J33=FALSE(),"",발주접수!$C5)</f>
        <v/>
      </c>
      <c r="Q33" s="34" t="str">
        <f>IF($J33=FALSE(),"",IF(발주접수!$F5="세트",발주접수!$E5&amp;" 전개","직접 발주"))</f>
        <v/>
      </c>
    </row>
    <row r="34" ht="15" customHeight="1" s="30">
      <c r="A34" s="47" t="str">
        <f>IF($D34="","",29)</f>
        <v/>
      </c>
      <c r="B34" s="48" t="str">
        <f>IFERROR(INDEX(전개결과!$O$6:$O$1205,MATCH("R"&amp;29,전개결과!$L$6:$L$1205,0)),"")</f>
        <v/>
      </c>
      <c r="C34" s="40" t="str">
        <f>IF($D34="","",IFERROR(INDEX(전개결과!$P$6:$P$1205,MATCH("R"&amp;29,전개결과!$L$6:$L$1205,0)),""))</f>
        <v/>
      </c>
      <c r="D34" s="40" t="str">
        <f>IFERROR(INDEX(전개결과!$M$6:$M$1205,MATCH("R"&amp;29,전개결과!$L$6:$L$1205,0)),"")</f>
        <v/>
      </c>
      <c r="E34" s="40" t="str">
        <f>IF($D34="","",IFERROR(INDEX(품목목록!$B$3:$B$302,MATCH($D34,품목목록!$A$3:$A$302,0)),""))</f>
        <v/>
      </c>
      <c r="F34" s="47" t="str">
        <f>IF($D34="","",IFERROR(INDEX(품목목록!$D$3:$D$302,MATCH($D34,품목목록!$A$3:$A$302,0)),""))</f>
        <v/>
      </c>
      <c r="G34" s="49" t="str">
        <f>IFERROR(INDEX(전개결과!$N$6:$N$1205,MATCH("R"&amp;29,전개결과!$L$6:$L$1205,0)),"")</f>
        <v/>
      </c>
      <c r="H34" s="40" t="str">
        <f>IF($D34="","",IFERROR(INDEX(전개결과!$Q$6:$Q$1205,MATCH("R"&amp;29,전개결과!$L$6:$L$1205,0)),""))</f>
        <v/>
      </c>
      <c r="J34" s="50" t="b">
        <f>IF(발주접수!$D5="",FALSE(),IF(발주접수!$F5="세트",COUNTIF(세트구성!$G$3:$G$302,발주접수!$D5&amp;"|"&amp;9)&gt;0,8=0))</f>
        <v>0</v>
      </c>
      <c r="K34" s="34" t="str">
        <f>IF($J34=FALSE(),"",COUNTIF($J$6:$J34,TRUE()))</f>
        <v/>
      </c>
      <c r="L34" s="34" t="str">
        <f>IF($K34="","","R"&amp;$K34)</f>
        <v/>
      </c>
      <c r="M34" s="34" t="str">
        <f>IF($J34=FALSE(),"",IF(발주접수!$F5="세트",IFERROR(INDEX(세트구성!$C$3:$C$302,MATCH(발주접수!$D5&amp;"|"&amp;9,세트구성!$G$3:$G$302,0)),""),발주접수!$D5))</f>
        <v/>
      </c>
      <c r="N34" s="34" t="str">
        <f>IF($J34=FALSE(),"",IF(발주접수!$F5="세트",발주접수!$G5*IFERROR(INDEX(세트구성!$E$3:$E$302,MATCH(발주접수!$D5&amp;"|"&amp;9,세트구성!$G$3:$G$302,0)),0),발주접수!$G5))</f>
        <v/>
      </c>
      <c r="O34" s="34" t="str">
        <f>IF($J34=FALSE(),"",발주접수!$B5)</f>
        <v/>
      </c>
      <c r="P34" s="34" t="str">
        <f>IF($J34=FALSE(),"",발주접수!$C5)</f>
        <v/>
      </c>
      <c r="Q34" s="34" t="str">
        <f>IF($J34=FALSE(),"",IF(발주접수!$F5="세트",발주접수!$E5&amp;" 전개","직접 발주"))</f>
        <v/>
      </c>
    </row>
    <row r="35" ht="15" customHeight="1" s="30">
      <c r="A35" s="47" t="str">
        <f>IF($D35="","",30)</f>
        <v/>
      </c>
      <c r="B35" s="48" t="str">
        <f>IFERROR(INDEX(전개결과!$O$6:$O$1205,MATCH("R"&amp;30,전개결과!$L$6:$L$1205,0)),"")</f>
        <v/>
      </c>
      <c r="C35" s="40" t="str">
        <f>IF($D35="","",IFERROR(INDEX(전개결과!$P$6:$P$1205,MATCH("R"&amp;30,전개결과!$L$6:$L$1205,0)),""))</f>
        <v/>
      </c>
      <c r="D35" s="40" t="str">
        <f>IFERROR(INDEX(전개결과!$M$6:$M$1205,MATCH("R"&amp;30,전개결과!$L$6:$L$1205,0)),"")</f>
        <v/>
      </c>
      <c r="E35" s="40" t="str">
        <f>IF($D35="","",IFERROR(INDEX(품목목록!$B$3:$B$302,MATCH($D35,품목목록!$A$3:$A$302,0)),""))</f>
        <v/>
      </c>
      <c r="F35" s="47" t="str">
        <f>IF($D35="","",IFERROR(INDEX(품목목록!$D$3:$D$302,MATCH($D35,품목목록!$A$3:$A$302,0)),""))</f>
        <v/>
      </c>
      <c r="G35" s="49" t="str">
        <f>IFERROR(INDEX(전개결과!$N$6:$N$1205,MATCH("R"&amp;30,전개결과!$L$6:$L$1205,0)),"")</f>
        <v/>
      </c>
      <c r="H35" s="40" t="str">
        <f>IF($D35="","",IFERROR(INDEX(전개결과!$Q$6:$Q$1205,MATCH("R"&amp;30,전개결과!$L$6:$L$1205,0)),""))</f>
        <v/>
      </c>
      <c r="J35" s="50" t="b">
        <f>IF(발주접수!$D5="",FALSE(),IF(발주접수!$F5="세트",COUNTIF(세트구성!$G$3:$G$302,발주접수!$D5&amp;"|"&amp;10)&gt;0,9=0))</f>
        <v>0</v>
      </c>
      <c r="K35" s="34" t="str">
        <f>IF($J35=FALSE(),"",COUNTIF($J$6:$J35,TRUE()))</f>
        <v/>
      </c>
      <c r="L35" s="34" t="str">
        <f>IF($K35="","","R"&amp;$K35)</f>
        <v/>
      </c>
      <c r="M35" s="34" t="str">
        <f>IF($J35=FALSE(),"",IF(발주접수!$F5="세트",IFERROR(INDEX(세트구성!$C$3:$C$302,MATCH(발주접수!$D5&amp;"|"&amp;10,세트구성!$G$3:$G$302,0)),""),발주접수!$D5))</f>
        <v/>
      </c>
      <c r="N35" s="34" t="str">
        <f>IF($J35=FALSE(),"",IF(발주접수!$F5="세트",발주접수!$G5*IFERROR(INDEX(세트구성!$E$3:$E$302,MATCH(발주접수!$D5&amp;"|"&amp;10,세트구성!$G$3:$G$302,0)),0),발주접수!$G5))</f>
        <v/>
      </c>
      <c r="O35" s="34" t="str">
        <f>IF($J35=FALSE(),"",발주접수!$B5)</f>
        <v/>
      </c>
      <c r="P35" s="34" t="str">
        <f>IF($J35=FALSE(),"",발주접수!$C5)</f>
        <v/>
      </c>
      <c r="Q35" s="34" t="str">
        <f>IF($J35=FALSE(),"",IF(발주접수!$F5="세트",발주접수!$E5&amp;" 전개","직접 발주"))</f>
        <v/>
      </c>
    </row>
    <row r="36" ht="15" customHeight="1" s="30">
      <c r="A36" s="47" t="str">
        <f>IF($D36="","",31)</f>
        <v/>
      </c>
      <c r="B36" s="48" t="str">
        <f>IFERROR(INDEX(전개결과!$O$6:$O$1205,MATCH("R"&amp;31,전개결과!$L$6:$L$1205,0)),"")</f>
        <v/>
      </c>
      <c r="C36" s="40" t="str">
        <f>IF($D36="","",IFERROR(INDEX(전개결과!$P$6:$P$1205,MATCH("R"&amp;31,전개결과!$L$6:$L$1205,0)),""))</f>
        <v/>
      </c>
      <c r="D36" s="40" t="str">
        <f>IFERROR(INDEX(전개결과!$M$6:$M$1205,MATCH("R"&amp;31,전개결과!$L$6:$L$1205,0)),"")</f>
        <v/>
      </c>
      <c r="E36" s="40" t="str">
        <f>IF($D36="","",IFERROR(INDEX(품목목록!$B$3:$B$302,MATCH($D36,품목목록!$A$3:$A$302,0)),""))</f>
        <v/>
      </c>
      <c r="F36" s="47" t="str">
        <f>IF($D36="","",IFERROR(INDEX(품목목록!$D$3:$D$302,MATCH($D36,품목목록!$A$3:$A$302,0)),""))</f>
        <v/>
      </c>
      <c r="G36" s="49" t="str">
        <f>IFERROR(INDEX(전개결과!$N$6:$N$1205,MATCH("R"&amp;31,전개결과!$L$6:$L$1205,0)),"")</f>
        <v/>
      </c>
      <c r="H36" s="40" t="str">
        <f>IF($D36="","",IFERROR(INDEX(전개결과!$Q$6:$Q$1205,MATCH("R"&amp;31,전개결과!$L$6:$L$1205,0)),""))</f>
        <v/>
      </c>
      <c r="J36" s="50" t="b">
        <f>IF(발주접수!$D6="",FALSE(),IF(발주접수!$F6="세트",COUNTIF(세트구성!$G$3:$G$302,발주접수!$D6&amp;"|"&amp;1)&gt;0,0=0))</f>
        <v>0</v>
      </c>
      <c r="K36" s="34" t="str">
        <f>IF($J36=FALSE(),"",COUNTIF($J$6:$J36,TRUE()))</f>
        <v/>
      </c>
      <c r="L36" s="34" t="str">
        <f>IF($K36="","","R"&amp;$K36)</f>
        <v/>
      </c>
      <c r="M36" s="34" t="str">
        <f>IF($J36=FALSE(),"",IF(발주접수!$F6="세트",IFERROR(INDEX(세트구성!$C$3:$C$302,MATCH(발주접수!$D6&amp;"|"&amp;1,세트구성!$G$3:$G$302,0)),""),발주접수!$D6))</f>
        <v/>
      </c>
      <c r="N36" s="34" t="str">
        <f>IF($J36=FALSE(),"",IF(발주접수!$F6="세트",발주접수!$G6*IFERROR(INDEX(세트구성!$E$3:$E$302,MATCH(발주접수!$D6&amp;"|"&amp;1,세트구성!$G$3:$G$302,0)),0),발주접수!$G6))</f>
        <v/>
      </c>
      <c r="O36" s="34" t="str">
        <f>IF($J36=FALSE(),"",발주접수!$B6)</f>
        <v/>
      </c>
      <c r="P36" s="34" t="str">
        <f>IF($J36=FALSE(),"",발주접수!$C6)</f>
        <v/>
      </c>
      <c r="Q36" s="34" t="str">
        <f>IF($J36=FALSE(),"",IF(발주접수!$F6="세트",발주접수!$E6&amp;" 전개","직접 발주"))</f>
        <v/>
      </c>
    </row>
    <row r="37" ht="15" customHeight="1" s="30">
      <c r="A37" s="47" t="str">
        <f>IF($D37="","",32)</f>
        <v/>
      </c>
      <c r="B37" s="48" t="str">
        <f>IFERROR(INDEX(전개결과!$O$6:$O$1205,MATCH("R"&amp;32,전개결과!$L$6:$L$1205,0)),"")</f>
        <v/>
      </c>
      <c r="C37" s="40" t="str">
        <f>IF($D37="","",IFERROR(INDEX(전개결과!$P$6:$P$1205,MATCH("R"&amp;32,전개결과!$L$6:$L$1205,0)),""))</f>
        <v/>
      </c>
      <c r="D37" s="40" t="str">
        <f>IFERROR(INDEX(전개결과!$M$6:$M$1205,MATCH("R"&amp;32,전개결과!$L$6:$L$1205,0)),"")</f>
        <v/>
      </c>
      <c r="E37" s="40" t="str">
        <f>IF($D37="","",IFERROR(INDEX(품목목록!$B$3:$B$302,MATCH($D37,품목목록!$A$3:$A$302,0)),""))</f>
        <v/>
      </c>
      <c r="F37" s="47" t="str">
        <f>IF($D37="","",IFERROR(INDEX(품목목록!$D$3:$D$302,MATCH($D37,품목목록!$A$3:$A$302,0)),""))</f>
        <v/>
      </c>
      <c r="G37" s="49" t="str">
        <f>IFERROR(INDEX(전개결과!$N$6:$N$1205,MATCH("R"&amp;32,전개결과!$L$6:$L$1205,0)),"")</f>
        <v/>
      </c>
      <c r="H37" s="40" t="str">
        <f>IF($D37="","",IFERROR(INDEX(전개결과!$Q$6:$Q$1205,MATCH("R"&amp;32,전개결과!$L$6:$L$1205,0)),""))</f>
        <v/>
      </c>
      <c r="J37" s="50" t="b">
        <f>IF(발주접수!$D6="",FALSE(),IF(발주접수!$F6="세트",COUNTIF(세트구성!$G$3:$G$302,발주접수!$D6&amp;"|"&amp;2)&gt;0,1=0))</f>
        <v>0</v>
      </c>
      <c r="K37" s="34" t="str">
        <f>IF($J37=FALSE(),"",COUNTIF($J$6:$J37,TRUE()))</f>
        <v/>
      </c>
      <c r="L37" s="34" t="str">
        <f>IF($K37="","","R"&amp;$K37)</f>
        <v/>
      </c>
      <c r="M37" s="34" t="str">
        <f>IF($J37=FALSE(),"",IF(발주접수!$F6="세트",IFERROR(INDEX(세트구성!$C$3:$C$302,MATCH(발주접수!$D6&amp;"|"&amp;2,세트구성!$G$3:$G$302,0)),""),발주접수!$D6))</f>
        <v/>
      </c>
      <c r="N37" s="34" t="str">
        <f>IF($J37=FALSE(),"",IF(발주접수!$F6="세트",발주접수!$G6*IFERROR(INDEX(세트구성!$E$3:$E$302,MATCH(발주접수!$D6&amp;"|"&amp;2,세트구성!$G$3:$G$302,0)),0),발주접수!$G6))</f>
        <v/>
      </c>
      <c r="O37" s="34" t="str">
        <f>IF($J37=FALSE(),"",발주접수!$B6)</f>
        <v/>
      </c>
      <c r="P37" s="34" t="str">
        <f>IF($J37=FALSE(),"",발주접수!$C6)</f>
        <v/>
      </c>
      <c r="Q37" s="34" t="str">
        <f>IF($J37=FALSE(),"",IF(발주접수!$F6="세트",발주접수!$E6&amp;" 전개","직접 발주"))</f>
        <v/>
      </c>
    </row>
    <row r="38" ht="15" customHeight="1" s="30">
      <c r="A38" s="47" t="str">
        <f>IF($D38="","",33)</f>
        <v/>
      </c>
      <c r="B38" s="48" t="str">
        <f>IFERROR(INDEX(전개결과!$O$6:$O$1205,MATCH("R"&amp;33,전개결과!$L$6:$L$1205,0)),"")</f>
        <v/>
      </c>
      <c r="C38" s="40" t="str">
        <f>IF($D38="","",IFERROR(INDEX(전개결과!$P$6:$P$1205,MATCH("R"&amp;33,전개결과!$L$6:$L$1205,0)),""))</f>
        <v/>
      </c>
      <c r="D38" s="40" t="str">
        <f>IFERROR(INDEX(전개결과!$M$6:$M$1205,MATCH("R"&amp;33,전개결과!$L$6:$L$1205,0)),"")</f>
        <v/>
      </c>
      <c r="E38" s="40" t="str">
        <f>IF($D38="","",IFERROR(INDEX(품목목록!$B$3:$B$302,MATCH($D38,품목목록!$A$3:$A$302,0)),""))</f>
        <v/>
      </c>
      <c r="F38" s="47" t="str">
        <f>IF($D38="","",IFERROR(INDEX(품목목록!$D$3:$D$302,MATCH($D38,품목목록!$A$3:$A$302,0)),""))</f>
        <v/>
      </c>
      <c r="G38" s="49" t="str">
        <f>IFERROR(INDEX(전개결과!$N$6:$N$1205,MATCH("R"&amp;33,전개결과!$L$6:$L$1205,0)),"")</f>
        <v/>
      </c>
      <c r="H38" s="40" t="str">
        <f>IF($D38="","",IFERROR(INDEX(전개결과!$Q$6:$Q$1205,MATCH("R"&amp;33,전개결과!$L$6:$L$1205,0)),""))</f>
        <v/>
      </c>
      <c r="J38" s="50" t="b">
        <f>IF(발주접수!$D6="",FALSE(),IF(발주접수!$F6="세트",COUNTIF(세트구성!$G$3:$G$302,발주접수!$D6&amp;"|"&amp;3)&gt;0,2=0))</f>
        <v>0</v>
      </c>
      <c r="K38" s="34" t="str">
        <f>IF($J38=FALSE(),"",COUNTIF($J$6:$J38,TRUE()))</f>
        <v/>
      </c>
      <c r="L38" s="34" t="str">
        <f>IF($K38="","","R"&amp;$K38)</f>
        <v/>
      </c>
      <c r="M38" s="34" t="str">
        <f>IF($J38=FALSE(),"",IF(발주접수!$F6="세트",IFERROR(INDEX(세트구성!$C$3:$C$302,MATCH(발주접수!$D6&amp;"|"&amp;3,세트구성!$G$3:$G$302,0)),""),발주접수!$D6))</f>
        <v/>
      </c>
      <c r="N38" s="34" t="str">
        <f>IF($J38=FALSE(),"",IF(발주접수!$F6="세트",발주접수!$G6*IFERROR(INDEX(세트구성!$E$3:$E$302,MATCH(발주접수!$D6&amp;"|"&amp;3,세트구성!$G$3:$G$302,0)),0),발주접수!$G6))</f>
        <v/>
      </c>
      <c r="O38" s="34" t="str">
        <f>IF($J38=FALSE(),"",발주접수!$B6)</f>
        <v/>
      </c>
      <c r="P38" s="34" t="str">
        <f>IF($J38=FALSE(),"",발주접수!$C6)</f>
        <v/>
      </c>
      <c r="Q38" s="34" t="str">
        <f>IF($J38=FALSE(),"",IF(발주접수!$F6="세트",발주접수!$E6&amp;" 전개","직접 발주"))</f>
        <v/>
      </c>
    </row>
    <row r="39" ht="15" customHeight="1" s="30">
      <c r="A39" s="47" t="str">
        <f>IF($D39="","",34)</f>
        <v/>
      </c>
      <c r="B39" s="48" t="str">
        <f>IFERROR(INDEX(전개결과!$O$6:$O$1205,MATCH("R"&amp;34,전개결과!$L$6:$L$1205,0)),"")</f>
        <v/>
      </c>
      <c r="C39" s="40" t="str">
        <f>IF($D39="","",IFERROR(INDEX(전개결과!$P$6:$P$1205,MATCH("R"&amp;34,전개결과!$L$6:$L$1205,0)),""))</f>
        <v/>
      </c>
      <c r="D39" s="40" t="str">
        <f>IFERROR(INDEX(전개결과!$M$6:$M$1205,MATCH("R"&amp;34,전개결과!$L$6:$L$1205,0)),"")</f>
        <v/>
      </c>
      <c r="E39" s="40" t="str">
        <f>IF($D39="","",IFERROR(INDEX(품목목록!$B$3:$B$302,MATCH($D39,품목목록!$A$3:$A$302,0)),""))</f>
        <v/>
      </c>
      <c r="F39" s="47" t="str">
        <f>IF($D39="","",IFERROR(INDEX(품목목록!$D$3:$D$302,MATCH($D39,품목목록!$A$3:$A$302,0)),""))</f>
        <v/>
      </c>
      <c r="G39" s="49" t="str">
        <f>IFERROR(INDEX(전개결과!$N$6:$N$1205,MATCH("R"&amp;34,전개결과!$L$6:$L$1205,0)),"")</f>
        <v/>
      </c>
      <c r="H39" s="40" t="str">
        <f>IF($D39="","",IFERROR(INDEX(전개결과!$Q$6:$Q$1205,MATCH("R"&amp;34,전개결과!$L$6:$L$1205,0)),""))</f>
        <v/>
      </c>
      <c r="J39" s="50" t="b">
        <f>IF(발주접수!$D6="",FALSE(),IF(발주접수!$F6="세트",COUNTIF(세트구성!$G$3:$G$302,발주접수!$D6&amp;"|"&amp;4)&gt;0,3=0))</f>
        <v>0</v>
      </c>
      <c r="K39" s="34" t="str">
        <f>IF($J39=FALSE(),"",COUNTIF($J$6:$J39,TRUE()))</f>
        <v/>
      </c>
      <c r="L39" s="34" t="str">
        <f>IF($K39="","","R"&amp;$K39)</f>
        <v/>
      </c>
      <c r="M39" s="34" t="str">
        <f>IF($J39=FALSE(),"",IF(발주접수!$F6="세트",IFERROR(INDEX(세트구성!$C$3:$C$302,MATCH(발주접수!$D6&amp;"|"&amp;4,세트구성!$G$3:$G$302,0)),""),발주접수!$D6))</f>
        <v/>
      </c>
      <c r="N39" s="34" t="str">
        <f>IF($J39=FALSE(),"",IF(발주접수!$F6="세트",발주접수!$G6*IFERROR(INDEX(세트구성!$E$3:$E$302,MATCH(발주접수!$D6&amp;"|"&amp;4,세트구성!$G$3:$G$302,0)),0),발주접수!$G6))</f>
        <v/>
      </c>
      <c r="O39" s="34" t="str">
        <f>IF($J39=FALSE(),"",발주접수!$B6)</f>
        <v/>
      </c>
      <c r="P39" s="34" t="str">
        <f>IF($J39=FALSE(),"",발주접수!$C6)</f>
        <v/>
      </c>
      <c r="Q39" s="34" t="str">
        <f>IF($J39=FALSE(),"",IF(발주접수!$F6="세트",발주접수!$E6&amp;" 전개","직접 발주"))</f>
        <v/>
      </c>
    </row>
    <row r="40" ht="15" customHeight="1" s="30">
      <c r="A40" s="47" t="str">
        <f>IF($D40="","",35)</f>
        <v/>
      </c>
      <c r="B40" s="48" t="str">
        <f>IFERROR(INDEX(전개결과!$O$6:$O$1205,MATCH("R"&amp;35,전개결과!$L$6:$L$1205,0)),"")</f>
        <v/>
      </c>
      <c r="C40" s="40" t="str">
        <f>IF($D40="","",IFERROR(INDEX(전개결과!$P$6:$P$1205,MATCH("R"&amp;35,전개결과!$L$6:$L$1205,0)),""))</f>
        <v/>
      </c>
      <c r="D40" s="40" t="str">
        <f>IFERROR(INDEX(전개결과!$M$6:$M$1205,MATCH("R"&amp;35,전개결과!$L$6:$L$1205,0)),"")</f>
        <v/>
      </c>
      <c r="E40" s="40" t="str">
        <f>IF($D40="","",IFERROR(INDEX(품목목록!$B$3:$B$302,MATCH($D40,품목목록!$A$3:$A$302,0)),""))</f>
        <v/>
      </c>
      <c r="F40" s="47" t="str">
        <f>IF($D40="","",IFERROR(INDEX(품목목록!$D$3:$D$302,MATCH($D40,품목목록!$A$3:$A$302,0)),""))</f>
        <v/>
      </c>
      <c r="G40" s="49" t="str">
        <f>IFERROR(INDEX(전개결과!$N$6:$N$1205,MATCH("R"&amp;35,전개결과!$L$6:$L$1205,0)),"")</f>
        <v/>
      </c>
      <c r="H40" s="40" t="str">
        <f>IF($D40="","",IFERROR(INDEX(전개결과!$Q$6:$Q$1205,MATCH("R"&amp;35,전개결과!$L$6:$L$1205,0)),""))</f>
        <v/>
      </c>
      <c r="J40" s="50" t="b">
        <f>IF(발주접수!$D6="",FALSE(),IF(발주접수!$F6="세트",COUNTIF(세트구성!$G$3:$G$302,발주접수!$D6&amp;"|"&amp;5)&gt;0,4=0))</f>
        <v>0</v>
      </c>
      <c r="K40" s="34" t="str">
        <f>IF($J40=FALSE(),"",COUNTIF($J$6:$J40,TRUE()))</f>
        <v/>
      </c>
      <c r="L40" s="34" t="str">
        <f>IF($K40="","","R"&amp;$K40)</f>
        <v/>
      </c>
      <c r="M40" s="34" t="str">
        <f>IF($J40=FALSE(),"",IF(발주접수!$F6="세트",IFERROR(INDEX(세트구성!$C$3:$C$302,MATCH(발주접수!$D6&amp;"|"&amp;5,세트구성!$G$3:$G$302,0)),""),발주접수!$D6))</f>
        <v/>
      </c>
      <c r="N40" s="34" t="str">
        <f>IF($J40=FALSE(),"",IF(발주접수!$F6="세트",발주접수!$G6*IFERROR(INDEX(세트구성!$E$3:$E$302,MATCH(발주접수!$D6&amp;"|"&amp;5,세트구성!$G$3:$G$302,0)),0),발주접수!$G6))</f>
        <v/>
      </c>
      <c r="O40" s="34" t="str">
        <f>IF($J40=FALSE(),"",발주접수!$B6)</f>
        <v/>
      </c>
      <c r="P40" s="34" t="str">
        <f>IF($J40=FALSE(),"",발주접수!$C6)</f>
        <v/>
      </c>
      <c r="Q40" s="34" t="str">
        <f>IF($J40=FALSE(),"",IF(발주접수!$F6="세트",발주접수!$E6&amp;" 전개","직접 발주"))</f>
        <v/>
      </c>
    </row>
    <row r="41" ht="15" customHeight="1" s="30">
      <c r="A41" s="47" t="str">
        <f>IF($D41="","",36)</f>
        <v/>
      </c>
      <c r="B41" s="48" t="str">
        <f>IFERROR(INDEX(전개결과!$O$6:$O$1205,MATCH("R"&amp;36,전개결과!$L$6:$L$1205,0)),"")</f>
        <v/>
      </c>
      <c r="C41" s="40" t="str">
        <f>IF($D41="","",IFERROR(INDEX(전개결과!$P$6:$P$1205,MATCH("R"&amp;36,전개결과!$L$6:$L$1205,0)),""))</f>
        <v/>
      </c>
      <c r="D41" s="40" t="str">
        <f>IFERROR(INDEX(전개결과!$M$6:$M$1205,MATCH("R"&amp;36,전개결과!$L$6:$L$1205,0)),"")</f>
        <v/>
      </c>
      <c r="E41" s="40" t="str">
        <f>IF($D41="","",IFERROR(INDEX(품목목록!$B$3:$B$302,MATCH($D41,품목목록!$A$3:$A$302,0)),""))</f>
        <v/>
      </c>
      <c r="F41" s="47" t="str">
        <f>IF($D41="","",IFERROR(INDEX(품목목록!$D$3:$D$302,MATCH($D41,품목목록!$A$3:$A$302,0)),""))</f>
        <v/>
      </c>
      <c r="G41" s="49" t="str">
        <f>IFERROR(INDEX(전개결과!$N$6:$N$1205,MATCH("R"&amp;36,전개결과!$L$6:$L$1205,0)),"")</f>
        <v/>
      </c>
      <c r="H41" s="40" t="str">
        <f>IF($D41="","",IFERROR(INDEX(전개결과!$Q$6:$Q$1205,MATCH("R"&amp;36,전개결과!$L$6:$L$1205,0)),""))</f>
        <v/>
      </c>
      <c r="J41" s="50" t="b">
        <f>IF(발주접수!$D6="",FALSE(),IF(발주접수!$F6="세트",COUNTIF(세트구성!$G$3:$G$302,발주접수!$D6&amp;"|"&amp;6)&gt;0,5=0))</f>
        <v>0</v>
      </c>
      <c r="K41" s="34" t="str">
        <f>IF($J41=FALSE(),"",COUNTIF($J$6:$J41,TRUE()))</f>
        <v/>
      </c>
      <c r="L41" s="34" t="str">
        <f>IF($K41="","","R"&amp;$K41)</f>
        <v/>
      </c>
      <c r="M41" s="34" t="str">
        <f>IF($J41=FALSE(),"",IF(발주접수!$F6="세트",IFERROR(INDEX(세트구성!$C$3:$C$302,MATCH(발주접수!$D6&amp;"|"&amp;6,세트구성!$G$3:$G$302,0)),""),발주접수!$D6))</f>
        <v/>
      </c>
      <c r="N41" s="34" t="str">
        <f>IF($J41=FALSE(),"",IF(발주접수!$F6="세트",발주접수!$G6*IFERROR(INDEX(세트구성!$E$3:$E$302,MATCH(발주접수!$D6&amp;"|"&amp;6,세트구성!$G$3:$G$302,0)),0),발주접수!$G6))</f>
        <v/>
      </c>
      <c r="O41" s="34" t="str">
        <f>IF($J41=FALSE(),"",발주접수!$B6)</f>
        <v/>
      </c>
      <c r="P41" s="34" t="str">
        <f>IF($J41=FALSE(),"",발주접수!$C6)</f>
        <v/>
      </c>
      <c r="Q41" s="34" t="str">
        <f>IF($J41=FALSE(),"",IF(발주접수!$F6="세트",발주접수!$E6&amp;" 전개","직접 발주"))</f>
        <v/>
      </c>
    </row>
    <row r="42" ht="15" customHeight="1" s="30">
      <c r="A42" s="47" t="str">
        <f>IF($D42="","",37)</f>
        <v/>
      </c>
      <c r="B42" s="48" t="str">
        <f>IFERROR(INDEX(전개결과!$O$6:$O$1205,MATCH("R"&amp;37,전개결과!$L$6:$L$1205,0)),"")</f>
        <v/>
      </c>
      <c r="C42" s="40" t="str">
        <f>IF($D42="","",IFERROR(INDEX(전개결과!$P$6:$P$1205,MATCH("R"&amp;37,전개결과!$L$6:$L$1205,0)),""))</f>
        <v/>
      </c>
      <c r="D42" s="40" t="str">
        <f>IFERROR(INDEX(전개결과!$M$6:$M$1205,MATCH("R"&amp;37,전개결과!$L$6:$L$1205,0)),"")</f>
        <v/>
      </c>
      <c r="E42" s="40" t="str">
        <f>IF($D42="","",IFERROR(INDEX(품목목록!$B$3:$B$302,MATCH($D42,품목목록!$A$3:$A$302,0)),""))</f>
        <v/>
      </c>
      <c r="F42" s="47" t="str">
        <f>IF($D42="","",IFERROR(INDEX(품목목록!$D$3:$D$302,MATCH($D42,품목목록!$A$3:$A$302,0)),""))</f>
        <v/>
      </c>
      <c r="G42" s="49" t="str">
        <f>IFERROR(INDEX(전개결과!$N$6:$N$1205,MATCH("R"&amp;37,전개결과!$L$6:$L$1205,0)),"")</f>
        <v/>
      </c>
      <c r="H42" s="40" t="str">
        <f>IF($D42="","",IFERROR(INDEX(전개결과!$Q$6:$Q$1205,MATCH("R"&amp;37,전개결과!$L$6:$L$1205,0)),""))</f>
        <v/>
      </c>
      <c r="J42" s="50" t="b">
        <f>IF(발주접수!$D6="",FALSE(),IF(발주접수!$F6="세트",COUNTIF(세트구성!$G$3:$G$302,발주접수!$D6&amp;"|"&amp;7)&gt;0,6=0))</f>
        <v>0</v>
      </c>
      <c r="K42" s="34" t="str">
        <f>IF($J42=FALSE(),"",COUNTIF($J$6:$J42,TRUE()))</f>
        <v/>
      </c>
      <c r="L42" s="34" t="str">
        <f>IF($K42="","","R"&amp;$K42)</f>
        <v/>
      </c>
      <c r="M42" s="34" t="str">
        <f>IF($J42=FALSE(),"",IF(발주접수!$F6="세트",IFERROR(INDEX(세트구성!$C$3:$C$302,MATCH(발주접수!$D6&amp;"|"&amp;7,세트구성!$G$3:$G$302,0)),""),발주접수!$D6))</f>
        <v/>
      </c>
      <c r="N42" s="34" t="str">
        <f>IF($J42=FALSE(),"",IF(발주접수!$F6="세트",발주접수!$G6*IFERROR(INDEX(세트구성!$E$3:$E$302,MATCH(발주접수!$D6&amp;"|"&amp;7,세트구성!$G$3:$G$302,0)),0),발주접수!$G6))</f>
        <v/>
      </c>
      <c r="O42" s="34" t="str">
        <f>IF($J42=FALSE(),"",발주접수!$B6)</f>
        <v/>
      </c>
      <c r="P42" s="34" t="str">
        <f>IF($J42=FALSE(),"",발주접수!$C6)</f>
        <v/>
      </c>
      <c r="Q42" s="34" t="str">
        <f>IF($J42=FALSE(),"",IF(발주접수!$F6="세트",발주접수!$E6&amp;" 전개","직접 발주"))</f>
        <v/>
      </c>
    </row>
    <row r="43" ht="15" customHeight="1" s="30">
      <c r="A43" s="47" t="str">
        <f>IF($D43="","",38)</f>
        <v/>
      </c>
      <c r="B43" s="48" t="str">
        <f>IFERROR(INDEX(전개결과!$O$6:$O$1205,MATCH("R"&amp;38,전개결과!$L$6:$L$1205,0)),"")</f>
        <v/>
      </c>
      <c r="C43" s="40" t="str">
        <f>IF($D43="","",IFERROR(INDEX(전개결과!$P$6:$P$1205,MATCH("R"&amp;38,전개결과!$L$6:$L$1205,0)),""))</f>
        <v/>
      </c>
      <c r="D43" s="40" t="str">
        <f>IFERROR(INDEX(전개결과!$M$6:$M$1205,MATCH("R"&amp;38,전개결과!$L$6:$L$1205,0)),"")</f>
        <v/>
      </c>
      <c r="E43" s="40" t="str">
        <f>IF($D43="","",IFERROR(INDEX(품목목록!$B$3:$B$302,MATCH($D43,품목목록!$A$3:$A$302,0)),""))</f>
        <v/>
      </c>
      <c r="F43" s="47" t="str">
        <f>IF($D43="","",IFERROR(INDEX(품목목록!$D$3:$D$302,MATCH($D43,품목목록!$A$3:$A$302,0)),""))</f>
        <v/>
      </c>
      <c r="G43" s="49" t="str">
        <f>IFERROR(INDEX(전개결과!$N$6:$N$1205,MATCH("R"&amp;38,전개결과!$L$6:$L$1205,0)),"")</f>
        <v/>
      </c>
      <c r="H43" s="40" t="str">
        <f>IF($D43="","",IFERROR(INDEX(전개결과!$Q$6:$Q$1205,MATCH("R"&amp;38,전개결과!$L$6:$L$1205,0)),""))</f>
        <v/>
      </c>
      <c r="J43" s="50" t="b">
        <f>IF(발주접수!$D6="",FALSE(),IF(발주접수!$F6="세트",COUNTIF(세트구성!$G$3:$G$302,발주접수!$D6&amp;"|"&amp;8)&gt;0,7=0))</f>
        <v>0</v>
      </c>
      <c r="K43" s="34" t="str">
        <f>IF($J43=FALSE(),"",COUNTIF($J$6:$J43,TRUE()))</f>
        <v/>
      </c>
      <c r="L43" s="34" t="str">
        <f>IF($K43="","","R"&amp;$K43)</f>
        <v/>
      </c>
      <c r="M43" s="34" t="str">
        <f>IF($J43=FALSE(),"",IF(발주접수!$F6="세트",IFERROR(INDEX(세트구성!$C$3:$C$302,MATCH(발주접수!$D6&amp;"|"&amp;8,세트구성!$G$3:$G$302,0)),""),발주접수!$D6))</f>
        <v/>
      </c>
      <c r="N43" s="34" t="str">
        <f>IF($J43=FALSE(),"",IF(발주접수!$F6="세트",발주접수!$G6*IFERROR(INDEX(세트구성!$E$3:$E$302,MATCH(발주접수!$D6&amp;"|"&amp;8,세트구성!$G$3:$G$302,0)),0),발주접수!$G6))</f>
        <v/>
      </c>
      <c r="O43" s="34" t="str">
        <f>IF($J43=FALSE(),"",발주접수!$B6)</f>
        <v/>
      </c>
      <c r="P43" s="34" t="str">
        <f>IF($J43=FALSE(),"",발주접수!$C6)</f>
        <v/>
      </c>
      <c r="Q43" s="34" t="str">
        <f>IF($J43=FALSE(),"",IF(발주접수!$F6="세트",발주접수!$E6&amp;" 전개","직접 발주"))</f>
        <v/>
      </c>
    </row>
    <row r="44" ht="15" customHeight="1" s="30">
      <c r="A44" s="47" t="str">
        <f>IF($D44="","",39)</f>
        <v/>
      </c>
      <c r="B44" s="48" t="str">
        <f>IFERROR(INDEX(전개결과!$O$6:$O$1205,MATCH("R"&amp;39,전개결과!$L$6:$L$1205,0)),"")</f>
        <v/>
      </c>
      <c r="C44" s="40" t="str">
        <f>IF($D44="","",IFERROR(INDEX(전개결과!$P$6:$P$1205,MATCH("R"&amp;39,전개결과!$L$6:$L$1205,0)),""))</f>
        <v/>
      </c>
      <c r="D44" s="40" t="str">
        <f>IFERROR(INDEX(전개결과!$M$6:$M$1205,MATCH("R"&amp;39,전개결과!$L$6:$L$1205,0)),"")</f>
        <v/>
      </c>
      <c r="E44" s="40" t="str">
        <f>IF($D44="","",IFERROR(INDEX(품목목록!$B$3:$B$302,MATCH($D44,품목목록!$A$3:$A$302,0)),""))</f>
        <v/>
      </c>
      <c r="F44" s="47" t="str">
        <f>IF($D44="","",IFERROR(INDEX(품목목록!$D$3:$D$302,MATCH($D44,품목목록!$A$3:$A$302,0)),""))</f>
        <v/>
      </c>
      <c r="G44" s="49" t="str">
        <f>IFERROR(INDEX(전개결과!$N$6:$N$1205,MATCH("R"&amp;39,전개결과!$L$6:$L$1205,0)),"")</f>
        <v/>
      </c>
      <c r="H44" s="40" t="str">
        <f>IF($D44="","",IFERROR(INDEX(전개결과!$Q$6:$Q$1205,MATCH("R"&amp;39,전개결과!$L$6:$L$1205,0)),""))</f>
        <v/>
      </c>
      <c r="J44" s="50" t="b">
        <f>IF(발주접수!$D6="",FALSE(),IF(발주접수!$F6="세트",COUNTIF(세트구성!$G$3:$G$302,발주접수!$D6&amp;"|"&amp;9)&gt;0,8=0))</f>
        <v>0</v>
      </c>
      <c r="K44" s="34" t="str">
        <f>IF($J44=FALSE(),"",COUNTIF($J$6:$J44,TRUE()))</f>
        <v/>
      </c>
      <c r="L44" s="34" t="str">
        <f>IF($K44="","","R"&amp;$K44)</f>
        <v/>
      </c>
      <c r="M44" s="34" t="str">
        <f>IF($J44=FALSE(),"",IF(발주접수!$F6="세트",IFERROR(INDEX(세트구성!$C$3:$C$302,MATCH(발주접수!$D6&amp;"|"&amp;9,세트구성!$G$3:$G$302,0)),""),발주접수!$D6))</f>
        <v/>
      </c>
      <c r="N44" s="34" t="str">
        <f>IF($J44=FALSE(),"",IF(발주접수!$F6="세트",발주접수!$G6*IFERROR(INDEX(세트구성!$E$3:$E$302,MATCH(발주접수!$D6&amp;"|"&amp;9,세트구성!$G$3:$G$302,0)),0),발주접수!$G6))</f>
        <v/>
      </c>
      <c r="O44" s="34" t="str">
        <f>IF($J44=FALSE(),"",발주접수!$B6)</f>
        <v/>
      </c>
      <c r="P44" s="34" t="str">
        <f>IF($J44=FALSE(),"",발주접수!$C6)</f>
        <v/>
      </c>
      <c r="Q44" s="34" t="str">
        <f>IF($J44=FALSE(),"",IF(발주접수!$F6="세트",발주접수!$E6&amp;" 전개","직접 발주"))</f>
        <v/>
      </c>
    </row>
    <row r="45" ht="15" customHeight="1" s="30">
      <c r="A45" s="47" t="str">
        <f>IF($D45="","",40)</f>
        <v/>
      </c>
      <c r="B45" s="48" t="str">
        <f>IFERROR(INDEX(전개결과!$O$6:$O$1205,MATCH("R"&amp;40,전개결과!$L$6:$L$1205,0)),"")</f>
        <v/>
      </c>
      <c r="C45" s="40" t="str">
        <f>IF($D45="","",IFERROR(INDEX(전개결과!$P$6:$P$1205,MATCH("R"&amp;40,전개결과!$L$6:$L$1205,0)),""))</f>
        <v/>
      </c>
      <c r="D45" s="40" t="str">
        <f>IFERROR(INDEX(전개결과!$M$6:$M$1205,MATCH("R"&amp;40,전개결과!$L$6:$L$1205,0)),"")</f>
        <v/>
      </c>
      <c r="E45" s="40" t="str">
        <f>IF($D45="","",IFERROR(INDEX(품목목록!$B$3:$B$302,MATCH($D45,품목목록!$A$3:$A$302,0)),""))</f>
        <v/>
      </c>
      <c r="F45" s="47" t="str">
        <f>IF($D45="","",IFERROR(INDEX(품목목록!$D$3:$D$302,MATCH($D45,품목목록!$A$3:$A$302,0)),""))</f>
        <v/>
      </c>
      <c r="G45" s="49" t="str">
        <f>IFERROR(INDEX(전개결과!$N$6:$N$1205,MATCH("R"&amp;40,전개결과!$L$6:$L$1205,0)),"")</f>
        <v/>
      </c>
      <c r="H45" s="40" t="str">
        <f>IF($D45="","",IFERROR(INDEX(전개결과!$Q$6:$Q$1205,MATCH("R"&amp;40,전개결과!$L$6:$L$1205,0)),""))</f>
        <v/>
      </c>
      <c r="J45" s="50" t="b">
        <f>IF(발주접수!$D6="",FALSE(),IF(발주접수!$F6="세트",COUNTIF(세트구성!$G$3:$G$302,발주접수!$D6&amp;"|"&amp;10)&gt;0,9=0))</f>
        <v>0</v>
      </c>
      <c r="K45" s="34" t="str">
        <f>IF($J45=FALSE(),"",COUNTIF($J$6:$J45,TRUE()))</f>
        <v/>
      </c>
      <c r="L45" s="34" t="str">
        <f>IF($K45="","","R"&amp;$K45)</f>
        <v/>
      </c>
      <c r="M45" s="34" t="str">
        <f>IF($J45=FALSE(),"",IF(발주접수!$F6="세트",IFERROR(INDEX(세트구성!$C$3:$C$302,MATCH(발주접수!$D6&amp;"|"&amp;10,세트구성!$G$3:$G$302,0)),""),발주접수!$D6))</f>
        <v/>
      </c>
      <c r="N45" s="34" t="str">
        <f>IF($J45=FALSE(),"",IF(발주접수!$F6="세트",발주접수!$G6*IFERROR(INDEX(세트구성!$E$3:$E$302,MATCH(발주접수!$D6&amp;"|"&amp;10,세트구성!$G$3:$G$302,0)),0),발주접수!$G6))</f>
        <v/>
      </c>
      <c r="O45" s="34" t="str">
        <f>IF($J45=FALSE(),"",발주접수!$B6)</f>
        <v/>
      </c>
      <c r="P45" s="34" t="str">
        <f>IF($J45=FALSE(),"",발주접수!$C6)</f>
        <v/>
      </c>
      <c r="Q45" s="34" t="str">
        <f>IF($J45=FALSE(),"",IF(발주접수!$F6="세트",발주접수!$E6&amp;" 전개","직접 발주"))</f>
        <v/>
      </c>
    </row>
    <row r="46" ht="15" customHeight="1" s="30">
      <c r="A46" s="47" t="str">
        <f>IF($D46="","",41)</f>
        <v/>
      </c>
      <c r="B46" s="48" t="str">
        <f>IFERROR(INDEX(전개결과!$O$6:$O$1205,MATCH("R"&amp;41,전개결과!$L$6:$L$1205,0)),"")</f>
        <v/>
      </c>
      <c r="C46" s="40" t="str">
        <f>IF($D46="","",IFERROR(INDEX(전개결과!$P$6:$P$1205,MATCH("R"&amp;41,전개결과!$L$6:$L$1205,0)),""))</f>
        <v/>
      </c>
      <c r="D46" s="40" t="str">
        <f>IFERROR(INDEX(전개결과!$M$6:$M$1205,MATCH("R"&amp;41,전개결과!$L$6:$L$1205,0)),"")</f>
        <v/>
      </c>
      <c r="E46" s="40" t="str">
        <f>IF($D46="","",IFERROR(INDEX(품목목록!$B$3:$B$302,MATCH($D46,품목목록!$A$3:$A$302,0)),""))</f>
        <v/>
      </c>
      <c r="F46" s="47" t="str">
        <f>IF($D46="","",IFERROR(INDEX(품목목록!$D$3:$D$302,MATCH($D46,품목목록!$A$3:$A$302,0)),""))</f>
        <v/>
      </c>
      <c r="G46" s="49" t="str">
        <f>IFERROR(INDEX(전개결과!$N$6:$N$1205,MATCH("R"&amp;41,전개결과!$L$6:$L$1205,0)),"")</f>
        <v/>
      </c>
      <c r="H46" s="40" t="str">
        <f>IF($D46="","",IFERROR(INDEX(전개결과!$Q$6:$Q$1205,MATCH("R"&amp;41,전개결과!$L$6:$L$1205,0)),""))</f>
        <v/>
      </c>
      <c r="J46" s="50" t="b">
        <f>IF(발주접수!$D7="",FALSE(),IF(발주접수!$F7="세트",COUNTIF(세트구성!$G$3:$G$302,발주접수!$D7&amp;"|"&amp;1)&gt;0,0=0))</f>
        <v>0</v>
      </c>
      <c r="K46" s="34" t="str">
        <f>IF($J46=FALSE(),"",COUNTIF($J$6:$J46,TRUE()))</f>
        <v/>
      </c>
      <c r="L46" s="34" t="str">
        <f>IF($K46="","","R"&amp;$K46)</f>
        <v/>
      </c>
      <c r="M46" s="34" t="str">
        <f>IF($J46=FALSE(),"",IF(발주접수!$F7="세트",IFERROR(INDEX(세트구성!$C$3:$C$302,MATCH(발주접수!$D7&amp;"|"&amp;1,세트구성!$G$3:$G$302,0)),""),발주접수!$D7))</f>
        <v/>
      </c>
      <c r="N46" s="34" t="str">
        <f>IF($J46=FALSE(),"",IF(발주접수!$F7="세트",발주접수!$G7*IFERROR(INDEX(세트구성!$E$3:$E$302,MATCH(발주접수!$D7&amp;"|"&amp;1,세트구성!$G$3:$G$302,0)),0),발주접수!$G7))</f>
        <v/>
      </c>
      <c r="O46" s="34" t="str">
        <f>IF($J46=FALSE(),"",발주접수!$B7)</f>
        <v/>
      </c>
      <c r="P46" s="34" t="str">
        <f>IF($J46=FALSE(),"",발주접수!$C7)</f>
        <v/>
      </c>
      <c r="Q46" s="34" t="str">
        <f>IF($J46=FALSE(),"",IF(발주접수!$F7="세트",발주접수!$E7&amp;" 전개","직접 발주"))</f>
        <v/>
      </c>
    </row>
    <row r="47" ht="15" customHeight="1" s="30">
      <c r="A47" s="47" t="str">
        <f>IF($D47="","",42)</f>
        <v/>
      </c>
      <c r="B47" s="48" t="str">
        <f>IFERROR(INDEX(전개결과!$O$6:$O$1205,MATCH("R"&amp;42,전개결과!$L$6:$L$1205,0)),"")</f>
        <v/>
      </c>
      <c r="C47" s="40" t="str">
        <f>IF($D47="","",IFERROR(INDEX(전개결과!$P$6:$P$1205,MATCH("R"&amp;42,전개결과!$L$6:$L$1205,0)),""))</f>
        <v/>
      </c>
      <c r="D47" s="40" t="str">
        <f>IFERROR(INDEX(전개결과!$M$6:$M$1205,MATCH("R"&amp;42,전개결과!$L$6:$L$1205,0)),"")</f>
        <v/>
      </c>
      <c r="E47" s="40" t="str">
        <f>IF($D47="","",IFERROR(INDEX(품목목록!$B$3:$B$302,MATCH($D47,품목목록!$A$3:$A$302,0)),""))</f>
        <v/>
      </c>
      <c r="F47" s="47" t="str">
        <f>IF($D47="","",IFERROR(INDEX(품목목록!$D$3:$D$302,MATCH($D47,품목목록!$A$3:$A$302,0)),""))</f>
        <v/>
      </c>
      <c r="G47" s="49" t="str">
        <f>IFERROR(INDEX(전개결과!$N$6:$N$1205,MATCH("R"&amp;42,전개결과!$L$6:$L$1205,0)),"")</f>
        <v/>
      </c>
      <c r="H47" s="40" t="str">
        <f>IF($D47="","",IFERROR(INDEX(전개결과!$Q$6:$Q$1205,MATCH("R"&amp;42,전개결과!$L$6:$L$1205,0)),""))</f>
        <v/>
      </c>
      <c r="J47" s="50" t="b">
        <f>IF(발주접수!$D7="",FALSE(),IF(발주접수!$F7="세트",COUNTIF(세트구성!$G$3:$G$302,발주접수!$D7&amp;"|"&amp;2)&gt;0,1=0))</f>
        <v>0</v>
      </c>
      <c r="K47" s="34" t="str">
        <f>IF($J47=FALSE(),"",COUNTIF($J$6:$J47,TRUE()))</f>
        <v/>
      </c>
      <c r="L47" s="34" t="str">
        <f>IF($K47="","","R"&amp;$K47)</f>
        <v/>
      </c>
      <c r="M47" s="34" t="str">
        <f>IF($J47=FALSE(),"",IF(발주접수!$F7="세트",IFERROR(INDEX(세트구성!$C$3:$C$302,MATCH(발주접수!$D7&amp;"|"&amp;2,세트구성!$G$3:$G$302,0)),""),발주접수!$D7))</f>
        <v/>
      </c>
      <c r="N47" s="34" t="str">
        <f>IF($J47=FALSE(),"",IF(발주접수!$F7="세트",발주접수!$G7*IFERROR(INDEX(세트구성!$E$3:$E$302,MATCH(발주접수!$D7&amp;"|"&amp;2,세트구성!$G$3:$G$302,0)),0),발주접수!$G7))</f>
        <v/>
      </c>
      <c r="O47" s="34" t="str">
        <f>IF($J47=FALSE(),"",발주접수!$B7)</f>
        <v/>
      </c>
      <c r="P47" s="34" t="str">
        <f>IF($J47=FALSE(),"",발주접수!$C7)</f>
        <v/>
      </c>
      <c r="Q47" s="34" t="str">
        <f>IF($J47=FALSE(),"",IF(발주접수!$F7="세트",발주접수!$E7&amp;" 전개","직접 발주"))</f>
        <v/>
      </c>
    </row>
    <row r="48" ht="15" customHeight="1" s="30">
      <c r="A48" s="47" t="str">
        <f>IF($D48="","",43)</f>
        <v/>
      </c>
      <c r="B48" s="48" t="str">
        <f>IFERROR(INDEX(전개결과!$O$6:$O$1205,MATCH("R"&amp;43,전개결과!$L$6:$L$1205,0)),"")</f>
        <v/>
      </c>
      <c r="C48" s="40" t="str">
        <f>IF($D48="","",IFERROR(INDEX(전개결과!$P$6:$P$1205,MATCH("R"&amp;43,전개결과!$L$6:$L$1205,0)),""))</f>
        <v/>
      </c>
      <c r="D48" s="40" t="str">
        <f>IFERROR(INDEX(전개결과!$M$6:$M$1205,MATCH("R"&amp;43,전개결과!$L$6:$L$1205,0)),"")</f>
        <v/>
      </c>
      <c r="E48" s="40" t="str">
        <f>IF($D48="","",IFERROR(INDEX(품목목록!$B$3:$B$302,MATCH($D48,품목목록!$A$3:$A$302,0)),""))</f>
        <v/>
      </c>
      <c r="F48" s="47" t="str">
        <f>IF($D48="","",IFERROR(INDEX(품목목록!$D$3:$D$302,MATCH($D48,품목목록!$A$3:$A$302,0)),""))</f>
        <v/>
      </c>
      <c r="G48" s="49" t="str">
        <f>IFERROR(INDEX(전개결과!$N$6:$N$1205,MATCH("R"&amp;43,전개결과!$L$6:$L$1205,0)),"")</f>
        <v/>
      </c>
      <c r="H48" s="40" t="str">
        <f>IF($D48="","",IFERROR(INDEX(전개결과!$Q$6:$Q$1205,MATCH("R"&amp;43,전개결과!$L$6:$L$1205,0)),""))</f>
        <v/>
      </c>
      <c r="J48" s="50" t="b">
        <f>IF(발주접수!$D7="",FALSE(),IF(발주접수!$F7="세트",COUNTIF(세트구성!$G$3:$G$302,발주접수!$D7&amp;"|"&amp;3)&gt;0,2=0))</f>
        <v>0</v>
      </c>
      <c r="K48" s="34" t="str">
        <f>IF($J48=FALSE(),"",COUNTIF($J$6:$J48,TRUE()))</f>
        <v/>
      </c>
      <c r="L48" s="34" t="str">
        <f>IF($K48="","","R"&amp;$K48)</f>
        <v/>
      </c>
      <c r="M48" s="34" t="str">
        <f>IF($J48=FALSE(),"",IF(발주접수!$F7="세트",IFERROR(INDEX(세트구성!$C$3:$C$302,MATCH(발주접수!$D7&amp;"|"&amp;3,세트구성!$G$3:$G$302,0)),""),발주접수!$D7))</f>
        <v/>
      </c>
      <c r="N48" s="34" t="str">
        <f>IF($J48=FALSE(),"",IF(발주접수!$F7="세트",발주접수!$G7*IFERROR(INDEX(세트구성!$E$3:$E$302,MATCH(발주접수!$D7&amp;"|"&amp;3,세트구성!$G$3:$G$302,0)),0),발주접수!$G7))</f>
        <v/>
      </c>
      <c r="O48" s="34" t="str">
        <f>IF($J48=FALSE(),"",발주접수!$B7)</f>
        <v/>
      </c>
      <c r="P48" s="34" t="str">
        <f>IF($J48=FALSE(),"",발주접수!$C7)</f>
        <v/>
      </c>
      <c r="Q48" s="34" t="str">
        <f>IF($J48=FALSE(),"",IF(발주접수!$F7="세트",발주접수!$E7&amp;" 전개","직접 발주"))</f>
        <v/>
      </c>
    </row>
    <row r="49" ht="15" customHeight="1" s="30">
      <c r="A49" s="47" t="str">
        <f>IF($D49="","",44)</f>
        <v/>
      </c>
      <c r="B49" s="48" t="str">
        <f>IFERROR(INDEX(전개결과!$O$6:$O$1205,MATCH("R"&amp;44,전개결과!$L$6:$L$1205,0)),"")</f>
        <v/>
      </c>
      <c r="C49" s="40" t="str">
        <f>IF($D49="","",IFERROR(INDEX(전개결과!$P$6:$P$1205,MATCH("R"&amp;44,전개결과!$L$6:$L$1205,0)),""))</f>
        <v/>
      </c>
      <c r="D49" s="40" t="str">
        <f>IFERROR(INDEX(전개결과!$M$6:$M$1205,MATCH("R"&amp;44,전개결과!$L$6:$L$1205,0)),"")</f>
        <v/>
      </c>
      <c r="E49" s="40" t="str">
        <f>IF($D49="","",IFERROR(INDEX(품목목록!$B$3:$B$302,MATCH($D49,품목목록!$A$3:$A$302,0)),""))</f>
        <v/>
      </c>
      <c r="F49" s="47" t="str">
        <f>IF($D49="","",IFERROR(INDEX(품목목록!$D$3:$D$302,MATCH($D49,품목목록!$A$3:$A$302,0)),""))</f>
        <v/>
      </c>
      <c r="G49" s="49" t="str">
        <f>IFERROR(INDEX(전개결과!$N$6:$N$1205,MATCH("R"&amp;44,전개결과!$L$6:$L$1205,0)),"")</f>
        <v/>
      </c>
      <c r="H49" s="40" t="str">
        <f>IF($D49="","",IFERROR(INDEX(전개결과!$Q$6:$Q$1205,MATCH("R"&amp;44,전개결과!$L$6:$L$1205,0)),""))</f>
        <v/>
      </c>
      <c r="J49" s="50" t="b">
        <f>IF(발주접수!$D7="",FALSE(),IF(발주접수!$F7="세트",COUNTIF(세트구성!$G$3:$G$302,발주접수!$D7&amp;"|"&amp;4)&gt;0,3=0))</f>
        <v>0</v>
      </c>
      <c r="K49" s="34" t="str">
        <f>IF($J49=FALSE(),"",COUNTIF($J$6:$J49,TRUE()))</f>
        <v/>
      </c>
      <c r="L49" s="34" t="str">
        <f>IF($K49="","","R"&amp;$K49)</f>
        <v/>
      </c>
      <c r="M49" s="34" t="str">
        <f>IF($J49=FALSE(),"",IF(발주접수!$F7="세트",IFERROR(INDEX(세트구성!$C$3:$C$302,MATCH(발주접수!$D7&amp;"|"&amp;4,세트구성!$G$3:$G$302,0)),""),발주접수!$D7))</f>
        <v/>
      </c>
      <c r="N49" s="34" t="str">
        <f>IF($J49=FALSE(),"",IF(발주접수!$F7="세트",발주접수!$G7*IFERROR(INDEX(세트구성!$E$3:$E$302,MATCH(발주접수!$D7&amp;"|"&amp;4,세트구성!$G$3:$G$302,0)),0),발주접수!$G7))</f>
        <v/>
      </c>
      <c r="O49" s="34" t="str">
        <f>IF($J49=FALSE(),"",발주접수!$B7)</f>
        <v/>
      </c>
      <c r="P49" s="34" t="str">
        <f>IF($J49=FALSE(),"",발주접수!$C7)</f>
        <v/>
      </c>
      <c r="Q49" s="34" t="str">
        <f>IF($J49=FALSE(),"",IF(발주접수!$F7="세트",발주접수!$E7&amp;" 전개","직접 발주"))</f>
        <v/>
      </c>
    </row>
    <row r="50" ht="15" customHeight="1" s="30">
      <c r="A50" s="47" t="str">
        <f>IF($D50="","",45)</f>
        <v/>
      </c>
      <c r="B50" s="48" t="str">
        <f>IFERROR(INDEX(전개결과!$O$6:$O$1205,MATCH("R"&amp;45,전개결과!$L$6:$L$1205,0)),"")</f>
        <v/>
      </c>
      <c r="C50" s="40" t="str">
        <f>IF($D50="","",IFERROR(INDEX(전개결과!$P$6:$P$1205,MATCH("R"&amp;45,전개결과!$L$6:$L$1205,0)),""))</f>
        <v/>
      </c>
      <c r="D50" s="40" t="str">
        <f>IFERROR(INDEX(전개결과!$M$6:$M$1205,MATCH("R"&amp;45,전개결과!$L$6:$L$1205,0)),"")</f>
        <v/>
      </c>
      <c r="E50" s="40" t="str">
        <f>IF($D50="","",IFERROR(INDEX(품목목록!$B$3:$B$302,MATCH($D50,품목목록!$A$3:$A$302,0)),""))</f>
        <v/>
      </c>
      <c r="F50" s="47" t="str">
        <f>IF($D50="","",IFERROR(INDEX(품목목록!$D$3:$D$302,MATCH($D50,품목목록!$A$3:$A$302,0)),""))</f>
        <v/>
      </c>
      <c r="G50" s="49" t="str">
        <f>IFERROR(INDEX(전개결과!$N$6:$N$1205,MATCH("R"&amp;45,전개결과!$L$6:$L$1205,0)),"")</f>
        <v/>
      </c>
      <c r="H50" s="40" t="str">
        <f>IF($D50="","",IFERROR(INDEX(전개결과!$Q$6:$Q$1205,MATCH("R"&amp;45,전개결과!$L$6:$L$1205,0)),""))</f>
        <v/>
      </c>
      <c r="J50" s="50" t="b">
        <f>IF(발주접수!$D7="",FALSE(),IF(발주접수!$F7="세트",COUNTIF(세트구성!$G$3:$G$302,발주접수!$D7&amp;"|"&amp;5)&gt;0,4=0))</f>
        <v>0</v>
      </c>
      <c r="K50" s="34" t="str">
        <f>IF($J50=FALSE(),"",COUNTIF($J$6:$J50,TRUE()))</f>
        <v/>
      </c>
      <c r="L50" s="34" t="str">
        <f>IF($K50="","","R"&amp;$K50)</f>
        <v/>
      </c>
      <c r="M50" s="34" t="str">
        <f>IF($J50=FALSE(),"",IF(발주접수!$F7="세트",IFERROR(INDEX(세트구성!$C$3:$C$302,MATCH(발주접수!$D7&amp;"|"&amp;5,세트구성!$G$3:$G$302,0)),""),발주접수!$D7))</f>
        <v/>
      </c>
      <c r="N50" s="34" t="str">
        <f>IF($J50=FALSE(),"",IF(발주접수!$F7="세트",발주접수!$G7*IFERROR(INDEX(세트구성!$E$3:$E$302,MATCH(발주접수!$D7&amp;"|"&amp;5,세트구성!$G$3:$G$302,0)),0),발주접수!$G7))</f>
        <v/>
      </c>
      <c r="O50" s="34" t="str">
        <f>IF($J50=FALSE(),"",발주접수!$B7)</f>
        <v/>
      </c>
      <c r="P50" s="34" t="str">
        <f>IF($J50=FALSE(),"",발주접수!$C7)</f>
        <v/>
      </c>
      <c r="Q50" s="34" t="str">
        <f>IF($J50=FALSE(),"",IF(발주접수!$F7="세트",발주접수!$E7&amp;" 전개","직접 발주"))</f>
        <v/>
      </c>
    </row>
    <row r="51" ht="15" customHeight="1" s="30">
      <c r="A51" s="47" t="str">
        <f>IF($D51="","",46)</f>
        <v/>
      </c>
      <c r="B51" s="48" t="str">
        <f>IFERROR(INDEX(전개결과!$O$6:$O$1205,MATCH("R"&amp;46,전개결과!$L$6:$L$1205,0)),"")</f>
        <v/>
      </c>
      <c r="C51" s="40" t="str">
        <f>IF($D51="","",IFERROR(INDEX(전개결과!$P$6:$P$1205,MATCH("R"&amp;46,전개결과!$L$6:$L$1205,0)),""))</f>
        <v/>
      </c>
      <c r="D51" s="40" t="str">
        <f>IFERROR(INDEX(전개결과!$M$6:$M$1205,MATCH("R"&amp;46,전개결과!$L$6:$L$1205,0)),"")</f>
        <v/>
      </c>
      <c r="E51" s="40" t="str">
        <f>IF($D51="","",IFERROR(INDEX(품목목록!$B$3:$B$302,MATCH($D51,품목목록!$A$3:$A$302,0)),""))</f>
        <v/>
      </c>
      <c r="F51" s="47" t="str">
        <f>IF($D51="","",IFERROR(INDEX(품목목록!$D$3:$D$302,MATCH($D51,품목목록!$A$3:$A$302,0)),""))</f>
        <v/>
      </c>
      <c r="G51" s="49" t="str">
        <f>IFERROR(INDEX(전개결과!$N$6:$N$1205,MATCH("R"&amp;46,전개결과!$L$6:$L$1205,0)),"")</f>
        <v/>
      </c>
      <c r="H51" s="40" t="str">
        <f>IF($D51="","",IFERROR(INDEX(전개결과!$Q$6:$Q$1205,MATCH("R"&amp;46,전개결과!$L$6:$L$1205,0)),""))</f>
        <v/>
      </c>
      <c r="J51" s="50" t="b">
        <f>IF(발주접수!$D7="",FALSE(),IF(발주접수!$F7="세트",COUNTIF(세트구성!$G$3:$G$302,발주접수!$D7&amp;"|"&amp;6)&gt;0,5=0))</f>
        <v>0</v>
      </c>
      <c r="K51" s="34" t="str">
        <f>IF($J51=FALSE(),"",COUNTIF($J$6:$J51,TRUE()))</f>
        <v/>
      </c>
      <c r="L51" s="34" t="str">
        <f>IF($K51="","","R"&amp;$K51)</f>
        <v/>
      </c>
      <c r="M51" s="34" t="str">
        <f>IF($J51=FALSE(),"",IF(발주접수!$F7="세트",IFERROR(INDEX(세트구성!$C$3:$C$302,MATCH(발주접수!$D7&amp;"|"&amp;6,세트구성!$G$3:$G$302,0)),""),발주접수!$D7))</f>
        <v/>
      </c>
      <c r="N51" s="34" t="str">
        <f>IF($J51=FALSE(),"",IF(발주접수!$F7="세트",발주접수!$G7*IFERROR(INDEX(세트구성!$E$3:$E$302,MATCH(발주접수!$D7&amp;"|"&amp;6,세트구성!$G$3:$G$302,0)),0),발주접수!$G7))</f>
        <v/>
      </c>
      <c r="O51" s="34" t="str">
        <f>IF($J51=FALSE(),"",발주접수!$B7)</f>
        <v/>
      </c>
      <c r="P51" s="34" t="str">
        <f>IF($J51=FALSE(),"",발주접수!$C7)</f>
        <v/>
      </c>
      <c r="Q51" s="34" t="str">
        <f>IF($J51=FALSE(),"",IF(발주접수!$F7="세트",발주접수!$E7&amp;" 전개","직접 발주"))</f>
        <v/>
      </c>
    </row>
    <row r="52" ht="15" customHeight="1" s="30">
      <c r="A52" s="47" t="str">
        <f>IF($D52="","",47)</f>
        <v/>
      </c>
      <c r="B52" s="48" t="str">
        <f>IFERROR(INDEX(전개결과!$O$6:$O$1205,MATCH("R"&amp;47,전개결과!$L$6:$L$1205,0)),"")</f>
        <v/>
      </c>
      <c r="C52" s="40" t="str">
        <f>IF($D52="","",IFERROR(INDEX(전개결과!$P$6:$P$1205,MATCH("R"&amp;47,전개결과!$L$6:$L$1205,0)),""))</f>
        <v/>
      </c>
      <c r="D52" s="40" t="str">
        <f>IFERROR(INDEX(전개결과!$M$6:$M$1205,MATCH("R"&amp;47,전개결과!$L$6:$L$1205,0)),"")</f>
        <v/>
      </c>
      <c r="E52" s="40" t="str">
        <f>IF($D52="","",IFERROR(INDEX(품목목록!$B$3:$B$302,MATCH($D52,품목목록!$A$3:$A$302,0)),""))</f>
        <v/>
      </c>
      <c r="F52" s="47" t="str">
        <f>IF($D52="","",IFERROR(INDEX(품목목록!$D$3:$D$302,MATCH($D52,품목목록!$A$3:$A$302,0)),""))</f>
        <v/>
      </c>
      <c r="G52" s="49" t="str">
        <f>IFERROR(INDEX(전개결과!$N$6:$N$1205,MATCH("R"&amp;47,전개결과!$L$6:$L$1205,0)),"")</f>
        <v/>
      </c>
      <c r="H52" s="40" t="str">
        <f>IF($D52="","",IFERROR(INDEX(전개결과!$Q$6:$Q$1205,MATCH("R"&amp;47,전개결과!$L$6:$L$1205,0)),""))</f>
        <v/>
      </c>
      <c r="J52" s="50" t="b">
        <f>IF(발주접수!$D7="",FALSE(),IF(발주접수!$F7="세트",COUNTIF(세트구성!$G$3:$G$302,발주접수!$D7&amp;"|"&amp;7)&gt;0,6=0))</f>
        <v>0</v>
      </c>
      <c r="K52" s="34" t="str">
        <f>IF($J52=FALSE(),"",COUNTIF($J$6:$J52,TRUE()))</f>
        <v/>
      </c>
      <c r="L52" s="34" t="str">
        <f>IF($K52="","","R"&amp;$K52)</f>
        <v/>
      </c>
      <c r="M52" s="34" t="str">
        <f>IF($J52=FALSE(),"",IF(발주접수!$F7="세트",IFERROR(INDEX(세트구성!$C$3:$C$302,MATCH(발주접수!$D7&amp;"|"&amp;7,세트구성!$G$3:$G$302,0)),""),발주접수!$D7))</f>
        <v/>
      </c>
      <c r="N52" s="34" t="str">
        <f>IF($J52=FALSE(),"",IF(발주접수!$F7="세트",발주접수!$G7*IFERROR(INDEX(세트구성!$E$3:$E$302,MATCH(발주접수!$D7&amp;"|"&amp;7,세트구성!$G$3:$G$302,0)),0),발주접수!$G7))</f>
        <v/>
      </c>
      <c r="O52" s="34" t="str">
        <f>IF($J52=FALSE(),"",발주접수!$B7)</f>
        <v/>
      </c>
      <c r="P52" s="34" t="str">
        <f>IF($J52=FALSE(),"",발주접수!$C7)</f>
        <v/>
      </c>
      <c r="Q52" s="34" t="str">
        <f>IF($J52=FALSE(),"",IF(발주접수!$F7="세트",발주접수!$E7&amp;" 전개","직접 발주"))</f>
        <v/>
      </c>
    </row>
    <row r="53" ht="15" customHeight="1" s="30">
      <c r="A53" s="47" t="str">
        <f>IF($D53="","",48)</f>
        <v/>
      </c>
      <c r="B53" s="48" t="str">
        <f>IFERROR(INDEX(전개결과!$O$6:$O$1205,MATCH("R"&amp;48,전개결과!$L$6:$L$1205,0)),"")</f>
        <v/>
      </c>
      <c r="C53" s="40" t="str">
        <f>IF($D53="","",IFERROR(INDEX(전개결과!$P$6:$P$1205,MATCH("R"&amp;48,전개결과!$L$6:$L$1205,0)),""))</f>
        <v/>
      </c>
      <c r="D53" s="40" t="str">
        <f>IFERROR(INDEX(전개결과!$M$6:$M$1205,MATCH("R"&amp;48,전개결과!$L$6:$L$1205,0)),"")</f>
        <v/>
      </c>
      <c r="E53" s="40" t="str">
        <f>IF($D53="","",IFERROR(INDEX(품목목록!$B$3:$B$302,MATCH($D53,품목목록!$A$3:$A$302,0)),""))</f>
        <v/>
      </c>
      <c r="F53" s="47" t="str">
        <f>IF($D53="","",IFERROR(INDEX(품목목록!$D$3:$D$302,MATCH($D53,품목목록!$A$3:$A$302,0)),""))</f>
        <v/>
      </c>
      <c r="G53" s="49" t="str">
        <f>IFERROR(INDEX(전개결과!$N$6:$N$1205,MATCH("R"&amp;48,전개결과!$L$6:$L$1205,0)),"")</f>
        <v/>
      </c>
      <c r="H53" s="40" t="str">
        <f>IF($D53="","",IFERROR(INDEX(전개결과!$Q$6:$Q$1205,MATCH("R"&amp;48,전개결과!$L$6:$L$1205,0)),""))</f>
        <v/>
      </c>
      <c r="J53" s="50" t="b">
        <f>IF(발주접수!$D7="",FALSE(),IF(발주접수!$F7="세트",COUNTIF(세트구성!$G$3:$G$302,발주접수!$D7&amp;"|"&amp;8)&gt;0,7=0))</f>
        <v>0</v>
      </c>
      <c r="K53" s="34" t="str">
        <f>IF($J53=FALSE(),"",COUNTIF($J$6:$J53,TRUE()))</f>
        <v/>
      </c>
      <c r="L53" s="34" t="str">
        <f>IF($K53="","","R"&amp;$K53)</f>
        <v/>
      </c>
      <c r="M53" s="34" t="str">
        <f>IF($J53=FALSE(),"",IF(발주접수!$F7="세트",IFERROR(INDEX(세트구성!$C$3:$C$302,MATCH(발주접수!$D7&amp;"|"&amp;8,세트구성!$G$3:$G$302,0)),""),발주접수!$D7))</f>
        <v/>
      </c>
      <c r="N53" s="34" t="str">
        <f>IF($J53=FALSE(),"",IF(발주접수!$F7="세트",발주접수!$G7*IFERROR(INDEX(세트구성!$E$3:$E$302,MATCH(발주접수!$D7&amp;"|"&amp;8,세트구성!$G$3:$G$302,0)),0),발주접수!$G7))</f>
        <v/>
      </c>
      <c r="O53" s="34" t="str">
        <f>IF($J53=FALSE(),"",발주접수!$B7)</f>
        <v/>
      </c>
      <c r="P53" s="34" t="str">
        <f>IF($J53=FALSE(),"",발주접수!$C7)</f>
        <v/>
      </c>
      <c r="Q53" s="34" t="str">
        <f>IF($J53=FALSE(),"",IF(발주접수!$F7="세트",발주접수!$E7&amp;" 전개","직접 발주"))</f>
        <v/>
      </c>
    </row>
    <row r="54" ht="15" customHeight="1" s="30">
      <c r="A54" s="47" t="str">
        <f>IF($D54="","",49)</f>
        <v/>
      </c>
      <c r="B54" s="48" t="str">
        <f>IFERROR(INDEX(전개결과!$O$6:$O$1205,MATCH("R"&amp;49,전개결과!$L$6:$L$1205,0)),"")</f>
        <v/>
      </c>
      <c r="C54" s="40" t="str">
        <f>IF($D54="","",IFERROR(INDEX(전개결과!$P$6:$P$1205,MATCH("R"&amp;49,전개결과!$L$6:$L$1205,0)),""))</f>
        <v/>
      </c>
      <c r="D54" s="40" t="str">
        <f>IFERROR(INDEX(전개결과!$M$6:$M$1205,MATCH("R"&amp;49,전개결과!$L$6:$L$1205,0)),"")</f>
        <v/>
      </c>
      <c r="E54" s="40" t="str">
        <f>IF($D54="","",IFERROR(INDEX(품목목록!$B$3:$B$302,MATCH($D54,품목목록!$A$3:$A$302,0)),""))</f>
        <v/>
      </c>
      <c r="F54" s="47" t="str">
        <f>IF($D54="","",IFERROR(INDEX(품목목록!$D$3:$D$302,MATCH($D54,품목목록!$A$3:$A$302,0)),""))</f>
        <v/>
      </c>
      <c r="G54" s="49" t="str">
        <f>IFERROR(INDEX(전개결과!$N$6:$N$1205,MATCH("R"&amp;49,전개결과!$L$6:$L$1205,0)),"")</f>
        <v/>
      </c>
      <c r="H54" s="40" t="str">
        <f>IF($D54="","",IFERROR(INDEX(전개결과!$Q$6:$Q$1205,MATCH("R"&amp;49,전개결과!$L$6:$L$1205,0)),""))</f>
        <v/>
      </c>
      <c r="J54" s="50" t="b">
        <f>IF(발주접수!$D7="",FALSE(),IF(발주접수!$F7="세트",COUNTIF(세트구성!$G$3:$G$302,발주접수!$D7&amp;"|"&amp;9)&gt;0,8=0))</f>
        <v>0</v>
      </c>
      <c r="K54" s="34" t="str">
        <f>IF($J54=FALSE(),"",COUNTIF($J$6:$J54,TRUE()))</f>
        <v/>
      </c>
      <c r="L54" s="34" t="str">
        <f>IF($K54="","","R"&amp;$K54)</f>
        <v/>
      </c>
      <c r="M54" s="34" t="str">
        <f>IF($J54=FALSE(),"",IF(발주접수!$F7="세트",IFERROR(INDEX(세트구성!$C$3:$C$302,MATCH(발주접수!$D7&amp;"|"&amp;9,세트구성!$G$3:$G$302,0)),""),발주접수!$D7))</f>
        <v/>
      </c>
      <c r="N54" s="34" t="str">
        <f>IF($J54=FALSE(),"",IF(발주접수!$F7="세트",발주접수!$G7*IFERROR(INDEX(세트구성!$E$3:$E$302,MATCH(발주접수!$D7&amp;"|"&amp;9,세트구성!$G$3:$G$302,0)),0),발주접수!$G7))</f>
        <v/>
      </c>
      <c r="O54" s="34" t="str">
        <f>IF($J54=FALSE(),"",발주접수!$B7)</f>
        <v/>
      </c>
      <c r="P54" s="34" t="str">
        <f>IF($J54=FALSE(),"",발주접수!$C7)</f>
        <v/>
      </c>
      <c r="Q54" s="34" t="str">
        <f>IF($J54=FALSE(),"",IF(발주접수!$F7="세트",발주접수!$E7&amp;" 전개","직접 발주"))</f>
        <v/>
      </c>
    </row>
    <row r="55" ht="15" customHeight="1" s="30">
      <c r="A55" s="47" t="str">
        <f>IF($D55="","",50)</f>
        <v/>
      </c>
      <c r="B55" s="48" t="str">
        <f>IFERROR(INDEX(전개결과!$O$6:$O$1205,MATCH("R"&amp;50,전개결과!$L$6:$L$1205,0)),"")</f>
        <v/>
      </c>
      <c r="C55" s="40" t="str">
        <f>IF($D55="","",IFERROR(INDEX(전개결과!$P$6:$P$1205,MATCH("R"&amp;50,전개결과!$L$6:$L$1205,0)),""))</f>
        <v/>
      </c>
      <c r="D55" s="40" t="str">
        <f>IFERROR(INDEX(전개결과!$M$6:$M$1205,MATCH("R"&amp;50,전개결과!$L$6:$L$1205,0)),"")</f>
        <v/>
      </c>
      <c r="E55" s="40" t="str">
        <f>IF($D55="","",IFERROR(INDEX(품목목록!$B$3:$B$302,MATCH($D55,품목목록!$A$3:$A$302,0)),""))</f>
        <v/>
      </c>
      <c r="F55" s="47" t="str">
        <f>IF($D55="","",IFERROR(INDEX(품목목록!$D$3:$D$302,MATCH($D55,품목목록!$A$3:$A$302,0)),""))</f>
        <v/>
      </c>
      <c r="G55" s="49" t="str">
        <f>IFERROR(INDEX(전개결과!$N$6:$N$1205,MATCH("R"&amp;50,전개결과!$L$6:$L$1205,0)),"")</f>
        <v/>
      </c>
      <c r="H55" s="40" t="str">
        <f>IF($D55="","",IFERROR(INDEX(전개결과!$Q$6:$Q$1205,MATCH("R"&amp;50,전개결과!$L$6:$L$1205,0)),""))</f>
        <v/>
      </c>
      <c r="J55" s="50" t="b">
        <f>IF(발주접수!$D7="",FALSE(),IF(발주접수!$F7="세트",COUNTIF(세트구성!$G$3:$G$302,발주접수!$D7&amp;"|"&amp;10)&gt;0,9=0))</f>
        <v>0</v>
      </c>
      <c r="K55" s="34" t="str">
        <f>IF($J55=FALSE(),"",COUNTIF($J$6:$J55,TRUE()))</f>
        <v/>
      </c>
      <c r="L55" s="34" t="str">
        <f>IF($K55="","","R"&amp;$K55)</f>
        <v/>
      </c>
      <c r="M55" s="34" t="str">
        <f>IF($J55=FALSE(),"",IF(발주접수!$F7="세트",IFERROR(INDEX(세트구성!$C$3:$C$302,MATCH(발주접수!$D7&amp;"|"&amp;10,세트구성!$G$3:$G$302,0)),""),발주접수!$D7))</f>
        <v/>
      </c>
      <c r="N55" s="34" t="str">
        <f>IF($J55=FALSE(),"",IF(발주접수!$F7="세트",발주접수!$G7*IFERROR(INDEX(세트구성!$E$3:$E$302,MATCH(발주접수!$D7&amp;"|"&amp;10,세트구성!$G$3:$G$302,0)),0),발주접수!$G7))</f>
        <v/>
      </c>
      <c r="O55" s="34" t="str">
        <f>IF($J55=FALSE(),"",발주접수!$B7)</f>
        <v/>
      </c>
      <c r="P55" s="34" t="str">
        <f>IF($J55=FALSE(),"",발주접수!$C7)</f>
        <v/>
      </c>
      <c r="Q55" s="34" t="str">
        <f>IF($J55=FALSE(),"",IF(발주접수!$F7="세트",발주접수!$E7&amp;" 전개","직접 발주"))</f>
        <v/>
      </c>
    </row>
    <row r="56" ht="15" customHeight="1" s="30">
      <c r="A56" s="47" t="str">
        <f>IF($D56="","",51)</f>
        <v/>
      </c>
      <c r="B56" s="48" t="str">
        <f>IFERROR(INDEX(전개결과!$O$6:$O$1205,MATCH("R"&amp;51,전개결과!$L$6:$L$1205,0)),"")</f>
        <v/>
      </c>
      <c r="C56" s="40" t="str">
        <f>IF($D56="","",IFERROR(INDEX(전개결과!$P$6:$P$1205,MATCH("R"&amp;51,전개결과!$L$6:$L$1205,0)),""))</f>
        <v/>
      </c>
      <c r="D56" s="40" t="str">
        <f>IFERROR(INDEX(전개결과!$M$6:$M$1205,MATCH("R"&amp;51,전개결과!$L$6:$L$1205,0)),"")</f>
        <v/>
      </c>
      <c r="E56" s="40" t="str">
        <f>IF($D56="","",IFERROR(INDEX(품목목록!$B$3:$B$302,MATCH($D56,품목목록!$A$3:$A$302,0)),""))</f>
        <v/>
      </c>
      <c r="F56" s="47" t="str">
        <f>IF($D56="","",IFERROR(INDEX(품목목록!$D$3:$D$302,MATCH($D56,품목목록!$A$3:$A$302,0)),""))</f>
        <v/>
      </c>
      <c r="G56" s="49" t="str">
        <f>IFERROR(INDEX(전개결과!$N$6:$N$1205,MATCH("R"&amp;51,전개결과!$L$6:$L$1205,0)),"")</f>
        <v/>
      </c>
      <c r="H56" s="40" t="str">
        <f>IF($D56="","",IFERROR(INDEX(전개결과!$Q$6:$Q$1205,MATCH("R"&amp;51,전개결과!$L$6:$L$1205,0)),""))</f>
        <v/>
      </c>
      <c r="J56" s="50" t="b">
        <f>IF(발주접수!$D8="",FALSE(),IF(발주접수!$F8="세트",COUNTIF(세트구성!$G$3:$G$302,발주접수!$D8&amp;"|"&amp;1)&gt;0,0=0))</f>
        <v>0</v>
      </c>
      <c r="K56" s="34" t="str">
        <f>IF($J56=FALSE(),"",COUNTIF($J$6:$J56,TRUE()))</f>
        <v/>
      </c>
      <c r="L56" s="34" t="str">
        <f>IF($K56="","","R"&amp;$K56)</f>
        <v/>
      </c>
      <c r="M56" s="34" t="str">
        <f>IF($J56=FALSE(),"",IF(발주접수!$F8="세트",IFERROR(INDEX(세트구성!$C$3:$C$302,MATCH(발주접수!$D8&amp;"|"&amp;1,세트구성!$G$3:$G$302,0)),""),발주접수!$D8))</f>
        <v/>
      </c>
      <c r="N56" s="34" t="str">
        <f>IF($J56=FALSE(),"",IF(발주접수!$F8="세트",발주접수!$G8*IFERROR(INDEX(세트구성!$E$3:$E$302,MATCH(발주접수!$D8&amp;"|"&amp;1,세트구성!$G$3:$G$302,0)),0),발주접수!$G8))</f>
        <v/>
      </c>
      <c r="O56" s="34" t="str">
        <f>IF($J56=FALSE(),"",발주접수!$B8)</f>
        <v/>
      </c>
      <c r="P56" s="34" t="str">
        <f>IF($J56=FALSE(),"",발주접수!$C8)</f>
        <v/>
      </c>
      <c r="Q56" s="34" t="str">
        <f>IF($J56=FALSE(),"",IF(발주접수!$F8="세트",발주접수!$E8&amp;" 전개","직접 발주"))</f>
        <v/>
      </c>
    </row>
    <row r="57" ht="15" customHeight="1" s="30">
      <c r="A57" s="47" t="str">
        <f>IF($D57="","",52)</f>
        <v/>
      </c>
      <c r="B57" s="48" t="str">
        <f>IFERROR(INDEX(전개결과!$O$6:$O$1205,MATCH("R"&amp;52,전개결과!$L$6:$L$1205,0)),"")</f>
        <v/>
      </c>
      <c r="C57" s="40" t="str">
        <f>IF($D57="","",IFERROR(INDEX(전개결과!$P$6:$P$1205,MATCH("R"&amp;52,전개결과!$L$6:$L$1205,0)),""))</f>
        <v/>
      </c>
      <c r="D57" s="40" t="str">
        <f>IFERROR(INDEX(전개결과!$M$6:$M$1205,MATCH("R"&amp;52,전개결과!$L$6:$L$1205,0)),"")</f>
        <v/>
      </c>
      <c r="E57" s="40" t="str">
        <f>IF($D57="","",IFERROR(INDEX(품목목록!$B$3:$B$302,MATCH($D57,품목목록!$A$3:$A$302,0)),""))</f>
        <v/>
      </c>
      <c r="F57" s="47" t="str">
        <f>IF($D57="","",IFERROR(INDEX(품목목록!$D$3:$D$302,MATCH($D57,품목목록!$A$3:$A$302,0)),""))</f>
        <v/>
      </c>
      <c r="G57" s="49" t="str">
        <f>IFERROR(INDEX(전개결과!$N$6:$N$1205,MATCH("R"&amp;52,전개결과!$L$6:$L$1205,0)),"")</f>
        <v/>
      </c>
      <c r="H57" s="40" t="str">
        <f>IF($D57="","",IFERROR(INDEX(전개결과!$Q$6:$Q$1205,MATCH("R"&amp;52,전개결과!$L$6:$L$1205,0)),""))</f>
        <v/>
      </c>
      <c r="J57" s="50" t="b">
        <f>IF(발주접수!$D8="",FALSE(),IF(발주접수!$F8="세트",COUNTIF(세트구성!$G$3:$G$302,발주접수!$D8&amp;"|"&amp;2)&gt;0,1=0))</f>
        <v>0</v>
      </c>
      <c r="K57" s="34" t="str">
        <f>IF($J57=FALSE(),"",COUNTIF($J$6:$J57,TRUE()))</f>
        <v/>
      </c>
      <c r="L57" s="34" t="str">
        <f>IF($K57="","","R"&amp;$K57)</f>
        <v/>
      </c>
      <c r="M57" s="34" t="str">
        <f>IF($J57=FALSE(),"",IF(발주접수!$F8="세트",IFERROR(INDEX(세트구성!$C$3:$C$302,MATCH(발주접수!$D8&amp;"|"&amp;2,세트구성!$G$3:$G$302,0)),""),발주접수!$D8))</f>
        <v/>
      </c>
      <c r="N57" s="34" t="str">
        <f>IF($J57=FALSE(),"",IF(발주접수!$F8="세트",발주접수!$G8*IFERROR(INDEX(세트구성!$E$3:$E$302,MATCH(발주접수!$D8&amp;"|"&amp;2,세트구성!$G$3:$G$302,0)),0),발주접수!$G8))</f>
        <v/>
      </c>
      <c r="O57" s="34" t="str">
        <f>IF($J57=FALSE(),"",발주접수!$B8)</f>
        <v/>
      </c>
      <c r="P57" s="34" t="str">
        <f>IF($J57=FALSE(),"",발주접수!$C8)</f>
        <v/>
      </c>
      <c r="Q57" s="34" t="str">
        <f>IF($J57=FALSE(),"",IF(발주접수!$F8="세트",발주접수!$E8&amp;" 전개","직접 발주"))</f>
        <v/>
      </c>
    </row>
    <row r="58" ht="15" customHeight="1" s="30">
      <c r="A58" s="47" t="str">
        <f>IF($D58="","",53)</f>
        <v/>
      </c>
      <c r="B58" s="48" t="str">
        <f>IFERROR(INDEX(전개결과!$O$6:$O$1205,MATCH("R"&amp;53,전개결과!$L$6:$L$1205,0)),"")</f>
        <v/>
      </c>
      <c r="C58" s="40" t="str">
        <f>IF($D58="","",IFERROR(INDEX(전개결과!$P$6:$P$1205,MATCH("R"&amp;53,전개결과!$L$6:$L$1205,0)),""))</f>
        <v/>
      </c>
      <c r="D58" s="40" t="str">
        <f>IFERROR(INDEX(전개결과!$M$6:$M$1205,MATCH("R"&amp;53,전개결과!$L$6:$L$1205,0)),"")</f>
        <v/>
      </c>
      <c r="E58" s="40" t="str">
        <f>IF($D58="","",IFERROR(INDEX(품목목록!$B$3:$B$302,MATCH($D58,품목목록!$A$3:$A$302,0)),""))</f>
        <v/>
      </c>
      <c r="F58" s="47" t="str">
        <f>IF($D58="","",IFERROR(INDEX(품목목록!$D$3:$D$302,MATCH($D58,품목목록!$A$3:$A$302,0)),""))</f>
        <v/>
      </c>
      <c r="G58" s="49" t="str">
        <f>IFERROR(INDEX(전개결과!$N$6:$N$1205,MATCH("R"&amp;53,전개결과!$L$6:$L$1205,0)),"")</f>
        <v/>
      </c>
      <c r="H58" s="40" t="str">
        <f>IF($D58="","",IFERROR(INDEX(전개결과!$Q$6:$Q$1205,MATCH("R"&amp;53,전개결과!$L$6:$L$1205,0)),""))</f>
        <v/>
      </c>
      <c r="J58" s="50" t="b">
        <f>IF(발주접수!$D8="",FALSE(),IF(발주접수!$F8="세트",COUNTIF(세트구성!$G$3:$G$302,발주접수!$D8&amp;"|"&amp;3)&gt;0,2=0))</f>
        <v>0</v>
      </c>
      <c r="K58" s="34" t="str">
        <f>IF($J58=FALSE(),"",COUNTIF($J$6:$J58,TRUE()))</f>
        <v/>
      </c>
      <c r="L58" s="34" t="str">
        <f>IF($K58="","","R"&amp;$K58)</f>
        <v/>
      </c>
      <c r="M58" s="34" t="str">
        <f>IF($J58=FALSE(),"",IF(발주접수!$F8="세트",IFERROR(INDEX(세트구성!$C$3:$C$302,MATCH(발주접수!$D8&amp;"|"&amp;3,세트구성!$G$3:$G$302,0)),""),발주접수!$D8))</f>
        <v/>
      </c>
      <c r="N58" s="34" t="str">
        <f>IF($J58=FALSE(),"",IF(발주접수!$F8="세트",발주접수!$G8*IFERROR(INDEX(세트구성!$E$3:$E$302,MATCH(발주접수!$D8&amp;"|"&amp;3,세트구성!$G$3:$G$302,0)),0),발주접수!$G8))</f>
        <v/>
      </c>
      <c r="O58" s="34" t="str">
        <f>IF($J58=FALSE(),"",발주접수!$B8)</f>
        <v/>
      </c>
      <c r="P58" s="34" t="str">
        <f>IF($J58=FALSE(),"",발주접수!$C8)</f>
        <v/>
      </c>
      <c r="Q58" s="34" t="str">
        <f>IF($J58=FALSE(),"",IF(발주접수!$F8="세트",발주접수!$E8&amp;" 전개","직접 발주"))</f>
        <v/>
      </c>
    </row>
    <row r="59" ht="15" customHeight="1" s="30">
      <c r="A59" s="47" t="str">
        <f>IF($D59="","",54)</f>
        <v/>
      </c>
      <c r="B59" s="48" t="str">
        <f>IFERROR(INDEX(전개결과!$O$6:$O$1205,MATCH("R"&amp;54,전개결과!$L$6:$L$1205,0)),"")</f>
        <v/>
      </c>
      <c r="C59" s="40" t="str">
        <f>IF($D59="","",IFERROR(INDEX(전개결과!$P$6:$P$1205,MATCH("R"&amp;54,전개결과!$L$6:$L$1205,0)),""))</f>
        <v/>
      </c>
      <c r="D59" s="40" t="str">
        <f>IFERROR(INDEX(전개결과!$M$6:$M$1205,MATCH("R"&amp;54,전개결과!$L$6:$L$1205,0)),"")</f>
        <v/>
      </c>
      <c r="E59" s="40" t="str">
        <f>IF($D59="","",IFERROR(INDEX(품목목록!$B$3:$B$302,MATCH($D59,품목목록!$A$3:$A$302,0)),""))</f>
        <v/>
      </c>
      <c r="F59" s="47" t="str">
        <f>IF($D59="","",IFERROR(INDEX(품목목록!$D$3:$D$302,MATCH($D59,품목목록!$A$3:$A$302,0)),""))</f>
        <v/>
      </c>
      <c r="G59" s="49" t="str">
        <f>IFERROR(INDEX(전개결과!$N$6:$N$1205,MATCH("R"&amp;54,전개결과!$L$6:$L$1205,0)),"")</f>
        <v/>
      </c>
      <c r="H59" s="40" t="str">
        <f>IF($D59="","",IFERROR(INDEX(전개결과!$Q$6:$Q$1205,MATCH("R"&amp;54,전개결과!$L$6:$L$1205,0)),""))</f>
        <v/>
      </c>
      <c r="J59" s="50" t="b">
        <f>IF(발주접수!$D8="",FALSE(),IF(발주접수!$F8="세트",COUNTIF(세트구성!$G$3:$G$302,발주접수!$D8&amp;"|"&amp;4)&gt;0,3=0))</f>
        <v>0</v>
      </c>
      <c r="K59" s="34" t="str">
        <f>IF($J59=FALSE(),"",COUNTIF($J$6:$J59,TRUE()))</f>
        <v/>
      </c>
      <c r="L59" s="34" t="str">
        <f>IF($K59="","","R"&amp;$K59)</f>
        <v/>
      </c>
      <c r="M59" s="34" t="str">
        <f>IF($J59=FALSE(),"",IF(발주접수!$F8="세트",IFERROR(INDEX(세트구성!$C$3:$C$302,MATCH(발주접수!$D8&amp;"|"&amp;4,세트구성!$G$3:$G$302,0)),""),발주접수!$D8))</f>
        <v/>
      </c>
      <c r="N59" s="34" t="str">
        <f>IF($J59=FALSE(),"",IF(발주접수!$F8="세트",발주접수!$G8*IFERROR(INDEX(세트구성!$E$3:$E$302,MATCH(발주접수!$D8&amp;"|"&amp;4,세트구성!$G$3:$G$302,0)),0),발주접수!$G8))</f>
        <v/>
      </c>
      <c r="O59" s="34" t="str">
        <f>IF($J59=FALSE(),"",발주접수!$B8)</f>
        <v/>
      </c>
      <c r="P59" s="34" t="str">
        <f>IF($J59=FALSE(),"",발주접수!$C8)</f>
        <v/>
      </c>
      <c r="Q59" s="34" t="str">
        <f>IF($J59=FALSE(),"",IF(발주접수!$F8="세트",발주접수!$E8&amp;" 전개","직접 발주"))</f>
        <v/>
      </c>
    </row>
    <row r="60" ht="15" customHeight="1" s="30">
      <c r="A60" s="47" t="str">
        <f>IF($D60="","",55)</f>
        <v/>
      </c>
      <c r="B60" s="48" t="str">
        <f>IFERROR(INDEX(전개결과!$O$6:$O$1205,MATCH("R"&amp;55,전개결과!$L$6:$L$1205,0)),"")</f>
        <v/>
      </c>
      <c r="C60" s="40" t="str">
        <f>IF($D60="","",IFERROR(INDEX(전개결과!$P$6:$P$1205,MATCH("R"&amp;55,전개결과!$L$6:$L$1205,0)),""))</f>
        <v/>
      </c>
      <c r="D60" s="40" t="str">
        <f>IFERROR(INDEX(전개결과!$M$6:$M$1205,MATCH("R"&amp;55,전개결과!$L$6:$L$1205,0)),"")</f>
        <v/>
      </c>
      <c r="E60" s="40" t="str">
        <f>IF($D60="","",IFERROR(INDEX(품목목록!$B$3:$B$302,MATCH($D60,품목목록!$A$3:$A$302,0)),""))</f>
        <v/>
      </c>
      <c r="F60" s="47" t="str">
        <f>IF($D60="","",IFERROR(INDEX(품목목록!$D$3:$D$302,MATCH($D60,품목목록!$A$3:$A$302,0)),""))</f>
        <v/>
      </c>
      <c r="G60" s="49" t="str">
        <f>IFERROR(INDEX(전개결과!$N$6:$N$1205,MATCH("R"&amp;55,전개결과!$L$6:$L$1205,0)),"")</f>
        <v/>
      </c>
      <c r="H60" s="40" t="str">
        <f>IF($D60="","",IFERROR(INDEX(전개결과!$Q$6:$Q$1205,MATCH("R"&amp;55,전개결과!$L$6:$L$1205,0)),""))</f>
        <v/>
      </c>
      <c r="J60" s="50" t="b">
        <f>IF(발주접수!$D8="",FALSE(),IF(발주접수!$F8="세트",COUNTIF(세트구성!$G$3:$G$302,발주접수!$D8&amp;"|"&amp;5)&gt;0,4=0))</f>
        <v>0</v>
      </c>
      <c r="K60" s="34" t="str">
        <f>IF($J60=FALSE(),"",COUNTIF($J$6:$J60,TRUE()))</f>
        <v/>
      </c>
      <c r="L60" s="34" t="str">
        <f>IF($K60="","","R"&amp;$K60)</f>
        <v/>
      </c>
      <c r="M60" s="34" t="str">
        <f>IF($J60=FALSE(),"",IF(발주접수!$F8="세트",IFERROR(INDEX(세트구성!$C$3:$C$302,MATCH(발주접수!$D8&amp;"|"&amp;5,세트구성!$G$3:$G$302,0)),""),발주접수!$D8))</f>
        <v/>
      </c>
      <c r="N60" s="34" t="str">
        <f>IF($J60=FALSE(),"",IF(발주접수!$F8="세트",발주접수!$G8*IFERROR(INDEX(세트구성!$E$3:$E$302,MATCH(발주접수!$D8&amp;"|"&amp;5,세트구성!$G$3:$G$302,0)),0),발주접수!$G8))</f>
        <v/>
      </c>
      <c r="O60" s="34" t="str">
        <f>IF($J60=FALSE(),"",발주접수!$B8)</f>
        <v/>
      </c>
      <c r="P60" s="34" t="str">
        <f>IF($J60=FALSE(),"",발주접수!$C8)</f>
        <v/>
      </c>
      <c r="Q60" s="34" t="str">
        <f>IF($J60=FALSE(),"",IF(발주접수!$F8="세트",발주접수!$E8&amp;" 전개","직접 발주"))</f>
        <v/>
      </c>
    </row>
    <row r="61" ht="15" customHeight="1" s="30">
      <c r="A61" s="47" t="str">
        <f>IF($D61="","",56)</f>
        <v/>
      </c>
      <c r="B61" s="48" t="str">
        <f>IFERROR(INDEX(전개결과!$O$6:$O$1205,MATCH("R"&amp;56,전개결과!$L$6:$L$1205,0)),"")</f>
        <v/>
      </c>
      <c r="C61" s="40" t="str">
        <f>IF($D61="","",IFERROR(INDEX(전개결과!$P$6:$P$1205,MATCH("R"&amp;56,전개결과!$L$6:$L$1205,0)),""))</f>
        <v/>
      </c>
      <c r="D61" s="40" t="str">
        <f>IFERROR(INDEX(전개결과!$M$6:$M$1205,MATCH("R"&amp;56,전개결과!$L$6:$L$1205,0)),"")</f>
        <v/>
      </c>
      <c r="E61" s="40" t="str">
        <f>IF($D61="","",IFERROR(INDEX(품목목록!$B$3:$B$302,MATCH($D61,품목목록!$A$3:$A$302,0)),""))</f>
        <v/>
      </c>
      <c r="F61" s="47" t="str">
        <f>IF($D61="","",IFERROR(INDEX(품목목록!$D$3:$D$302,MATCH($D61,품목목록!$A$3:$A$302,0)),""))</f>
        <v/>
      </c>
      <c r="G61" s="49" t="str">
        <f>IFERROR(INDEX(전개결과!$N$6:$N$1205,MATCH("R"&amp;56,전개결과!$L$6:$L$1205,0)),"")</f>
        <v/>
      </c>
      <c r="H61" s="40" t="str">
        <f>IF($D61="","",IFERROR(INDEX(전개결과!$Q$6:$Q$1205,MATCH("R"&amp;56,전개결과!$L$6:$L$1205,0)),""))</f>
        <v/>
      </c>
      <c r="J61" s="50" t="b">
        <f>IF(발주접수!$D8="",FALSE(),IF(발주접수!$F8="세트",COUNTIF(세트구성!$G$3:$G$302,발주접수!$D8&amp;"|"&amp;6)&gt;0,5=0))</f>
        <v>0</v>
      </c>
      <c r="K61" s="34" t="str">
        <f>IF($J61=FALSE(),"",COUNTIF($J$6:$J61,TRUE()))</f>
        <v/>
      </c>
      <c r="L61" s="34" t="str">
        <f>IF($K61="","","R"&amp;$K61)</f>
        <v/>
      </c>
      <c r="M61" s="34" t="str">
        <f>IF($J61=FALSE(),"",IF(발주접수!$F8="세트",IFERROR(INDEX(세트구성!$C$3:$C$302,MATCH(발주접수!$D8&amp;"|"&amp;6,세트구성!$G$3:$G$302,0)),""),발주접수!$D8))</f>
        <v/>
      </c>
      <c r="N61" s="34" t="str">
        <f>IF($J61=FALSE(),"",IF(발주접수!$F8="세트",발주접수!$G8*IFERROR(INDEX(세트구성!$E$3:$E$302,MATCH(발주접수!$D8&amp;"|"&amp;6,세트구성!$G$3:$G$302,0)),0),발주접수!$G8))</f>
        <v/>
      </c>
      <c r="O61" s="34" t="str">
        <f>IF($J61=FALSE(),"",발주접수!$B8)</f>
        <v/>
      </c>
      <c r="P61" s="34" t="str">
        <f>IF($J61=FALSE(),"",발주접수!$C8)</f>
        <v/>
      </c>
      <c r="Q61" s="34" t="str">
        <f>IF($J61=FALSE(),"",IF(발주접수!$F8="세트",발주접수!$E8&amp;" 전개","직접 발주"))</f>
        <v/>
      </c>
    </row>
    <row r="62" ht="15" customHeight="1" s="30">
      <c r="A62" s="47" t="str">
        <f>IF($D62="","",57)</f>
        <v/>
      </c>
      <c r="B62" s="48" t="str">
        <f>IFERROR(INDEX(전개결과!$O$6:$O$1205,MATCH("R"&amp;57,전개결과!$L$6:$L$1205,0)),"")</f>
        <v/>
      </c>
      <c r="C62" s="40" t="str">
        <f>IF($D62="","",IFERROR(INDEX(전개결과!$P$6:$P$1205,MATCH("R"&amp;57,전개결과!$L$6:$L$1205,0)),""))</f>
        <v/>
      </c>
      <c r="D62" s="40" t="str">
        <f>IFERROR(INDEX(전개결과!$M$6:$M$1205,MATCH("R"&amp;57,전개결과!$L$6:$L$1205,0)),"")</f>
        <v/>
      </c>
      <c r="E62" s="40" t="str">
        <f>IF($D62="","",IFERROR(INDEX(품목목록!$B$3:$B$302,MATCH($D62,품목목록!$A$3:$A$302,0)),""))</f>
        <v/>
      </c>
      <c r="F62" s="47" t="str">
        <f>IF($D62="","",IFERROR(INDEX(품목목록!$D$3:$D$302,MATCH($D62,품목목록!$A$3:$A$302,0)),""))</f>
        <v/>
      </c>
      <c r="G62" s="49" t="str">
        <f>IFERROR(INDEX(전개결과!$N$6:$N$1205,MATCH("R"&amp;57,전개결과!$L$6:$L$1205,0)),"")</f>
        <v/>
      </c>
      <c r="H62" s="40" t="str">
        <f>IF($D62="","",IFERROR(INDEX(전개결과!$Q$6:$Q$1205,MATCH("R"&amp;57,전개결과!$L$6:$L$1205,0)),""))</f>
        <v/>
      </c>
      <c r="J62" s="50" t="b">
        <f>IF(발주접수!$D8="",FALSE(),IF(발주접수!$F8="세트",COUNTIF(세트구성!$G$3:$G$302,발주접수!$D8&amp;"|"&amp;7)&gt;0,6=0))</f>
        <v>0</v>
      </c>
      <c r="K62" s="34" t="str">
        <f>IF($J62=FALSE(),"",COUNTIF($J$6:$J62,TRUE()))</f>
        <v/>
      </c>
      <c r="L62" s="34" t="str">
        <f>IF($K62="","","R"&amp;$K62)</f>
        <v/>
      </c>
      <c r="M62" s="34" t="str">
        <f>IF($J62=FALSE(),"",IF(발주접수!$F8="세트",IFERROR(INDEX(세트구성!$C$3:$C$302,MATCH(발주접수!$D8&amp;"|"&amp;7,세트구성!$G$3:$G$302,0)),""),발주접수!$D8))</f>
        <v/>
      </c>
      <c r="N62" s="34" t="str">
        <f>IF($J62=FALSE(),"",IF(발주접수!$F8="세트",발주접수!$G8*IFERROR(INDEX(세트구성!$E$3:$E$302,MATCH(발주접수!$D8&amp;"|"&amp;7,세트구성!$G$3:$G$302,0)),0),발주접수!$G8))</f>
        <v/>
      </c>
      <c r="O62" s="34" t="str">
        <f>IF($J62=FALSE(),"",발주접수!$B8)</f>
        <v/>
      </c>
      <c r="P62" s="34" t="str">
        <f>IF($J62=FALSE(),"",발주접수!$C8)</f>
        <v/>
      </c>
      <c r="Q62" s="34" t="str">
        <f>IF($J62=FALSE(),"",IF(발주접수!$F8="세트",발주접수!$E8&amp;" 전개","직접 발주"))</f>
        <v/>
      </c>
    </row>
    <row r="63" ht="15" customHeight="1" s="30">
      <c r="A63" s="47" t="str">
        <f>IF($D63="","",58)</f>
        <v/>
      </c>
      <c r="B63" s="48" t="str">
        <f>IFERROR(INDEX(전개결과!$O$6:$O$1205,MATCH("R"&amp;58,전개결과!$L$6:$L$1205,0)),"")</f>
        <v/>
      </c>
      <c r="C63" s="40" t="str">
        <f>IF($D63="","",IFERROR(INDEX(전개결과!$P$6:$P$1205,MATCH("R"&amp;58,전개결과!$L$6:$L$1205,0)),""))</f>
        <v/>
      </c>
      <c r="D63" s="40" t="str">
        <f>IFERROR(INDEX(전개결과!$M$6:$M$1205,MATCH("R"&amp;58,전개결과!$L$6:$L$1205,0)),"")</f>
        <v/>
      </c>
      <c r="E63" s="40" t="str">
        <f>IF($D63="","",IFERROR(INDEX(품목목록!$B$3:$B$302,MATCH($D63,품목목록!$A$3:$A$302,0)),""))</f>
        <v/>
      </c>
      <c r="F63" s="47" t="str">
        <f>IF($D63="","",IFERROR(INDEX(품목목록!$D$3:$D$302,MATCH($D63,품목목록!$A$3:$A$302,0)),""))</f>
        <v/>
      </c>
      <c r="G63" s="49" t="str">
        <f>IFERROR(INDEX(전개결과!$N$6:$N$1205,MATCH("R"&amp;58,전개결과!$L$6:$L$1205,0)),"")</f>
        <v/>
      </c>
      <c r="H63" s="40" t="str">
        <f>IF($D63="","",IFERROR(INDEX(전개결과!$Q$6:$Q$1205,MATCH("R"&amp;58,전개결과!$L$6:$L$1205,0)),""))</f>
        <v/>
      </c>
      <c r="J63" s="50" t="b">
        <f>IF(발주접수!$D8="",FALSE(),IF(발주접수!$F8="세트",COUNTIF(세트구성!$G$3:$G$302,발주접수!$D8&amp;"|"&amp;8)&gt;0,7=0))</f>
        <v>0</v>
      </c>
      <c r="K63" s="34" t="str">
        <f>IF($J63=FALSE(),"",COUNTIF($J$6:$J63,TRUE()))</f>
        <v/>
      </c>
      <c r="L63" s="34" t="str">
        <f>IF($K63="","","R"&amp;$K63)</f>
        <v/>
      </c>
      <c r="M63" s="34" t="str">
        <f>IF($J63=FALSE(),"",IF(발주접수!$F8="세트",IFERROR(INDEX(세트구성!$C$3:$C$302,MATCH(발주접수!$D8&amp;"|"&amp;8,세트구성!$G$3:$G$302,0)),""),발주접수!$D8))</f>
        <v/>
      </c>
      <c r="N63" s="34" t="str">
        <f>IF($J63=FALSE(),"",IF(발주접수!$F8="세트",발주접수!$G8*IFERROR(INDEX(세트구성!$E$3:$E$302,MATCH(발주접수!$D8&amp;"|"&amp;8,세트구성!$G$3:$G$302,0)),0),발주접수!$G8))</f>
        <v/>
      </c>
      <c r="O63" s="34" t="str">
        <f>IF($J63=FALSE(),"",발주접수!$B8)</f>
        <v/>
      </c>
      <c r="P63" s="34" t="str">
        <f>IF($J63=FALSE(),"",발주접수!$C8)</f>
        <v/>
      </c>
      <c r="Q63" s="34" t="str">
        <f>IF($J63=FALSE(),"",IF(발주접수!$F8="세트",발주접수!$E8&amp;" 전개","직접 발주"))</f>
        <v/>
      </c>
    </row>
    <row r="64" ht="15" customHeight="1" s="30">
      <c r="A64" s="47" t="str">
        <f>IF($D64="","",59)</f>
        <v/>
      </c>
      <c r="B64" s="48" t="str">
        <f>IFERROR(INDEX(전개결과!$O$6:$O$1205,MATCH("R"&amp;59,전개결과!$L$6:$L$1205,0)),"")</f>
        <v/>
      </c>
      <c r="C64" s="40" t="str">
        <f>IF($D64="","",IFERROR(INDEX(전개결과!$P$6:$P$1205,MATCH("R"&amp;59,전개결과!$L$6:$L$1205,0)),""))</f>
        <v/>
      </c>
      <c r="D64" s="40" t="str">
        <f>IFERROR(INDEX(전개결과!$M$6:$M$1205,MATCH("R"&amp;59,전개결과!$L$6:$L$1205,0)),"")</f>
        <v/>
      </c>
      <c r="E64" s="40" t="str">
        <f>IF($D64="","",IFERROR(INDEX(품목목록!$B$3:$B$302,MATCH($D64,품목목록!$A$3:$A$302,0)),""))</f>
        <v/>
      </c>
      <c r="F64" s="47" t="str">
        <f>IF($D64="","",IFERROR(INDEX(품목목록!$D$3:$D$302,MATCH($D64,품목목록!$A$3:$A$302,0)),""))</f>
        <v/>
      </c>
      <c r="G64" s="49" t="str">
        <f>IFERROR(INDEX(전개결과!$N$6:$N$1205,MATCH("R"&amp;59,전개결과!$L$6:$L$1205,0)),"")</f>
        <v/>
      </c>
      <c r="H64" s="40" t="str">
        <f>IF($D64="","",IFERROR(INDEX(전개결과!$Q$6:$Q$1205,MATCH("R"&amp;59,전개결과!$L$6:$L$1205,0)),""))</f>
        <v/>
      </c>
      <c r="J64" s="50" t="b">
        <f>IF(발주접수!$D8="",FALSE(),IF(발주접수!$F8="세트",COUNTIF(세트구성!$G$3:$G$302,발주접수!$D8&amp;"|"&amp;9)&gt;0,8=0))</f>
        <v>0</v>
      </c>
      <c r="K64" s="34" t="str">
        <f>IF($J64=FALSE(),"",COUNTIF($J$6:$J64,TRUE()))</f>
        <v/>
      </c>
      <c r="L64" s="34" t="str">
        <f>IF($K64="","","R"&amp;$K64)</f>
        <v/>
      </c>
      <c r="M64" s="34" t="str">
        <f>IF($J64=FALSE(),"",IF(발주접수!$F8="세트",IFERROR(INDEX(세트구성!$C$3:$C$302,MATCH(발주접수!$D8&amp;"|"&amp;9,세트구성!$G$3:$G$302,0)),""),발주접수!$D8))</f>
        <v/>
      </c>
      <c r="N64" s="34" t="str">
        <f>IF($J64=FALSE(),"",IF(발주접수!$F8="세트",발주접수!$G8*IFERROR(INDEX(세트구성!$E$3:$E$302,MATCH(발주접수!$D8&amp;"|"&amp;9,세트구성!$G$3:$G$302,0)),0),발주접수!$G8))</f>
        <v/>
      </c>
      <c r="O64" s="34" t="str">
        <f>IF($J64=FALSE(),"",발주접수!$B8)</f>
        <v/>
      </c>
      <c r="P64" s="34" t="str">
        <f>IF($J64=FALSE(),"",발주접수!$C8)</f>
        <v/>
      </c>
      <c r="Q64" s="34" t="str">
        <f>IF($J64=FALSE(),"",IF(발주접수!$F8="세트",발주접수!$E8&amp;" 전개","직접 발주"))</f>
        <v/>
      </c>
    </row>
    <row r="65" ht="15" customHeight="1" s="30">
      <c r="A65" s="47" t="str">
        <f>IF($D65="","",60)</f>
        <v/>
      </c>
      <c r="B65" s="48" t="str">
        <f>IFERROR(INDEX(전개결과!$O$6:$O$1205,MATCH("R"&amp;60,전개결과!$L$6:$L$1205,0)),"")</f>
        <v/>
      </c>
      <c r="C65" s="40" t="str">
        <f>IF($D65="","",IFERROR(INDEX(전개결과!$P$6:$P$1205,MATCH("R"&amp;60,전개결과!$L$6:$L$1205,0)),""))</f>
        <v/>
      </c>
      <c r="D65" s="40" t="str">
        <f>IFERROR(INDEX(전개결과!$M$6:$M$1205,MATCH("R"&amp;60,전개결과!$L$6:$L$1205,0)),"")</f>
        <v/>
      </c>
      <c r="E65" s="40" t="str">
        <f>IF($D65="","",IFERROR(INDEX(품목목록!$B$3:$B$302,MATCH($D65,품목목록!$A$3:$A$302,0)),""))</f>
        <v/>
      </c>
      <c r="F65" s="47" t="str">
        <f>IF($D65="","",IFERROR(INDEX(품목목록!$D$3:$D$302,MATCH($D65,품목목록!$A$3:$A$302,0)),""))</f>
        <v/>
      </c>
      <c r="G65" s="49" t="str">
        <f>IFERROR(INDEX(전개결과!$N$6:$N$1205,MATCH("R"&amp;60,전개결과!$L$6:$L$1205,0)),"")</f>
        <v/>
      </c>
      <c r="H65" s="40" t="str">
        <f>IF($D65="","",IFERROR(INDEX(전개결과!$Q$6:$Q$1205,MATCH("R"&amp;60,전개결과!$L$6:$L$1205,0)),""))</f>
        <v/>
      </c>
      <c r="J65" s="50" t="b">
        <f>IF(발주접수!$D8="",FALSE(),IF(발주접수!$F8="세트",COUNTIF(세트구성!$G$3:$G$302,발주접수!$D8&amp;"|"&amp;10)&gt;0,9=0))</f>
        <v>0</v>
      </c>
      <c r="K65" s="34" t="str">
        <f>IF($J65=FALSE(),"",COUNTIF($J$6:$J65,TRUE()))</f>
        <v/>
      </c>
      <c r="L65" s="34" t="str">
        <f>IF($K65="","","R"&amp;$K65)</f>
        <v/>
      </c>
      <c r="M65" s="34" t="str">
        <f>IF($J65=FALSE(),"",IF(발주접수!$F8="세트",IFERROR(INDEX(세트구성!$C$3:$C$302,MATCH(발주접수!$D8&amp;"|"&amp;10,세트구성!$G$3:$G$302,0)),""),발주접수!$D8))</f>
        <v/>
      </c>
      <c r="N65" s="34" t="str">
        <f>IF($J65=FALSE(),"",IF(발주접수!$F8="세트",발주접수!$G8*IFERROR(INDEX(세트구성!$E$3:$E$302,MATCH(발주접수!$D8&amp;"|"&amp;10,세트구성!$G$3:$G$302,0)),0),발주접수!$G8))</f>
        <v/>
      </c>
      <c r="O65" s="34" t="str">
        <f>IF($J65=FALSE(),"",발주접수!$B8)</f>
        <v/>
      </c>
      <c r="P65" s="34" t="str">
        <f>IF($J65=FALSE(),"",발주접수!$C8)</f>
        <v/>
      </c>
      <c r="Q65" s="34" t="str">
        <f>IF($J65=FALSE(),"",IF(발주접수!$F8="세트",발주접수!$E8&amp;" 전개","직접 발주"))</f>
        <v/>
      </c>
    </row>
    <row r="66" ht="15" customHeight="1" s="30">
      <c r="A66" s="47" t="str">
        <f>IF($D66="","",61)</f>
        <v/>
      </c>
      <c r="B66" s="48" t="str">
        <f>IFERROR(INDEX(전개결과!$O$6:$O$1205,MATCH("R"&amp;61,전개결과!$L$6:$L$1205,0)),"")</f>
        <v/>
      </c>
      <c r="C66" s="40" t="str">
        <f>IF($D66="","",IFERROR(INDEX(전개결과!$P$6:$P$1205,MATCH("R"&amp;61,전개결과!$L$6:$L$1205,0)),""))</f>
        <v/>
      </c>
      <c r="D66" s="40" t="str">
        <f>IFERROR(INDEX(전개결과!$M$6:$M$1205,MATCH("R"&amp;61,전개결과!$L$6:$L$1205,0)),"")</f>
        <v/>
      </c>
      <c r="E66" s="40" t="str">
        <f>IF($D66="","",IFERROR(INDEX(품목목록!$B$3:$B$302,MATCH($D66,품목목록!$A$3:$A$302,0)),""))</f>
        <v/>
      </c>
      <c r="F66" s="47" t="str">
        <f>IF($D66="","",IFERROR(INDEX(품목목록!$D$3:$D$302,MATCH($D66,품목목록!$A$3:$A$302,0)),""))</f>
        <v/>
      </c>
      <c r="G66" s="49" t="str">
        <f>IFERROR(INDEX(전개결과!$N$6:$N$1205,MATCH("R"&amp;61,전개결과!$L$6:$L$1205,0)),"")</f>
        <v/>
      </c>
      <c r="H66" s="40" t="str">
        <f>IF($D66="","",IFERROR(INDEX(전개결과!$Q$6:$Q$1205,MATCH("R"&amp;61,전개결과!$L$6:$L$1205,0)),""))</f>
        <v/>
      </c>
      <c r="J66" s="50" t="b">
        <f>IF(발주접수!$D9="",FALSE(),IF(발주접수!$F9="세트",COUNTIF(세트구성!$G$3:$G$302,발주접수!$D9&amp;"|"&amp;1)&gt;0,0=0))</f>
        <v>0</v>
      </c>
      <c r="K66" s="34" t="str">
        <f>IF($J66=FALSE(),"",COUNTIF($J$6:$J66,TRUE()))</f>
        <v/>
      </c>
      <c r="L66" s="34" t="str">
        <f>IF($K66="","","R"&amp;$K66)</f>
        <v/>
      </c>
      <c r="M66" s="34" t="str">
        <f>IF($J66=FALSE(),"",IF(발주접수!$F9="세트",IFERROR(INDEX(세트구성!$C$3:$C$302,MATCH(발주접수!$D9&amp;"|"&amp;1,세트구성!$G$3:$G$302,0)),""),발주접수!$D9))</f>
        <v/>
      </c>
      <c r="N66" s="34" t="str">
        <f>IF($J66=FALSE(),"",IF(발주접수!$F9="세트",발주접수!$G9*IFERROR(INDEX(세트구성!$E$3:$E$302,MATCH(발주접수!$D9&amp;"|"&amp;1,세트구성!$G$3:$G$302,0)),0),발주접수!$G9))</f>
        <v/>
      </c>
      <c r="O66" s="34" t="str">
        <f>IF($J66=FALSE(),"",발주접수!$B9)</f>
        <v/>
      </c>
      <c r="P66" s="34" t="str">
        <f>IF($J66=FALSE(),"",발주접수!$C9)</f>
        <v/>
      </c>
      <c r="Q66" s="34" t="str">
        <f>IF($J66=FALSE(),"",IF(발주접수!$F9="세트",발주접수!$E9&amp;" 전개","직접 발주"))</f>
        <v/>
      </c>
    </row>
    <row r="67" ht="15" customHeight="1" s="30">
      <c r="A67" s="47" t="str">
        <f>IF($D67="","",62)</f>
        <v/>
      </c>
      <c r="B67" s="48" t="str">
        <f>IFERROR(INDEX(전개결과!$O$6:$O$1205,MATCH("R"&amp;62,전개결과!$L$6:$L$1205,0)),"")</f>
        <v/>
      </c>
      <c r="C67" s="40" t="str">
        <f>IF($D67="","",IFERROR(INDEX(전개결과!$P$6:$P$1205,MATCH("R"&amp;62,전개결과!$L$6:$L$1205,0)),""))</f>
        <v/>
      </c>
      <c r="D67" s="40" t="str">
        <f>IFERROR(INDEX(전개결과!$M$6:$M$1205,MATCH("R"&amp;62,전개결과!$L$6:$L$1205,0)),"")</f>
        <v/>
      </c>
      <c r="E67" s="40" t="str">
        <f>IF($D67="","",IFERROR(INDEX(품목목록!$B$3:$B$302,MATCH($D67,품목목록!$A$3:$A$302,0)),""))</f>
        <v/>
      </c>
      <c r="F67" s="47" t="str">
        <f>IF($D67="","",IFERROR(INDEX(품목목록!$D$3:$D$302,MATCH($D67,품목목록!$A$3:$A$302,0)),""))</f>
        <v/>
      </c>
      <c r="G67" s="49" t="str">
        <f>IFERROR(INDEX(전개결과!$N$6:$N$1205,MATCH("R"&amp;62,전개결과!$L$6:$L$1205,0)),"")</f>
        <v/>
      </c>
      <c r="H67" s="40" t="str">
        <f>IF($D67="","",IFERROR(INDEX(전개결과!$Q$6:$Q$1205,MATCH("R"&amp;62,전개결과!$L$6:$L$1205,0)),""))</f>
        <v/>
      </c>
      <c r="J67" s="50" t="b">
        <f>IF(발주접수!$D9="",FALSE(),IF(발주접수!$F9="세트",COUNTIF(세트구성!$G$3:$G$302,발주접수!$D9&amp;"|"&amp;2)&gt;0,1=0))</f>
        <v>0</v>
      </c>
      <c r="K67" s="34" t="str">
        <f>IF($J67=FALSE(),"",COUNTIF($J$6:$J67,TRUE()))</f>
        <v/>
      </c>
      <c r="L67" s="34" t="str">
        <f>IF($K67="","","R"&amp;$K67)</f>
        <v/>
      </c>
      <c r="M67" s="34" t="str">
        <f>IF($J67=FALSE(),"",IF(발주접수!$F9="세트",IFERROR(INDEX(세트구성!$C$3:$C$302,MATCH(발주접수!$D9&amp;"|"&amp;2,세트구성!$G$3:$G$302,0)),""),발주접수!$D9))</f>
        <v/>
      </c>
      <c r="N67" s="34" t="str">
        <f>IF($J67=FALSE(),"",IF(발주접수!$F9="세트",발주접수!$G9*IFERROR(INDEX(세트구성!$E$3:$E$302,MATCH(발주접수!$D9&amp;"|"&amp;2,세트구성!$G$3:$G$302,0)),0),발주접수!$G9))</f>
        <v/>
      </c>
      <c r="O67" s="34" t="str">
        <f>IF($J67=FALSE(),"",발주접수!$B9)</f>
        <v/>
      </c>
      <c r="P67" s="34" t="str">
        <f>IF($J67=FALSE(),"",발주접수!$C9)</f>
        <v/>
      </c>
      <c r="Q67" s="34" t="str">
        <f>IF($J67=FALSE(),"",IF(발주접수!$F9="세트",발주접수!$E9&amp;" 전개","직접 발주"))</f>
        <v/>
      </c>
    </row>
    <row r="68" ht="15" customHeight="1" s="30">
      <c r="A68" s="47" t="str">
        <f>IF($D68="","",63)</f>
        <v/>
      </c>
      <c r="B68" s="48" t="str">
        <f>IFERROR(INDEX(전개결과!$O$6:$O$1205,MATCH("R"&amp;63,전개결과!$L$6:$L$1205,0)),"")</f>
        <v/>
      </c>
      <c r="C68" s="40" t="str">
        <f>IF($D68="","",IFERROR(INDEX(전개결과!$P$6:$P$1205,MATCH("R"&amp;63,전개결과!$L$6:$L$1205,0)),""))</f>
        <v/>
      </c>
      <c r="D68" s="40" t="str">
        <f>IFERROR(INDEX(전개결과!$M$6:$M$1205,MATCH("R"&amp;63,전개결과!$L$6:$L$1205,0)),"")</f>
        <v/>
      </c>
      <c r="E68" s="40" t="str">
        <f>IF($D68="","",IFERROR(INDEX(품목목록!$B$3:$B$302,MATCH($D68,품목목록!$A$3:$A$302,0)),""))</f>
        <v/>
      </c>
      <c r="F68" s="47" t="str">
        <f>IF($D68="","",IFERROR(INDEX(품목목록!$D$3:$D$302,MATCH($D68,품목목록!$A$3:$A$302,0)),""))</f>
        <v/>
      </c>
      <c r="G68" s="49" t="str">
        <f>IFERROR(INDEX(전개결과!$N$6:$N$1205,MATCH("R"&amp;63,전개결과!$L$6:$L$1205,0)),"")</f>
        <v/>
      </c>
      <c r="H68" s="40" t="str">
        <f>IF($D68="","",IFERROR(INDEX(전개결과!$Q$6:$Q$1205,MATCH("R"&amp;63,전개결과!$L$6:$L$1205,0)),""))</f>
        <v/>
      </c>
      <c r="J68" s="50" t="b">
        <f>IF(발주접수!$D9="",FALSE(),IF(발주접수!$F9="세트",COUNTIF(세트구성!$G$3:$G$302,발주접수!$D9&amp;"|"&amp;3)&gt;0,2=0))</f>
        <v>0</v>
      </c>
      <c r="K68" s="34" t="str">
        <f>IF($J68=FALSE(),"",COUNTIF($J$6:$J68,TRUE()))</f>
        <v/>
      </c>
      <c r="L68" s="34" t="str">
        <f>IF($K68="","","R"&amp;$K68)</f>
        <v/>
      </c>
      <c r="M68" s="34" t="str">
        <f>IF($J68=FALSE(),"",IF(발주접수!$F9="세트",IFERROR(INDEX(세트구성!$C$3:$C$302,MATCH(발주접수!$D9&amp;"|"&amp;3,세트구성!$G$3:$G$302,0)),""),발주접수!$D9))</f>
        <v/>
      </c>
      <c r="N68" s="34" t="str">
        <f>IF($J68=FALSE(),"",IF(발주접수!$F9="세트",발주접수!$G9*IFERROR(INDEX(세트구성!$E$3:$E$302,MATCH(발주접수!$D9&amp;"|"&amp;3,세트구성!$G$3:$G$302,0)),0),발주접수!$G9))</f>
        <v/>
      </c>
      <c r="O68" s="34" t="str">
        <f>IF($J68=FALSE(),"",발주접수!$B9)</f>
        <v/>
      </c>
      <c r="P68" s="34" t="str">
        <f>IF($J68=FALSE(),"",발주접수!$C9)</f>
        <v/>
      </c>
      <c r="Q68" s="34" t="str">
        <f>IF($J68=FALSE(),"",IF(발주접수!$F9="세트",발주접수!$E9&amp;" 전개","직접 발주"))</f>
        <v/>
      </c>
    </row>
    <row r="69" ht="15" customHeight="1" s="30">
      <c r="A69" s="47" t="str">
        <f>IF($D69="","",64)</f>
        <v/>
      </c>
      <c r="B69" s="48" t="str">
        <f>IFERROR(INDEX(전개결과!$O$6:$O$1205,MATCH("R"&amp;64,전개결과!$L$6:$L$1205,0)),"")</f>
        <v/>
      </c>
      <c r="C69" s="40" t="str">
        <f>IF($D69="","",IFERROR(INDEX(전개결과!$P$6:$P$1205,MATCH("R"&amp;64,전개결과!$L$6:$L$1205,0)),""))</f>
        <v/>
      </c>
      <c r="D69" s="40" t="str">
        <f>IFERROR(INDEX(전개결과!$M$6:$M$1205,MATCH("R"&amp;64,전개결과!$L$6:$L$1205,0)),"")</f>
        <v/>
      </c>
      <c r="E69" s="40" t="str">
        <f>IF($D69="","",IFERROR(INDEX(품목목록!$B$3:$B$302,MATCH($D69,품목목록!$A$3:$A$302,0)),""))</f>
        <v/>
      </c>
      <c r="F69" s="47" t="str">
        <f>IF($D69="","",IFERROR(INDEX(품목목록!$D$3:$D$302,MATCH($D69,품목목록!$A$3:$A$302,0)),""))</f>
        <v/>
      </c>
      <c r="G69" s="49" t="str">
        <f>IFERROR(INDEX(전개결과!$N$6:$N$1205,MATCH("R"&amp;64,전개결과!$L$6:$L$1205,0)),"")</f>
        <v/>
      </c>
      <c r="H69" s="40" t="str">
        <f>IF($D69="","",IFERROR(INDEX(전개결과!$Q$6:$Q$1205,MATCH("R"&amp;64,전개결과!$L$6:$L$1205,0)),""))</f>
        <v/>
      </c>
      <c r="J69" s="50" t="b">
        <f>IF(발주접수!$D9="",FALSE(),IF(발주접수!$F9="세트",COUNTIF(세트구성!$G$3:$G$302,발주접수!$D9&amp;"|"&amp;4)&gt;0,3=0))</f>
        <v>0</v>
      </c>
      <c r="K69" s="34" t="str">
        <f>IF($J69=FALSE(),"",COUNTIF($J$6:$J69,TRUE()))</f>
        <v/>
      </c>
      <c r="L69" s="34" t="str">
        <f>IF($K69="","","R"&amp;$K69)</f>
        <v/>
      </c>
      <c r="M69" s="34" t="str">
        <f>IF($J69=FALSE(),"",IF(발주접수!$F9="세트",IFERROR(INDEX(세트구성!$C$3:$C$302,MATCH(발주접수!$D9&amp;"|"&amp;4,세트구성!$G$3:$G$302,0)),""),발주접수!$D9))</f>
        <v/>
      </c>
      <c r="N69" s="34" t="str">
        <f>IF($J69=FALSE(),"",IF(발주접수!$F9="세트",발주접수!$G9*IFERROR(INDEX(세트구성!$E$3:$E$302,MATCH(발주접수!$D9&amp;"|"&amp;4,세트구성!$G$3:$G$302,0)),0),발주접수!$G9))</f>
        <v/>
      </c>
      <c r="O69" s="34" t="str">
        <f>IF($J69=FALSE(),"",발주접수!$B9)</f>
        <v/>
      </c>
      <c r="P69" s="34" t="str">
        <f>IF($J69=FALSE(),"",발주접수!$C9)</f>
        <v/>
      </c>
      <c r="Q69" s="34" t="str">
        <f>IF($J69=FALSE(),"",IF(발주접수!$F9="세트",발주접수!$E9&amp;" 전개","직접 발주"))</f>
        <v/>
      </c>
    </row>
    <row r="70" ht="15" customHeight="1" s="30">
      <c r="A70" s="47" t="str">
        <f>IF($D70="","",65)</f>
        <v/>
      </c>
      <c r="B70" s="48" t="str">
        <f>IFERROR(INDEX(전개결과!$O$6:$O$1205,MATCH("R"&amp;65,전개결과!$L$6:$L$1205,0)),"")</f>
        <v/>
      </c>
      <c r="C70" s="40" t="str">
        <f>IF($D70="","",IFERROR(INDEX(전개결과!$P$6:$P$1205,MATCH("R"&amp;65,전개결과!$L$6:$L$1205,0)),""))</f>
        <v/>
      </c>
      <c r="D70" s="40" t="str">
        <f>IFERROR(INDEX(전개결과!$M$6:$M$1205,MATCH("R"&amp;65,전개결과!$L$6:$L$1205,0)),"")</f>
        <v/>
      </c>
      <c r="E70" s="40" t="str">
        <f>IF($D70="","",IFERROR(INDEX(품목목록!$B$3:$B$302,MATCH($D70,품목목록!$A$3:$A$302,0)),""))</f>
        <v/>
      </c>
      <c r="F70" s="47" t="str">
        <f>IF($D70="","",IFERROR(INDEX(품목목록!$D$3:$D$302,MATCH($D70,품목목록!$A$3:$A$302,0)),""))</f>
        <v/>
      </c>
      <c r="G70" s="49" t="str">
        <f>IFERROR(INDEX(전개결과!$N$6:$N$1205,MATCH("R"&amp;65,전개결과!$L$6:$L$1205,0)),"")</f>
        <v/>
      </c>
      <c r="H70" s="40" t="str">
        <f>IF($D70="","",IFERROR(INDEX(전개결과!$Q$6:$Q$1205,MATCH("R"&amp;65,전개결과!$L$6:$L$1205,0)),""))</f>
        <v/>
      </c>
      <c r="J70" s="50" t="b">
        <f>IF(발주접수!$D9="",FALSE(),IF(발주접수!$F9="세트",COUNTIF(세트구성!$G$3:$G$302,발주접수!$D9&amp;"|"&amp;5)&gt;0,4=0))</f>
        <v>0</v>
      </c>
      <c r="K70" s="34" t="str">
        <f>IF($J70=FALSE(),"",COUNTIF($J$6:$J70,TRUE()))</f>
        <v/>
      </c>
      <c r="L70" s="34" t="str">
        <f>IF($K70="","","R"&amp;$K70)</f>
        <v/>
      </c>
      <c r="M70" s="34" t="str">
        <f>IF($J70=FALSE(),"",IF(발주접수!$F9="세트",IFERROR(INDEX(세트구성!$C$3:$C$302,MATCH(발주접수!$D9&amp;"|"&amp;5,세트구성!$G$3:$G$302,0)),""),발주접수!$D9))</f>
        <v/>
      </c>
      <c r="N70" s="34" t="str">
        <f>IF($J70=FALSE(),"",IF(발주접수!$F9="세트",발주접수!$G9*IFERROR(INDEX(세트구성!$E$3:$E$302,MATCH(발주접수!$D9&amp;"|"&amp;5,세트구성!$G$3:$G$302,0)),0),발주접수!$G9))</f>
        <v/>
      </c>
      <c r="O70" s="34" t="str">
        <f>IF($J70=FALSE(),"",발주접수!$B9)</f>
        <v/>
      </c>
      <c r="P70" s="34" t="str">
        <f>IF($J70=FALSE(),"",발주접수!$C9)</f>
        <v/>
      </c>
      <c r="Q70" s="34" t="str">
        <f>IF($J70=FALSE(),"",IF(발주접수!$F9="세트",발주접수!$E9&amp;" 전개","직접 발주"))</f>
        <v/>
      </c>
    </row>
    <row r="71" ht="15" customHeight="1" s="30">
      <c r="A71" s="47" t="str">
        <f>IF($D71="","",66)</f>
        <v/>
      </c>
      <c r="B71" s="48" t="str">
        <f>IFERROR(INDEX(전개결과!$O$6:$O$1205,MATCH("R"&amp;66,전개결과!$L$6:$L$1205,0)),"")</f>
        <v/>
      </c>
      <c r="C71" s="40" t="str">
        <f>IF($D71="","",IFERROR(INDEX(전개결과!$P$6:$P$1205,MATCH("R"&amp;66,전개결과!$L$6:$L$1205,0)),""))</f>
        <v/>
      </c>
      <c r="D71" s="40" t="str">
        <f>IFERROR(INDEX(전개결과!$M$6:$M$1205,MATCH("R"&amp;66,전개결과!$L$6:$L$1205,0)),"")</f>
        <v/>
      </c>
      <c r="E71" s="40" t="str">
        <f>IF($D71="","",IFERROR(INDEX(품목목록!$B$3:$B$302,MATCH($D71,품목목록!$A$3:$A$302,0)),""))</f>
        <v/>
      </c>
      <c r="F71" s="47" t="str">
        <f>IF($D71="","",IFERROR(INDEX(품목목록!$D$3:$D$302,MATCH($D71,품목목록!$A$3:$A$302,0)),""))</f>
        <v/>
      </c>
      <c r="G71" s="49" t="str">
        <f>IFERROR(INDEX(전개결과!$N$6:$N$1205,MATCH("R"&amp;66,전개결과!$L$6:$L$1205,0)),"")</f>
        <v/>
      </c>
      <c r="H71" s="40" t="str">
        <f>IF($D71="","",IFERROR(INDEX(전개결과!$Q$6:$Q$1205,MATCH("R"&amp;66,전개결과!$L$6:$L$1205,0)),""))</f>
        <v/>
      </c>
      <c r="J71" s="50" t="b">
        <f>IF(발주접수!$D9="",FALSE(),IF(발주접수!$F9="세트",COUNTIF(세트구성!$G$3:$G$302,발주접수!$D9&amp;"|"&amp;6)&gt;0,5=0))</f>
        <v>0</v>
      </c>
      <c r="K71" s="34" t="str">
        <f>IF($J71=FALSE(),"",COUNTIF($J$6:$J71,TRUE()))</f>
        <v/>
      </c>
      <c r="L71" s="34" t="str">
        <f>IF($K71="","","R"&amp;$K71)</f>
        <v/>
      </c>
      <c r="M71" s="34" t="str">
        <f>IF($J71=FALSE(),"",IF(발주접수!$F9="세트",IFERROR(INDEX(세트구성!$C$3:$C$302,MATCH(발주접수!$D9&amp;"|"&amp;6,세트구성!$G$3:$G$302,0)),""),발주접수!$D9))</f>
        <v/>
      </c>
      <c r="N71" s="34" t="str">
        <f>IF($J71=FALSE(),"",IF(발주접수!$F9="세트",발주접수!$G9*IFERROR(INDEX(세트구성!$E$3:$E$302,MATCH(발주접수!$D9&amp;"|"&amp;6,세트구성!$G$3:$G$302,0)),0),발주접수!$G9))</f>
        <v/>
      </c>
      <c r="O71" s="34" t="str">
        <f>IF($J71=FALSE(),"",발주접수!$B9)</f>
        <v/>
      </c>
      <c r="P71" s="34" t="str">
        <f>IF($J71=FALSE(),"",발주접수!$C9)</f>
        <v/>
      </c>
      <c r="Q71" s="34" t="str">
        <f>IF($J71=FALSE(),"",IF(발주접수!$F9="세트",발주접수!$E9&amp;" 전개","직접 발주"))</f>
        <v/>
      </c>
    </row>
    <row r="72" ht="15" customHeight="1" s="30">
      <c r="A72" s="47" t="str">
        <f>IF($D72="","",67)</f>
        <v/>
      </c>
      <c r="B72" s="48" t="str">
        <f>IFERROR(INDEX(전개결과!$O$6:$O$1205,MATCH("R"&amp;67,전개결과!$L$6:$L$1205,0)),"")</f>
        <v/>
      </c>
      <c r="C72" s="40" t="str">
        <f>IF($D72="","",IFERROR(INDEX(전개결과!$P$6:$P$1205,MATCH("R"&amp;67,전개결과!$L$6:$L$1205,0)),""))</f>
        <v/>
      </c>
      <c r="D72" s="40" t="str">
        <f>IFERROR(INDEX(전개결과!$M$6:$M$1205,MATCH("R"&amp;67,전개결과!$L$6:$L$1205,0)),"")</f>
        <v/>
      </c>
      <c r="E72" s="40" t="str">
        <f>IF($D72="","",IFERROR(INDEX(품목목록!$B$3:$B$302,MATCH($D72,품목목록!$A$3:$A$302,0)),""))</f>
        <v/>
      </c>
      <c r="F72" s="47" t="str">
        <f>IF($D72="","",IFERROR(INDEX(품목목록!$D$3:$D$302,MATCH($D72,품목목록!$A$3:$A$302,0)),""))</f>
        <v/>
      </c>
      <c r="G72" s="49" t="str">
        <f>IFERROR(INDEX(전개결과!$N$6:$N$1205,MATCH("R"&amp;67,전개결과!$L$6:$L$1205,0)),"")</f>
        <v/>
      </c>
      <c r="H72" s="40" t="str">
        <f>IF($D72="","",IFERROR(INDEX(전개결과!$Q$6:$Q$1205,MATCH("R"&amp;67,전개결과!$L$6:$L$1205,0)),""))</f>
        <v/>
      </c>
      <c r="J72" s="50" t="b">
        <f>IF(발주접수!$D9="",FALSE(),IF(발주접수!$F9="세트",COUNTIF(세트구성!$G$3:$G$302,발주접수!$D9&amp;"|"&amp;7)&gt;0,6=0))</f>
        <v>0</v>
      </c>
      <c r="K72" s="34" t="str">
        <f>IF($J72=FALSE(),"",COUNTIF($J$6:$J72,TRUE()))</f>
        <v/>
      </c>
      <c r="L72" s="34" t="str">
        <f>IF($K72="","","R"&amp;$K72)</f>
        <v/>
      </c>
      <c r="M72" s="34" t="str">
        <f>IF($J72=FALSE(),"",IF(발주접수!$F9="세트",IFERROR(INDEX(세트구성!$C$3:$C$302,MATCH(발주접수!$D9&amp;"|"&amp;7,세트구성!$G$3:$G$302,0)),""),발주접수!$D9))</f>
        <v/>
      </c>
      <c r="N72" s="34" t="str">
        <f>IF($J72=FALSE(),"",IF(발주접수!$F9="세트",발주접수!$G9*IFERROR(INDEX(세트구성!$E$3:$E$302,MATCH(발주접수!$D9&amp;"|"&amp;7,세트구성!$G$3:$G$302,0)),0),발주접수!$G9))</f>
        <v/>
      </c>
      <c r="O72" s="34" t="str">
        <f>IF($J72=FALSE(),"",발주접수!$B9)</f>
        <v/>
      </c>
      <c r="P72" s="34" t="str">
        <f>IF($J72=FALSE(),"",발주접수!$C9)</f>
        <v/>
      </c>
      <c r="Q72" s="34" t="str">
        <f>IF($J72=FALSE(),"",IF(발주접수!$F9="세트",발주접수!$E9&amp;" 전개","직접 발주"))</f>
        <v/>
      </c>
    </row>
    <row r="73" ht="15" customHeight="1" s="30">
      <c r="A73" s="47" t="str">
        <f>IF($D73="","",68)</f>
        <v/>
      </c>
      <c r="B73" s="48" t="str">
        <f>IFERROR(INDEX(전개결과!$O$6:$O$1205,MATCH("R"&amp;68,전개결과!$L$6:$L$1205,0)),"")</f>
        <v/>
      </c>
      <c r="C73" s="40" t="str">
        <f>IF($D73="","",IFERROR(INDEX(전개결과!$P$6:$P$1205,MATCH("R"&amp;68,전개결과!$L$6:$L$1205,0)),""))</f>
        <v/>
      </c>
      <c r="D73" s="40" t="str">
        <f>IFERROR(INDEX(전개결과!$M$6:$M$1205,MATCH("R"&amp;68,전개결과!$L$6:$L$1205,0)),"")</f>
        <v/>
      </c>
      <c r="E73" s="40" t="str">
        <f>IF($D73="","",IFERROR(INDEX(품목목록!$B$3:$B$302,MATCH($D73,품목목록!$A$3:$A$302,0)),""))</f>
        <v/>
      </c>
      <c r="F73" s="47" t="str">
        <f>IF($D73="","",IFERROR(INDEX(품목목록!$D$3:$D$302,MATCH($D73,품목목록!$A$3:$A$302,0)),""))</f>
        <v/>
      </c>
      <c r="G73" s="49" t="str">
        <f>IFERROR(INDEX(전개결과!$N$6:$N$1205,MATCH("R"&amp;68,전개결과!$L$6:$L$1205,0)),"")</f>
        <v/>
      </c>
      <c r="H73" s="40" t="str">
        <f>IF($D73="","",IFERROR(INDEX(전개결과!$Q$6:$Q$1205,MATCH("R"&amp;68,전개결과!$L$6:$L$1205,0)),""))</f>
        <v/>
      </c>
      <c r="J73" s="50" t="b">
        <f>IF(발주접수!$D9="",FALSE(),IF(발주접수!$F9="세트",COUNTIF(세트구성!$G$3:$G$302,발주접수!$D9&amp;"|"&amp;8)&gt;0,7=0))</f>
        <v>0</v>
      </c>
      <c r="K73" s="34" t="str">
        <f>IF($J73=FALSE(),"",COUNTIF($J$6:$J73,TRUE()))</f>
        <v/>
      </c>
      <c r="L73" s="34" t="str">
        <f>IF($K73="","","R"&amp;$K73)</f>
        <v/>
      </c>
      <c r="M73" s="34" t="str">
        <f>IF($J73=FALSE(),"",IF(발주접수!$F9="세트",IFERROR(INDEX(세트구성!$C$3:$C$302,MATCH(발주접수!$D9&amp;"|"&amp;8,세트구성!$G$3:$G$302,0)),""),발주접수!$D9))</f>
        <v/>
      </c>
      <c r="N73" s="34" t="str">
        <f>IF($J73=FALSE(),"",IF(발주접수!$F9="세트",발주접수!$G9*IFERROR(INDEX(세트구성!$E$3:$E$302,MATCH(발주접수!$D9&amp;"|"&amp;8,세트구성!$G$3:$G$302,0)),0),발주접수!$G9))</f>
        <v/>
      </c>
      <c r="O73" s="34" t="str">
        <f>IF($J73=FALSE(),"",발주접수!$B9)</f>
        <v/>
      </c>
      <c r="P73" s="34" t="str">
        <f>IF($J73=FALSE(),"",발주접수!$C9)</f>
        <v/>
      </c>
      <c r="Q73" s="34" t="str">
        <f>IF($J73=FALSE(),"",IF(발주접수!$F9="세트",발주접수!$E9&amp;" 전개","직접 발주"))</f>
        <v/>
      </c>
    </row>
    <row r="74" ht="15" customHeight="1" s="30">
      <c r="A74" s="47" t="str">
        <f>IF($D74="","",69)</f>
        <v/>
      </c>
      <c r="B74" s="48" t="str">
        <f>IFERROR(INDEX(전개결과!$O$6:$O$1205,MATCH("R"&amp;69,전개결과!$L$6:$L$1205,0)),"")</f>
        <v/>
      </c>
      <c r="C74" s="40" t="str">
        <f>IF($D74="","",IFERROR(INDEX(전개결과!$P$6:$P$1205,MATCH("R"&amp;69,전개결과!$L$6:$L$1205,0)),""))</f>
        <v/>
      </c>
      <c r="D74" s="40" t="str">
        <f>IFERROR(INDEX(전개결과!$M$6:$M$1205,MATCH("R"&amp;69,전개결과!$L$6:$L$1205,0)),"")</f>
        <v/>
      </c>
      <c r="E74" s="40" t="str">
        <f>IF($D74="","",IFERROR(INDEX(품목목록!$B$3:$B$302,MATCH($D74,품목목록!$A$3:$A$302,0)),""))</f>
        <v/>
      </c>
      <c r="F74" s="47" t="str">
        <f>IF($D74="","",IFERROR(INDEX(품목목록!$D$3:$D$302,MATCH($D74,품목목록!$A$3:$A$302,0)),""))</f>
        <v/>
      </c>
      <c r="G74" s="49" t="str">
        <f>IFERROR(INDEX(전개결과!$N$6:$N$1205,MATCH("R"&amp;69,전개결과!$L$6:$L$1205,0)),"")</f>
        <v/>
      </c>
      <c r="H74" s="40" t="str">
        <f>IF($D74="","",IFERROR(INDEX(전개결과!$Q$6:$Q$1205,MATCH("R"&amp;69,전개결과!$L$6:$L$1205,0)),""))</f>
        <v/>
      </c>
      <c r="J74" s="50" t="b">
        <f>IF(발주접수!$D9="",FALSE(),IF(발주접수!$F9="세트",COUNTIF(세트구성!$G$3:$G$302,발주접수!$D9&amp;"|"&amp;9)&gt;0,8=0))</f>
        <v>0</v>
      </c>
      <c r="K74" s="34" t="str">
        <f>IF($J74=FALSE(),"",COUNTIF($J$6:$J74,TRUE()))</f>
        <v/>
      </c>
      <c r="L74" s="34" t="str">
        <f>IF($K74="","","R"&amp;$K74)</f>
        <v/>
      </c>
      <c r="M74" s="34" t="str">
        <f>IF($J74=FALSE(),"",IF(발주접수!$F9="세트",IFERROR(INDEX(세트구성!$C$3:$C$302,MATCH(발주접수!$D9&amp;"|"&amp;9,세트구성!$G$3:$G$302,0)),""),발주접수!$D9))</f>
        <v/>
      </c>
      <c r="N74" s="34" t="str">
        <f>IF($J74=FALSE(),"",IF(발주접수!$F9="세트",발주접수!$G9*IFERROR(INDEX(세트구성!$E$3:$E$302,MATCH(발주접수!$D9&amp;"|"&amp;9,세트구성!$G$3:$G$302,0)),0),발주접수!$G9))</f>
        <v/>
      </c>
      <c r="O74" s="34" t="str">
        <f>IF($J74=FALSE(),"",발주접수!$B9)</f>
        <v/>
      </c>
      <c r="P74" s="34" t="str">
        <f>IF($J74=FALSE(),"",발주접수!$C9)</f>
        <v/>
      </c>
      <c r="Q74" s="34" t="str">
        <f>IF($J74=FALSE(),"",IF(발주접수!$F9="세트",발주접수!$E9&amp;" 전개","직접 발주"))</f>
        <v/>
      </c>
    </row>
    <row r="75" ht="15" customHeight="1" s="30">
      <c r="A75" s="47" t="str">
        <f>IF($D75="","",70)</f>
        <v/>
      </c>
      <c r="B75" s="48" t="str">
        <f>IFERROR(INDEX(전개결과!$O$6:$O$1205,MATCH("R"&amp;70,전개결과!$L$6:$L$1205,0)),"")</f>
        <v/>
      </c>
      <c r="C75" s="40" t="str">
        <f>IF($D75="","",IFERROR(INDEX(전개결과!$P$6:$P$1205,MATCH("R"&amp;70,전개결과!$L$6:$L$1205,0)),""))</f>
        <v/>
      </c>
      <c r="D75" s="40" t="str">
        <f>IFERROR(INDEX(전개결과!$M$6:$M$1205,MATCH("R"&amp;70,전개결과!$L$6:$L$1205,0)),"")</f>
        <v/>
      </c>
      <c r="E75" s="40" t="str">
        <f>IF($D75="","",IFERROR(INDEX(품목목록!$B$3:$B$302,MATCH($D75,품목목록!$A$3:$A$302,0)),""))</f>
        <v/>
      </c>
      <c r="F75" s="47" t="str">
        <f>IF($D75="","",IFERROR(INDEX(품목목록!$D$3:$D$302,MATCH($D75,품목목록!$A$3:$A$302,0)),""))</f>
        <v/>
      </c>
      <c r="G75" s="49" t="str">
        <f>IFERROR(INDEX(전개결과!$N$6:$N$1205,MATCH("R"&amp;70,전개결과!$L$6:$L$1205,0)),"")</f>
        <v/>
      </c>
      <c r="H75" s="40" t="str">
        <f>IF($D75="","",IFERROR(INDEX(전개결과!$Q$6:$Q$1205,MATCH("R"&amp;70,전개결과!$L$6:$L$1205,0)),""))</f>
        <v/>
      </c>
      <c r="J75" s="50" t="b">
        <f>IF(발주접수!$D9="",FALSE(),IF(발주접수!$F9="세트",COUNTIF(세트구성!$G$3:$G$302,발주접수!$D9&amp;"|"&amp;10)&gt;0,9=0))</f>
        <v>0</v>
      </c>
      <c r="K75" s="34" t="str">
        <f>IF($J75=FALSE(),"",COUNTIF($J$6:$J75,TRUE()))</f>
        <v/>
      </c>
      <c r="L75" s="34" t="str">
        <f>IF($K75="","","R"&amp;$K75)</f>
        <v/>
      </c>
      <c r="M75" s="34" t="str">
        <f>IF($J75=FALSE(),"",IF(발주접수!$F9="세트",IFERROR(INDEX(세트구성!$C$3:$C$302,MATCH(발주접수!$D9&amp;"|"&amp;10,세트구성!$G$3:$G$302,0)),""),발주접수!$D9))</f>
        <v/>
      </c>
      <c r="N75" s="34" t="str">
        <f>IF($J75=FALSE(),"",IF(발주접수!$F9="세트",발주접수!$G9*IFERROR(INDEX(세트구성!$E$3:$E$302,MATCH(발주접수!$D9&amp;"|"&amp;10,세트구성!$G$3:$G$302,0)),0),발주접수!$G9))</f>
        <v/>
      </c>
      <c r="O75" s="34" t="str">
        <f>IF($J75=FALSE(),"",발주접수!$B9)</f>
        <v/>
      </c>
      <c r="P75" s="34" t="str">
        <f>IF($J75=FALSE(),"",발주접수!$C9)</f>
        <v/>
      </c>
      <c r="Q75" s="34" t="str">
        <f>IF($J75=FALSE(),"",IF(발주접수!$F9="세트",발주접수!$E9&amp;" 전개","직접 발주"))</f>
        <v/>
      </c>
    </row>
    <row r="76" ht="15" customHeight="1" s="30">
      <c r="A76" s="47" t="str">
        <f>IF($D76="","",71)</f>
        <v/>
      </c>
      <c r="B76" s="48" t="str">
        <f>IFERROR(INDEX(전개결과!$O$6:$O$1205,MATCH("R"&amp;71,전개결과!$L$6:$L$1205,0)),"")</f>
        <v/>
      </c>
      <c r="C76" s="40" t="str">
        <f>IF($D76="","",IFERROR(INDEX(전개결과!$P$6:$P$1205,MATCH("R"&amp;71,전개결과!$L$6:$L$1205,0)),""))</f>
        <v/>
      </c>
      <c r="D76" s="40" t="str">
        <f>IFERROR(INDEX(전개결과!$M$6:$M$1205,MATCH("R"&amp;71,전개결과!$L$6:$L$1205,0)),"")</f>
        <v/>
      </c>
      <c r="E76" s="40" t="str">
        <f>IF($D76="","",IFERROR(INDEX(품목목록!$B$3:$B$302,MATCH($D76,품목목록!$A$3:$A$302,0)),""))</f>
        <v/>
      </c>
      <c r="F76" s="47" t="str">
        <f>IF($D76="","",IFERROR(INDEX(품목목록!$D$3:$D$302,MATCH($D76,품목목록!$A$3:$A$302,0)),""))</f>
        <v/>
      </c>
      <c r="G76" s="49" t="str">
        <f>IFERROR(INDEX(전개결과!$N$6:$N$1205,MATCH("R"&amp;71,전개결과!$L$6:$L$1205,0)),"")</f>
        <v/>
      </c>
      <c r="H76" s="40" t="str">
        <f>IF($D76="","",IFERROR(INDEX(전개결과!$Q$6:$Q$1205,MATCH("R"&amp;71,전개결과!$L$6:$L$1205,0)),""))</f>
        <v/>
      </c>
      <c r="J76" s="50" t="b">
        <f>IF(발주접수!$D10="",FALSE(),IF(발주접수!$F10="세트",COUNTIF(세트구성!$G$3:$G$302,발주접수!$D10&amp;"|"&amp;1)&gt;0,0=0))</f>
        <v>0</v>
      </c>
      <c r="K76" s="34" t="str">
        <f>IF($J76=FALSE(),"",COUNTIF($J$6:$J76,TRUE()))</f>
        <v/>
      </c>
      <c r="L76" s="34" t="str">
        <f>IF($K76="","","R"&amp;$K76)</f>
        <v/>
      </c>
      <c r="M76" s="34" t="str">
        <f>IF($J76=FALSE(),"",IF(발주접수!$F10="세트",IFERROR(INDEX(세트구성!$C$3:$C$302,MATCH(발주접수!$D10&amp;"|"&amp;1,세트구성!$G$3:$G$302,0)),""),발주접수!$D10))</f>
        <v/>
      </c>
      <c r="N76" s="34" t="str">
        <f>IF($J76=FALSE(),"",IF(발주접수!$F10="세트",발주접수!$G10*IFERROR(INDEX(세트구성!$E$3:$E$302,MATCH(발주접수!$D10&amp;"|"&amp;1,세트구성!$G$3:$G$302,0)),0),발주접수!$G10))</f>
        <v/>
      </c>
      <c r="O76" s="34" t="str">
        <f>IF($J76=FALSE(),"",발주접수!$B10)</f>
        <v/>
      </c>
      <c r="P76" s="34" t="str">
        <f>IF($J76=FALSE(),"",발주접수!$C10)</f>
        <v/>
      </c>
      <c r="Q76" s="34" t="str">
        <f>IF($J76=FALSE(),"",IF(발주접수!$F10="세트",발주접수!$E10&amp;" 전개","직접 발주"))</f>
        <v/>
      </c>
    </row>
    <row r="77" ht="15" customHeight="1" s="30">
      <c r="A77" s="47" t="str">
        <f>IF($D77="","",72)</f>
        <v/>
      </c>
      <c r="B77" s="48" t="str">
        <f>IFERROR(INDEX(전개결과!$O$6:$O$1205,MATCH("R"&amp;72,전개결과!$L$6:$L$1205,0)),"")</f>
        <v/>
      </c>
      <c r="C77" s="40" t="str">
        <f>IF($D77="","",IFERROR(INDEX(전개결과!$P$6:$P$1205,MATCH("R"&amp;72,전개결과!$L$6:$L$1205,0)),""))</f>
        <v/>
      </c>
      <c r="D77" s="40" t="str">
        <f>IFERROR(INDEX(전개결과!$M$6:$M$1205,MATCH("R"&amp;72,전개결과!$L$6:$L$1205,0)),"")</f>
        <v/>
      </c>
      <c r="E77" s="40" t="str">
        <f>IF($D77="","",IFERROR(INDEX(품목목록!$B$3:$B$302,MATCH($D77,품목목록!$A$3:$A$302,0)),""))</f>
        <v/>
      </c>
      <c r="F77" s="47" t="str">
        <f>IF($D77="","",IFERROR(INDEX(품목목록!$D$3:$D$302,MATCH($D77,품목목록!$A$3:$A$302,0)),""))</f>
        <v/>
      </c>
      <c r="G77" s="49" t="str">
        <f>IFERROR(INDEX(전개결과!$N$6:$N$1205,MATCH("R"&amp;72,전개결과!$L$6:$L$1205,0)),"")</f>
        <v/>
      </c>
      <c r="H77" s="40" t="str">
        <f>IF($D77="","",IFERROR(INDEX(전개결과!$Q$6:$Q$1205,MATCH("R"&amp;72,전개결과!$L$6:$L$1205,0)),""))</f>
        <v/>
      </c>
      <c r="J77" s="50" t="b">
        <f>IF(발주접수!$D10="",FALSE(),IF(발주접수!$F10="세트",COUNTIF(세트구성!$G$3:$G$302,발주접수!$D10&amp;"|"&amp;2)&gt;0,1=0))</f>
        <v>0</v>
      </c>
      <c r="K77" s="34" t="str">
        <f>IF($J77=FALSE(),"",COUNTIF($J$6:$J77,TRUE()))</f>
        <v/>
      </c>
      <c r="L77" s="34" t="str">
        <f>IF($K77="","","R"&amp;$K77)</f>
        <v/>
      </c>
      <c r="M77" s="34" t="str">
        <f>IF($J77=FALSE(),"",IF(발주접수!$F10="세트",IFERROR(INDEX(세트구성!$C$3:$C$302,MATCH(발주접수!$D10&amp;"|"&amp;2,세트구성!$G$3:$G$302,0)),""),발주접수!$D10))</f>
        <v/>
      </c>
      <c r="N77" s="34" t="str">
        <f>IF($J77=FALSE(),"",IF(발주접수!$F10="세트",발주접수!$G10*IFERROR(INDEX(세트구성!$E$3:$E$302,MATCH(발주접수!$D10&amp;"|"&amp;2,세트구성!$G$3:$G$302,0)),0),발주접수!$G10))</f>
        <v/>
      </c>
      <c r="O77" s="34" t="str">
        <f>IF($J77=FALSE(),"",발주접수!$B10)</f>
        <v/>
      </c>
      <c r="P77" s="34" t="str">
        <f>IF($J77=FALSE(),"",발주접수!$C10)</f>
        <v/>
      </c>
      <c r="Q77" s="34" t="str">
        <f>IF($J77=FALSE(),"",IF(발주접수!$F10="세트",발주접수!$E10&amp;" 전개","직접 발주"))</f>
        <v/>
      </c>
    </row>
    <row r="78" ht="15" customHeight="1" s="30">
      <c r="A78" s="47" t="str">
        <f>IF($D78="","",73)</f>
        <v/>
      </c>
      <c r="B78" s="48" t="str">
        <f>IFERROR(INDEX(전개결과!$O$6:$O$1205,MATCH("R"&amp;73,전개결과!$L$6:$L$1205,0)),"")</f>
        <v/>
      </c>
      <c r="C78" s="40" t="str">
        <f>IF($D78="","",IFERROR(INDEX(전개결과!$P$6:$P$1205,MATCH("R"&amp;73,전개결과!$L$6:$L$1205,0)),""))</f>
        <v/>
      </c>
      <c r="D78" s="40" t="str">
        <f>IFERROR(INDEX(전개결과!$M$6:$M$1205,MATCH("R"&amp;73,전개결과!$L$6:$L$1205,0)),"")</f>
        <v/>
      </c>
      <c r="E78" s="40" t="str">
        <f>IF($D78="","",IFERROR(INDEX(품목목록!$B$3:$B$302,MATCH($D78,품목목록!$A$3:$A$302,0)),""))</f>
        <v/>
      </c>
      <c r="F78" s="47" t="str">
        <f>IF($D78="","",IFERROR(INDEX(품목목록!$D$3:$D$302,MATCH($D78,품목목록!$A$3:$A$302,0)),""))</f>
        <v/>
      </c>
      <c r="G78" s="49" t="str">
        <f>IFERROR(INDEX(전개결과!$N$6:$N$1205,MATCH("R"&amp;73,전개결과!$L$6:$L$1205,0)),"")</f>
        <v/>
      </c>
      <c r="H78" s="40" t="str">
        <f>IF($D78="","",IFERROR(INDEX(전개결과!$Q$6:$Q$1205,MATCH("R"&amp;73,전개결과!$L$6:$L$1205,0)),""))</f>
        <v/>
      </c>
      <c r="J78" s="50" t="b">
        <f>IF(발주접수!$D10="",FALSE(),IF(발주접수!$F10="세트",COUNTIF(세트구성!$G$3:$G$302,발주접수!$D10&amp;"|"&amp;3)&gt;0,2=0))</f>
        <v>0</v>
      </c>
      <c r="K78" s="34" t="str">
        <f>IF($J78=FALSE(),"",COUNTIF($J$6:$J78,TRUE()))</f>
        <v/>
      </c>
      <c r="L78" s="34" t="str">
        <f>IF($K78="","","R"&amp;$K78)</f>
        <v/>
      </c>
      <c r="M78" s="34" t="str">
        <f>IF($J78=FALSE(),"",IF(발주접수!$F10="세트",IFERROR(INDEX(세트구성!$C$3:$C$302,MATCH(발주접수!$D10&amp;"|"&amp;3,세트구성!$G$3:$G$302,0)),""),발주접수!$D10))</f>
        <v/>
      </c>
      <c r="N78" s="34" t="str">
        <f>IF($J78=FALSE(),"",IF(발주접수!$F10="세트",발주접수!$G10*IFERROR(INDEX(세트구성!$E$3:$E$302,MATCH(발주접수!$D10&amp;"|"&amp;3,세트구성!$G$3:$G$302,0)),0),발주접수!$G10))</f>
        <v/>
      </c>
      <c r="O78" s="34" t="str">
        <f>IF($J78=FALSE(),"",발주접수!$B10)</f>
        <v/>
      </c>
      <c r="P78" s="34" t="str">
        <f>IF($J78=FALSE(),"",발주접수!$C10)</f>
        <v/>
      </c>
      <c r="Q78" s="34" t="str">
        <f>IF($J78=FALSE(),"",IF(발주접수!$F10="세트",발주접수!$E10&amp;" 전개","직접 발주"))</f>
        <v/>
      </c>
    </row>
    <row r="79" ht="15" customHeight="1" s="30">
      <c r="A79" s="47" t="str">
        <f>IF($D79="","",74)</f>
        <v/>
      </c>
      <c r="B79" s="48" t="str">
        <f>IFERROR(INDEX(전개결과!$O$6:$O$1205,MATCH("R"&amp;74,전개결과!$L$6:$L$1205,0)),"")</f>
        <v/>
      </c>
      <c r="C79" s="40" t="str">
        <f>IF($D79="","",IFERROR(INDEX(전개결과!$P$6:$P$1205,MATCH("R"&amp;74,전개결과!$L$6:$L$1205,0)),""))</f>
        <v/>
      </c>
      <c r="D79" s="40" t="str">
        <f>IFERROR(INDEX(전개결과!$M$6:$M$1205,MATCH("R"&amp;74,전개결과!$L$6:$L$1205,0)),"")</f>
        <v/>
      </c>
      <c r="E79" s="40" t="str">
        <f>IF($D79="","",IFERROR(INDEX(품목목록!$B$3:$B$302,MATCH($D79,품목목록!$A$3:$A$302,0)),""))</f>
        <v/>
      </c>
      <c r="F79" s="47" t="str">
        <f>IF($D79="","",IFERROR(INDEX(품목목록!$D$3:$D$302,MATCH($D79,품목목록!$A$3:$A$302,0)),""))</f>
        <v/>
      </c>
      <c r="G79" s="49" t="str">
        <f>IFERROR(INDEX(전개결과!$N$6:$N$1205,MATCH("R"&amp;74,전개결과!$L$6:$L$1205,0)),"")</f>
        <v/>
      </c>
      <c r="H79" s="40" t="str">
        <f>IF($D79="","",IFERROR(INDEX(전개결과!$Q$6:$Q$1205,MATCH("R"&amp;74,전개결과!$L$6:$L$1205,0)),""))</f>
        <v/>
      </c>
      <c r="J79" s="50" t="b">
        <f>IF(발주접수!$D10="",FALSE(),IF(발주접수!$F10="세트",COUNTIF(세트구성!$G$3:$G$302,발주접수!$D10&amp;"|"&amp;4)&gt;0,3=0))</f>
        <v>0</v>
      </c>
      <c r="K79" s="34" t="str">
        <f>IF($J79=FALSE(),"",COUNTIF($J$6:$J79,TRUE()))</f>
        <v/>
      </c>
      <c r="L79" s="34" t="str">
        <f>IF($K79="","","R"&amp;$K79)</f>
        <v/>
      </c>
      <c r="M79" s="34" t="str">
        <f>IF($J79=FALSE(),"",IF(발주접수!$F10="세트",IFERROR(INDEX(세트구성!$C$3:$C$302,MATCH(발주접수!$D10&amp;"|"&amp;4,세트구성!$G$3:$G$302,0)),""),발주접수!$D10))</f>
        <v/>
      </c>
      <c r="N79" s="34" t="str">
        <f>IF($J79=FALSE(),"",IF(발주접수!$F10="세트",발주접수!$G10*IFERROR(INDEX(세트구성!$E$3:$E$302,MATCH(발주접수!$D10&amp;"|"&amp;4,세트구성!$G$3:$G$302,0)),0),발주접수!$G10))</f>
        <v/>
      </c>
      <c r="O79" s="34" t="str">
        <f>IF($J79=FALSE(),"",발주접수!$B10)</f>
        <v/>
      </c>
      <c r="P79" s="34" t="str">
        <f>IF($J79=FALSE(),"",발주접수!$C10)</f>
        <v/>
      </c>
      <c r="Q79" s="34" t="str">
        <f>IF($J79=FALSE(),"",IF(발주접수!$F10="세트",발주접수!$E10&amp;" 전개","직접 발주"))</f>
        <v/>
      </c>
    </row>
    <row r="80" ht="15" customHeight="1" s="30">
      <c r="A80" s="47" t="str">
        <f>IF($D80="","",75)</f>
        <v/>
      </c>
      <c r="B80" s="48" t="str">
        <f>IFERROR(INDEX(전개결과!$O$6:$O$1205,MATCH("R"&amp;75,전개결과!$L$6:$L$1205,0)),"")</f>
        <v/>
      </c>
      <c r="C80" s="40" t="str">
        <f>IF($D80="","",IFERROR(INDEX(전개결과!$P$6:$P$1205,MATCH("R"&amp;75,전개결과!$L$6:$L$1205,0)),""))</f>
        <v/>
      </c>
      <c r="D80" s="40" t="str">
        <f>IFERROR(INDEX(전개결과!$M$6:$M$1205,MATCH("R"&amp;75,전개결과!$L$6:$L$1205,0)),"")</f>
        <v/>
      </c>
      <c r="E80" s="40" t="str">
        <f>IF($D80="","",IFERROR(INDEX(품목목록!$B$3:$B$302,MATCH($D80,품목목록!$A$3:$A$302,0)),""))</f>
        <v/>
      </c>
      <c r="F80" s="47" t="str">
        <f>IF($D80="","",IFERROR(INDEX(품목목록!$D$3:$D$302,MATCH($D80,품목목록!$A$3:$A$302,0)),""))</f>
        <v/>
      </c>
      <c r="G80" s="49" t="str">
        <f>IFERROR(INDEX(전개결과!$N$6:$N$1205,MATCH("R"&amp;75,전개결과!$L$6:$L$1205,0)),"")</f>
        <v/>
      </c>
      <c r="H80" s="40" t="str">
        <f>IF($D80="","",IFERROR(INDEX(전개결과!$Q$6:$Q$1205,MATCH("R"&amp;75,전개결과!$L$6:$L$1205,0)),""))</f>
        <v/>
      </c>
      <c r="J80" s="50" t="b">
        <f>IF(발주접수!$D10="",FALSE(),IF(발주접수!$F10="세트",COUNTIF(세트구성!$G$3:$G$302,발주접수!$D10&amp;"|"&amp;5)&gt;0,4=0))</f>
        <v>0</v>
      </c>
      <c r="K80" s="34" t="str">
        <f>IF($J80=FALSE(),"",COUNTIF($J$6:$J80,TRUE()))</f>
        <v/>
      </c>
      <c r="L80" s="34" t="str">
        <f>IF($K80="","","R"&amp;$K80)</f>
        <v/>
      </c>
      <c r="M80" s="34" t="str">
        <f>IF($J80=FALSE(),"",IF(발주접수!$F10="세트",IFERROR(INDEX(세트구성!$C$3:$C$302,MATCH(발주접수!$D10&amp;"|"&amp;5,세트구성!$G$3:$G$302,0)),""),발주접수!$D10))</f>
        <v/>
      </c>
      <c r="N80" s="34" t="str">
        <f>IF($J80=FALSE(),"",IF(발주접수!$F10="세트",발주접수!$G10*IFERROR(INDEX(세트구성!$E$3:$E$302,MATCH(발주접수!$D10&amp;"|"&amp;5,세트구성!$G$3:$G$302,0)),0),발주접수!$G10))</f>
        <v/>
      </c>
      <c r="O80" s="34" t="str">
        <f>IF($J80=FALSE(),"",발주접수!$B10)</f>
        <v/>
      </c>
      <c r="P80" s="34" t="str">
        <f>IF($J80=FALSE(),"",발주접수!$C10)</f>
        <v/>
      </c>
      <c r="Q80" s="34" t="str">
        <f>IF($J80=FALSE(),"",IF(발주접수!$F10="세트",발주접수!$E10&amp;" 전개","직접 발주"))</f>
        <v/>
      </c>
    </row>
    <row r="81" ht="15" customHeight="1" s="30">
      <c r="A81" s="47" t="str">
        <f>IF($D81="","",76)</f>
        <v/>
      </c>
      <c r="B81" s="48" t="str">
        <f>IFERROR(INDEX(전개결과!$O$6:$O$1205,MATCH("R"&amp;76,전개결과!$L$6:$L$1205,0)),"")</f>
        <v/>
      </c>
      <c r="C81" s="40" t="str">
        <f>IF($D81="","",IFERROR(INDEX(전개결과!$P$6:$P$1205,MATCH("R"&amp;76,전개결과!$L$6:$L$1205,0)),""))</f>
        <v/>
      </c>
      <c r="D81" s="40" t="str">
        <f>IFERROR(INDEX(전개결과!$M$6:$M$1205,MATCH("R"&amp;76,전개결과!$L$6:$L$1205,0)),"")</f>
        <v/>
      </c>
      <c r="E81" s="40" t="str">
        <f>IF($D81="","",IFERROR(INDEX(품목목록!$B$3:$B$302,MATCH($D81,품목목록!$A$3:$A$302,0)),""))</f>
        <v/>
      </c>
      <c r="F81" s="47" t="str">
        <f>IF($D81="","",IFERROR(INDEX(품목목록!$D$3:$D$302,MATCH($D81,품목목록!$A$3:$A$302,0)),""))</f>
        <v/>
      </c>
      <c r="G81" s="49" t="str">
        <f>IFERROR(INDEX(전개결과!$N$6:$N$1205,MATCH("R"&amp;76,전개결과!$L$6:$L$1205,0)),"")</f>
        <v/>
      </c>
      <c r="H81" s="40" t="str">
        <f>IF($D81="","",IFERROR(INDEX(전개결과!$Q$6:$Q$1205,MATCH("R"&amp;76,전개결과!$L$6:$L$1205,0)),""))</f>
        <v/>
      </c>
      <c r="J81" s="50" t="b">
        <f>IF(발주접수!$D10="",FALSE(),IF(발주접수!$F10="세트",COUNTIF(세트구성!$G$3:$G$302,발주접수!$D10&amp;"|"&amp;6)&gt;0,5=0))</f>
        <v>0</v>
      </c>
      <c r="K81" s="34" t="str">
        <f>IF($J81=FALSE(),"",COUNTIF($J$6:$J81,TRUE()))</f>
        <v/>
      </c>
      <c r="L81" s="34" t="str">
        <f>IF($K81="","","R"&amp;$K81)</f>
        <v/>
      </c>
      <c r="M81" s="34" t="str">
        <f>IF($J81=FALSE(),"",IF(발주접수!$F10="세트",IFERROR(INDEX(세트구성!$C$3:$C$302,MATCH(발주접수!$D10&amp;"|"&amp;6,세트구성!$G$3:$G$302,0)),""),발주접수!$D10))</f>
        <v/>
      </c>
      <c r="N81" s="34" t="str">
        <f>IF($J81=FALSE(),"",IF(발주접수!$F10="세트",발주접수!$G10*IFERROR(INDEX(세트구성!$E$3:$E$302,MATCH(발주접수!$D10&amp;"|"&amp;6,세트구성!$G$3:$G$302,0)),0),발주접수!$G10))</f>
        <v/>
      </c>
      <c r="O81" s="34" t="str">
        <f>IF($J81=FALSE(),"",발주접수!$B10)</f>
        <v/>
      </c>
      <c r="P81" s="34" t="str">
        <f>IF($J81=FALSE(),"",발주접수!$C10)</f>
        <v/>
      </c>
      <c r="Q81" s="34" t="str">
        <f>IF($J81=FALSE(),"",IF(발주접수!$F10="세트",발주접수!$E10&amp;" 전개","직접 발주"))</f>
        <v/>
      </c>
    </row>
    <row r="82" ht="15" customHeight="1" s="30">
      <c r="A82" s="47" t="str">
        <f>IF($D82="","",77)</f>
        <v/>
      </c>
      <c r="B82" s="48" t="str">
        <f>IFERROR(INDEX(전개결과!$O$6:$O$1205,MATCH("R"&amp;77,전개결과!$L$6:$L$1205,0)),"")</f>
        <v/>
      </c>
      <c r="C82" s="40" t="str">
        <f>IF($D82="","",IFERROR(INDEX(전개결과!$P$6:$P$1205,MATCH("R"&amp;77,전개결과!$L$6:$L$1205,0)),""))</f>
        <v/>
      </c>
      <c r="D82" s="40" t="str">
        <f>IFERROR(INDEX(전개결과!$M$6:$M$1205,MATCH("R"&amp;77,전개결과!$L$6:$L$1205,0)),"")</f>
        <v/>
      </c>
      <c r="E82" s="40" t="str">
        <f>IF($D82="","",IFERROR(INDEX(품목목록!$B$3:$B$302,MATCH($D82,품목목록!$A$3:$A$302,0)),""))</f>
        <v/>
      </c>
      <c r="F82" s="47" t="str">
        <f>IF($D82="","",IFERROR(INDEX(품목목록!$D$3:$D$302,MATCH($D82,품목목록!$A$3:$A$302,0)),""))</f>
        <v/>
      </c>
      <c r="G82" s="49" t="str">
        <f>IFERROR(INDEX(전개결과!$N$6:$N$1205,MATCH("R"&amp;77,전개결과!$L$6:$L$1205,0)),"")</f>
        <v/>
      </c>
      <c r="H82" s="40" t="str">
        <f>IF($D82="","",IFERROR(INDEX(전개결과!$Q$6:$Q$1205,MATCH("R"&amp;77,전개결과!$L$6:$L$1205,0)),""))</f>
        <v/>
      </c>
      <c r="J82" s="50" t="b">
        <f>IF(발주접수!$D10="",FALSE(),IF(발주접수!$F10="세트",COUNTIF(세트구성!$G$3:$G$302,발주접수!$D10&amp;"|"&amp;7)&gt;0,6=0))</f>
        <v>0</v>
      </c>
      <c r="K82" s="34" t="str">
        <f>IF($J82=FALSE(),"",COUNTIF($J$6:$J82,TRUE()))</f>
        <v/>
      </c>
      <c r="L82" s="34" t="str">
        <f>IF($K82="","","R"&amp;$K82)</f>
        <v/>
      </c>
      <c r="M82" s="34" t="str">
        <f>IF($J82=FALSE(),"",IF(발주접수!$F10="세트",IFERROR(INDEX(세트구성!$C$3:$C$302,MATCH(발주접수!$D10&amp;"|"&amp;7,세트구성!$G$3:$G$302,0)),""),발주접수!$D10))</f>
        <v/>
      </c>
      <c r="N82" s="34" t="str">
        <f>IF($J82=FALSE(),"",IF(발주접수!$F10="세트",발주접수!$G10*IFERROR(INDEX(세트구성!$E$3:$E$302,MATCH(발주접수!$D10&amp;"|"&amp;7,세트구성!$G$3:$G$302,0)),0),발주접수!$G10))</f>
        <v/>
      </c>
      <c r="O82" s="34" t="str">
        <f>IF($J82=FALSE(),"",발주접수!$B10)</f>
        <v/>
      </c>
      <c r="P82" s="34" t="str">
        <f>IF($J82=FALSE(),"",발주접수!$C10)</f>
        <v/>
      </c>
      <c r="Q82" s="34" t="str">
        <f>IF($J82=FALSE(),"",IF(발주접수!$F10="세트",발주접수!$E10&amp;" 전개","직접 발주"))</f>
        <v/>
      </c>
    </row>
    <row r="83" ht="15" customHeight="1" s="30">
      <c r="A83" s="47" t="str">
        <f>IF($D83="","",78)</f>
        <v/>
      </c>
      <c r="B83" s="48" t="str">
        <f>IFERROR(INDEX(전개결과!$O$6:$O$1205,MATCH("R"&amp;78,전개결과!$L$6:$L$1205,0)),"")</f>
        <v/>
      </c>
      <c r="C83" s="40" t="str">
        <f>IF($D83="","",IFERROR(INDEX(전개결과!$P$6:$P$1205,MATCH("R"&amp;78,전개결과!$L$6:$L$1205,0)),""))</f>
        <v/>
      </c>
      <c r="D83" s="40" t="str">
        <f>IFERROR(INDEX(전개결과!$M$6:$M$1205,MATCH("R"&amp;78,전개결과!$L$6:$L$1205,0)),"")</f>
        <v/>
      </c>
      <c r="E83" s="40" t="str">
        <f>IF($D83="","",IFERROR(INDEX(품목목록!$B$3:$B$302,MATCH($D83,품목목록!$A$3:$A$302,0)),""))</f>
        <v/>
      </c>
      <c r="F83" s="47" t="str">
        <f>IF($D83="","",IFERROR(INDEX(품목목록!$D$3:$D$302,MATCH($D83,품목목록!$A$3:$A$302,0)),""))</f>
        <v/>
      </c>
      <c r="G83" s="49" t="str">
        <f>IFERROR(INDEX(전개결과!$N$6:$N$1205,MATCH("R"&amp;78,전개결과!$L$6:$L$1205,0)),"")</f>
        <v/>
      </c>
      <c r="H83" s="40" t="str">
        <f>IF($D83="","",IFERROR(INDEX(전개결과!$Q$6:$Q$1205,MATCH("R"&amp;78,전개결과!$L$6:$L$1205,0)),""))</f>
        <v/>
      </c>
      <c r="J83" s="50" t="b">
        <f>IF(발주접수!$D10="",FALSE(),IF(발주접수!$F10="세트",COUNTIF(세트구성!$G$3:$G$302,발주접수!$D10&amp;"|"&amp;8)&gt;0,7=0))</f>
        <v>0</v>
      </c>
      <c r="K83" s="34" t="str">
        <f>IF($J83=FALSE(),"",COUNTIF($J$6:$J83,TRUE()))</f>
        <v/>
      </c>
      <c r="L83" s="34" t="str">
        <f>IF($K83="","","R"&amp;$K83)</f>
        <v/>
      </c>
      <c r="M83" s="34" t="str">
        <f>IF($J83=FALSE(),"",IF(발주접수!$F10="세트",IFERROR(INDEX(세트구성!$C$3:$C$302,MATCH(발주접수!$D10&amp;"|"&amp;8,세트구성!$G$3:$G$302,0)),""),발주접수!$D10))</f>
        <v/>
      </c>
      <c r="N83" s="34" t="str">
        <f>IF($J83=FALSE(),"",IF(발주접수!$F10="세트",발주접수!$G10*IFERROR(INDEX(세트구성!$E$3:$E$302,MATCH(발주접수!$D10&amp;"|"&amp;8,세트구성!$G$3:$G$302,0)),0),발주접수!$G10))</f>
        <v/>
      </c>
      <c r="O83" s="34" t="str">
        <f>IF($J83=FALSE(),"",발주접수!$B10)</f>
        <v/>
      </c>
      <c r="P83" s="34" t="str">
        <f>IF($J83=FALSE(),"",발주접수!$C10)</f>
        <v/>
      </c>
      <c r="Q83" s="34" t="str">
        <f>IF($J83=FALSE(),"",IF(발주접수!$F10="세트",발주접수!$E10&amp;" 전개","직접 발주"))</f>
        <v/>
      </c>
    </row>
    <row r="84" ht="15" customHeight="1" s="30">
      <c r="A84" s="47" t="str">
        <f>IF($D84="","",79)</f>
        <v/>
      </c>
      <c r="B84" s="48" t="str">
        <f>IFERROR(INDEX(전개결과!$O$6:$O$1205,MATCH("R"&amp;79,전개결과!$L$6:$L$1205,0)),"")</f>
        <v/>
      </c>
      <c r="C84" s="40" t="str">
        <f>IF($D84="","",IFERROR(INDEX(전개결과!$P$6:$P$1205,MATCH("R"&amp;79,전개결과!$L$6:$L$1205,0)),""))</f>
        <v/>
      </c>
      <c r="D84" s="40" t="str">
        <f>IFERROR(INDEX(전개결과!$M$6:$M$1205,MATCH("R"&amp;79,전개결과!$L$6:$L$1205,0)),"")</f>
        <v/>
      </c>
      <c r="E84" s="40" t="str">
        <f>IF($D84="","",IFERROR(INDEX(품목목록!$B$3:$B$302,MATCH($D84,품목목록!$A$3:$A$302,0)),""))</f>
        <v/>
      </c>
      <c r="F84" s="47" t="str">
        <f>IF($D84="","",IFERROR(INDEX(품목목록!$D$3:$D$302,MATCH($D84,품목목록!$A$3:$A$302,0)),""))</f>
        <v/>
      </c>
      <c r="G84" s="49" t="str">
        <f>IFERROR(INDEX(전개결과!$N$6:$N$1205,MATCH("R"&amp;79,전개결과!$L$6:$L$1205,0)),"")</f>
        <v/>
      </c>
      <c r="H84" s="40" t="str">
        <f>IF($D84="","",IFERROR(INDEX(전개결과!$Q$6:$Q$1205,MATCH("R"&amp;79,전개결과!$L$6:$L$1205,0)),""))</f>
        <v/>
      </c>
      <c r="J84" s="50" t="b">
        <f>IF(발주접수!$D10="",FALSE(),IF(발주접수!$F10="세트",COUNTIF(세트구성!$G$3:$G$302,발주접수!$D10&amp;"|"&amp;9)&gt;0,8=0))</f>
        <v>0</v>
      </c>
      <c r="K84" s="34" t="str">
        <f>IF($J84=FALSE(),"",COUNTIF($J$6:$J84,TRUE()))</f>
        <v/>
      </c>
      <c r="L84" s="34" t="str">
        <f>IF($K84="","","R"&amp;$K84)</f>
        <v/>
      </c>
      <c r="M84" s="34" t="str">
        <f>IF($J84=FALSE(),"",IF(발주접수!$F10="세트",IFERROR(INDEX(세트구성!$C$3:$C$302,MATCH(발주접수!$D10&amp;"|"&amp;9,세트구성!$G$3:$G$302,0)),""),발주접수!$D10))</f>
        <v/>
      </c>
      <c r="N84" s="34" t="str">
        <f>IF($J84=FALSE(),"",IF(발주접수!$F10="세트",발주접수!$G10*IFERROR(INDEX(세트구성!$E$3:$E$302,MATCH(발주접수!$D10&amp;"|"&amp;9,세트구성!$G$3:$G$302,0)),0),발주접수!$G10))</f>
        <v/>
      </c>
      <c r="O84" s="34" t="str">
        <f>IF($J84=FALSE(),"",발주접수!$B10)</f>
        <v/>
      </c>
      <c r="P84" s="34" t="str">
        <f>IF($J84=FALSE(),"",발주접수!$C10)</f>
        <v/>
      </c>
      <c r="Q84" s="34" t="str">
        <f>IF($J84=FALSE(),"",IF(발주접수!$F10="세트",발주접수!$E10&amp;" 전개","직접 발주"))</f>
        <v/>
      </c>
    </row>
    <row r="85" ht="15" customHeight="1" s="30">
      <c r="A85" s="47" t="str">
        <f>IF($D85="","",80)</f>
        <v/>
      </c>
      <c r="B85" s="48" t="str">
        <f>IFERROR(INDEX(전개결과!$O$6:$O$1205,MATCH("R"&amp;80,전개결과!$L$6:$L$1205,0)),"")</f>
        <v/>
      </c>
      <c r="C85" s="40" t="str">
        <f>IF($D85="","",IFERROR(INDEX(전개결과!$P$6:$P$1205,MATCH("R"&amp;80,전개결과!$L$6:$L$1205,0)),""))</f>
        <v/>
      </c>
      <c r="D85" s="40" t="str">
        <f>IFERROR(INDEX(전개결과!$M$6:$M$1205,MATCH("R"&amp;80,전개결과!$L$6:$L$1205,0)),"")</f>
        <v/>
      </c>
      <c r="E85" s="40" t="str">
        <f>IF($D85="","",IFERROR(INDEX(품목목록!$B$3:$B$302,MATCH($D85,품목목록!$A$3:$A$302,0)),""))</f>
        <v/>
      </c>
      <c r="F85" s="47" t="str">
        <f>IF($D85="","",IFERROR(INDEX(품목목록!$D$3:$D$302,MATCH($D85,품목목록!$A$3:$A$302,0)),""))</f>
        <v/>
      </c>
      <c r="G85" s="49" t="str">
        <f>IFERROR(INDEX(전개결과!$N$6:$N$1205,MATCH("R"&amp;80,전개결과!$L$6:$L$1205,0)),"")</f>
        <v/>
      </c>
      <c r="H85" s="40" t="str">
        <f>IF($D85="","",IFERROR(INDEX(전개결과!$Q$6:$Q$1205,MATCH("R"&amp;80,전개결과!$L$6:$L$1205,0)),""))</f>
        <v/>
      </c>
      <c r="J85" s="50" t="b">
        <f>IF(발주접수!$D10="",FALSE(),IF(발주접수!$F10="세트",COUNTIF(세트구성!$G$3:$G$302,발주접수!$D10&amp;"|"&amp;10)&gt;0,9=0))</f>
        <v>0</v>
      </c>
      <c r="K85" s="34" t="str">
        <f>IF($J85=FALSE(),"",COUNTIF($J$6:$J85,TRUE()))</f>
        <v/>
      </c>
      <c r="L85" s="34" t="str">
        <f>IF($K85="","","R"&amp;$K85)</f>
        <v/>
      </c>
      <c r="M85" s="34" t="str">
        <f>IF($J85=FALSE(),"",IF(발주접수!$F10="세트",IFERROR(INDEX(세트구성!$C$3:$C$302,MATCH(발주접수!$D10&amp;"|"&amp;10,세트구성!$G$3:$G$302,0)),""),발주접수!$D10))</f>
        <v/>
      </c>
      <c r="N85" s="34" t="str">
        <f>IF($J85=FALSE(),"",IF(발주접수!$F10="세트",발주접수!$G10*IFERROR(INDEX(세트구성!$E$3:$E$302,MATCH(발주접수!$D10&amp;"|"&amp;10,세트구성!$G$3:$G$302,0)),0),발주접수!$G10))</f>
        <v/>
      </c>
      <c r="O85" s="34" t="str">
        <f>IF($J85=FALSE(),"",발주접수!$B10)</f>
        <v/>
      </c>
      <c r="P85" s="34" t="str">
        <f>IF($J85=FALSE(),"",발주접수!$C10)</f>
        <v/>
      </c>
      <c r="Q85" s="34" t="str">
        <f>IF($J85=FALSE(),"",IF(발주접수!$F10="세트",발주접수!$E10&amp;" 전개","직접 발주"))</f>
        <v/>
      </c>
    </row>
    <row r="86" ht="15" customHeight="1" s="30">
      <c r="A86" s="47" t="str">
        <f>IF($D86="","",81)</f>
        <v/>
      </c>
      <c r="B86" s="48" t="str">
        <f>IFERROR(INDEX(전개결과!$O$6:$O$1205,MATCH("R"&amp;81,전개결과!$L$6:$L$1205,0)),"")</f>
        <v/>
      </c>
      <c r="C86" s="40" t="str">
        <f>IF($D86="","",IFERROR(INDEX(전개결과!$P$6:$P$1205,MATCH("R"&amp;81,전개결과!$L$6:$L$1205,0)),""))</f>
        <v/>
      </c>
      <c r="D86" s="40" t="str">
        <f>IFERROR(INDEX(전개결과!$M$6:$M$1205,MATCH("R"&amp;81,전개결과!$L$6:$L$1205,0)),"")</f>
        <v/>
      </c>
      <c r="E86" s="40" t="str">
        <f>IF($D86="","",IFERROR(INDEX(품목목록!$B$3:$B$302,MATCH($D86,품목목록!$A$3:$A$302,0)),""))</f>
        <v/>
      </c>
      <c r="F86" s="47" t="str">
        <f>IF($D86="","",IFERROR(INDEX(품목목록!$D$3:$D$302,MATCH($D86,품목목록!$A$3:$A$302,0)),""))</f>
        <v/>
      </c>
      <c r="G86" s="49" t="str">
        <f>IFERROR(INDEX(전개결과!$N$6:$N$1205,MATCH("R"&amp;81,전개결과!$L$6:$L$1205,0)),"")</f>
        <v/>
      </c>
      <c r="H86" s="40" t="str">
        <f>IF($D86="","",IFERROR(INDEX(전개결과!$Q$6:$Q$1205,MATCH("R"&amp;81,전개결과!$L$6:$L$1205,0)),""))</f>
        <v/>
      </c>
      <c r="J86" s="50" t="b">
        <f>IF(발주접수!$D11="",FALSE(),IF(발주접수!$F11="세트",COUNTIF(세트구성!$G$3:$G$302,발주접수!$D11&amp;"|"&amp;1)&gt;0,0=0))</f>
        <v>0</v>
      </c>
      <c r="K86" s="34" t="str">
        <f>IF($J86=FALSE(),"",COUNTIF($J$6:$J86,TRUE()))</f>
        <v/>
      </c>
      <c r="L86" s="34" t="str">
        <f>IF($K86="","","R"&amp;$K86)</f>
        <v/>
      </c>
      <c r="M86" s="34" t="str">
        <f>IF($J86=FALSE(),"",IF(발주접수!$F11="세트",IFERROR(INDEX(세트구성!$C$3:$C$302,MATCH(발주접수!$D11&amp;"|"&amp;1,세트구성!$G$3:$G$302,0)),""),발주접수!$D11))</f>
        <v/>
      </c>
      <c r="N86" s="34" t="str">
        <f>IF($J86=FALSE(),"",IF(발주접수!$F11="세트",발주접수!$G11*IFERROR(INDEX(세트구성!$E$3:$E$302,MATCH(발주접수!$D11&amp;"|"&amp;1,세트구성!$G$3:$G$302,0)),0),발주접수!$G11))</f>
        <v/>
      </c>
      <c r="O86" s="34" t="str">
        <f>IF($J86=FALSE(),"",발주접수!$B11)</f>
        <v/>
      </c>
      <c r="P86" s="34" t="str">
        <f>IF($J86=FALSE(),"",발주접수!$C11)</f>
        <v/>
      </c>
      <c r="Q86" s="34" t="str">
        <f>IF($J86=FALSE(),"",IF(발주접수!$F11="세트",발주접수!$E11&amp;" 전개","직접 발주"))</f>
        <v/>
      </c>
    </row>
    <row r="87" ht="15" customHeight="1" s="30">
      <c r="A87" s="47" t="str">
        <f>IF($D87="","",82)</f>
        <v/>
      </c>
      <c r="B87" s="48" t="str">
        <f>IFERROR(INDEX(전개결과!$O$6:$O$1205,MATCH("R"&amp;82,전개결과!$L$6:$L$1205,0)),"")</f>
        <v/>
      </c>
      <c r="C87" s="40" t="str">
        <f>IF($D87="","",IFERROR(INDEX(전개결과!$P$6:$P$1205,MATCH("R"&amp;82,전개결과!$L$6:$L$1205,0)),""))</f>
        <v/>
      </c>
      <c r="D87" s="40" t="str">
        <f>IFERROR(INDEX(전개결과!$M$6:$M$1205,MATCH("R"&amp;82,전개결과!$L$6:$L$1205,0)),"")</f>
        <v/>
      </c>
      <c r="E87" s="40" t="str">
        <f>IF($D87="","",IFERROR(INDEX(품목목록!$B$3:$B$302,MATCH($D87,품목목록!$A$3:$A$302,0)),""))</f>
        <v/>
      </c>
      <c r="F87" s="47" t="str">
        <f>IF($D87="","",IFERROR(INDEX(품목목록!$D$3:$D$302,MATCH($D87,품목목록!$A$3:$A$302,0)),""))</f>
        <v/>
      </c>
      <c r="G87" s="49" t="str">
        <f>IFERROR(INDEX(전개결과!$N$6:$N$1205,MATCH("R"&amp;82,전개결과!$L$6:$L$1205,0)),"")</f>
        <v/>
      </c>
      <c r="H87" s="40" t="str">
        <f>IF($D87="","",IFERROR(INDEX(전개결과!$Q$6:$Q$1205,MATCH("R"&amp;82,전개결과!$L$6:$L$1205,0)),""))</f>
        <v/>
      </c>
      <c r="J87" s="50" t="b">
        <f>IF(발주접수!$D11="",FALSE(),IF(발주접수!$F11="세트",COUNTIF(세트구성!$G$3:$G$302,발주접수!$D11&amp;"|"&amp;2)&gt;0,1=0))</f>
        <v>0</v>
      </c>
      <c r="K87" s="34" t="str">
        <f>IF($J87=FALSE(),"",COUNTIF($J$6:$J87,TRUE()))</f>
        <v/>
      </c>
      <c r="L87" s="34" t="str">
        <f>IF($K87="","","R"&amp;$K87)</f>
        <v/>
      </c>
      <c r="M87" s="34" t="str">
        <f>IF($J87=FALSE(),"",IF(발주접수!$F11="세트",IFERROR(INDEX(세트구성!$C$3:$C$302,MATCH(발주접수!$D11&amp;"|"&amp;2,세트구성!$G$3:$G$302,0)),""),발주접수!$D11))</f>
        <v/>
      </c>
      <c r="N87" s="34" t="str">
        <f>IF($J87=FALSE(),"",IF(발주접수!$F11="세트",발주접수!$G11*IFERROR(INDEX(세트구성!$E$3:$E$302,MATCH(발주접수!$D11&amp;"|"&amp;2,세트구성!$G$3:$G$302,0)),0),발주접수!$G11))</f>
        <v/>
      </c>
      <c r="O87" s="34" t="str">
        <f>IF($J87=FALSE(),"",발주접수!$B11)</f>
        <v/>
      </c>
      <c r="P87" s="34" t="str">
        <f>IF($J87=FALSE(),"",발주접수!$C11)</f>
        <v/>
      </c>
      <c r="Q87" s="34" t="str">
        <f>IF($J87=FALSE(),"",IF(발주접수!$F11="세트",발주접수!$E11&amp;" 전개","직접 발주"))</f>
        <v/>
      </c>
    </row>
    <row r="88" ht="15" customHeight="1" s="30">
      <c r="A88" s="47" t="str">
        <f>IF($D88="","",83)</f>
        <v/>
      </c>
      <c r="B88" s="48" t="str">
        <f>IFERROR(INDEX(전개결과!$O$6:$O$1205,MATCH("R"&amp;83,전개결과!$L$6:$L$1205,0)),"")</f>
        <v/>
      </c>
      <c r="C88" s="40" t="str">
        <f>IF($D88="","",IFERROR(INDEX(전개결과!$P$6:$P$1205,MATCH("R"&amp;83,전개결과!$L$6:$L$1205,0)),""))</f>
        <v/>
      </c>
      <c r="D88" s="40" t="str">
        <f>IFERROR(INDEX(전개결과!$M$6:$M$1205,MATCH("R"&amp;83,전개결과!$L$6:$L$1205,0)),"")</f>
        <v/>
      </c>
      <c r="E88" s="40" t="str">
        <f>IF($D88="","",IFERROR(INDEX(품목목록!$B$3:$B$302,MATCH($D88,품목목록!$A$3:$A$302,0)),""))</f>
        <v/>
      </c>
      <c r="F88" s="47" t="str">
        <f>IF($D88="","",IFERROR(INDEX(품목목록!$D$3:$D$302,MATCH($D88,품목목록!$A$3:$A$302,0)),""))</f>
        <v/>
      </c>
      <c r="G88" s="49" t="str">
        <f>IFERROR(INDEX(전개결과!$N$6:$N$1205,MATCH("R"&amp;83,전개결과!$L$6:$L$1205,0)),"")</f>
        <v/>
      </c>
      <c r="H88" s="40" t="str">
        <f>IF($D88="","",IFERROR(INDEX(전개결과!$Q$6:$Q$1205,MATCH("R"&amp;83,전개결과!$L$6:$L$1205,0)),""))</f>
        <v/>
      </c>
      <c r="J88" s="50" t="b">
        <f>IF(발주접수!$D11="",FALSE(),IF(발주접수!$F11="세트",COUNTIF(세트구성!$G$3:$G$302,발주접수!$D11&amp;"|"&amp;3)&gt;0,2=0))</f>
        <v>0</v>
      </c>
      <c r="K88" s="34" t="str">
        <f>IF($J88=FALSE(),"",COUNTIF($J$6:$J88,TRUE()))</f>
        <v/>
      </c>
      <c r="L88" s="34" t="str">
        <f>IF($K88="","","R"&amp;$K88)</f>
        <v/>
      </c>
      <c r="M88" s="34" t="str">
        <f>IF($J88=FALSE(),"",IF(발주접수!$F11="세트",IFERROR(INDEX(세트구성!$C$3:$C$302,MATCH(발주접수!$D11&amp;"|"&amp;3,세트구성!$G$3:$G$302,0)),""),발주접수!$D11))</f>
        <v/>
      </c>
      <c r="N88" s="34" t="str">
        <f>IF($J88=FALSE(),"",IF(발주접수!$F11="세트",발주접수!$G11*IFERROR(INDEX(세트구성!$E$3:$E$302,MATCH(발주접수!$D11&amp;"|"&amp;3,세트구성!$G$3:$G$302,0)),0),발주접수!$G11))</f>
        <v/>
      </c>
      <c r="O88" s="34" t="str">
        <f>IF($J88=FALSE(),"",발주접수!$B11)</f>
        <v/>
      </c>
      <c r="P88" s="34" t="str">
        <f>IF($J88=FALSE(),"",발주접수!$C11)</f>
        <v/>
      </c>
      <c r="Q88" s="34" t="str">
        <f>IF($J88=FALSE(),"",IF(발주접수!$F11="세트",발주접수!$E11&amp;" 전개","직접 발주"))</f>
        <v/>
      </c>
    </row>
    <row r="89" ht="15" customHeight="1" s="30">
      <c r="A89" s="47" t="str">
        <f>IF($D89="","",84)</f>
        <v/>
      </c>
      <c r="B89" s="48" t="str">
        <f>IFERROR(INDEX(전개결과!$O$6:$O$1205,MATCH("R"&amp;84,전개결과!$L$6:$L$1205,0)),"")</f>
        <v/>
      </c>
      <c r="C89" s="40" t="str">
        <f>IF($D89="","",IFERROR(INDEX(전개결과!$P$6:$P$1205,MATCH("R"&amp;84,전개결과!$L$6:$L$1205,0)),""))</f>
        <v/>
      </c>
      <c r="D89" s="40" t="str">
        <f>IFERROR(INDEX(전개결과!$M$6:$M$1205,MATCH("R"&amp;84,전개결과!$L$6:$L$1205,0)),"")</f>
        <v/>
      </c>
      <c r="E89" s="40" t="str">
        <f>IF($D89="","",IFERROR(INDEX(품목목록!$B$3:$B$302,MATCH($D89,품목목록!$A$3:$A$302,0)),""))</f>
        <v/>
      </c>
      <c r="F89" s="47" t="str">
        <f>IF($D89="","",IFERROR(INDEX(품목목록!$D$3:$D$302,MATCH($D89,품목목록!$A$3:$A$302,0)),""))</f>
        <v/>
      </c>
      <c r="G89" s="49" t="str">
        <f>IFERROR(INDEX(전개결과!$N$6:$N$1205,MATCH("R"&amp;84,전개결과!$L$6:$L$1205,0)),"")</f>
        <v/>
      </c>
      <c r="H89" s="40" t="str">
        <f>IF($D89="","",IFERROR(INDEX(전개결과!$Q$6:$Q$1205,MATCH("R"&amp;84,전개결과!$L$6:$L$1205,0)),""))</f>
        <v/>
      </c>
      <c r="J89" s="50" t="b">
        <f>IF(발주접수!$D11="",FALSE(),IF(발주접수!$F11="세트",COUNTIF(세트구성!$G$3:$G$302,발주접수!$D11&amp;"|"&amp;4)&gt;0,3=0))</f>
        <v>0</v>
      </c>
      <c r="K89" s="34" t="str">
        <f>IF($J89=FALSE(),"",COUNTIF($J$6:$J89,TRUE()))</f>
        <v/>
      </c>
      <c r="L89" s="34" t="str">
        <f>IF($K89="","","R"&amp;$K89)</f>
        <v/>
      </c>
      <c r="M89" s="34" t="str">
        <f>IF($J89=FALSE(),"",IF(발주접수!$F11="세트",IFERROR(INDEX(세트구성!$C$3:$C$302,MATCH(발주접수!$D11&amp;"|"&amp;4,세트구성!$G$3:$G$302,0)),""),발주접수!$D11))</f>
        <v/>
      </c>
      <c r="N89" s="34" t="str">
        <f>IF($J89=FALSE(),"",IF(발주접수!$F11="세트",발주접수!$G11*IFERROR(INDEX(세트구성!$E$3:$E$302,MATCH(발주접수!$D11&amp;"|"&amp;4,세트구성!$G$3:$G$302,0)),0),발주접수!$G11))</f>
        <v/>
      </c>
      <c r="O89" s="34" t="str">
        <f>IF($J89=FALSE(),"",발주접수!$B11)</f>
        <v/>
      </c>
      <c r="P89" s="34" t="str">
        <f>IF($J89=FALSE(),"",발주접수!$C11)</f>
        <v/>
      </c>
      <c r="Q89" s="34" t="str">
        <f>IF($J89=FALSE(),"",IF(발주접수!$F11="세트",발주접수!$E11&amp;" 전개","직접 발주"))</f>
        <v/>
      </c>
    </row>
    <row r="90" ht="15" customHeight="1" s="30">
      <c r="A90" s="47" t="str">
        <f>IF($D90="","",85)</f>
        <v/>
      </c>
      <c r="B90" s="48" t="str">
        <f>IFERROR(INDEX(전개결과!$O$6:$O$1205,MATCH("R"&amp;85,전개결과!$L$6:$L$1205,0)),"")</f>
        <v/>
      </c>
      <c r="C90" s="40" t="str">
        <f>IF($D90="","",IFERROR(INDEX(전개결과!$P$6:$P$1205,MATCH("R"&amp;85,전개결과!$L$6:$L$1205,0)),""))</f>
        <v/>
      </c>
      <c r="D90" s="40" t="str">
        <f>IFERROR(INDEX(전개결과!$M$6:$M$1205,MATCH("R"&amp;85,전개결과!$L$6:$L$1205,0)),"")</f>
        <v/>
      </c>
      <c r="E90" s="40" t="str">
        <f>IF($D90="","",IFERROR(INDEX(품목목록!$B$3:$B$302,MATCH($D90,품목목록!$A$3:$A$302,0)),""))</f>
        <v/>
      </c>
      <c r="F90" s="47" t="str">
        <f>IF($D90="","",IFERROR(INDEX(품목목록!$D$3:$D$302,MATCH($D90,품목목록!$A$3:$A$302,0)),""))</f>
        <v/>
      </c>
      <c r="G90" s="49" t="str">
        <f>IFERROR(INDEX(전개결과!$N$6:$N$1205,MATCH("R"&amp;85,전개결과!$L$6:$L$1205,0)),"")</f>
        <v/>
      </c>
      <c r="H90" s="40" t="str">
        <f>IF($D90="","",IFERROR(INDEX(전개결과!$Q$6:$Q$1205,MATCH("R"&amp;85,전개결과!$L$6:$L$1205,0)),""))</f>
        <v/>
      </c>
      <c r="J90" s="50" t="b">
        <f>IF(발주접수!$D11="",FALSE(),IF(발주접수!$F11="세트",COUNTIF(세트구성!$G$3:$G$302,발주접수!$D11&amp;"|"&amp;5)&gt;0,4=0))</f>
        <v>0</v>
      </c>
      <c r="K90" s="34" t="str">
        <f>IF($J90=FALSE(),"",COUNTIF($J$6:$J90,TRUE()))</f>
        <v/>
      </c>
      <c r="L90" s="34" t="str">
        <f>IF($K90="","","R"&amp;$K90)</f>
        <v/>
      </c>
      <c r="M90" s="34" t="str">
        <f>IF($J90=FALSE(),"",IF(발주접수!$F11="세트",IFERROR(INDEX(세트구성!$C$3:$C$302,MATCH(발주접수!$D11&amp;"|"&amp;5,세트구성!$G$3:$G$302,0)),""),발주접수!$D11))</f>
        <v/>
      </c>
      <c r="N90" s="34" t="str">
        <f>IF($J90=FALSE(),"",IF(발주접수!$F11="세트",발주접수!$G11*IFERROR(INDEX(세트구성!$E$3:$E$302,MATCH(발주접수!$D11&amp;"|"&amp;5,세트구성!$G$3:$G$302,0)),0),발주접수!$G11))</f>
        <v/>
      </c>
      <c r="O90" s="34" t="str">
        <f>IF($J90=FALSE(),"",발주접수!$B11)</f>
        <v/>
      </c>
      <c r="P90" s="34" t="str">
        <f>IF($J90=FALSE(),"",발주접수!$C11)</f>
        <v/>
      </c>
      <c r="Q90" s="34" t="str">
        <f>IF($J90=FALSE(),"",IF(발주접수!$F11="세트",발주접수!$E11&amp;" 전개","직접 발주"))</f>
        <v/>
      </c>
    </row>
    <row r="91" ht="15" customHeight="1" s="30">
      <c r="A91" s="47" t="str">
        <f>IF($D91="","",86)</f>
        <v/>
      </c>
      <c r="B91" s="48" t="str">
        <f>IFERROR(INDEX(전개결과!$O$6:$O$1205,MATCH("R"&amp;86,전개결과!$L$6:$L$1205,0)),"")</f>
        <v/>
      </c>
      <c r="C91" s="40" t="str">
        <f>IF($D91="","",IFERROR(INDEX(전개결과!$P$6:$P$1205,MATCH("R"&amp;86,전개결과!$L$6:$L$1205,0)),""))</f>
        <v/>
      </c>
      <c r="D91" s="40" t="str">
        <f>IFERROR(INDEX(전개결과!$M$6:$M$1205,MATCH("R"&amp;86,전개결과!$L$6:$L$1205,0)),"")</f>
        <v/>
      </c>
      <c r="E91" s="40" t="str">
        <f>IF($D91="","",IFERROR(INDEX(품목목록!$B$3:$B$302,MATCH($D91,품목목록!$A$3:$A$302,0)),""))</f>
        <v/>
      </c>
      <c r="F91" s="47" t="str">
        <f>IF($D91="","",IFERROR(INDEX(품목목록!$D$3:$D$302,MATCH($D91,품목목록!$A$3:$A$302,0)),""))</f>
        <v/>
      </c>
      <c r="G91" s="49" t="str">
        <f>IFERROR(INDEX(전개결과!$N$6:$N$1205,MATCH("R"&amp;86,전개결과!$L$6:$L$1205,0)),"")</f>
        <v/>
      </c>
      <c r="H91" s="40" t="str">
        <f>IF($D91="","",IFERROR(INDEX(전개결과!$Q$6:$Q$1205,MATCH("R"&amp;86,전개결과!$L$6:$L$1205,0)),""))</f>
        <v/>
      </c>
      <c r="J91" s="50" t="b">
        <f>IF(발주접수!$D11="",FALSE(),IF(발주접수!$F11="세트",COUNTIF(세트구성!$G$3:$G$302,발주접수!$D11&amp;"|"&amp;6)&gt;0,5=0))</f>
        <v>0</v>
      </c>
      <c r="K91" s="34" t="str">
        <f>IF($J91=FALSE(),"",COUNTIF($J$6:$J91,TRUE()))</f>
        <v/>
      </c>
      <c r="L91" s="34" t="str">
        <f>IF($K91="","","R"&amp;$K91)</f>
        <v/>
      </c>
      <c r="M91" s="34" t="str">
        <f>IF($J91=FALSE(),"",IF(발주접수!$F11="세트",IFERROR(INDEX(세트구성!$C$3:$C$302,MATCH(발주접수!$D11&amp;"|"&amp;6,세트구성!$G$3:$G$302,0)),""),발주접수!$D11))</f>
        <v/>
      </c>
      <c r="N91" s="34" t="str">
        <f>IF($J91=FALSE(),"",IF(발주접수!$F11="세트",발주접수!$G11*IFERROR(INDEX(세트구성!$E$3:$E$302,MATCH(발주접수!$D11&amp;"|"&amp;6,세트구성!$G$3:$G$302,0)),0),발주접수!$G11))</f>
        <v/>
      </c>
      <c r="O91" s="34" t="str">
        <f>IF($J91=FALSE(),"",발주접수!$B11)</f>
        <v/>
      </c>
      <c r="P91" s="34" t="str">
        <f>IF($J91=FALSE(),"",발주접수!$C11)</f>
        <v/>
      </c>
      <c r="Q91" s="34" t="str">
        <f>IF($J91=FALSE(),"",IF(발주접수!$F11="세트",발주접수!$E11&amp;" 전개","직접 발주"))</f>
        <v/>
      </c>
    </row>
    <row r="92" ht="15" customHeight="1" s="30">
      <c r="A92" s="47" t="str">
        <f>IF($D92="","",87)</f>
        <v/>
      </c>
      <c r="B92" s="48" t="str">
        <f>IFERROR(INDEX(전개결과!$O$6:$O$1205,MATCH("R"&amp;87,전개결과!$L$6:$L$1205,0)),"")</f>
        <v/>
      </c>
      <c r="C92" s="40" t="str">
        <f>IF($D92="","",IFERROR(INDEX(전개결과!$P$6:$P$1205,MATCH("R"&amp;87,전개결과!$L$6:$L$1205,0)),""))</f>
        <v/>
      </c>
      <c r="D92" s="40" t="str">
        <f>IFERROR(INDEX(전개결과!$M$6:$M$1205,MATCH("R"&amp;87,전개결과!$L$6:$L$1205,0)),"")</f>
        <v/>
      </c>
      <c r="E92" s="40" t="str">
        <f>IF($D92="","",IFERROR(INDEX(품목목록!$B$3:$B$302,MATCH($D92,품목목록!$A$3:$A$302,0)),""))</f>
        <v/>
      </c>
      <c r="F92" s="47" t="str">
        <f>IF($D92="","",IFERROR(INDEX(품목목록!$D$3:$D$302,MATCH($D92,품목목록!$A$3:$A$302,0)),""))</f>
        <v/>
      </c>
      <c r="G92" s="49" t="str">
        <f>IFERROR(INDEX(전개결과!$N$6:$N$1205,MATCH("R"&amp;87,전개결과!$L$6:$L$1205,0)),"")</f>
        <v/>
      </c>
      <c r="H92" s="40" t="str">
        <f>IF($D92="","",IFERROR(INDEX(전개결과!$Q$6:$Q$1205,MATCH("R"&amp;87,전개결과!$L$6:$L$1205,0)),""))</f>
        <v/>
      </c>
      <c r="J92" s="50" t="b">
        <f>IF(발주접수!$D11="",FALSE(),IF(발주접수!$F11="세트",COUNTIF(세트구성!$G$3:$G$302,발주접수!$D11&amp;"|"&amp;7)&gt;0,6=0))</f>
        <v>0</v>
      </c>
      <c r="K92" s="34" t="str">
        <f>IF($J92=FALSE(),"",COUNTIF($J$6:$J92,TRUE()))</f>
        <v/>
      </c>
      <c r="L92" s="34" t="str">
        <f>IF($K92="","","R"&amp;$K92)</f>
        <v/>
      </c>
      <c r="M92" s="34" t="str">
        <f>IF($J92=FALSE(),"",IF(발주접수!$F11="세트",IFERROR(INDEX(세트구성!$C$3:$C$302,MATCH(발주접수!$D11&amp;"|"&amp;7,세트구성!$G$3:$G$302,0)),""),발주접수!$D11))</f>
        <v/>
      </c>
      <c r="N92" s="34" t="str">
        <f>IF($J92=FALSE(),"",IF(발주접수!$F11="세트",발주접수!$G11*IFERROR(INDEX(세트구성!$E$3:$E$302,MATCH(발주접수!$D11&amp;"|"&amp;7,세트구성!$G$3:$G$302,0)),0),발주접수!$G11))</f>
        <v/>
      </c>
      <c r="O92" s="34" t="str">
        <f>IF($J92=FALSE(),"",발주접수!$B11)</f>
        <v/>
      </c>
      <c r="P92" s="34" t="str">
        <f>IF($J92=FALSE(),"",발주접수!$C11)</f>
        <v/>
      </c>
      <c r="Q92" s="34" t="str">
        <f>IF($J92=FALSE(),"",IF(발주접수!$F11="세트",발주접수!$E11&amp;" 전개","직접 발주"))</f>
        <v/>
      </c>
    </row>
    <row r="93" ht="15" customHeight="1" s="30">
      <c r="A93" s="47" t="str">
        <f>IF($D93="","",88)</f>
        <v/>
      </c>
      <c r="B93" s="48" t="str">
        <f>IFERROR(INDEX(전개결과!$O$6:$O$1205,MATCH("R"&amp;88,전개결과!$L$6:$L$1205,0)),"")</f>
        <v/>
      </c>
      <c r="C93" s="40" t="str">
        <f>IF($D93="","",IFERROR(INDEX(전개결과!$P$6:$P$1205,MATCH("R"&amp;88,전개결과!$L$6:$L$1205,0)),""))</f>
        <v/>
      </c>
      <c r="D93" s="40" t="str">
        <f>IFERROR(INDEX(전개결과!$M$6:$M$1205,MATCH("R"&amp;88,전개결과!$L$6:$L$1205,0)),"")</f>
        <v/>
      </c>
      <c r="E93" s="40" t="str">
        <f>IF($D93="","",IFERROR(INDEX(품목목록!$B$3:$B$302,MATCH($D93,품목목록!$A$3:$A$302,0)),""))</f>
        <v/>
      </c>
      <c r="F93" s="47" t="str">
        <f>IF($D93="","",IFERROR(INDEX(품목목록!$D$3:$D$302,MATCH($D93,품목목록!$A$3:$A$302,0)),""))</f>
        <v/>
      </c>
      <c r="G93" s="49" t="str">
        <f>IFERROR(INDEX(전개결과!$N$6:$N$1205,MATCH("R"&amp;88,전개결과!$L$6:$L$1205,0)),"")</f>
        <v/>
      </c>
      <c r="H93" s="40" t="str">
        <f>IF($D93="","",IFERROR(INDEX(전개결과!$Q$6:$Q$1205,MATCH("R"&amp;88,전개결과!$L$6:$L$1205,0)),""))</f>
        <v/>
      </c>
      <c r="J93" s="50" t="b">
        <f>IF(발주접수!$D11="",FALSE(),IF(발주접수!$F11="세트",COUNTIF(세트구성!$G$3:$G$302,발주접수!$D11&amp;"|"&amp;8)&gt;0,7=0))</f>
        <v>0</v>
      </c>
      <c r="K93" s="34" t="str">
        <f>IF($J93=FALSE(),"",COUNTIF($J$6:$J93,TRUE()))</f>
        <v/>
      </c>
      <c r="L93" s="34" t="str">
        <f>IF($K93="","","R"&amp;$K93)</f>
        <v/>
      </c>
      <c r="M93" s="34" t="str">
        <f>IF($J93=FALSE(),"",IF(발주접수!$F11="세트",IFERROR(INDEX(세트구성!$C$3:$C$302,MATCH(발주접수!$D11&amp;"|"&amp;8,세트구성!$G$3:$G$302,0)),""),발주접수!$D11))</f>
        <v/>
      </c>
      <c r="N93" s="34" t="str">
        <f>IF($J93=FALSE(),"",IF(발주접수!$F11="세트",발주접수!$G11*IFERROR(INDEX(세트구성!$E$3:$E$302,MATCH(발주접수!$D11&amp;"|"&amp;8,세트구성!$G$3:$G$302,0)),0),발주접수!$G11))</f>
        <v/>
      </c>
      <c r="O93" s="34" t="str">
        <f>IF($J93=FALSE(),"",발주접수!$B11)</f>
        <v/>
      </c>
      <c r="P93" s="34" t="str">
        <f>IF($J93=FALSE(),"",발주접수!$C11)</f>
        <v/>
      </c>
      <c r="Q93" s="34" t="str">
        <f>IF($J93=FALSE(),"",IF(발주접수!$F11="세트",발주접수!$E11&amp;" 전개","직접 발주"))</f>
        <v/>
      </c>
    </row>
    <row r="94" ht="15" customHeight="1" s="30">
      <c r="A94" s="47" t="str">
        <f>IF($D94="","",89)</f>
        <v/>
      </c>
      <c r="B94" s="48" t="str">
        <f>IFERROR(INDEX(전개결과!$O$6:$O$1205,MATCH("R"&amp;89,전개결과!$L$6:$L$1205,0)),"")</f>
        <v/>
      </c>
      <c r="C94" s="40" t="str">
        <f>IF($D94="","",IFERROR(INDEX(전개결과!$P$6:$P$1205,MATCH("R"&amp;89,전개결과!$L$6:$L$1205,0)),""))</f>
        <v/>
      </c>
      <c r="D94" s="40" t="str">
        <f>IFERROR(INDEX(전개결과!$M$6:$M$1205,MATCH("R"&amp;89,전개결과!$L$6:$L$1205,0)),"")</f>
        <v/>
      </c>
      <c r="E94" s="40" t="str">
        <f>IF($D94="","",IFERROR(INDEX(품목목록!$B$3:$B$302,MATCH($D94,품목목록!$A$3:$A$302,0)),""))</f>
        <v/>
      </c>
      <c r="F94" s="47" t="str">
        <f>IF($D94="","",IFERROR(INDEX(품목목록!$D$3:$D$302,MATCH($D94,품목목록!$A$3:$A$302,0)),""))</f>
        <v/>
      </c>
      <c r="G94" s="49" t="str">
        <f>IFERROR(INDEX(전개결과!$N$6:$N$1205,MATCH("R"&amp;89,전개결과!$L$6:$L$1205,0)),"")</f>
        <v/>
      </c>
      <c r="H94" s="40" t="str">
        <f>IF($D94="","",IFERROR(INDEX(전개결과!$Q$6:$Q$1205,MATCH("R"&amp;89,전개결과!$L$6:$L$1205,0)),""))</f>
        <v/>
      </c>
      <c r="J94" s="50" t="b">
        <f>IF(발주접수!$D11="",FALSE(),IF(발주접수!$F11="세트",COUNTIF(세트구성!$G$3:$G$302,발주접수!$D11&amp;"|"&amp;9)&gt;0,8=0))</f>
        <v>0</v>
      </c>
      <c r="K94" s="34" t="str">
        <f>IF($J94=FALSE(),"",COUNTIF($J$6:$J94,TRUE()))</f>
        <v/>
      </c>
      <c r="L94" s="34" t="str">
        <f>IF($K94="","","R"&amp;$K94)</f>
        <v/>
      </c>
      <c r="M94" s="34" t="str">
        <f>IF($J94=FALSE(),"",IF(발주접수!$F11="세트",IFERROR(INDEX(세트구성!$C$3:$C$302,MATCH(발주접수!$D11&amp;"|"&amp;9,세트구성!$G$3:$G$302,0)),""),발주접수!$D11))</f>
        <v/>
      </c>
      <c r="N94" s="34" t="str">
        <f>IF($J94=FALSE(),"",IF(발주접수!$F11="세트",발주접수!$G11*IFERROR(INDEX(세트구성!$E$3:$E$302,MATCH(발주접수!$D11&amp;"|"&amp;9,세트구성!$G$3:$G$302,0)),0),발주접수!$G11))</f>
        <v/>
      </c>
      <c r="O94" s="34" t="str">
        <f>IF($J94=FALSE(),"",발주접수!$B11)</f>
        <v/>
      </c>
      <c r="P94" s="34" t="str">
        <f>IF($J94=FALSE(),"",발주접수!$C11)</f>
        <v/>
      </c>
      <c r="Q94" s="34" t="str">
        <f>IF($J94=FALSE(),"",IF(발주접수!$F11="세트",발주접수!$E11&amp;" 전개","직접 발주"))</f>
        <v/>
      </c>
    </row>
    <row r="95" ht="15" customHeight="1" s="30">
      <c r="A95" s="47" t="str">
        <f>IF($D95="","",90)</f>
        <v/>
      </c>
      <c r="B95" s="48" t="str">
        <f>IFERROR(INDEX(전개결과!$O$6:$O$1205,MATCH("R"&amp;90,전개결과!$L$6:$L$1205,0)),"")</f>
        <v/>
      </c>
      <c r="C95" s="40" t="str">
        <f>IF($D95="","",IFERROR(INDEX(전개결과!$P$6:$P$1205,MATCH("R"&amp;90,전개결과!$L$6:$L$1205,0)),""))</f>
        <v/>
      </c>
      <c r="D95" s="40" t="str">
        <f>IFERROR(INDEX(전개결과!$M$6:$M$1205,MATCH("R"&amp;90,전개결과!$L$6:$L$1205,0)),"")</f>
        <v/>
      </c>
      <c r="E95" s="40" t="str">
        <f>IF($D95="","",IFERROR(INDEX(품목목록!$B$3:$B$302,MATCH($D95,품목목록!$A$3:$A$302,0)),""))</f>
        <v/>
      </c>
      <c r="F95" s="47" t="str">
        <f>IF($D95="","",IFERROR(INDEX(품목목록!$D$3:$D$302,MATCH($D95,품목목록!$A$3:$A$302,0)),""))</f>
        <v/>
      </c>
      <c r="G95" s="49" t="str">
        <f>IFERROR(INDEX(전개결과!$N$6:$N$1205,MATCH("R"&amp;90,전개결과!$L$6:$L$1205,0)),"")</f>
        <v/>
      </c>
      <c r="H95" s="40" t="str">
        <f>IF($D95="","",IFERROR(INDEX(전개결과!$Q$6:$Q$1205,MATCH("R"&amp;90,전개결과!$L$6:$L$1205,0)),""))</f>
        <v/>
      </c>
      <c r="J95" s="50" t="b">
        <f>IF(발주접수!$D11="",FALSE(),IF(발주접수!$F11="세트",COUNTIF(세트구성!$G$3:$G$302,발주접수!$D11&amp;"|"&amp;10)&gt;0,9=0))</f>
        <v>0</v>
      </c>
      <c r="K95" s="34" t="str">
        <f>IF($J95=FALSE(),"",COUNTIF($J$6:$J95,TRUE()))</f>
        <v/>
      </c>
      <c r="L95" s="34" t="str">
        <f>IF($K95="","","R"&amp;$K95)</f>
        <v/>
      </c>
      <c r="M95" s="34" t="str">
        <f>IF($J95=FALSE(),"",IF(발주접수!$F11="세트",IFERROR(INDEX(세트구성!$C$3:$C$302,MATCH(발주접수!$D11&amp;"|"&amp;10,세트구성!$G$3:$G$302,0)),""),발주접수!$D11))</f>
        <v/>
      </c>
      <c r="N95" s="34" t="str">
        <f>IF($J95=FALSE(),"",IF(발주접수!$F11="세트",발주접수!$G11*IFERROR(INDEX(세트구성!$E$3:$E$302,MATCH(발주접수!$D11&amp;"|"&amp;10,세트구성!$G$3:$G$302,0)),0),발주접수!$G11))</f>
        <v/>
      </c>
      <c r="O95" s="34" t="str">
        <f>IF($J95=FALSE(),"",발주접수!$B11)</f>
        <v/>
      </c>
      <c r="P95" s="34" t="str">
        <f>IF($J95=FALSE(),"",발주접수!$C11)</f>
        <v/>
      </c>
      <c r="Q95" s="34" t="str">
        <f>IF($J95=FALSE(),"",IF(발주접수!$F11="세트",발주접수!$E11&amp;" 전개","직접 발주"))</f>
        <v/>
      </c>
    </row>
    <row r="96" ht="15" customHeight="1" s="30">
      <c r="A96" s="47" t="str">
        <f>IF($D96="","",91)</f>
        <v/>
      </c>
      <c r="B96" s="48" t="str">
        <f>IFERROR(INDEX(전개결과!$O$6:$O$1205,MATCH("R"&amp;91,전개결과!$L$6:$L$1205,0)),"")</f>
        <v/>
      </c>
      <c r="C96" s="40" t="str">
        <f>IF($D96="","",IFERROR(INDEX(전개결과!$P$6:$P$1205,MATCH("R"&amp;91,전개결과!$L$6:$L$1205,0)),""))</f>
        <v/>
      </c>
      <c r="D96" s="40" t="str">
        <f>IFERROR(INDEX(전개결과!$M$6:$M$1205,MATCH("R"&amp;91,전개결과!$L$6:$L$1205,0)),"")</f>
        <v/>
      </c>
      <c r="E96" s="40" t="str">
        <f>IF($D96="","",IFERROR(INDEX(품목목록!$B$3:$B$302,MATCH($D96,품목목록!$A$3:$A$302,0)),""))</f>
        <v/>
      </c>
      <c r="F96" s="47" t="str">
        <f>IF($D96="","",IFERROR(INDEX(품목목록!$D$3:$D$302,MATCH($D96,품목목록!$A$3:$A$302,0)),""))</f>
        <v/>
      </c>
      <c r="G96" s="49" t="str">
        <f>IFERROR(INDEX(전개결과!$N$6:$N$1205,MATCH("R"&amp;91,전개결과!$L$6:$L$1205,0)),"")</f>
        <v/>
      </c>
      <c r="H96" s="40" t="str">
        <f>IF($D96="","",IFERROR(INDEX(전개결과!$Q$6:$Q$1205,MATCH("R"&amp;91,전개결과!$L$6:$L$1205,0)),""))</f>
        <v/>
      </c>
      <c r="J96" s="50" t="b">
        <f>IF(발주접수!$D12="",FALSE(),IF(발주접수!$F12="세트",COUNTIF(세트구성!$G$3:$G$302,발주접수!$D12&amp;"|"&amp;1)&gt;0,0=0))</f>
        <v>0</v>
      </c>
      <c r="K96" s="34" t="str">
        <f>IF($J96=FALSE(),"",COUNTIF($J$6:$J96,TRUE()))</f>
        <v/>
      </c>
      <c r="L96" s="34" t="str">
        <f>IF($K96="","","R"&amp;$K96)</f>
        <v/>
      </c>
      <c r="M96" s="34" t="str">
        <f>IF($J96=FALSE(),"",IF(발주접수!$F12="세트",IFERROR(INDEX(세트구성!$C$3:$C$302,MATCH(발주접수!$D12&amp;"|"&amp;1,세트구성!$G$3:$G$302,0)),""),발주접수!$D12))</f>
        <v/>
      </c>
      <c r="N96" s="34" t="str">
        <f>IF($J96=FALSE(),"",IF(발주접수!$F12="세트",발주접수!$G12*IFERROR(INDEX(세트구성!$E$3:$E$302,MATCH(발주접수!$D12&amp;"|"&amp;1,세트구성!$G$3:$G$302,0)),0),발주접수!$G12))</f>
        <v/>
      </c>
      <c r="O96" s="34" t="str">
        <f>IF($J96=FALSE(),"",발주접수!$B12)</f>
        <v/>
      </c>
      <c r="P96" s="34" t="str">
        <f>IF($J96=FALSE(),"",발주접수!$C12)</f>
        <v/>
      </c>
      <c r="Q96" s="34" t="str">
        <f>IF($J96=FALSE(),"",IF(발주접수!$F12="세트",발주접수!$E12&amp;" 전개","직접 발주"))</f>
        <v/>
      </c>
    </row>
    <row r="97" ht="15" customHeight="1" s="30">
      <c r="A97" s="47" t="str">
        <f>IF($D97="","",92)</f>
        <v/>
      </c>
      <c r="B97" s="48" t="str">
        <f>IFERROR(INDEX(전개결과!$O$6:$O$1205,MATCH("R"&amp;92,전개결과!$L$6:$L$1205,0)),"")</f>
        <v/>
      </c>
      <c r="C97" s="40" t="str">
        <f>IF($D97="","",IFERROR(INDEX(전개결과!$P$6:$P$1205,MATCH("R"&amp;92,전개결과!$L$6:$L$1205,0)),""))</f>
        <v/>
      </c>
      <c r="D97" s="40" t="str">
        <f>IFERROR(INDEX(전개결과!$M$6:$M$1205,MATCH("R"&amp;92,전개결과!$L$6:$L$1205,0)),"")</f>
        <v/>
      </c>
      <c r="E97" s="40" t="str">
        <f>IF($D97="","",IFERROR(INDEX(품목목록!$B$3:$B$302,MATCH($D97,품목목록!$A$3:$A$302,0)),""))</f>
        <v/>
      </c>
      <c r="F97" s="47" t="str">
        <f>IF($D97="","",IFERROR(INDEX(품목목록!$D$3:$D$302,MATCH($D97,품목목록!$A$3:$A$302,0)),""))</f>
        <v/>
      </c>
      <c r="G97" s="49" t="str">
        <f>IFERROR(INDEX(전개결과!$N$6:$N$1205,MATCH("R"&amp;92,전개결과!$L$6:$L$1205,0)),"")</f>
        <v/>
      </c>
      <c r="H97" s="40" t="str">
        <f>IF($D97="","",IFERROR(INDEX(전개결과!$Q$6:$Q$1205,MATCH("R"&amp;92,전개결과!$L$6:$L$1205,0)),""))</f>
        <v/>
      </c>
      <c r="J97" s="50" t="b">
        <f>IF(발주접수!$D12="",FALSE(),IF(발주접수!$F12="세트",COUNTIF(세트구성!$G$3:$G$302,발주접수!$D12&amp;"|"&amp;2)&gt;0,1=0))</f>
        <v>0</v>
      </c>
      <c r="K97" s="34" t="str">
        <f>IF($J97=FALSE(),"",COUNTIF($J$6:$J97,TRUE()))</f>
        <v/>
      </c>
      <c r="L97" s="34" t="str">
        <f>IF($K97="","","R"&amp;$K97)</f>
        <v/>
      </c>
      <c r="M97" s="34" t="str">
        <f>IF($J97=FALSE(),"",IF(발주접수!$F12="세트",IFERROR(INDEX(세트구성!$C$3:$C$302,MATCH(발주접수!$D12&amp;"|"&amp;2,세트구성!$G$3:$G$302,0)),""),발주접수!$D12))</f>
        <v/>
      </c>
      <c r="N97" s="34" t="str">
        <f>IF($J97=FALSE(),"",IF(발주접수!$F12="세트",발주접수!$G12*IFERROR(INDEX(세트구성!$E$3:$E$302,MATCH(발주접수!$D12&amp;"|"&amp;2,세트구성!$G$3:$G$302,0)),0),발주접수!$G12))</f>
        <v/>
      </c>
      <c r="O97" s="34" t="str">
        <f>IF($J97=FALSE(),"",발주접수!$B12)</f>
        <v/>
      </c>
      <c r="P97" s="34" t="str">
        <f>IF($J97=FALSE(),"",발주접수!$C12)</f>
        <v/>
      </c>
      <c r="Q97" s="34" t="str">
        <f>IF($J97=FALSE(),"",IF(발주접수!$F12="세트",발주접수!$E12&amp;" 전개","직접 발주"))</f>
        <v/>
      </c>
    </row>
    <row r="98" ht="15" customHeight="1" s="30">
      <c r="A98" s="47" t="str">
        <f>IF($D98="","",93)</f>
        <v/>
      </c>
      <c r="B98" s="48" t="str">
        <f>IFERROR(INDEX(전개결과!$O$6:$O$1205,MATCH("R"&amp;93,전개결과!$L$6:$L$1205,0)),"")</f>
        <v/>
      </c>
      <c r="C98" s="40" t="str">
        <f>IF($D98="","",IFERROR(INDEX(전개결과!$P$6:$P$1205,MATCH("R"&amp;93,전개결과!$L$6:$L$1205,0)),""))</f>
        <v/>
      </c>
      <c r="D98" s="40" t="str">
        <f>IFERROR(INDEX(전개결과!$M$6:$M$1205,MATCH("R"&amp;93,전개결과!$L$6:$L$1205,0)),"")</f>
        <v/>
      </c>
      <c r="E98" s="40" t="str">
        <f>IF($D98="","",IFERROR(INDEX(품목목록!$B$3:$B$302,MATCH($D98,품목목록!$A$3:$A$302,0)),""))</f>
        <v/>
      </c>
      <c r="F98" s="47" t="str">
        <f>IF($D98="","",IFERROR(INDEX(품목목록!$D$3:$D$302,MATCH($D98,품목목록!$A$3:$A$302,0)),""))</f>
        <v/>
      </c>
      <c r="G98" s="49" t="str">
        <f>IFERROR(INDEX(전개결과!$N$6:$N$1205,MATCH("R"&amp;93,전개결과!$L$6:$L$1205,0)),"")</f>
        <v/>
      </c>
      <c r="H98" s="40" t="str">
        <f>IF($D98="","",IFERROR(INDEX(전개결과!$Q$6:$Q$1205,MATCH("R"&amp;93,전개결과!$L$6:$L$1205,0)),""))</f>
        <v/>
      </c>
      <c r="J98" s="50" t="b">
        <f>IF(발주접수!$D12="",FALSE(),IF(발주접수!$F12="세트",COUNTIF(세트구성!$G$3:$G$302,발주접수!$D12&amp;"|"&amp;3)&gt;0,2=0))</f>
        <v>0</v>
      </c>
      <c r="K98" s="34" t="str">
        <f>IF($J98=FALSE(),"",COUNTIF($J$6:$J98,TRUE()))</f>
        <v/>
      </c>
      <c r="L98" s="34" t="str">
        <f>IF($K98="","","R"&amp;$K98)</f>
        <v/>
      </c>
      <c r="M98" s="34" t="str">
        <f>IF($J98=FALSE(),"",IF(발주접수!$F12="세트",IFERROR(INDEX(세트구성!$C$3:$C$302,MATCH(발주접수!$D12&amp;"|"&amp;3,세트구성!$G$3:$G$302,0)),""),발주접수!$D12))</f>
        <v/>
      </c>
      <c r="N98" s="34" t="str">
        <f>IF($J98=FALSE(),"",IF(발주접수!$F12="세트",발주접수!$G12*IFERROR(INDEX(세트구성!$E$3:$E$302,MATCH(발주접수!$D12&amp;"|"&amp;3,세트구성!$G$3:$G$302,0)),0),발주접수!$G12))</f>
        <v/>
      </c>
      <c r="O98" s="34" t="str">
        <f>IF($J98=FALSE(),"",발주접수!$B12)</f>
        <v/>
      </c>
      <c r="P98" s="34" t="str">
        <f>IF($J98=FALSE(),"",발주접수!$C12)</f>
        <v/>
      </c>
      <c r="Q98" s="34" t="str">
        <f>IF($J98=FALSE(),"",IF(발주접수!$F12="세트",발주접수!$E12&amp;" 전개","직접 발주"))</f>
        <v/>
      </c>
    </row>
    <row r="99" ht="15" customHeight="1" s="30">
      <c r="A99" s="47" t="str">
        <f>IF($D99="","",94)</f>
        <v/>
      </c>
      <c r="B99" s="48" t="str">
        <f>IFERROR(INDEX(전개결과!$O$6:$O$1205,MATCH("R"&amp;94,전개결과!$L$6:$L$1205,0)),"")</f>
        <v/>
      </c>
      <c r="C99" s="40" t="str">
        <f>IF($D99="","",IFERROR(INDEX(전개결과!$P$6:$P$1205,MATCH("R"&amp;94,전개결과!$L$6:$L$1205,0)),""))</f>
        <v/>
      </c>
      <c r="D99" s="40" t="str">
        <f>IFERROR(INDEX(전개결과!$M$6:$M$1205,MATCH("R"&amp;94,전개결과!$L$6:$L$1205,0)),"")</f>
        <v/>
      </c>
      <c r="E99" s="40" t="str">
        <f>IF($D99="","",IFERROR(INDEX(품목목록!$B$3:$B$302,MATCH($D99,품목목록!$A$3:$A$302,0)),""))</f>
        <v/>
      </c>
      <c r="F99" s="47" t="str">
        <f>IF($D99="","",IFERROR(INDEX(품목목록!$D$3:$D$302,MATCH($D99,품목목록!$A$3:$A$302,0)),""))</f>
        <v/>
      </c>
      <c r="G99" s="49" t="str">
        <f>IFERROR(INDEX(전개결과!$N$6:$N$1205,MATCH("R"&amp;94,전개결과!$L$6:$L$1205,0)),"")</f>
        <v/>
      </c>
      <c r="H99" s="40" t="str">
        <f>IF($D99="","",IFERROR(INDEX(전개결과!$Q$6:$Q$1205,MATCH("R"&amp;94,전개결과!$L$6:$L$1205,0)),""))</f>
        <v/>
      </c>
      <c r="J99" s="50" t="b">
        <f>IF(발주접수!$D12="",FALSE(),IF(발주접수!$F12="세트",COUNTIF(세트구성!$G$3:$G$302,발주접수!$D12&amp;"|"&amp;4)&gt;0,3=0))</f>
        <v>0</v>
      </c>
      <c r="K99" s="34" t="str">
        <f>IF($J99=FALSE(),"",COUNTIF($J$6:$J99,TRUE()))</f>
        <v/>
      </c>
      <c r="L99" s="34" t="str">
        <f>IF($K99="","","R"&amp;$K99)</f>
        <v/>
      </c>
      <c r="M99" s="34" t="str">
        <f>IF($J99=FALSE(),"",IF(발주접수!$F12="세트",IFERROR(INDEX(세트구성!$C$3:$C$302,MATCH(발주접수!$D12&amp;"|"&amp;4,세트구성!$G$3:$G$302,0)),""),발주접수!$D12))</f>
        <v/>
      </c>
      <c r="N99" s="34" t="str">
        <f>IF($J99=FALSE(),"",IF(발주접수!$F12="세트",발주접수!$G12*IFERROR(INDEX(세트구성!$E$3:$E$302,MATCH(발주접수!$D12&amp;"|"&amp;4,세트구성!$G$3:$G$302,0)),0),발주접수!$G12))</f>
        <v/>
      </c>
      <c r="O99" s="34" t="str">
        <f>IF($J99=FALSE(),"",발주접수!$B12)</f>
        <v/>
      </c>
      <c r="P99" s="34" t="str">
        <f>IF($J99=FALSE(),"",발주접수!$C12)</f>
        <v/>
      </c>
      <c r="Q99" s="34" t="str">
        <f>IF($J99=FALSE(),"",IF(발주접수!$F12="세트",발주접수!$E12&amp;" 전개","직접 발주"))</f>
        <v/>
      </c>
    </row>
    <row r="100" ht="15" customHeight="1" s="30">
      <c r="A100" s="47" t="str">
        <f>IF($D100="","",95)</f>
        <v/>
      </c>
      <c r="B100" s="48" t="str">
        <f>IFERROR(INDEX(전개결과!$O$6:$O$1205,MATCH("R"&amp;95,전개결과!$L$6:$L$1205,0)),"")</f>
        <v/>
      </c>
      <c r="C100" s="40" t="str">
        <f>IF($D100="","",IFERROR(INDEX(전개결과!$P$6:$P$1205,MATCH("R"&amp;95,전개결과!$L$6:$L$1205,0)),""))</f>
        <v/>
      </c>
      <c r="D100" s="40" t="str">
        <f>IFERROR(INDEX(전개결과!$M$6:$M$1205,MATCH("R"&amp;95,전개결과!$L$6:$L$1205,0)),"")</f>
        <v/>
      </c>
      <c r="E100" s="40" t="str">
        <f>IF($D100="","",IFERROR(INDEX(품목목록!$B$3:$B$302,MATCH($D100,품목목록!$A$3:$A$302,0)),""))</f>
        <v/>
      </c>
      <c r="F100" s="47" t="str">
        <f>IF($D100="","",IFERROR(INDEX(품목목록!$D$3:$D$302,MATCH($D100,품목목록!$A$3:$A$302,0)),""))</f>
        <v/>
      </c>
      <c r="G100" s="49" t="str">
        <f>IFERROR(INDEX(전개결과!$N$6:$N$1205,MATCH("R"&amp;95,전개결과!$L$6:$L$1205,0)),"")</f>
        <v/>
      </c>
      <c r="H100" s="40" t="str">
        <f>IF($D100="","",IFERROR(INDEX(전개결과!$Q$6:$Q$1205,MATCH("R"&amp;95,전개결과!$L$6:$L$1205,0)),""))</f>
        <v/>
      </c>
      <c r="J100" s="50" t="b">
        <f>IF(발주접수!$D12="",FALSE(),IF(발주접수!$F12="세트",COUNTIF(세트구성!$G$3:$G$302,발주접수!$D12&amp;"|"&amp;5)&gt;0,4=0))</f>
        <v>0</v>
      </c>
      <c r="K100" s="34" t="str">
        <f>IF($J100=FALSE(),"",COUNTIF($J$6:$J100,TRUE()))</f>
        <v/>
      </c>
      <c r="L100" s="34" t="str">
        <f>IF($K100="","","R"&amp;$K100)</f>
        <v/>
      </c>
      <c r="M100" s="34" t="str">
        <f>IF($J100=FALSE(),"",IF(발주접수!$F12="세트",IFERROR(INDEX(세트구성!$C$3:$C$302,MATCH(발주접수!$D12&amp;"|"&amp;5,세트구성!$G$3:$G$302,0)),""),발주접수!$D12))</f>
        <v/>
      </c>
      <c r="N100" s="34" t="str">
        <f>IF($J100=FALSE(),"",IF(발주접수!$F12="세트",발주접수!$G12*IFERROR(INDEX(세트구성!$E$3:$E$302,MATCH(발주접수!$D12&amp;"|"&amp;5,세트구성!$G$3:$G$302,0)),0),발주접수!$G12))</f>
        <v/>
      </c>
      <c r="O100" s="34" t="str">
        <f>IF($J100=FALSE(),"",발주접수!$B12)</f>
        <v/>
      </c>
      <c r="P100" s="34" t="str">
        <f>IF($J100=FALSE(),"",발주접수!$C12)</f>
        <v/>
      </c>
      <c r="Q100" s="34" t="str">
        <f>IF($J100=FALSE(),"",IF(발주접수!$F12="세트",발주접수!$E12&amp;" 전개","직접 발주"))</f>
        <v/>
      </c>
    </row>
    <row r="101" ht="15" customHeight="1" s="30">
      <c r="A101" s="47" t="str">
        <f>IF($D101="","",96)</f>
        <v/>
      </c>
      <c r="B101" s="48" t="str">
        <f>IFERROR(INDEX(전개결과!$O$6:$O$1205,MATCH("R"&amp;96,전개결과!$L$6:$L$1205,0)),"")</f>
        <v/>
      </c>
      <c r="C101" s="40" t="str">
        <f>IF($D101="","",IFERROR(INDEX(전개결과!$P$6:$P$1205,MATCH("R"&amp;96,전개결과!$L$6:$L$1205,0)),""))</f>
        <v/>
      </c>
      <c r="D101" s="40" t="str">
        <f>IFERROR(INDEX(전개결과!$M$6:$M$1205,MATCH("R"&amp;96,전개결과!$L$6:$L$1205,0)),"")</f>
        <v/>
      </c>
      <c r="E101" s="40" t="str">
        <f>IF($D101="","",IFERROR(INDEX(품목목록!$B$3:$B$302,MATCH($D101,품목목록!$A$3:$A$302,0)),""))</f>
        <v/>
      </c>
      <c r="F101" s="47" t="str">
        <f>IF($D101="","",IFERROR(INDEX(품목목록!$D$3:$D$302,MATCH($D101,품목목록!$A$3:$A$302,0)),""))</f>
        <v/>
      </c>
      <c r="G101" s="49" t="str">
        <f>IFERROR(INDEX(전개결과!$N$6:$N$1205,MATCH("R"&amp;96,전개결과!$L$6:$L$1205,0)),"")</f>
        <v/>
      </c>
      <c r="H101" s="40" t="str">
        <f>IF($D101="","",IFERROR(INDEX(전개결과!$Q$6:$Q$1205,MATCH("R"&amp;96,전개결과!$L$6:$L$1205,0)),""))</f>
        <v/>
      </c>
      <c r="J101" s="50" t="b">
        <f>IF(발주접수!$D12="",FALSE(),IF(발주접수!$F12="세트",COUNTIF(세트구성!$G$3:$G$302,발주접수!$D12&amp;"|"&amp;6)&gt;0,5=0))</f>
        <v>0</v>
      </c>
      <c r="K101" s="34" t="str">
        <f>IF($J101=FALSE(),"",COUNTIF($J$6:$J101,TRUE()))</f>
        <v/>
      </c>
      <c r="L101" s="34" t="str">
        <f>IF($K101="","","R"&amp;$K101)</f>
        <v/>
      </c>
      <c r="M101" s="34" t="str">
        <f>IF($J101=FALSE(),"",IF(발주접수!$F12="세트",IFERROR(INDEX(세트구성!$C$3:$C$302,MATCH(발주접수!$D12&amp;"|"&amp;6,세트구성!$G$3:$G$302,0)),""),발주접수!$D12))</f>
        <v/>
      </c>
      <c r="N101" s="34" t="str">
        <f>IF($J101=FALSE(),"",IF(발주접수!$F12="세트",발주접수!$G12*IFERROR(INDEX(세트구성!$E$3:$E$302,MATCH(발주접수!$D12&amp;"|"&amp;6,세트구성!$G$3:$G$302,0)),0),발주접수!$G12))</f>
        <v/>
      </c>
      <c r="O101" s="34" t="str">
        <f>IF($J101=FALSE(),"",발주접수!$B12)</f>
        <v/>
      </c>
      <c r="P101" s="34" t="str">
        <f>IF($J101=FALSE(),"",발주접수!$C12)</f>
        <v/>
      </c>
      <c r="Q101" s="34" t="str">
        <f>IF($J101=FALSE(),"",IF(발주접수!$F12="세트",발주접수!$E12&amp;" 전개","직접 발주"))</f>
        <v/>
      </c>
    </row>
    <row r="102" ht="15" customHeight="1" s="30">
      <c r="A102" s="47" t="str">
        <f>IF($D102="","",97)</f>
        <v/>
      </c>
      <c r="B102" s="48" t="str">
        <f>IFERROR(INDEX(전개결과!$O$6:$O$1205,MATCH("R"&amp;97,전개결과!$L$6:$L$1205,0)),"")</f>
        <v/>
      </c>
      <c r="C102" s="40" t="str">
        <f>IF($D102="","",IFERROR(INDEX(전개결과!$P$6:$P$1205,MATCH("R"&amp;97,전개결과!$L$6:$L$1205,0)),""))</f>
        <v/>
      </c>
      <c r="D102" s="40" t="str">
        <f>IFERROR(INDEX(전개결과!$M$6:$M$1205,MATCH("R"&amp;97,전개결과!$L$6:$L$1205,0)),"")</f>
        <v/>
      </c>
      <c r="E102" s="40" t="str">
        <f>IF($D102="","",IFERROR(INDEX(품목목록!$B$3:$B$302,MATCH($D102,품목목록!$A$3:$A$302,0)),""))</f>
        <v/>
      </c>
      <c r="F102" s="47" t="str">
        <f>IF($D102="","",IFERROR(INDEX(품목목록!$D$3:$D$302,MATCH($D102,품목목록!$A$3:$A$302,0)),""))</f>
        <v/>
      </c>
      <c r="G102" s="49" t="str">
        <f>IFERROR(INDEX(전개결과!$N$6:$N$1205,MATCH("R"&amp;97,전개결과!$L$6:$L$1205,0)),"")</f>
        <v/>
      </c>
      <c r="H102" s="40" t="str">
        <f>IF($D102="","",IFERROR(INDEX(전개결과!$Q$6:$Q$1205,MATCH("R"&amp;97,전개결과!$L$6:$L$1205,0)),""))</f>
        <v/>
      </c>
      <c r="J102" s="50" t="b">
        <f>IF(발주접수!$D12="",FALSE(),IF(발주접수!$F12="세트",COUNTIF(세트구성!$G$3:$G$302,발주접수!$D12&amp;"|"&amp;7)&gt;0,6=0))</f>
        <v>0</v>
      </c>
      <c r="K102" s="34" t="str">
        <f>IF($J102=FALSE(),"",COUNTIF($J$6:$J102,TRUE()))</f>
        <v/>
      </c>
      <c r="L102" s="34" t="str">
        <f>IF($K102="","","R"&amp;$K102)</f>
        <v/>
      </c>
      <c r="M102" s="34" t="str">
        <f>IF($J102=FALSE(),"",IF(발주접수!$F12="세트",IFERROR(INDEX(세트구성!$C$3:$C$302,MATCH(발주접수!$D12&amp;"|"&amp;7,세트구성!$G$3:$G$302,0)),""),발주접수!$D12))</f>
        <v/>
      </c>
      <c r="N102" s="34" t="str">
        <f>IF($J102=FALSE(),"",IF(발주접수!$F12="세트",발주접수!$G12*IFERROR(INDEX(세트구성!$E$3:$E$302,MATCH(발주접수!$D12&amp;"|"&amp;7,세트구성!$G$3:$G$302,0)),0),발주접수!$G12))</f>
        <v/>
      </c>
      <c r="O102" s="34" t="str">
        <f>IF($J102=FALSE(),"",발주접수!$B12)</f>
        <v/>
      </c>
      <c r="P102" s="34" t="str">
        <f>IF($J102=FALSE(),"",발주접수!$C12)</f>
        <v/>
      </c>
      <c r="Q102" s="34" t="str">
        <f>IF($J102=FALSE(),"",IF(발주접수!$F12="세트",발주접수!$E12&amp;" 전개","직접 발주"))</f>
        <v/>
      </c>
    </row>
    <row r="103" ht="15" customHeight="1" s="30">
      <c r="A103" s="47" t="str">
        <f>IF($D103="","",98)</f>
        <v/>
      </c>
      <c r="B103" s="48" t="str">
        <f>IFERROR(INDEX(전개결과!$O$6:$O$1205,MATCH("R"&amp;98,전개결과!$L$6:$L$1205,0)),"")</f>
        <v/>
      </c>
      <c r="C103" s="40" t="str">
        <f>IF($D103="","",IFERROR(INDEX(전개결과!$P$6:$P$1205,MATCH("R"&amp;98,전개결과!$L$6:$L$1205,0)),""))</f>
        <v/>
      </c>
      <c r="D103" s="40" t="str">
        <f>IFERROR(INDEX(전개결과!$M$6:$M$1205,MATCH("R"&amp;98,전개결과!$L$6:$L$1205,0)),"")</f>
        <v/>
      </c>
      <c r="E103" s="40" t="str">
        <f>IF($D103="","",IFERROR(INDEX(품목목록!$B$3:$B$302,MATCH($D103,품목목록!$A$3:$A$302,0)),""))</f>
        <v/>
      </c>
      <c r="F103" s="47" t="str">
        <f>IF($D103="","",IFERROR(INDEX(품목목록!$D$3:$D$302,MATCH($D103,품목목록!$A$3:$A$302,0)),""))</f>
        <v/>
      </c>
      <c r="G103" s="49" t="str">
        <f>IFERROR(INDEX(전개결과!$N$6:$N$1205,MATCH("R"&amp;98,전개결과!$L$6:$L$1205,0)),"")</f>
        <v/>
      </c>
      <c r="H103" s="40" t="str">
        <f>IF($D103="","",IFERROR(INDEX(전개결과!$Q$6:$Q$1205,MATCH("R"&amp;98,전개결과!$L$6:$L$1205,0)),""))</f>
        <v/>
      </c>
      <c r="J103" s="50" t="b">
        <f>IF(발주접수!$D12="",FALSE(),IF(발주접수!$F12="세트",COUNTIF(세트구성!$G$3:$G$302,발주접수!$D12&amp;"|"&amp;8)&gt;0,7=0))</f>
        <v>0</v>
      </c>
      <c r="K103" s="34" t="str">
        <f>IF($J103=FALSE(),"",COUNTIF($J$6:$J103,TRUE()))</f>
        <v/>
      </c>
      <c r="L103" s="34" t="str">
        <f>IF($K103="","","R"&amp;$K103)</f>
        <v/>
      </c>
      <c r="M103" s="34" t="str">
        <f>IF($J103=FALSE(),"",IF(발주접수!$F12="세트",IFERROR(INDEX(세트구성!$C$3:$C$302,MATCH(발주접수!$D12&amp;"|"&amp;8,세트구성!$G$3:$G$302,0)),""),발주접수!$D12))</f>
        <v/>
      </c>
      <c r="N103" s="34" t="str">
        <f>IF($J103=FALSE(),"",IF(발주접수!$F12="세트",발주접수!$G12*IFERROR(INDEX(세트구성!$E$3:$E$302,MATCH(발주접수!$D12&amp;"|"&amp;8,세트구성!$G$3:$G$302,0)),0),발주접수!$G12))</f>
        <v/>
      </c>
      <c r="O103" s="34" t="str">
        <f>IF($J103=FALSE(),"",발주접수!$B12)</f>
        <v/>
      </c>
      <c r="P103" s="34" t="str">
        <f>IF($J103=FALSE(),"",발주접수!$C12)</f>
        <v/>
      </c>
      <c r="Q103" s="34" t="str">
        <f>IF($J103=FALSE(),"",IF(발주접수!$F12="세트",발주접수!$E12&amp;" 전개","직접 발주"))</f>
        <v/>
      </c>
    </row>
    <row r="104" ht="15" customHeight="1" s="30">
      <c r="A104" s="47" t="str">
        <f>IF($D104="","",99)</f>
        <v/>
      </c>
      <c r="B104" s="48" t="str">
        <f>IFERROR(INDEX(전개결과!$O$6:$O$1205,MATCH("R"&amp;99,전개결과!$L$6:$L$1205,0)),"")</f>
        <v/>
      </c>
      <c r="C104" s="40" t="str">
        <f>IF($D104="","",IFERROR(INDEX(전개결과!$P$6:$P$1205,MATCH("R"&amp;99,전개결과!$L$6:$L$1205,0)),""))</f>
        <v/>
      </c>
      <c r="D104" s="40" t="str">
        <f>IFERROR(INDEX(전개결과!$M$6:$M$1205,MATCH("R"&amp;99,전개결과!$L$6:$L$1205,0)),"")</f>
        <v/>
      </c>
      <c r="E104" s="40" t="str">
        <f>IF($D104="","",IFERROR(INDEX(품목목록!$B$3:$B$302,MATCH($D104,품목목록!$A$3:$A$302,0)),""))</f>
        <v/>
      </c>
      <c r="F104" s="47" t="str">
        <f>IF($D104="","",IFERROR(INDEX(품목목록!$D$3:$D$302,MATCH($D104,품목목록!$A$3:$A$302,0)),""))</f>
        <v/>
      </c>
      <c r="G104" s="49" t="str">
        <f>IFERROR(INDEX(전개결과!$N$6:$N$1205,MATCH("R"&amp;99,전개결과!$L$6:$L$1205,0)),"")</f>
        <v/>
      </c>
      <c r="H104" s="40" t="str">
        <f>IF($D104="","",IFERROR(INDEX(전개결과!$Q$6:$Q$1205,MATCH("R"&amp;99,전개결과!$L$6:$L$1205,0)),""))</f>
        <v/>
      </c>
      <c r="J104" s="50" t="b">
        <f>IF(발주접수!$D12="",FALSE(),IF(발주접수!$F12="세트",COUNTIF(세트구성!$G$3:$G$302,발주접수!$D12&amp;"|"&amp;9)&gt;0,8=0))</f>
        <v>0</v>
      </c>
      <c r="K104" s="34" t="str">
        <f>IF($J104=FALSE(),"",COUNTIF($J$6:$J104,TRUE()))</f>
        <v/>
      </c>
      <c r="L104" s="34" t="str">
        <f>IF($K104="","","R"&amp;$K104)</f>
        <v/>
      </c>
      <c r="M104" s="34" t="str">
        <f>IF($J104=FALSE(),"",IF(발주접수!$F12="세트",IFERROR(INDEX(세트구성!$C$3:$C$302,MATCH(발주접수!$D12&amp;"|"&amp;9,세트구성!$G$3:$G$302,0)),""),발주접수!$D12))</f>
        <v/>
      </c>
      <c r="N104" s="34" t="str">
        <f>IF($J104=FALSE(),"",IF(발주접수!$F12="세트",발주접수!$G12*IFERROR(INDEX(세트구성!$E$3:$E$302,MATCH(발주접수!$D12&amp;"|"&amp;9,세트구성!$G$3:$G$302,0)),0),발주접수!$G12))</f>
        <v/>
      </c>
      <c r="O104" s="34" t="str">
        <f>IF($J104=FALSE(),"",발주접수!$B12)</f>
        <v/>
      </c>
      <c r="P104" s="34" t="str">
        <f>IF($J104=FALSE(),"",발주접수!$C12)</f>
        <v/>
      </c>
      <c r="Q104" s="34" t="str">
        <f>IF($J104=FALSE(),"",IF(발주접수!$F12="세트",발주접수!$E12&amp;" 전개","직접 발주"))</f>
        <v/>
      </c>
    </row>
    <row r="105" ht="15" customHeight="1" s="30">
      <c r="A105" s="47" t="str">
        <f>IF($D105="","",100)</f>
        <v/>
      </c>
      <c r="B105" s="48" t="str">
        <f>IFERROR(INDEX(전개결과!$O$6:$O$1205,MATCH("R"&amp;100,전개결과!$L$6:$L$1205,0)),"")</f>
        <v/>
      </c>
      <c r="C105" s="40" t="str">
        <f>IF($D105="","",IFERROR(INDEX(전개결과!$P$6:$P$1205,MATCH("R"&amp;100,전개결과!$L$6:$L$1205,0)),""))</f>
        <v/>
      </c>
      <c r="D105" s="40" t="str">
        <f>IFERROR(INDEX(전개결과!$M$6:$M$1205,MATCH("R"&amp;100,전개결과!$L$6:$L$1205,0)),"")</f>
        <v/>
      </c>
      <c r="E105" s="40" t="str">
        <f>IF($D105="","",IFERROR(INDEX(품목목록!$B$3:$B$302,MATCH($D105,품목목록!$A$3:$A$302,0)),""))</f>
        <v/>
      </c>
      <c r="F105" s="47" t="str">
        <f>IF($D105="","",IFERROR(INDEX(품목목록!$D$3:$D$302,MATCH($D105,품목목록!$A$3:$A$302,0)),""))</f>
        <v/>
      </c>
      <c r="G105" s="49" t="str">
        <f>IFERROR(INDEX(전개결과!$N$6:$N$1205,MATCH("R"&amp;100,전개결과!$L$6:$L$1205,0)),"")</f>
        <v/>
      </c>
      <c r="H105" s="40" t="str">
        <f>IF($D105="","",IFERROR(INDEX(전개결과!$Q$6:$Q$1205,MATCH("R"&amp;100,전개결과!$L$6:$L$1205,0)),""))</f>
        <v/>
      </c>
      <c r="J105" s="50" t="b">
        <f>IF(발주접수!$D12="",FALSE(),IF(발주접수!$F12="세트",COUNTIF(세트구성!$G$3:$G$302,발주접수!$D12&amp;"|"&amp;10)&gt;0,9=0))</f>
        <v>0</v>
      </c>
      <c r="K105" s="34" t="str">
        <f>IF($J105=FALSE(),"",COUNTIF($J$6:$J105,TRUE()))</f>
        <v/>
      </c>
      <c r="L105" s="34" t="str">
        <f>IF($K105="","","R"&amp;$K105)</f>
        <v/>
      </c>
      <c r="M105" s="34" t="str">
        <f>IF($J105=FALSE(),"",IF(발주접수!$F12="세트",IFERROR(INDEX(세트구성!$C$3:$C$302,MATCH(발주접수!$D12&amp;"|"&amp;10,세트구성!$G$3:$G$302,0)),""),발주접수!$D12))</f>
        <v/>
      </c>
      <c r="N105" s="34" t="str">
        <f>IF($J105=FALSE(),"",IF(발주접수!$F12="세트",발주접수!$G12*IFERROR(INDEX(세트구성!$E$3:$E$302,MATCH(발주접수!$D12&amp;"|"&amp;10,세트구성!$G$3:$G$302,0)),0),발주접수!$G12))</f>
        <v/>
      </c>
      <c r="O105" s="34" t="str">
        <f>IF($J105=FALSE(),"",발주접수!$B12)</f>
        <v/>
      </c>
      <c r="P105" s="34" t="str">
        <f>IF($J105=FALSE(),"",발주접수!$C12)</f>
        <v/>
      </c>
      <c r="Q105" s="34" t="str">
        <f>IF($J105=FALSE(),"",IF(발주접수!$F12="세트",발주접수!$E12&amp;" 전개","직접 발주"))</f>
        <v/>
      </c>
    </row>
    <row r="106" ht="15" customHeight="1" s="30">
      <c r="A106" s="47" t="str">
        <f>IF($D106="","",101)</f>
        <v/>
      </c>
      <c r="B106" s="48" t="str">
        <f>IFERROR(INDEX(전개결과!$O$6:$O$1205,MATCH("R"&amp;101,전개결과!$L$6:$L$1205,0)),"")</f>
        <v/>
      </c>
      <c r="C106" s="40" t="str">
        <f>IF($D106="","",IFERROR(INDEX(전개결과!$P$6:$P$1205,MATCH("R"&amp;101,전개결과!$L$6:$L$1205,0)),""))</f>
        <v/>
      </c>
      <c r="D106" s="40" t="str">
        <f>IFERROR(INDEX(전개결과!$M$6:$M$1205,MATCH("R"&amp;101,전개결과!$L$6:$L$1205,0)),"")</f>
        <v/>
      </c>
      <c r="E106" s="40" t="str">
        <f>IF($D106="","",IFERROR(INDEX(품목목록!$B$3:$B$302,MATCH($D106,품목목록!$A$3:$A$302,0)),""))</f>
        <v/>
      </c>
      <c r="F106" s="47" t="str">
        <f>IF($D106="","",IFERROR(INDEX(품목목록!$D$3:$D$302,MATCH($D106,품목목록!$A$3:$A$302,0)),""))</f>
        <v/>
      </c>
      <c r="G106" s="49" t="str">
        <f>IFERROR(INDEX(전개결과!$N$6:$N$1205,MATCH("R"&amp;101,전개결과!$L$6:$L$1205,0)),"")</f>
        <v/>
      </c>
      <c r="H106" s="40" t="str">
        <f>IF($D106="","",IFERROR(INDEX(전개결과!$Q$6:$Q$1205,MATCH("R"&amp;101,전개결과!$L$6:$L$1205,0)),""))</f>
        <v/>
      </c>
      <c r="J106" s="50" t="b">
        <f>IF(발주접수!$D13="",FALSE(),IF(발주접수!$F13="세트",COUNTIF(세트구성!$G$3:$G$302,발주접수!$D13&amp;"|"&amp;1)&gt;0,0=0))</f>
        <v>0</v>
      </c>
      <c r="K106" s="34" t="str">
        <f>IF($J106=FALSE(),"",COUNTIF($J$6:$J106,TRUE()))</f>
        <v/>
      </c>
      <c r="L106" s="34" t="str">
        <f>IF($K106="","","R"&amp;$K106)</f>
        <v/>
      </c>
      <c r="M106" s="34" t="str">
        <f>IF($J106=FALSE(),"",IF(발주접수!$F13="세트",IFERROR(INDEX(세트구성!$C$3:$C$302,MATCH(발주접수!$D13&amp;"|"&amp;1,세트구성!$G$3:$G$302,0)),""),발주접수!$D13))</f>
        <v/>
      </c>
      <c r="N106" s="34" t="str">
        <f>IF($J106=FALSE(),"",IF(발주접수!$F13="세트",발주접수!$G13*IFERROR(INDEX(세트구성!$E$3:$E$302,MATCH(발주접수!$D13&amp;"|"&amp;1,세트구성!$G$3:$G$302,0)),0),발주접수!$G13))</f>
        <v/>
      </c>
      <c r="O106" s="34" t="str">
        <f>IF($J106=FALSE(),"",발주접수!$B13)</f>
        <v/>
      </c>
      <c r="P106" s="34" t="str">
        <f>IF($J106=FALSE(),"",발주접수!$C13)</f>
        <v/>
      </c>
      <c r="Q106" s="34" t="str">
        <f>IF($J106=FALSE(),"",IF(발주접수!$F13="세트",발주접수!$E13&amp;" 전개","직접 발주"))</f>
        <v/>
      </c>
    </row>
    <row r="107" ht="15" customHeight="1" s="30">
      <c r="A107" s="47" t="str">
        <f>IF($D107="","",102)</f>
        <v/>
      </c>
      <c r="B107" s="48" t="str">
        <f>IFERROR(INDEX(전개결과!$O$6:$O$1205,MATCH("R"&amp;102,전개결과!$L$6:$L$1205,0)),"")</f>
        <v/>
      </c>
      <c r="C107" s="40" t="str">
        <f>IF($D107="","",IFERROR(INDEX(전개결과!$P$6:$P$1205,MATCH("R"&amp;102,전개결과!$L$6:$L$1205,0)),""))</f>
        <v/>
      </c>
      <c r="D107" s="40" t="str">
        <f>IFERROR(INDEX(전개결과!$M$6:$M$1205,MATCH("R"&amp;102,전개결과!$L$6:$L$1205,0)),"")</f>
        <v/>
      </c>
      <c r="E107" s="40" t="str">
        <f>IF($D107="","",IFERROR(INDEX(품목목록!$B$3:$B$302,MATCH($D107,품목목록!$A$3:$A$302,0)),""))</f>
        <v/>
      </c>
      <c r="F107" s="47" t="str">
        <f>IF($D107="","",IFERROR(INDEX(품목목록!$D$3:$D$302,MATCH($D107,품목목록!$A$3:$A$302,0)),""))</f>
        <v/>
      </c>
      <c r="G107" s="49" t="str">
        <f>IFERROR(INDEX(전개결과!$N$6:$N$1205,MATCH("R"&amp;102,전개결과!$L$6:$L$1205,0)),"")</f>
        <v/>
      </c>
      <c r="H107" s="40" t="str">
        <f>IF($D107="","",IFERROR(INDEX(전개결과!$Q$6:$Q$1205,MATCH("R"&amp;102,전개결과!$L$6:$L$1205,0)),""))</f>
        <v/>
      </c>
      <c r="J107" s="50" t="b">
        <f>IF(발주접수!$D13="",FALSE(),IF(발주접수!$F13="세트",COUNTIF(세트구성!$G$3:$G$302,발주접수!$D13&amp;"|"&amp;2)&gt;0,1=0))</f>
        <v>0</v>
      </c>
      <c r="K107" s="34" t="str">
        <f>IF($J107=FALSE(),"",COUNTIF($J$6:$J107,TRUE()))</f>
        <v/>
      </c>
      <c r="L107" s="34" t="str">
        <f>IF($K107="","","R"&amp;$K107)</f>
        <v/>
      </c>
      <c r="M107" s="34" t="str">
        <f>IF($J107=FALSE(),"",IF(발주접수!$F13="세트",IFERROR(INDEX(세트구성!$C$3:$C$302,MATCH(발주접수!$D13&amp;"|"&amp;2,세트구성!$G$3:$G$302,0)),""),발주접수!$D13))</f>
        <v/>
      </c>
      <c r="N107" s="34" t="str">
        <f>IF($J107=FALSE(),"",IF(발주접수!$F13="세트",발주접수!$G13*IFERROR(INDEX(세트구성!$E$3:$E$302,MATCH(발주접수!$D13&amp;"|"&amp;2,세트구성!$G$3:$G$302,0)),0),발주접수!$G13))</f>
        <v/>
      </c>
      <c r="O107" s="34" t="str">
        <f>IF($J107=FALSE(),"",발주접수!$B13)</f>
        <v/>
      </c>
      <c r="P107" s="34" t="str">
        <f>IF($J107=FALSE(),"",발주접수!$C13)</f>
        <v/>
      </c>
      <c r="Q107" s="34" t="str">
        <f>IF($J107=FALSE(),"",IF(발주접수!$F13="세트",발주접수!$E13&amp;" 전개","직접 발주"))</f>
        <v/>
      </c>
    </row>
    <row r="108" ht="15" customHeight="1" s="30">
      <c r="A108" s="47" t="str">
        <f>IF($D108="","",103)</f>
        <v/>
      </c>
      <c r="B108" s="48" t="str">
        <f>IFERROR(INDEX(전개결과!$O$6:$O$1205,MATCH("R"&amp;103,전개결과!$L$6:$L$1205,0)),"")</f>
        <v/>
      </c>
      <c r="C108" s="40" t="str">
        <f>IF($D108="","",IFERROR(INDEX(전개결과!$P$6:$P$1205,MATCH("R"&amp;103,전개결과!$L$6:$L$1205,0)),""))</f>
        <v/>
      </c>
      <c r="D108" s="40" t="str">
        <f>IFERROR(INDEX(전개결과!$M$6:$M$1205,MATCH("R"&amp;103,전개결과!$L$6:$L$1205,0)),"")</f>
        <v/>
      </c>
      <c r="E108" s="40" t="str">
        <f>IF($D108="","",IFERROR(INDEX(품목목록!$B$3:$B$302,MATCH($D108,품목목록!$A$3:$A$302,0)),""))</f>
        <v/>
      </c>
      <c r="F108" s="47" t="str">
        <f>IF($D108="","",IFERROR(INDEX(품목목록!$D$3:$D$302,MATCH($D108,품목목록!$A$3:$A$302,0)),""))</f>
        <v/>
      </c>
      <c r="G108" s="49" t="str">
        <f>IFERROR(INDEX(전개결과!$N$6:$N$1205,MATCH("R"&amp;103,전개결과!$L$6:$L$1205,0)),"")</f>
        <v/>
      </c>
      <c r="H108" s="40" t="str">
        <f>IF($D108="","",IFERROR(INDEX(전개결과!$Q$6:$Q$1205,MATCH("R"&amp;103,전개결과!$L$6:$L$1205,0)),""))</f>
        <v/>
      </c>
      <c r="J108" s="50" t="b">
        <f>IF(발주접수!$D13="",FALSE(),IF(발주접수!$F13="세트",COUNTIF(세트구성!$G$3:$G$302,발주접수!$D13&amp;"|"&amp;3)&gt;0,2=0))</f>
        <v>0</v>
      </c>
      <c r="K108" s="34" t="str">
        <f>IF($J108=FALSE(),"",COUNTIF($J$6:$J108,TRUE()))</f>
        <v/>
      </c>
      <c r="L108" s="34" t="str">
        <f>IF($K108="","","R"&amp;$K108)</f>
        <v/>
      </c>
      <c r="M108" s="34" t="str">
        <f>IF($J108=FALSE(),"",IF(발주접수!$F13="세트",IFERROR(INDEX(세트구성!$C$3:$C$302,MATCH(발주접수!$D13&amp;"|"&amp;3,세트구성!$G$3:$G$302,0)),""),발주접수!$D13))</f>
        <v/>
      </c>
      <c r="N108" s="34" t="str">
        <f>IF($J108=FALSE(),"",IF(발주접수!$F13="세트",발주접수!$G13*IFERROR(INDEX(세트구성!$E$3:$E$302,MATCH(발주접수!$D13&amp;"|"&amp;3,세트구성!$G$3:$G$302,0)),0),발주접수!$G13))</f>
        <v/>
      </c>
      <c r="O108" s="34" t="str">
        <f>IF($J108=FALSE(),"",발주접수!$B13)</f>
        <v/>
      </c>
      <c r="P108" s="34" t="str">
        <f>IF($J108=FALSE(),"",발주접수!$C13)</f>
        <v/>
      </c>
      <c r="Q108" s="34" t="str">
        <f>IF($J108=FALSE(),"",IF(발주접수!$F13="세트",발주접수!$E13&amp;" 전개","직접 발주"))</f>
        <v/>
      </c>
    </row>
    <row r="109" ht="15" customHeight="1" s="30">
      <c r="A109" s="47" t="str">
        <f>IF($D109="","",104)</f>
        <v/>
      </c>
      <c r="B109" s="48" t="str">
        <f>IFERROR(INDEX(전개결과!$O$6:$O$1205,MATCH("R"&amp;104,전개결과!$L$6:$L$1205,0)),"")</f>
        <v/>
      </c>
      <c r="C109" s="40" t="str">
        <f>IF($D109="","",IFERROR(INDEX(전개결과!$P$6:$P$1205,MATCH("R"&amp;104,전개결과!$L$6:$L$1205,0)),""))</f>
        <v/>
      </c>
      <c r="D109" s="40" t="str">
        <f>IFERROR(INDEX(전개결과!$M$6:$M$1205,MATCH("R"&amp;104,전개결과!$L$6:$L$1205,0)),"")</f>
        <v/>
      </c>
      <c r="E109" s="40" t="str">
        <f>IF($D109="","",IFERROR(INDEX(품목목록!$B$3:$B$302,MATCH($D109,품목목록!$A$3:$A$302,0)),""))</f>
        <v/>
      </c>
      <c r="F109" s="47" t="str">
        <f>IF($D109="","",IFERROR(INDEX(품목목록!$D$3:$D$302,MATCH($D109,품목목록!$A$3:$A$302,0)),""))</f>
        <v/>
      </c>
      <c r="G109" s="49" t="str">
        <f>IFERROR(INDEX(전개결과!$N$6:$N$1205,MATCH("R"&amp;104,전개결과!$L$6:$L$1205,0)),"")</f>
        <v/>
      </c>
      <c r="H109" s="40" t="str">
        <f>IF($D109="","",IFERROR(INDEX(전개결과!$Q$6:$Q$1205,MATCH("R"&amp;104,전개결과!$L$6:$L$1205,0)),""))</f>
        <v/>
      </c>
      <c r="J109" s="50" t="b">
        <f>IF(발주접수!$D13="",FALSE(),IF(발주접수!$F13="세트",COUNTIF(세트구성!$G$3:$G$302,발주접수!$D13&amp;"|"&amp;4)&gt;0,3=0))</f>
        <v>0</v>
      </c>
      <c r="K109" s="34" t="str">
        <f>IF($J109=FALSE(),"",COUNTIF($J$6:$J109,TRUE()))</f>
        <v/>
      </c>
      <c r="L109" s="34" t="str">
        <f>IF($K109="","","R"&amp;$K109)</f>
        <v/>
      </c>
      <c r="M109" s="34" t="str">
        <f>IF($J109=FALSE(),"",IF(발주접수!$F13="세트",IFERROR(INDEX(세트구성!$C$3:$C$302,MATCH(발주접수!$D13&amp;"|"&amp;4,세트구성!$G$3:$G$302,0)),""),발주접수!$D13))</f>
        <v/>
      </c>
      <c r="N109" s="34" t="str">
        <f>IF($J109=FALSE(),"",IF(발주접수!$F13="세트",발주접수!$G13*IFERROR(INDEX(세트구성!$E$3:$E$302,MATCH(발주접수!$D13&amp;"|"&amp;4,세트구성!$G$3:$G$302,0)),0),발주접수!$G13))</f>
        <v/>
      </c>
      <c r="O109" s="34" t="str">
        <f>IF($J109=FALSE(),"",발주접수!$B13)</f>
        <v/>
      </c>
      <c r="P109" s="34" t="str">
        <f>IF($J109=FALSE(),"",발주접수!$C13)</f>
        <v/>
      </c>
      <c r="Q109" s="34" t="str">
        <f>IF($J109=FALSE(),"",IF(발주접수!$F13="세트",발주접수!$E13&amp;" 전개","직접 발주"))</f>
        <v/>
      </c>
    </row>
    <row r="110" ht="15" customHeight="1" s="30">
      <c r="A110" s="47" t="str">
        <f>IF($D110="","",105)</f>
        <v/>
      </c>
      <c r="B110" s="48" t="str">
        <f>IFERROR(INDEX(전개결과!$O$6:$O$1205,MATCH("R"&amp;105,전개결과!$L$6:$L$1205,0)),"")</f>
        <v/>
      </c>
      <c r="C110" s="40" t="str">
        <f>IF($D110="","",IFERROR(INDEX(전개결과!$P$6:$P$1205,MATCH("R"&amp;105,전개결과!$L$6:$L$1205,0)),""))</f>
        <v/>
      </c>
      <c r="D110" s="40" t="str">
        <f>IFERROR(INDEX(전개결과!$M$6:$M$1205,MATCH("R"&amp;105,전개결과!$L$6:$L$1205,0)),"")</f>
        <v/>
      </c>
      <c r="E110" s="40" t="str">
        <f>IF($D110="","",IFERROR(INDEX(품목목록!$B$3:$B$302,MATCH($D110,품목목록!$A$3:$A$302,0)),""))</f>
        <v/>
      </c>
      <c r="F110" s="47" t="str">
        <f>IF($D110="","",IFERROR(INDEX(품목목록!$D$3:$D$302,MATCH($D110,품목목록!$A$3:$A$302,0)),""))</f>
        <v/>
      </c>
      <c r="G110" s="49" t="str">
        <f>IFERROR(INDEX(전개결과!$N$6:$N$1205,MATCH("R"&amp;105,전개결과!$L$6:$L$1205,0)),"")</f>
        <v/>
      </c>
      <c r="H110" s="40" t="str">
        <f>IF($D110="","",IFERROR(INDEX(전개결과!$Q$6:$Q$1205,MATCH("R"&amp;105,전개결과!$L$6:$L$1205,0)),""))</f>
        <v/>
      </c>
      <c r="J110" s="50" t="b">
        <f>IF(발주접수!$D13="",FALSE(),IF(발주접수!$F13="세트",COUNTIF(세트구성!$G$3:$G$302,발주접수!$D13&amp;"|"&amp;5)&gt;0,4=0))</f>
        <v>0</v>
      </c>
      <c r="K110" s="34" t="str">
        <f>IF($J110=FALSE(),"",COUNTIF($J$6:$J110,TRUE()))</f>
        <v/>
      </c>
      <c r="L110" s="34" t="str">
        <f>IF($K110="","","R"&amp;$K110)</f>
        <v/>
      </c>
      <c r="M110" s="34" t="str">
        <f>IF($J110=FALSE(),"",IF(발주접수!$F13="세트",IFERROR(INDEX(세트구성!$C$3:$C$302,MATCH(발주접수!$D13&amp;"|"&amp;5,세트구성!$G$3:$G$302,0)),""),발주접수!$D13))</f>
        <v/>
      </c>
      <c r="N110" s="34" t="str">
        <f>IF($J110=FALSE(),"",IF(발주접수!$F13="세트",발주접수!$G13*IFERROR(INDEX(세트구성!$E$3:$E$302,MATCH(발주접수!$D13&amp;"|"&amp;5,세트구성!$G$3:$G$302,0)),0),발주접수!$G13))</f>
        <v/>
      </c>
      <c r="O110" s="34" t="str">
        <f>IF($J110=FALSE(),"",발주접수!$B13)</f>
        <v/>
      </c>
      <c r="P110" s="34" t="str">
        <f>IF($J110=FALSE(),"",발주접수!$C13)</f>
        <v/>
      </c>
      <c r="Q110" s="34" t="str">
        <f>IF($J110=FALSE(),"",IF(발주접수!$F13="세트",발주접수!$E13&amp;" 전개","직접 발주"))</f>
        <v/>
      </c>
    </row>
    <row r="111" ht="15" customHeight="1" s="30">
      <c r="A111" s="47" t="str">
        <f>IF($D111="","",106)</f>
        <v/>
      </c>
      <c r="B111" s="48" t="str">
        <f>IFERROR(INDEX(전개결과!$O$6:$O$1205,MATCH("R"&amp;106,전개결과!$L$6:$L$1205,0)),"")</f>
        <v/>
      </c>
      <c r="C111" s="40" t="str">
        <f>IF($D111="","",IFERROR(INDEX(전개결과!$P$6:$P$1205,MATCH("R"&amp;106,전개결과!$L$6:$L$1205,0)),""))</f>
        <v/>
      </c>
      <c r="D111" s="40" t="str">
        <f>IFERROR(INDEX(전개결과!$M$6:$M$1205,MATCH("R"&amp;106,전개결과!$L$6:$L$1205,0)),"")</f>
        <v/>
      </c>
      <c r="E111" s="40" t="str">
        <f>IF($D111="","",IFERROR(INDEX(품목목록!$B$3:$B$302,MATCH($D111,품목목록!$A$3:$A$302,0)),""))</f>
        <v/>
      </c>
      <c r="F111" s="47" t="str">
        <f>IF($D111="","",IFERROR(INDEX(품목목록!$D$3:$D$302,MATCH($D111,품목목록!$A$3:$A$302,0)),""))</f>
        <v/>
      </c>
      <c r="G111" s="49" t="str">
        <f>IFERROR(INDEX(전개결과!$N$6:$N$1205,MATCH("R"&amp;106,전개결과!$L$6:$L$1205,0)),"")</f>
        <v/>
      </c>
      <c r="H111" s="40" t="str">
        <f>IF($D111="","",IFERROR(INDEX(전개결과!$Q$6:$Q$1205,MATCH("R"&amp;106,전개결과!$L$6:$L$1205,0)),""))</f>
        <v/>
      </c>
      <c r="J111" s="50" t="b">
        <f>IF(발주접수!$D13="",FALSE(),IF(발주접수!$F13="세트",COUNTIF(세트구성!$G$3:$G$302,발주접수!$D13&amp;"|"&amp;6)&gt;0,5=0))</f>
        <v>0</v>
      </c>
      <c r="K111" s="34" t="str">
        <f>IF($J111=FALSE(),"",COUNTIF($J$6:$J111,TRUE()))</f>
        <v/>
      </c>
      <c r="L111" s="34" t="str">
        <f>IF($K111="","","R"&amp;$K111)</f>
        <v/>
      </c>
      <c r="M111" s="34" t="str">
        <f>IF($J111=FALSE(),"",IF(발주접수!$F13="세트",IFERROR(INDEX(세트구성!$C$3:$C$302,MATCH(발주접수!$D13&amp;"|"&amp;6,세트구성!$G$3:$G$302,0)),""),발주접수!$D13))</f>
        <v/>
      </c>
      <c r="N111" s="34" t="str">
        <f>IF($J111=FALSE(),"",IF(발주접수!$F13="세트",발주접수!$G13*IFERROR(INDEX(세트구성!$E$3:$E$302,MATCH(발주접수!$D13&amp;"|"&amp;6,세트구성!$G$3:$G$302,0)),0),발주접수!$G13))</f>
        <v/>
      </c>
      <c r="O111" s="34" t="str">
        <f>IF($J111=FALSE(),"",발주접수!$B13)</f>
        <v/>
      </c>
      <c r="P111" s="34" t="str">
        <f>IF($J111=FALSE(),"",발주접수!$C13)</f>
        <v/>
      </c>
      <c r="Q111" s="34" t="str">
        <f>IF($J111=FALSE(),"",IF(발주접수!$F13="세트",발주접수!$E13&amp;" 전개","직접 발주"))</f>
        <v/>
      </c>
    </row>
    <row r="112" ht="15" customHeight="1" s="30">
      <c r="A112" s="47" t="str">
        <f>IF($D112="","",107)</f>
        <v/>
      </c>
      <c r="B112" s="48" t="str">
        <f>IFERROR(INDEX(전개결과!$O$6:$O$1205,MATCH("R"&amp;107,전개결과!$L$6:$L$1205,0)),"")</f>
        <v/>
      </c>
      <c r="C112" s="40" t="str">
        <f>IF($D112="","",IFERROR(INDEX(전개결과!$P$6:$P$1205,MATCH("R"&amp;107,전개결과!$L$6:$L$1205,0)),""))</f>
        <v/>
      </c>
      <c r="D112" s="40" t="str">
        <f>IFERROR(INDEX(전개결과!$M$6:$M$1205,MATCH("R"&amp;107,전개결과!$L$6:$L$1205,0)),"")</f>
        <v/>
      </c>
      <c r="E112" s="40" t="str">
        <f>IF($D112="","",IFERROR(INDEX(품목목록!$B$3:$B$302,MATCH($D112,품목목록!$A$3:$A$302,0)),""))</f>
        <v/>
      </c>
      <c r="F112" s="47" t="str">
        <f>IF($D112="","",IFERROR(INDEX(품목목록!$D$3:$D$302,MATCH($D112,품목목록!$A$3:$A$302,0)),""))</f>
        <v/>
      </c>
      <c r="G112" s="49" t="str">
        <f>IFERROR(INDEX(전개결과!$N$6:$N$1205,MATCH("R"&amp;107,전개결과!$L$6:$L$1205,0)),"")</f>
        <v/>
      </c>
      <c r="H112" s="40" t="str">
        <f>IF($D112="","",IFERROR(INDEX(전개결과!$Q$6:$Q$1205,MATCH("R"&amp;107,전개결과!$L$6:$L$1205,0)),""))</f>
        <v/>
      </c>
      <c r="J112" s="50" t="b">
        <f>IF(발주접수!$D13="",FALSE(),IF(발주접수!$F13="세트",COUNTIF(세트구성!$G$3:$G$302,발주접수!$D13&amp;"|"&amp;7)&gt;0,6=0))</f>
        <v>0</v>
      </c>
      <c r="K112" s="34" t="str">
        <f>IF($J112=FALSE(),"",COUNTIF($J$6:$J112,TRUE()))</f>
        <v/>
      </c>
      <c r="L112" s="34" t="str">
        <f>IF($K112="","","R"&amp;$K112)</f>
        <v/>
      </c>
      <c r="M112" s="34" t="str">
        <f>IF($J112=FALSE(),"",IF(발주접수!$F13="세트",IFERROR(INDEX(세트구성!$C$3:$C$302,MATCH(발주접수!$D13&amp;"|"&amp;7,세트구성!$G$3:$G$302,0)),""),발주접수!$D13))</f>
        <v/>
      </c>
      <c r="N112" s="34" t="str">
        <f>IF($J112=FALSE(),"",IF(발주접수!$F13="세트",발주접수!$G13*IFERROR(INDEX(세트구성!$E$3:$E$302,MATCH(발주접수!$D13&amp;"|"&amp;7,세트구성!$G$3:$G$302,0)),0),발주접수!$G13))</f>
        <v/>
      </c>
      <c r="O112" s="34" t="str">
        <f>IF($J112=FALSE(),"",발주접수!$B13)</f>
        <v/>
      </c>
      <c r="P112" s="34" t="str">
        <f>IF($J112=FALSE(),"",발주접수!$C13)</f>
        <v/>
      </c>
      <c r="Q112" s="34" t="str">
        <f>IF($J112=FALSE(),"",IF(발주접수!$F13="세트",발주접수!$E13&amp;" 전개","직접 발주"))</f>
        <v/>
      </c>
    </row>
    <row r="113" ht="15" customHeight="1" s="30">
      <c r="A113" s="47" t="str">
        <f>IF($D113="","",108)</f>
        <v/>
      </c>
      <c r="B113" s="48" t="str">
        <f>IFERROR(INDEX(전개결과!$O$6:$O$1205,MATCH("R"&amp;108,전개결과!$L$6:$L$1205,0)),"")</f>
        <v/>
      </c>
      <c r="C113" s="40" t="str">
        <f>IF($D113="","",IFERROR(INDEX(전개결과!$P$6:$P$1205,MATCH("R"&amp;108,전개결과!$L$6:$L$1205,0)),""))</f>
        <v/>
      </c>
      <c r="D113" s="40" t="str">
        <f>IFERROR(INDEX(전개결과!$M$6:$M$1205,MATCH("R"&amp;108,전개결과!$L$6:$L$1205,0)),"")</f>
        <v/>
      </c>
      <c r="E113" s="40" t="str">
        <f>IF($D113="","",IFERROR(INDEX(품목목록!$B$3:$B$302,MATCH($D113,품목목록!$A$3:$A$302,0)),""))</f>
        <v/>
      </c>
      <c r="F113" s="47" t="str">
        <f>IF($D113="","",IFERROR(INDEX(품목목록!$D$3:$D$302,MATCH($D113,품목목록!$A$3:$A$302,0)),""))</f>
        <v/>
      </c>
      <c r="G113" s="49" t="str">
        <f>IFERROR(INDEX(전개결과!$N$6:$N$1205,MATCH("R"&amp;108,전개결과!$L$6:$L$1205,0)),"")</f>
        <v/>
      </c>
      <c r="H113" s="40" t="str">
        <f>IF($D113="","",IFERROR(INDEX(전개결과!$Q$6:$Q$1205,MATCH("R"&amp;108,전개결과!$L$6:$L$1205,0)),""))</f>
        <v/>
      </c>
      <c r="J113" s="50" t="b">
        <f>IF(발주접수!$D13="",FALSE(),IF(발주접수!$F13="세트",COUNTIF(세트구성!$G$3:$G$302,발주접수!$D13&amp;"|"&amp;8)&gt;0,7=0))</f>
        <v>0</v>
      </c>
      <c r="K113" s="34" t="str">
        <f>IF($J113=FALSE(),"",COUNTIF($J$6:$J113,TRUE()))</f>
        <v/>
      </c>
      <c r="L113" s="34" t="str">
        <f>IF($K113="","","R"&amp;$K113)</f>
        <v/>
      </c>
      <c r="M113" s="34" t="str">
        <f>IF($J113=FALSE(),"",IF(발주접수!$F13="세트",IFERROR(INDEX(세트구성!$C$3:$C$302,MATCH(발주접수!$D13&amp;"|"&amp;8,세트구성!$G$3:$G$302,0)),""),발주접수!$D13))</f>
        <v/>
      </c>
      <c r="N113" s="34" t="str">
        <f>IF($J113=FALSE(),"",IF(발주접수!$F13="세트",발주접수!$G13*IFERROR(INDEX(세트구성!$E$3:$E$302,MATCH(발주접수!$D13&amp;"|"&amp;8,세트구성!$G$3:$G$302,0)),0),발주접수!$G13))</f>
        <v/>
      </c>
      <c r="O113" s="34" t="str">
        <f>IF($J113=FALSE(),"",발주접수!$B13)</f>
        <v/>
      </c>
      <c r="P113" s="34" t="str">
        <f>IF($J113=FALSE(),"",발주접수!$C13)</f>
        <v/>
      </c>
      <c r="Q113" s="34" t="str">
        <f>IF($J113=FALSE(),"",IF(발주접수!$F13="세트",발주접수!$E13&amp;" 전개","직접 발주"))</f>
        <v/>
      </c>
    </row>
    <row r="114" ht="15" customHeight="1" s="30">
      <c r="A114" s="47" t="str">
        <f>IF($D114="","",109)</f>
        <v/>
      </c>
      <c r="B114" s="48" t="str">
        <f>IFERROR(INDEX(전개결과!$O$6:$O$1205,MATCH("R"&amp;109,전개결과!$L$6:$L$1205,0)),"")</f>
        <v/>
      </c>
      <c r="C114" s="40" t="str">
        <f>IF($D114="","",IFERROR(INDEX(전개결과!$P$6:$P$1205,MATCH("R"&amp;109,전개결과!$L$6:$L$1205,0)),""))</f>
        <v/>
      </c>
      <c r="D114" s="40" t="str">
        <f>IFERROR(INDEX(전개결과!$M$6:$M$1205,MATCH("R"&amp;109,전개결과!$L$6:$L$1205,0)),"")</f>
        <v/>
      </c>
      <c r="E114" s="40" t="str">
        <f>IF($D114="","",IFERROR(INDEX(품목목록!$B$3:$B$302,MATCH($D114,품목목록!$A$3:$A$302,0)),""))</f>
        <v/>
      </c>
      <c r="F114" s="47" t="str">
        <f>IF($D114="","",IFERROR(INDEX(품목목록!$D$3:$D$302,MATCH($D114,품목목록!$A$3:$A$302,0)),""))</f>
        <v/>
      </c>
      <c r="G114" s="49" t="str">
        <f>IFERROR(INDEX(전개결과!$N$6:$N$1205,MATCH("R"&amp;109,전개결과!$L$6:$L$1205,0)),"")</f>
        <v/>
      </c>
      <c r="H114" s="40" t="str">
        <f>IF($D114="","",IFERROR(INDEX(전개결과!$Q$6:$Q$1205,MATCH("R"&amp;109,전개결과!$L$6:$L$1205,0)),""))</f>
        <v/>
      </c>
      <c r="J114" s="50" t="b">
        <f>IF(발주접수!$D13="",FALSE(),IF(발주접수!$F13="세트",COUNTIF(세트구성!$G$3:$G$302,발주접수!$D13&amp;"|"&amp;9)&gt;0,8=0))</f>
        <v>0</v>
      </c>
      <c r="K114" s="34" t="str">
        <f>IF($J114=FALSE(),"",COUNTIF($J$6:$J114,TRUE()))</f>
        <v/>
      </c>
      <c r="L114" s="34" t="str">
        <f>IF($K114="","","R"&amp;$K114)</f>
        <v/>
      </c>
      <c r="M114" s="34" t="str">
        <f>IF($J114=FALSE(),"",IF(발주접수!$F13="세트",IFERROR(INDEX(세트구성!$C$3:$C$302,MATCH(발주접수!$D13&amp;"|"&amp;9,세트구성!$G$3:$G$302,0)),""),발주접수!$D13))</f>
        <v/>
      </c>
      <c r="N114" s="34" t="str">
        <f>IF($J114=FALSE(),"",IF(발주접수!$F13="세트",발주접수!$G13*IFERROR(INDEX(세트구성!$E$3:$E$302,MATCH(발주접수!$D13&amp;"|"&amp;9,세트구성!$G$3:$G$302,0)),0),발주접수!$G13))</f>
        <v/>
      </c>
      <c r="O114" s="34" t="str">
        <f>IF($J114=FALSE(),"",발주접수!$B13)</f>
        <v/>
      </c>
      <c r="P114" s="34" t="str">
        <f>IF($J114=FALSE(),"",발주접수!$C13)</f>
        <v/>
      </c>
      <c r="Q114" s="34" t="str">
        <f>IF($J114=FALSE(),"",IF(발주접수!$F13="세트",발주접수!$E13&amp;" 전개","직접 발주"))</f>
        <v/>
      </c>
    </row>
    <row r="115" ht="15" customHeight="1" s="30">
      <c r="A115" s="47" t="str">
        <f>IF($D115="","",110)</f>
        <v/>
      </c>
      <c r="B115" s="48" t="str">
        <f>IFERROR(INDEX(전개결과!$O$6:$O$1205,MATCH("R"&amp;110,전개결과!$L$6:$L$1205,0)),"")</f>
        <v/>
      </c>
      <c r="C115" s="40" t="str">
        <f>IF($D115="","",IFERROR(INDEX(전개결과!$P$6:$P$1205,MATCH("R"&amp;110,전개결과!$L$6:$L$1205,0)),""))</f>
        <v/>
      </c>
      <c r="D115" s="40" t="str">
        <f>IFERROR(INDEX(전개결과!$M$6:$M$1205,MATCH("R"&amp;110,전개결과!$L$6:$L$1205,0)),"")</f>
        <v/>
      </c>
      <c r="E115" s="40" t="str">
        <f>IF($D115="","",IFERROR(INDEX(품목목록!$B$3:$B$302,MATCH($D115,품목목록!$A$3:$A$302,0)),""))</f>
        <v/>
      </c>
      <c r="F115" s="47" t="str">
        <f>IF($D115="","",IFERROR(INDEX(품목목록!$D$3:$D$302,MATCH($D115,품목목록!$A$3:$A$302,0)),""))</f>
        <v/>
      </c>
      <c r="G115" s="49" t="str">
        <f>IFERROR(INDEX(전개결과!$N$6:$N$1205,MATCH("R"&amp;110,전개결과!$L$6:$L$1205,0)),"")</f>
        <v/>
      </c>
      <c r="H115" s="40" t="str">
        <f>IF($D115="","",IFERROR(INDEX(전개결과!$Q$6:$Q$1205,MATCH("R"&amp;110,전개결과!$L$6:$L$1205,0)),""))</f>
        <v/>
      </c>
      <c r="J115" s="50" t="b">
        <f>IF(발주접수!$D13="",FALSE(),IF(발주접수!$F13="세트",COUNTIF(세트구성!$G$3:$G$302,발주접수!$D13&amp;"|"&amp;10)&gt;0,9=0))</f>
        <v>0</v>
      </c>
      <c r="K115" s="34" t="str">
        <f>IF($J115=FALSE(),"",COUNTIF($J$6:$J115,TRUE()))</f>
        <v/>
      </c>
      <c r="L115" s="34" t="str">
        <f>IF($K115="","","R"&amp;$K115)</f>
        <v/>
      </c>
      <c r="M115" s="34" t="str">
        <f>IF($J115=FALSE(),"",IF(발주접수!$F13="세트",IFERROR(INDEX(세트구성!$C$3:$C$302,MATCH(발주접수!$D13&amp;"|"&amp;10,세트구성!$G$3:$G$302,0)),""),발주접수!$D13))</f>
        <v/>
      </c>
      <c r="N115" s="34" t="str">
        <f>IF($J115=FALSE(),"",IF(발주접수!$F13="세트",발주접수!$G13*IFERROR(INDEX(세트구성!$E$3:$E$302,MATCH(발주접수!$D13&amp;"|"&amp;10,세트구성!$G$3:$G$302,0)),0),발주접수!$G13))</f>
        <v/>
      </c>
      <c r="O115" s="34" t="str">
        <f>IF($J115=FALSE(),"",발주접수!$B13)</f>
        <v/>
      </c>
      <c r="P115" s="34" t="str">
        <f>IF($J115=FALSE(),"",발주접수!$C13)</f>
        <v/>
      </c>
      <c r="Q115" s="34" t="str">
        <f>IF($J115=FALSE(),"",IF(발주접수!$F13="세트",발주접수!$E13&amp;" 전개","직접 발주"))</f>
        <v/>
      </c>
    </row>
    <row r="116" ht="15" customHeight="1" s="30">
      <c r="A116" s="47" t="str">
        <f>IF($D116="","",111)</f>
        <v/>
      </c>
      <c r="B116" s="48" t="str">
        <f>IFERROR(INDEX(전개결과!$O$6:$O$1205,MATCH("R"&amp;111,전개결과!$L$6:$L$1205,0)),"")</f>
        <v/>
      </c>
      <c r="C116" s="40" t="str">
        <f>IF($D116="","",IFERROR(INDEX(전개결과!$P$6:$P$1205,MATCH("R"&amp;111,전개결과!$L$6:$L$1205,0)),""))</f>
        <v/>
      </c>
      <c r="D116" s="40" t="str">
        <f>IFERROR(INDEX(전개결과!$M$6:$M$1205,MATCH("R"&amp;111,전개결과!$L$6:$L$1205,0)),"")</f>
        <v/>
      </c>
      <c r="E116" s="40" t="str">
        <f>IF($D116="","",IFERROR(INDEX(품목목록!$B$3:$B$302,MATCH($D116,품목목록!$A$3:$A$302,0)),""))</f>
        <v/>
      </c>
      <c r="F116" s="47" t="str">
        <f>IF($D116="","",IFERROR(INDEX(품목목록!$D$3:$D$302,MATCH($D116,품목목록!$A$3:$A$302,0)),""))</f>
        <v/>
      </c>
      <c r="G116" s="49" t="str">
        <f>IFERROR(INDEX(전개결과!$N$6:$N$1205,MATCH("R"&amp;111,전개결과!$L$6:$L$1205,0)),"")</f>
        <v/>
      </c>
      <c r="H116" s="40" t="str">
        <f>IF($D116="","",IFERROR(INDEX(전개결과!$Q$6:$Q$1205,MATCH("R"&amp;111,전개결과!$L$6:$L$1205,0)),""))</f>
        <v/>
      </c>
      <c r="J116" s="50" t="b">
        <f>IF(발주접수!$D14="",FALSE(),IF(발주접수!$F14="세트",COUNTIF(세트구성!$G$3:$G$302,발주접수!$D14&amp;"|"&amp;1)&gt;0,0=0))</f>
        <v>0</v>
      </c>
      <c r="K116" s="34" t="str">
        <f>IF($J116=FALSE(),"",COUNTIF($J$6:$J116,TRUE()))</f>
        <v/>
      </c>
      <c r="L116" s="34" t="str">
        <f>IF($K116="","","R"&amp;$K116)</f>
        <v/>
      </c>
      <c r="M116" s="34" t="str">
        <f>IF($J116=FALSE(),"",IF(발주접수!$F14="세트",IFERROR(INDEX(세트구성!$C$3:$C$302,MATCH(발주접수!$D14&amp;"|"&amp;1,세트구성!$G$3:$G$302,0)),""),발주접수!$D14))</f>
        <v/>
      </c>
      <c r="N116" s="34" t="str">
        <f>IF($J116=FALSE(),"",IF(발주접수!$F14="세트",발주접수!$G14*IFERROR(INDEX(세트구성!$E$3:$E$302,MATCH(발주접수!$D14&amp;"|"&amp;1,세트구성!$G$3:$G$302,0)),0),발주접수!$G14))</f>
        <v/>
      </c>
      <c r="O116" s="34" t="str">
        <f>IF($J116=FALSE(),"",발주접수!$B14)</f>
        <v/>
      </c>
      <c r="P116" s="34" t="str">
        <f>IF($J116=FALSE(),"",발주접수!$C14)</f>
        <v/>
      </c>
      <c r="Q116" s="34" t="str">
        <f>IF($J116=FALSE(),"",IF(발주접수!$F14="세트",발주접수!$E14&amp;" 전개","직접 발주"))</f>
        <v/>
      </c>
    </row>
    <row r="117" ht="15" customHeight="1" s="30">
      <c r="A117" s="47" t="str">
        <f>IF($D117="","",112)</f>
        <v/>
      </c>
      <c r="B117" s="48" t="str">
        <f>IFERROR(INDEX(전개결과!$O$6:$O$1205,MATCH("R"&amp;112,전개결과!$L$6:$L$1205,0)),"")</f>
        <v/>
      </c>
      <c r="C117" s="40" t="str">
        <f>IF($D117="","",IFERROR(INDEX(전개결과!$P$6:$P$1205,MATCH("R"&amp;112,전개결과!$L$6:$L$1205,0)),""))</f>
        <v/>
      </c>
      <c r="D117" s="40" t="str">
        <f>IFERROR(INDEX(전개결과!$M$6:$M$1205,MATCH("R"&amp;112,전개결과!$L$6:$L$1205,0)),"")</f>
        <v/>
      </c>
      <c r="E117" s="40" t="str">
        <f>IF($D117="","",IFERROR(INDEX(품목목록!$B$3:$B$302,MATCH($D117,품목목록!$A$3:$A$302,0)),""))</f>
        <v/>
      </c>
      <c r="F117" s="47" t="str">
        <f>IF($D117="","",IFERROR(INDEX(품목목록!$D$3:$D$302,MATCH($D117,품목목록!$A$3:$A$302,0)),""))</f>
        <v/>
      </c>
      <c r="G117" s="49" t="str">
        <f>IFERROR(INDEX(전개결과!$N$6:$N$1205,MATCH("R"&amp;112,전개결과!$L$6:$L$1205,0)),"")</f>
        <v/>
      </c>
      <c r="H117" s="40" t="str">
        <f>IF($D117="","",IFERROR(INDEX(전개결과!$Q$6:$Q$1205,MATCH("R"&amp;112,전개결과!$L$6:$L$1205,0)),""))</f>
        <v/>
      </c>
      <c r="J117" s="50" t="b">
        <f>IF(발주접수!$D14="",FALSE(),IF(발주접수!$F14="세트",COUNTIF(세트구성!$G$3:$G$302,발주접수!$D14&amp;"|"&amp;2)&gt;0,1=0))</f>
        <v>0</v>
      </c>
      <c r="K117" s="34" t="str">
        <f>IF($J117=FALSE(),"",COUNTIF($J$6:$J117,TRUE()))</f>
        <v/>
      </c>
      <c r="L117" s="34" t="str">
        <f>IF($K117="","","R"&amp;$K117)</f>
        <v/>
      </c>
      <c r="M117" s="34" t="str">
        <f>IF($J117=FALSE(),"",IF(발주접수!$F14="세트",IFERROR(INDEX(세트구성!$C$3:$C$302,MATCH(발주접수!$D14&amp;"|"&amp;2,세트구성!$G$3:$G$302,0)),""),발주접수!$D14))</f>
        <v/>
      </c>
      <c r="N117" s="34" t="str">
        <f>IF($J117=FALSE(),"",IF(발주접수!$F14="세트",발주접수!$G14*IFERROR(INDEX(세트구성!$E$3:$E$302,MATCH(발주접수!$D14&amp;"|"&amp;2,세트구성!$G$3:$G$302,0)),0),발주접수!$G14))</f>
        <v/>
      </c>
      <c r="O117" s="34" t="str">
        <f>IF($J117=FALSE(),"",발주접수!$B14)</f>
        <v/>
      </c>
      <c r="P117" s="34" t="str">
        <f>IF($J117=FALSE(),"",발주접수!$C14)</f>
        <v/>
      </c>
      <c r="Q117" s="34" t="str">
        <f>IF($J117=FALSE(),"",IF(발주접수!$F14="세트",발주접수!$E14&amp;" 전개","직접 발주"))</f>
        <v/>
      </c>
    </row>
    <row r="118" ht="15" customHeight="1" s="30">
      <c r="A118" s="47" t="str">
        <f>IF($D118="","",113)</f>
        <v/>
      </c>
      <c r="B118" s="48" t="str">
        <f>IFERROR(INDEX(전개결과!$O$6:$O$1205,MATCH("R"&amp;113,전개결과!$L$6:$L$1205,0)),"")</f>
        <v/>
      </c>
      <c r="C118" s="40" t="str">
        <f>IF($D118="","",IFERROR(INDEX(전개결과!$P$6:$P$1205,MATCH("R"&amp;113,전개결과!$L$6:$L$1205,0)),""))</f>
        <v/>
      </c>
      <c r="D118" s="40" t="str">
        <f>IFERROR(INDEX(전개결과!$M$6:$M$1205,MATCH("R"&amp;113,전개결과!$L$6:$L$1205,0)),"")</f>
        <v/>
      </c>
      <c r="E118" s="40" t="str">
        <f>IF($D118="","",IFERROR(INDEX(품목목록!$B$3:$B$302,MATCH($D118,품목목록!$A$3:$A$302,0)),""))</f>
        <v/>
      </c>
      <c r="F118" s="47" t="str">
        <f>IF($D118="","",IFERROR(INDEX(품목목록!$D$3:$D$302,MATCH($D118,품목목록!$A$3:$A$302,0)),""))</f>
        <v/>
      </c>
      <c r="G118" s="49" t="str">
        <f>IFERROR(INDEX(전개결과!$N$6:$N$1205,MATCH("R"&amp;113,전개결과!$L$6:$L$1205,0)),"")</f>
        <v/>
      </c>
      <c r="H118" s="40" t="str">
        <f>IF($D118="","",IFERROR(INDEX(전개결과!$Q$6:$Q$1205,MATCH("R"&amp;113,전개결과!$L$6:$L$1205,0)),""))</f>
        <v/>
      </c>
      <c r="J118" s="50" t="b">
        <f>IF(발주접수!$D14="",FALSE(),IF(발주접수!$F14="세트",COUNTIF(세트구성!$G$3:$G$302,발주접수!$D14&amp;"|"&amp;3)&gt;0,2=0))</f>
        <v>0</v>
      </c>
      <c r="K118" s="34" t="str">
        <f>IF($J118=FALSE(),"",COUNTIF($J$6:$J118,TRUE()))</f>
        <v/>
      </c>
      <c r="L118" s="34" t="str">
        <f>IF($K118="","","R"&amp;$K118)</f>
        <v/>
      </c>
      <c r="M118" s="34" t="str">
        <f>IF($J118=FALSE(),"",IF(발주접수!$F14="세트",IFERROR(INDEX(세트구성!$C$3:$C$302,MATCH(발주접수!$D14&amp;"|"&amp;3,세트구성!$G$3:$G$302,0)),""),발주접수!$D14))</f>
        <v/>
      </c>
      <c r="N118" s="34" t="str">
        <f>IF($J118=FALSE(),"",IF(발주접수!$F14="세트",발주접수!$G14*IFERROR(INDEX(세트구성!$E$3:$E$302,MATCH(발주접수!$D14&amp;"|"&amp;3,세트구성!$G$3:$G$302,0)),0),발주접수!$G14))</f>
        <v/>
      </c>
      <c r="O118" s="34" t="str">
        <f>IF($J118=FALSE(),"",발주접수!$B14)</f>
        <v/>
      </c>
      <c r="P118" s="34" t="str">
        <f>IF($J118=FALSE(),"",발주접수!$C14)</f>
        <v/>
      </c>
      <c r="Q118" s="34" t="str">
        <f>IF($J118=FALSE(),"",IF(발주접수!$F14="세트",발주접수!$E14&amp;" 전개","직접 발주"))</f>
        <v/>
      </c>
    </row>
    <row r="119" ht="15" customHeight="1" s="30">
      <c r="A119" s="47" t="str">
        <f>IF($D119="","",114)</f>
        <v/>
      </c>
      <c r="B119" s="48" t="str">
        <f>IFERROR(INDEX(전개결과!$O$6:$O$1205,MATCH("R"&amp;114,전개결과!$L$6:$L$1205,0)),"")</f>
        <v/>
      </c>
      <c r="C119" s="40" t="str">
        <f>IF($D119="","",IFERROR(INDEX(전개결과!$P$6:$P$1205,MATCH("R"&amp;114,전개결과!$L$6:$L$1205,0)),""))</f>
        <v/>
      </c>
      <c r="D119" s="40" t="str">
        <f>IFERROR(INDEX(전개결과!$M$6:$M$1205,MATCH("R"&amp;114,전개결과!$L$6:$L$1205,0)),"")</f>
        <v/>
      </c>
      <c r="E119" s="40" t="str">
        <f>IF($D119="","",IFERROR(INDEX(품목목록!$B$3:$B$302,MATCH($D119,품목목록!$A$3:$A$302,0)),""))</f>
        <v/>
      </c>
      <c r="F119" s="47" t="str">
        <f>IF($D119="","",IFERROR(INDEX(품목목록!$D$3:$D$302,MATCH($D119,품목목록!$A$3:$A$302,0)),""))</f>
        <v/>
      </c>
      <c r="G119" s="49" t="str">
        <f>IFERROR(INDEX(전개결과!$N$6:$N$1205,MATCH("R"&amp;114,전개결과!$L$6:$L$1205,0)),"")</f>
        <v/>
      </c>
      <c r="H119" s="40" t="str">
        <f>IF($D119="","",IFERROR(INDEX(전개결과!$Q$6:$Q$1205,MATCH("R"&amp;114,전개결과!$L$6:$L$1205,0)),""))</f>
        <v/>
      </c>
      <c r="J119" s="50" t="b">
        <f>IF(발주접수!$D14="",FALSE(),IF(발주접수!$F14="세트",COUNTIF(세트구성!$G$3:$G$302,발주접수!$D14&amp;"|"&amp;4)&gt;0,3=0))</f>
        <v>0</v>
      </c>
      <c r="K119" s="34" t="str">
        <f>IF($J119=FALSE(),"",COUNTIF($J$6:$J119,TRUE()))</f>
        <v/>
      </c>
      <c r="L119" s="34" t="str">
        <f>IF($K119="","","R"&amp;$K119)</f>
        <v/>
      </c>
      <c r="M119" s="34" t="str">
        <f>IF($J119=FALSE(),"",IF(발주접수!$F14="세트",IFERROR(INDEX(세트구성!$C$3:$C$302,MATCH(발주접수!$D14&amp;"|"&amp;4,세트구성!$G$3:$G$302,0)),""),발주접수!$D14))</f>
        <v/>
      </c>
      <c r="N119" s="34" t="str">
        <f>IF($J119=FALSE(),"",IF(발주접수!$F14="세트",발주접수!$G14*IFERROR(INDEX(세트구성!$E$3:$E$302,MATCH(발주접수!$D14&amp;"|"&amp;4,세트구성!$G$3:$G$302,0)),0),발주접수!$G14))</f>
        <v/>
      </c>
      <c r="O119" s="34" t="str">
        <f>IF($J119=FALSE(),"",발주접수!$B14)</f>
        <v/>
      </c>
      <c r="P119" s="34" t="str">
        <f>IF($J119=FALSE(),"",발주접수!$C14)</f>
        <v/>
      </c>
      <c r="Q119" s="34" t="str">
        <f>IF($J119=FALSE(),"",IF(발주접수!$F14="세트",발주접수!$E14&amp;" 전개","직접 발주"))</f>
        <v/>
      </c>
    </row>
    <row r="120" ht="15" customHeight="1" s="30">
      <c r="A120" s="47" t="str">
        <f>IF($D120="","",115)</f>
        <v/>
      </c>
      <c r="B120" s="48" t="str">
        <f>IFERROR(INDEX(전개결과!$O$6:$O$1205,MATCH("R"&amp;115,전개결과!$L$6:$L$1205,0)),"")</f>
        <v/>
      </c>
      <c r="C120" s="40" t="str">
        <f>IF($D120="","",IFERROR(INDEX(전개결과!$P$6:$P$1205,MATCH("R"&amp;115,전개결과!$L$6:$L$1205,0)),""))</f>
        <v/>
      </c>
      <c r="D120" s="40" t="str">
        <f>IFERROR(INDEX(전개결과!$M$6:$M$1205,MATCH("R"&amp;115,전개결과!$L$6:$L$1205,0)),"")</f>
        <v/>
      </c>
      <c r="E120" s="40" t="str">
        <f>IF($D120="","",IFERROR(INDEX(품목목록!$B$3:$B$302,MATCH($D120,품목목록!$A$3:$A$302,0)),""))</f>
        <v/>
      </c>
      <c r="F120" s="47" t="str">
        <f>IF($D120="","",IFERROR(INDEX(품목목록!$D$3:$D$302,MATCH($D120,품목목록!$A$3:$A$302,0)),""))</f>
        <v/>
      </c>
      <c r="G120" s="49" t="str">
        <f>IFERROR(INDEX(전개결과!$N$6:$N$1205,MATCH("R"&amp;115,전개결과!$L$6:$L$1205,0)),"")</f>
        <v/>
      </c>
      <c r="H120" s="40" t="str">
        <f>IF($D120="","",IFERROR(INDEX(전개결과!$Q$6:$Q$1205,MATCH("R"&amp;115,전개결과!$L$6:$L$1205,0)),""))</f>
        <v/>
      </c>
      <c r="J120" s="50" t="b">
        <f>IF(발주접수!$D14="",FALSE(),IF(발주접수!$F14="세트",COUNTIF(세트구성!$G$3:$G$302,발주접수!$D14&amp;"|"&amp;5)&gt;0,4=0))</f>
        <v>0</v>
      </c>
      <c r="K120" s="34" t="str">
        <f>IF($J120=FALSE(),"",COUNTIF($J$6:$J120,TRUE()))</f>
        <v/>
      </c>
      <c r="L120" s="34" t="str">
        <f>IF($K120="","","R"&amp;$K120)</f>
        <v/>
      </c>
      <c r="M120" s="34" t="str">
        <f>IF($J120=FALSE(),"",IF(발주접수!$F14="세트",IFERROR(INDEX(세트구성!$C$3:$C$302,MATCH(발주접수!$D14&amp;"|"&amp;5,세트구성!$G$3:$G$302,0)),""),발주접수!$D14))</f>
        <v/>
      </c>
      <c r="N120" s="34" t="str">
        <f>IF($J120=FALSE(),"",IF(발주접수!$F14="세트",발주접수!$G14*IFERROR(INDEX(세트구성!$E$3:$E$302,MATCH(발주접수!$D14&amp;"|"&amp;5,세트구성!$G$3:$G$302,0)),0),발주접수!$G14))</f>
        <v/>
      </c>
      <c r="O120" s="34" t="str">
        <f>IF($J120=FALSE(),"",발주접수!$B14)</f>
        <v/>
      </c>
      <c r="P120" s="34" t="str">
        <f>IF($J120=FALSE(),"",발주접수!$C14)</f>
        <v/>
      </c>
      <c r="Q120" s="34" t="str">
        <f>IF($J120=FALSE(),"",IF(발주접수!$F14="세트",발주접수!$E14&amp;" 전개","직접 발주"))</f>
        <v/>
      </c>
    </row>
    <row r="121" ht="15" customHeight="1" s="30">
      <c r="A121" s="47" t="str">
        <f>IF($D121="","",116)</f>
        <v/>
      </c>
      <c r="B121" s="48" t="str">
        <f>IFERROR(INDEX(전개결과!$O$6:$O$1205,MATCH("R"&amp;116,전개결과!$L$6:$L$1205,0)),"")</f>
        <v/>
      </c>
      <c r="C121" s="40" t="str">
        <f>IF($D121="","",IFERROR(INDEX(전개결과!$P$6:$P$1205,MATCH("R"&amp;116,전개결과!$L$6:$L$1205,0)),""))</f>
        <v/>
      </c>
      <c r="D121" s="40" t="str">
        <f>IFERROR(INDEX(전개결과!$M$6:$M$1205,MATCH("R"&amp;116,전개결과!$L$6:$L$1205,0)),"")</f>
        <v/>
      </c>
      <c r="E121" s="40" t="str">
        <f>IF($D121="","",IFERROR(INDEX(품목목록!$B$3:$B$302,MATCH($D121,품목목록!$A$3:$A$302,0)),""))</f>
        <v/>
      </c>
      <c r="F121" s="47" t="str">
        <f>IF($D121="","",IFERROR(INDEX(품목목록!$D$3:$D$302,MATCH($D121,품목목록!$A$3:$A$302,0)),""))</f>
        <v/>
      </c>
      <c r="G121" s="49" t="str">
        <f>IFERROR(INDEX(전개결과!$N$6:$N$1205,MATCH("R"&amp;116,전개결과!$L$6:$L$1205,0)),"")</f>
        <v/>
      </c>
      <c r="H121" s="40" t="str">
        <f>IF($D121="","",IFERROR(INDEX(전개결과!$Q$6:$Q$1205,MATCH("R"&amp;116,전개결과!$L$6:$L$1205,0)),""))</f>
        <v/>
      </c>
      <c r="J121" s="50" t="b">
        <f>IF(발주접수!$D14="",FALSE(),IF(발주접수!$F14="세트",COUNTIF(세트구성!$G$3:$G$302,발주접수!$D14&amp;"|"&amp;6)&gt;0,5=0))</f>
        <v>0</v>
      </c>
      <c r="K121" s="34" t="str">
        <f>IF($J121=FALSE(),"",COUNTIF($J$6:$J121,TRUE()))</f>
        <v/>
      </c>
      <c r="L121" s="34" t="str">
        <f>IF($K121="","","R"&amp;$K121)</f>
        <v/>
      </c>
      <c r="M121" s="34" t="str">
        <f>IF($J121=FALSE(),"",IF(발주접수!$F14="세트",IFERROR(INDEX(세트구성!$C$3:$C$302,MATCH(발주접수!$D14&amp;"|"&amp;6,세트구성!$G$3:$G$302,0)),""),발주접수!$D14))</f>
        <v/>
      </c>
      <c r="N121" s="34" t="str">
        <f>IF($J121=FALSE(),"",IF(발주접수!$F14="세트",발주접수!$G14*IFERROR(INDEX(세트구성!$E$3:$E$302,MATCH(발주접수!$D14&amp;"|"&amp;6,세트구성!$G$3:$G$302,0)),0),발주접수!$G14))</f>
        <v/>
      </c>
      <c r="O121" s="34" t="str">
        <f>IF($J121=FALSE(),"",발주접수!$B14)</f>
        <v/>
      </c>
      <c r="P121" s="34" t="str">
        <f>IF($J121=FALSE(),"",발주접수!$C14)</f>
        <v/>
      </c>
      <c r="Q121" s="34" t="str">
        <f>IF($J121=FALSE(),"",IF(발주접수!$F14="세트",발주접수!$E14&amp;" 전개","직접 발주"))</f>
        <v/>
      </c>
    </row>
    <row r="122" ht="15" customHeight="1" s="30">
      <c r="A122" s="47" t="str">
        <f>IF($D122="","",117)</f>
        <v/>
      </c>
      <c r="B122" s="48" t="str">
        <f>IFERROR(INDEX(전개결과!$O$6:$O$1205,MATCH("R"&amp;117,전개결과!$L$6:$L$1205,0)),"")</f>
        <v/>
      </c>
      <c r="C122" s="40" t="str">
        <f>IF($D122="","",IFERROR(INDEX(전개결과!$P$6:$P$1205,MATCH("R"&amp;117,전개결과!$L$6:$L$1205,0)),""))</f>
        <v/>
      </c>
      <c r="D122" s="40" t="str">
        <f>IFERROR(INDEX(전개결과!$M$6:$M$1205,MATCH("R"&amp;117,전개결과!$L$6:$L$1205,0)),"")</f>
        <v/>
      </c>
      <c r="E122" s="40" t="str">
        <f>IF($D122="","",IFERROR(INDEX(품목목록!$B$3:$B$302,MATCH($D122,품목목록!$A$3:$A$302,0)),""))</f>
        <v/>
      </c>
      <c r="F122" s="47" t="str">
        <f>IF($D122="","",IFERROR(INDEX(품목목록!$D$3:$D$302,MATCH($D122,품목목록!$A$3:$A$302,0)),""))</f>
        <v/>
      </c>
      <c r="G122" s="49" t="str">
        <f>IFERROR(INDEX(전개결과!$N$6:$N$1205,MATCH("R"&amp;117,전개결과!$L$6:$L$1205,0)),"")</f>
        <v/>
      </c>
      <c r="H122" s="40" t="str">
        <f>IF($D122="","",IFERROR(INDEX(전개결과!$Q$6:$Q$1205,MATCH("R"&amp;117,전개결과!$L$6:$L$1205,0)),""))</f>
        <v/>
      </c>
      <c r="J122" s="50" t="b">
        <f>IF(발주접수!$D14="",FALSE(),IF(발주접수!$F14="세트",COUNTIF(세트구성!$G$3:$G$302,발주접수!$D14&amp;"|"&amp;7)&gt;0,6=0))</f>
        <v>0</v>
      </c>
      <c r="K122" s="34" t="str">
        <f>IF($J122=FALSE(),"",COUNTIF($J$6:$J122,TRUE()))</f>
        <v/>
      </c>
      <c r="L122" s="34" t="str">
        <f>IF($K122="","","R"&amp;$K122)</f>
        <v/>
      </c>
      <c r="M122" s="34" t="str">
        <f>IF($J122=FALSE(),"",IF(발주접수!$F14="세트",IFERROR(INDEX(세트구성!$C$3:$C$302,MATCH(발주접수!$D14&amp;"|"&amp;7,세트구성!$G$3:$G$302,0)),""),발주접수!$D14))</f>
        <v/>
      </c>
      <c r="N122" s="34" t="str">
        <f>IF($J122=FALSE(),"",IF(발주접수!$F14="세트",발주접수!$G14*IFERROR(INDEX(세트구성!$E$3:$E$302,MATCH(발주접수!$D14&amp;"|"&amp;7,세트구성!$G$3:$G$302,0)),0),발주접수!$G14))</f>
        <v/>
      </c>
      <c r="O122" s="34" t="str">
        <f>IF($J122=FALSE(),"",발주접수!$B14)</f>
        <v/>
      </c>
      <c r="P122" s="34" t="str">
        <f>IF($J122=FALSE(),"",발주접수!$C14)</f>
        <v/>
      </c>
      <c r="Q122" s="34" t="str">
        <f>IF($J122=FALSE(),"",IF(발주접수!$F14="세트",발주접수!$E14&amp;" 전개","직접 발주"))</f>
        <v/>
      </c>
    </row>
    <row r="123" ht="15" customHeight="1" s="30">
      <c r="A123" s="47" t="str">
        <f>IF($D123="","",118)</f>
        <v/>
      </c>
      <c r="B123" s="48" t="str">
        <f>IFERROR(INDEX(전개결과!$O$6:$O$1205,MATCH("R"&amp;118,전개결과!$L$6:$L$1205,0)),"")</f>
        <v/>
      </c>
      <c r="C123" s="40" t="str">
        <f>IF($D123="","",IFERROR(INDEX(전개결과!$P$6:$P$1205,MATCH("R"&amp;118,전개결과!$L$6:$L$1205,0)),""))</f>
        <v/>
      </c>
      <c r="D123" s="40" t="str">
        <f>IFERROR(INDEX(전개결과!$M$6:$M$1205,MATCH("R"&amp;118,전개결과!$L$6:$L$1205,0)),"")</f>
        <v/>
      </c>
      <c r="E123" s="40" t="str">
        <f>IF($D123="","",IFERROR(INDEX(품목목록!$B$3:$B$302,MATCH($D123,품목목록!$A$3:$A$302,0)),""))</f>
        <v/>
      </c>
      <c r="F123" s="47" t="str">
        <f>IF($D123="","",IFERROR(INDEX(품목목록!$D$3:$D$302,MATCH($D123,품목목록!$A$3:$A$302,0)),""))</f>
        <v/>
      </c>
      <c r="G123" s="49" t="str">
        <f>IFERROR(INDEX(전개결과!$N$6:$N$1205,MATCH("R"&amp;118,전개결과!$L$6:$L$1205,0)),"")</f>
        <v/>
      </c>
      <c r="H123" s="40" t="str">
        <f>IF($D123="","",IFERROR(INDEX(전개결과!$Q$6:$Q$1205,MATCH("R"&amp;118,전개결과!$L$6:$L$1205,0)),""))</f>
        <v/>
      </c>
      <c r="J123" s="50" t="b">
        <f>IF(발주접수!$D14="",FALSE(),IF(발주접수!$F14="세트",COUNTIF(세트구성!$G$3:$G$302,발주접수!$D14&amp;"|"&amp;8)&gt;0,7=0))</f>
        <v>0</v>
      </c>
      <c r="K123" s="34" t="str">
        <f>IF($J123=FALSE(),"",COUNTIF($J$6:$J123,TRUE()))</f>
        <v/>
      </c>
      <c r="L123" s="34" t="str">
        <f>IF($K123="","","R"&amp;$K123)</f>
        <v/>
      </c>
      <c r="M123" s="34" t="str">
        <f>IF($J123=FALSE(),"",IF(발주접수!$F14="세트",IFERROR(INDEX(세트구성!$C$3:$C$302,MATCH(발주접수!$D14&amp;"|"&amp;8,세트구성!$G$3:$G$302,0)),""),발주접수!$D14))</f>
        <v/>
      </c>
      <c r="N123" s="34" t="str">
        <f>IF($J123=FALSE(),"",IF(발주접수!$F14="세트",발주접수!$G14*IFERROR(INDEX(세트구성!$E$3:$E$302,MATCH(발주접수!$D14&amp;"|"&amp;8,세트구성!$G$3:$G$302,0)),0),발주접수!$G14))</f>
        <v/>
      </c>
      <c r="O123" s="34" t="str">
        <f>IF($J123=FALSE(),"",발주접수!$B14)</f>
        <v/>
      </c>
      <c r="P123" s="34" t="str">
        <f>IF($J123=FALSE(),"",발주접수!$C14)</f>
        <v/>
      </c>
      <c r="Q123" s="34" t="str">
        <f>IF($J123=FALSE(),"",IF(발주접수!$F14="세트",발주접수!$E14&amp;" 전개","직접 발주"))</f>
        <v/>
      </c>
    </row>
    <row r="124" ht="15" customHeight="1" s="30">
      <c r="A124" s="47" t="str">
        <f>IF($D124="","",119)</f>
        <v/>
      </c>
      <c r="B124" s="48" t="str">
        <f>IFERROR(INDEX(전개결과!$O$6:$O$1205,MATCH("R"&amp;119,전개결과!$L$6:$L$1205,0)),"")</f>
        <v/>
      </c>
      <c r="C124" s="40" t="str">
        <f>IF($D124="","",IFERROR(INDEX(전개결과!$P$6:$P$1205,MATCH("R"&amp;119,전개결과!$L$6:$L$1205,0)),""))</f>
        <v/>
      </c>
      <c r="D124" s="40" t="str">
        <f>IFERROR(INDEX(전개결과!$M$6:$M$1205,MATCH("R"&amp;119,전개결과!$L$6:$L$1205,0)),"")</f>
        <v/>
      </c>
      <c r="E124" s="40" t="str">
        <f>IF($D124="","",IFERROR(INDEX(품목목록!$B$3:$B$302,MATCH($D124,품목목록!$A$3:$A$302,0)),""))</f>
        <v/>
      </c>
      <c r="F124" s="47" t="str">
        <f>IF($D124="","",IFERROR(INDEX(품목목록!$D$3:$D$302,MATCH($D124,품목목록!$A$3:$A$302,0)),""))</f>
        <v/>
      </c>
      <c r="G124" s="49" t="str">
        <f>IFERROR(INDEX(전개결과!$N$6:$N$1205,MATCH("R"&amp;119,전개결과!$L$6:$L$1205,0)),"")</f>
        <v/>
      </c>
      <c r="H124" s="40" t="str">
        <f>IF($D124="","",IFERROR(INDEX(전개결과!$Q$6:$Q$1205,MATCH("R"&amp;119,전개결과!$L$6:$L$1205,0)),""))</f>
        <v/>
      </c>
      <c r="J124" s="50" t="b">
        <f>IF(발주접수!$D14="",FALSE(),IF(발주접수!$F14="세트",COUNTIF(세트구성!$G$3:$G$302,발주접수!$D14&amp;"|"&amp;9)&gt;0,8=0))</f>
        <v>0</v>
      </c>
      <c r="K124" s="34" t="str">
        <f>IF($J124=FALSE(),"",COUNTIF($J$6:$J124,TRUE()))</f>
        <v/>
      </c>
      <c r="L124" s="34" t="str">
        <f>IF($K124="","","R"&amp;$K124)</f>
        <v/>
      </c>
      <c r="M124" s="34" t="str">
        <f>IF($J124=FALSE(),"",IF(발주접수!$F14="세트",IFERROR(INDEX(세트구성!$C$3:$C$302,MATCH(발주접수!$D14&amp;"|"&amp;9,세트구성!$G$3:$G$302,0)),""),발주접수!$D14))</f>
        <v/>
      </c>
      <c r="N124" s="34" t="str">
        <f>IF($J124=FALSE(),"",IF(발주접수!$F14="세트",발주접수!$G14*IFERROR(INDEX(세트구성!$E$3:$E$302,MATCH(발주접수!$D14&amp;"|"&amp;9,세트구성!$G$3:$G$302,0)),0),발주접수!$G14))</f>
        <v/>
      </c>
      <c r="O124" s="34" t="str">
        <f>IF($J124=FALSE(),"",발주접수!$B14)</f>
        <v/>
      </c>
      <c r="P124" s="34" t="str">
        <f>IF($J124=FALSE(),"",발주접수!$C14)</f>
        <v/>
      </c>
      <c r="Q124" s="34" t="str">
        <f>IF($J124=FALSE(),"",IF(발주접수!$F14="세트",발주접수!$E14&amp;" 전개","직접 발주"))</f>
        <v/>
      </c>
    </row>
    <row r="125" ht="15" customHeight="1" s="30">
      <c r="A125" s="47" t="str">
        <f>IF($D125="","",120)</f>
        <v/>
      </c>
      <c r="B125" s="48" t="str">
        <f>IFERROR(INDEX(전개결과!$O$6:$O$1205,MATCH("R"&amp;120,전개결과!$L$6:$L$1205,0)),"")</f>
        <v/>
      </c>
      <c r="C125" s="40" t="str">
        <f>IF($D125="","",IFERROR(INDEX(전개결과!$P$6:$P$1205,MATCH("R"&amp;120,전개결과!$L$6:$L$1205,0)),""))</f>
        <v/>
      </c>
      <c r="D125" s="40" t="str">
        <f>IFERROR(INDEX(전개결과!$M$6:$M$1205,MATCH("R"&amp;120,전개결과!$L$6:$L$1205,0)),"")</f>
        <v/>
      </c>
      <c r="E125" s="40" t="str">
        <f>IF($D125="","",IFERROR(INDEX(품목목록!$B$3:$B$302,MATCH($D125,품목목록!$A$3:$A$302,0)),""))</f>
        <v/>
      </c>
      <c r="F125" s="47" t="str">
        <f>IF($D125="","",IFERROR(INDEX(품목목록!$D$3:$D$302,MATCH($D125,품목목록!$A$3:$A$302,0)),""))</f>
        <v/>
      </c>
      <c r="G125" s="49" t="str">
        <f>IFERROR(INDEX(전개결과!$N$6:$N$1205,MATCH("R"&amp;120,전개결과!$L$6:$L$1205,0)),"")</f>
        <v/>
      </c>
      <c r="H125" s="40" t="str">
        <f>IF($D125="","",IFERROR(INDEX(전개결과!$Q$6:$Q$1205,MATCH("R"&amp;120,전개결과!$L$6:$L$1205,0)),""))</f>
        <v/>
      </c>
      <c r="J125" s="50" t="b">
        <f>IF(발주접수!$D14="",FALSE(),IF(발주접수!$F14="세트",COUNTIF(세트구성!$G$3:$G$302,발주접수!$D14&amp;"|"&amp;10)&gt;0,9=0))</f>
        <v>0</v>
      </c>
      <c r="K125" s="34" t="str">
        <f>IF($J125=FALSE(),"",COUNTIF($J$6:$J125,TRUE()))</f>
        <v/>
      </c>
      <c r="L125" s="34" t="str">
        <f>IF($K125="","","R"&amp;$K125)</f>
        <v/>
      </c>
      <c r="M125" s="34" t="str">
        <f>IF($J125=FALSE(),"",IF(발주접수!$F14="세트",IFERROR(INDEX(세트구성!$C$3:$C$302,MATCH(발주접수!$D14&amp;"|"&amp;10,세트구성!$G$3:$G$302,0)),""),발주접수!$D14))</f>
        <v/>
      </c>
      <c r="N125" s="34" t="str">
        <f>IF($J125=FALSE(),"",IF(발주접수!$F14="세트",발주접수!$G14*IFERROR(INDEX(세트구성!$E$3:$E$302,MATCH(발주접수!$D14&amp;"|"&amp;10,세트구성!$G$3:$G$302,0)),0),발주접수!$G14))</f>
        <v/>
      </c>
      <c r="O125" s="34" t="str">
        <f>IF($J125=FALSE(),"",발주접수!$B14)</f>
        <v/>
      </c>
      <c r="P125" s="34" t="str">
        <f>IF($J125=FALSE(),"",발주접수!$C14)</f>
        <v/>
      </c>
      <c r="Q125" s="34" t="str">
        <f>IF($J125=FALSE(),"",IF(발주접수!$F14="세트",발주접수!$E14&amp;" 전개","직접 발주"))</f>
        <v/>
      </c>
    </row>
    <row r="126" ht="15" customHeight="1" s="30">
      <c r="A126" s="47" t="str">
        <f>IF($D126="","",121)</f>
        <v/>
      </c>
      <c r="B126" s="48" t="str">
        <f>IFERROR(INDEX(전개결과!$O$6:$O$1205,MATCH("R"&amp;121,전개결과!$L$6:$L$1205,0)),"")</f>
        <v/>
      </c>
      <c r="C126" s="40" t="str">
        <f>IF($D126="","",IFERROR(INDEX(전개결과!$P$6:$P$1205,MATCH("R"&amp;121,전개결과!$L$6:$L$1205,0)),""))</f>
        <v/>
      </c>
      <c r="D126" s="40" t="str">
        <f>IFERROR(INDEX(전개결과!$M$6:$M$1205,MATCH("R"&amp;121,전개결과!$L$6:$L$1205,0)),"")</f>
        <v/>
      </c>
      <c r="E126" s="40" t="str">
        <f>IF($D126="","",IFERROR(INDEX(품목목록!$B$3:$B$302,MATCH($D126,품목목록!$A$3:$A$302,0)),""))</f>
        <v/>
      </c>
      <c r="F126" s="47" t="str">
        <f>IF($D126="","",IFERROR(INDEX(품목목록!$D$3:$D$302,MATCH($D126,품목목록!$A$3:$A$302,0)),""))</f>
        <v/>
      </c>
      <c r="G126" s="49" t="str">
        <f>IFERROR(INDEX(전개결과!$N$6:$N$1205,MATCH("R"&amp;121,전개결과!$L$6:$L$1205,0)),"")</f>
        <v/>
      </c>
      <c r="H126" s="40" t="str">
        <f>IF($D126="","",IFERROR(INDEX(전개결과!$Q$6:$Q$1205,MATCH("R"&amp;121,전개결과!$L$6:$L$1205,0)),""))</f>
        <v/>
      </c>
      <c r="J126" s="50" t="b">
        <f>IF(발주접수!$D15="",FALSE(),IF(발주접수!$F15="세트",COUNTIF(세트구성!$G$3:$G$302,발주접수!$D15&amp;"|"&amp;1)&gt;0,0=0))</f>
        <v>0</v>
      </c>
      <c r="K126" s="34" t="str">
        <f>IF($J126=FALSE(),"",COUNTIF($J$6:$J126,TRUE()))</f>
        <v/>
      </c>
      <c r="L126" s="34" t="str">
        <f>IF($K126="","","R"&amp;$K126)</f>
        <v/>
      </c>
      <c r="M126" s="34" t="str">
        <f>IF($J126=FALSE(),"",IF(발주접수!$F15="세트",IFERROR(INDEX(세트구성!$C$3:$C$302,MATCH(발주접수!$D15&amp;"|"&amp;1,세트구성!$G$3:$G$302,0)),""),발주접수!$D15))</f>
        <v/>
      </c>
      <c r="N126" s="34" t="str">
        <f>IF($J126=FALSE(),"",IF(발주접수!$F15="세트",발주접수!$G15*IFERROR(INDEX(세트구성!$E$3:$E$302,MATCH(발주접수!$D15&amp;"|"&amp;1,세트구성!$G$3:$G$302,0)),0),발주접수!$G15))</f>
        <v/>
      </c>
      <c r="O126" s="34" t="str">
        <f>IF($J126=FALSE(),"",발주접수!$B15)</f>
        <v/>
      </c>
      <c r="P126" s="34" t="str">
        <f>IF($J126=FALSE(),"",발주접수!$C15)</f>
        <v/>
      </c>
      <c r="Q126" s="34" t="str">
        <f>IF($J126=FALSE(),"",IF(발주접수!$F15="세트",발주접수!$E15&amp;" 전개","직접 발주"))</f>
        <v/>
      </c>
    </row>
    <row r="127" ht="15" customHeight="1" s="30">
      <c r="A127" s="47" t="str">
        <f>IF($D127="","",122)</f>
        <v/>
      </c>
      <c r="B127" s="48" t="str">
        <f>IFERROR(INDEX(전개결과!$O$6:$O$1205,MATCH("R"&amp;122,전개결과!$L$6:$L$1205,0)),"")</f>
        <v/>
      </c>
      <c r="C127" s="40" t="str">
        <f>IF($D127="","",IFERROR(INDEX(전개결과!$P$6:$P$1205,MATCH("R"&amp;122,전개결과!$L$6:$L$1205,0)),""))</f>
        <v/>
      </c>
      <c r="D127" s="40" t="str">
        <f>IFERROR(INDEX(전개결과!$M$6:$M$1205,MATCH("R"&amp;122,전개결과!$L$6:$L$1205,0)),"")</f>
        <v/>
      </c>
      <c r="E127" s="40" t="str">
        <f>IF($D127="","",IFERROR(INDEX(품목목록!$B$3:$B$302,MATCH($D127,품목목록!$A$3:$A$302,0)),""))</f>
        <v/>
      </c>
      <c r="F127" s="47" t="str">
        <f>IF($D127="","",IFERROR(INDEX(품목목록!$D$3:$D$302,MATCH($D127,품목목록!$A$3:$A$302,0)),""))</f>
        <v/>
      </c>
      <c r="G127" s="49" t="str">
        <f>IFERROR(INDEX(전개결과!$N$6:$N$1205,MATCH("R"&amp;122,전개결과!$L$6:$L$1205,0)),"")</f>
        <v/>
      </c>
      <c r="H127" s="40" t="str">
        <f>IF($D127="","",IFERROR(INDEX(전개결과!$Q$6:$Q$1205,MATCH("R"&amp;122,전개결과!$L$6:$L$1205,0)),""))</f>
        <v/>
      </c>
      <c r="J127" s="50" t="b">
        <f>IF(발주접수!$D15="",FALSE(),IF(발주접수!$F15="세트",COUNTIF(세트구성!$G$3:$G$302,발주접수!$D15&amp;"|"&amp;2)&gt;0,1=0))</f>
        <v>0</v>
      </c>
      <c r="K127" s="34" t="str">
        <f>IF($J127=FALSE(),"",COUNTIF($J$6:$J127,TRUE()))</f>
        <v/>
      </c>
      <c r="L127" s="34" t="str">
        <f>IF($K127="","","R"&amp;$K127)</f>
        <v/>
      </c>
      <c r="M127" s="34" t="str">
        <f>IF($J127=FALSE(),"",IF(발주접수!$F15="세트",IFERROR(INDEX(세트구성!$C$3:$C$302,MATCH(발주접수!$D15&amp;"|"&amp;2,세트구성!$G$3:$G$302,0)),""),발주접수!$D15))</f>
        <v/>
      </c>
      <c r="N127" s="34" t="str">
        <f>IF($J127=FALSE(),"",IF(발주접수!$F15="세트",발주접수!$G15*IFERROR(INDEX(세트구성!$E$3:$E$302,MATCH(발주접수!$D15&amp;"|"&amp;2,세트구성!$G$3:$G$302,0)),0),발주접수!$G15))</f>
        <v/>
      </c>
      <c r="O127" s="34" t="str">
        <f>IF($J127=FALSE(),"",발주접수!$B15)</f>
        <v/>
      </c>
      <c r="P127" s="34" t="str">
        <f>IF($J127=FALSE(),"",발주접수!$C15)</f>
        <v/>
      </c>
      <c r="Q127" s="34" t="str">
        <f>IF($J127=FALSE(),"",IF(발주접수!$F15="세트",발주접수!$E15&amp;" 전개","직접 발주"))</f>
        <v/>
      </c>
    </row>
    <row r="128" ht="15" customHeight="1" s="30">
      <c r="A128" s="47" t="str">
        <f>IF($D128="","",123)</f>
        <v/>
      </c>
      <c r="B128" s="48" t="str">
        <f>IFERROR(INDEX(전개결과!$O$6:$O$1205,MATCH("R"&amp;123,전개결과!$L$6:$L$1205,0)),"")</f>
        <v/>
      </c>
      <c r="C128" s="40" t="str">
        <f>IF($D128="","",IFERROR(INDEX(전개결과!$P$6:$P$1205,MATCH("R"&amp;123,전개결과!$L$6:$L$1205,0)),""))</f>
        <v/>
      </c>
      <c r="D128" s="40" t="str">
        <f>IFERROR(INDEX(전개결과!$M$6:$M$1205,MATCH("R"&amp;123,전개결과!$L$6:$L$1205,0)),"")</f>
        <v/>
      </c>
      <c r="E128" s="40" t="str">
        <f>IF($D128="","",IFERROR(INDEX(품목목록!$B$3:$B$302,MATCH($D128,품목목록!$A$3:$A$302,0)),""))</f>
        <v/>
      </c>
      <c r="F128" s="47" t="str">
        <f>IF($D128="","",IFERROR(INDEX(품목목록!$D$3:$D$302,MATCH($D128,품목목록!$A$3:$A$302,0)),""))</f>
        <v/>
      </c>
      <c r="G128" s="49" t="str">
        <f>IFERROR(INDEX(전개결과!$N$6:$N$1205,MATCH("R"&amp;123,전개결과!$L$6:$L$1205,0)),"")</f>
        <v/>
      </c>
      <c r="H128" s="40" t="str">
        <f>IF($D128="","",IFERROR(INDEX(전개결과!$Q$6:$Q$1205,MATCH("R"&amp;123,전개결과!$L$6:$L$1205,0)),""))</f>
        <v/>
      </c>
      <c r="J128" s="50" t="b">
        <f>IF(발주접수!$D15="",FALSE(),IF(발주접수!$F15="세트",COUNTIF(세트구성!$G$3:$G$302,발주접수!$D15&amp;"|"&amp;3)&gt;0,2=0))</f>
        <v>0</v>
      </c>
      <c r="K128" s="34" t="str">
        <f>IF($J128=FALSE(),"",COUNTIF($J$6:$J128,TRUE()))</f>
        <v/>
      </c>
      <c r="L128" s="34" t="str">
        <f>IF($K128="","","R"&amp;$K128)</f>
        <v/>
      </c>
      <c r="M128" s="34" t="str">
        <f>IF($J128=FALSE(),"",IF(발주접수!$F15="세트",IFERROR(INDEX(세트구성!$C$3:$C$302,MATCH(발주접수!$D15&amp;"|"&amp;3,세트구성!$G$3:$G$302,0)),""),발주접수!$D15))</f>
        <v/>
      </c>
      <c r="N128" s="34" t="str">
        <f>IF($J128=FALSE(),"",IF(발주접수!$F15="세트",발주접수!$G15*IFERROR(INDEX(세트구성!$E$3:$E$302,MATCH(발주접수!$D15&amp;"|"&amp;3,세트구성!$G$3:$G$302,0)),0),발주접수!$G15))</f>
        <v/>
      </c>
      <c r="O128" s="34" t="str">
        <f>IF($J128=FALSE(),"",발주접수!$B15)</f>
        <v/>
      </c>
      <c r="P128" s="34" t="str">
        <f>IF($J128=FALSE(),"",발주접수!$C15)</f>
        <v/>
      </c>
      <c r="Q128" s="34" t="str">
        <f>IF($J128=FALSE(),"",IF(발주접수!$F15="세트",발주접수!$E15&amp;" 전개","직접 발주"))</f>
        <v/>
      </c>
    </row>
    <row r="129" ht="15" customHeight="1" s="30">
      <c r="A129" s="47" t="str">
        <f>IF($D129="","",124)</f>
        <v/>
      </c>
      <c r="B129" s="48" t="str">
        <f>IFERROR(INDEX(전개결과!$O$6:$O$1205,MATCH("R"&amp;124,전개결과!$L$6:$L$1205,0)),"")</f>
        <v/>
      </c>
      <c r="C129" s="40" t="str">
        <f>IF($D129="","",IFERROR(INDEX(전개결과!$P$6:$P$1205,MATCH("R"&amp;124,전개결과!$L$6:$L$1205,0)),""))</f>
        <v/>
      </c>
      <c r="D129" s="40" t="str">
        <f>IFERROR(INDEX(전개결과!$M$6:$M$1205,MATCH("R"&amp;124,전개결과!$L$6:$L$1205,0)),"")</f>
        <v/>
      </c>
      <c r="E129" s="40" t="str">
        <f>IF($D129="","",IFERROR(INDEX(품목목록!$B$3:$B$302,MATCH($D129,품목목록!$A$3:$A$302,0)),""))</f>
        <v/>
      </c>
      <c r="F129" s="47" t="str">
        <f>IF($D129="","",IFERROR(INDEX(품목목록!$D$3:$D$302,MATCH($D129,품목목록!$A$3:$A$302,0)),""))</f>
        <v/>
      </c>
      <c r="G129" s="49" t="str">
        <f>IFERROR(INDEX(전개결과!$N$6:$N$1205,MATCH("R"&amp;124,전개결과!$L$6:$L$1205,0)),"")</f>
        <v/>
      </c>
      <c r="H129" s="40" t="str">
        <f>IF($D129="","",IFERROR(INDEX(전개결과!$Q$6:$Q$1205,MATCH("R"&amp;124,전개결과!$L$6:$L$1205,0)),""))</f>
        <v/>
      </c>
      <c r="J129" s="50" t="b">
        <f>IF(발주접수!$D15="",FALSE(),IF(발주접수!$F15="세트",COUNTIF(세트구성!$G$3:$G$302,발주접수!$D15&amp;"|"&amp;4)&gt;0,3=0))</f>
        <v>0</v>
      </c>
      <c r="K129" s="34" t="str">
        <f>IF($J129=FALSE(),"",COUNTIF($J$6:$J129,TRUE()))</f>
        <v/>
      </c>
      <c r="L129" s="34" t="str">
        <f>IF($K129="","","R"&amp;$K129)</f>
        <v/>
      </c>
      <c r="M129" s="34" t="str">
        <f>IF($J129=FALSE(),"",IF(발주접수!$F15="세트",IFERROR(INDEX(세트구성!$C$3:$C$302,MATCH(발주접수!$D15&amp;"|"&amp;4,세트구성!$G$3:$G$302,0)),""),발주접수!$D15))</f>
        <v/>
      </c>
      <c r="N129" s="34" t="str">
        <f>IF($J129=FALSE(),"",IF(발주접수!$F15="세트",발주접수!$G15*IFERROR(INDEX(세트구성!$E$3:$E$302,MATCH(발주접수!$D15&amp;"|"&amp;4,세트구성!$G$3:$G$302,0)),0),발주접수!$G15))</f>
        <v/>
      </c>
      <c r="O129" s="34" t="str">
        <f>IF($J129=FALSE(),"",발주접수!$B15)</f>
        <v/>
      </c>
      <c r="P129" s="34" t="str">
        <f>IF($J129=FALSE(),"",발주접수!$C15)</f>
        <v/>
      </c>
      <c r="Q129" s="34" t="str">
        <f>IF($J129=FALSE(),"",IF(발주접수!$F15="세트",발주접수!$E15&amp;" 전개","직접 발주"))</f>
        <v/>
      </c>
    </row>
    <row r="130" ht="15" customHeight="1" s="30">
      <c r="A130" s="47" t="str">
        <f>IF($D130="","",125)</f>
        <v/>
      </c>
      <c r="B130" s="48" t="str">
        <f>IFERROR(INDEX(전개결과!$O$6:$O$1205,MATCH("R"&amp;125,전개결과!$L$6:$L$1205,0)),"")</f>
        <v/>
      </c>
      <c r="C130" s="40" t="str">
        <f>IF($D130="","",IFERROR(INDEX(전개결과!$P$6:$P$1205,MATCH("R"&amp;125,전개결과!$L$6:$L$1205,0)),""))</f>
        <v/>
      </c>
      <c r="D130" s="40" t="str">
        <f>IFERROR(INDEX(전개결과!$M$6:$M$1205,MATCH("R"&amp;125,전개결과!$L$6:$L$1205,0)),"")</f>
        <v/>
      </c>
      <c r="E130" s="40" t="str">
        <f>IF($D130="","",IFERROR(INDEX(품목목록!$B$3:$B$302,MATCH($D130,품목목록!$A$3:$A$302,0)),""))</f>
        <v/>
      </c>
      <c r="F130" s="47" t="str">
        <f>IF($D130="","",IFERROR(INDEX(품목목록!$D$3:$D$302,MATCH($D130,품목목록!$A$3:$A$302,0)),""))</f>
        <v/>
      </c>
      <c r="G130" s="49" t="str">
        <f>IFERROR(INDEX(전개결과!$N$6:$N$1205,MATCH("R"&amp;125,전개결과!$L$6:$L$1205,0)),"")</f>
        <v/>
      </c>
      <c r="H130" s="40" t="str">
        <f>IF($D130="","",IFERROR(INDEX(전개결과!$Q$6:$Q$1205,MATCH("R"&amp;125,전개결과!$L$6:$L$1205,0)),""))</f>
        <v/>
      </c>
      <c r="J130" s="50" t="b">
        <f>IF(발주접수!$D15="",FALSE(),IF(발주접수!$F15="세트",COUNTIF(세트구성!$G$3:$G$302,발주접수!$D15&amp;"|"&amp;5)&gt;0,4=0))</f>
        <v>0</v>
      </c>
      <c r="K130" s="34" t="str">
        <f>IF($J130=FALSE(),"",COUNTIF($J$6:$J130,TRUE()))</f>
        <v/>
      </c>
      <c r="L130" s="34" t="str">
        <f>IF($K130="","","R"&amp;$K130)</f>
        <v/>
      </c>
      <c r="M130" s="34" t="str">
        <f>IF($J130=FALSE(),"",IF(발주접수!$F15="세트",IFERROR(INDEX(세트구성!$C$3:$C$302,MATCH(발주접수!$D15&amp;"|"&amp;5,세트구성!$G$3:$G$302,0)),""),발주접수!$D15))</f>
        <v/>
      </c>
      <c r="N130" s="34" t="str">
        <f>IF($J130=FALSE(),"",IF(발주접수!$F15="세트",발주접수!$G15*IFERROR(INDEX(세트구성!$E$3:$E$302,MATCH(발주접수!$D15&amp;"|"&amp;5,세트구성!$G$3:$G$302,0)),0),발주접수!$G15))</f>
        <v/>
      </c>
      <c r="O130" s="34" t="str">
        <f>IF($J130=FALSE(),"",발주접수!$B15)</f>
        <v/>
      </c>
      <c r="P130" s="34" t="str">
        <f>IF($J130=FALSE(),"",발주접수!$C15)</f>
        <v/>
      </c>
      <c r="Q130" s="34" t="str">
        <f>IF($J130=FALSE(),"",IF(발주접수!$F15="세트",발주접수!$E15&amp;" 전개","직접 발주"))</f>
        <v/>
      </c>
    </row>
    <row r="131" ht="15" customHeight="1" s="30">
      <c r="A131" s="47" t="str">
        <f>IF($D131="","",126)</f>
        <v/>
      </c>
      <c r="B131" s="48" t="str">
        <f>IFERROR(INDEX(전개결과!$O$6:$O$1205,MATCH("R"&amp;126,전개결과!$L$6:$L$1205,0)),"")</f>
        <v/>
      </c>
      <c r="C131" s="40" t="str">
        <f>IF($D131="","",IFERROR(INDEX(전개결과!$P$6:$P$1205,MATCH("R"&amp;126,전개결과!$L$6:$L$1205,0)),""))</f>
        <v/>
      </c>
      <c r="D131" s="40" t="str">
        <f>IFERROR(INDEX(전개결과!$M$6:$M$1205,MATCH("R"&amp;126,전개결과!$L$6:$L$1205,0)),"")</f>
        <v/>
      </c>
      <c r="E131" s="40" t="str">
        <f>IF($D131="","",IFERROR(INDEX(품목목록!$B$3:$B$302,MATCH($D131,품목목록!$A$3:$A$302,0)),""))</f>
        <v/>
      </c>
      <c r="F131" s="47" t="str">
        <f>IF($D131="","",IFERROR(INDEX(품목목록!$D$3:$D$302,MATCH($D131,품목목록!$A$3:$A$302,0)),""))</f>
        <v/>
      </c>
      <c r="G131" s="49" t="str">
        <f>IFERROR(INDEX(전개결과!$N$6:$N$1205,MATCH("R"&amp;126,전개결과!$L$6:$L$1205,0)),"")</f>
        <v/>
      </c>
      <c r="H131" s="40" t="str">
        <f>IF($D131="","",IFERROR(INDEX(전개결과!$Q$6:$Q$1205,MATCH("R"&amp;126,전개결과!$L$6:$L$1205,0)),""))</f>
        <v/>
      </c>
      <c r="J131" s="50" t="b">
        <f>IF(발주접수!$D15="",FALSE(),IF(발주접수!$F15="세트",COUNTIF(세트구성!$G$3:$G$302,발주접수!$D15&amp;"|"&amp;6)&gt;0,5=0))</f>
        <v>0</v>
      </c>
      <c r="K131" s="34" t="str">
        <f>IF($J131=FALSE(),"",COUNTIF($J$6:$J131,TRUE()))</f>
        <v/>
      </c>
      <c r="L131" s="34" t="str">
        <f>IF($K131="","","R"&amp;$K131)</f>
        <v/>
      </c>
      <c r="M131" s="34" t="str">
        <f>IF($J131=FALSE(),"",IF(발주접수!$F15="세트",IFERROR(INDEX(세트구성!$C$3:$C$302,MATCH(발주접수!$D15&amp;"|"&amp;6,세트구성!$G$3:$G$302,0)),""),발주접수!$D15))</f>
        <v/>
      </c>
      <c r="N131" s="34" t="str">
        <f>IF($J131=FALSE(),"",IF(발주접수!$F15="세트",발주접수!$G15*IFERROR(INDEX(세트구성!$E$3:$E$302,MATCH(발주접수!$D15&amp;"|"&amp;6,세트구성!$G$3:$G$302,0)),0),발주접수!$G15))</f>
        <v/>
      </c>
      <c r="O131" s="34" t="str">
        <f>IF($J131=FALSE(),"",발주접수!$B15)</f>
        <v/>
      </c>
      <c r="P131" s="34" t="str">
        <f>IF($J131=FALSE(),"",발주접수!$C15)</f>
        <v/>
      </c>
      <c r="Q131" s="34" t="str">
        <f>IF($J131=FALSE(),"",IF(발주접수!$F15="세트",발주접수!$E15&amp;" 전개","직접 발주"))</f>
        <v/>
      </c>
    </row>
    <row r="132" ht="15" customHeight="1" s="30">
      <c r="A132" s="47" t="str">
        <f>IF($D132="","",127)</f>
        <v/>
      </c>
      <c r="B132" s="48" t="str">
        <f>IFERROR(INDEX(전개결과!$O$6:$O$1205,MATCH("R"&amp;127,전개결과!$L$6:$L$1205,0)),"")</f>
        <v/>
      </c>
      <c r="C132" s="40" t="str">
        <f>IF($D132="","",IFERROR(INDEX(전개결과!$P$6:$P$1205,MATCH("R"&amp;127,전개결과!$L$6:$L$1205,0)),""))</f>
        <v/>
      </c>
      <c r="D132" s="40" t="str">
        <f>IFERROR(INDEX(전개결과!$M$6:$M$1205,MATCH("R"&amp;127,전개결과!$L$6:$L$1205,0)),"")</f>
        <v/>
      </c>
      <c r="E132" s="40" t="str">
        <f>IF($D132="","",IFERROR(INDEX(품목목록!$B$3:$B$302,MATCH($D132,품목목록!$A$3:$A$302,0)),""))</f>
        <v/>
      </c>
      <c r="F132" s="47" t="str">
        <f>IF($D132="","",IFERROR(INDEX(품목목록!$D$3:$D$302,MATCH($D132,품목목록!$A$3:$A$302,0)),""))</f>
        <v/>
      </c>
      <c r="G132" s="49" t="str">
        <f>IFERROR(INDEX(전개결과!$N$6:$N$1205,MATCH("R"&amp;127,전개결과!$L$6:$L$1205,0)),"")</f>
        <v/>
      </c>
      <c r="H132" s="40" t="str">
        <f>IF($D132="","",IFERROR(INDEX(전개결과!$Q$6:$Q$1205,MATCH("R"&amp;127,전개결과!$L$6:$L$1205,0)),""))</f>
        <v/>
      </c>
      <c r="J132" s="50" t="b">
        <f>IF(발주접수!$D15="",FALSE(),IF(발주접수!$F15="세트",COUNTIF(세트구성!$G$3:$G$302,발주접수!$D15&amp;"|"&amp;7)&gt;0,6=0))</f>
        <v>0</v>
      </c>
      <c r="K132" s="34" t="str">
        <f>IF($J132=FALSE(),"",COUNTIF($J$6:$J132,TRUE()))</f>
        <v/>
      </c>
      <c r="L132" s="34" t="str">
        <f>IF($K132="","","R"&amp;$K132)</f>
        <v/>
      </c>
      <c r="M132" s="34" t="str">
        <f>IF($J132=FALSE(),"",IF(발주접수!$F15="세트",IFERROR(INDEX(세트구성!$C$3:$C$302,MATCH(발주접수!$D15&amp;"|"&amp;7,세트구성!$G$3:$G$302,0)),""),발주접수!$D15))</f>
        <v/>
      </c>
      <c r="N132" s="34" t="str">
        <f>IF($J132=FALSE(),"",IF(발주접수!$F15="세트",발주접수!$G15*IFERROR(INDEX(세트구성!$E$3:$E$302,MATCH(발주접수!$D15&amp;"|"&amp;7,세트구성!$G$3:$G$302,0)),0),발주접수!$G15))</f>
        <v/>
      </c>
      <c r="O132" s="34" t="str">
        <f>IF($J132=FALSE(),"",발주접수!$B15)</f>
        <v/>
      </c>
      <c r="P132" s="34" t="str">
        <f>IF($J132=FALSE(),"",발주접수!$C15)</f>
        <v/>
      </c>
      <c r="Q132" s="34" t="str">
        <f>IF($J132=FALSE(),"",IF(발주접수!$F15="세트",발주접수!$E15&amp;" 전개","직접 발주"))</f>
        <v/>
      </c>
    </row>
    <row r="133" ht="15" customHeight="1" s="30">
      <c r="A133" s="47" t="str">
        <f>IF($D133="","",128)</f>
        <v/>
      </c>
      <c r="B133" s="48" t="str">
        <f>IFERROR(INDEX(전개결과!$O$6:$O$1205,MATCH("R"&amp;128,전개결과!$L$6:$L$1205,0)),"")</f>
        <v/>
      </c>
      <c r="C133" s="40" t="str">
        <f>IF($D133="","",IFERROR(INDEX(전개결과!$P$6:$P$1205,MATCH("R"&amp;128,전개결과!$L$6:$L$1205,0)),""))</f>
        <v/>
      </c>
      <c r="D133" s="40" t="str">
        <f>IFERROR(INDEX(전개결과!$M$6:$M$1205,MATCH("R"&amp;128,전개결과!$L$6:$L$1205,0)),"")</f>
        <v/>
      </c>
      <c r="E133" s="40" t="str">
        <f>IF($D133="","",IFERROR(INDEX(품목목록!$B$3:$B$302,MATCH($D133,품목목록!$A$3:$A$302,0)),""))</f>
        <v/>
      </c>
      <c r="F133" s="47" t="str">
        <f>IF($D133="","",IFERROR(INDEX(품목목록!$D$3:$D$302,MATCH($D133,품목목록!$A$3:$A$302,0)),""))</f>
        <v/>
      </c>
      <c r="G133" s="49" t="str">
        <f>IFERROR(INDEX(전개결과!$N$6:$N$1205,MATCH("R"&amp;128,전개결과!$L$6:$L$1205,0)),"")</f>
        <v/>
      </c>
      <c r="H133" s="40" t="str">
        <f>IF($D133="","",IFERROR(INDEX(전개결과!$Q$6:$Q$1205,MATCH("R"&amp;128,전개결과!$L$6:$L$1205,0)),""))</f>
        <v/>
      </c>
      <c r="J133" s="50" t="b">
        <f>IF(발주접수!$D15="",FALSE(),IF(발주접수!$F15="세트",COUNTIF(세트구성!$G$3:$G$302,발주접수!$D15&amp;"|"&amp;8)&gt;0,7=0))</f>
        <v>0</v>
      </c>
      <c r="K133" s="34" t="str">
        <f>IF($J133=FALSE(),"",COUNTIF($J$6:$J133,TRUE()))</f>
        <v/>
      </c>
      <c r="L133" s="34" t="str">
        <f>IF($K133="","","R"&amp;$K133)</f>
        <v/>
      </c>
      <c r="M133" s="34" t="str">
        <f>IF($J133=FALSE(),"",IF(발주접수!$F15="세트",IFERROR(INDEX(세트구성!$C$3:$C$302,MATCH(발주접수!$D15&amp;"|"&amp;8,세트구성!$G$3:$G$302,0)),""),발주접수!$D15))</f>
        <v/>
      </c>
      <c r="N133" s="34" t="str">
        <f>IF($J133=FALSE(),"",IF(발주접수!$F15="세트",발주접수!$G15*IFERROR(INDEX(세트구성!$E$3:$E$302,MATCH(발주접수!$D15&amp;"|"&amp;8,세트구성!$G$3:$G$302,0)),0),발주접수!$G15))</f>
        <v/>
      </c>
      <c r="O133" s="34" t="str">
        <f>IF($J133=FALSE(),"",발주접수!$B15)</f>
        <v/>
      </c>
      <c r="P133" s="34" t="str">
        <f>IF($J133=FALSE(),"",발주접수!$C15)</f>
        <v/>
      </c>
      <c r="Q133" s="34" t="str">
        <f>IF($J133=FALSE(),"",IF(발주접수!$F15="세트",발주접수!$E15&amp;" 전개","직접 발주"))</f>
        <v/>
      </c>
    </row>
    <row r="134" ht="15" customHeight="1" s="30">
      <c r="A134" s="47" t="str">
        <f>IF($D134="","",129)</f>
        <v/>
      </c>
      <c r="B134" s="48" t="str">
        <f>IFERROR(INDEX(전개결과!$O$6:$O$1205,MATCH("R"&amp;129,전개결과!$L$6:$L$1205,0)),"")</f>
        <v/>
      </c>
      <c r="C134" s="40" t="str">
        <f>IF($D134="","",IFERROR(INDEX(전개결과!$P$6:$P$1205,MATCH("R"&amp;129,전개결과!$L$6:$L$1205,0)),""))</f>
        <v/>
      </c>
      <c r="D134" s="40" t="str">
        <f>IFERROR(INDEX(전개결과!$M$6:$M$1205,MATCH("R"&amp;129,전개결과!$L$6:$L$1205,0)),"")</f>
        <v/>
      </c>
      <c r="E134" s="40" t="str">
        <f>IF($D134="","",IFERROR(INDEX(품목목록!$B$3:$B$302,MATCH($D134,품목목록!$A$3:$A$302,0)),""))</f>
        <v/>
      </c>
      <c r="F134" s="47" t="str">
        <f>IF($D134="","",IFERROR(INDEX(품목목록!$D$3:$D$302,MATCH($D134,품목목록!$A$3:$A$302,0)),""))</f>
        <v/>
      </c>
      <c r="G134" s="49" t="str">
        <f>IFERROR(INDEX(전개결과!$N$6:$N$1205,MATCH("R"&amp;129,전개결과!$L$6:$L$1205,0)),"")</f>
        <v/>
      </c>
      <c r="H134" s="40" t="str">
        <f>IF($D134="","",IFERROR(INDEX(전개결과!$Q$6:$Q$1205,MATCH("R"&amp;129,전개결과!$L$6:$L$1205,0)),""))</f>
        <v/>
      </c>
      <c r="J134" s="50" t="b">
        <f>IF(발주접수!$D15="",FALSE(),IF(발주접수!$F15="세트",COUNTIF(세트구성!$G$3:$G$302,발주접수!$D15&amp;"|"&amp;9)&gt;0,8=0))</f>
        <v>0</v>
      </c>
      <c r="K134" s="34" t="str">
        <f>IF($J134=FALSE(),"",COUNTIF($J$6:$J134,TRUE()))</f>
        <v/>
      </c>
      <c r="L134" s="34" t="str">
        <f>IF($K134="","","R"&amp;$K134)</f>
        <v/>
      </c>
      <c r="M134" s="34" t="str">
        <f>IF($J134=FALSE(),"",IF(발주접수!$F15="세트",IFERROR(INDEX(세트구성!$C$3:$C$302,MATCH(발주접수!$D15&amp;"|"&amp;9,세트구성!$G$3:$G$302,0)),""),발주접수!$D15))</f>
        <v/>
      </c>
      <c r="N134" s="34" t="str">
        <f>IF($J134=FALSE(),"",IF(발주접수!$F15="세트",발주접수!$G15*IFERROR(INDEX(세트구성!$E$3:$E$302,MATCH(발주접수!$D15&amp;"|"&amp;9,세트구성!$G$3:$G$302,0)),0),발주접수!$G15))</f>
        <v/>
      </c>
      <c r="O134" s="34" t="str">
        <f>IF($J134=FALSE(),"",발주접수!$B15)</f>
        <v/>
      </c>
      <c r="P134" s="34" t="str">
        <f>IF($J134=FALSE(),"",발주접수!$C15)</f>
        <v/>
      </c>
      <c r="Q134" s="34" t="str">
        <f>IF($J134=FALSE(),"",IF(발주접수!$F15="세트",발주접수!$E15&amp;" 전개","직접 발주"))</f>
        <v/>
      </c>
    </row>
    <row r="135" ht="15" customHeight="1" s="30">
      <c r="A135" s="47" t="str">
        <f>IF($D135="","",130)</f>
        <v/>
      </c>
      <c r="B135" s="48" t="str">
        <f>IFERROR(INDEX(전개결과!$O$6:$O$1205,MATCH("R"&amp;130,전개결과!$L$6:$L$1205,0)),"")</f>
        <v/>
      </c>
      <c r="C135" s="40" t="str">
        <f>IF($D135="","",IFERROR(INDEX(전개결과!$P$6:$P$1205,MATCH("R"&amp;130,전개결과!$L$6:$L$1205,0)),""))</f>
        <v/>
      </c>
      <c r="D135" s="40" t="str">
        <f>IFERROR(INDEX(전개결과!$M$6:$M$1205,MATCH("R"&amp;130,전개결과!$L$6:$L$1205,0)),"")</f>
        <v/>
      </c>
      <c r="E135" s="40" t="str">
        <f>IF($D135="","",IFERROR(INDEX(품목목록!$B$3:$B$302,MATCH($D135,품목목록!$A$3:$A$302,0)),""))</f>
        <v/>
      </c>
      <c r="F135" s="47" t="str">
        <f>IF($D135="","",IFERROR(INDEX(품목목록!$D$3:$D$302,MATCH($D135,품목목록!$A$3:$A$302,0)),""))</f>
        <v/>
      </c>
      <c r="G135" s="49" t="str">
        <f>IFERROR(INDEX(전개결과!$N$6:$N$1205,MATCH("R"&amp;130,전개결과!$L$6:$L$1205,0)),"")</f>
        <v/>
      </c>
      <c r="H135" s="40" t="str">
        <f>IF($D135="","",IFERROR(INDEX(전개결과!$Q$6:$Q$1205,MATCH("R"&amp;130,전개결과!$L$6:$L$1205,0)),""))</f>
        <v/>
      </c>
      <c r="J135" s="50" t="b">
        <f>IF(발주접수!$D15="",FALSE(),IF(발주접수!$F15="세트",COUNTIF(세트구성!$G$3:$G$302,발주접수!$D15&amp;"|"&amp;10)&gt;0,9=0))</f>
        <v>0</v>
      </c>
      <c r="K135" s="34" t="str">
        <f>IF($J135=FALSE(),"",COUNTIF($J$6:$J135,TRUE()))</f>
        <v/>
      </c>
      <c r="L135" s="34" t="str">
        <f>IF($K135="","","R"&amp;$K135)</f>
        <v/>
      </c>
      <c r="M135" s="34" t="str">
        <f>IF($J135=FALSE(),"",IF(발주접수!$F15="세트",IFERROR(INDEX(세트구성!$C$3:$C$302,MATCH(발주접수!$D15&amp;"|"&amp;10,세트구성!$G$3:$G$302,0)),""),발주접수!$D15))</f>
        <v/>
      </c>
      <c r="N135" s="34" t="str">
        <f>IF($J135=FALSE(),"",IF(발주접수!$F15="세트",발주접수!$G15*IFERROR(INDEX(세트구성!$E$3:$E$302,MATCH(발주접수!$D15&amp;"|"&amp;10,세트구성!$G$3:$G$302,0)),0),발주접수!$G15))</f>
        <v/>
      </c>
      <c r="O135" s="34" t="str">
        <f>IF($J135=FALSE(),"",발주접수!$B15)</f>
        <v/>
      </c>
      <c r="P135" s="34" t="str">
        <f>IF($J135=FALSE(),"",발주접수!$C15)</f>
        <v/>
      </c>
      <c r="Q135" s="34" t="str">
        <f>IF($J135=FALSE(),"",IF(발주접수!$F15="세트",발주접수!$E15&amp;" 전개","직접 발주"))</f>
        <v/>
      </c>
    </row>
    <row r="136" ht="15" customHeight="1" s="30">
      <c r="A136" s="47" t="str">
        <f>IF($D136="","",131)</f>
        <v/>
      </c>
      <c r="B136" s="48" t="str">
        <f>IFERROR(INDEX(전개결과!$O$6:$O$1205,MATCH("R"&amp;131,전개결과!$L$6:$L$1205,0)),"")</f>
        <v/>
      </c>
      <c r="C136" s="40" t="str">
        <f>IF($D136="","",IFERROR(INDEX(전개결과!$P$6:$P$1205,MATCH("R"&amp;131,전개결과!$L$6:$L$1205,0)),""))</f>
        <v/>
      </c>
      <c r="D136" s="40" t="str">
        <f>IFERROR(INDEX(전개결과!$M$6:$M$1205,MATCH("R"&amp;131,전개결과!$L$6:$L$1205,0)),"")</f>
        <v/>
      </c>
      <c r="E136" s="40" t="str">
        <f>IF($D136="","",IFERROR(INDEX(품목목록!$B$3:$B$302,MATCH($D136,품목목록!$A$3:$A$302,0)),""))</f>
        <v/>
      </c>
      <c r="F136" s="47" t="str">
        <f>IF($D136="","",IFERROR(INDEX(품목목록!$D$3:$D$302,MATCH($D136,품목목록!$A$3:$A$302,0)),""))</f>
        <v/>
      </c>
      <c r="G136" s="49" t="str">
        <f>IFERROR(INDEX(전개결과!$N$6:$N$1205,MATCH("R"&amp;131,전개결과!$L$6:$L$1205,0)),"")</f>
        <v/>
      </c>
      <c r="H136" s="40" t="str">
        <f>IF($D136="","",IFERROR(INDEX(전개결과!$Q$6:$Q$1205,MATCH("R"&amp;131,전개결과!$L$6:$L$1205,0)),""))</f>
        <v/>
      </c>
      <c r="J136" s="50" t="b">
        <f>IF(발주접수!$D16="",FALSE(),IF(발주접수!$F16="세트",COUNTIF(세트구성!$G$3:$G$302,발주접수!$D16&amp;"|"&amp;1)&gt;0,0=0))</f>
        <v>0</v>
      </c>
      <c r="K136" s="34" t="str">
        <f>IF($J136=FALSE(),"",COUNTIF($J$6:$J136,TRUE()))</f>
        <v/>
      </c>
      <c r="L136" s="34" t="str">
        <f>IF($K136="","","R"&amp;$K136)</f>
        <v/>
      </c>
      <c r="M136" s="34" t="str">
        <f>IF($J136=FALSE(),"",IF(발주접수!$F16="세트",IFERROR(INDEX(세트구성!$C$3:$C$302,MATCH(발주접수!$D16&amp;"|"&amp;1,세트구성!$G$3:$G$302,0)),""),발주접수!$D16))</f>
        <v/>
      </c>
      <c r="N136" s="34" t="str">
        <f>IF($J136=FALSE(),"",IF(발주접수!$F16="세트",발주접수!$G16*IFERROR(INDEX(세트구성!$E$3:$E$302,MATCH(발주접수!$D16&amp;"|"&amp;1,세트구성!$G$3:$G$302,0)),0),발주접수!$G16))</f>
        <v/>
      </c>
      <c r="O136" s="34" t="str">
        <f>IF($J136=FALSE(),"",발주접수!$B16)</f>
        <v/>
      </c>
      <c r="P136" s="34" t="str">
        <f>IF($J136=FALSE(),"",발주접수!$C16)</f>
        <v/>
      </c>
      <c r="Q136" s="34" t="str">
        <f>IF($J136=FALSE(),"",IF(발주접수!$F16="세트",발주접수!$E16&amp;" 전개","직접 발주"))</f>
        <v/>
      </c>
    </row>
    <row r="137" ht="15" customHeight="1" s="30">
      <c r="A137" s="47" t="str">
        <f>IF($D137="","",132)</f>
        <v/>
      </c>
      <c r="B137" s="48" t="str">
        <f>IFERROR(INDEX(전개결과!$O$6:$O$1205,MATCH("R"&amp;132,전개결과!$L$6:$L$1205,0)),"")</f>
        <v/>
      </c>
      <c r="C137" s="40" t="str">
        <f>IF($D137="","",IFERROR(INDEX(전개결과!$P$6:$P$1205,MATCH("R"&amp;132,전개결과!$L$6:$L$1205,0)),""))</f>
        <v/>
      </c>
      <c r="D137" s="40" t="str">
        <f>IFERROR(INDEX(전개결과!$M$6:$M$1205,MATCH("R"&amp;132,전개결과!$L$6:$L$1205,0)),"")</f>
        <v/>
      </c>
      <c r="E137" s="40" t="str">
        <f>IF($D137="","",IFERROR(INDEX(품목목록!$B$3:$B$302,MATCH($D137,품목목록!$A$3:$A$302,0)),""))</f>
        <v/>
      </c>
      <c r="F137" s="47" t="str">
        <f>IF($D137="","",IFERROR(INDEX(품목목록!$D$3:$D$302,MATCH($D137,품목목록!$A$3:$A$302,0)),""))</f>
        <v/>
      </c>
      <c r="G137" s="49" t="str">
        <f>IFERROR(INDEX(전개결과!$N$6:$N$1205,MATCH("R"&amp;132,전개결과!$L$6:$L$1205,0)),"")</f>
        <v/>
      </c>
      <c r="H137" s="40" t="str">
        <f>IF($D137="","",IFERROR(INDEX(전개결과!$Q$6:$Q$1205,MATCH("R"&amp;132,전개결과!$L$6:$L$1205,0)),""))</f>
        <v/>
      </c>
      <c r="J137" s="50" t="b">
        <f>IF(발주접수!$D16="",FALSE(),IF(발주접수!$F16="세트",COUNTIF(세트구성!$G$3:$G$302,발주접수!$D16&amp;"|"&amp;2)&gt;0,1=0))</f>
        <v>0</v>
      </c>
      <c r="K137" s="34" t="str">
        <f>IF($J137=FALSE(),"",COUNTIF($J$6:$J137,TRUE()))</f>
        <v/>
      </c>
      <c r="L137" s="34" t="str">
        <f>IF($K137="","","R"&amp;$K137)</f>
        <v/>
      </c>
      <c r="M137" s="34" t="str">
        <f>IF($J137=FALSE(),"",IF(발주접수!$F16="세트",IFERROR(INDEX(세트구성!$C$3:$C$302,MATCH(발주접수!$D16&amp;"|"&amp;2,세트구성!$G$3:$G$302,0)),""),발주접수!$D16))</f>
        <v/>
      </c>
      <c r="N137" s="34" t="str">
        <f>IF($J137=FALSE(),"",IF(발주접수!$F16="세트",발주접수!$G16*IFERROR(INDEX(세트구성!$E$3:$E$302,MATCH(발주접수!$D16&amp;"|"&amp;2,세트구성!$G$3:$G$302,0)),0),발주접수!$G16))</f>
        <v/>
      </c>
      <c r="O137" s="34" t="str">
        <f>IF($J137=FALSE(),"",발주접수!$B16)</f>
        <v/>
      </c>
      <c r="P137" s="34" t="str">
        <f>IF($J137=FALSE(),"",발주접수!$C16)</f>
        <v/>
      </c>
      <c r="Q137" s="34" t="str">
        <f>IF($J137=FALSE(),"",IF(발주접수!$F16="세트",발주접수!$E16&amp;" 전개","직접 발주"))</f>
        <v/>
      </c>
    </row>
    <row r="138" ht="15" customHeight="1" s="30">
      <c r="A138" s="47" t="str">
        <f>IF($D138="","",133)</f>
        <v/>
      </c>
      <c r="B138" s="48" t="str">
        <f>IFERROR(INDEX(전개결과!$O$6:$O$1205,MATCH("R"&amp;133,전개결과!$L$6:$L$1205,0)),"")</f>
        <v/>
      </c>
      <c r="C138" s="40" t="str">
        <f>IF($D138="","",IFERROR(INDEX(전개결과!$P$6:$P$1205,MATCH("R"&amp;133,전개결과!$L$6:$L$1205,0)),""))</f>
        <v/>
      </c>
      <c r="D138" s="40" t="str">
        <f>IFERROR(INDEX(전개결과!$M$6:$M$1205,MATCH("R"&amp;133,전개결과!$L$6:$L$1205,0)),"")</f>
        <v/>
      </c>
      <c r="E138" s="40" t="str">
        <f>IF($D138="","",IFERROR(INDEX(품목목록!$B$3:$B$302,MATCH($D138,품목목록!$A$3:$A$302,0)),""))</f>
        <v/>
      </c>
      <c r="F138" s="47" t="str">
        <f>IF($D138="","",IFERROR(INDEX(품목목록!$D$3:$D$302,MATCH($D138,품목목록!$A$3:$A$302,0)),""))</f>
        <v/>
      </c>
      <c r="G138" s="49" t="str">
        <f>IFERROR(INDEX(전개결과!$N$6:$N$1205,MATCH("R"&amp;133,전개결과!$L$6:$L$1205,0)),"")</f>
        <v/>
      </c>
      <c r="H138" s="40" t="str">
        <f>IF($D138="","",IFERROR(INDEX(전개결과!$Q$6:$Q$1205,MATCH("R"&amp;133,전개결과!$L$6:$L$1205,0)),""))</f>
        <v/>
      </c>
      <c r="J138" s="50" t="b">
        <f>IF(발주접수!$D16="",FALSE(),IF(발주접수!$F16="세트",COUNTIF(세트구성!$G$3:$G$302,발주접수!$D16&amp;"|"&amp;3)&gt;0,2=0))</f>
        <v>0</v>
      </c>
      <c r="K138" s="34" t="str">
        <f>IF($J138=FALSE(),"",COUNTIF($J$6:$J138,TRUE()))</f>
        <v/>
      </c>
      <c r="L138" s="34" t="str">
        <f>IF($K138="","","R"&amp;$K138)</f>
        <v/>
      </c>
      <c r="M138" s="34" t="str">
        <f>IF($J138=FALSE(),"",IF(발주접수!$F16="세트",IFERROR(INDEX(세트구성!$C$3:$C$302,MATCH(발주접수!$D16&amp;"|"&amp;3,세트구성!$G$3:$G$302,0)),""),발주접수!$D16))</f>
        <v/>
      </c>
      <c r="N138" s="34" t="str">
        <f>IF($J138=FALSE(),"",IF(발주접수!$F16="세트",발주접수!$G16*IFERROR(INDEX(세트구성!$E$3:$E$302,MATCH(발주접수!$D16&amp;"|"&amp;3,세트구성!$G$3:$G$302,0)),0),발주접수!$G16))</f>
        <v/>
      </c>
      <c r="O138" s="34" t="str">
        <f>IF($J138=FALSE(),"",발주접수!$B16)</f>
        <v/>
      </c>
      <c r="P138" s="34" t="str">
        <f>IF($J138=FALSE(),"",발주접수!$C16)</f>
        <v/>
      </c>
      <c r="Q138" s="34" t="str">
        <f>IF($J138=FALSE(),"",IF(발주접수!$F16="세트",발주접수!$E16&amp;" 전개","직접 발주"))</f>
        <v/>
      </c>
    </row>
    <row r="139" ht="15" customHeight="1" s="30">
      <c r="A139" s="47" t="str">
        <f>IF($D139="","",134)</f>
        <v/>
      </c>
      <c r="B139" s="48" t="str">
        <f>IFERROR(INDEX(전개결과!$O$6:$O$1205,MATCH("R"&amp;134,전개결과!$L$6:$L$1205,0)),"")</f>
        <v/>
      </c>
      <c r="C139" s="40" t="str">
        <f>IF($D139="","",IFERROR(INDEX(전개결과!$P$6:$P$1205,MATCH("R"&amp;134,전개결과!$L$6:$L$1205,0)),""))</f>
        <v/>
      </c>
      <c r="D139" s="40" t="str">
        <f>IFERROR(INDEX(전개결과!$M$6:$M$1205,MATCH("R"&amp;134,전개결과!$L$6:$L$1205,0)),"")</f>
        <v/>
      </c>
      <c r="E139" s="40" t="str">
        <f>IF($D139="","",IFERROR(INDEX(품목목록!$B$3:$B$302,MATCH($D139,품목목록!$A$3:$A$302,0)),""))</f>
        <v/>
      </c>
      <c r="F139" s="47" t="str">
        <f>IF($D139="","",IFERROR(INDEX(품목목록!$D$3:$D$302,MATCH($D139,품목목록!$A$3:$A$302,0)),""))</f>
        <v/>
      </c>
      <c r="G139" s="49" t="str">
        <f>IFERROR(INDEX(전개결과!$N$6:$N$1205,MATCH("R"&amp;134,전개결과!$L$6:$L$1205,0)),"")</f>
        <v/>
      </c>
      <c r="H139" s="40" t="str">
        <f>IF($D139="","",IFERROR(INDEX(전개결과!$Q$6:$Q$1205,MATCH("R"&amp;134,전개결과!$L$6:$L$1205,0)),""))</f>
        <v/>
      </c>
      <c r="J139" s="50" t="b">
        <f>IF(발주접수!$D16="",FALSE(),IF(발주접수!$F16="세트",COUNTIF(세트구성!$G$3:$G$302,발주접수!$D16&amp;"|"&amp;4)&gt;0,3=0))</f>
        <v>0</v>
      </c>
      <c r="K139" s="34" t="str">
        <f>IF($J139=FALSE(),"",COUNTIF($J$6:$J139,TRUE()))</f>
        <v/>
      </c>
      <c r="L139" s="34" t="str">
        <f>IF($K139="","","R"&amp;$K139)</f>
        <v/>
      </c>
      <c r="M139" s="34" t="str">
        <f>IF($J139=FALSE(),"",IF(발주접수!$F16="세트",IFERROR(INDEX(세트구성!$C$3:$C$302,MATCH(발주접수!$D16&amp;"|"&amp;4,세트구성!$G$3:$G$302,0)),""),발주접수!$D16))</f>
        <v/>
      </c>
      <c r="N139" s="34" t="str">
        <f>IF($J139=FALSE(),"",IF(발주접수!$F16="세트",발주접수!$G16*IFERROR(INDEX(세트구성!$E$3:$E$302,MATCH(발주접수!$D16&amp;"|"&amp;4,세트구성!$G$3:$G$302,0)),0),발주접수!$G16))</f>
        <v/>
      </c>
      <c r="O139" s="34" t="str">
        <f>IF($J139=FALSE(),"",발주접수!$B16)</f>
        <v/>
      </c>
      <c r="P139" s="34" t="str">
        <f>IF($J139=FALSE(),"",발주접수!$C16)</f>
        <v/>
      </c>
      <c r="Q139" s="34" t="str">
        <f>IF($J139=FALSE(),"",IF(발주접수!$F16="세트",발주접수!$E16&amp;" 전개","직접 발주"))</f>
        <v/>
      </c>
    </row>
    <row r="140" ht="15" customHeight="1" s="30">
      <c r="A140" s="47" t="str">
        <f>IF($D140="","",135)</f>
        <v/>
      </c>
      <c r="B140" s="48" t="str">
        <f>IFERROR(INDEX(전개결과!$O$6:$O$1205,MATCH("R"&amp;135,전개결과!$L$6:$L$1205,0)),"")</f>
        <v/>
      </c>
      <c r="C140" s="40" t="str">
        <f>IF($D140="","",IFERROR(INDEX(전개결과!$P$6:$P$1205,MATCH("R"&amp;135,전개결과!$L$6:$L$1205,0)),""))</f>
        <v/>
      </c>
      <c r="D140" s="40" t="str">
        <f>IFERROR(INDEX(전개결과!$M$6:$M$1205,MATCH("R"&amp;135,전개결과!$L$6:$L$1205,0)),"")</f>
        <v/>
      </c>
      <c r="E140" s="40" t="str">
        <f>IF($D140="","",IFERROR(INDEX(품목목록!$B$3:$B$302,MATCH($D140,품목목록!$A$3:$A$302,0)),""))</f>
        <v/>
      </c>
      <c r="F140" s="47" t="str">
        <f>IF($D140="","",IFERROR(INDEX(품목목록!$D$3:$D$302,MATCH($D140,품목목록!$A$3:$A$302,0)),""))</f>
        <v/>
      </c>
      <c r="G140" s="49" t="str">
        <f>IFERROR(INDEX(전개결과!$N$6:$N$1205,MATCH("R"&amp;135,전개결과!$L$6:$L$1205,0)),"")</f>
        <v/>
      </c>
      <c r="H140" s="40" t="str">
        <f>IF($D140="","",IFERROR(INDEX(전개결과!$Q$6:$Q$1205,MATCH("R"&amp;135,전개결과!$L$6:$L$1205,0)),""))</f>
        <v/>
      </c>
      <c r="J140" s="50" t="b">
        <f>IF(발주접수!$D16="",FALSE(),IF(발주접수!$F16="세트",COUNTIF(세트구성!$G$3:$G$302,발주접수!$D16&amp;"|"&amp;5)&gt;0,4=0))</f>
        <v>0</v>
      </c>
      <c r="K140" s="34" t="str">
        <f>IF($J140=FALSE(),"",COUNTIF($J$6:$J140,TRUE()))</f>
        <v/>
      </c>
      <c r="L140" s="34" t="str">
        <f>IF($K140="","","R"&amp;$K140)</f>
        <v/>
      </c>
      <c r="M140" s="34" t="str">
        <f>IF($J140=FALSE(),"",IF(발주접수!$F16="세트",IFERROR(INDEX(세트구성!$C$3:$C$302,MATCH(발주접수!$D16&amp;"|"&amp;5,세트구성!$G$3:$G$302,0)),""),발주접수!$D16))</f>
        <v/>
      </c>
      <c r="N140" s="34" t="str">
        <f>IF($J140=FALSE(),"",IF(발주접수!$F16="세트",발주접수!$G16*IFERROR(INDEX(세트구성!$E$3:$E$302,MATCH(발주접수!$D16&amp;"|"&amp;5,세트구성!$G$3:$G$302,0)),0),발주접수!$G16))</f>
        <v/>
      </c>
      <c r="O140" s="34" t="str">
        <f>IF($J140=FALSE(),"",발주접수!$B16)</f>
        <v/>
      </c>
      <c r="P140" s="34" t="str">
        <f>IF($J140=FALSE(),"",발주접수!$C16)</f>
        <v/>
      </c>
      <c r="Q140" s="34" t="str">
        <f>IF($J140=FALSE(),"",IF(발주접수!$F16="세트",발주접수!$E16&amp;" 전개","직접 발주"))</f>
        <v/>
      </c>
    </row>
    <row r="141" ht="15" customHeight="1" s="30">
      <c r="A141" s="47" t="str">
        <f>IF($D141="","",136)</f>
        <v/>
      </c>
      <c r="B141" s="48" t="str">
        <f>IFERROR(INDEX(전개결과!$O$6:$O$1205,MATCH("R"&amp;136,전개결과!$L$6:$L$1205,0)),"")</f>
        <v/>
      </c>
      <c r="C141" s="40" t="str">
        <f>IF($D141="","",IFERROR(INDEX(전개결과!$P$6:$P$1205,MATCH("R"&amp;136,전개결과!$L$6:$L$1205,0)),""))</f>
        <v/>
      </c>
      <c r="D141" s="40" t="str">
        <f>IFERROR(INDEX(전개결과!$M$6:$M$1205,MATCH("R"&amp;136,전개결과!$L$6:$L$1205,0)),"")</f>
        <v/>
      </c>
      <c r="E141" s="40" t="str">
        <f>IF($D141="","",IFERROR(INDEX(품목목록!$B$3:$B$302,MATCH($D141,품목목록!$A$3:$A$302,0)),""))</f>
        <v/>
      </c>
      <c r="F141" s="47" t="str">
        <f>IF($D141="","",IFERROR(INDEX(품목목록!$D$3:$D$302,MATCH($D141,품목목록!$A$3:$A$302,0)),""))</f>
        <v/>
      </c>
      <c r="G141" s="49" t="str">
        <f>IFERROR(INDEX(전개결과!$N$6:$N$1205,MATCH("R"&amp;136,전개결과!$L$6:$L$1205,0)),"")</f>
        <v/>
      </c>
      <c r="H141" s="40" t="str">
        <f>IF($D141="","",IFERROR(INDEX(전개결과!$Q$6:$Q$1205,MATCH("R"&amp;136,전개결과!$L$6:$L$1205,0)),""))</f>
        <v/>
      </c>
      <c r="J141" s="50" t="b">
        <f>IF(발주접수!$D16="",FALSE(),IF(발주접수!$F16="세트",COUNTIF(세트구성!$G$3:$G$302,발주접수!$D16&amp;"|"&amp;6)&gt;0,5=0))</f>
        <v>0</v>
      </c>
      <c r="K141" s="34" t="str">
        <f>IF($J141=FALSE(),"",COUNTIF($J$6:$J141,TRUE()))</f>
        <v/>
      </c>
      <c r="L141" s="34" t="str">
        <f>IF($K141="","","R"&amp;$K141)</f>
        <v/>
      </c>
      <c r="M141" s="34" t="str">
        <f>IF($J141=FALSE(),"",IF(발주접수!$F16="세트",IFERROR(INDEX(세트구성!$C$3:$C$302,MATCH(발주접수!$D16&amp;"|"&amp;6,세트구성!$G$3:$G$302,0)),""),발주접수!$D16))</f>
        <v/>
      </c>
      <c r="N141" s="34" t="str">
        <f>IF($J141=FALSE(),"",IF(발주접수!$F16="세트",발주접수!$G16*IFERROR(INDEX(세트구성!$E$3:$E$302,MATCH(발주접수!$D16&amp;"|"&amp;6,세트구성!$G$3:$G$302,0)),0),발주접수!$G16))</f>
        <v/>
      </c>
      <c r="O141" s="34" t="str">
        <f>IF($J141=FALSE(),"",발주접수!$B16)</f>
        <v/>
      </c>
      <c r="P141" s="34" t="str">
        <f>IF($J141=FALSE(),"",발주접수!$C16)</f>
        <v/>
      </c>
      <c r="Q141" s="34" t="str">
        <f>IF($J141=FALSE(),"",IF(발주접수!$F16="세트",발주접수!$E16&amp;" 전개","직접 발주"))</f>
        <v/>
      </c>
    </row>
    <row r="142" ht="15" customHeight="1" s="30">
      <c r="A142" s="47" t="str">
        <f>IF($D142="","",137)</f>
        <v/>
      </c>
      <c r="B142" s="48" t="str">
        <f>IFERROR(INDEX(전개결과!$O$6:$O$1205,MATCH("R"&amp;137,전개결과!$L$6:$L$1205,0)),"")</f>
        <v/>
      </c>
      <c r="C142" s="40" t="str">
        <f>IF($D142="","",IFERROR(INDEX(전개결과!$P$6:$P$1205,MATCH("R"&amp;137,전개결과!$L$6:$L$1205,0)),""))</f>
        <v/>
      </c>
      <c r="D142" s="40" t="str">
        <f>IFERROR(INDEX(전개결과!$M$6:$M$1205,MATCH("R"&amp;137,전개결과!$L$6:$L$1205,0)),"")</f>
        <v/>
      </c>
      <c r="E142" s="40" t="str">
        <f>IF($D142="","",IFERROR(INDEX(품목목록!$B$3:$B$302,MATCH($D142,품목목록!$A$3:$A$302,0)),""))</f>
        <v/>
      </c>
      <c r="F142" s="47" t="str">
        <f>IF($D142="","",IFERROR(INDEX(품목목록!$D$3:$D$302,MATCH($D142,품목목록!$A$3:$A$302,0)),""))</f>
        <v/>
      </c>
      <c r="G142" s="49" t="str">
        <f>IFERROR(INDEX(전개결과!$N$6:$N$1205,MATCH("R"&amp;137,전개결과!$L$6:$L$1205,0)),"")</f>
        <v/>
      </c>
      <c r="H142" s="40" t="str">
        <f>IF($D142="","",IFERROR(INDEX(전개결과!$Q$6:$Q$1205,MATCH("R"&amp;137,전개결과!$L$6:$L$1205,0)),""))</f>
        <v/>
      </c>
      <c r="J142" s="50" t="b">
        <f>IF(발주접수!$D16="",FALSE(),IF(발주접수!$F16="세트",COUNTIF(세트구성!$G$3:$G$302,발주접수!$D16&amp;"|"&amp;7)&gt;0,6=0))</f>
        <v>0</v>
      </c>
      <c r="K142" s="34" t="str">
        <f>IF($J142=FALSE(),"",COUNTIF($J$6:$J142,TRUE()))</f>
        <v/>
      </c>
      <c r="L142" s="34" t="str">
        <f>IF($K142="","","R"&amp;$K142)</f>
        <v/>
      </c>
      <c r="M142" s="34" t="str">
        <f>IF($J142=FALSE(),"",IF(발주접수!$F16="세트",IFERROR(INDEX(세트구성!$C$3:$C$302,MATCH(발주접수!$D16&amp;"|"&amp;7,세트구성!$G$3:$G$302,0)),""),발주접수!$D16))</f>
        <v/>
      </c>
      <c r="N142" s="34" t="str">
        <f>IF($J142=FALSE(),"",IF(발주접수!$F16="세트",발주접수!$G16*IFERROR(INDEX(세트구성!$E$3:$E$302,MATCH(발주접수!$D16&amp;"|"&amp;7,세트구성!$G$3:$G$302,0)),0),발주접수!$G16))</f>
        <v/>
      </c>
      <c r="O142" s="34" t="str">
        <f>IF($J142=FALSE(),"",발주접수!$B16)</f>
        <v/>
      </c>
      <c r="P142" s="34" t="str">
        <f>IF($J142=FALSE(),"",발주접수!$C16)</f>
        <v/>
      </c>
      <c r="Q142" s="34" t="str">
        <f>IF($J142=FALSE(),"",IF(발주접수!$F16="세트",발주접수!$E16&amp;" 전개","직접 발주"))</f>
        <v/>
      </c>
    </row>
    <row r="143" ht="15" customHeight="1" s="30">
      <c r="A143" s="47" t="str">
        <f>IF($D143="","",138)</f>
        <v/>
      </c>
      <c r="B143" s="48" t="str">
        <f>IFERROR(INDEX(전개결과!$O$6:$O$1205,MATCH("R"&amp;138,전개결과!$L$6:$L$1205,0)),"")</f>
        <v/>
      </c>
      <c r="C143" s="40" t="str">
        <f>IF($D143="","",IFERROR(INDEX(전개결과!$P$6:$P$1205,MATCH("R"&amp;138,전개결과!$L$6:$L$1205,0)),""))</f>
        <v/>
      </c>
      <c r="D143" s="40" t="str">
        <f>IFERROR(INDEX(전개결과!$M$6:$M$1205,MATCH("R"&amp;138,전개결과!$L$6:$L$1205,0)),"")</f>
        <v/>
      </c>
      <c r="E143" s="40" t="str">
        <f>IF($D143="","",IFERROR(INDEX(품목목록!$B$3:$B$302,MATCH($D143,품목목록!$A$3:$A$302,0)),""))</f>
        <v/>
      </c>
      <c r="F143" s="47" t="str">
        <f>IF($D143="","",IFERROR(INDEX(품목목록!$D$3:$D$302,MATCH($D143,품목목록!$A$3:$A$302,0)),""))</f>
        <v/>
      </c>
      <c r="G143" s="49" t="str">
        <f>IFERROR(INDEX(전개결과!$N$6:$N$1205,MATCH("R"&amp;138,전개결과!$L$6:$L$1205,0)),"")</f>
        <v/>
      </c>
      <c r="H143" s="40" t="str">
        <f>IF($D143="","",IFERROR(INDEX(전개결과!$Q$6:$Q$1205,MATCH("R"&amp;138,전개결과!$L$6:$L$1205,0)),""))</f>
        <v/>
      </c>
      <c r="J143" s="50" t="b">
        <f>IF(발주접수!$D16="",FALSE(),IF(발주접수!$F16="세트",COUNTIF(세트구성!$G$3:$G$302,발주접수!$D16&amp;"|"&amp;8)&gt;0,7=0))</f>
        <v>0</v>
      </c>
      <c r="K143" s="34" t="str">
        <f>IF($J143=FALSE(),"",COUNTIF($J$6:$J143,TRUE()))</f>
        <v/>
      </c>
      <c r="L143" s="34" t="str">
        <f>IF($K143="","","R"&amp;$K143)</f>
        <v/>
      </c>
      <c r="M143" s="34" t="str">
        <f>IF($J143=FALSE(),"",IF(발주접수!$F16="세트",IFERROR(INDEX(세트구성!$C$3:$C$302,MATCH(발주접수!$D16&amp;"|"&amp;8,세트구성!$G$3:$G$302,0)),""),발주접수!$D16))</f>
        <v/>
      </c>
      <c r="N143" s="34" t="str">
        <f>IF($J143=FALSE(),"",IF(발주접수!$F16="세트",발주접수!$G16*IFERROR(INDEX(세트구성!$E$3:$E$302,MATCH(발주접수!$D16&amp;"|"&amp;8,세트구성!$G$3:$G$302,0)),0),발주접수!$G16))</f>
        <v/>
      </c>
      <c r="O143" s="34" t="str">
        <f>IF($J143=FALSE(),"",발주접수!$B16)</f>
        <v/>
      </c>
      <c r="P143" s="34" t="str">
        <f>IF($J143=FALSE(),"",발주접수!$C16)</f>
        <v/>
      </c>
      <c r="Q143" s="34" t="str">
        <f>IF($J143=FALSE(),"",IF(발주접수!$F16="세트",발주접수!$E16&amp;" 전개","직접 발주"))</f>
        <v/>
      </c>
    </row>
    <row r="144" ht="15" customHeight="1" s="30">
      <c r="A144" s="47" t="str">
        <f>IF($D144="","",139)</f>
        <v/>
      </c>
      <c r="B144" s="48" t="str">
        <f>IFERROR(INDEX(전개결과!$O$6:$O$1205,MATCH("R"&amp;139,전개결과!$L$6:$L$1205,0)),"")</f>
        <v/>
      </c>
      <c r="C144" s="40" t="str">
        <f>IF($D144="","",IFERROR(INDEX(전개결과!$P$6:$P$1205,MATCH("R"&amp;139,전개결과!$L$6:$L$1205,0)),""))</f>
        <v/>
      </c>
      <c r="D144" s="40" t="str">
        <f>IFERROR(INDEX(전개결과!$M$6:$M$1205,MATCH("R"&amp;139,전개결과!$L$6:$L$1205,0)),"")</f>
        <v/>
      </c>
      <c r="E144" s="40" t="str">
        <f>IF($D144="","",IFERROR(INDEX(품목목록!$B$3:$B$302,MATCH($D144,품목목록!$A$3:$A$302,0)),""))</f>
        <v/>
      </c>
      <c r="F144" s="47" t="str">
        <f>IF($D144="","",IFERROR(INDEX(품목목록!$D$3:$D$302,MATCH($D144,품목목록!$A$3:$A$302,0)),""))</f>
        <v/>
      </c>
      <c r="G144" s="49" t="str">
        <f>IFERROR(INDEX(전개결과!$N$6:$N$1205,MATCH("R"&amp;139,전개결과!$L$6:$L$1205,0)),"")</f>
        <v/>
      </c>
      <c r="H144" s="40" t="str">
        <f>IF($D144="","",IFERROR(INDEX(전개결과!$Q$6:$Q$1205,MATCH("R"&amp;139,전개결과!$L$6:$L$1205,0)),""))</f>
        <v/>
      </c>
      <c r="J144" s="50" t="b">
        <f>IF(발주접수!$D16="",FALSE(),IF(발주접수!$F16="세트",COUNTIF(세트구성!$G$3:$G$302,발주접수!$D16&amp;"|"&amp;9)&gt;0,8=0))</f>
        <v>0</v>
      </c>
      <c r="K144" s="34" t="str">
        <f>IF($J144=FALSE(),"",COUNTIF($J$6:$J144,TRUE()))</f>
        <v/>
      </c>
      <c r="L144" s="34" t="str">
        <f>IF($K144="","","R"&amp;$K144)</f>
        <v/>
      </c>
      <c r="M144" s="34" t="str">
        <f>IF($J144=FALSE(),"",IF(발주접수!$F16="세트",IFERROR(INDEX(세트구성!$C$3:$C$302,MATCH(발주접수!$D16&amp;"|"&amp;9,세트구성!$G$3:$G$302,0)),""),발주접수!$D16))</f>
        <v/>
      </c>
      <c r="N144" s="34" t="str">
        <f>IF($J144=FALSE(),"",IF(발주접수!$F16="세트",발주접수!$G16*IFERROR(INDEX(세트구성!$E$3:$E$302,MATCH(발주접수!$D16&amp;"|"&amp;9,세트구성!$G$3:$G$302,0)),0),발주접수!$G16))</f>
        <v/>
      </c>
      <c r="O144" s="34" t="str">
        <f>IF($J144=FALSE(),"",발주접수!$B16)</f>
        <v/>
      </c>
      <c r="P144" s="34" t="str">
        <f>IF($J144=FALSE(),"",발주접수!$C16)</f>
        <v/>
      </c>
      <c r="Q144" s="34" t="str">
        <f>IF($J144=FALSE(),"",IF(발주접수!$F16="세트",발주접수!$E16&amp;" 전개","직접 발주"))</f>
        <v/>
      </c>
    </row>
    <row r="145" ht="15" customHeight="1" s="30">
      <c r="A145" s="47" t="str">
        <f>IF($D145="","",140)</f>
        <v/>
      </c>
      <c r="B145" s="48" t="str">
        <f>IFERROR(INDEX(전개결과!$O$6:$O$1205,MATCH("R"&amp;140,전개결과!$L$6:$L$1205,0)),"")</f>
        <v/>
      </c>
      <c r="C145" s="40" t="str">
        <f>IF($D145="","",IFERROR(INDEX(전개결과!$P$6:$P$1205,MATCH("R"&amp;140,전개결과!$L$6:$L$1205,0)),""))</f>
        <v/>
      </c>
      <c r="D145" s="40" t="str">
        <f>IFERROR(INDEX(전개결과!$M$6:$M$1205,MATCH("R"&amp;140,전개결과!$L$6:$L$1205,0)),"")</f>
        <v/>
      </c>
      <c r="E145" s="40" t="str">
        <f>IF($D145="","",IFERROR(INDEX(품목목록!$B$3:$B$302,MATCH($D145,품목목록!$A$3:$A$302,0)),""))</f>
        <v/>
      </c>
      <c r="F145" s="47" t="str">
        <f>IF($D145="","",IFERROR(INDEX(품목목록!$D$3:$D$302,MATCH($D145,품목목록!$A$3:$A$302,0)),""))</f>
        <v/>
      </c>
      <c r="G145" s="49" t="str">
        <f>IFERROR(INDEX(전개결과!$N$6:$N$1205,MATCH("R"&amp;140,전개결과!$L$6:$L$1205,0)),"")</f>
        <v/>
      </c>
      <c r="H145" s="40" t="str">
        <f>IF($D145="","",IFERROR(INDEX(전개결과!$Q$6:$Q$1205,MATCH("R"&amp;140,전개결과!$L$6:$L$1205,0)),""))</f>
        <v/>
      </c>
      <c r="J145" s="50" t="b">
        <f>IF(발주접수!$D16="",FALSE(),IF(발주접수!$F16="세트",COUNTIF(세트구성!$G$3:$G$302,발주접수!$D16&amp;"|"&amp;10)&gt;0,9=0))</f>
        <v>0</v>
      </c>
      <c r="K145" s="34" t="str">
        <f>IF($J145=FALSE(),"",COUNTIF($J$6:$J145,TRUE()))</f>
        <v/>
      </c>
      <c r="L145" s="34" t="str">
        <f>IF($K145="","","R"&amp;$K145)</f>
        <v/>
      </c>
      <c r="M145" s="34" t="str">
        <f>IF($J145=FALSE(),"",IF(발주접수!$F16="세트",IFERROR(INDEX(세트구성!$C$3:$C$302,MATCH(발주접수!$D16&amp;"|"&amp;10,세트구성!$G$3:$G$302,0)),""),발주접수!$D16))</f>
        <v/>
      </c>
      <c r="N145" s="34" t="str">
        <f>IF($J145=FALSE(),"",IF(발주접수!$F16="세트",발주접수!$G16*IFERROR(INDEX(세트구성!$E$3:$E$302,MATCH(발주접수!$D16&amp;"|"&amp;10,세트구성!$G$3:$G$302,0)),0),발주접수!$G16))</f>
        <v/>
      </c>
      <c r="O145" s="34" t="str">
        <f>IF($J145=FALSE(),"",발주접수!$B16)</f>
        <v/>
      </c>
      <c r="P145" s="34" t="str">
        <f>IF($J145=FALSE(),"",발주접수!$C16)</f>
        <v/>
      </c>
      <c r="Q145" s="34" t="str">
        <f>IF($J145=FALSE(),"",IF(발주접수!$F16="세트",발주접수!$E16&amp;" 전개","직접 발주"))</f>
        <v/>
      </c>
    </row>
    <row r="146" ht="15" customHeight="1" s="30">
      <c r="A146" s="47" t="str">
        <f>IF($D146="","",141)</f>
        <v/>
      </c>
      <c r="B146" s="48" t="str">
        <f>IFERROR(INDEX(전개결과!$O$6:$O$1205,MATCH("R"&amp;141,전개결과!$L$6:$L$1205,0)),"")</f>
        <v/>
      </c>
      <c r="C146" s="40" t="str">
        <f>IF($D146="","",IFERROR(INDEX(전개결과!$P$6:$P$1205,MATCH("R"&amp;141,전개결과!$L$6:$L$1205,0)),""))</f>
        <v/>
      </c>
      <c r="D146" s="40" t="str">
        <f>IFERROR(INDEX(전개결과!$M$6:$M$1205,MATCH("R"&amp;141,전개결과!$L$6:$L$1205,0)),"")</f>
        <v/>
      </c>
      <c r="E146" s="40" t="str">
        <f>IF($D146="","",IFERROR(INDEX(품목목록!$B$3:$B$302,MATCH($D146,품목목록!$A$3:$A$302,0)),""))</f>
        <v/>
      </c>
      <c r="F146" s="47" t="str">
        <f>IF($D146="","",IFERROR(INDEX(품목목록!$D$3:$D$302,MATCH($D146,품목목록!$A$3:$A$302,0)),""))</f>
        <v/>
      </c>
      <c r="G146" s="49" t="str">
        <f>IFERROR(INDEX(전개결과!$N$6:$N$1205,MATCH("R"&amp;141,전개결과!$L$6:$L$1205,0)),"")</f>
        <v/>
      </c>
      <c r="H146" s="40" t="str">
        <f>IF($D146="","",IFERROR(INDEX(전개결과!$Q$6:$Q$1205,MATCH("R"&amp;141,전개결과!$L$6:$L$1205,0)),""))</f>
        <v/>
      </c>
      <c r="J146" s="50" t="b">
        <f>IF(발주접수!$D17="",FALSE(),IF(발주접수!$F17="세트",COUNTIF(세트구성!$G$3:$G$302,발주접수!$D17&amp;"|"&amp;1)&gt;0,0=0))</f>
        <v>0</v>
      </c>
      <c r="K146" s="34" t="str">
        <f>IF($J146=FALSE(),"",COUNTIF($J$6:$J146,TRUE()))</f>
        <v/>
      </c>
      <c r="L146" s="34" t="str">
        <f>IF($K146="","","R"&amp;$K146)</f>
        <v/>
      </c>
      <c r="M146" s="34" t="str">
        <f>IF($J146=FALSE(),"",IF(발주접수!$F17="세트",IFERROR(INDEX(세트구성!$C$3:$C$302,MATCH(발주접수!$D17&amp;"|"&amp;1,세트구성!$G$3:$G$302,0)),""),발주접수!$D17))</f>
        <v/>
      </c>
      <c r="N146" s="34" t="str">
        <f>IF($J146=FALSE(),"",IF(발주접수!$F17="세트",발주접수!$G17*IFERROR(INDEX(세트구성!$E$3:$E$302,MATCH(발주접수!$D17&amp;"|"&amp;1,세트구성!$G$3:$G$302,0)),0),발주접수!$G17))</f>
        <v/>
      </c>
      <c r="O146" s="34" t="str">
        <f>IF($J146=FALSE(),"",발주접수!$B17)</f>
        <v/>
      </c>
      <c r="P146" s="34" t="str">
        <f>IF($J146=FALSE(),"",발주접수!$C17)</f>
        <v/>
      </c>
      <c r="Q146" s="34" t="str">
        <f>IF($J146=FALSE(),"",IF(발주접수!$F17="세트",발주접수!$E17&amp;" 전개","직접 발주"))</f>
        <v/>
      </c>
    </row>
    <row r="147" ht="15" customHeight="1" s="30">
      <c r="A147" s="47" t="str">
        <f>IF($D147="","",142)</f>
        <v/>
      </c>
      <c r="B147" s="48" t="str">
        <f>IFERROR(INDEX(전개결과!$O$6:$O$1205,MATCH("R"&amp;142,전개결과!$L$6:$L$1205,0)),"")</f>
        <v/>
      </c>
      <c r="C147" s="40" t="str">
        <f>IF($D147="","",IFERROR(INDEX(전개결과!$P$6:$P$1205,MATCH("R"&amp;142,전개결과!$L$6:$L$1205,0)),""))</f>
        <v/>
      </c>
      <c r="D147" s="40" t="str">
        <f>IFERROR(INDEX(전개결과!$M$6:$M$1205,MATCH("R"&amp;142,전개결과!$L$6:$L$1205,0)),"")</f>
        <v/>
      </c>
      <c r="E147" s="40" t="str">
        <f>IF($D147="","",IFERROR(INDEX(품목목록!$B$3:$B$302,MATCH($D147,품목목록!$A$3:$A$302,0)),""))</f>
        <v/>
      </c>
      <c r="F147" s="47" t="str">
        <f>IF($D147="","",IFERROR(INDEX(품목목록!$D$3:$D$302,MATCH($D147,품목목록!$A$3:$A$302,0)),""))</f>
        <v/>
      </c>
      <c r="G147" s="49" t="str">
        <f>IFERROR(INDEX(전개결과!$N$6:$N$1205,MATCH("R"&amp;142,전개결과!$L$6:$L$1205,0)),"")</f>
        <v/>
      </c>
      <c r="H147" s="40" t="str">
        <f>IF($D147="","",IFERROR(INDEX(전개결과!$Q$6:$Q$1205,MATCH("R"&amp;142,전개결과!$L$6:$L$1205,0)),""))</f>
        <v/>
      </c>
      <c r="J147" s="50" t="b">
        <f>IF(발주접수!$D17="",FALSE(),IF(발주접수!$F17="세트",COUNTIF(세트구성!$G$3:$G$302,발주접수!$D17&amp;"|"&amp;2)&gt;0,1=0))</f>
        <v>0</v>
      </c>
      <c r="K147" s="34" t="str">
        <f>IF($J147=FALSE(),"",COUNTIF($J$6:$J147,TRUE()))</f>
        <v/>
      </c>
      <c r="L147" s="34" t="str">
        <f>IF($K147="","","R"&amp;$K147)</f>
        <v/>
      </c>
      <c r="M147" s="34" t="str">
        <f>IF($J147=FALSE(),"",IF(발주접수!$F17="세트",IFERROR(INDEX(세트구성!$C$3:$C$302,MATCH(발주접수!$D17&amp;"|"&amp;2,세트구성!$G$3:$G$302,0)),""),발주접수!$D17))</f>
        <v/>
      </c>
      <c r="N147" s="34" t="str">
        <f>IF($J147=FALSE(),"",IF(발주접수!$F17="세트",발주접수!$G17*IFERROR(INDEX(세트구성!$E$3:$E$302,MATCH(발주접수!$D17&amp;"|"&amp;2,세트구성!$G$3:$G$302,0)),0),발주접수!$G17))</f>
        <v/>
      </c>
      <c r="O147" s="34" t="str">
        <f>IF($J147=FALSE(),"",발주접수!$B17)</f>
        <v/>
      </c>
      <c r="P147" s="34" t="str">
        <f>IF($J147=FALSE(),"",발주접수!$C17)</f>
        <v/>
      </c>
      <c r="Q147" s="34" t="str">
        <f>IF($J147=FALSE(),"",IF(발주접수!$F17="세트",발주접수!$E17&amp;" 전개","직접 발주"))</f>
        <v/>
      </c>
    </row>
    <row r="148" ht="15" customHeight="1" s="30">
      <c r="A148" s="47" t="str">
        <f>IF($D148="","",143)</f>
        <v/>
      </c>
      <c r="B148" s="48" t="str">
        <f>IFERROR(INDEX(전개결과!$O$6:$O$1205,MATCH("R"&amp;143,전개결과!$L$6:$L$1205,0)),"")</f>
        <v/>
      </c>
      <c r="C148" s="40" t="str">
        <f>IF($D148="","",IFERROR(INDEX(전개결과!$P$6:$P$1205,MATCH("R"&amp;143,전개결과!$L$6:$L$1205,0)),""))</f>
        <v/>
      </c>
      <c r="D148" s="40" t="str">
        <f>IFERROR(INDEX(전개결과!$M$6:$M$1205,MATCH("R"&amp;143,전개결과!$L$6:$L$1205,0)),"")</f>
        <v/>
      </c>
      <c r="E148" s="40" t="str">
        <f>IF($D148="","",IFERROR(INDEX(품목목록!$B$3:$B$302,MATCH($D148,품목목록!$A$3:$A$302,0)),""))</f>
        <v/>
      </c>
      <c r="F148" s="47" t="str">
        <f>IF($D148="","",IFERROR(INDEX(품목목록!$D$3:$D$302,MATCH($D148,품목목록!$A$3:$A$302,0)),""))</f>
        <v/>
      </c>
      <c r="G148" s="49" t="str">
        <f>IFERROR(INDEX(전개결과!$N$6:$N$1205,MATCH("R"&amp;143,전개결과!$L$6:$L$1205,0)),"")</f>
        <v/>
      </c>
      <c r="H148" s="40" t="str">
        <f>IF($D148="","",IFERROR(INDEX(전개결과!$Q$6:$Q$1205,MATCH("R"&amp;143,전개결과!$L$6:$L$1205,0)),""))</f>
        <v/>
      </c>
      <c r="J148" s="50" t="b">
        <f>IF(발주접수!$D17="",FALSE(),IF(발주접수!$F17="세트",COUNTIF(세트구성!$G$3:$G$302,발주접수!$D17&amp;"|"&amp;3)&gt;0,2=0))</f>
        <v>0</v>
      </c>
      <c r="K148" s="34" t="str">
        <f>IF($J148=FALSE(),"",COUNTIF($J$6:$J148,TRUE()))</f>
        <v/>
      </c>
      <c r="L148" s="34" t="str">
        <f>IF($K148="","","R"&amp;$K148)</f>
        <v/>
      </c>
      <c r="M148" s="34" t="str">
        <f>IF($J148=FALSE(),"",IF(발주접수!$F17="세트",IFERROR(INDEX(세트구성!$C$3:$C$302,MATCH(발주접수!$D17&amp;"|"&amp;3,세트구성!$G$3:$G$302,0)),""),발주접수!$D17))</f>
        <v/>
      </c>
      <c r="N148" s="34" t="str">
        <f>IF($J148=FALSE(),"",IF(발주접수!$F17="세트",발주접수!$G17*IFERROR(INDEX(세트구성!$E$3:$E$302,MATCH(발주접수!$D17&amp;"|"&amp;3,세트구성!$G$3:$G$302,0)),0),발주접수!$G17))</f>
        <v/>
      </c>
      <c r="O148" s="34" t="str">
        <f>IF($J148=FALSE(),"",발주접수!$B17)</f>
        <v/>
      </c>
      <c r="P148" s="34" t="str">
        <f>IF($J148=FALSE(),"",발주접수!$C17)</f>
        <v/>
      </c>
      <c r="Q148" s="34" t="str">
        <f>IF($J148=FALSE(),"",IF(발주접수!$F17="세트",발주접수!$E17&amp;" 전개","직접 발주"))</f>
        <v/>
      </c>
    </row>
    <row r="149" ht="15" customHeight="1" s="30">
      <c r="A149" s="47" t="str">
        <f>IF($D149="","",144)</f>
        <v/>
      </c>
      <c r="B149" s="48" t="str">
        <f>IFERROR(INDEX(전개결과!$O$6:$O$1205,MATCH("R"&amp;144,전개결과!$L$6:$L$1205,0)),"")</f>
        <v/>
      </c>
      <c r="C149" s="40" t="str">
        <f>IF($D149="","",IFERROR(INDEX(전개결과!$P$6:$P$1205,MATCH("R"&amp;144,전개결과!$L$6:$L$1205,0)),""))</f>
        <v/>
      </c>
      <c r="D149" s="40" t="str">
        <f>IFERROR(INDEX(전개결과!$M$6:$M$1205,MATCH("R"&amp;144,전개결과!$L$6:$L$1205,0)),"")</f>
        <v/>
      </c>
      <c r="E149" s="40" t="str">
        <f>IF($D149="","",IFERROR(INDEX(품목목록!$B$3:$B$302,MATCH($D149,품목목록!$A$3:$A$302,0)),""))</f>
        <v/>
      </c>
      <c r="F149" s="47" t="str">
        <f>IF($D149="","",IFERROR(INDEX(품목목록!$D$3:$D$302,MATCH($D149,품목목록!$A$3:$A$302,0)),""))</f>
        <v/>
      </c>
      <c r="G149" s="49" t="str">
        <f>IFERROR(INDEX(전개결과!$N$6:$N$1205,MATCH("R"&amp;144,전개결과!$L$6:$L$1205,0)),"")</f>
        <v/>
      </c>
      <c r="H149" s="40" t="str">
        <f>IF($D149="","",IFERROR(INDEX(전개결과!$Q$6:$Q$1205,MATCH("R"&amp;144,전개결과!$L$6:$L$1205,0)),""))</f>
        <v/>
      </c>
      <c r="J149" s="50" t="b">
        <f>IF(발주접수!$D17="",FALSE(),IF(발주접수!$F17="세트",COUNTIF(세트구성!$G$3:$G$302,발주접수!$D17&amp;"|"&amp;4)&gt;0,3=0))</f>
        <v>0</v>
      </c>
      <c r="K149" s="34" t="str">
        <f>IF($J149=FALSE(),"",COUNTIF($J$6:$J149,TRUE()))</f>
        <v/>
      </c>
      <c r="L149" s="34" t="str">
        <f>IF($K149="","","R"&amp;$K149)</f>
        <v/>
      </c>
      <c r="M149" s="34" t="str">
        <f>IF($J149=FALSE(),"",IF(발주접수!$F17="세트",IFERROR(INDEX(세트구성!$C$3:$C$302,MATCH(발주접수!$D17&amp;"|"&amp;4,세트구성!$G$3:$G$302,0)),""),발주접수!$D17))</f>
        <v/>
      </c>
      <c r="N149" s="34" t="str">
        <f>IF($J149=FALSE(),"",IF(발주접수!$F17="세트",발주접수!$G17*IFERROR(INDEX(세트구성!$E$3:$E$302,MATCH(발주접수!$D17&amp;"|"&amp;4,세트구성!$G$3:$G$302,0)),0),발주접수!$G17))</f>
        <v/>
      </c>
      <c r="O149" s="34" t="str">
        <f>IF($J149=FALSE(),"",발주접수!$B17)</f>
        <v/>
      </c>
      <c r="P149" s="34" t="str">
        <f>IF($J149=FALSE(),"",발주접수!$C17)</f>
        <v/>
      </c>
      <c r="Q149" s="34" t="str">
        <f>IF($J149=FALSE(),"",IF(발주접수!$F17="세트",발주접수!$E17&amp;" 전개","직접 발주"))</f>
        <v/>
      </c>
    </row>
    <row r="150" ht="15" customHeight="1" s="30">
      <c r="A150" s="47" t="str">
        <f>IF($D150="","",145)</f>
        <v/>
      </c>
      <c r="B150" s="48" t="str">
        <f>IFERROR(INDEX(전개결과!$O$6:$O$1205,MATCH("R"&amp;145,전개결과!$L$6:$L$1205,0)),"")</f>
        <v/>
      </c>
      <c r="C150" s="40" t="str">
        <f>IF($D150="","",IFERROR(INDEX(전개결과!$P$6:$P$1205,MATCH("R"&amp;145,전개결과!$L$6:$L$1205,0)),""))</f>
        <v/>
      </c>
      <c r="D150" s="40" t="str">
        <f>IFERROR(INDEX(전개결과!$M$6:$M$1205,MATCH("R"&amp;145,전개결과!$L$6:$L$1205,0)),"")</f>
        <v/>
      </c>
      <c r="E150" s="40" t="str">
        <f>IF($D150="","",IFERROR(INDEX(품목목록!$B$3:$B$302,MATCH($D150,품목목록!$A$3:$A$302,0)),""))</f>
        <v/>
      </c>
      <c r="F150" s="47" t="str">
        <f>IF($D150="","",IFERROR(INDEX(품목목록!$D$3:$D$302,MATCH($D150,품목목록!$A$3:$A$302,0)),""))</f>
        <v/>
      </c>
      <c r="G150" s="49" t="str">
        <f>IFERROR(INDEX(전개결과!$N$6:$N$1205,MATCH("R"&amp;145,전개결과!$L$6:$L$1205,0)),"")</f>
        <v/>
      </c>
      <c r="H150" s="40" t="str">
        <f>IF($D150="","",IFERROR(INDEX(전개결과!$Q$6:$Q$1205,MATCH("R"&amp;145,전개결과!$L$6:$L$1205,0)),""))</f>
        <v/>
      </c>
      <c r="J150" s="50" t="b">
        <f>IF(발주접수!$D17="",FALSE(),IF(발주접수!$F17="세트",COUNTIF(세트구성!$G$3:$G$302,발주접수!$D17&amp;"|"&amp;5)&gt;0,4=0))</f>
        <v>0</v>
      </c>
      <c r="K150" s="34" t="str">
        <f>IF($J150=FALSE(),"",COUNTIF($J$6:$J150,TRUE()))</f>
        <v/>
      </c>
      <c r="L150" s="34" t="str">
        <f>IF($K150="","","R"&amp;$K150)</f>
        <v/>
      </c>
      <c r="M150" s="34" t="str">
        <f>IF($J150=FALSE(),"",IF(발주접수!$F17="세트",IFERROR(INDEX(세트구성!$C$3:$C$302,MATCH(발주접수!$D17&amp;"|"&amp;5,세트구성!$G$3:$G$302,0)),""),발주접수!$D17))</f>
        <v/>
      </c>
      <c r="N150" s="34" t="str">
        <f>IF($J150=FALSE(),"",IF(발주접수!$F17="세트",발주접수!$G17*IFERROR(INDEX(세트구성!$E$3:$E$302,MATCH(발주접수!$D17&amp;"|"&amp;5,세트구성!$G$3:$G$302,0)),0),발주접수!$G17))</f>
        <v/>
      </c>
      <c r="O150" s="34" t="str">
        <f>IF($J150=FALSE(),"",발주접수!$B17)</f>
        <v/>
      </c>
      <c r="P150" s="34" t="str">
        <f>IF($J150=FALSE(),"",발주접수!$C17)</f>
        <v/>
      </c>
      <c r="Q150" s="34" t="str">
        <f>IF($J150=FALSE(),"",IF(발주접수!$F17="세트",발주접수!$E17&amp;" 전개","직접 발주"))</f>
        <v/>
      </c>
    </row>
    <row r="151" ht="15" customHeight="1" s="30">
      <c r="A151" s="47" t="str">
        <f>IF($D151="","",146)</f>
        <v/>
      </c>
      <c r="B151" s="48" t="str">
        <f>IFERROR(INDEX(전개결과!$O$6:$O$1205,MATCH("R"&amp;146,전개결과!$L$6:$L$1205,0)),"")</f>
        <v/>
      </c>
      <c r="C151" s="40" t="str">
        <f>IF($D151="","",IFERROR(INDEX(전개결과!$P$6:$P$1205,MATCH("R"&amp;146,전개결과!$L$6:$L$1205,0)),""))</f>
        <v/>
      </c>
      <c r="D151" s="40" t="str">
        <f>IFERROR(INDEX(전개결과!$M$6:$M$1205,MATCH("R"&amp;146,전개결과!$L$6:$L$1205,0)),"")</f>
        <v/>
      </c>
      <c r="E151" s="40" t="str">
        <f>IF($D151="","",IFERROR(INDEX(품목목록!$B$3:$B$302,MATCH($D151,품목목록!$A$3:$A$302,0)),""))</f>
        <v/>
      </c>
      <c r="F151" s="47" t="str">
        <f>IF($D151="","",IFERROR(INDEX(품목목록!$D$3:$D$302,MATCH($D151,품목목록!$A$3:$A$302,0)),""))</f>
        <v/>
      </c>
      <c r="G151" s="49" t="str">
        <f>IFERROR(INDEX(전개결과!$N$6:$N$1205,MATCH("R"&amp;146,전개결과!$L$6:$L$1205,0)),"")</f>
        <v/>
      </c>
      <c r="H151" s="40" t="str">
        <f>IF($D151="","",IFERROR(INDEX(전개결과!$Q$6:$Q$1205,MATCH("R"&amp;146,전개결과!$L$6:$L$1205,0)),""))</f>
        <v/>
      </c>
      <c r="J151" s="50" t="b">
        <f>IF(발주접수!$D17="",FALSE(),IF(발주접수!$F17="세트",COUNTIF(세트구성!$G$3:$G$302,발주접수!$D17&amp;"|"&amp;6)&gt;0,5=0))</f>
        <v>0</v>
      </c>
      <c r="K151" s="34" t="str">
        <f>IF($J151=FALSE(),"",COUNTIF($J$6:$J151,TRUE()))</f>
        <v/>
      </c>
      <c r="L151" s="34" t="str">
        <f>IF($K151="","","R"&amp;$K151)</f>
        <v/>
      </c>
      <c r="M151" s="34" t="str">
        <f>IF($J151=FALSE(),"",IF(발주접수!$F17="세트",IFERROR(INDEX(세트구성!$C$3:$C$302,MATCH(발주접수!$D17&amp;"|"&amp;6,세트구성!$G$3:$G$302,0)),""),발주접수!$D17))</f>
        <v/>
      </c>
      <c r="N151" s="34" t="str">
        <f>IF($J151=FALSE(),"",IF(발주접수!$F17="세트",발주접수!$G17*IFERROR(INDEX(세트구성!$E$3:$E$302,MATCH(발주접수!$D17&amp;"|"&amp;6,세트구성!$G$3:$G$302,0)),0),발주접수!$G17))</f>
        <v/>
      </c>
      <c r="O151" s="34" t="str">
        <f>IF($J151=FALSE(),"",발주접수!$B17)</f>
        <v/>
      </c>
      <c r="P151" s="34" t="str">
        <f>IF($J151=FALSE(),"",발주접수!$C17)</f>
        <v/>
      </c>
      <c r="Q151" s="34" t="str">
        <f>IF($J151=FALSE(),"",IF(발주접수!$F17="세트",발주접수!$E17&amp;" 전개","직접 발주"))</f>
        <v/>
      </c>
    </row>
    <row r="152" ht="15" customHeight="1" s="30">
      <c r="A152" s="47" t="str">
        <f>IF($D152="","",147)</f>
        <v/>
      </c>
      <c r="B152" s="48" t="str">
        <f>IFERROR(INDEX(전개결과!$O$6:$O$1205,MATCH("R"&amp;147,전개결과!$L$6:$L$1205,0)),"")</f>
        <v/>
      </c>
      <c r="C152" s="40" t="str">
        <f>IF($D152="","",IFERROR(INDEX(전개결과!$P$6:$P$1205,MATCH("R"&amp;147,전개결과!$L$6:$L$1205,0)),""))</f>
        <v/>
      </c>
      <c r="D152" s="40" t="str">
        <f>IFERROR(INDEX(전개결과!$M$6:$M$1205,MATCH("R"&amp;147,전개결과!$L$6:$L$1205,0)),"")</f>
        <v/>
      </c>
      <c r="E152" s="40" t="str">
        <f>IF($D152="","",IFERROR(INDEX(품목목록!$B$3:$B$302,MATCH($D152,품목목록!$A$3:$A$302,0)),""))</f>
        <v/>
      </c>
      <c r="F152" s="47" t="str">
        <f>IF($D152="","",IFERROR(INDEX(품목목록!$D$3:$D$302,MATCH($D152,품목목록!$A$3:$A$302,0)),""))</f>
        <v/>
      </c>
      <c r="G152" s="49" t="str">
        <f>IFERROR(INDEX(전개결과!$N$6:$N$1205,MATCH("R"&amp;147,전개결과!$L$6:$L$1205,0)),"")</f>
        <v/>
      </c>
      <c r="H152" s="40" t="str">
        <f>IF($D152="","",IFERROR(INDEX(전개결과!$Q$6:$Q$1205,MATCH("R"&amp;147,전개결과!$L$6:$L$1205,0)),""))</f>
        <v/>
      </c>
      <c r="J152" s="50" t="b">
        <f>IF(발주접수!$D17="",FALSE(),IF(발주접수!$F17="세트",COUNTIF(세트구성!$G$3:$G$302,발주접수!$D17&amp;"|"&amp;7)&gt;0,6=0))</f>
        <v>0</v>
      </c>
      <c r="K152" s="34" t="str">
        <f>IF($J152=FALSE(),"",COUNTIF($J$6:$J152,TRUE()))</f>
        <v/>
      </c>
      <c r="L152" s="34" t="str">
        <f>IF($K152="","","R"&amp;$K152)</f>
        <v/>
      </c>
      <c r="M152" s="34" t="str">
        <f>IF($J152=FALSE(),"",IF(발주접수!$F17="세트",IFERROR(INDEX(세트구성!$C$3:$C$302,MATCH(발주접수!$D17&amp;"|"&amp;7,세트구성!$G$3:$G$302,0)),""),발주접수!$D17))</f>
        <v/>
      </c>
      <c r="N152" s="34" t="str">
        <f>IF($J152=FALSE(),"",IF(발주접수!$F17="세트",발주접수!$G17*IFERROR(INDEX(세트구성!$E$3:$E$302,MATCH(발주접수!$D17&amp;"|"&amp;7,세트구성!$G$3:$G$302,0)),0),발주접수!$G17))</f>
        <v/>
      </c>
      <c r="O152" s="34" t="str">
        <f>IF($J152=FALSE(),"",발주접수!$B17)</f>
        <v/>
      </c>
      <c r="P152" s="34" t="str">
        <f>IF($J152=FALSE(),"",발주접수!$C17)</f>
        <v/>
      </c>
      <c r="Q152" s="34" t="str">
        <f>IF($J152=FALSE(),"",IF(발주접수!$F17="세트",발주접수!$E17&amp;" 전개","직접 발주"))</f>
        <v/>
      </c>
    </row>
    <row r="153" ht="15" customHeight="1" s="30">
      <c r="A153" s="47" t="str">
        <f>IF($D153="","",148)</f>
        <v/>
      </c>
      <c r="B153" s="48" t="str">
        <f>IFERROR(INDEX(전개결과!$O$6:$O$1205,MATCH("R"&amp;148,전개결과!$L$6:$L$1205,0)),"")</f>
        <v/>
      </c>
      <c r="C153" s="40" t="str">
        <f>IF($D153="","",IFERROR(INDEX(전개결과!$P$6:$P$1205,MATCH("R"&amp;148,전개결과!$L$6:$L$1205,0)),""))</f>
        <v/>
      </c>
      <c r="D153" s="40" t="str">
        <f>IFERROR(INDEX(전개결과!$M$6:$M$1205,MATCH("R"&amp;148,전개결과!$L$6:$L$1205,0)),"")</f>
        <v/>
      </c>
      <c r="E153" s="40" t="str">
        <f>IF($D153="","",IFERROR(INDEX(품목목록!$B$3:$B$302,MATCH($D153,품목목록!$A$3:$A$302,0)),""))</f>
        <v/>
      </c>
      <c r="F153" s="47" t="str">
        <f>IF($D153="","",IFERROR(INDEX(품목목록!$D$3:$D$302,MATCH($D153,품목목록!$A$3:$A$302,0)),""))</f>
        <v/>
      </c>
      <c r="G153" s="49" t="str">
        <f>IFERROR(INDEX(전개결과!$N$6:$N$1205,MATCH("R"&amp;148,전개결과!$L$6:$L$1205,0)),"")</f>
        <v/>
      </c>
      <c r="H153" s="40" t="str">
        <f>IF($D153="","",IFERROR(INDEX(전개결과!$Q$6:$Q$1205,MATCH("R"&amp;148,전개결과!$L$6:$L$1205,0)),""))</f>
        <v/>
      </c>
      <c r="J153" s="50" t="b">
        <f>IF(발주접수!$D17="",FALSE(),IF(발주접수!$F17="세트",COUNTIF(세트구성!$G$3:$G$302,발주접수!$D17&amp;"|"&amp;8)&gt;0,7=0))</f>
        <v>0</v>
      </c>
      <c r="K153" s="34" t="str">
        <f>IF($J153=FALSE(),"",COUNTIF($J$6:$J153,TRUE()))</f>
        <v/>
      </c>
      <c r="L153" s="34" t="str">
        <f>IF($K153="","","R"&amp;$K153)</f>
        <v/>
      </c>
      <c r="M153" s="34" t="str">
        <f>IF($J153=FALSE(),"",IF(발주접수!$F17="세트",IFERROR(INDEX(세트구성!$C$3:$C$302,MATCH(발주접수!$D17&amp;"|"&amp;8,세트구성!$G$3:$G$302,0)),""),발주접수!$D17))</f>
        <v/>
      </c>
      <c r="N153" s="34" t="str">
        <f>IF($J153=FALSE(),"",IF(발주접수!$F17="세트",발주접수!$G17*IFERROR(INDEX(세트구성!$E$3:$E$302,MATCH(발주접수!$D17&amp;"|"&amp;8,세트구성!$G$3:$G$302,0)),0),발주접수!$G17))</f>
        <v/>
      </c>
      <c r="O153" s="34" t="str">
        <f>IF($J153=FALSE(),"",발주접수!$B17)</f>
        <v/>
      </c>
      <c r="P153" s="34" t="str">
        <f>IF($J153=FALSE(),"",발주접수!$C17)</f>
        <v/>
      </c>
      <c r="Q153" s="34" t="str">
        <f>IF($J153=FALSE(),"",IF(발주접수!$F17="세트",발주접수!$E17&amp;" 전개","직접 발주"))</f>
        <v/>
      </c>
    </row>
    <row r="154" ht="15" customHeight="1" s="30">
      <c r="A154" s="47" t="str">
        <f>IF($D154="","",149)</f>
        <v/>
      </c>
      <c r="B154" s="48" t="str">
        <f>IFERROR(INDEX(전개결과!$O$6:$O$1205,MATCH("R"&amp;149,전개결과!$L$6:$L$1205,0)),"")</f>
        <v/>
      </c>
      <c r="C154" s="40" t="str">
        <f>IF($D154="","",IFERROR(INDEX(전개결과!$P$6:$P$1205,MATCH("R"&amp;149,전개결과!$L$6:$L$1205,0)),""))</f>
        <v/>
      </c>
      <c r="D154" s="40" t="str">
        <f>IFERROR(INDEX(전개결과!$M$6:$M$1205,MATCH("R"&amp;149,전개결과!$L$6:$L$1205,0)),"")</f>
        <v/>
      </c>
      <c r="E154" s="40" t="str">
        <f>IF($D154="","",IFERROR(INDEX(품목목록!$B$3:$B$302,MATCH($D154,품목목록!$A$3:$A$302,0)),""))</f>
        <v/>
      </c>
      <c r="F154" s="47" t="str">
        <f>IF($D154="","",IFERROR(INDEX(품목목록!$D$3:$D$302,MATCH($D154,품목목록!$A$3:$A$302,0)),""))</f>
        <v/>
      </c>
      <c r="G154" s="49" t="str">
        <f>IFERROR(INDEX(전개결과!$N$6:$N$1205,MATCH("R"&amp;149,전개결과!$L$6:$L$1205,0)),"")</f>
        <v/>
      </c>
      <c r="H154" s="40" t="str">
        <f>IF($D154="","",IFERROR(INDEX(전개결과!$Q$6:$Q$1205,MATCH("R"&amp;149,전개결과!$L$6:$L$1205,0)),""))</f>
        <v/>
      </c>
      <c r="J154" s="50" t="b">
        <f>IF(발주접수!$D17="",FALSE(),IF(발주접수!$F17="세트",COUNTIF(세트구성!$G$3:$G$302,발주접수!$D17&amp;"|"&amp;9)&gt;0,8=0))</f>
        <v>0</v>
      </c>
      <c r="K154" s="34" t="str">
        <f>IF($J154=FALSE(),"",COUNTIF($J$6:$J154,TRUE()))</f>
        <v/>
      </c>
      <c r="L154" s="34" t="str">
        <f>IF($K154="","","R"&amp;$K154)</f>
        <v/>
      </c>
      <c r="M154" s="34" t="str">
        <f>IF($J154=FALSE(),"",IF(발주접수!$F17="세트",IFERROR(INDEX(세트구성!$C$3:$C$302,MATCH(발주접수!$D17&amp;"|"&amp;9,세트구성!$G$3:$G$302,0)),""),발주접수!$D17))</f>
        <v/>
      </c>
      <c r="N154" s="34" t="str">
        <f>IF($J154=FALSE(),"",IF(발주접수!$F17="세트",발주접수!$G17*IFERROR(INDEX(세트구성!$E$3:$E$302,MATCH(발주접수!$D17&amp;"|"&amp;9,세트구성!$G$3:$G$302,0)),0),발주접수!$G17))</f>
        <v/>
      </c>
      <c r="O154" s="34" t="str">
        <f>IF($J154=FALSE(),"",발주접수!$B17)</f>
        <v/>
      </c>
      <c r="P154" s="34" t="str">
        <f>IF($J154=FALSE(),"",발주접수!$C17)</f>
        <v/>
      </c>
      <c r="Q154" s="34" t="str">
        <f>IF($J154=FALSE(),"",IF(발주접수!$F17="세트",발주접수!$E17&amp;" 전개","직접 발주"))</f>
        <v/>
      </c>
    </row>
    <row r="155" ht="15" customHeight="1" s="30">
      <c r="A155" s="47" t="str">
        <f>IF($D155="","",150)</f>
        <v/>
      </c>
      <c r="B155" s="48" t="str">
        <f>IFERROR(INDEX(전개결과!$O$6:$O$1205,MATCH("R"&amp;150,전개결과!$L$6:$L$1205,0)),"")</f>
        <v/>
      </c>
      <c r="C155" s="40" t="str">
        <f>IF($D155="","",IFERROR(INDEX(전개결과!$P$6:$P$1205,MATCH("R"&amp;150,전개결과!$L$6:$L$1205,0)),""))</f>
        <v/>
      </c>
      <c r="D155" s="40" t="str">
        <f>IFERROR(INDEX(전개결과!$M$6:$M$1205,MATCH("R"&amp;150,전개결과!$L$6:$L$1205,0)),"")</f>
        <v/>
      </c>
      <c r="E155" s="40" t="str">
        <f>IF($D155="","",IFERROR(INDEX(품목목록!$B$3:$B$302,MATCH($D155,품목목록!$A$3:$A$302,0)),""))</f>
        <v/>
      </c>
      <c r="F155" s="47" t="str">
        <f>IF($D155="","",IFERROR(INDEX(품목목록!$D$3:$D$302,MATCH($D155,품목목록!$A$3:$A$302,0)),""))</f>
        <v/>
      </c>
      <c r="G155" s="49" t="str">
        <f>IFERROR(INDEX(전개결과!$N$6:$N$1205,MATCH("R"&amp;150,전개결과!$L$6:$L$1205,0)),"")</f>
        <v/>
      </c>
      <c r="H155" s="40" t="str">
        <f>IF($D155="","",IFERROR(INDEX(전개결과!$Q$6:$Q$1205,MATCH("R"&amp;150,전개결과!$L$6:$L$1205,0)),""))</f>
        <v/>
      </c>
      <c r="J155" s="50" t="b">
        <f>IF(발주접수!$D17="",FALSE(),IF(발주접수!$F17="세트",COUNTIF(세트구성!$G$3:$G$302,발주접수!$D17&amp;"|"&amp;10)&gt;0,9=0))</f>
        <v>0</v>
      </c>
      <c r="K155" s="34" t="str">
        <f>IF($J155=FALSE(),"",COUNTIF($J$6:$J155,TRUE()))</f>
        <v/>
      </c>
      <c r="L155" s="34" t="str">
        <f>IF($K155="","","R"&amp;$K155)</f>
        <v/>
      </c>
      <c r="M155" s="34" t="str">
        <f>IF($J155=FALSE(),"",IF(발주접수!$F17="세트",IFERROR(INDEX(세트구성!$C$3:$C$302,MATCH(발주접수!$D17&amp;"|"&amp;10,세트구성!$G$3:$G$302,0)),""),발주접수!$D17))</f>
        <v/>
      </c>
      <c r="N155" s="34" t="str">
        <f>IF($J155=FALSE(),"",IF(발주접수!$F17="세트",발주접수!$G17*IFERROR(INDEX(세트구성!$E$3:$E$302,MATCH(발주접수!$D17&amp;"|"&amp;10,세트구성!$G$3:$G$302,0)),0),발주접수!$G17))</f>
        <v/>
      </c>
      <c r="O155" s="34" t="str">
        <f>IF($J155=FALSE(),"",발주접수!$B17)</f>
        <v/>
      </c>
      <c r="P155" s="34" t="str">
        <f>IF($J155=FALSE(),"",발주접수!$C17)</f>
        <v/>
      </c>
      <c r="Q155" s="34" t="str">
        <f>IF($J155=FALSE(),"",IF(발주접수!$F17="세트",발주접수!$E17&amp;" 전개","직접 발주"))</f>
        <v/>
      </c>
    </row>
    <row r="156" ht="15" customHeight="1" s="30">
      <c r="A156" s="47" t="str">
        <f>IF($D156="","",151)</f>
        <v/>
      </c>
      <c r="B156" s="48" t="str">
        <f>IFERROR(INDEX(전개결과!$O$6:$O$1205,MATCH("R"&amp;151,전개결과!$L$6:$L$1205,0)),"")</f>
        <v/>
      </c>
      <c r="C156" s="40" t="str">
        <f>IF($D156="","",IFERROR(INDEX(전개결과!$P$6:$P$1205,MATCH("R"&amp;151,전개결과!$L$6:$L$1205,0)),""))</f>
        <v/>
      </c>
      <c r="D156" s="40" t="str">
        <f>IFERROR(INDEX(전개결과!$M$6:$M$1205,MATCH("R"&amp;151,전개결과!$L$6:$L$1205,0)),"")</f>
        <v/>
      </c>
      <c r="E156" s="40" t="str">
        <f>IF($D156="","",IFERROR(INDEX(품목목록!$B$3:$B$302,MATCH($D156,품목목록!$A$3:$A$302,0)),""))</f>
        <v/>
      </c>
      <c r="F156" s="47" t="str">
        <f>IF($D156="","",IFERROR(INDEX(품목목록!$D$3:$D$302,MATCH($D156,품목목록!$A$3:$A$302,0)),""))</f>
        <v/>
      </c>
      <c r="G156" s="49" t="str">
        <f>IFERROR(INDEX(전개결과!$N$6:$N$1205,MATCH("R"&amp;151,전개결과!$L$6:$L$1205,0)),"")</f>
        <v/>
      </c>
      <c r="H156" s="40" t="str">
        <f>IF($D156="","",IFERROR(INDEX(전개결과!$Q$6:$Q$1205,MATCH("R"&amp;151,전개결과!$L$6:$L$1205,0)),""))</f>
        <v/>
      </c>
      <c r="J156" s="50" t="b">
        <f>IF(발주접수!$D18="",FALSE(),IF(발주접수!$F18="세트",COUNTIF(세트구성!$G$3:$G$302,발주접수!$D18&amp;"|"&amp;1)&gt;0,0=0))</f>
        <v>0</v>
      </c>
      <c r="K156" s="34" t="str">
        <f>IF($J156=FALSE(),"",COUNTIF($J$6:$J156,TRUE()))</f>
        <v/>
      </c>
      <c r="L156" s="34" t="str">
        <f>IF($K156="","","R"&amp;$K156)</f>
        <v/>
      </c>
      <c r="M156" s="34" t="str">
        <f>IF($J156=FALSE(),"",IF(발주접수!$F18="세트",IFERROR(INDEX(세트구성!$C$3:$C$302,MATCH(발주접수!$D18&amp;"|"&amp;1,세트구성!$G$3:$G$302,0)),""),발주접수!$D18))</f>
        <v/>
      </c>
      <c r="N156" s="34" t="str">
        <f>IF($J156=FALSE(),"",IF(발주접수!$F18="세트",발주접수!$G18*IFERROR(INDEX(세트구성!$E$3:$E$302,MATCH(발주접수!$D18&amp;"|"&amp;1,세트구성!$G$3:$G$302,0)),0),발주접수!$G18))</f>
        <v/>
      </c>
      <c r="O156" s="34" t="str">
        <f>IF($J156=FALSE(),"",발주접수!$B18)</f>
        <v/>
      </c>
      <c r="P156" s="34" t="str">
        <f>IF($J156=FALSE(),"",발주접수!$C18)</f>
        <v/>
      </c>
      <c r="Q156" s="34" t="str">
        <f>IF($J156=FALSE(),"",IF(발주접수!$F18="세트",발주접수!$E18&amp;" 전개","직접 발주"))</f>
        <v/>
      </c>
    </row>
    <row r="157" ht="15" customHeight="1" s="30">
      <c r="A157" s="47" t="str">
        <f>IF($D157="","",152)</f>
        <v/>
      </c>
      <c r="B157" s="48" t="str">
        <f>IFERROR(INDEX(전개결과!$O$6:$O$1205,MATCH("R"&amp;152,전개결과!$L$6:$L$1205,0)),"")</f>
        <v/>
      </c>
      <c r="C157" s="40" t="str">
        <f>IF($D157="","",IFERROR(INDEX(전개결과!$P$6:$P$1205,MATCH("R"&amp;152,전개결과!$L$6:$L$1205,0)),""))</f>
        <v/>
      </c>
      <c r="D157" s="40" t="str">
        <f>IFERROR(INDEX(전개결과!$M$6:$M$1205,MATCH("R"&amp;152,전개결과!$L$6:$L$1205,0)),"")</f>
        <v/>
      </c>
      <c r="E157" s="40" t="str">
        <f>IF($D157="","",IFERROR(INDEX(품목목록!$B$3:$B$302,MATCH($D157,품목목록!$A$3:$A$302,0)),""))</f>
        <v/>
      </c>
      <c r="F157" s="47" t="str">
        <f>IF($D157="","",IFERROR(INDEX(품목목록!$D$3:$D$302,MATCH($D157,품목목록!$A$3:$A$302,0)),""))</f>
        <v/>
      </c>
      <c r="G157" s="49" t="str">
        <f>IFERROR(INDEX(전개결과!$N$6:$N$1205,MATCH("R"&amp;152,전개결과!$L$6:$L$1205,0)),"")</f>
        <v/>
      </c>
      <c r="H157" s="40" t="str">
        <f>IF($D157="","",IFERROR(INDEX(전개결과!$Q$6:$Q$1205,MATCH("R"&amp;152,전개결과!$L$6:$L$1205,0)),""))</f>
        <v/>
      </c>
      <c r="J157" s="50" t="b">
        <f>IF(발주접수!$D18="",FALSE(),IF(발주접수!$F18="세트",COUNTIF(세트구성!$G$3:$G$302,발주접수!$D18&amp;"|"&amp;2)&gt;0,1=0))</f>
        <v>0</v>
      </c>
      <c r="K157" s="34" t="str">
        <f>IF($J157=FALSE(),"",COUNTIF($J$6:$J157,TRUE()))</f>
        <v/>
      </c>
      <c r="L157" s="34" t="str">
        <f>IF($K157="","","R"&amp;$K157)</f>
        <v/>
      </c>
      <c r="M157" s="34" t="str">
        <f>IF($J157=FALSE(),"",IF(발주접수!$F18="세트",IFERROR(INDEX(세트구성!$C$3:$C$302,MATCH(발주접수!$D18&amp;"|"&amp;2,세트구성!$G$3:$G$302,0)),""),발주접수!$D18))</f>
        <v/>
      </c>
      <c r="N157" s="34" t="str">
        <f>IF($J157=FALSE(),"",IF(발주접수!$F18="세트",발주접수!$G18*IFERROR(INDEX(세트구성!$E$3:$E$302,MATCH(발주접수!$D18&amp;"|"&amp;2,세트구성!$G$3:$G$302,0)),0),발주접수!$G18))</f>
        <v/>
      </c>
      <c r="O157" s="34" t="str">
        <f>IF($J157=FALSE(),"",발주접수!$B18)</f>
        <v/>
      </c>
      <c r="P157" s="34" t="str">
        <f>IF($J157=FALSE(),"",발주접수!$C18)</f>
        <v/>
      </c>
      <c r="Q157" s="34" t="str">
        <f>IF($J157=FALSE(),"",IF(발주접수!$F18="세트",발주접수!$E18&amp;" 전개","직접 발주"))</f>
        <v/>
      </c>
    </row>
    <row r="158" ht="15" customHeight="1" s="30">
      <c r="A158" s="47" t="str">
        <f>IF($D158="","",153)</f>
        <v/>
      </c>
      <c r="B158" s="48" t="str">
        <f>IFERROR(INDEX(전개결과!$O$6:$O$1205,MATCH("R"&amp;153,전개결과!$L$6:$L$1205,0)),"")</f>
        <v/>
      </c>
      <c r="C158" s="40" t="str">
        <f>IF($D158="","",IFERROR(INDEX(전개결과!$P$6:$P$1205,MATCH("R"&amp;153,전개결과!$L$6:$L$1205,0)),""))</f>
        <v/>
      </c>
      <c r="D158" s="40" t="str">
        <f>IFERROR(INDEX(전개결과!$M$6:$M$1205,MATCH("R"&amp;153,전개결과!$L$6:$L$1205,0)),"")</f>
        <v/>
      </c>
      <c r="E158" s="40" t="str">
        <f>IF($D158="","",IFERROR(INDEX(품목목록!$B$3:$B$302,MATCH($D158,품목목록!$A$3:$A$302,0)),""))</f>
        <v/>
      </c>
      <c r="F158" s="47" t="str">
        <f>IF($D158="","",IFERROR(INDEX(품목목록!$D$3:$D$302,MATCH($D158,품목목록!$A$3:$A$302,0)),""))</f>
        <v/>
      </c>
      <c r="G158" s="49" t="str">
        <f>IFERROR(INDEX(전개결과!$N$6:$N$1205,MATCH("R"&amp;153,전개결과!$L$6:$L$1205,0)),"")</f>
        <v/>
      </c>
      <c r="H158" s="40" t="str">
        <f>IF($D158="","",IFERROR(INDEX(전개결과!$Q$6:$Q$1205,MATCH("R"&amp;153,전개결과!$L$6:$L$1205,0)),""))</f>
        <v/>
      </c>
      <c r="J158" s="50" t="b">
        <f>IF(발주접수!$D18="",FALSE(),IF(발주접수!$F18="세트",COUNTIF(세트구성!$G$3:$G$302,발주접수!$D18&amp;"|"&amp;3)&gt;0,2=0))</f>
        <v>0</v>
      </c>
      <c r="K158" s="34" t="str">
        <f>IF($J158=FALSE(),"",COUNTIF($J$6:$J158,TRUE()))</f>
        <v/>
      </c>
      <c r="L158" s="34" t="str">
        <f>IF($K158="","","R"&amp;$K158)</f>
        <v/>
      </c>
      <c r="M158" s="34" t="str">
        <f>IF($J158=FALSE(),"",IF(발주접수!$F18="세트",IFERROR(INDEX(세트구성!$C$3:$C$302,MATCH(발주접수!$D18&amp;"|"&amp;3,세트구성!$G$3:$G$302,0)),""),발주접수!$D18))</f>
        <v/>
      </c>
      <c r="N158" s="34" t="str">
        <f>IF($J158=FALSE(),"",IF(발주접수!$F18="세트",발주접수!$G18*IFERROR(INDEX(세트구성!$E$3:$E$302,MATCH(발주접수!$D18&amp;"|"&amp;3,세트구성!$G$3:$G$302,0)),0),발주접수!$G18))</f>
        <v/>
      </c>
      <c r="O158" s="34" t="str">
        <f>IF($J158=FALSE(),"",발주접수!$B18)</f>
        <v/>
      </c>
      <c r="P158" s="34" t="str">
        <f>IF($J158=FALSE(),"",발주접수!$C18)</f>
        <v/>
      </c>
      <c r="Q158" s="34" t="str">
        <f>IF($J158=FALSE(),"",IF(발주접수!$F18="세트",발주접수!$E18&amp;" 전개","직접 발주"))</f>
        <v/>
      </c>
    </row>
    <row r="159" ht="15" customHeight="1" s="30">
      <c r="A159" s="47" t="str">
        <f>IF($D159="","",154)</f>
        <v/>
      </c>
      <c r="B159" s="48" t="str">
        <f>IFERROR(INDEX(전개결과!$O$6:$O$1205,MATCH("R"&amp;154,전개결과!$L$6:$L$1205,0)),"")</f>
        <v/>
      </c>
      <c r="C159" s="40" t="str">
        <f>IF($D159="","",IFERROR(INDEX(전개결과!$P$6:$P$1205,MATCH("R"&amp;154,전개결과!$L$6:$L$1205,0)),""))</f>
        <v/>
      </c>
      <c r="D159" s="40" t="str">
        <f>IFERROR(INDEX(전개결과!$M$6:$M$1205,MATCH("R"&amp;154,전개결과!$L$6:$L$1205,0)),"")</f>
        <v/>
      </c>
      <c r="E159" s="40" t="str">
        <f>IF($D159="","",IFERROR(INDEX(품목목록!$B$3:$B$302,MATCH($D159,품목목록!$A$3:$A$302,0)),""))</f>
        <v/>
      </c>
      <c r="F159" s="47" t="str">
        <f>IF($D159="","",IFERROR(INDEX(품목목록!$D$3:$D$302,MATCH($D159,품목목록!$A$3:$A$302,0)),""))</f>
        <v/>
      </c>
      <c r="G159" s="49" t="str">
        <f>IFERROR(INDEX(전개결과!$N$6:$N$1205,MATCH("R"&amp;154,전개결과!$L$6:$L$1205,0)),"")</f>
        <v/>
      </c>
      <c r="H159" s="40" t="str">
        <f>IF($D159="","",IFERROR(INDEX(전개결과!$Q$6:$Q$1205,MATCH("R"&amp;154,전개결과!$L$6:$L$1205,0)),""))</f>
        <v/>
      </c>
      <c r="J159" s="50" t="b">
        <f>IF(발주접수!$D18="",FALSE(),IF(발주접수!$F18="세트",COUNTIF(세트구성!$G$3:$G$302,발주접수!$D18&amp;"|"&amp;4)&gt;0,3=0))</f>
        <v>0</v>
      </c>
      <c r="K159" s="34" t="str">
        <f>IF($J159=FALSE(),"",COUNTIF($J$6:$J159,TRUE()))</f>
        <v/>
      </c>
      <c r="L159" s="34" t="str">
        <f>IF($K159="","","R"&amp;$K159)</f>
        <v/>
      </c>
      <c r="M159" s="34" t="str">
        <f>IF($J159=FALSE(),"",IF(발주접수!$F18="세트",IFERROR(INDEX(세트구성!$C$3:$C$302,MATCH(발주접수!$D18&amp;"|"&amp;4,세트구성!$G$3:$G$302,0)),""),발주접수!$D18))</f>
        <v/>
      </c>
      <c r="N159" s="34" t="str">
        <f>IF($J159=FALSE(),"",IF(발주접수!$F18="세트",발주접수!$G18*IFERROR(INDEX(세트구성!$E$3:$E$302,MATCH(발주접수!$D18&amp;"|"&amp;4,세트구성!$G$3:$G$302,0)),0),발주접수!$G18))</f>
        <v/>
      </c>
      <c r="O159" s="34" t="str">
        <f>IF($J159=FALSE(),"",발주접수!$B18)</f>
        <v/>
      </c>
      <c r="P159" s="34" t="str">
        <f>IF($J159=FALSE(),"",발주접수!$C18)</f>
        <v/>
      </c>
      <c r="Q159" s="34" t="str">
        <f>IF($J159=FALSE(),"",IF(발주접수!$F18="세트",발주접수!$E18&amp;" 전개","직접 발주"))</f>
        <v/>
      </c>
    </row>
    <row r="160" ht="15" customHeight="1" s="30">
      <c r="A160" s="47" t="str">
        <f>IF($D160="","",155)</f>
        <v/>
      </c>
      <c r="B160" s="48" t="str">
        <f>IFERROR(INDEX(전개결과!$O$6:$O$1205,MATCH("R"&amp;155,전개결과!$L$6:$L$1205,0)),"")</f>
        <v/>
      </c>
      <c r="C160" s="40" t="str">
        <f>IF($D160="","",IFERROR(INDEX(전개결과!$P$6:$P$1205,MATCH("R"&amp;155,전개결과!$L$6:$L$1205,0)),""))</f>
        <v/>
      </c>
      <c r="D160" s="40" t="str">
        <f>IFERROR(INDEX(전개결과!$M$6:$M$1205,MATCH("R"&amp;155,전개결과!$L$6:$L$1205,0)),"")</f>
        <v/>
      </c>
      <c r="E160" s="40" t="str">
        <f>IF($D160="","",IFERROR(INDEX(품목목록!$B$3:$B$302,MATCH($D160,품목목록!$A$3:$A$302,0)),""))</f>
        <v/>
      </c>
      <c r="F160" s="47" t="str">
        <f>IF($D160="","",IFERROR(INDEX(품목목록!$D$3:$D$302,MATCH($D160,품목목록!$A$3:$A$302,0)),""))</f>
        <v/>
      </c>
      <c r="G160" s="49" t="str">
        <f>IFERROR(INDEX(전개결과!$N$6:$N$1205,MATCH("R"&amp;155,전개결과!$L$6:$L$1205,0)),"")</f>
        <v/>
      </c>
      <c r="H160" s="40" t="str">
        <f>IF($D160="","",IFERROR(INDEX(전개결과!$Q$6:$Q$1205,MATCH("R"&amp;155,전개결과!$L$6:$L$1205,0)),""))</f>
        <v/>
      </c>
      <c r="J160" s="50" t="b">
        <f>IF(발주접수!$D18="",FALSE(),IF(발주접수!$F18="세트",COUNTIF(세트구성!$G$3:$G$302,발주접수!$D18&amp;"|"&amp;5)&gt;0,4=0))</f>
        <v>0</v>
      </c>
      <c r="K160" s="34" t="str">
        <f>IF($J160=FALSE(),"",COUNTIF($J$6:$J160,TRUE()))</f>
        <v/>
      </c>
      <c r="L160" s="34" t="str">
        <f>IF($K160="","","R"&amp;$K160)</f>
        <v/>
      </c>
      <c r="M160" s="34" t="str">
        <f>IF($J160=FALSE(),"",IF(발주접수!$F18="세트",IFERROR(INDEX(세트구성!$C$3:$C$302,MATCH(발주접수!$D18&amp;"|"&amp;5,세트구성!$G$3:$G$302,0)),""),발주접수!$D18))</f>
        <v/>
      </c>
      <c r="N160" s="34" t="str">
        <f>IF($J160=FALSE(),"",IF(발주접수!$F18="세트",발주접수!$G18*IFERROR(INDEX(세트구성!$E$3:$E$302,MATCH(발주접수!$D18&amp;"|"&amp;5,세트구성!$G$3:$G$302,0)),0),발주접수!$G18))</f>
        <v/>
      </c>
      <c r="O160" s="34" t="str">
        <f>IF($J160=FALSE(),"",발주접수!$B18)</f>
        <v/>
      </c>
      <c r="P160" s="34" t="str">
        <f>IF($J160=FALSE(),"",발주접수!$C18)</f>
        <v/>
      </c>
      <c r="Q160" s="34" t="str">
        <f>IF($J160=FALSE(),"",IF(발주접수!$F18="세트",발주접수!$E18&amp;" 전개","직접 발주"))</f>
        <v/>
      </c>
    </row>
    <row r="161" ht="15" customHeight="1" s="30">
      <c r="A161" s="47" t="str">
        <f>IF($D161="","",156)</f>
        <v/>
      </c>
      <c r="B161" s="48" t="str">
        <f>IFERROR(INDEX(전개결과!$O$6:$O$1205,MATCH("R"&amp;156,전개결과!$L$6:$L$1205,0)),"")</f>
        <v/>
      </c>
      <c r="C161" s="40" t="str">
        <f>IF($D161="","",IFERROR(INDEX(전개결과!$P$6:$P$1205,MATCH("R"&amp;156,전개결과!$L$6:$L$1205,0)),""))</f>
        <v/>
      </c>
      <c r="D161" s="40" t="str">
        <f>IFERROR(INDEX(전개결과!$M$6:$M$1205,MATCH("R"&amp;156,전개결과!$L$6:$L$1205,0)),"")</f>
        <v/>
      </c>
      <c r="E161" s="40" t="str">
        <f>IF($D161="","",IFERROR(INDEX(품목목록!$B$3:$B$302,MATCH($D161,품목목록!$A$3:$A$302,0)),""))</f>
        <v/>
      </c>
      <c r="F161" s="47" t="str">
        <f>IF($D161="","",IFERROR(INDEX(품목목록!$D$3:$D$302,MATCH($D161,품목목록!$A$3:$A$302,0)),""))</f>
        <v/>
      </c>
      <c r="G161" s="49" t="str">
        <f>IFERROR(INDEX(전개결과!$N$6:$N$1205,MATCH("R"&amp;156,전개결과!$L$6:$L$1205,0)),"")</f>
        <v/>
      </c>
      <c r="H161" s="40" t="str">
        <f>IF($D161="","",IFERROR(INDEX(전개결과!$Q$6:$Q$1205,MATCH("R"&amp;156,전개결과!$L$6:$L$1205,0)),""))</f>
        <v/>
      </c>
      <c r="J161" s="50" t="b">
        <f>IF(발주접수!$D18="",FALSE(),IF(발주접수!$F18="세트",COUNTIF(세트구성!$G$3:$G$302,발주접수!$D18&amp;"|"&amp;6)&gt;0,5=0))</f>
        <v>0</v>
      </c>
      <c r="K161" s="34" t="str">
        <f>IF($J161=FALSE(),"",COUNTIF($J$6:$J161,TRUE()))</f>
        <v/>
      </c>
      <c r="L161" s="34" t="str">
        <f>IF($K161="","","R"&amp;$K161)</f>
        <v/>
      </c>
      <c r="M161" s="34" t="str">
        <f>IF($J161=FALSE(),"",IF(발주접수!$F18="세트",IFERROR(INDEX(세트구성!$C$3:$C$302,MATCH(발주접수!$D18&amp;"|"&amp;6,세트구성!$G$3:$G$302,0)),""),발주접수!$D18))</f>
        <v/>
      </c>
      <c r="N161" s="34" t="str">
        <f>IF($J161=FALSE(),"",IF(발주접수!$F18="세트",발주접수!$G18*IFERROR(INDEX(세트구성!$E$3:$E$302,MATCH(발주접수!$D18&amp;"|"&amp;6,세트구성!$G$3:$G$302,0)),0),발주접수!$G18))</f>
        <v/>
      </c>
      <c r="O161" s="34" t="str">
        <f>IF($J161=FALSE(),"",발주접수!$B18)</f>
        <v/>
      </c>
      <c r="P161" s="34" t="str">
        <f>IF($J161=FALSE(),"",발주접수!$C18)</f>
        <v/>
      </c>
      <c r="Q161" s="34" t="str">
        <f>IF($J161=FALSE(),"",IF(발주접수!$F18="세트",발주접수!$E18&amp;" 전개","직접 발주"))</f>
        <v/>
      </c>
    </row>
    <row r="162" ht="15" customHeight="1" s="30">
      <c r="A162" s="47" t="str">
        <f>IF($D162="","",157)</f>
        <v/>
      </c>
      <c r="B162" s="48" t="str">
        <f>IFERROR(INDEX(전개결과!$O$6:$O$1205,MATCH("R"&amp;157,전개결과!$L$6:$L$1205,0)),"")</f>
        <v/>
      </c>
      <c r="C162" s="40" t="str">
        <f>IF($D162="","",IFERROR(INDEX(전개결과!$P$6:$P$1205,MATCH("R"&amp;157,전개결과!$L$6:$L$1205,0)),""))</f>
        <v/>
      </c>
      <c r="D162" s="40" t="str">
        <f>IFERROR(INDEX(전개결과!$M$6:$M$1205,MATCH("R"&amp;157,전개결과!$L$6:$L$1205,0)),"")</f>
        <v/>
      </c>
      <c r="E162" s="40" t="str">
        <f>IF($D162="","",IFERROR(INDEX(품목목록!$B$3:$B$302,MATCH($D162,품목목록!$A$3:$A$302,0)),""))</f>
        <v/>
      </c>
      <c r="F162" s="47" t="str">
        <f>IF($D162="","",IFERROR(INDEX(품목목록!$D$3:$D$302,MATCH($D162,품목목록!$A$3:$A$302,0)),""))</f>
        <v/>
      </c>
      <c r="G162" s="49" t="str">
        <f>IFERROR(INDEX(전개결과!$N$6:$N$1205,MATCH("R"&amp;157,전개결과!$L$6:$L$1205,0)),"")</f>
        <v/>
      </c>
      <c r="H162" s="40" t="str">
        <f>IF($D162="","",IFERROR(INDEX(전개결과!$Q$6:$Q$1205,MATCH("R"&amp;157,전개결과!$L$6:$L$1205,0)),""))</f>
        <v/>
      </c>
      <c r="J162" s="50" t="b">
        <f>IF(발주접수!$D18="",FALSE(),IF(발주접수!$F18="세트",COUNTIF(세트구성!$G$3:$G$302,발주접수!$D18&amp;"|"&amp;7)&gt;0,6=0))</f>
        <v>0</v>
      </c>
      <c r="K162" s="34" t="str">
        <f>IF($J162=FALSE(),"",COUNTIF($J$6:$J162,TRUE()))</f>
        <v/>
      </c>
      <c r="L162" s="34" t="str">
        <f>IF($K162="","","R"&amp;$K162)</f>
        <v/>
      </c>
      <c r="M162" s="34" t="str">
        <f>IF($J162=FALSE(),"",IF(발주접수!$F18="세트",IFERROR(INDEX(세트구성!$C$3:$C$302,MATCH(발주접수!$D18&amp;"|"&amp;7,세트구성!$G$3:$G$302,0)),""),발주접수!$D18))</f>
        <v/>
      </c>
      <c r="N162" s="34" t="str">
        <f>IF($J162=FALSE(),"",IF(발주접수!$F18="세트",발주접수!$G18*IFERROR(INDEX(세트구성!$E$3:$E$302,MATCH(발주접수!$D18&amp;"|"&amp;7,세트구성!$G$3:$G$302,0)),0),발주접수!$G18))</f>
        <v/>
      </c>
      <c r="O162" s="34" t="str">
        <f>IF($J162=FALSE(),"",발주접수!$B18)</f>
        <v/>
      </c>
      <c r="P162" s="34" t="str">
        <f>IF($J162=FALSE(),"",발주접수!$C18)</f>
        <v/>
      </c>
      <c r="Q162" s="34" t="str">
        <f>IF($J162=FALSE(),"",IF(발주접수!$F18="세트",발주접수!$E18&amp;" 전개","직접 발주"))</f>
        <v/>
      </c>
    </row>
    <row r="163" ht="15" customHeight="1" s="30">
      <c r="A163" s="47" t="str">
        <f>IF($D163="","",158)</f>
        <v/>
      </c>
      <c r="B163" s="48" t="str">
        <f>IFERROR(INDEX(전개결과!$O$6:$O$1205,MATCH("R"&amp;158,전개결과!$L$6:$L$1205,0)),"")</f>
        <v/>
      </c>
      <c r="C163" s="40" t="str">
        <f>IF($D163="","",IFERROR(INDEX(전개결과!$P$6:$P$1205,MATCH("R"&amp;158,전개결과!$L$6:$L$1205,0)),""))</f>
        <v/>
      </c>
      <c r="D163" s="40" t="str">
        <f>IFERROR(INDEX(전개결과!$M$6:$M$1205,MATCH("R"&amp;158,전개결과!$L$6:$L$1205,0)),"")</f>
        <v/>
      </c>
      <c r="E163" s="40" t="str">
        <f>IF($D163="","",IFERROR(INDEX(품목목록!$B$3:$B$302,MATCH($D163,품목목록!$A$3:$A$302,0)),""))</f>
        <v/>
      </c>
      <c r="F163" s="47" t="str">
        <f>IF($D163="","",IFERROR(INDEX(품목목록!$D$3:$D$302,MATCH($D163,품목목록!$A$3:$A$302,0)),""))</f>
        <v/>
      </c>
      <c r="G163" s="49" t="str">
        <f>IFERROR(INDEX(전개결과!$N$6:$N$1205,MATCH("R"&amp;158,전개결과!$L$6:$L$1205,0)),"")</f>
        <v/>
      </c>
      <c r="H163" s="40" t="str">
        <f>IF($D163="","",IFERROR(INDEX(전개결과!$Q$6:$Q$1205,MATCH("R"&amp;158,전개결과!$L$6:$L$1205,0)),""))</f>
        <v/>
      </c>
      <c r="J163" s="50" t="b">
        <f>IF(발주접수!$D18="",FALSE(),IF(발주접수!$F18="세트",COUNTIF(세트구성!$G$3:$G$302,발주접수!$D18&amp;"|"&amp;8)&gt;0,7=0))</f>
        <v>0</v>
      </c>
      <c r="K163" s="34" t="str">
        <f>IF($J163=FALSE(),"",COUNTIF($J$6:$J163,TRUE()))</f>
        <v/>
      </c>
      <c r="L163" s="34" t="str">
        <f>IF($K163="","","R"&amp;$K163)</f>
        <v/>
      </c>
      <c r="M163" s="34" t="str">
        <f>IF($J163=FALSE(),"",IF(발주접수!$F18="세트",IFERROR(INDEX(세트구성!$C$3:$C$302,MATCH(발주접수!$D18&amp;"|"&amp;8,세트구성!$G$3:$G$302,0)),""),발주접수!$D18))</f>
        <v/>
      </c>
      <c r="N163" s="34" t="str">
        <f>IF($J163=FALSE(),"",IF(발주접수!$F18="세트",발주접수!$G18*IFERROR(INDEX(세트구성!$E$3:$E$302,MATCH(발주접수!$D18&amp;"|"&amp;8,세트구성!$G$3:$G$302,0)),0),발주접수!$G18))</f>
        <v/>
      </c>
      <c r="O163" s="34" t="str">
        <f>IF($J163=FALSE(),"",발주접수!$B18)</f>
        <v/>
      </c>
      <c r="P163" s="34" t="str">
        <f>IF($J163=FALSE(),"",발주접수!$C18)</f>
        <v/>
      </c>
      <c r="Q163" s="34" t="str">
        <f>IF($J163=FALSE(),"",IF(발주접수!$F18="세트",발주접수!$E18&amp;" 전개","직접 발주"))</f>
        <v/>
      </c>
    </row>
    <row r="164" ht="15" customHeight="1" s="30">
      <c r="A164" s="47" t="str">
        <f>IF($D164="","",159)</f>
        <v/>
      </c>
      <c r="B164" s="48" t="str">
        <f>IFERROR(INDEX(전개결과!$O$6:$O$1205,MATCH("R"&amp;159,전개결과!$L$6:$L$1205,0)),"")</f>
        <v/>
      </c>
      <c r="C164" s="40" t="str">
        <f>IF($D164="","",IFERROR(INDEX(전개결과!$P$6:$P$1205,MATCH("R"&amp;159,전개결과!$L$6:$L$1205,0)),""))</f>
        <v/>
      </c>
      <c r="D164" s="40" t="str">
        <f>IFERROR(INDEX(전개결과!$M$6:$M$1205,MATCH("R"&amp;159,전개결과!$L$6:$L$1205,0)),"")</f>
        <v/>
      </c>
      <c r="E164" s="40" t="str">
        <f>IF($D164="","",IFERROR(INDEX(품목목록!$B$3:$B$302,MATCH($D164,품목목록!$A$3:$A$302,0)),""))</f>
        <v/>
      </c>
      <c r="F164" s="47" t="str">
        <f>IF($D164="","",IFERROR(INDEX(품목목록!$D$3:$D$302,MATCH($D164,품목목록!$A$3:$A$302,0)),""))</f>
        <v/>
      </c>
      <c r="G164" s="49" t="str">
        <f>IFERROR(INDEX(전개결과!$N$6:$N$1205,MATCH("R"&amp;159,전개결과!$L$6:$L$1205,0)),"")</f>
        <v/>
      </c>
      <c r="H164" s="40" t="str">
        <f>IF($D164="","",IFERROR(INDEX(전개결과!$Q$6:$Q$1205,MATCH("R"&amp;159,전개결과!$L$6:$L$1205,0)),""))</f>
        <v/>
      </c>
      <c r="J164" s="50" t="b">
        <f>IF(발주접수!$D18="",FALSE(),IF(발주접수!$F18="세트",COUNTIF(세트구성!$G$3:$G$302,발주접수!$D18&amp;"|"&amp;9)&gt;0,8=0))</f>
        <v>0</v>
      </c>
      <c r="K164" s="34" t="str">
        <f>IF($J164=FALSE(),"",COUNTIF($J$6:$J164,TRUE()))</f>
        <v/>
      </c>
      <c r="L164" s="34" t="str">
        <f>IF($K164="","","R"&amp;$K164)</f>
        <v/>
      </c>
      <c r="M164" s="34" t="str">
        <f>IF($J164=FALSE(),"",IF(발주접수!$F18="세트",IFERROR(INDEX(세트구성!$C$3:$C$302,MATCH(발주접수!$D18&amp;"|"&amp;9,세트구성!$G$3:$G$302,0)),""),발주접수!$D18))</f>
        <v/>
      </c>
      <c r="N164" s="34" t="str">
        <f>IF($J164=FALSE(),"",IF(발주접수!$F18="세트",발주접수!$G18*IFERROR(INDEX(세트구성!$E$3:$E$302,MATCH(발주접수!$D18&amp;"|"&amp;9,세트구성!$G$3:$G$302,0)),0),발주접수!$G18))</f>
        <v/>
      </c>
      <c r="O164" s="34" t="str">
        <f>IF($J164=FALSE(),"",발주접수!$B18)</f>
        <v/>
      </c>
      <c r="P164" s="34" t="str">
        <f>IF($J164=FALSE(),"",발주접수!$C18)</f>
        <v/>
      </c>
      <c r="Q164" s="34" t="str">
        <f>IF($J164=FALSE(),"",IF(발주접수!$F18="세트",발주접수!$E18&amp;" 전개","직접 발주"))</f>
        <v/>
      </c>
    </row>
    <row r="165" ht="15" customHeight="1" s="30">
      <c r="A165" s="47" t="str">
        <f>IF($D165="","",160)</f>
        <v/>
      </c>
      <c r="B165" s="48" t="str">
        <f>IFERROR(INDEX(전개결과!$O$6:$O$1205,MATCH("R"&amp;160,전개결과!$L$6:$L$1205,0)),"")</f>
        <v/>
      </c>
      <c r="C165" s="40" t="str">
        <f>IF($D165="","",IFERROR(INDEX(전개결과!$P$6:$P$1205,MATCH("R"&amp;160,전개결과!$L$6:$L$1205,0)),""))</f>
        <v/>
      </c>
      <c r="D165" s="40" t="str">
        <f>IFERROR(INDEX(전개결과!$M$6:$M$1205,MATCH("R"&amp;160,전개결과!$L$6:$L$1205,0)),"")</f>
        <v/>
      </c>
      <c r="E165" s="40" t="str">
        <f>IF($D165="","",IFERROR(INDEX(품목목록!$B$3:$B$302,MATCH($D165,품목목록!$A$3:$A$302,0)),""))</f>
        <v/>
      </c>
      <c r="F165" s="47" t="str">
        <f>IF($D165="","",IFERROR(INDEX(품목목록!$D$3:$D$302,MATCH($D165,품목목록!$A$3:$A$302,0)),""))</f>
        <v/>
      </c>
      <c r="G165" s="49" t="str">
        <f>IFERROR(INDEX(전개결과!$N$6:$N$1205,MATCH("R"&amp;160,전개결과!$L$6:$L$1205,0)),"")</f>
        <v/>
      </c>
      <c r="H165" s="40" t="str">
        <f>IF($D165="","",IFERROR(INDEX(전개결과!$Q$6:$Q$1205,MATCH("R"&amp;160,전개결과!$L$6:$L$1205,0)),""))</f>
        <v/>
      </c>
      <c r="J165" s="50" t="b">
        <f>IF(발주접수!$D18="",FALSE(),IF(발주접수!$F18="세트",COUNTIF(세트구성!$G$3:$G$302,발주접수!$D18&amp;"|"&amp;10)&gt;0,9=0))</f>
        <v>0</v>
      </c>
      <c r="K165" s="34" t="str">
        <f>IF($J165=FALSE(),"",COUNTIF($J$6:$J165,TRUE()))</f>
        <v/>
      </c>
      <c r="L165" s="34" t="str">
        <f>IF($K165="","","R"&amp;$K165)</f>
        <v/>
      </c>
      <c r="M165" s="34" t="str">
        <f>IF($J165=FALSE(),"",IF(발주접수!$F18="세트",IFERROR(INDEX(세트구성!$C$3:$C$302,MATCH(발주접수!$D18&amp;"|"&amp;10,세트구성!$G$3:$G$302,0)),""),발주접수!$D18))</f>
        <v/>
      </c>
      <c r="N165" s="34" t="str">
        <f>IF($J165=FALSE(),"",IF(발주접수!$F18="세트",발주접수!$G18*IFERROR(INDEX(세트구성!$E$3:$E$302,MATCH(발주접수!$D18&amp;"|"&amp;10,세트구성!$G$3:$G$302,0)),0),발주접수!$G18))</f>
        <v/>
      </c>
      <c r="O165" s="34" t="str">
        <f>IF($J165=FALSE(),"",발주접수!$B18)</f>
        <v/>
      </c>
      <c r="P165" s="34" t="str">
        <f>IF($J165=FALSE(),"",발주접수!$C18)</f>
        <v/>
      </c>
      <c r="Q165" s="34" t="str">
        <f>IF($J165=FALSE(),"",IF(발주접수!$F18="세트",발주접수!$E18&amp;" 전개","직접 발주"))</f>
        <v/>
      </c>
    </row>
    <row r="166" ht="15" customHeight="1" s="30">
      <c r="A166" s="47" t="str">
        <f>IF($D166="","",161)</f>
        <v/>
      </c>
      <c r="B166" s="48" t="str">
        <f>IFERROR(INDEX(전개결과!$O$6:$O$1205,MATCH("R"&amp;161,전개결과!$L$6:$L$1205,0)),"")</f>
        <v/>
      </c>
      <c r="C166" s="40" t="str">
        <f>IF($D166="","",IFERROR(INDEX(전개결과!$P$6:$P$1205,MATCH("R"&amp;161,전개결과!$L$6:$L$1205,0)),""))</f>
        <v/>
      </c>
      <c r="D166" s="40" t="str">
        <f>IFERROR(INDEX(전개결과!$M$6:$M$1205,MATCH("R"&amp;161,전개결과!$L$6:$L$1205,0)),"")</f>
        <v/>
      </c>
      <c r="E166" s="40" t="str">
        <f>IF($D166="","",IFERROR(INDEX(품목목록!$B$3:$B$302,MATCH($D166,품목목록!$A$3:$A$302,0)),""))</f>
        <v/>
      </c>
      <c r="F166" s="47" t="str">
        <f>IF($D166="","",IFERROR(INDEX(품목목록!$D$3:$D$302,MATCH($D166,품목목록!$A$3:$A$302,0)),""))</f>
        <v/>
      </c>
      <c r="G166" s="49" t="str">
        <f>IFERROR(INDEX(전개결과!$N$6:$N$1205,MATCH("R"&amp;161,전개결과!$L$6:$L$1205,0)),"")</f>
        <v/>
      </c>
      <c r="H166" s="40" t="str">
        <f>IF($D166="","",IFERROR(INDEX(전개결과!$Q$6:$Q$1205,MATCH("R"&amp;161,전개결과!$L$6:$L$1205,0)),""))</f>
        <v/>
      </c>
      <c r="J166" s="50" t="b">
        <f>IF(발주접수!$D19="",FALSE(),IF(발주접수!$F19="세트",COUNTIF(세트구성!$G$3:$G$302,발주접수!$D19&amp;"|"&amp;1)&gt;0,0=0))</f>
        <v>0</v>
      </c>
      <c r="K166" s="34" t="str">
        <f>IF($J166=FALSE(),"",COUNTIF($J$6:$J166,TRUE()))</f>
        <v/>
      </c>
      <c r="L166" s="34" t="str">
        <f>IF($K166="","","R"&amp;$K166)</f>
        <v/>
      </c>
      <c r="M166" s="34" t="str">
        <f>IF($J166=FALSE(),"",IF(발주접수!$F19="세트",IFERROR(INDEX(세트구성!$C$3:$C$302,MATCH(발주접수!$D19&amp;"|"&amp;1,세트구성!$G$3:$G$302,0)),""),발주접수!$D19))</f>
        <v/>
      </c>
      <c r="N166" s="34" t="str">
        <f>IF($J166=FALSE(),"",IF(발주접수!$F19="세트",발주접수!$G19*IFERROR(INDEX(세트구성!$E$3:$E$302,MATCH(발주접수!$D19&amp;"|"&amp;1,세트구성!$G$3:$G$302,0)),0),발주접수!$G19))</f>
        <v/>
      </c>
      <c r="O166" s="34" t="str">
        <f>IF($J166=FALSE(),"",발주접수!$B19)</f>
        <v/>
      </c>
      <c r="P166" s="34" t="str">
        <f>IF($J166=FALSE(),"",발주접수!$C19)</f>
        <v/>
      </c>
      <c r="Q166" s="34" t="str">
        <f>IF($J166=FALSE(),"",IF(발주접수!$F19="세트",발주접수!$E19&amp;" 전개","직접 발주"))</f>
        <v/>
      </c>
    </row>
    <row r="167" ht="15" customHeight="1" s="30">
      <c r="A167" s="47" t="str">
        <f>IF($D167="","",162)</f>
        <v/>
      </c>
      <c r="B167" s="48" t="str">
        <f>IFERROR(INDEX(전개결과!$O$6:$O$1205,MATCH("R"&amp;162,전개결과!$L$6:$L$1205,0)),"")</f>
        <v/>
      </c>
      <c r="C167" s="40" t="str">
        <f>IF($D167="","",IFERROR(INDEX(전개결과!$P$6:$P$1205,MATCH("R"&amp;162,전개결과!$L$6:$L$1205,0)),""))</f>
        <v/>
      </c>
      <c r="D167" s="40" t="str">
        <f>IFERROR(INDEX(전개결과!$M$6:$M$1205,MATCH("R"&amp;162,전개결과!$L$6:$L$1205,0)),"")</f>
        <v/>
      </c>
      <c r="E167" s="40" t="str">
        <f>IF($D167="","",IFERROR(INDEX(품목목록!$B$3:$B$302,MATCH($D167,품목목록!$A$3:$A$302,0)),""))</f>
        <v/>
      </c>
      <c r="F167" s="47" t="str">
        <f>IF($D167="","",IFERROR(INDEX(품목목록!$D$3:$D$302,MATCH($D167,품목목록!$A$3:$A$302,0)),""))</f>
        <v/>
      </c>
      <c r="G167" s="49" t="str">
        <f>IFERROR(INDEX(전개결과!$N$6:$N$1205,MATCH("R"&amp;162,전개결과!$L$6:$L$1205,0)),"")</f>
        <v/>
      </c>
      <c r="H167" s="40" t="str">
        <f>IF($D167="","",IFERROR(INDEX(전개결과!$Q$6:$Q$1205,MATCH("R"&amp;162,전개결과!$L$6:$L$1205,0)),""))</f>
        <v/>
      </c>
      <c r="J167" s="50" t="b">
        <f>IF(발주접수!$D19="",FALSE(),IF(발주접수!$F19="세트",COUNTIF(세트구성!$G$3:$G$302,발주접수!$D19&amp;"|"&amp;2)&gt;0,1=0))</f>
        <v>0</v>
      </c>
      <c r="K167" s="34" t="str">
        <f>IF($J167=FALSE(),"",COUNTIF($J$6:$J167,TRUE()))</f>
        <v/>
      </c>
      <c r="L167" s="34" t="str">
        <f>IF($K167="","","R"&amp;$K167)</f>
        <v/>
      </c>
      <c r="M167" s="34" t="str">
        <f>IF($J167=FALSE(),"",IF(발주접수!$F19="세트",IFERROR(INDEX(세트구성!$C$3:$C$302,MATCH(발주접수!$D19&amp;"|"&amp;2,세트구성!$G$3:$G$302,0)),""),발주접수!$D19))</f>
        <v/>
      </c>
      <c r="N167" s="34" t="str">
        <f>IF($J167=FALSE(),"",IF(발주접수!$F19="세트",발주접수!$G19*IFERROR(INDEX(세트구성!$E$3:$E$302,MATCH(발주접수!$D19&amp;"|"&amp;2,세트구성!$G$3:$G$302,0)),0),발주접수!$G19))</f>
        <v/>
      </c>
      <c r="O167" s="34" t="str">
        <f>IF($J167=FALSE(),"",발주접수!$B19)</f>
        <v/>
      </c>
      <c r="P167" s="34" t="str">
        <f>IF($J167=FALSE(),"",발주접수!$C19)</f>
        <v/>
      </c>
      <c r="Q167" s="34" t="str">
        <f>IF($J167=FALSE(),"",IF(발주접수!$F19="세트",발주접수!$E19&amp;" 전개","직접 발주"))</f>
        <v/>
      </c>
    </row>
    <row r="168" ht="15" customHeight="1" s="30">
      <c r="A168" s="47" t="str">
        <f>IF($D168="","",163)</f>
        <v/>
      </c>
      <c r="B168" s="48" t="str">
        <f>IFERROR(INDEX(전개결과!$O$6:$O$1205,MATCH("R"&amp;163,전개결과!$L$6:$L$1205,0)),"")</f>
        <v/>
      </c>
      <c r="C168" s="40" t="str">
        <f>IF($D168="","",IFERROR(INDEX(전개결과!$P$6:$P$1205,MATCH("R"&amp;163,전개결과!$L$6:$L$1205,0)),""))</f>
        <v/>
      </c>
      <c r="D168" s="40" t="str">
        <f>IFERROR(INDEX(전개결과!$M$6:$M$1205,MATCH("R"&amp;163,전개결과!$L$6:$L$1205,0)),"")</f>
        <v/>
      </c>
      <c r="E168" s="40" t="str">
        <f>IF($D168="","",IFERROR(INDEX(품목목록!$B$3:$B$302,MATCH($D168,품목목록!$A$3:$A$302,0)),""))</f>
        <v/>
      </c>
      <c r="F168" s="47" t="str">
        <f>IF($D168="","",IFERROR(INDEX(품목목록!$D$3:$D$302,MATCH($D168,품목목록!$A$3:$A$302,0)),""))</f>
        <v/>
      </c>
      <c r="G168" s="49" t="str">
        <f>IFERROR(INDEX(전개결과!$N$6:$N$1205,MATCH("R"&amp;163,전개결과!$L$6:$L$1205,0)),"")</f>
        <v/>
      </c>
      <c r="H168" s="40" t="str">
        <f>IF($D168="","",IFERROR(INDEX(전개결과!$Q$6:$Q$1205,MATCH("R"&amp;163,전개결과!$L$6:$L$1205,0)),""))</f>
        <v/>
      </c>
      <c r="J168" s="50" t="b">
        <f>IF(발주접수!$D19="",FALSE(),IF(발주접수!$F19="세트",COUNTIF(세트구성!$G$3:$G$302,발주접수!$D19&amp;"|"&amp;3)&gt;0,2=0))</f>
        <v>0</v>
      </c>
      <c r="K168" s="34" t="str">
        <f>IF($J168=FALSE(),"",COUNTIF($J$6:$J168,TRUE()))</f>
        <v/>
      </c>
      <c r="L168" s="34" t="str">
        <f>IF($K168="","","R"&amp;$K168)</f>
        <v/>
      </c>
      <c r="M168" s="34" t="str">
        <f>IF($J168=FALSE(),"",IF(발주접수!$F19="세트",IFERROR(INDEX(세트구성!$C$3:$C$302,MATCH(발주접수!$D19&amp;"|"&amp;3,세트구성!$G$3:$G$302,0)),""),발주접수!$D19))</f>
        <v/>
      </c>
      <c r="N168" s="34" t="str">
        <f>IF($J168=FALSE(),"",IF(발주접수!$F19="세트",발주접수!$G19*IFERROR(INDEX(세트구성!$E$3:$E$302,MATCH(발주접수!$D19&amp;"|"&amp;3,세트구성!$G$3:$G$302,0)),0),발주접수!$G19))</f>
        <v/>
      </c>
      <c r="O168" s="34" t="str">
        <f>IF($J168=FALSE(),"",발주접수!$B19)</f>
        <v/>
      </c>
      <c r="P168" s="34" t="str">
        <f>IF($J168=FALSE(),"",발주접수!$C19)</f>
        <v/>
      </c>
      <c r="Q168" s="34" t="str">
        <f>IF($J168=FALSE(),"",IF(발주접수!$F19="세트",발주접수!$E19&amp;" 전개","직접 발주"))</f>
        <v/>
      </c>
    </row>
    <row r="169" ht="15" customHeight="1" s="30">
      <c r="A169" s="47" t="str">
        <f>IF($D169="","",164)</f>
        <v/>
      </c>
      <c r="B169" s="48" t="str">
        <f>IFERROR(INDEX(전개결과!$O$6:$O$1205,MATCH("R"&amp;164,전개결과!$L$6:$L$1205,0)),"")</f>
        <v/>
      </c>
      <c r="C169" s="40" t="str">
        <f>IF($D169="","",IFERROR(INDEX(전개결과!$P$6:$P$1205,MATCH("R"&amp;164,전개결과!$L$6:$L$1205,0)),""))</f>
        <v/>
      </c>
      <c r="D169" s="40" t="str">
        <f>IFERROR(INDEX(전개결과!$M$6:$M$1205,MATCH("R"&amp;164,전개결과!$L$6:$L$1205,0)),"")</f>
        <v/>
      </c>
      <c r="E169" s="40" t="str">
        <f>IF($D169="","",IFERROR(INDEX(품목목록!$B$3:$B$302,MATCH($D169,품목목록!$A$3:$A$302,0)),""))</f>
        <v/>
      </c>
      <c r="F169" s="47" t="str">
        <f>IF($D169="","",IFERROR(INDEX(품목목록!$D$3:$D$302,MATCH($D169,품목목록!$A$3:$A$302,0)),""))</f>
        <v/>
      </c>
      <c r="G169" s="49" t="str">
        <f>IFERROR(INDEX(전개결과!$N$6:$N$1205,MATCH("R"&amp;164,전개결과!$L$6:$L$1205,0)),"")</f>
        <v/>
      </c>
      <c r="H169" s="40" t="str">
        <f>IF($D169="","",IFERROR(INDEX(전개결과!$Q$6:$Q$1205,MATCH("R"&amp;164,전개결과!$L$6:$L$1205,0)),""))</f>
        <v/>
      </c>
      <c r="J169" s="50" t="b">
        <f>IF(발주접수!$D19="",FALSE(),IF(발주접수!$F19="세트",COUNTIF(세트구성!$G$3:$G$302,발주접수!$D19&amp;"|"&amp;4)&gt;0,3=0))</f>
        <v>0</v>
      </c>
      <c r="K169" s="34" t="str">
        <f>IF($J169=FALSE(),"",COUNTIF($J$6:$J169,TRUE()))</f>
        <v/>
      </c>
      <c r="L169" s="34" t="str">
        <f>IF($K169="","","R"&amp;$K169)</f>
        <v/>
      </c>
      <c r="M169" s="34" t="str">
        <f>IF($J169=FALSE(),"",IF(발주접수!$F19="세트",IFERROR(INDEX(세트구성!$C$3:$C$302,MATCH(발주접수!$D19&amp;"|"&amp;4,세트구성!$G$3:$G$302,0)),""),발주접수!$D19))</f>
        <v/>
      </c>
      <c r="N169" s="34" t="str">
        <f>IF($J169=FALSE(),"",IF(발주접수!$F19="세트",발주접수!$G19*IFERROR(INDEX(세트구성!$E$3:$E$302,MATCH(발주접수!$D19&amp;"|"&amp;4,세트구성!$G$3:$G$302,0)),0),발주접수!$G19))</f>
        <v/>
      </c>
      <c r="O169" s="34" t="str">
        <f>IF($J169=FALSE(),"",발주접수!$B19)</f>
        <v/>
      </c>
      <c r="P169" s="34" t="str">
        <f>IF($J169=FALSE(),"",발주접수!$C19)</f>
        <v/>
      </c>
      <c r="Q169" s="34" t="str">
        <f>IF($J169=FALSE(),"",IF(발주접수!$F19="세트",발주접수!$E19&amp;" 전개","직접 발주"))</f>
        <v/>
      </c>
    </row>
    <row r="170" ht="15" customHeight="1" s="30">
      <c r="A170" s="47" t="str">
        <f>IF($D170="","",165)</f>
        <v/>
      </c>
      <c r="B170" s="48" t="str">
        <f>IFERROR(INDEX(전개결과!$O$6:$O$1205,MATCH("R"&amp;165,전개결과!$L$6:$L$1205,0)),"")</f>
        <v/>
      </c>
      <c r="C170" s="40" t="str">
        <f>IF($D170="","",IFERROR(INDEX(전개결과!$P$6:$P$1205,MATCH("R"&amp;165,전개결과!$L$6:$L$1205,0)),""))</f>
        <v/>
      </c>
      <c r="D170" s="40" t="str">
        <f>IFERROR(INDEX(전개결과!$M$6:$M$1205,MATCH("R"&amp;165,전개결과!$L$6:$L$1205,0)),"")</f>
        <v/>
      </c>
      <c r="E170" s="40" t="str">
        <f>IF($D170="","",IFERROR(INDEX(품목목록!$B$3:$B$302,MATCH($D170,품목목록!$A$3:$A$302,0)),""))</f>
        <v/>
      </c>
      <c r="F170" s="47" t="str">
        <f>IF($D170="","",IFERROR(INDEX(품목목록!$D$3:$D$302,MATCH($D170,품목목록!$A$3:$A$302,0)),""))</f>
        <v/>
      </c>
      <c r="G170" s="49" t="str">
        <f>IFERROR(INDEX(전개결과!$N$6:$N$1205,MATCH("R"&amp;165,전개결과!$L$6:$L$1205,0)),"")</f>
        <v/>
      </c>
      <c r="H170" s="40" t="str">
        <f>IF($D170="","",IFERROR(INDEX(전개결과!$Q$6:$Q$1205,MATCH("R"&amp;165,전개결과!$L$6:$L$1205,0)),""))</f>
        <v/>
      </c>
      <c r="J170" s="50" t="b">
        <f>IF(발주접수!$D19="",FALSE(),IF(발주접수!$F19="세트",COUNTIF(세트구성!$G$3:$G$302,발주접수!$D19&amp;"|"&amp;5)&gt;0,4=0))</f>
        <v>0</v>
      </c>
      <c r="K170" s="34" t="str">
        <f>IF($J170=FALSE(),"",COUNTIF($J$6:$J170,TRUE()))</f>
        <v/>
      </c>
      <c r="L170" s="34" t="str">
        <f>IF($K170="","","R"&amp;$K170)</f>
        <v/>
      </c>
      <c r="M170" s="34" t="str">
        <f>IF($J170=FALSE(),"",IF(발주접수!$F19="세트",IFERROR(INDEX(세트구성!$C$3:$C$302,MATCH(발주접수!$D19&amp;"|"&amp;5,세트구성!$G$3:$G$302,0)),""),발주접수!$D19))</f>
        <v/>
      </c>
      <c r="N170" s="34" t="str">
        <f>IF($J170=FALSE(),"",IF(발주접수!$F19="세트",발주접수!$G19*IFERROR(INDEX(세트구성!$E$3:$E$302,MATCH(발주접수!$D19&amp;"|"&amp;5,세트구성!$G$3:$G$302,0)),0),발주접수!$G19))</f>
        <v/>
      </c>
      <c r="O170" s="34" t="str">
        <f>IF($J170=FALSE(),"",발주접수!$B19)</f>
        <v/>
      </c>
      <c r="P170" s="34" t="str">
        <f>IF($J170=FALSE(),"",발주접수!$C19)</f>
        <v/>
      </c>
      <c r="Q170" s="34" t="str">
        <f>IF($J170=FALSE(),"",IF(발주접수!$F19="세트",발주접수!$E19&amp;" 전개","직접 발주"))</f>
        <v/>
      </c>
    </row>
    <row r="171" ht="15" customHeight="1" s="30">
      <c r="A171" s="47" t="str">
        <f>IF($D171="","",166)</f>
        <v/>
      </c>
      <c r="B171" s="48" t="str">
        <f>IFERROR(INDEX(전개결과!$O$6:$O$1205,MATCH("R"&amp;166,전개결과!$L$6:$L$1205,0)),"")</f>
        <v/>
      </c>
      <c r="C171" s="40" t="str">
        <f>IF($D171="","",IFERROR(INDEX(전개결과!$P$6:$P$1205,MATCH("R"&amp;166,전개결과!$L$6:$L$1205,0)),""))</f>
        <v/>
      </c>
      <c r="D171" s="40" t="str">
        <f>IFERROR(INDEX(전개결과!$M$6:$M$1205,MATCH("R"&amp;166,전개결과!$L$6:$L$1205,0)),"")</f>
        <v/>
      </c>
      <c r="E171" s="40" t="str">
        <f>IF($D171="","",IFERROR(INDEX(품목목록!$B$3:$B$302,MATCH($D171,품목목록!$A$3:$A$302,0)),""))</f>
        <v/>
      </c>
      <c r="F171" s="47" t="str">
        <f>IF($D171="","",IFERROR(INDEX(품목목록!$D$3:$D$302,MATCH($D171,품목목록!$A$3:$A$302,0)),""))</f>
        <v/>
      </c>
      <c r="G171" s="49" t="str">
        <f>IFERROR(INDEX(전개결과!$N$6:$N$1205,MATCH("R"&amp;166,전개결과!$L$6:$L$1205,0)),"")</f>
        <v/>
      </c>
      <c r="H171" s="40" t="str">
        <f>IF($D171="","",IFERROR(INDEX(전개결과!$Q$6:$Q$1205,MATCH("R"&amp;166,전개결과!$L$6:$L$1205,0)),""))</f>
        <v/>
      </c>
      <c r="J171" s="50" t="b">
        <f>IF(발주접수!$D19="",FALSE(),IF(발주접수!$F19="세트",COUNTIF(세트구성!$G$3:$G$302,발주접수!$D19&amp;"|"&amp;6)&gt;0,5=0))</f>
        <v>0</v>
      </c>
      <c r="K171" s="34" t="str">
        <f>IF($J171=FALSE(),"",COUNTIF($J$6:$J171,TRUE()))</f>
        <v/>
      </c>
      <c r="L171" s="34" t="str">
        <f>IF($K171="","","R"&amp;$K171)</f>
        <v/>
      </c>
      <c r="M171" s="34" t="str">
        <f>IF($J171=FALSE(),"",IF(발주접수!$F19="세트",IFERROR(INDEX(세트구성!$C$3:$C$302,MATCH(발주접수!$D19&amp;"|"&amp;6,세트구성!$G$3:$G$302,0)),""),발주접수!$D19))</f>
        <v/>
      </c>
      <c r="N171" s="34" t="str">
        <f>IF($J171=FALSE(),"",IF(발주접수!$F19="세트",발주접수!$G19*IFERROR(INDEX(세트구성!$E$3:$E$302,MATCH(발주접수!$D19&amp;"|"&amp;6,세트구성!$G$3:$G$302,0)),0),발주접수!$G19))</f>
        <v/>
      </c>
      <c r="O171" s="34" t="str">
        <f>IF($J171=FALSE(),"",발주접수!$B19)</f>
        <v/>
      </c>
      <c r="P171" s="34" t="str">
        <f>IF($J171=FALSE(),"",발주접수!$C19)</f>
        <v/>
      </c>
      <c r="Q171" s="34" t="str">
        <f>IF($J171=FALSE(),"",IF(발주접수!$F19="세트",발주접수!$E19&amp;" 전개","직접 발주"))</f>
        <v/>
      </c>
    </row>
    <row r="172" ht="15" customHeight="1" s="30">
      <c r="A172" s="47" t="str">
        <f>IF($D172="","",167)</f>
        <v/>
      </c>
      <c r="B172" s="48" t="str">
        <f>IFERROR(INDEX(전개결과!$O$6:$O$1205,MATCH("R"&amp;167,전개결과!$L$6:$L$1205,0)),"")</f>
        <v/>
      </c>
      <c r="C172" s="40" t="str">
        <f>IF($D172="","",IFERROR(INDEX(전개결과!$P$6:$P$1205,MATCH("R"&amp;167,전개결과!$L$6:$L$1205,0)),""))</f>
        <v/>
      </c>
      <c r="D172" s="40" t="str">
        <f>IFERROR(INDEX(전개결과!$M$6:$M$1205,MATCH("R"&amp;167,전개결과!$L$6:$L$1205,0)),"")</f>
        <v/>
      </c>
      <c r="E172" s="40" t="str">
        <f>IF($D172="","",IFERROR(INDEX(품목목록!$B$3:$B$302,MATCH($D172,품목목록!$A$3:$A$302,0)),""))</f>
        <v/>
      </c>
      <c r="F172" s="47" t="str">
        <f>IF($D172="","",IFERROR(INDEX(품목목록!$D$3:$D$302,MATCH($D172,품목목록!$A$3:$A$302,0)),""))</f>
        <v/>
      </c>
      <c r="G172" s="49" t="str">
        <f>IFERROR(INDEX(전개결과!$N$6:$N$1205,MATCH("R"&amp;167,전개결과!$L$6:$L$1205,0)),"")</f>
        <v/>
      </c>
      <c r="H172" s="40" t="str">
        <f>IF($D172="","",IFERROR(INDEX(전개결과!$Q$6:$Q$1205,MATCH("R"&amp;167,전개결과!$L$6:$L$1205,0)),""))</f>
        <v/>
      </c>
      <c r="J172" s="50" t="b">
        <f>IF(발주접수!$D19="",FALSE(),IF(발주접수!$F19="세트",COUNTIF(세트구성!$G$3:$G$302,발주접수!$D19&amp;"|"&amp;7)&gt;0,6=0))</f>
        <v>0</v>
      </c>
      <c r="K172" s="34" t="str">
        <f>IF($J172=FALSE(),"",COUNTIF($J$6:$J172,TRUE()))</f>
        <v/>
      </c>
      <c r="L172" s="34" t="str">
        <f>IF($K172="","","R"&amp;$K172)</f>
        <v/>
      </c>
      <c r="M172" s="34" t="str">
        <f>IF($J172=FALSE(),"",IF(발주접수!$F19="세트",IFERROR(INDEX(세트구성!$C$3:$C$302,MATCH(발주접수!$D19&amp;"|"&amp;7,세트구성!$G$3:$G$302,0)),""),발주접수!$D19))</f>
        <v/>
      </c>
      <c r="N172" s="34" t="str">
        <f>IF($J172=FALSE(),"",IF(발주접수!$F19="세트",발주접수!$G19*IFERROR(INDEX(세트구성!$E$3:$E$302,MATCH(발주접수!$D19&amp;"|"&amp;7,세트구성!$G$3:$G$302,0)),0),발주접수!$G19))</f>
        <v/>
      </c>
      <c r="O172" s="34" t="str">
        <f>IF($J172=FALSE(),"",발주접수!$B19)</f>
        <v/>
      </c>
      <c r="P172" s="34" t="str">
        <f>IF($J172=FALSE(),"",발주접수!$C19)</f>
        <v/>
      </c>
      <c r="Q172" s="34" t="str">
        <f>IF($J172=FALSE(),"",IF(발주접수!$F19="세트",발주접수!$E19&amp;" 전개","직접 발주"))</f>
        <v/>
      </c>
    </row>
    <row r="173" ht="15" customHeight="1" s="30">
      <c r="A173" s="47" t="str">
        <f>IF($D173="","",168)</f>
        <v/>
      </c>
      <c r="B173" s="48" t="str">
        <f>IFERROR(INDEX(전개결과!$O$6:$O$1205,MATCH("R"&amp;168,전개결과!$L$6:$L$1205,0)),"")</f>
        <v/>
      </c>
      <c r="C173" s="40" t="str">
        <f>IF($D173="","",IFERROR(INDEX(전개결과!$P$6:$P$1205,MATCH("R"&amp;168,전개결과!$L$6:$L$1205,0)),""))</f>
        <v/>
      </c>
      <c r="D173" s="40" t="str">
        <f>IFERROR(INDEX(전개결과!$M$6:$M$1205,MATCH("R"&amp;168,전개결과!$L$6:$L$1205,0)),"")</f>
        <v/>
      </c>
      <c r="E173" s="40" t="str">
        <f>IF($D173="","",IFERROR(INDEX(품목목록!$B$3:$B$302,MATCH($D173,품목목록!$A$3:$A$302,0)),""))</f>
        <v/>
      </c>
      <c r="F173" s="47" t="str">
        <f>IF($D173="","",IFERROR(INDEX(품목목록!$D$3:$D$302,MATCH($D173,품목목록!$A$3:$A$302,0)),""))</f>
        <v/>
      </c>
      <c r="G173" s="49" t="str">
        <f>IFERROR(INDEX(전개결과!$N$6:$N$1205,MATCH("R"&amp;168,전개결과!$L$6:$L$1205,0)),"")</f>
        <v/>
      </c>
      <c r="H173" s="40" t="str">
        <f>IF($D173="","",IFERROR(INDEX(전개결과!$Q$6:$Q$1205,MATCH("R"&amp;168,전개결과!$L$6:$L$1205,0)),""))</f>
        <v/>
      </c>
      <c r="J173" s="50" t="b">
        <f>IF(발주접수!$D19="",FALSE(),IF(발주접수!$F19="세트",COUNTIF(세트구성!$G$3:$G$302,발주접수!$D19&amp;"|"&amp;8)&gt;0,7=0))</f>
        <v>0</v>
      </c>
      <c r="K173" s="34" t="str">
        <f>IF($J173=FALSE(),"",COUNTIF($J$6:$J173,TRUE()))</f>
        <v/>
      </c>
      <c r="L173" s="34" t="str">
        <f>IF($K173="","","R"&amp;$K173)</f>
        <v/>
      </c>
      <c r="M173" s="34" t="str">
        <f>IF($J173=FALSE(),"",IF(발주접수!$F19="세트",IFERROR(INDEX(세트구성!$C$3:$C$302,MATCH(발주접수!$D19&amp;"|"&amp;8,세트구성!$G$3:$G$302,0)),""),발주접수!$D19))</f>
        <v/>
      </c>
      <c r="N173" s="34" t="str">
        <f>IF($J173=FALSE(),"",IF(발주접수!$F19="세트",발주접수!$G19*IFERROR(INDEX(세트구성!$E$3:$E$302,MATCH(발주접수!$D19&amp;"|"&amp;8,세트구성!$G$3:$G$302,0)),0),발주접수!$G19))</f>
        <v/>
      </c>
      <c r="O173" s="34" t="str">
        <f>IF($J173=FALSE(),"",발주접수!$B19)</f>
        <v/>
      </c>
      <c r="P173" s="34" t="str">
        <f>IF($J173=FALSE(),"",발주접수!$C19)</f>
        <v/>
      </c>
      <c r="Q173" s="34" t="str">
        <f>IF($J173=FALSE(),"",IF(발주접수!$F19="세트",발주접수!$E19&amp;" 전개","직접 발주"))</f>
        <v/>
      </c>
    </row>
    <row r="174" ht="15" customHeight="1" s="30">
      <c r="A174" s="47" t="str">
        <f>IF($D174="","",169)</f>
        <v/>
      </c>
      <c r="B174" s="48" t="str">
        <f>IFERROR(INDEX(전개결과!$O$6:$O$1205,MATCH("R"&amp;169,전개결과!$L$6:$L$1205,0)),"")</f>
        <v/>
      </c>
      <c r="C174" s="40" t="str">
        <f>IF($D174="","",IFERROR(INDEX(전개결과!$P$6:$P$1205,MATCH("R"&amp;169,전개결과!$L$6:$L$1205,0)),""))</f>
        <v/>
      </c>
      <c r="D174" s="40" t="str">
        <f>IFERROR(INDEX(전개결과!$M$6:$M$1205,MATCH("R"&amp;169,전개결과!$L$6:$L$1205,0)),"")</f>
        <v/>
      </c>
      <c r="E174" s="40" t="str">
        <f>IF($D174="","",IFERROR(INDEX(품목목록!$B$3:$B$302,MATCH($D174,품목목록!$A$3:$A$302,0)),""))</f>
        <v/>
      </c>
      <c r="F174" s="47" t="str">
        <f>IF($D174="","",IFERROR(INDEX(품목목록!$D$3:$D$302,MATCH($D174,품목목록!$A$3:$A$302,0)),""))</f>
        <v/>
      </c>
      <c r="G174" s="49" t="str">
        <f>IFERROR(INDEX(전개결과!$N$6:$N$1205,MATCH("R"&amp;169,전개결과!$L$6:$L$1205,0)),"")</f>
        <v/>
      </c>
      <c r="H174" s="40" t="str">
        <f>IF($D174="","",IFERROR(INDEX(전개결과!$Q$6:$Q$1205,MATCH("R"&amp;169,전개결과!$L$6:$L$1205,0)),""))</f>
        <v/>
      </c>
      <c r="J174" s="50" t="b">
        <f>IF(발주접수!$D19="",FALSE(),IF(발주접수!$F19="세트",COUNTIF(세트구성!$G$3:$G$302,발주접수!$D19&amp;"|"&amp;9)&gt;0,8=0))</f>
        <v>0</v>
      </c>
      <c r="K174" s="34" t="str">
        <f>IF($J174=FALSE(),"",COUNTIF($J$6:$J174,TRUE()))</f>
        <v/>
      </c>
      <c r="L174" s="34" t="str">
        <f>IF($K174="","","R"&amp;$K174)</f>
        <v/>
      </c>
      <c r="M174" s="34" t="str">
        <f>IF($J174=FALSE(),"",IF(발주접수!$F19="세트",IFERROR(INDEX(세트구성!$C$3:$C$302,MATCH(발주접수!$D19&amp;"|"&amp;9,세트구성!$G$3:$G$302,0)),""),발주접수!$D19))</f>
        <v/>
      </c>
      <c r="N174" s="34" t="str">
        <f>IF($J174=FALSE(),"",IF(발주접수!$F19="세트",발주접수!$G19*IFERROR(INDEX(세트구성!$E$3:$E$302,MATCH(발주접수!$D19&amp;"|"&amp;9,세트구성!$G$3:$G$302,0)),0),발주접수!$G19))</f>
        <v/>
      </c>
      <c r="O174" s="34" t="str">
        <f>IF($J174=FALSE(),"",발주접수!$B19)</f>
        <v/>
      </c>
      <c r="P174" s="34" t="str">
        <f>IF($J174=FALSE(),"",발주접수!$C19)</f>
        <v/>
      </c>
      <c r="Q174" s="34" t="str">
        <f>IF($J174=FALSE(),"",IF(발주접수!$F19="세트",발주접수!$E19&amp;" 전개","직접 발주"))</f>
        <v/>
      </c>
    </row>
    <row r="175" ht="15" customHeight="1" s="30">
      <c r="A175" s="47" t="str">
        <f>IF($D175="","",170)</f>
        <v/>
      </c>
      <c r="B175" s="48" t="str">
        <f>IFERROR(INDEX(전개결과!$O$6:$O$1205,MATCH("R"&amp;170,전개결과!$L$6:$L$1205,0)),"")</f>
        <v/>
      </c>
      <c r="C175" s="40" t="str">
        <f>IF($D175="","",IFERROR(INDEX(전개결과!$P$6:$P$1205,MATCH("R"&amp;170,전개결과!$L$6:$L$1205,0)),""))</f>
        <v/>
      </c>
      <c r="D175" s="40" t="str">
        <f>IFERROR(INDEX(전개결과!$M$6:$M$1205,MATCH("R"&amp;170,전개결과!$L$6:$L$1205,0)),"")</f>
        <v/>
      </c>
      <c r="E175" s="40" t="str">
        <f>IF($D175="","",IFERROR(INDEX(품목목록!$B$3:$B$302,MATCH($D175,품목목록!$A$3:$A$302,0)),""))</f>
        <v/>
      </c>
      <c r="F175" s="47" t="str">
        <f>IF($D175="","",IFERROR(INDEX(품목목록!$D$3:$D$302,MATCH($D175,품목목록!$A$3:$A$302,0)),""))</f>
        <v/>
      </c>
      <c r="G175" s="49" t="str">
        <f>IFERROR(INDEX(전개결과!$N$6:$N$1205,MATCH("R"&amp;170,전개결과!$L$6:$L$1205,0)),"")</f>
        <v/>
      </c>
      <c r="H175" s="40" t="str">
        <f>IF($D175="","",IFERROR(INDEX(전개결과!$Q$6:$Q$1205,MATCH("R"&amp;170,전개결과!$L$6:$L$1205,0)),""))</f>
        <v/>
      </c>
      <c r="J175" s="50" t="b">
        <f>IF(발주접수!$D19="",FALSE(),IF(발주접수!$F19="세트",COUNTIF(세트구성!$G$3:$G$302,발주접수!$D19&amp;"|"&amp;10)&gt;0,9=0))</f>
        <v>0</v>
      </c>
      <c r="K175" s="34" t="str">
        <f>IF($J175=FALSE(),"",COUNTIF($J$6:$J175,TRUE()))</f>
        <v/>
      </c>
      <c r="L175" s="34" t="str">
        <f>IF($K175="","","R"&amp;$K175)</f>
        <v/>
      </c>
      <c r="M175" s="34" t="str">
        <f>IF($J175=FALSE(),"",IF(발주접수!$F19="세트",IFERROR(INDEX(세트구성!$C$3:$C$302,MATCH(발주접수!$D19&amp;"|"&amp;10,세트구성!$G$3:$G$302,0)),""),발주접수!$D19))</f>
        <v/>
      </c>
      <c r="N175" s="34" t="str">
        <f>IF($J175=FALSE(),"",IF(발주접수!$F19="세트",발주접수!$G19*IFERROR(INDEX(세트구성!$E$3:$E$302,MATCH(발주접수!$D19&amp;"|"&amp;10,세트구성!$G$3:$G$302,0)),0),발주접수!$G19))</f>
        <v/>
      </c>
      <c r="O175" s="34" t="str">
        <f>IF($J175=FALSE(),"",발주접수!$B19)</f>
        <v/>
      </c>
      <c r="P175" s="34" t="str">
        <f>IF($J175=FALSE(),"",발주접수!$C19)</f>
        <v/>
      </c>
      <c r="Q175" s="34" t="str">
        <f>IF($J175=FALSE(),"",IF(발주접수!$F19="세트",발주접수!$E19&amp;" 전개","직접 발주"))</f>
        <v/>
      </c>
    </row>
    <row r="176" ht="15" customHeight="1" s="30">
      <c r="A176" s="47" t="str">
        <f>IF($D176="","",171)</f>
        <v/>
      </c>
      <c r="B176" s="48" t="str">
        <f>IFERROR(INDEX(전개결과!$O$6:$O$1205,MATCH("R"&amp;171,전개결과!$L$6:$L$1205,0)),"")</f>
        <v/>
      </c>
      <c r="C176" s="40" t="str">
        <f>IF($D176="","",IFERROR(INDEX(전개결과!$P$6:$P$1205,MATCH("R"&amp;171,전개결과!$L$6:$L$1205,0)),""))</f>
        <v/>
      </c>
      <c r="D176" s="40" t="str">
        <f>IFERROR(INDEX(전개결과!$M$6:$M$1205,MATCH("R"&amp;171,전개결과!$L$6:$L$1205,0)),"")</f>
        <v/>
      </c>
      <c r="E176" s="40" t="str">
        <f>IF($D176="","",IFERROR(INDEX(품목목록!$B$3:$B$302,MATCH($D176,품목목록!$A$3:$A$302,0)),""))</f>
        <v/>
      </c>
      <c r="F176" s="47" t="str">
        <f>IF($D176="","",IFERROR(INDEX(품목목록!$D$3:$D$302,MATCH($D176,품목목록!$A$3:$A$302,0)),""))</f>
        <v/>
      </c>
      <c r="G176" s="49" t="str">
        <f>IFERROR(INDEX(전개결과!$N$6:$N$1205,MATCH("R"&amp;171,전개결과!$L$6:$L$1205,0)),"")</f>
        <v/>
      </c>
      <c r="H176" s="40" t="str">
        <f>IF($D176="","",IFERROR(INDEX(전개결과!$Q$6:$Q$1205,MATCH("R"&amp;171,전개결과!$L$6:$L$1205,0)),""))</f>
        <v/>
      </c>
      <c r="J176" s="50" t="b">
        <f>IF(발주접수!$D20="",FALSE(),IF(발주접수!$F20="세트",COUNTIF(세트구성!$G$3:$G$302,발주접수!$D20&amp;"|"&amp;1)&gt;0,0=0))</f>
        <v>0</v>
      </c>
      <c r="K176" s="34" t="str">
        <f>IF($J176=FALSE(),"",COUNTIF($J$6:$J176,TRUE()))</f>
        <v/>
      </c>
      <c r="L176" s="34" t="str">
        <f>IF($K176="","","R"&amp;$K176)</f>
        <v/>
      </c>
      <c r="M176" s="34" t="str">
        <f>IF($J176=FALSE(),"",IF(발주접수!$F20="세트",IFERROR(INDEX(세트구성!$C$3:$C$302,MATCH(발주접수!$D20&amp;"|"&amp;1,세트구성!$G$3:$G$302,0)),""),발주접수!$D20))</f>
        <v/>
      </c>
      <c r="N176" s="34" t="str">
        <f>IF($J176=FALSE(),"",IF(발주접수!$F20="세트",발주접수!$G20*IFERROR(INDEX(세트구성!$E$3:$E$302,MATCH(발주접수!$D20&amp;"|"&amp;1,세트구성!$G$3:$G$302,0)),0),발주접수!$G20))</f>
        <v/>
      </c>
      <c r="O176" s="34" t="str">
        <f>IF($J176=FALSE(),"",발주접수!$B20)</f>
        <v/>
      </c>
      <c r="P176" s="34" t="str">
        <f>IF($J176=FALSE(),"",발주접수!$C20)</f>
        <v/>
      </c>
      <c r="Q176" s="34" t="str">
        <f>IF($J176=FALSE(),"",IF(발주접수!$F20="세트",발주접수!$E20&amp;" 전개","직접 발주"))</f>
        <v/>
      </c>
    </row>
    <row r="177" ht="15" customHeight="1" s="30">
      <c r="A177" s="47" t="str">
        <f>IF($D177="","",172)</f>
        <v/>
      </c>
      <c r="B177" s="48" t="str">
        <f>IFERROR(INDEX(전개결과!$O$6:$O$1205,MATCH("R"&amp;172,전개결과!$L$6:$L$1205,0)),"")</f>
        <v/>
      </c>
      <c r="C177" s="40" t="str">
        <f>IF($D177="","",IFERROR(INDEX(전개결과!$P$6:$P$1205,MATCH("R"&amp;172,전개결과!$L$6:$L$1205,0)),""))</f>
        <v/>
      </c>
      <c r="D177" s="40" t="str">
        <f>IFERROR(INDEX(전개결과!$M$6:$M$1205,MATCH("R"&amp;172,전개결과!$L$6:$L$1205,0)),"")</f>
        <v/>
      </c>
      <c r="E177" s="40" t="str">
        <f>IF($D177="","",IFERROR(INDEX(품목목록!$B$3:$B$302,MATCH($D177,품목목록!$A$3:$A$302,0)),""))</f>
        <v/>
      </c>
      <c r="F177" s="47" t="str">
        <f>IF($D177="","",IFERROR(INDEX(품목목록!$D$3:$D$302,MATCH($D177,품목목록!$A$3:$A$302,0)),""))</f>
        <v/>
      </c>
      <c r="G177" s="49" t="str">
        <f>IFERROR(INDEX(전개결과!$N$6:$N$1205,MATCH("R"&amp;172,전개결과!$L$6:$L$1205,0)),"")</f>
        <v/>
      </c>
      <c r="H177" s="40" t="str">
        <f>IF($D177="","",IFERROR(INDEX(전개결과!$Q$6:$Q$1205,MATCH("R"&amp;172,전개결과!$L$6:$L$1205,0)),""))</f>
        <v/>
      </c>
      <c r="J177" s="50" t="b">
        <f>IF(발주접수!$D20="",FALSE(),IF(발주접수!$F20="세트",COUNTIF(세트구성!$G$3:$G$302,발주접수!$D20&amp;"|"&amp;2)&gt;0,1=0))</f>
        <v>0</v>
      </c>
      <c r="K177" s="34" t="str">
        <f>IF($J177=FALSE(),"",COUNTIF($J$6:$J177,TRUE()))</f>
        <v/>
      </c>
      <c r="L177" s="34" t="str">
        <f>IF($K177="","","R"&amp;$K177)</f>
        <v/>
      </c>
      <c r="M177" s="34" t="str">
        <f>IF($J177=FALSE(),"",IF(발주접수!$F20="세트",IFERROR(INDEX(세트구성!$C$3:$C$302,MATCH(발주접수!$D20&amp;"|"&amp;2,세트구성!$G$3:$G$302,0)),""),발주접수!$D20))</f>
        <v/>
      </c>
      <c r="N177" s="34" t="str">
        <f>IF($J177=FALSE(),"",IF(발주접수!$F20="세트",발주접수!$G20*IFERROR(INDEX(세트구성!$E$3:$E$302,MATCH(발주접수!$D20&amp;"|"&amp;2,세트구성!$G$3:$G$302,0)),0),발주접수!$G20))</f>
        <v/>
      </c>
      <c r="O177" s="34" t="str">
        <f>IF($J177=FALSE(),"",발주접수!$B20)</f>
        <v/>
      </c>
      <c r="P177" s="34" t="str">
        <f>IF($J177=FALSE(),"",발주접수!$C20)</f>
        <v/>
      </c>
      <c r="Q177" s="34" t="str">
        <f>IF($J177=FALSE(),"",IF(발주접수!$F20="세트",발주접수!$E20&amp;" 전개","직접 발주"))</f>
        <v/>
      </c>
    </row>
    <row r="178" ht="15" customHeight="1" s="30">
      <c r="A178" s="47" t="str">
        <f>IF($D178="","",173)</f>
        <v/>
      </c>
      <c r="B178" s="48" t="str">
        <f>IFERROR(INDEX(전개결과!$O$6:$O$1205,MATCH("R"&amp;173,전개결과!$L$6:$L$1205,0)),"")</f>
        <v/>
      </c>
      <c r="C178" s="40" t="str">
        <f>IF($D178="","",IFERROR(INDEX(전개결과!$P$6:$P$1205,MATCH("R"&amp;173,전개결과!$L$6:$L$1205,0)),""))</f>
        <v/>
      </c>
      <c r="D178" s="40" t="str">
        <f>IFERROR(INDEX(전개결과!$M$6:$M$1205,MATCH("R"&amp;173,전개결과!$L$6:$L$1205,0)),"")</f>
        <v/>
      </c>
      <c r="E178" s="40" t="str">
        <f>IF($D178="","",IFERROR(INDEX(품목목록!$B$3:$B$302,MATCH($D178,품목목록!$A$3:$A$302,0)),""))</f>
        <v/>
      </c>
      <c r="F178" s="47" t="str">
        <f>IF($D178="","",IFERROR(INDEX(품목목록!$D$3:$D$302,MATCH($D178,품목목록!$A$3:$A$302,0)),""))</f>
        <v/>
      </c>
      <c r="G178" s="49" t="str">
        <f>IFERROR(INDEX(전개결과!$N$6:$N$1205,MATCH("R"&amp;173,전개결과!$L$6:$L$1205,0)),"")</f>
        <v/>
      </c>
      <c r="H178" s="40" t="str">
        <f>IF($D178="","",IFERROR(INDEX(전개결과!$Q$6:$Q$1205,MATCH("R"&amp;173,전개결과!$L$6:$L$1205,0)),""))</f>
        <v/>
      </c>
      <c r="J178" s="50" t="b">
        <f>IF(발주접수!$D20="",FALSE(),IF(발주접수!$F20="세트",COUNTIF(세트구성!$G$3:$G$302,발주접수!$D20&amp;"|"&amp;3)&gt;0,2=0))</f>
        <v>0</v>
      </c>
      <c r="K178" s="34" t="str">
        <f>IF($J178=FALSE(),"",COUNTIF($J$6:$J178,TRUE()))</f>
        <v/>
      </c>
      <c r="L178" s="34" t="str">
        <f>IF($K178="","","R"&amp;$K178)</f>
        <v/>
      </c>
      <c r="M178" s="34" t="str">
        <f>IF($J178=FALSE(),"",IF(발주접수!$F20="세트",IFERROR(INDEX(세트구성!$C$3:$C$302,MATCH(발주접수!$D20&amp;"|"&amp;3,세트구성!$G$3:$G$302,0)),""),발주접수!$D20))</f>
        <v/>
      </c>
      <c r="N178" s="34" t="str">
        <f>IF($J178=FALSE(),"",IF(발주접수!$F20="세트",발주접수!$G20*IFERROR(INDEX(세트구성!$E$3:$E$302,MATCH(발주접수!$D20&amp;"|"&amp;3,세트구성!$G$3:$G$302,0)),0),발주접수!$G20))</f>
        <v/>
      </c>
      <c r="O178" s="34" t="str">
        <f>IF($J178=FALSE(),"",발주접수!$B20)</f>
        <v/>
      </c>
      <c r="P178" s="34" t="str">
        <f>IF($J178=FALSE(),"",발주접수!$C20)</f>
        <v/>
      </c>
      <c r="Q178" s="34" t="str">
        <f>IF($J178=FALSE(),"",IF(발주접수!$F20="세트",발주접수!$E20&amp;" 전개","직접 발주"))</f>
        <v/>
      </c>
    </row>
    <row r="179" ht="15" customHeight="1" s="30">
      <c r="A179" s="47" t="str">
        <f>IF($D179="","",174)</f>
        <v/>
      </c>
      <c r="B179" s="48" t="str">
        <f>IFERROR(INDEX(전개결과!$O$6:$O$1205,MATCH("R"&amp;174,전개결과!$L$6:$L$1205,0)),"")</f>
        <v/>
      </c>
      <c r="C179" s="40" t="str">
        <f>IF($D179="","",IFERROR(INDEX(전개결과!$P$6:$P$1205,MATCH("R"&amp;174,전개결과!$L$6:$L$1205,0)),""))</f>
        <v/>
      </c>
      <c r="D179" s="40" t="str">
        <f>IFERROR(INDEX(전개결과!$M$6:$M$1205,MATCH("R"&amp;174,전개결과!$L$6:$L$1205,0)),"")</f>
        <v/>
      </c>
      <c r="E179" s="40" t="str">
        <f>IF($D179="","",IFERROR(INDEX(품목목록!$B$3:$B$302,MATCH($D179,품목목록!$A$3:$A$302,0)),""))</f>
        <v/>
      </c>
      <c r="F179" s="47" t="str">
        <f>IF($D179="","",IFERROR(INDEX(품목목록!$D$3:$D$302,MATCH($D179,품목목록!$A$3:$A$302,0)),""))</f>
        <v/>
      </c>
      <c r="G179" s="49" t="str">
        <f>IFERROR(INDEX(전개결과!$N$6:$N$1205,MATCH("R"&amp;174,전개결과!$L$6:$L$1205,0)),"")</f>
        <v/>
      </c>
      <c r="H179" s="40" t="str">
        <f>IF($D179="","",IFERROR(INDEX(전개결과!$Q$6:$Q$1205,MATCH("R"&amp;174,전개결과!$L$6:$L$1205,0)),""))</f>
        <v/>
      </c>
      <c r="J179" s="50" t="b">
        <f>IF(발주접수!$D20="",FALSE(),IF(발주접수!$F20="세트",COUNTIF(세트구성!$G$3:$G$302,발주접수!$D20&amp;"|"&amp;4)&gt;0,3=0))</f>
        <v>0</v>
      </c>
      <c r="K179" s="34" t="str">
        <f>IF($J179=FALSE(),"",COUNTIF($J$6:$J179,TRUE()))</f>
        <v/>
      </c>
      <c r="L179" s="34" t="str">
        <f>IF($K179="","","R"&amp;$K179)</f>
        <v/>
      </c>
      <c r="M179" s="34" t="str">
        <f>IF($J179=FALSE(),"",IF(발주접수!$F20="세트",IFERROR(INDEX(세트구성!$C$3:$C$302,MATCH(발주접수!$D20&amp;"|"&amp;4,세트구성!$G$3:$G$302,0)),""),발주접수!$D20))</f>
        <v/>
      </c>
      <c r="N179" s="34" t="str">
        <f>IF($J179=FALSE(),"",IF(발주접수!$F20="세트",발주접수!$G20*IFERROR(INDEX(세트구성!$E$3:$E$302,MATCH(발주접수!$D20&amp;"|"&amp;4,세트구성!$G$3:$G$302,0)),0),발주접수!$G20))</f>
        <v/>
      </c>
      <c r="O179" s="34" t="str">
        <f>IF($J179=FALSE(),"",발주접수!$B20)</f>
        <v/>
      </c>
      <c r="P179" s="34" t="str">
        <f>IF($J179=FALSE(),"",발주접수!$C20)</f>
        <v/>
      </c>
      <c r="Q179" s="34" t="str">
        <f>IF($J179=FALSE(),"",IF(발주접수!$F20="세트",발주접수!$E20&amp;" 전개","직접 발주"))</f>
        <v/>
      </c>
    </row>
    <row r="180" ht="15" customHeight="1" s="30">
      <c r="A180" s="47" t="str">
        <f>IF($D180="","",175)</f>
        <v/>
      </c>
      <c r="B180" s="48" t="str">
        <f>IFERROR(INDEX(전개결과!$O$6:$O$1205,MATCH("R"&amp;175,전개결과!$L$6:$L$1205,0)),"")</f>
        <v/>
      </c>
      <c r="C180" s="40" t="str">
        <f>IF($D180="","",IFERROR(INDEX(전개결과!$P$6:$P$1205,MATCH("R"&amp;175,전개결과!$L$6:$L$1205,0)),""))</f>
        <v/>
      </c>
      <c r="D180" s="40" t="str">
        <f>IFERROR(INDEX(전개결과!$M$6:$M$1205,MATCH("R"&amp;175,전개결과!$L$6:$L$1205,0)),"")</f>
        <v/>
      </c>
      <c r="E180" s="40" t="str">
        <f>IF($D180="","",IFERROR(INDEX(품목목록!$B$3:$B$302,MATCH($D180,품목목록!$A$3:$A$302,0)),""))</f>
        <v/>
      </c>
      <c r="F180" s="47" t="str">
        <f>IF($D180="","",IFERROR(INDEX(품목목록!$D$3:$D$302,MATCH($D180,품목목록!$A$3:$A$302,0)),""))</f>
        <v/>
      </c>
      <c r="G180" s="49" t="str">
        <f>IFERROR(INDEX(전개결과!$N$6:$N$1205,MATCH("R"&amp;175,전개결과!$L$6:$L$1205,0)),"")</f>
        <v/>
      </c>
      <c r="H180" s="40" t="str">
        <f>IF($D180="","",IFERROR(INDEX(전개결과!$Q$6:$Q$1205,MATCH("R"&amp;175,전개결과!$L$6:$L$1205,0)),""))</f>
        <v/>
      </c>
      <c r="J180" s="50" t="b">
        <f>IF(발주접수!$D20="",FALSE(),IF(발주접수!$F20="세트",COUNTIF(세트구성!$G$3:$G$302,발주접수!$D20&amp;"|"&amp;5)&gt;0,4=0))</f>
        <v>0</v>
      </c>
      <c r="K180" s="34" t="str">
        <f>IF($J180=FALSE(),"",COUNTIF($J$6:$J180,TRUE()))</f>
        <v/>
      </c>
      <c r="L180" s="34" t="str">
        <f>IF($K180="","","R"&amp;$K180)</f>
        <v/>
      </c>
      <c r="M180" s="34" t="str">
        <f>IF($J180=FALSE(),"",IF(발주접수!$F20="세트",IFERROR(INDEX(세트구성!$C$3:$C$302,MATCH(발주접수!$D20&amp;"|"&amp;5,세트구성!$G$3:$G$302,0)),""),발주접수!$D20))</f>
        <v/>
      </c>
      <c r="N180" s="34" t="str">
        <f>IF($J180=FALSE(),"",IF(발주접수!$F20="세트",발주접수!$G20*IFERROR(INDEX(세트구성!$E$3:$E$302,MATCH(발주접수!$D20&amp;"|"&amp;5,세트구성!$G$3:$G$302,0)),0),발주접수!$G20))</f>
        <v/>
      </c>
      <c r="O180" s="34" t="str">
        <f>IF($J180=FALSE(),"",발주접수!$B20)</f>
        <v/>
      </c>
      <c r="P180" s="34" t="str">
        <f>IF($J180=FALSE(),"",발주접수!$C20)</f>
        <v/>
      </c>
      <c r="Q180" s="34" t="str">
        <f>IF($J180=FALSE(),"",IF(발주접수!$F20="세트",발주접수!$E20&amp;" 전개","직접 발주"))</f>
        <v/>
      </c>
    </row>
    <row r="181" ht="15" customHeight="1" s="30">
      <c r="A181" s="47" t="str">
        <f>IF($D181="","",176)</f>
        <v/>
      </c>
      <c r="B181" s="48" t="str">
        <f>IFERROR(INDEX(전개결과!$O$6:$O$1205,MATCH("R"&amp;176,전개결과!$L$6:$L$1205,0)),"")</f>
        <v/>
      </c>
      <c r="C181" s="40" t="str">
        <f>IF($D181="","",IFERROR(INDEX(전개결과!$P$6:$P$1205,MATCH("R"&amp;176,전개결과!$L$6:$L$1205,0)),""))</f>
        <v/>
      </c>
      <c r="D181" s="40" t="str">
        <f>IFERROR(INDEX(전개결과!$M$6:$M$1205,MATCH("R"&amp;176,전개결과!$L$6:$L$1205,0)),"")</f>
        <v/>
      </c>
      <c r="E181" s="40" t="str">
        <f>IF($D181="","",IFERROR(INDEX(품목목록!$B$3:$B$302,MATCH($D181,품목목록!$A$3:$A$302,0)),""))</f>
        <v/>
      </c>
      <c r="F181" s="47" t="str">
        <f>IF($D181="","",IFERROR(INDEX(품목목록!$D$3:$D$302,MATCH($D181,품목목록!$A$3:$A$302,0)),""))</f>
        <v/>
      </c>
      <c r="G181" s="49" t="str">
        <f>IFERROR(INDEX(전개결과!$N$6:$N$1205,MATCH("R"&amp;176,전개결과!$L$6:$L$1205,0)),"")</f>
        <v/>
      </c>
      <c r="H181" s="40" t="str">
        <f>IF($D181="","",IFERROR(INDEX(전개결과!$Q$6:$Q$1205,MATCH("R"&amp;176,전개결과!$L$6:$L$1205,0)),""))</f>
        <v/>
      </c>
      <c r="J181" s="50" t="b">
        <f>IF(발주접수!$D20="",FALSE(),IF(발주접수!$F20="세트",COUNTIF(세트구성!$G$3:$G$302,발주접수!$D20&amp;"|"&amp;6)&gt;0,5=0))</f>
        <v>0</v>
      </c>
      <c r="K181" s="34" t="str">
        <f>IF($J181=FALSE(),"",COUNTIF($J$6:$J181,TRUE()))</f>
        <v/>
      </c>
      <c r="L181" s="34" t="str">
        <f>IF($K181="","","R"&amp;$K181)</f>
        <v/>
      </c>
      <c r="M181" s="34" t="str">
        <f>IF($J181=FALSE(),"",IF(발주접수!$F20="세트",IFERROR(INDEX(세트구성!$C$3:$C$302,MATCH(발주접수!$D20&amp;"|"&amp;6,세트구성!$G$3:$G$302,0)),""),발주접수!$D20))</f>
        <v/>
      </c>
      <c r="N181" s="34" t="str">
        <f>IF($J181=FALSE(),"",IF(발주접수!$F20="세트",발주접수!$G20*IFERROR(INDEX(세트구성!$E$3:$E$302,MATCH(발주접수!$D20&amp;"|"&amp;6,세트구성!$G$3:$G$302,0)),0),발주접수!$G20))</f>
        <v/>
      </c>
      <c r="O181" s="34" t="str">
        <f>IF($J181=FALSE(),"",발주접수!$B20)</f>
        <v/>
      </c>
      <c r="P181" s="34" t="str">
        <f>IF($J181=FALSE(),"",발주접수!$C20)</f>
        <v/>
      </c>
      <c r="Q181" s="34" t="str">
        <f>IF($J181=FALSE(),"",IF(발주접수!$F20="세트",발주접수!$E20&amp;" 전개","직접 발주"))</f>
        <v/>
      </c>
    </row>
    <row r="182" ht="15" customHeight="1" s="30">
      <c r="A182" s="47" t="str">
        <f>IF($D182="","",177)</f>
        <v/>
      </c>
      <c r="B182" s="48" t="str">
        <f>IFERROR(INDEX(전개결과!$O$6:$O$1205,MATCH("R"&amp;177,전개결과!$L$6:$L$1205,0)),"")</f>
        <v/>
      </c>
      <c r="C182" s="40" t="str">
        <f>IF($D182="","",IFERROR(INDEX(전개결과!$P$6:$P$1205,MATCH("R"&amp;177,전개결과!$L$6:$L$1205,0)),""))</f>
        <v/>
      </c>
      <c r="D182" s="40" t="str">
        <f>IFERROR(INDEX(전개결과!$M$6:$M$1205,MATCH("R"&amp;177,전개결과!$L$6:$L$1205,0)),"")</f>
        <v/>
      </c>
      <c r="E182" s="40" t="str">
        <f>IF($D182="","",IFERROR(INDEX(품목목록!$B$3:$B$302,MATCH($D182,품목목록!$A$3:$A$302,0)),""))</f>
        <v/>
      </c>
      <c r="F182" s="47" t="str">
        <f>IF($D182="","",IFERROR(INDEX(품목목록!$D$3:$D$302,MATCH($D182,품목목록!$A$3:$A$302,0)),""))</f>
        <v/>
      </c>
      <c r="G182" s="49" t="str">
        <f>IFERROR(INDEX(전개결과!$N$6:$N$1205,MATCH("R"&amp;177,전개결과!$L$6:$L$1205,0)),"")</f>
        <v/>
      </c>
      <c r="H182" s="40" t="str">
        <f>IF($D182="","",IFERROR(INDEX(전개결과!$Q$6:$Q$1205,MATCH("R"&amp;177,전개결과!$L$6:$L$1205,0)),""))</f>
        <v/>
      </c>
      <c r="J182" s="50" t="b">
        <f>IF(발주접수!$D20="",FALSE(),IF(발주접수!$F20="세트",COUNTIF(세트구성!$G$3:$G$302,발주접수!$D20&amp;"|"&amp;7)&gt;0,6=0))</f>
        <v>0</v>
      </c>
      <c r="K182" s="34" t="str">
        <f>IF($J182=FALSE(),"",COUNTIF($J$6:$J182,TRUE()))</f>
        <v/>
      </c>
      <c r="L182" s="34" t="str">
        <f>IF($K182="","","R"&amp;$K182)</f>
        <v/>
      </c>
      <c r="M182" s="34" t="str">
        <f>IF($J182=FALSE(),"",IF(발주접수!$F20="세트",IFERROR(INDEX(세트구성!$C$3:$C$302,MATCH(발주접수!$D20&amp;"|"&amp;7,세트구성!$G$3:$G$302,0)),""),발주접수!$D20))</f>
        <v/>
      </c>
      <c r="N182" s="34" t="str">
        <f>IF($J182=FALSE(),"",IF(발주접수!$F20="세트",발주접수!$G20*IFERROR(INDEX(세트구성!$E$3:$E$302,MATCH(발주접수!$D20&amp;"|"&amp;7,세트구성!$G$3:$G$302,0)),0),발주접수!$G20))</f>
        <v/>
      </c>
      <c r="O182" s="34" t="str">
        <f>IF($J182=FALSE(),"",발주접수!$B20)</f>
        <v/>
      </c>
      <c r="P182" s="34" t="str">
        <f>IF($J182=FALSE(),"",발주접수!$C20)</f>
        <v/>
      </c>
      <c r="Q182" s="34" t="str">
        <f>IF($J182=FALSE(),"",IF(발주접수!$F20="세트",발주접수!$E20&amp;" 전개","직접 발주"))</f>
        <v/>
      </c>
    </row>
    <row r="183" ht="15" customHeight="1" s="30">
      <c r="A183" s="47" t="str">
        <f>IF($D183="","",178)</f>
        <v/>
      </c>
      <c r="B183" s="48" t="str">
        <f>IFERROR(INDEX(전개결과!$O$6:$O$1205,MATCH("R"&amp;178,전개결과!$L$6:$L$1205,0)),"")</f>
        <v/>
      </c>
      <c r="C183" s="40" t="str">
        <f>IF($D183="","",IFERROR(INDEX(전개결과!$P$6:$P$1205,MATCH("R"&amp;178,전개결과!$L$6:$L$1205,0)),""))</f>
        <v/>
      </c>
      <c r="D183" s="40" t="str">
        <f>IFERROR(INDEX(전개결과!$M$6:$M$1205,MATCH("R"&amp;178,전개결과!$L$6:$L$1205,0)),"")</f>
        <v/>
      </c>
      <c r="E183" s="40" t="str">
        <f>IF($D183="","",IFERROR(INDEX(품목목록!$B$3:$B$302,MATCH($D183,품목목록!$A$3:$A$302,0)),""))</f>
        <v/>
      </c>
      <c r="F183" s="47" t="str">
        <f>IF($D183="","",IFERROR(INDEX(품목목록!$D$3:$D$302,MATCH($D183,품목목록!$A$3:$A$302,0)),""))</f>
        <v/>
      </c>
      <c r="G183" s="49" t="str">
        <f>IFERROR(INDEX(전개결과!$N$6:$N$1205,MATCH("R"&amp;178,전개결과!$L$6:$L$1205,0)),"")</f>
        <v/>
      </c>
      <c r="H183" s="40" t="str">
        <f>IF($D183="","",IFERROR(INDEX(전개결과!$Q$6:$Q$1205,MATCH("R"&amp;178,전개결과!$L$6:$L$1205,0)),""))</f>
        <v/>
      </c>
      <c r="J183" s="50" t="b">
        <f>IF(발주접수!$D20="",FALSE(),IF(발주접수!$F20="세트",COUNTIF(세트구성!$G$3:$G$302,발주접수!$D20&amp;"|"&amp;8)&gt;0,7=0))</f>
        <v>0</v>
      </c>
      <c r="K183" s="34" t="str">
        <f>IF($J183=FALSE(),"",COUNTIF($J$6:$J183,TRUE()))</f>
        <v/>
      </c>
      <c r="L183" s="34" t="str">
        <f>IF($K183="","","R"&amp;$K183)</f>
        <v/>
      </c>
      <c r="M183" s="34" t="str">
        <f>IF($J183=FALSE(),"",IF(발주접수!$F20="세트",IFERROR(INDEX(세트구성!$C$3:$C$302,MATCH(발주접수!$D20&amp;"|"&amp;8,세트구성!$G$3:$G$302,0)),""),발주접수!$D20))</f>
        <v/>
      </c>
      <c r="N183" s="34" t="str">
        <f>IF($J183=FALSE(),"",IF(발주접수!$F20="세트",발주접수!$G20*IFERROR(INDEX(세트구성!$E$3:$E$302,MATCH(발주접수!$D20&amp;"|"&amp;8,세트구성!$G$3:$G$302,0)),0),발주접수!$G20))</f>
        <v/>
      </c>
      <c r="O183" s="34" t="str">
        <f>IF($J183=FALSE(),"",발주접수!$B20)</f>
        <v/>
      </c>
      <c r="P183" s="34" t="str">
        <f>IF($J183=FALSE(),"",발주접수!$C20)</f>
        <v/>
      </c>
      <c r="Q183" s="34" t="str">
        <f>IF($J183=FALSE(),"",IF(발주접수!$F20="세트",발주접수!$E20&amp;" 전개","직접 발주"))</f>
        <v/>
      </c>
    </row>
    <row r="184" ht="15" customHeight="1" s="30">
      <c r="A184" s="47" t="str">
        <f>IF($D184="","",179)</f>
        <v/>
      </c>
      <c r="B184" s="48" t="str">
        <f>IFERROR(INDEX(전개결과!$O$6:$O$1205,MATCH("R"&amp;179,전개결과!$L$6:$L$1205,0)),"")</f>
        <v/>
      </c>
      <c r="C184" s="40" t="str">
        <f>IF($D184="","",IFERROR(INDEX(전개결과!$P$6:$P$1205,MATCH("R"&amp;179,전개결과!$L$6:$L$1205,0)),""))</f>
        <v/>
      </c>
      <c r="D184" s="40" t="str">
        <f>IFERROR(INDEX(전개결과!$M$6:$M$1205,MATCH("R"&amp;179,전개결과!$L$6:$L$1205,0)),"")</f>
        <v/>
      </c>
      <c r="E184" s="40" t="str">
        <f>IF($D184="","",IFERROR(INDEX(품목목록!$B$3:$B$302,MATCH($D184,품목목록!$A$3:$A$302,0)),""))</f>
        <v/>
      </c>
      <c r="F184" s="47" t="str">
        <f>IF($D184="","",IFERROR(INDEX(품목목록!$D$3:$D$302,MATCH($D184,품목목록!$A$3:$A$302,0)),""))</f>
        <v/>
      </c>
      <c r="G184" s="49" t="str">
        <f>IFERROR(INDEX(전개결과!$N$6:$N$1205,MATCH("R"&amp;179,전개결과!$L$6:$L$1205,0)),"")</f>
        <v/>
      </c>
      <c r="H184" s="40" t="str">
        <f>IF($D184="","",IFERROR(INDEX(전개결과!$Q$6:$Q$1205,MATCH("R"&amp;179,전개결과!$L$6:$L$1205,0)),""))</f>
        <v/>
      </c>
      <c r="J184" s="50" t="b">
        <f>IF(발주접수!$D20="",FALSE(),IF(발주접수!$F20="세트",COUNTIF(세트구성!$G$3:$G$302,발주접수!$D20&amp;"|"&amp;9)&gt;0,8=0))</f>
        <v>0</v>
      </c>
      <c r="K184" s="34" t="str">
        <f>IF($J184=FALSE(),"",COUNTIF($J$6:$J184,TRUE()))</f>
        <v/>
      </c>
      <c r="L184" s="34" t="str">
        <f>IF($K184="","","R"&amp;$K184)</f>
        <v/>
      </c>
      <c r="M184" s="34" t="str">
        <f>IF($J184=FALSE(),"",IF(발주접수!$F20="세트",IFERROR(INDEX(세트구성!$C$3:$C$302,MATCH(발주접수!$D20&amp;"|"&amp;9,세트구성!$G$3:$G$302,0)),""),발주접수!$D20))</f>
        <v/>
      </c>
      <c r="N184" s="34" t="str">
        <f>IF($J184=FALSE(),"",IF(발주접수!$F20="세트",발주접수!$G20*IFERROR(INDEX(세트구성!$E$3:$E$302,MATCH(발주접수!$D20&amp;"|"&amp;9,세트구성!$G$3:$G$302,0)),0),발주접수!$G20))</f>
        <v/>
      </c>
      <c r="O184" s="34" t="str">
        <f>IF($J184=FALSE(),"",발주접수!$B20)</f>
        <v/>
      </c>
      <c r="P184" s="34" t="str">
        <f>IF($J184=FALSE(),"",발주접수!$C20)</f>
        <v/>
      </c>
      <c r="Q184" s="34" t="str">
        <f>IF($J184=FALSE(),"",IF(발주접수!$F20="세트",발주접수!$E20&amp;" 전개","직접 발주"))</f>
        <v/>
      </c>
    </row>
    <row r="185" ht="15" customHeight="1" s="30">
      <c r="A185" s="47" t="str">
        <f>IF($D185="","",180)</f>
        <v/>
      </c>
      <c r="B185" s="48" t="str">
        <f>IFERROR(INDEX(전개결과!$O$6:$O$1205,MATCH("R"&amp;180,전개결과!$L$6:$L$1205,0)),"")</f>
        <v/>
      </c>
      <c r="C185" s="40" t="str">
        <f>IF($D185="","",IFERROR(INDEX(전개결과!$P$6:$P$1205,MATCH("R"&amp;180,전개결과!$L$6:$L$1205,0)),""))</f>
        <v/>
      </c>
      <c r="D185" s="40" t="str">
        <f>IFERROR(INDEX(전개결과!$M$6:$M$1205,MATCH("R"&amp;180,전개결과!$L$6:$L$1205,0)),"")</f>
        <v/>
      </c>
      <c r="E185" s="40" t="str">
        <f>IF($D185="","",IFERROR(INDEX(품목목록!$B$3:$B$302,MATCH($D185,품목목록!$A$3:$A$302,0)),""))</f>
        <v/>
      </c>
      <c r="F185" s="47" t="str">
        <f>IF($D185="","",IFERROR(INDEX(품목목록!$D$3:$D$302,MATCH($D185,품목목록!$A$3:$A$302,0)),""))</f>
        <v/>
      </c>
      <c r="G185" s="49" t="str">
        <f>IFERROR(INDEX(전개결과!$N$6:$N$1205,MATCH("R"&amp;180,전개결과!$L$6:$L$1205,0)),"")</f>
        <v/>
      </c>
      <c r="H185" s="40" t="str">
        <f>IF($D185="","",IFERROR(INDEX(전개결과!$Q$6:$Q$1205,MATCH("R"&amp;180,전개결과!$L$6:$L$1205,0)),""))</f>
        <v/>
      </c>
      <c r="J185" s="50" t="b">
        <f>IF(발주접수!$D20="",FALSE(),IF(발주접수!$F20="세트",COUNTIF(세트구성!$G$3:$G$302,발주접수!$D20&amp;"|"&amp;10)&gt;0,9=0))</f>
        <v>0</v>
      </c>
      <c r="K185" s="34" t="str">
        <f>IF($J185=FALSE(),"",COUNTIF($J$6:$J185,TRUE()))</f>
        <v/>
      </c>
      <c r="L185" s="34" t="str">
        <f>IF($K185="","","R"&amp;$K185)</f>
        <v/>
      </c>
      <c r="M185" s="34" t="str">
        <f>IF($J185=FALSE(),"",IF(발주접수!$F20="세트",IFERROR(INDEX(세트구성!$C$3:$C$302,MATCH(발주접수!$D20&amp;"|"&amp;10,세트구성!$G$3:$G$302,0)),""),발주접수!$D20))</f>
        <v/>
      </c>
      <c r="N185" s="34" t="str">
        <f>IF($J185=FALSE(),"",IF(발주접수!$F20="세트",발주접수!$G20*IFERROR(INDEX(세트구성!$E$3:$E$302,MATCH(발주접수!$D20&amp;"|"&amp;10,세트구성!$G$3:$G$302,0)),0),발주접수!$G20))</f>
        <v/>
      </c>
      <c r="O185" s="34" t="str">
        <f>IF($J185=FALSE(),"",발주접수!$B20)</f>
        <v/>
      </c>
      <c r="P185" s="34" t="str">
        <f>IF($J185=FALSE(),"",발주접수!$C20)</f>
        <v/>
      </c>
      <c r="Q185" s="34" t="str">
        <f>IF($J185=FALSE(),"",IF(발주접수!$F20="세트",발주접수!$E20&amp;" 전개","직접 발주"))</f>
        <v/>
      </c>
    </row>
    <row r="186" ht="15" customHeight="1" s="30">
      <c r="A186" s="47" t="str">
        <f>IF($D186="","",181)</f>
        <v/>
      </c>
      <c r="B186" s="48" t="str">
        <f>IFERROR(INDEX(전개결과!$O$6:$O$1205,MATCH("R"&amp;181,전개결과!$L$6:$L$1205,0)),"")</f>
        <v/>
      </c>
      <c r="C186" s="40" t="str">
        <f>IF($D186="","",IFERROR(INDEX(전개결과!$P$6:$P$1205,MATCH("R"&amp;181,전개결과!$L$6:$L$1205,0)),""))</f>
        <v/>
      </c>
      <c r="D186" s="40" t="str">
        <f>IFERROR(INDEX(전개결과!$M$6:$M$1205,MATCH("R"&amp;181,전개결과!$L$6:$L$1205,0)),"")</f>
        <v/>
      </c>
      <c r="E186" s="40" t="str">
        <f>IF($D186="","",IFERROR(INDEX(품목목록!$B$3:$B$302,MATCH($D186,품목목록!$A$3:$A$302,0)),""))</f>
        <v/>
      </c>
      <c r="F186" s="47" t="str">
        <f>IF($D186="","",IFERROR(INDEX(품목목록!$D$3:$D$302,MATCH($D186,품목목록!$A$3:$A$302,0)),""))</f>
        <v/>
      </c>
      <c r="G186" s="49" t="str">
        <f>IFERROR(INDEX(전개결과!$N$6:$N$1205,MATCH("R"&amp;181,전개결과!$L$6:$L$1205,0)),"")</f>
        <v/>
      </c>
      <c r="H186" s="40" t="str">
        <f>IF($D186="","",IFERROR(INDEX(전개결과!$Q$6:$Q$1205,MATCH("R"&amp;181,전개결과!$L$6:$L$1205,0)),""))</f>
        <v/>
      </c>
      <c r="J186" s="50" t="b">
        <f>IF(발주접수!$D21="",FALSE(),IF(발주접수!$F21="세트",COUNTIF(세트구성!$G$3:$G$302,발주접수!$D21&amp;"|"&amp;1)&gt;0,0=0))</f>
        <v>0</v>
      </c>
      <c r="K186" s="34" t="str">
        <f>IF($J186=FALSE(),"",COUNTIF($J$6:$J186,TRUE()))</f>
        <v/>
      </c>
      <c r="L186" s="34" t="str">
        <f>IF($K186="","","R"&amp;$K186)</f>
        <v/>
      </c>
      <c r="M186" s="34" t="str">
        <f>IF($J186=FALSE(),"",IF(발주접수!$F21="세트",IFERROR(INDEX(세트구성!$C$3:$C$302,MATCH(발주접수!$D21&amp;"|"&amp;1,세트구성!$G$3:$G$302,0)),""),발주접수!$D21))</f>
        <v/>
      </c>
      <c r="N186" s="34" t="str">
        <f>IF($J186=FALSE(),"",IF(발주접수!$F21="세트",발주접수!$G21*IFERROR(INDEX(세트구성!$E$3:$E$302,MATCH(발주접수!$D21&amp;"|"&amp;1,세트구성!$G$3:$G$302,0)),0),발주접수!$G21))</f>
        <v/>
      </c>
      <c r="O186" s="34" t="str">
        <f>IF($J186=FALSE(),"",발주접수!$B21)</f>
        <v/>
      </c>
      <c r="P186" s="34" t="str">
        <f>IF($J186=FALSE(),"",발주접수!$C21)</f>
        <v/>
      </c>
      <c r="Q186" s="34" t="str">
        <f>IF($J186=FALSE(),"",IF(발주접수!$F21="세트",발주접수!$E21&amp;" 전개","직접 발주"))</f>
        <v/>
      </c>
    </row>
    <row r="187" ht="15" customHeight="1" s="30">
      <c r="A187" s="47" t="str">
        <f>IF($D187="","",182)</f>
        <v/>
      </c>
      <c r="B187" s="48" t="str">
        <f>IFERROR(INDEX(전개결과!$O$6:$O$1205,MATCH("R"&amp;182,전개결과!$L$6:$L$1205,0)),"")</f>
        <v/>
      </c>
      <c r="C187" s="40" t="str">
        <f>IF($D187="","",IFERROR(INDEX(전개결과!$P$6:$P$1205,MATCH("R"&amp;182,전개결과!$L$6:$L$1205,0)),""))</f>
        <v/>
      </c>
      <c r="D187" s="40" t="str">
        <f>IFERROR(INDEX(전개결과!$M$6:$M$1205,MATCH("R"&amp;182,전개결과!$L$6:$L$1205,0)),"")</f>
        <v/>
      </c>
      <c r="E187" s="40" t="str">
        <f>IF($D187="","",IFERROR(INDEX(품목목록!$B$3:$B$302,MATCH($D187,품목목록!$A$3:$A$302,0)),""))</f>
        <v/>
      </c>
      <c r="F187" s="47" t="str">
        <f>IF($D187="","",IFERROR(INDEX(품목목록!$D$3:$D$302,MATCH($D187,품목목록!$A$3:$A$302,0)),""))</f>
        <v/>
      </c>
      <c r="G187" s="49" t="str">
        <f>IFERROR(INDEX(전개결과!$N$6:$N$1205,MATCH("R"&amp;182,전개결과!$L$6:$L$1205,0)),"")</f>
        <v/>
      </c>
      <c r="H187" s="40" t="str">
        <f>IF($D187="","",IFERROR(INDEX(전개결과!$Q$6:$Q$1205,MATCH("R"&amp;182,전개결과!$L$6:$L$1205,0)),""))</f>
        <v/>
      </c>
      <c r="J187" s="50" t="b">
        <f>IF(발주접수!$D21="",FALSE(),IF(발주접수!$F21="세트",COUNTIF(세트구성!$G$3:$G$302,발주접수!$D21&amp;"|"&amp;2)&gt;0,1=0))</f>
        <v>0</v>
      </c>
      <c r="K187" s="34" t="str">
        <f>IF($J187=FALSE(),"",COUNTIF($J$6:$J187,TRUE()))</f>
        <v/>
      </c>
      <c r="L187" s="34" t="str">
        <f>IF($K187="","","R"&amp;$K187)</f>
        <v/>
      </c>
      <c r="M187" s="34" t="str">
        <f>IF($J187=FALSE(),"",IF(발주접수!$F21="세트",IFERROR(INDEX(세트구성!$C$3:$C$302,MATCH(발주접수!$D21&amp;"|"&amp;2,세트구성!$G$3:$G$302,0)),""),발주접수!$D21))</f>
        <v/>
      </c>
      <c r="N187" s="34" t="str">
        <f>IF($J187=FALSE(),"",IF(발주접수!$F21="세트",발주접수!$G21*IFERROR(INDEX(세트구성!$E$3:$E$302,MATCH(발주접수!$D21&amp;"|"&amp;2,세트구성!$G$3:$G$302,0)),0),발주접수!$G21))</f>
        <v/>
      </c>
      <c r="O187" s="34" t="str">
        <f>IF($J187=FALSE(),"",발주접수!$B21)</f>
        <v/>
      </c>
      <c r="P187" s="34" t="str">
        <f>IF($J187=FALSE(),"",발주접수!$C21)</f>
        <v/>
      </c>
      <c r="Q187" s="34" t="str">
        <f>IF($J187=FALSE(),"",IF(발주접수!$F21="세트",발주접수!$E21&amp;" 전개","직접 발주"))</f>
        <v/>
      </c>
    </row>
    <row r="188" ht="15" customHeight="1" s="30">
      <c r="A188" s="47" t="str">
        <f>IF($D188="","",183)</f>
        <v/>
      </c>
      <c r="B188" s="48" t="str">
        <f>IFERROR(INDEX(전개결과!$O$6:$O$1205,MATCH("R"&amp;183,전개결과!$L$6:$L$1205,0)),"")</f>
        <v/>
      </c>
      <c r="C188" s="40" t="str">
        <f>IF($D188="","",IFERROR(INDEX(전개결과!$P$6:$P$1205,MATCH("R"&amp;183,전개결과!$L$6:$L$1205,0)),""))</f>
        <v/>
      </c>
      <c r="D188" s="40" t="str">
        <f>IFERROR(INDEX(전개결과!$M$6:$M$1205,MATCH("R"&amp;183,전개결과!$L$6:$L$1205,0)),"")</f>
        <v/>
      </c>
      <c r="E188" s="40" t="str">
        <f>IF($D188="","",IFERROR(INDEX(품목목록!$B$3:$B$302,MATCH($D188,품목목록!$A$3:$A$302,0)),""))</f>
        <v/>
      </c>
      <c r="F188" s="47" t="str">
        <f>IF($D188="","",IFERROR(INDEX(품목목록!$D$3:$D$302,MATCH($D188,품목목록!$A$3:$A$302,0)),""))</f>
        <v/>
      </c>
      <c r="G188" s="49" t="str">
        <f>IFERROR(INDEX(전개결과!$N$6:$N$1205,MATCH("R"&amp;183,전개결과!$L$6:$L$1205,0)),"")</f>
        <v/>
      </c>
      <c r="H188" s="40" t="str">
        <f>IF($D188="","",IFERROR(INDEX(전개결과!$Q$6:$Q$1205,MATCH("R"&amp;183,전개결과!$L$6:$L$1205,0)),""))</f>
        <v/>
      </c>
      <c r="J188" s="50" t="b">
        <f>IF(발주접수!$D21="",FALSE(),IF(발주접수!$F21="세트",COUNTIF(세트구성!$G$3:$G$302,발주접수!$D21&amp;"|"&amp;3)&gt;0,2=0))</f>
        <v>0</v>
      </c>
      <c r="K188" s="34" t="str">
        <f>IF($J188=FALSE(),"",COUNTIF($J$6:$J188,TRUE()))</f>
        <v/>
      </c>
      <c r="L188" s="34" t="str">
        <f>IF($K188="","","R"&amp;$K188)</f>
        <v/>
      </c>
      <c r="M188" s="34" t="str">
        <f>IF($J188=FALSE(),"",IF(발주접수!$F21="세트",IFERROR(INDEX(세트구성!$C$3:$C$302,MATCH(발주접수!$D21&amp;"|"&amp;3,세트구성!$G$3:$G$302,0)),""),발주접수!$D21))</f>
        <v/>
      </c>
      <c r="N188" s="34" t="str">
        <f>IF($J188=FALSE(),"",IF(발주접수!$F21="세트",발주접수!$G21*IFERROR(INDEX(세트구성!$E$3:$E$302,MATCH(발주접수!$D21&amp;"|"&amp;3,세트구성!$G$3:$G$302,0)),0),발주접수!$G21))</f>
        <v/>
      </c>
      <c r="O188" s="34" t="str">
        <f>IF($J188=FALSE(),"",발주접수!$B21)</f>
        <v/>
      </c>
      <c r="P188" s="34" t="str">
        <f>IF($J188=FALSE(),"",발주접수!$C21)</f>
        <v/>
      </c>
      <c r="Q188" s="34" t="str">
        <f>IF($J188=FALSE(),"",IF(발주접수!$F21="세트",발주접수!$E21&amp;" 전개","직접 발주"))</f>
        <v/>
      </c>
    </row>
    <row r="189" ht="15" customHeight="1" s="30">
      <c r="A189" s="47" t="str">
        <f>IF($D189="","",184)</f>
        <v/>
      </c>
      <c r="B189" s="48" t="str">
        <f>IFERROR(INDEX(전개결과!$O$6:$O$1205,MATCH("R"&amp;184,전개결과!$L$6:$L$1205,0)),"")</f>
        <v/>
      </c>
      <c r="C189" s="40" t="str">
        <f>IF($D189="","",IFERROR(INDEX(전개결과!$P$6:$P$1205,MATCH("R"&amp;184,전개결과!$L$6:$L$1205,0)),""))</f>
        <v/>
      </c>
      <c r="D189" s="40" t="str">
        <f>IFERROR(INDEX(전개결과!$M$6:$M$1205,MATCH("R"&amp;184,전개결과!$L$6:$L$1205,0)),"")</f>
        <v/>
      </c>
      <c r="E189" s="40" t="str">
        <f>IF($D189="","",IFERROR(INDEX(품목목록!$B$3:$B$302,MATCH($D189,품목목록!$A$3:$A$302,0)),""))</f>
        <v/>
      </c>
      <c r="F189" s="47" t="str">
        <f>IF($D189="","",IFERROR(INDEX(품목목록!$D$3:$D$302,MATCH($D189,품목목록!$A$3:$A$302,0)),""))</f>
        <v/>
      </c>
      <c r="G189" s="49" t="str">
        <f>IFERROR(INDEX(전개결과!$N$6:$N$1205,MATCH("R"&amp;184,전개결과!$L$6:$L$1205,0)),"")</f>
        <v/>
      </c>
      <c r="H189" s="40" t="str">
        <f>IF($D189="","",IFERROR(INDEX(전개결과!$Q$6:$Q$1205,MATCH("R"&amp;184,전개결과!$L$6:$L$1205,0)),""))</f>
        <v/>
      </c>
      <c r="J189" s="50" t="b">
        <f>IF(발주접수!$D21="",FALSE(),IF(발주접수!$F21="세트",COUNTIF(세트구성!$G$3:$G$302,발주접수!$D21&amp;"|"&amp;4)&gt;0,3=0))</f>
        <v>0</v>
      </c>
      <c r="K189" s="34" t="str">
        <f>IF($J189=FALSE(),"",COUNTIF($J$6:$J189,TRUE()))</f>
        <v/>
      </c>
      <c r="L189" s="34" t="str">
        <f>IF($K189="","","R"&amp;$K189)</f>
        <v/>
      </c>
      <c r="M189" s="34" t="str">
        <f>IF($J189=FALSE(),"",IF(발주접수!$F21="세트",IFERROR(INDEX(세트구성!$C$3:$C$302,MATCH(발주접수!$D21&amp;"|"&amp;4,세트구성!$G$3:$G$302,0)),""),발주접수!$D21))</f>
        <v/>
      </c>
      <c r="N189" s="34" t="str">
        <f>IF($J189=FALSE(),"",IF(발주접수!$F21="세트",발주접수!$G21*IFERROR(INDEX(세트구성!$E$3:$E$302,MATCH(발주접수!$D21&amp;"|"&amp;4,세트구성!$G$3:$G$302,0)),0),발주접수!$G21))</f>
        <v/>
      </c>
      <c r="O189" s="34" t="str">
        <f>IF($J189=FALSE(),"",발주접수!$B21)</f>
        <v/>
      </c>
      <c r="P189" s="34" t="str">
        <f>IF($J189=FALSE(),"",발주접수!$C21)</f>
        <v/>
      </c>
      <c r="Q189" s="34" t="str">
        <f>IF($J189=FALSE(),"",IF(발주접수!$F21="세트",발주접수!$E21&amp;" 전개","직접 발주"))</f>
        <v/>
      </c>
    </row>
    <row r="190" ht="15" customHeight="1" s="30">
      <c r="A190" s="47" t="str">
        <f>IF($D190="","",185)</f>
        <v/>
      </c>
      <c r="B190" s="48" t="str">
        <f>IFERROR(INDEX(전개결과!$O$6:$O$1205,MATCH("R"&amp;185,전개결과!$L$6:$L$1205,0)),"")</f>
        <v/>
      </c>
      <c r="C190" s="40" t="str">
        <f>IF($D190="","",IFERROR(INDEX(전개결과!$P$6:$P$1205,MATCH("R"&amp;185,전개결과!$L$6:$L$1205,0)),""))</f>
        <v/>
      </c>
      <c r="D190" s="40" t="str">
        <f>IFERROR(INDEX(전개결과!$M$6:$M$1205,MATCH("R"&amp;185,전개결과!$L$6:$L$1205,0)),"")</f>
        <v/>
      </c>
      <c r="E190" s="40" t="str">
        <f>IF($D190="","",IFERROR(INDEX(품목목록!$B$3:$B$302,MATCH($D190,품목목록!$A$3:$A$302,0)),""))</f>
        <v/>
      </c>
      <c r="F190" s="47" t="str">
        <f>IF($D190="","",IFERROR(INDEX(품목목록!$D$3:$D$302,MATCH($D190,품목목록!$A$3:$A$302,0)),""))</f>
        <v/>
      </c>
      <c r="G190" s="49" t="str">
        <f>IFERROR(INDEX(전개결과!$N$6:$N$1205,MATCH("R"&amp;185,전개결과!$L$6:$L$1205,0)),"")</f>
        <v/>
      </c>
      <c r="H190" s="40" t="str">
        <f>IF($D190="","",IFERROR(INDEX(전개결과!$Q$6:$Q$1205,MATCH("R"&amp;185,전개결과!$L$6:$L$1205,0)),""))</f>
        <v/>
      </c>
      <c r="J190" s="50" t="b">
        <f>IF(발주접수!$D21="",FALSE(),IF(발주접수!$F21="세트",COUNTIF(세트구성!$G$3:$G$302,발주접수!$D21&amp;"|"&amp;5)&gt;0,4=0))</f>
        <v>0</v>
      </c>
      <c r="K190" s="34" t="str">
        <f>IF($J190=FALSE(),"",COUNTIF($J$6:$J190,TRUE()))</f>
        <v/>
      </c>
      <c r="L190" s="34" t="str">
        <f>IF($K190="","","R"&amp;$K190)</f>
        <v/>
      </c>
      <c r="M190" s="34" t="str">
        <f>IF($J190=FALSE(),"",IF(발주접수!$F21="세트",IFERROR(INDEX(세트구성!$C$3:$C$302,MATCH(발주접수!$D21&amp;"|"&amp;5,세트구성!$G$3:$G$302,0)),""),발주접수!$D21))</f>
        <v/>
      </c>
      <c r="N190" s="34" t="str">
        <f>IF($J190=FALSE(),"",IF(발주접수!$F21="세트",발주접수!$G21*IFERROR(INDEX(세트구성!$E$3:$E$302,MATCH(발주접수!$D21&amp;"|"&amp;5,세트구성!$G$3:$G$302,0)),0),발주접수!$G21))</f>
        <v/>
      </c>
      <c r="O190" s="34" t="str">
        <f>IF($J190=FALSE(),"",발주접수!$B21)</f>
        <v/>
      </c>
      <c r="P190" s="34" t="str">
        <f>IF($J190=FALSE(),"",발주접수!$C21)</f>
        <v/>
      </c>
      <c r="Q190" s="34" t="str">
        <f>IF($J190=FALSE(),"",IF(발주접수!$F21="세트",발주접수!$E21&amp;" 전개","직접 발주"))</f>
        <v/>
      </c>
    </row>
    <row r="191" ht="15" customHeight="1" s="30">
      <c r="A191" s="47" t="str">
        <f>IF($D191="","",186)</f>
        <v/>
      </c>
      <c r="B191" s="48" t="str">
        <f>IFERROR(INDEX(전개결과!$O$6:$O$1205,MATCH("R"&amp;186,전개결과!$L$6:$L$1205,0)),"")</f>
        <v/>
      </c>
      <c r="C191" s="40" t="str">
        <f>IF($D191="","",IFERROR(INDEX(전개결과!$P$6:$P$1205,MATCH("R"&amp;186,전개결과!$L$6:$L$1205,0)),""))</f>
        <v/>
      </c>
      <c r="D191" s="40" t="str">
        <f>IFERROR(INDEX(전개결과!$M$6:$M$1205,MATCH("R"&amp;186,전개결과!$L$6:$L$1205,0)),"")</f>
        <v/>
      </c>
      <c r="E191" s="40" t="str">
        <f>IF($D191="","",IFERROR(INDEX(품목목록!$B$3:$B$302,MATCH($D191,품목목록!$A$3:$A$302,0)),""))</f>
        <v/>
      </c>
      <c r="F191" s="47" t="str">
        <f>IF($D191="","",IFERROR(INDEX(품목목록!$D$3:$D$302,MATCH($D191,품목목록!$A$3:$A$302,0)),""))</f>
        <v/>
      </c>
      <c r="G191" s="49" t="str">
        <f>IFERROR(INDEX(전개결과!$N$6:$N$1205,MATCH("R"&amp;186,전개결과!$L$6:$L$1205,0)),"")</f>
        <v/>
      </c>
      <c r="H191" s="40" t="str">
        <f>IF($D191="","",IFERROR(INDEX(전개결과!$Q$6:$Q$1205,MATCH("R"&amp;186,전개결과!$L$6:$L$1205,0)),""))</f>
        <v/>
      </c>
      <c r="J191" s="50" t="b">
        <f>IF(발주접수!$D21="",FALSE(),IF(발주접수!$F21="세트",COUNTIF(세트구성!$G$3:$G$302,발주접수!$D21&amp;"|"&amp;6)&gt;0,5=0))</f>
        <v>0</v>
      </c>
      <c r="K191" s="34" t="str">
        <f>IF($J191=FALSE(),"",COUNTIF($J$6:$J191,TRUE()))</f>
        <v/>
      </c>
      <c r="L191" s="34" t="str">
        <f>IF($K191="","","R"&amp;$K191)</f>
        <v/>
      </c>
      <c r="M191" s="34" t="str">
        <f>IF($J191=FALSE(),"",IF(발주접수!$F21="세트",IFERROR(INDEX(세트구성!$C$3:$C$302,MATCH(발주접수!$D21&amp;"|"&amp;6,세트구성!$G$3:$G$302,0)),""),발주접수!$D21))</f>
        <v/>
      </c>
      <c r="N191" s="34" t="str">
        <f>IF($J191=FALSE(),"",IF(발주접수!$F21="세트",발주접수!$G21*IFERROR(INDEX(세트구성!$E$3:$E$302,MATCH(발주접수!$D21&amp;"|"&amp;6,세트구성!$G$3:$G$302,0)),0),발주접수!$G21))</f>
        <v/>
      </c>
      <c r="O191" s="34" t="str">
        <f>IF($J191=FALSE(),"",발주접수!$B21)</f>
        <v/>
      </c>
      <c r="P191" s="34" t="str">
        <f>IF($J191=FALSE(),"",발주접수!$C21)</f>
        <v/>
      </c>
      <c r="Q191" s="34" t="str">
        <f>IF($J191=FALSE(),"",IF(발주접수!$F21="세트",발주접수!$E21&amp;" 전개","직접 발주"))</f>
        <v/>
      </c>
    </row>
    <row r="192" ht="15" customHeight="1" s="30">
      <c r="A192" s="47" t="str">
        <f>IF($D192="","",187)</f>
        <v/>
      </c>
      <c r="B192" s="48" t="str">
        <f>IFERROR(INDEX(전개결과!$O$6:$O$1205,MATCH("R"&amp;187,전개결과!$L$6:$L$1205,0)),"")</f>
        <v/>
      </c>
      <c r="C192" s="40" t="str">
        <f>IF($D192="","",IFERROR(INDEX(전개결과!$P$6:$P$1205,MATCH("R"&amp;187,전개결과!$L$6:$L$1205,0)),""))</f>
        <v/>
      </c>
      <c r="D192" s="40" t="str">
        <f>IFERROR(INDEX(전개결과!$M$6:$M$1205,MATCH("R"&amp;187,전개결과!$L$6:$L$1205,0)),"")</f>
        <v/>
      </c>
      <c r="E192" s="40" t="str">
        <f>IF($D192="","",IFERROR(INDEX(품목목록!$B$3:$B$302,MATCH($D192,품목목록!$A$3:$A$302,0)),""))</f>
        <v/>
      </c>
      <c r="F192" s="47" t="str">
        <f>IF($D192="","",IFERROR(INDEX(품목목록!$D$3:$D$302,MATCH($D192,품목목록!$A$3:$A$302,0)),""))</f>
        <v/>
      </c>
      <c r="G192" s="49" t="str">
        <f>IFERROR(INDEX(전개결과!$N$6:$N$1205,MATCH("R"&amp;187,전개결과!$L$6:$L$1205,0)),"")</f>
        <v/>
      </c>
      <c r="H192" s="40" t="str">
        <f>IF($D192="","",IFERROR(INDEX(전개결과!$Q$6:$Q$1205,MATCH("R"&amp;187,전개결과!$L$6:$L$1205,0)),""))</f>
        <v/>
      </c>
      <c r="J192" s="50" t="b">
        <f>IF(발주접수!$D21="",FALSE(),IF(발주접수!$F21="세트",COUNTIF(세트구성!$G$3:$G$302,발주접수!$D21&amp;"|"&amp;7)&gt;0,6=0))</f>
        <v>0</v>
      </c>
      <c r="K192" s="34" t="str">
        <f>IF($J192=FALSE(),"",COUNTIF($J$6:$J192,TRUE()))</f>
        <v/>
      </c>
      <c r="L192" s="34" t="str">
        <f>IF($K192="","","R"&amp;$K192)</f>
        <v/>
      </c>
      <c r="M192" s="34" t="str">
        <f>IF($J192=FALSE(),"",IF(발주접수!$F21="세트",IFERROR(INDEX(세트구성!$C$3:$C$302,MATCH(발주접수!$D21&amp;"|"&amp;7,세트구성!$G$3:$G$302,0)),""),발주접수!$D21))</f>
        <v/>
      </c>
      <c r="N192" s="34" t="str">
        <f>IF($J192=FALSE(),"",IF(발주접수!$F21="세트",발주접수!$G21*IFERROR(INDEX(세트구성!$E$3:$E$302,MATCH(발주접수!$D21&amp;"|"&amp;7,세트구성!$G$3:$G$302,0)),0),발주접수!$G21))</f>
        <v/>
      </c>
      <c r="O192" s="34" t="str">
        <f>IF($J192=FALSE(),"",발주접수!$B21)</f>
        <v/>
      </c>
      <c r="P192" s="34" t="str">
        <f>IF($J192=FALSE(),"",발주접수!$C21)</f>
        <v/>
      </c>
      <c r="Q192" s="34" t="str">
        <f>IF($J192=FALSE(),"",IF(발주접수!$F21="세트",발주접수!$E21&amp;" 전개","직접 발주"))</f>
        <v/>
      </c>
    </row>
    <row r="193" ht="15" customHeight="1" s="30">
      <c r="A193" s="47" t="str">
        <f>IF($D193="","",188)</f>
        <v/>
      </c>
      <c r="B193" s="48" t="str">
        <f>IFERROR(INDEX(전개결과!$O$6:$O$1205,MATCH("R"&amp;188,전개결과!$L$6:$L$1205,0)),"")</f>
        <v/>
      </c>
      <c r="C193" s="40" t="str">
        <f>IF($D193="","",IFERROR(INDEX(전개결과!$P$6:$P$1205,MATCH("R"&amp;188,전개결과!$L$6:$L$1205,0)),""))</f>
        <v/>
      </c>
      <c r="D193" s="40" t="str">
        <f>IFERROR(INDEX(전개결과!$M$6:$M$1205,MATCH("R"&amp;188,전개결과!$L$6:$L$1205,0)),"")</f>
        <v/>
      </c>
      <c r="E193" s="40" t="str">
        <f>IF($D193="","",IFERROR(INDEX(품목목록!$B$3:$B$302,MATCH($D193,품목목록!$A$3:$A$302,0)),""))</f>
        <v/>
      </c>
      <c r="F193" s="47" t="str">
        <f>IF($D193="","",IFERROR(INDEX(품목목록!$D$3:$D$302,MATCH($D193,품목목록!$A$3:$A$302,0)),""))</f>
        <v/>
      </c>
      <c r="G193" s="49" t="str">
        <f>IFERROR(INDEX(전개결과!$N$6:$N$1205,MATCH("R"&amp;188,전개결과!$L$6:$L$1205,0)),"")</f>
        <v/>
      </c>
      <c r="H193" s="40" t="str">
        <f>IF($D193="","",IFERROR(INDEX(전개결과!$Q$6:$Q$1205,MATCH("R"&amp;188,전개결과!$L$6:$L$1205,0)),""))</f>
        <v/>
      </c>
      <c r="J193" s="50" t="b">
        <f>IF(발주접수!$D21="",FALSE(),IF(발주접수!$F21="세트",COUNTIF(세트구성!$G$3:$G$302,발주접수!$D21&amp;"|"&amp;8)&gt;0,7=0))</f>
        <v>0</v>
      </c>
      <c r="K193" s="34" t="str">
        <f>IF($J193=FALSE(),"",COUNTIF($J$6:$J193,TRUE()))</f>
        <v/>
      </c>
      <c r="L193" s="34" t="str">
        <f>IF($K193="","","R"&amp;$K193)</f>
        <v/>
      </c>
      <c r="M193" s="34" t="str">
        <f>IF($J193=FALSE(),"",IF(발주접수!$F21="세트",IFERROR(INDEX(세트구성!$C$3:$C$302,MATCH(발주접수!$D21&amp;"|"&amp;8,세트구성!$G$3:$G$302,0)),""),발주접수!$D21))</f>
        <v/>
      </c>
      <c r="N193" s="34" t="str">
        <f>IF($J193=FALSE(),"",IF(발주접수!$F21="세트",발주접수!$G21*IFERROR(INDEX(세트구성!$E$3:$E$302,MATCH(발주접수!$D21&amp;"|"&amp;8,세트구성!$G$3:$G$302,0)),0),발주접수!$G21))</f>
        <v/>
      </c>
      <c r="O193" s="34" t="str">
        <f>IF($J193=FALSE(),"",발주접수!$B21)</f>
        <v/>
      </c>
      <c r="P193" s="34" t="str">
        <f>IF($J193=FALSE(),"",발주접수!$C21)</f>
        <v/>
      </c>
      <c r="Q193" s="34" t="str">
        <f>IF($J193=FALSE(),"",IF(발주접수!$F21="세트",발주접수!$E21&amp;" 전개","직접 발주"))</f>
        <v/>
      </c>
    </row>
    <row r="194" ht="15" customHeight="1" s="30">
      <c r="A194" s="47" t="str">
        <f>IF($D194="","",189)</f>
        <v/>
      </c>
      <c r="B194" s="48" t="str">
        <f>IFERROR(INDEX(전개결과!$O$6:$O$1205,MATCH("R"&amp;189,전개결과!$L$6:$L$1205,0)),"")</f>
        <v/>
      </c>
      <c r="C194" s="40" t="str">
        <f>IF($D194="","",IFERROR(INDEX(전개결과!$P$6:$P$1205,MATCH("R"&amp;189,전개결과!$L$6:$L$1205,0)),""))</f>
        <v/>
      </c>
      <c r="D194" s="40" t="str">
        <f>IFERROR(INDEX(전개결과!$M$6:$M$1205,MATCH("R"&amp;189,전개결과!$L$6:$L$1205,0)),"")</f>
        <v/>
      </c>
      <c r="E194" s="40" t="str">
        <f>IF($D194="","",IFERROR(INDEX(품목목록!$B$3:$B$302,MATCH($D194,품목목록!$A$3:$A$302,0)),""))</f>
        <v/>
      </c>
      <c r="F194" s="47" t="str">
        <f>IF($D194="","",IFERROR(INDEX(품목목록!$D$3:$D$302,MATCH($D194,품목목록!$A$3:$A$302,0)),""))</f>
        <v/>
      </c>
      <c r="G194" s="49" t="str">
        <f>IFERROR(INDEX(전개결과!$N$6:$N$1205,MATCH("R"&amp;189,전개결과!$L$6:$L$1205,0)),"")</f>
        <v/>
      </c>
      <c r="H194" s="40" t="str">
        <f>IF($D194="","",IFERROR(INDEX(전개결과!$Q$6:$Q$1205,MATCH("R"&amp;189,전개결과!$L$6:$L$1205,0)),""))</f>
        <v/>
      </c>
      <c r="J194" s="50" t="b">
        <f>IF(발주접수!$D21="",FALSE(),IF(발주접수!$F21="세트",COUNTIF(세트구성!$G$3:$G$302,발주접수!$D21&amp;"|"&amp;9)&gt;0,8=0))</f>
        <v>0</v>
      </c>
      <c r="K194" s="34" t="str">
        <f>IF($J194=FALSE(),"",COUNTIF($J$6:$J194,TRUE()))</f>
        <v/>
      </c>
      <c r="L194" s="34" t="str">
        <f>IF($K194="","","R"&amp;$K194)</f>
        <v/>
      </c>
      <c r="M194" s="34" t="str">
        <f>IF($J194=FALSE(),"",IF(발주접수!$F21="세트",IFERROR(INDEX(세트구성!$C$3:$C$302,MATCH(발주접수!$D21&amp;"|"&amp;9,세트구성!$G$3:$G$302,0)),""),발주접수!$D21))</f>
        <v/>
      </c>
      <c r="N194" s="34" t="str">
        <f>IF($J194=FALSE(),"",IF(발주접수!$F21="세트",발주접수!$G21*IFERROR(INDEX(세트구성!$E$3:$E$302,MATCH(발주접수!$D21&amp;"|"&amp;9,세트구성!$G$3:$G$302,0)),0),발주접수!$G21))</f>
        <v/>
      </c>
      <c r="O194" s="34" t="str">
        <f>IF($J194=FALSE(),"",발주접수!$B21)</f>
        <v/>
      </c>
      <c r="P194" s="34" t="str">
        <f>IF($J194=FALSE(),"",발주접수!$C21)</f>
        <v/>
      </c>
      <c r="Q194" s="34" t="str">
        <f>IF($J194=FALSE(),"",IF(발주접수!$F21="세트",발주접수!$E21&amp;" 전개","직접 발주"))</f>
        <v/>
      </c>
    </row>
    <row r="195" ht="15" customHeight="1" s="30">
      <c r="A195" s="47" t="str">
        <f>IF($D195="","",190)</f>
        <v/>
      </c>
      <c r="B195" s="48" t="str">
        <f>IFERROR(INDEX(전개결과!$O$6:$O$1205,MATCH("R"&amp;190,전개결과!$L$6:$L$1205,0)),"")</f>
        <v/>
      </c>
      <c r="C195" s="40" t="str">
        <f>IF($D195="","",IFERROR(INDEX(전개결과!$P$6:$P$1205,MATCH("R"&amp;190,전개결과!$L$6:$L$1205,0)),""))</f>
        <v/>
      </c>
      <c r="D195" s="40" t="str">
        <f>IFERROR(INDEX(전개결과!$M$6:$M$1205,MATCH("R"&amp;190,전개결과!$L$6:$L$1205,0)),"")</f>
        <v/>
      </c>
      <c r="E195" s="40" t="str">
        <f>IF($D195="","",IFERROR(INDEX(품목목록!$B$3:$B$302,MATCH($D195,품목목록!$A$3:$A$302,0)),""))</f>
        <v/>
      </c>
      <c r="F195" s="47" t="str">
        <f>IF($D195="","",IFERROR(INDEX(품목목록!$D$3:$D$302,MATCH($D195,품목목록!$A$3:$A$302,0)),""))</f>
        <v/>
      </c>
      <c r="G195" s="49" t="str">
        <f>IFERROR(INDEX(전개결과!$N$6:$N$1205,MATCH("R"&amp;190,전개결과!$L$6:$L$1205,0)),"")</f>
        <v/>
      </c>
      <c r="H195" s="40" t="str">
        <f>IF($D195="","",IFERROR(INDEX(전개결과!$Q$6:$Q$1205,MATCH("R"&amp;190,전개결과!$L$6:$L$1205,0)),""))</f>
        <v/>
      </c>
      <c r="J195" s="50" t="b">
        <f>IF(발주접수!$D21="",FALSE(),IF(발주접수!$F21="세트",COUNTIF(세트구성!$G$3:$G$302,발주접수!$D21&amp;"|"&amp;10)&gt;0,9=0))</f>
        <v>0</v>
      </c>
      <c r="K195" s="34" t="str">
        <f>IF($J195=FALSE(),"",COUNTIF($J$6:$J195,TRUE()))</f>
        <v/>
      </c>
      <c r="L195" s="34" t="str">
        <f>IF($K195="","","R"&amp;$K195)</f>
        <v/>
      </c>
      <c r="M195" s="34" t="str">
        <f>IF($J195=FALSE(),"",IF(발주접수!$F21="세트",IFERROR(INDEX(세트구성!$C$3:$C$302,MATCH(발주접수!$D21&amp;"|"&amp;10,세트구성!$G$3:$G$302,0)),""),발주접수!$D21))</f>
        <v/>
      </c>
      <c r="N195" s="34" t="str">
        <f>IF($J195=FALSE(),"",IF(발주접수!$F21="세트",발주접수!$G21*IFERROR(INDEX(세트구성!$E$3:$E$302,MATCH(발주접수!$D21&amp;"|"&amp;10,세트구성!$G$3:$G$302,0)),0),발주접수!$G21))</f>
        <v/>
      </c>
      <c r="O195" s="34" t="str">
        <f>IF($J195=FALSE(),"",발주접수!$B21)</f>
        <v/>
      </c>
      <c r="P195" s="34" t="str">
        <f>IF($J195=FALSE(),"",발주접수!$C21)</f>
        <v/>
      </c>
      <c r="Q195" s="34" t="str">
        <f>IF($J195=FALSE(),"",IF(발주접수!$F21="세트",발주접수!$E21&amp;" 전개","직접 발주"))</f>
        <v/>
      </c>
    </row>
    <row r="196" ht="15" customHeight="1" s="30">
      <c r="A196" s="47" t="str">
        <f>IF($D196="","",191)</f>
        <v/>
      </c>
      <c r="B196" s="48" t="str">
        <f>IFERROR(INDEX(전개결과!$O$6:$O$1205,MATCH("R"&amp;191,전개결과!$L$6:$L$1205,0)),"")</f>
        <v/>
      </c>
      <c r="C196" s="40" t="str">
        <f>IF($D196="","",IFERROR(INDEX(전개결과!$P$6:$P$1205,MATCH("R"&amp;191,전개결과!$L$6:$L$1205,0)),""))</f>
        <v/>
      </c>
      <c r="D196" s="40" t="str">
        <f>IFERROR(INDEX(전개결과!$M$6:$M$1205,MATCH("R"&amp;191,전개결과!$L$6:$L$1205,0)),"")</f>
        <v/>
      </c>
      <c r="E196" s="40" t="str">
        <f>IF($D196="","",IFERROR(INDEX(품목목록!$B$3:$B$302,MATCH($D196,품목목록!$A$3:$A$302,0)),""))</f>
        <v/>
      </c>
      <c r="F196" s="47" t="str">
        <f>IF($D196="","",IFERROR(INDEX(품목목록!$D$3:$D$302,MATCH($D196,품목목록!$A$3:$A$302,0)),""))</f>
        <v/>
      </c>
      <c r="G196" s="49" t="str">
        <f>IFERROR(INDEX(전개결과!$N$6:$N$1205,MATCH("R"&amp;191,전개결과!$L$6:$L$1205,0)),"")</f>
        <v/>
      </c>
      <c r="H196" s="40" t="str">
        <f>IF($D196="","",IFERROR(INDEX(전개결과!$Q$6:$Q$1205,MATCH("R"&amp;191,전개결과!$L$6:$L$1205,0)),""))</f>
        <v/>
      </c>
      <c r="J196" s="50" t="b">
        <f>IF(발주접수!$D22="",FALSE(),IF(발주접수!$F22="세트",COUNTIF(세트구성!$G$3:$G$302,발주접수!$D22&amp;"|"&amp;1)&gt;0,0=0))</f>
        <v>0</v>
      </c>
      <c r="K196" s="34" t="str">
        <f>IF($J196=FALSE(),"",COUNTIF($J$6:$J196,TRUE()))</f>
        <v/>
      </c>
      <c r="L196" s="34" t="str">
        <f>IF($K196="","","R"&amp;$K196)</f>
        <v/>
      </c>
      <c r="M196" s="34" t="str">
        <f>IF($J196=FALSE(),"",IF(발주접수!$F22="세트",IFERROR(INDEX(세트구성!$C$3:$C$302,MATCH(발주접수!$D22&amp;"|"&amp;1,세트구성!$G$3:$G$302,0)),""),발주접수!$D22))</f>
        <v/>
      </c>
      <c r="N196" s="34" t="str">
        <f>IF($J196=FALSE(),"",IF(발주접수!$F22="세트",발주접수!$G22*IFERROR(INDEX(세트구성!$E$3:$E$302,MATCH(발주접수!$D22&amp;"|"&amp;1,세트구성!$G$3:$G$302,0)),0),발주접수!$G22))</f>
        <v/>
      </c>
      <c r="O196" s="34" t="str">
        <f>IF($J196=FALSE(),"",발주접수!$B22)</f>
        <v/>
      </c>
      <c r="P196" s="34" t="str">
        <f>IF($J196=FALSE(),"",발주접수!$C22)</f>
        <v/>
      </c>
      <c r="Q196" s="34" t="str">
        <f>IF($J196=FALSE(),"",IF(발주접수!$F22="세트",발주접수!$E22&amp;" 전개","직접 발주"))</f>
        <v/>
      </c>
    </row>
    <row r="197" ht="15" customHeight="1" s="30">
      <c r="A197" s="47" t="str">
        <f>IF($D197="","",192)</f>
        <v/>
      </c>
      <c r="B197" s="48" t="str">
        <f>IFERROR(INDEX(전개결과!$O$6:$O$1205,MATCH("R"&amp;192,전개결과!$L$6:$L$1205,0)),"")</f>
        <v/>
      </c>
      <c r="C197" s="40" t="str">
        <f>IF($D197="","",IFERROR(INDEX(전개결과!$P$6:$P$1205,MATCH("R"&amp;192,전개결과!$L$6:$L$1205,0)),""))</f>
        <v/>
      </c>
      <c r="D197" s="40" t="str">
        <f>IFERROR(INDEX(전개결과!$M$6:$M$1205,MATCH("R"&amp;192,전개결과!$L$6:$L$1205,0)),"")</f>
        <v/>
      </c>
      <c r="E197" s="40" t="str">
        <f>IF($D197="","",IFERROR(INDEX(품목목록!$B$3:$B$302,MATCH($D197,품목목록!$A$3:$A$302,0)),""))</f>
        <v/>
      </c>
      <c r="F197" s="47" t="str">
        <f>IF($D197="","",IFERROR(INDEX(품목목록!$D$3:$D$302,MATCH($D197,품목목록!$A$3:$A$302,0)),""))</f>
        <v/>
      </c>
      <c r="G197" s="49" t="str">
        <f>IFERROR(INDEX(전개결과!$N$6:$N$1205,MATCH("R"&amp;192,전개결과!$L$6:$L$1205,0)),"")</f>
        <v/>
      </c>
      <c r="H197" s="40" t="str">
        <f>IF($D197="","",IFERROR(INDEX(전개결과!$Q$6:$Q$1205,MATCH("R"&amp;192,전개결과!$L$6:$L$1205,0)),""))</f>
        <v/>
      </c>
      <c r="J197" s="50" t="b">
        <f>IF(발주접수!$D22="",FALSE(),IF(발주접수!$F22="세트",COUNTIF(세트구성!$G$3:$G$302,발주접수!$D22&amp;"|"&amp;2)&gt;0,1=0))</f>
        <v>0</v>
      </c>
      <c r="K197" s="34" t="str">
        <f>IF($J197=FALSE(),"",COUNTIF($J$6:$J197,TRUE()))</f>
        <v/>
      </c>
      <c r="L197" s="34" t="str">
        <f>IF($K197="","","R"&amp;$K197)</f>
        <v/>
      </c>
      <c r="M197" s="34" t="str">
        <f>IF($J197=FALSE(),"",IF(발주접수!$F22="세트",IFERROR(INDEX(세트구성!$C$3:$C$302,MATCH(발주접수!$D22&amp;"|"&amp;2,세트구성!$G$3:$G$302,0)),""),발주접수!$D22))</f>
        <v/>
      </c>
      <c r="N197" s="34" t="str">
        <f>IF($J197=FALSE(),"",IF(발주접수!$F22="세트",발주접수!$G22*IFERROR(INDEX(세트구성!$E$3:$E$302,MATCH(발주접수!$D22&amp;"|"&amp;2,세트구성!$G$3:$G$302,0)),0),발주접수!$G22))</f>
        <v/>
      </c>
      <c r="O197" s="34" t="str">
        <f>IF($J197=FALSE(),"",발주접수!$B22)</f>
        <v/>
      </c>
      <c r="P197" s="34" t="str">
        <f>IF($J197=FALSE(),"",발주접수!$C22)</f>
        <v/>
      </c>
      <c r="Q197" s="34" t="str">
        <f>IF($J197=FALSE(),"",IF(발주접수!$F22="세트",발주접수!$E22&amp;" 전개","직접 발주"))</f>
        <v/>
      </c>
    </row>
    <row r="198" ht="15" customHeight="1" s="30">
      <c r="A198" s="47" t="str">
        <f>IF($D198="","",193)</f>
        <v/>
      </c>
      <c r="B198" s="48" t="str">
        <f>IFERROR(INDEX(전개결과!$O$6:$O$1205,MATCH("R"&amp;193,전개결과!$L$6:$L$1205,0)),"")</f>
        <v/>
      </c>
      <c r="C198" s="40" t="str">
        <f>IF($D198="","",IFERROR(INDEX(전개결과!$P$6:$P$1205,MATCH("R"&amp;193,전개결과!$L$6:$L$1205,0)),""))</f>
        <v/>
      </c>
      <c r="D198" s="40" t="str">
        <f>IFERROR(INDEX(전개결과!$M$6:$M$1205,MATCH("R"&amp;193,전개결과!$L$6:$L$1205,0)),"")</f>
        <v/>
      </c>
      <c r="E198" s="40" t="str">
        <f>IF($D198="","",IFERROR(INDEX(품목목록!$B$3:$B$302,MATCH($D198,품목목록!$A$3:$A$302,0)),""))</f>
        <v/>
      </c>
      <c r="F198" s="47" t="str">
        <f>IF($D198="","",IFERROR(INDEX(품목목록!$D$3:$D$302,MATCH($D198,품목목록!$A$3:$A$302,0)),""))</f>
        <v/>
      </c>
      <c r="G198" s="49" t="str">
        <f>IFERROR(INDEX(전개결과!$N$6:$N$1205,MATCH("R"&amp;193,전개결과!$L$6:$L$1205,0)),"")</f>
        <v/>
      </c>
      <c r="H198" s="40" t="str">
        <f>IF($D198="","",IFERROR(INDEX(전개결과!$Q$6:$Q$1205,MATCH("R"&amp;193,전개결과!$L$6:$L$1205,0)),""))</f>
        <v/>
      </c>
      <c r="J198" s="50" t="b">
        <f>IF(발주접수!$D22="",FALSE(),IF(발주접수!$F22="세트",COUNTIF(세트구성!$G$3:$G$302,발주접수!$D22&amp;"|"&amp;3)&gt;0,2=0))</f>
        <v>0</v>
      </c>
      <c r="K198" s="34" t="str">
        <f>IF($J198=FALSE(),"",COUNTIF($J$6:$J198,TRUE()))</f>
        <v/>
      </c>
      <c r="L198" s="34" t="str">
        <f>IF($K198="","","R"&amp;$K198)</f>
        <v/>
      </c>
      <c r="M198" s="34" t="str">
        <f>IF($J198=FALSE(),"",IF(발주접수!$F22="세트",IFERROR(INDEX(세트구성!$C$3:$C$302,MATCH(발주접수!$D22&amp;"|"&amp;3,세트구성!$G$3:$G$302,0)),""),발주접수!$D22))</f>
        <v/>
      </c>
      <c r="N198" s="34" t="str">
        <f>IF($J198=FALSE(),"",IF(발주접수!$F22="세트",발주접수!$G22*IFERROR(INDEX(세트구성!$E$3:$E$302,MATCH(발주접수!$D22&amp;"|"&amp;3,세트구성!$G$3:$G$302,0)),0),발주접수!$G22))</f>
        <v/>
      </c>
      <c r="O198" s="34" t="str">
        <f>IF($J198=FALSE(),"",발주접수!$B22)</f>
        <v/>
      </c>
      <c r="P198" s="34" t="str">
        <f>IF($J198=FALSE(),"",발주접수!$C22)</f>
        <v/>
      </c>
      <c r="Q198" s="34" t="str">
        <f>IF($J198=FALSE(),"",IF(발주접수!$F22="세트",발주접수!$E22&amp;" 전개","직접 발주"))</f>
        <v/>
      </c>
    </row>
    <row r="199" ht="15" customHeight="1" s="30">
      <c r="A199" s="47" t="str">
        <f>IF($D199="","",194)</f>
        <v/>
      </c>
      <c r="B199" s="48" t="str">
        <f>IFERROR(INDEX(전개결과!$O$6:$O$1205,MATCH("R"&amp;194,전개결과!$L$6:$L$1205,0)),"")</f>
        <v/>
      </c>
      <c r="C199" s="40" t="str">
        <f>IF($D199="","",IFERROR(INDEX(전개결과!$P$6:$P$1205,MATCH("R"&amp;194,전개결과!$L$6:$L$1205,0)),""))</f>
        <v/>
      </c>
      <c r="D199" s="40" t="str">
        <f>IFERROR(INDEX(전개결과!$M$6:$M$1205,MATCH("R"&amp;194,전개결과!$L$6:$L$1205,0)),"")</f>
        <v/>
      </c>
      <c r="E199" s="40" t="str">
        <f>IF($D199="","",IFERROR(INDEX(품목목록!$B$3:$B$302,MATCH($D199,품목목록!$A$3:$A$302,0)),""))</f>
        <v/>
      </c>
      <c r="F199" s="47" t="str">
        <f>IF($D199="","",IFERROR(INDEX(품목목록!$D$3:$D$302,MATCH($D199,품목목록!$A$3:$A$302,0)),""))</f>
        <v/>
      </c>
      <c r="G199" s="49" t="str">
        <f>IFERROR(INDEX(전개결과!$N$6:$N$1205,MATCH("R"&amp;194,전개결과!$L$6:$L$1205,0)),"")</f>
        <v/>
      </c>
      <c r="H199" s="40" t="str">
        <f>IF($D199="","",IFERROR(INDEX(전개결과!$Q$6:$Q$1205,MATCH("R"&amp;194,전개결과!$L$6:$L$1205,0)),""))</f>
        <v/>
      </c>
      <c r="J199" s="50" t="b">
        <f>IF(발주접수!$D22="",FALSE(),IF(발주접수!$F22="세트",COUNTIF(세트구성!$G$3:$G$302,발주접수!$D22&amp;"|"&amp;4)&gt;0,3=0))</f>
        <v>0</v>
      </c>
      <c r="K199" s="34" t="str">
        <f>IF($J199=FALSE(),"",COUNTIF($J$6:$J199,TRUE()))</f>
        <v/>
      </c>
      <c r="L199" s="34" t="str">
        <f>IF($K199="","","R"&amp;$K199)</f>
        <v/>
      </c>
      <c r="M199" s="34" t="str">
        <f>IF($J199=FALSE(),"",IF(발주접수!$F22="세트",IFERROR(INDEX(세트구성!$C$3:$C$302,MATCH(발주접수!$D22&amp;"|"&amp;4,세트구성!$G$3:$G$302,0)),""),발주접수!$D22))</f>
        <v/>
      </c>
      <c r="N199" s="34" t="str">
        <f>IF($J199=FALSE(),"",IF(발주접수!$F22="세트",발주접수!$G22*IFERROR(INDEX(세트구성!$E$3:$E$302,MATCH(발주접수!$D22&amp;"|"&amp;4,세트구성!$G$3:$G$302,0)),0),발주접수!$G22))</f>
        <v/>
      </c>
      <c r="O199" s="34" t="str">
        <f>IF($J199=FALSE(),"",발주접수!$B22)</f>
        <v/>
      </c>
      <c r="P199" s="34" t="str">
        <f>IF($J199=FALSE(),"",발주접수!$C22)</f>
        <v/>
      </c>
      <c r="Q199" s="34" t="str">
        <f>IF($J199=FALSE(),"",IF(발주접수!$F22="세트",발주접수!$E22&amp;" 전개","직접 발주"))</f>
        <v/>
      </c>
    </row>
    <row r="200" ht="15" customHeight="1" s="30">
      <c r="A200" s="47" t="str">
        <f>IF($D200="","",195)</f>
        <v/>
      </c>
      <c r="B200" s="48" t="str">
        <f>IFERROR(INDEX(전개결과!$O$6:$O$1205,MATCH("R"&amp;195,전개결과!$L$6:$L$1205,0)),"")</f>
        <v/>
      </c>
      <c r="C200" s="40" t="str">
        <f>IF($D200="","",IFERROR(INDEX(전개결과!$P$6:$P$1205,MATCH("R"&amp;195,전개결과!$L$6:$L$1205,0)),""))</f>
        <v/>
      </c>
      <c r="D200" s="40" t="str">
        <f>IFERROR(INDEX(전개결과!$M$6:$M$1205,MATCH("R"&amp;195,전개결과!$L$6:$L$1205,0)),"")</f>
        <v/>
      </c>
      <c r="E200" s="40" t="str">
        <f>IF($D200="","",IFERROR(INDEX(품목목록!$B$3:$B$302,MATCH($D200,품목목록!$A$3:$A$302,0)),""))</f>
        <v/>
      </c>
      <c r="F200" s="47" t="str">
        <f>IF($D200="","",IFERROR(INDEX(품목목록!$D$3:$D$302,MATCH($D200,품목목록!$A$3:$A$302,0)),""))</f>
        <v/>
      </c>
      <c r="G200" s="49" t="str">
        <f>IFERROR(INDEX(전개결과!$N$6:$N$1205,MATCH("R"&amp;195,전개결과!$L$6:$L$1205,0)),"")</f>
        <v/>
      </c>
      <c r="H200" s="40" t="str">
        <f>IF($D200="","",IFERROR(INDEX(전개결과!$Q$6:$Q$1205,MATCH("R"&amp;195,전개결과!$L$6:$L$1205,0)),""))</f>
        <v/>
      </c>
      <c r="J200" s="50" t="b">
        <f>IF(발주접수!$D22="",FALSE(),IF(발주접수!$F22="세트",COUNTIF(세트구성!$G$3:$G$302,발주접수!$D22&amp;"|"&amp;5)&gt;0,4=0))</f>
        <v>0</v>
      </c>
      <c r="K200" s="34" t="str">
        <f>IF($J200=FALSE(),"",COUNTIF($J$6:$J200,TRUE()))</f>
        <v/>
      </c>
      <c r="L200" s="34" t="str">
        <f>IF($K200="","","R"&amp;$K200)</f>
        <v/>
      </c>
      <c r="M200" s="34" t="str">
        <f>IF($J200=FALSE(),"",IF(발주접수!$F22="세트",IFERROR(INDEX(세트구성!$C$3:$C$302,MATCH(발주접수!$D22&amp;"|"&amp;5,세트구성!$G$3:$G$302,0)),""),발주접수!$D22))</f>
        <v/>
      </c>
      <c r="N200" s="34" t="str">
        <f>IF($J200=FALSE(),"",IF(발주접수!$F22="세트",발주접수!$G22*IFERROR(INDEX(세트구성!$E$3:$E$302,MATCH(발주접수!$D22&amp;"|"&amp;5,세트구성!$G$3:$G$302,0)),0),발주접수!$G22))</f>
        <v/>
      </c>
      <c r="O200" s="34" t="str">
        <f>IF($J200=FALSE(),"",발주접수!$B22)</f>
        <v/>
      </c>
      <c r="P200" s="34" t="str">
        <f>IF($J200=FALSE(),"",발주접수!$C22)</f>
        <v/>
      </c>
      <c r="Q200" s="34" t="str">
        <f>IF($J200=FALSE(),"",IF(발주접수!$F22="세트",발주접수!$E22&amp;" 전개","직접 발주"))</f>
        <v/>
      </c>
    </row>
    <row r="201" ht="15" customHeight="1" s="30">
      <c r="A201" s="47" t="str">
        <f>IF($D201="","",196)</f>
        <v/>
      </c>
      <c r="B201" s="48" t="str">
        <f>IFERROR(INDEX(전개결과!$O$6:$O$1205,MATCH("R"&amp;196,전개결과!$L$6:$L$1205,0)),"")</f>
        <v/>
      </c>
      <c r="C201" s="40" t="str">
        <f>IF($D201="","",IFERROR(INDEX(전개결과!$P$6:$P$1205,MATCH("R"&amp;196,전개결과!$L$6:$L$1205,0)),""))</f>
        <v/>
      </c>
      <c r="D201" s="40" t="str">
        <f>IFERROR(INDEX(전개결과!$M$6:$M$1205,MATCH("R"&amp;196,전개결과!$L$6:$L$1205,0)),"")</f>
        <v/>
      </c>
      <c r="E201" s="40" t="str">
        <f>IF($D201="","",IFERROR(INDEX(품목목록!$B$3:$B$302,MATCH($D201,품목목록!$A$3:$A$302,0)),""))</f>
        <v/>
      </c>
      <c r="F201" s="47" t="str">
        <f>IF($D201="","",IFERROR(INDEX(품목목록!$D$3:$D$302,MATCH($D201,품목목록!$A$3:$A$302,0)),""))</f>
        <v/>
      </c>
      <c r="G201" s="49" t="str">
        <f>IFERROR(INDEX(전개결과!$N$6:$N$1205,MATCH("R"&amp;196,전개결과!$L$6:$L$1205,0)),"")</f>
        <v/>
      </c>
      <c r="H201" s="40" t="str">
        <f>IF($D201="","",IFERROR(INDEX(전개결과!$Q$6:$Q$1205,MATCH("R"&amp;196,전개결과!$L$6:$L$1205,0)),""))</f>
        <v/>
      </c>
      <c r="J201" s="50" t="b">
        <f>IF(발주접수!$D22="",FALSE(),IF(발주접수!$F22="세트",COUNTIF(세트구성!$G$3:$G$302,발주접수!$D22&amp;"|"&amp;6)&gt;0,5=0))</f>
        <v>0</v>
      </c>
      <c r="K201" s="34" t="str">
        <f>IF($J201=FALSE(),"",COUNTIF($J$6:$J201,TRUE()))</f>
        <v/>
      </c>
      <c r="L201" s="34" t="str">
        <f>IF($K201="","","R"&amp;$K201)</f>
        <v/>
      </c>
      <c r="M201" s="34" t="str">
        <f>IF($J201=FALSE(),"",IF(발주접수!$F22="세트",IFERROR(INDEX(세트구성!$C$3:$C$302,MATCH(발주접수!$D22&amp;"|"&amp;6,세트구성!$G$3:$G$302,0)),""),발주접수!$D22))</f>
        <v/>
      </c>
      <c r="N201" s="34" t="str">
        <f>IF($J201=FALSE(),"",IF(발주접수!$F22="세트",발주접수!$G22*IFERROR(INDEX(세트구성!$E$3:$E$302,MATCH(발주접수!$D22&amp;"|"&amp;6,세트구성!$G$3:$G$302,0)),0),발주접수!$G22))</f>
        <v/>
      </c>
      <c r="O201" s="34" t="str">
        <f>IF($J201=FALSE(),"",발주접수!$B22)</f>
        <v/>
      </c>
      <c r="P201" s="34" t="str">
        <f>IF($J201=FALSE(),"",발주접수!$C22)</f>
        <v/>
      </c>
      <c r="Q201" s="34" t="str">
        <f>IF($J201=FALSE(),"",IF(발주접수!$F22="세트",발주접수!$E22&amp;" 전개","직접 발주"))</f>
        <v/>
      </c>
    </row>
    <row r="202" ht="15" customHeight="1" s="30">
      <c r="A202" s="47" t="str">
        <f>IF($D202="","",197)</f>
        <v/>
      </c>
      <c r="B202" s="48" t="str">
        <f>IFERROR(INDEX(전개결과!$O$6:$O$1205,MATCH("R"&amp;197,전개결과!$L$6:$L$1205,0)),"")</f>
        <v/>
      </c>
      <c r="C202" s="40" t="str">
        <f>IF($D202="","",IFERROR(INDEX(전개결과!$P$6:$P$1205,MATCH("R"&amp;197,전개결과!$L$6:$L$1205,0)),""))</f>
        <v/>
      </c>
      <c r="D202" s="40" t="str">
        <f>IFERROR(INDEX(전개결과!$M$6:$M$1205,MATCH("R"&amp;197,전개결과!$L$6:$L$1205,0)),"")</f>
        <v/>
      </c>
      <c r="E202" s="40" t="str">
        <f>IF($D202="","",IFERROR(INDEX(품목목록!$B$3:$B$302,MATCH($D202,품목목록!$A$3:$A$302,0)),""))</f>
        <v/>
      </c>
      <c r="F202" s="47" t="str">
        <f>IF($D202="","",IFERROR(INDEX(품목목록!$D$3:$D$302,MATCH($D202,품목목록!$A$3:$A$302,0)),""))</f>
        <v/>
      </c>
      <c r="G202" s="49" t="str">
        <f>IFERROR(INDEX(전개결과!$N$6:$N$1205,MATCH("R"&amp;197,전개결과!$L$6:$L$1205,0)),"")</f>
        <v/>
      </c>
      <c r="H202" s="40" t="str">
        <f>IF($D202="","",IFERROR(INDEX(전개결과!$Q$6:$Q$1205,MATCH("R"&amp;197,전개결과!$L$6:$L$1205,0)),""))</f>
        <v/>
      </c>
      <c r="J202" s="50" t="b">
        <f>IF(발주접수!$D22="",FALSE(),IF(발주접수!$F22="세트",COUNTIF(세트구성!$G$3:$G$302,발주접수!$D22&amp;"|"&amp;7)&gt;0,6=0))</f>
        <v>0</v>
      </c>
      <c r="K202" s="34" t="str">
        <f>IF($J202=FALSE(),"",COUNTIF($J$6:$J202,TRUE()))</f>
        <v/>
      </c>
      <c r="L202" s="34" t="str">
        <f>IF($K202="","","R"&amp;$K202)</f>
        <v/>
      </c>
      <c r="M202" s="34" t="str">
        <f>IF($J202=FALSE(),"",IF(발주접수!$F22="세트",IFERROR(INDEX(세트구성!$C$3:$C$302,MATCH(발주접수!$D22&amp;"|"&amp;7,세트구성!$G$3:$G$302,0)),""),발주접수!$D22))</f>
        <v/>
      </c>
      <c r="N202" s="34" t="str">
        <f>IF($J202=FALSE(),"",IF(발주접수!$F22="세트",발주접수!$G22*IFERROR(INDEX(세트구성!$E$3:$E$302,MATCH(발주접수!$D22&amp;"|"&amp;7,세트구성!$G$3:$G$302,0)),0),발주접수!$G22))</f>
        <v/>
      </c>
      <c r="O202" s="34" t="str">
        <f>IF($J202=FALSE(),"",발주접수!$B22)</f>
        <v/>
      </c>
      <c r="P202" s="34" t="str">
        <f>IF($J202=FALSE(),"",발주접수!$C22)</f>
        <v/>
      </c>
      <c r="Q202" s="34" t="str">
        <f>IF($J202=FALSE(),"",IF(발주접수!$F22="세트",발주접수!$E22&amp;" 전개","직접 발주"))</f>
        <v/>
      </c>
    </row>
    <row r="203" ht="15" customHeight="1" s="30">
      <c r="A203" s="47" t="str">
        <f>IF($D203="","",198)</f>
        <v/>
      </c>
      <c r="B203" s="48" t="str">
        <f>IFERROR(INDEX(전개결과!$O$6:$O$1205,MATCH("R"&amp;198,전개결과!$L$6:$L$1205,0)),"")</f>
        <v/>
      </c>
      <c r="C203" s="40" t="str">
        <f>IF($D203="","",IFERROR(INDEX(전개결과!$P$6:$P$1205,MATCH("R"&amp;198,전개결과!$L$6:$L$1205,0)),""))</f>
        <v/>
      </c>
      <c r="D203" s="40" t="str">
        <f>IFERROR(INDEX(전개결과!$M$6:$M$1205,MATCH("R"&amp;198,전개결과!$L$6:$L$1205,0)),"")</f>
        <v/>
      </c>
      <c r="E203" s="40" t="str">
        <f>IF($D203="","",IFERROR(INDEX(품목목록!$B$3:$B$302,MATCH($D203,품목목록!$A$3:$A$302,0)),""))</f>
        <v/>
      </c>
      <c r="F203" s="47" t="str">
        <f>IF($D203="","",IFERROR(INDEX(품목목록!$D$3:$D$302,MATCH($D203,품목목록!$A$3:$A$302,0)),""))</f>
        <v/>
      </c>
      <c r="G203" s="49" t="str">
        <f>IFERROR(INDEX(전개결과!$N$6:$N$1205,MATCH("R"&amp;198,전개결과!$L$6:$L$1205,0)),"")</f>
        <v/>
      </c>
      <c r="H203" s="40" t="str">
        <f>IF($D203="","",IFERROR(INDEX(전개결과!$Q$6:$Q$1205,MATCH("R"&amp;198,전개결과!$L$6:$L$1205,0)),""))</f>
        <v/>
      </c>
      <c r="J203" s="50" t="b">
        <f>IF(발주접수!$D22="",FALSE(),IF(발주접수!$F22="세트",COUNTIF(세트구성!$G$3:$G$302,발주접수!$D22&amp;"|"&amp;8)&gt;0,7=0))</f>
        <v>0</v>
      </c>
      <c r="K203" s="34" t="str">
        <f>IF($J203=FALSE(),"",COUNTIF($J$6:$J203,TRUE()))</f>
        <v/>
      </c>
      <c r="L203" s="34" t="str">
        <f>IF($K203="","","R"&amp;$K203)</f>
        <v/>
      </c>
      <c r="M203" s="34" t="str">
        <f>IF($J203=FALSE(),"",IF(발주접수!$F22="세트",IFERROR(INDEX(세트구성!$C$3:$C$302,MATCH(발주접수!$D22&amp;"|"&amp;8,세트구성!$G$3:$G$302,0)),""),발주접수!$D22))</f>
        <v/>
      </c>
      <c r="N203" s="34" t="str">
        <f>IF($J203=FALSE(),"",IF(발주접수!$F22="세트",발주접수!$G22*IFERROR(INDEX(세트구성!$E$3:$E$302,MATCH(발주접수!$D22&amp;"|"&amp;8,세트구성!$G$3:$G$302,0)),0),발주접수!$G22))</f>
        <v/>
      </c>
      <c r="O203" s="34" t="str">
        <f>IF($J203=FALSE(),"",발주접수!$B22)</f>
        <v/>
      </c>
      <c r="P203" s="34" t="str">
        <f>IF($J203=FALSE(),"",발주접수!$C22)</f>
        <v/>
      </c>
      <c r="Q203" s="34" t="str">
        <f>IF($J203=FALSE(),"",IF(발주접수!$F22="세트",발주접수!$E22&amp;" 전개","직접 발주"))</f>
        <v/>
      </c>
    </row>
    <row r="204" ht="15" customHeight="1" s="30">
      <c r="A204" s="47" t="str">
        <f>IF($D204="","",199)</f>
        <v/>
      </c>
      <c r="B204" s="48" t="str">
        <f>IFERROR(INDEX(전개결과!$O$6:$O$1205,MATCH("R"&amp;199,전개결과!$L$6:$L$1205,0)),"")</f>
        <v/>
      </c>
      <c r="C204" s="40" t="str">
        <f>IF($D204="","",IFERROR(INDEX(전개결과!$P$6:$P$1205,MATCH("R"&amp;199,전개결과!$L$6:$L$1205,0)),""))</f>
        <v/>
      </c>
      <c r="D204" s="40" t="str">
        <f>IFERROR(INDEX(전개결과!$M$6:$M$1205,MATCH("R"&amp;199,전개결과!$L$6:$L$1205,0)),"")</f>
        <v/>
      </c>
      <c r="E204" s="40" t="str">
        <f>IF($D204="","",IFERROR(INDEX(품목목록!$B$3:$B$302,MATCH($D204,품목목록!$A$3:$A$302,0)),""))</f>
        <v/>
      </c>
      <c r="F204" s="47" t="str">
        <f>IF($D204="","",IFERROR(INDEX(품목목록!$D$3:$D$302,MATCH($D204,품목목록!$A$3:$A$302,0)),""))</f>
        <v/>
      </c>
      <c r="G204" s="49" t="str">
        <f>IFERROR(INDEX(전개결과!$N$6:$N$1205,MATCH("R"&amp;199,전개결과!$L$6:$L$1205,0)),"")</f>
        <v/>
      </c>
      <c r="H204" s="40" t="str">
        <f>IF($D204="","",IFERROR(INDEX(전개결과!$Q$6:$Q$1205,MATCH("R"&amp;199,전개결과!$L$6:$L$1205,0)),""))</f>
        <v/>
      </c>
      <c r="J204" s="50" t="b">
        <f>IF(발주접수!$D22="",FALSE(),IF(발주접수!$F22="세트",COUNTIF(세트구성!$G$3:$G$302,발주접수!$D22&amp;"|"&amp;9)&gt;0,8=0))</f>
        <v>0</v>
      </c>
      <c r="K204" s="34" t="str">
        <f>IF($J204=FALSE(),"",COUNTIF($J$6:$J204,TRUE()))</f>
        <v/>
      </c>
      <c r="L204" s="34" t="str">
        <f>IF($K204="","","R"&amp;$K204)</f>
        <v/>
      </c>
      <c r="M204" s="34" t="str">
        <f>IF($J204=FALSE(),"",IF(발주접수!$F22="세트",IFERROR(INDEX(세트구성!$C$3:$C$302,MATCH(발주접수!$D22&amp;"|"&amp;9,세트구성!$G$3:$G$302,0)),""),발주접수!$D22))</f>
        <v/>
      </c>
      <c r="N204" s="34" t="str">
        <f>IF($J204=FALSE(),"",IF(발주접수!$F22="세트",발주접수!$G22*IFERROR(INDEX(세트구성!$E$3:$E$302,MATCH(발주접수!$D22&amp;"|"&amp;9,세트구성!$G$3:$G$302,0)),0),발주접수!$G22))</f>
        <v/>
      </c>
      <c r="O204" s="34" t="str">
        <f>IF($J204=FALSE(),"",발주접수!$B22)</f>
        <v/>
      </c>
      <c r="P204" s="34" t="str">
        <f>IF($J204=FALSE(),"",발주접수!$C22)</f>
        <v/>
      </c>
      <c r="Q204" s="34" t="str">
        <f>IF($J204=FALSE(),"",IF(발주접수!$F22="세트",발주접수!$E22&amp;" 전개","직접 발주"))</f>
        <v/>
      </c>
    </row>
    <row r="205" ht="15" customHeight="1" s="30">
      <c r="A205" s="47" t="str">
        <f>IF($D205="","",200)</f>
        <v/>
      </c>
      <c r="B205" s="48" t="str">
        <f>IFERROR(INDEX(전개결과!$O$6:$O$1205,MATCH("R"&amp;200,전개결과!$L$6:$L$1205,0)),"")</f>
        <v/>
      </c>
      <c r="C205" s="40" t="str">
        <f>IF($D205="","",IFERROR(INDEX(전개결과!$P$6:$P$1205,MATCH("R"&amp;200,전개결과!$L$6:$L$1205,0)),""))</f>
        <v/>
      </c>
      <c r="D205" s="40" t="str">
        <f>IFERROR(INDEX(전개결과!$M$6:$M$1205,MATCH("R"&amp;200,전개결과!$L$6:$L$1205,0)),"")</f>
        <v/>
      </c>
      <c r="E205" s="40" t="str">
        <f>IF($D205="","",IFERROR(INDEX(품목목록!$B$3:$B$302,MATCH($D205,품목목록!$A$3:$A$302,0)),""))</f>
        <v/>
      </c>
      <c r="F205" s="47" t="str">
        <f>IF($D205="","",IFERROR(INDEX(품목목록!$D$3:$D$302,MATCH($D205,품목목록!$A$3:$A$302,0)),""))</f>
        <v/>
      </c>
      <c r="G205" s="49" t="str">
        <f>IFERROR(INDEX(전개결과!$N$6:$N$1205,MATCH("R"&amp;200,전개결과!$L$6:$L$1205,0)),"")</f>
        <v/>
      </c>
      <c r="H205" s="40" t="str">
        <f>IF($D205="","",IFERROR(INDEX(전개결과!$Q$6:$Q$1205,MATCH("R"&amp;200,전개결과!$L$6:$L$1205,0)),""))</f>
        <v/>
      </c>
      <c r="J205" s="50" t="b">
        <f>IF(발주접수!$D22="",FALSE(),IF(발주접수!$F22="세트",COUNTIF(세트구성!$G$3:$G$302,발주접수!$D22&amp;"|"&amp;10)&gt;0,9=0))</f>
        <v>0</v>
      </c>
      <c r="K205" s="34" t="str">
        <f>IF($J205=FALSE(),"",COUNTIF($J$6:$J205,TRUE()))</f>
        <v/>
      </c>
      <c r="L205" s="34" t="str">
        <f>IF($K205="","","R"&amp;$K205)</f>
        <v/>
      </c>
      <c r="M205" s="34" t="str">
        <f>IF($J205=FALSE(),"",IF(발주접수!$F22="세트",IFERROR(INDEX(세트구성!$C$3:$C$302,MATCH(발주접수!$D22&amp;"|"&amp;10,세트구성!$G$3:$G$302,0)),""),발주접수!$D22))</f>
        <v/>
      </c>
      <c r="N205" s="34" t="str">
        <f>IF($J205=FALSE(),"",IF(발주접수!$F22="세트",발주접수!$G22*IFERROR(INDEX(세트구성!$E$3:$E$302,MATCH(발주접수!$D22&amp;"|"&amp;10,세트구성!$G$3:$G$302,0)),0),발주접수!$G22))</f>
        <v/>
      </c>
      <c r="O205" s="34" t="str">
        <f>IF($J205=FALSE(),"",발주접수!$B22)</f>
        <v/>
      </c>
      <c r="P205" s="34" t="str">
        <f>IF($J205=FALSE(),"",발주접수!$C22)</f>
        <v/>
      </c>
      <c r="Q205" s="34" t="str">
        <f>IF($J205=FALSE(),"",IF(발주접수!$F22="세트",발주접수!$E22&amp;" 전개","직접 발주"))</f>
        <v/>
      </c>
    </row>
    <row r="206" ht="15" customHeight="1" s="30">
      <c r="A206" s="47" t="str">
        <f>IF($D206="","",201)</f>
        <v/>
      </c>
      <c r="B206" s="48" t="str">
        <f>IFERROR(INDEX(전개결과!$O$6:$O$1205,MATCH("R"&amp;201,전개결과!$L$6:$L$1205,0)),"")</f>
        <v/>
      </c>
      <c r="C206" s="40" t="str">
        <f>IF($D206="","",IFERROR(INDEX(전개결과!$P$6:$P$1205,MATCH("R"&amp;201,전개결과!$L$6:$L$1205,0)),""))</f>
        <v/>
      </c>
      <c r="D206" s="40" t="str">
        <f>IFERROR(INDEX(전개결과!$M$6:$M$1205,MATCH("R"&amp;201,전개결과!$L$6:$L$1205,0)),"")</f>
        <v/>
      </c>
      <c r="E206" s="40" t="str">
        <f>IF($D206="","",IFERROR(INDEX(품목목록!$B$3:$B$302,MATCH($D206,품목목록!$A$3:$A$302,0)),""))</f>
        <v/>
      </c>
      <c r="F206" s="47" t="str">
        <f>IF($D206="","",IFERROR(INDEX(품목목록!$D$3:$D$302,MATCH($D206,품목목록!$A$3:$A$302,0)),""))</f>
        <v/>
      </c>
      <c r="G206" s="49" t="str">
        <f>IFERROR(INDEX(전개결과!$N$6:$N$1205,MATCH("R"&amp;201,전개결과!$L$6:$L$1205,0)),"")</f>
        <v/>
      </c>
      <c r="H206" s="40" t="str">
        <f>IF($D206="","",IFERROR(INDEX(전개결과!$Q$6:$Q$1205,MATCH("R"&amp;201,전개결과!$L$6:$L$1205,0)),""))</f>
        <v/>
      </c>
      <c r="J206" s="50" t="b">
        <f>IF(발주접수!$D23="",FALSE(),IF(발주접수!$F23="세트",COUNTIF(세트구성!$G$3:$G$302,발주접수!$D23&amp;"|"&amp;1)&gt;0,0=0))</f>
        <v>0</v>
      </c>
      <c r="K206" s="34" t="str">
        <f>IF($J206=FALSE(),"",COUNTIF($J$6:$J206,TRUE()))</f>
        <v/>
      </c>
      <c r="L206" s="34" t="str">
        <f>IF($K206="","","R"&amp;$K206)</f>
        <v/>
      </c>
      <c r="M206" s="34" t="str">
        <f>IF($J206=FALSE(),"",IF(발주접수!$F23="세트",IFERROR(INDEX(세트구성!$C$3:$C$302,MATCH(발주접수!$D23&amp;"|"&amp;1,세트구성!$G$3:$G$302,0)),""),발주접수!$D23))</f>
        <v/>
      </c>
      <c r="N206" s="34" t="str">
        <f>IF($J206=FALSE(),"",IF(발주접수!$F23="세트",발주접수!$G23*IFERROR(INDEX(세트구성!$E$3:$E$302,MATCH(발주접수!$D23&amp;"|"&amp;1,세트구성!$G$3:$G$302,0)),0),발주접수!$G23))</f>
        <v/>
      </c>
      <c r="O206" s="34" t="str">
        <f>IF($J206=FALSE(),"",발주접수!$B23)</f>
        <v/>
      </c>
      <c r="P206" s="34" t="str">
        <f>IF($J206=FALSE(),"",발주접수!$C23)</f>
        <v/>
      </c>
      <c r="Q206" s="34" t="str">
        <f>IF($J206=FALSE(),"",IF(발주접수!$F23="세트",발주접수!$E23&amp;" 전개","직접 발주"))</f>
        <v/>
      </c>
    </row>
    <row r="207" ht="15" customHeight="1" s="30">
      <c r="A207" s="47" t="str">
        <f>IF($D207="","",202)</f>
        <v/>
      </c>
      <c r="B207" s="48" t="str">
        <f>IFERROR(INDEX(전개결과!$O$6:$O$1205,MATCH("R"&amp;202,전개결과!$L$6:$L$1205,0)),"")</f>
        <v/>
      </c>
      <c r="C207" s="40" t="str">
        <f>IF($D207="","",IFERROR(INDEX(전개결과!$P$6:$P$1205,MATCH("R"&amp;202,전개결과!$L$6:$L$1205,0)),""))</f>
        <v/>
      </c>
      <c r="D207" s="40" t="str">
        <f>IFERROR(INDEX(전개결과!$M$6:$M$1205,MATCH("R"&amp;202,전개결과!$L$6:$L$1205,0)),"")</f>
        <v/>
      </c>
      <c r="E207" s="40" t="str">
        <f>IF($D207="","",IFERROR(INDEX(품목목록!$B$3:$B$302,MATCH($D207,품목목록!$A$3:$A$302,0)),""))</f>
        <v/>
      </c>
      <c r="F207" s="47" t="str">
        <f>IF($D207="","",IFERROR(INDEX(품목목록!$D$3:$D$302,MATCH($D207,품목목록!$A$3:$A$302,0)),""))</f>
        <v/>
      </c>
      <c r="G207" s="49" t="str">
        <f>IFERROR(INDEX(전개결과!$N$6:$N$1205,MATCH("R"&amp;202,전개결과!$L$6:$L$1205,0)),"")</f>
        <v/>
      </c>
      <c r="H207" s="40" t="str">
        <f>IF($D207="","",IFERROR(INDEX(전개결과!$Q$6:$Q$1205,MATCH("R"&amp;202,전개결과!$L$6:$L$1205,0)),""))</f>
        <v/>
      </c>
      <c r="J207" s="50" t="b">
        <f>IF(발주접수!$D23="",FALSE(),IF(발주접수!$F23="세트",COUNTIF(세트구성!$G$3:$G$302,발주접수!$D23&amp;"|"&amp;2)&gt;0,1=0))</f>
        <v>0</v>
      </c>
      <c r="K207" s="34" t="str">
        <f>IF($J207=FALSE(),"",COUNTIF($J$6:$J207,TRUE()))</f>
        <v/>
      </c>
      <c r="L207" s="34" t="str">
        <f>IF($K207="","","R"&amp;$K207)</f>
        <v/>
      </c>
      <c r="M207" s="34" t="str">
        <f>IF($J207=FALSE(),"",IF(발주접수!$F23="세트",IFERROR(INDEX(세트구성!$C$3:$C$302,MATCH(발주접수!$D23&amp;"|"&amp;2,세트구성!$G$3:$G$302,0)),""),발주접수!$D23))</f>
        <v/>
      </c>
      <c r="N207" s="34" t="str">
        <f>IF($J207=FALSE(),"",IF(발주접수!$F23="세트",발주접수!$G23*IFERROR(INDEX(세트구성!$E$3:$E$302,MATCH(발주접수!$D23&amp;"|"&amp;2,세트구성!$G$3:$G$302,0)),0),발주접수!$G23))</f>
        <v/>
      </c>
      <c r="O207" s="34" t="str">
        <f>IF($J207=FALSE(),"",발주접수!$B23)</f>
        <v/>
      </c>
      <c r="P207" s="34" t="str">
        <f>IF($J207=FALSE(),"",발주접수!$C23)</f>
        <v/>
      </c>
      <c r="Q207" s="34" t="str">
        <f>IF($J207=FALSE(),"",IF(발주접수!$F23="세트",발주접수!$E23&amp;" 전개","직접 발주"))</f>
        <v/>
      </c>
    </row>
    <row r="208" ht="15" customHeight="1" s="30">
      <c r="A208" s="47" t="str">
        <f>IF($D208="","",203)</f>
        <v/>
      </c>
      <c r="B208" s="48" t="str">
        <f>IFERROR(INDEX(전개결과!$O$6:$O$1205,MATCH("R"&amp;203,전개결과!$L$6:$L$1205,0)),"")</f>
        <v/>
      </c>
      <c r="C208" s="40" t="str">
        <f>IF($D208="","",IFERROR(INDEX(전개결과!$P$6:$P$1205,MATCH("R"&amp;203,전개결과!$L$6:$L$1205,0)),""))</f>
        <v/>
      </c>
      <c r="D208" s="40" t="str">
        <f>IFERROR(INDEX(전개결과!$M$6:$M$1205,MATCH("R"&amp;203,전개결과!$L$6:$L$1205,0)),"")</f>
        <v/>
      </c>
      <c r="E208" s="40" t="str">
        <f>IF($D208="","",IFERROR(INDEX(품목목록!$B$3:$B$302,MATCH($D208,품목목록!$A$3:$A$302,0)),""))</f>
        <v/>
      </c>
      <c r="F208" s="47" t="str">
        <f>IF($D208="","",IFERROR(INDEX(품목목록!$D$3:$D$302,MATCH($D208,품목목록!$A$3:$A$302,0)),""))</f>
        <v/>
      </c>
      <c r="G208" s="49" t="str">
        <f>IFERROR(INDEX(전개결과!$N$6:$N$1205,MATCH("R"&amp;203,전개결과!$L$6:$L$1205,0)),"")</f>
        <v/>
      </c>
      <c r="H208" s="40" t="str">
        <f>IF($D208="","",IFERROR(INDEX(전개결과!$Q$6:$Q$1205,MATCH("R"&amp;203,전개결과!$L$6:$L$1205,0)),""))</f>
        <v/>
      </c>
      <c r="J208" s="50" t="b">
        <f>IF(발주접수!$D23="",FALSE(),IF(발주접수!$F23="세트",COUNTIF(세트구성!$G$3:$G$302,발주접수!$D23&amp;"|"&amp;3)&gt;0,2=0))</f>
        <v>0</v>
      </c>
      <c r="K208" s="34" t="str">
        <f>IF($J208=FALSE(),"",COUNTIF($J$6:$J208,TRUE()))</f>
        <v/>
      </c>
      <c r="L208" s="34" t="str">
        <f>IF($K208="","","R"&amp;$K208)</f>
        <v/>
      </c>
      <c r="M208" s="34" t="str">
        <f>IF($J208=FALSE(),"",IF(발주접수!$F23="세트",IFERROR(INDEX(세트구성!$C$3:$C$302,MATCH(발주접수!$D23&amp;"|"&amp;3,세트구성!$G$3:$G$302,0)),""),발주접수!$D23))</f>
        <v/>
      </c>
      <c r="N208" s="34" t="str">
        <f>IF($J208=FALSE(),"",IF(발주접수!$F23="세트",발주접수!$G23*IFERROR(INDEX(세트구성!$E$3:$E$302,MATCH(발주접수!$D23&amp;"|"&amp;3,세트구성!$G$3:$G$302,0)),0),발주접수!$G23))</f>
        <v/>
      </c>
      <c r="O208" s="34" t="str">
        <f>IF($J208=FALSE(),"",발주접수!$B23)</f>
        <v/>
      </c>
      <c r="P208" s="34" t="str">
        <f>IF($J208=FALSE(),"",발주접수!$C23)</f>
        <v/>
      </c>
      <c r="Q208" s="34" t="str">
        <f>IF($J208=FALSE(),"",IF(발주접수!$F23="세트",발주접수!$E23&amp;" 전개","직접 발주"))</f>
        <v/>
      </c>
    </row>
    <row r="209" ht="15" customHeight="1" s="30">
      <c r="A209" s="47" t="str">
        <f>IF($D209="","",204)</f>
        <v/>
      </c>
      <c r="B209" s="48" t="str">
        <f>IFERROR(INDEX(전개결과!$O$6:$O$1205,MATCH("R"&amp;204,전개결과!$L$6:$L$1205,0)),"")</f>
        <v/>
      </c>
      <c r="C209" s="40" t="str">
        <f>IF($D209="","",IFERROR(INDEX(전개결과!$P$6:$P$1205,MATCH("R"&amp;204,전개결과!$L$6:$L$1205,0)),""))</f>
        <v/>
      </c>
      <c r="D209" s="40" t="str">
        <f>IFERROR(INDEX(전개결과!$M$6:$M$1205,MATCH("R"&amp;204,전개결과!$L$6:$L$1205,0)),"")</f>
        <v/>
      </c>
      <c r="E209" s="40" t="str">
        <f>IF($D209="","",IFERROR(INDEX(품목목록!$B$3:$B$302,MATCH($D209,품목목록!$A$3:$A$302,0)),""))</f>
        <v/>
      </c>
      <c r="F209" s="47" t="str">
        <f>IF($D209="","",IFERROR(INDEX(품목목록!$D$3:$D$302,MATCH($D209,품목목록!$A$3:$A$302,0)),""))</f>
        <v/>
      </c>
      <c r="G209" s="49" t="str">
        <f>IFERROR(INDEX(전개결과!$N$6:$N$1205,MATCH("R"&amp;204,전개결과!$L$6:$L$1205,0)),"")</f>
        <v/>
      </c>
      <c r="H209" s="40" t="str">
        <f>IF($D209="","",IFERROR(INDEX(전개결과!$Q$6:$Q$1205,MATCH("R"&amp;204,전개결과!$L$6:$L$1205,0)),""))</f>
        <v/>
      </c>
      <c r="J209" s="50" t="b">
        <f>IF(발주접수!$D23="",FALSE(),IF(발주접수!$F23="세트",COUNTIF(세트구성!$G$3:$G$302,발주접수!$D23&amp;"|"&amp;4)&gt;0,3=0))</f>
        <v>0</v>
      </c>
      <c r="K209" s="34" t="str">
        <f>IF($J209=FALSE(),"",COUNTIF($J$6:$J209,TRUE()))</f>
        <v/>
      </c>
      <c r="L209" s="34" t="str">
        <f>IF($K209="","","R"&amp;$K209)</f>
        <v/>
      </c>
      <c r="M209" s="34" t="str">
        <f>IF($J209=FALSE(),"",IF(발주접수!$F23="세트",IFERROR(INDEX(세트구성!$C$3:$C$302,MATCH(발주접수!$D23&amp;"|"&amp;4,세트구성!$G$3:$G$302,0)),""),발주접수!$D23))</f>
        <v/>
      </c>
      <c r="N209" s="34" t="str">
        <f>IF($J209=FALSE(),"",IF(발주접수!$F23="세트",발주접수!$G23*IFERROR(INDEX(세트구성!$E$3:$E$302,MATCH(발주접수!$D23&amp;"|"&amp;4,세트구성!$G$3:$G$302,0)),0),발주접수!$G23))</f>
        <v/>
      </c>
      <c r="O209" s="34" t="str">
        <f>IF($J209=FALSE(),"",발주접수!$B23)</f>
        <v/>
      </c>
      <c r="P209" s="34" t="str">
        <f>IF($J209=FALSE(),"",발주접수!$C23)</f>
        <v/>
      </c>
      <c r="Q209" s="34" t="str">
        <f>IF($J209=FALSE(),"",IF(발주접수!$F23="세트",발주접수!$E23&amp;" 전개","직접 발주"))</f>
        <v/>
      </c>
    </row>
    <row r="210" ht="15" customHeight="1" s="30">
      <c r="A210" s="47" t="str">
        <f>IF($D210="","",205)</f>
        <v/>
      </c>
      <c r="B210" s="48" t="str">
        <f>IFERROR(INDEX(전개결과!$O$6:$O$1205,MATCH("R"&amp;205,전개결과!$L$6:$L$1205,0)),"")</f>
        <v/>
      </c>
      <c r="C210" s="40" t="str">
        <f>IF($D210="","",IFERROR(INDEX(전개결과!$P$6:$P$1205,MATCH("R"&amp;205,전개결과!$L$6:$L$1205,0)),""))</f>
        <v/>
      </c>
      <c r="D210" s="40" t="str">
        <f>IFERROR(INDEX(전개결과!$M$6:$M$1205,MATCH("R"&amp;205,전개결과!$L$6:$L$1205,0)),"")</f>
        <v/>
      </c>
      <c r="E210" s="40" t="str">
        <f>IF($D210="","",IFERROR(INDEX(품목목록!$B$3:$B$302,MATCH($D210,품목목록!$A$3:$A$302,0)),""))</f>
        <v/>
      </c>
      <c r="F210" s="47" t="str">
        <f>IF($D210="","",IFERROR(INDEX(품목목록!$D$3:$D$302,MATCH($D210,품목목록!$A$3:$A$302,0)),""))</f>
        <v/>
      </c>
      <c r="G210" s="49" t="str">
        <f>IFERROR(INDEX(전개결과!$N$6:$N$1205,MATCH("R"&amp;205,전개결과!$L$6:$L$1205,0)),"")</f>
        <v/>
      </c>
      <c r="H210" s="40" t="str">
        <f>IF($D210="","",IFERROR(INDEX(전개결과!$Q$6:$Q$1205,MATCH("R"&amp;205,전개결과!$L$6:$L$1205,0)),""))</f>
        <v/>
      </c>
      <c r="J210" s="50" t="b">
        <f>IF(발주접수!$D23="",FALSE(),IF(발주접수!$F23="세트",COUNTIF(세트구성!$G$3:$G$302,발주접수!$D23&amp;"|"&amp;5)&gt;0,4=0))</f>
        <v>0</v>
      </c>
      <c r="K210" s="34" t="str">
        <f>IF($J210=FALSE(),"",COUNTIF($J$6:$J210,TRUE()))</f>
        <v/>
      </c>
      <c r="L210" s="34" t="str">
        <f>IF($K210="","","R"&amp;$K210)</f>
        <v/>
      </c>
      <c r="M210" s="34" t="str">
        <f>IF($J210=FALSE(),"",IF(발주접수!$F23="세트",IFERROR(INDEX(세트구성!$C$3:$C$302,MATCH(발주접수!$D23&amp;"|"&amp;5,세트구성!$G$3:$G$302,0)),""),발주접수!$D23))</f>
        <v/>
      </c>
      <c r="N210" s="34" t="str">
        <f>IF($J210=FALSE(),"",IF(발주접수!$F23="세트",발주접수!$G23*IFERROR(INDEX(세트구성!$E$3:$E$302,MATCH(발주접수!$D23&amp;"|"&amp;5,세트구성!$G$3:$G$302,0)),0),발주접수!$G23))</f>
        <v/>
      </c>
      <c r="O210" s="34" t="str">
        <f>IF($J210=FALSE(),"",발주접수!$B23)</f>
        <v/>
      </c>
      <c r="P210" s="34" t="str">
        <f>IF($J210=FALSE(),"",발주접수!$C23)</f>
        <v/>
      </c>
      <c r="Q210" s="34" t="str">
        <f>IF($J210=FALSE(),"",IF(발주접수!$F23="세트",발주접수!$E23&amp;" 전개","직접 발주"))</f>
        <v/>
      </c>
    </row>
    <row r="211" ht="15" customHeight="1" s="30">
      <c r="A211" s="47" t="str">
        <f>IF($D211="","",206)</f>
        <v/>
      </c>
      <c r="B211" s="48" t="str">
        <f>IFERROR(INDEX(전개결과!$O$6:$O$1205,MATCH("R"&amp;206,전개결과!$L$6:$L$1205,0)),"")</f>
        <v/>
      </c>
      <c r="C211" s="40" t="str">
        <f>IF($D211="","",IFERROR(INDEX(전개결과!$P$6:$P$1205,MATCH("R"&amp;206,전개결과!$L$6:$L$1205,0)),""))</f>
        <v/>
      </c>
      <c r="D211" s="40" t="str">
        <f>IFERROR(INDEX(전개결과!$M$6:$M$1205,MATCH("R"&amp;206,전개결과!$L$6:$L$1205,0)),"")</f>
        <v/>
      </c>
      <c r="E211" s="40" t="str">
        <f>IF($D211="","",IFERROR(INDEX(품목목록!$B$3:$B$302,MATCH($D211,품목목록!$A$3:$A$302,0)),""))</f>
        <v/>
      </c>
      <c r="F211" s="47" t="str">
        <f>IF($D211="","",IFERROR(INDEX(품목목록!$D$3:$D$302,MATCH($D211,품목목록!$A$3:$A$302,0)),""))</f>
        <v/>
      </c>
      <c r="G211" s="49" t="str">
        <f>IFERROR(INDEX(전개결과!$N$6:$N$1205,MATCH("R"&amp;206,전개결과!$L$6:$L$1205,0)),"")</f>
        <v/>
      </c>
      <c r="H211" s="40" t="str">
        <f>IF($D211="","",IFERROR(INDEX(전개결과!$Q$6:$Q$1205,MATCH("R"&amp;206,전개결과!$L$6:$L$1205,0)),""))</f>
        <v/>
      </c>
      <c r="J211" s="50" t="b">
        <f>IF(발주접수!$D23="",FALSE(),IF(발주접수!$F23="세트",COUNTIF(세트구성!$G$3:$G$302,발주접수!$D23&amp;"|"&amp;6)&gt;0,5=0))</f>
        <v>0</v>
      </c>
      <c r="K211" s="34" t="str">
        <f>IF($J211=FALSE(),"",COUNTIF($J$6:$J211,TRUE()))</f>
        <v/>
      </c>
      <c r="L211" s="34" t="str">
        <f>IF($K211="","","R"&amp;$K211)</f>
        <v/>
      </c>
      <c r="M211" s="34" t="str">
        <f>IF($J211=FALSE(),"",IF(발주접수!$F23="세트",IFERROR(INDEX(세트구성!$C$3:$C$302,MATCH(발주접수!$D23&amp;"|"&amp;6,세트구성!$G$3:$G$302,0)),""),발주접수!$D23))</f>
        <v/>
      </c>
      <c r="N211" s="34" t="str">
        <f>IF($J211=FALSE(),"",IF(발주접수!$F23="세트",발주접수!$G23*IFERROR(INDEX(세트구성!$E$3:$E$302,MATCH(발주접수!$D23&amp;"|"&amp;6,세트구성!$G$3:$G$302,0)),0),발주접수!$G23))</f>
        <v/>
      </c>
      <c r="O211" s="34" t="str">
        <f>IF($J211=FALSE(),"",발주접수!$B23)</f>
        <v/>
      </c>
      <c r="P211" s="34" t="str">
        <f>IF($J211=FALSE(),"",발주접수!$C23)</f>
        <v/>
      </c>
      <c r="Q211" s="34" t="str">
        <f>IF($J211=FALSE(),"",IF(발주접수!$F23="세트",발주접수!$E23&amp;" 전개","직접 발주"))</f>
        <v/>
      </c>
    </row>
    <row r="212" ht="15" customHeight="1" s="30">
      <c r="A212" s="47" t="str">
        <f>IF($D212="","",207)</f>
        <v/>
      </c>
      <c r="B212" s="48" t="str">
        <f>IFERROR(INDEX(전개결과!$O$6:$O$1205,MATCH("R"&amp;207,전개결과!$L$6:$L$1205,0)),"")</f>
        <v/>
      </c>
      <c r="C212" s="40" t="str">
        <f>IF($D212="","",IFERROR(INDEX(전개결과!$P$6:$P$1205,MATCH("R"&amp;207,전개결과!$L$6:$L$1205,0)),""))</f>
        <v/>
      </c>
      <c r="D212" s="40" t="str">
        <f>IFERROR(INDEX(전개결과!$M$6:$M$1205,MATCH("R"&amp;207,전개결과!$L$6:$L$1205,0)),"")</f>
        <v/>
      </c>
      <c r="E212" s="40" t="str">
        <f>IF($D212="","",IFERROR(INDEX(품목목록!$B$3:$B$302,MATCH($D212,품목목록!$A$3:$A$302,0)),""))</f>
        <v/>
      </c>
      <c r="F212" s="47" t="str">
        <f>IF($D212="","",IFERROR(INDEX(품목목록!$D$3:$D$302,MATCH($D212,품목목록!$A$3:$A$302,0)),""))</f>
        <v/>
      </c>
      <c r="G212" s="49" t="str">
        <f>IFERROR(INDEX(전개결과!$N$6:$N$1205,MATCH("R"&amp;207,전개결과!$L$6:$L$1205,0)),"")</f>
        <v/>
      </c>
      <c r="H212" s="40" t="str">
        <f>IF($D212="","",IFERROR(INDEX(전개결과!$Q$6:$Q$1205,MATCH("R"&amp;207,전개결과!$L$6:$L$1205,0)),""))</f>
        <v/>
      </c>
      <c r="J212" s="50" t="b">
        <f>IF(발주접수!$D23="",FALSE(),IF(발주접수!$F23="세트",COUNTIF(세트구성!$G$3:$G$302,발주접수!$D23&amp;"|"&amp;7)&gt;0,6=0))</f>
        <v>0</v>
      </c>
      <c r="K212" s="34" t="str">
        <f>IF($J212=FALSE(),"",COUNTIF($J$6:$J212,TRUE()))</f>
        <v/>
      </c>
      <c r="L212" s="34" t="str">
        <f>IF($K212="","","R"&amp;$K212)</f>
        <v/>
      </c>
      <c r="M212" s="34" t="str">
        <f>IF($J212=FALSE(),"",IF(발주접수!$F23="세트",IFERROR(INDEX(세트구성!$C$3:$C$302,MATCH(발주접수!$D23&amp;"|"&amp;7,세트구성!$G$3:$G$302,0)),""),발주접수!$D23))</f>
        <v/>
      </c>
      <c r="N212" s="34" t="str">
        <f>IF($J212=FALSE(),"",IF(발주접수!$F23="세트",발주접수!$G23*IFERROR(INDEX(세트구성!$E$3:$E$302,MATCH(발주접수!$D23&amp;"|"&amp;7,세트구성!$G$3:$G$302,0)),0),발주접수!$G23))</f>
        <v/>
      </c>
      <c r="O212" s="34" t="str">
        <f>IF($J212=FALSE(),"",발주접수!$B23)</f>
        <v/>
      </c>
      <c r="P212" s="34" t="str">
        <f>IF($J212=FALSE(),"",발주접수!$C23)</f>
        <v/>
      </c>
      <c r="Q212" s="34" t="str">
        <f>IF($J212=FALSE(),"",IF(발주접수!$F23="세트",발주접수!$E23&amp;" 전개","직접 발주"))</f>
        <v/>
      </c>
    </row>
    <row r="213" ht="15" customHeight="1" s="30">
      <c r="A213" s="47" t="str">
        <f>IF($D213="","",208)</f>
        <v/>
      </c>
      <c r="B213" s="48" t="str">
        <f>IFERROR(INDEX(전개결과!$O$6:$O$1205,MATCH("R"&amp;208,전개결과!$L$6:$L$1205,0)),"")</f>
        <v/>
      </c>
      <c r="C213" s="40" t="str">
        <f>IF($D213="","",IFERROR(INDEX(전개결과!$P$6:$P$1205,MATCH("R"&amp;208,전개결과!$L$6:$L$1205,0)),""))</f>
        <v/>
      </c>
      <c r="D213" s="40" t="str">
        <f>IFERROR(INDEX(전개결과!$M$6:$M$1205,MATCH("R"&amp;208,전개결과!$L$6:$L$1205,0)),"")</f>
        <v/>
      </c>
      <c r="E213" s="40" t="str">
        <f>IF($D213="","",IFERROR(INDEX(품목목록!$B$3:$B$302,MATCH($D213,품목목록!$A$3:$A$302,0)),""))</f>
        <v/>
      </c>
      <c r="F213" s="47" t="str">
        <f>IF($D213="","",IFERROR(INDEX(품목목록!$D$3:$D$302,MATCH($D213,품목목록!$A$3:$A$302,0)),""))</f>
        <v/>
      </c>
      <c r="G213" s="49" t="str">
        <f>IFERROR(INDEX(전개결과!$N$6:$N$1205,MATCH("R"&amp;208,전개결과!$L$6:$L$1205,0)),"")</f>
        <v/>
      </c>
      <c r="H213" s="40" t="str">
        <f>IF($D213="","",IFERROR(INDEX(전개결과!$Q$6:$Q$1205,MATCH("R"&amp;208,전개결과!$L$6:$L$1205,0)),""))</f>
        <v/>
      </c>
      <c r="J213" s="50" t="b">
        <f>IF(발주접수!$D23="",FALSE(),IF(발주접수!$F23="세트",COUNTIF(세트구성!$G$3:$G$302,발주접수!$D23&amp;"|"&amp;8)&gt;0,7=0))</f>
        <v>0</v>
      </c>
      <c r="K213" s="34" t="str">
        <f>IF($J213=FALSE(),"",COUNTIF($J$6:$J213,TRUE()))</f>
        <v/>
      </c>
      <c r="L213" s="34" t="str">
        <f>IF($K213="","","R"&amp;$K213)</f>
        <v/>
      </c>
      <c r="M213" s="34" t="str">
        <f>IF($J213=FALSE(),"",IF(발주접수!$F23="세트",IFERROR(INDEX(세트구성!$C$3:$C$302,MATCH(발주접수!$D23&amp;"|"&amp;8,세트구성!$G$3:$G$302,0)),""),발주접수!$D23))</f>
        <v/>
      </c>
      <c r="N213" s="34" t="str">
        <f>IF($J213=FALSE(),"",IF(발주접수!$F23="세트",발주접수!$G23*IFERROR(INDEX(세트구성!$E$3:$E$302,MATCH(발주접수!$D23&amp;"|"&amp;8,세트구성!$G$3:$G$302,0)),0),발주접수!$G23))</f>
        <v/>
      </c>
      <c r="O213" s="34" t="str">
        <f>IF($J213=FALSE(),"",발주접수!$B23)</f>
        <v/>
      </c>
      <c r="P213" s="34" t="str">
        <f>IF($J213=FALSE(),"",발주접수!$C23)</f>
        <v/>
      </c>
      <c r="Q213" s="34" t="str">
        <f>IF($J213=FALSE(),"",IF(발주접수!$F23="세트",발주접수!$E23&amp;" 전개","직접 발주"))</f>
        <v/>
      </c>
    </row>
    <row r="214" ht="15" customHeight="1" s="30">
      <c r="A214" s="47" t="str">
        <f>IF($D214="","",209)</f>
        <v/>
      </c>
      <c r="B214" s="48" t="str">
        <f>IFERROR(INDEX(전개결과!$O$6:$O$1205,MATCH("R"&amp;209,전개결과!$L$6:$L$1205,0)),"")</f>
        <v/>
      </c>
      <c r="C214" s="40" t="str">
        <f>IF($D214="","",IFERROR(INDEX(전개결과!$P$6:$P$1205,MATCH("R"&amp;209,전개결과!$L$6:$L$1205,0)),""))</f>
        <v/>
      </c>
      <c r="D214" s="40" t="str">
        <f>IFERROR(INDEX(전개결과!$M$6:$M$1205,MATCH("R"&amp;209,전개결과!$L$6:$L$1205,0)),"")</f>
        <v/>
      </c>
      <c r="E214" s="40" t="str">
        <f>IF($D214="","",IFERROR(INDEX(품목목록!$B$3:$B$302,MATCH($D214,품목목록!$A$3:$A$302,0)),""))</f>
        <v/>
      </c>
      <c r="F214" s="47" t="str">
        <f>IF($D214="","",IFERROR(INDEX(품목목록!$D$3:$D$302,MATCH($D214,품목목록!$A$3:$A$302,0)),""))</f>
        <v/>
      </c>
      <c r="G214" s="49" t="str">
        <f>IFERROR(INDEX(전개결과!$N$6:$N$1205,MATCH("R"&amp;209,전개결과!$L$6:$L$1205,0)),"")</f>
        <v/>
      </c>
      <c r="H214" s="40" t="str">
        <f>IF($D214="","",IFERROR(INDEX(전개결과!$Q$6:$Q$1205,MATCH("R"&amp;209,전개결과!$L$6:$L$1205,0)),""))</f>
        <v/>
      </c>
      <c r="J214" s="50" t="b">
        <f>IF(발주접수!$D23="",FALSE(),IF(발주접수!$F23="세트",COUNTIF(세트구성!$G$3:$G$302,발주접수!$D23&amp;"|"&amp;9)&gt;0,8=0))</f>
        <v>0</v>
      </c>
      <c r="K214" s="34" t="str">
        <f>IF($J214=FALSE(),"",COUNTIF($J$6:$J214,TRUE()))</f>
        <v/>
      </c>
      <c r="L214" s="34" t="str">
        <f>IF($K214="","","R"&amp;$K214)</f>
        <v/>
      </c>
      <c r="M214" s="34" t="str">
        <f>IF($J214=FALSE(),"",IF(발주접수!$F23="세트",IFERROR(INDEX(세트구성!$C$3:$C$302,MATCH(발주접수!$D23&amp;"|"&amp;9,세트구성!$G$3:$G$302,0)),""),발주접수!$D23))</f>
        <v/>
      </c>
      <c r="N214" s="34" t="str">
        <f>IF($J214=FALSE(),"",IF(발주접수!$F23="세트",발주접수!$G23*IFERROR(INDEX(세트구성!$E$3:$E$302,MATCH(발주접수!$D23&amp;"|"&amp;9,세트구성!$G$3:$G$302,0)),0),발주접수!$G23))</f>
        <v/>
      </c>
      <c r="O214" s="34" t="str">
        <f>IF($J214=FALSE(),"",발주접수!$B23)</f>
        <v/>
      </c>
      <c r="P214" s="34" t="str">
        <f>IF($J214=FALSE(),"",발주접수!$C23)</f>
        <v/>
      </c>
      <c r="Q214" s="34" t="str">
        <f>IF($J214=FALSE(),"",IF(발주접수!$F23="세트",발주접수!$E23&amp;" 전개","직접 발주"))</f>
        <v/>
      </c>
    </row>
    <row r="215" ht="15" customHeight="1" s="30">
      <c r="A215" s="47" t="str">
        <f>IF($D215="","",210)</f>
        <v/>
      </c>
      <c r="B215" s="48" t="str">
        <f>IFERROR(INDEX(전개결과!$O$6:$O$1205,MATCH("R"&amp;210,전개결과!$L$6:$L$1205,0)),"")</f>
        <v/>
      </c>
      <c r="C215" s="40" t="str">
        <f>IF($D215="","",IFERROR(INDEX(전개결과!$P$6:$P$1205,MATCH("R"&amp;210,전개결과!$L$6:$L$1205,0)),""))</f>
        <v/>
      </c>
      <c r="D215" s="40" t="str">
        <f>IFERROR(INDEX(전개결과!$M$6:$M$1205,MATCH("R"&amp;210,전개결과!$L$6:$L$1205,0)),"")</f>
        <v/>
      </c>
      <c r="E215" s="40" t="str">
        <f>IF($D215="","",IFERROR(INDEX(품목목록!$B$3:$B$302,MATCH($D215,품목목록!$A$3:$A$302,0)),""))</f>
        <v/>
      </c>
      <c r="F215" s="47" t="str">
        <f>IF($D215="","",IFERROR(INDEX(품목목록!$D$3:$D$302,MATCH($D215,품목목록!$A$3:$A$302,0)),""))</f>
        <v/>
      </c>
      <c r="G215" s="49" t="str">
        <f>IFERROR(INDEX(전개결과!$N$6:$N$1205,MATCH("R"&amp;210,전개결과!$L$6:$L$1205,0)),"")</f>
        <v/>
      </c>
      <c r="H215" s="40" t="str">
        <f>IF($D215="","",IFERROR(INDEX(전개결과!$Q$6:$Q$1205,MATCH("R"&amp;210,전개결과!$L$6:$L$1205,0)),""))</f>
        <v/>
      </c>
      <c r="J215" s="50" t="b">
        <f>IF(발주접수!$D23="",FALSE(),IF(발주접수!$F23="세트",COUNTIF(세트구성!$G$3:$G$302,발주접수!$D23&amp;"|"&amp;10)&gt;0,9=0))</f>
        <v>0</v>
      </c>
      <c r="K215" s="34" t="str">
        <f>IF($J215=FALSE(),"",COUNTIF($J$6:$J215,TRUE()))</f>
        <v/>
      </c>
      <c r="L215" s="34" t="str">
        <f>IF($K215="","","R"&amp;$K215)</f>
        <v/>
      </c>
      <c r="M215" s="34" t="str">
        <f>IF($J215=FALSE(),"",IF(발주접수!$F23="세트",IFERROR(INDEX(세트구성!$C$3:$C$302,MATCH(발주접수!$D23&amp;"|"&amp;10,세트구성!$G$3:$G$302,0)),""),발주접수!$D23))</f>
        <v/>
      </c>
      <c r="N215" s="34" t="str">
        <f>IF($J215=FALSE(),"",IF(발주접수!$F23="세트",발주접수!$G23*IFERROR(INDEX(세트구성!$E$3:$E$302,MATCH(발주접수!$D23&amp;"|"&amp;10,세트구성!$G$3:$G$302,0)),0),발주접수!$G23))</f>
        <v/>
      </c>
      <c r="O215" s="34" t="str">
        <f>IF($J215=FALSE(),"",발주접수!$B23)</f>
        <v/>
      </c>
      <c r="P215" s="34" t="str">
        <f>IF($J215=FALSE(),"",발주접수!$C23)</f>
        <v/>
      </c>
      <c r="Q215" s="34" t="str">
        <f>IF($J215=FALSE(),"",IF(발주접수!$F23="세트",발주접수!$E23&amp;" 전개","직접 발주"))</f>
        <v/>
      </c>
    </row>
    <row r="216" ht="15" customHeight="1" s="30">
      <c r="A216" s="47" t="str">
        <f>IF($D216="","",211)</f>
        <v/>
      </c>
      <c r="B216" s="48" t="str">
        <f>IFERROR(INDEX(전개결과!$O$6:$O$1205,MATCH("R"&amp;211,전개결과!$L$6:$L$1205,0)),"")</f>
        <v/>
      </c>
      <c r="C216" s="40" t="str">
        <f>IF($D216="","",IFERROR(INDEX(전개결과!$P$6:$P$1205,MATCH("R"&amp;211,전개결과!$L$6:$L$1205,0)),""))</f>
        <v/>
      </c>
      <c r="D216" s="40" t="str">
        <f>IFERROR(INDEX(전개결과!$M$6:$M$1205,MATCH("R"&amp;211,전개결과!$L$6:$L$1205,0)),"")</f>
        <v/>
      </c>
      <c r="E216" s="40" t="str">
        <f>IF($D216="","",IFERROR(INDEX(품목목록!$B$3:$B$302,MATCH($D216,품목목록!$A$3:$A$302,0)),""))</f>
        <v/>
      </c>
      <c r="F216" s="47" t="str">
        <f>IF($D216="","",IFERROR(INDEX(품목목록!$D$3:$D$302,MATCH($D216,품목목록!$A$3:$A$302,0)),""))</f>
        <v/>
      </c>
      <c r="G216" s="49" t="str">
        <f>IFERROR(INDEX(전개결과!$N$6:$N$1205,MATCH("R"&amp;211,전개결과!$L$6:$L$1205,0)),"")</f>
        <v/>
      </c>
      <c r="H216" s="40" t="str">
        <f>IF($D216="","",IFERROR(INDEX(전개결과!$Q$6:$Q$1205,MATCH("R"&amp;211,전개결과!$L$6:$L$1205,0)),""))</f>
        <v/>
      </c>
      <c r="J216" s="50" t="b">
        <f>IF(발주접수!$D24="",FALSE(),IF(발주접수!$F24="세트",COUNTIF(세트구성!$G$3:$G$302,발주접수!$D24&amp;"|"&amp;1)&gt;0,0=0))</f>
        <v>0</v>
      </c>
      <c r="K216" s="34" t="str">
        <f>IF($J216=FALSE(),"",COUNTIF($J$6:$J216,TRUE()))</f>
        <v/>
      </c>
      <c r="L216" s="34" t="str">
        <f>IF($K216="","","R"&amp;$K216)</f>
        <v/>
      </c>
      <c r="M216" s="34" t="str">
        <f>IF($J216=FALSE(),"",IF(발주접수!$F24="세트",IFERROR(INDEX(세트구성!$C$3:$C$302,MATCH(발주접수!$D24&amp;"|"&amp;1,세트구성!$G$3:$G$302,0)),""),발주접수!$D24))</f>
        <v/>
      </c>
      <c r="N216" s="34" t="str">
        <f>IF($J216=FALSE(),"",IF(발주접수!$F24="세트",발주접수!$G24*IFERROR(INDEX(세트구성!$E$3:$E$302,MATCH(발주접수!$D24&amp;"|"&amp;1,세트구성!$G$3:$G$302,0)),0),발주접수!$G24))</f>
        <v/>
      </c>
      <c r="O216" s="34" t="str">
        <f>IF($J216=FALSE(),"",발주접수!$B24)</f>
        <v/>
      </c>
      <c r="P216" s="34" t="str">
        <f>IF($J216=FALSE(),"",발주접수!$C24)</f>
        <v/>
      </c>
      <c r="Q216" s="34" t="str">
        <f>IF($J216=FALSE(),"",IF(발주접수!$F24="세트",발주접수!$E24&amp;" 전개","직접 발주"))</f>
        <v/>
      </c>
    </row>
    <row r="217" ht="15" customHeight="1" s="30">
      <c r="A217" s="47" t="str">
        <f>IF($D217="","",212)</f>
        <v/>
      </c>
      <c r="B217" s="48" t="str">
        <f>IFERROR(INDEX(전개결과!$O$6:$O$1205,MATCH("R"&amp;212,전개결과!$L$6:$L$1205,0)),"")</f>
        <v/>
      </c>
      <c r="C217" s="40" t="str">
        <f>IF($D217="","",IFERROR(INDEX(전개결과!$P$6:$P$1205,MATCH("R"&amp;212,전개결과!$L$6:$L$1205,0)),""))</f>
        <v/>
      </c>
      <c r="D217" s="40" t="str">
        <f>IFERROR(INDEX(전개결과!$M$6:$M$1205,MATCH("R"&amp;212,전개결과!$L$6:$L$1205,0)),"")</f>
        <v/>
      </c>
      <c r="E217" s="40" t="str">
        <f>IF($D217="","",IFERROR(INDEX(품목목록!$B$3:$B$302,MATCH($D217,품목목록!$A$3:$A$302,0)),""))</f>
        <v/>
      </c>
      <c r="F217" s="47" t="str">
        <f>IF($D217="","",IFERROR(INDEX(품목목록!$D$3:$D$302,MATCH($D217,품목목록!$A$3:$A$302,0)),""))</f>
        <v/>
      </c>
      <c r="G217" s="49" t="str">
        <f>IFERROR(INDEX(전개결과!$N$6:$N$1205,MATCH("R"&amp;212,전개결과!$L$6:$L$1205,0)),"")</f>
        <v/>
      </c>
      <c r="H217" s="40" t="str">
        <f>IF($D217="","",IFERROR(INDEX(전개결과!$Q$6:$Q$1205,MATCH("R"&amp;212,전개결과!$L$6:$L$1205,0)),""))</f>
        <v/>
      </c>
      <c r="J217" s="50" t="b">
        <f>IF(발주접수!$D24="",FALSE(),IF(발주접수!$F24="세트",COUNTIF(세트구성!$G$3:$G$302,발주접수!$D24&amp;"|"&amp;2)&gt;0,1=0))</f>
        <v>0</v>
      </c>
      <c r="K217" s="34" t="str">
        <f>IF($J217=FALSE(),"",COUNTIF($J$6:$J217,TRUE()))</f>
        <v/>
      </c>
      <c r="L217" s="34" t="str">
        <f>IF($K217="","","R"&amp;$K217)</f>
        <v/>
      </c>
      <c r="M217" s="34" t="str">
        <f>IF($J217=FALSE(),"",IF(발주접수!$F24="세트",IFERROR(INDEX(세트구성!$C$3:$C$302,MATCH(발주접수!$D24&amp;"|"&amp;2,세트구성!$G$3:$G$302,0)),""),발주접수!$D24))</f>
        <v/>
      </c>
      <c r="N217" s="34" t="str">
        <f>IF($J217=FALSE(),"",IF(발주접수!$F24="세트",발주접수!$G24*IFERROR(INDEX(세트구성!$E$3:$E$302,MATCH(발주접수!$D24&amp;"|"&amp;2,세트구성!$G$3:$G$302,0)),0),발주접수!$G24))</f>
        <v/>
      </c>
      <c r="O217" s="34" t="str">
        <f>IF($J217=FALSE(),"",발주접수!$B24)</f>
        <v/>
      </c>
      <c r="P217" s="34" t="str">
        <f>IF($J217=FALSE(),"",발주접수!$C24)</f>
        <v/>
      </c>
      <c r="Q217" s="34" t="str">
        <f>IF($J217=FALSE(),"",IF(발주접수!$F24="세트",발주접수!$E24&amp;" 전개","직접 발주"))</f>
        <v/>
      </c>
    </row>
    <row r="218" ht="15" customHeight="1" s="30">
      <c r="A218" s="47" t="str">
        <f>IF($D218="","",213)</f>
        <v/>
      </c>
      <c r="B218" s="48" t="str">
        <f>IFERROR(INDEX(전개결과!$O$6:$O$1205,MATCH("R"&amp;213,전개결과!$L$6:$L$1205,0)),"")</f>
        <v/>
      </c>
      <c r="C218" s="40" t="str">
        <f>IF($D218="","",IFERROR(INDEX(전개결과!$P$6:$P$1205,MATCH("R"&amp;213,전개결과!$L$6:$L$1205,0)),""))</f>
        <v/>
      </c>
      <c r="D218" s="40" t="str">
        <f>IFERROR(INDEX(전개결과!$M$6:$M$1205,MATCH("R"&amp;213,전개결과!$L$6:$L$1205,0)),"")</f>
        <v/>
      </c>
      <c r="E218" s="40" t="str">
        <f>IF($D218="","",IFERROR(INDEX(품목목록!$B$3:$B$302,MATCH($D218,품목목록!$A$3:$A$302,0)),""))</f>
        <v/>
      </c>
      <c r="F218" s="47" t="str">
        <f>IF($D218="","",IFERROR(INDEX(품목목록!$D$3:$D$302,MATCH($D218,품목목록!$A$3:$A$302,0)),""))</f>
        <v/>
      </c>
      <c r="G218" s="49" t="str">
        <f>IFERROR(INDEX(전개결과!$N$6:$N$1205,MATCH("R"&amp;213,전개결과!$L$6:$L$1205,0)),"")</f>
        <v/>
      </c>
      <c r="H218" s="40" t="str">
        <f>IF($D218="","",IFERROR(INDEX(전개결과!$Q$6:$Q$1205,MATCH("R"&amp;213,전개결과!$L$6:$L$1205,0)),""))</f>
        <v/>
      </c>
      <c r="J218" s="50" t="b">
        <f>IF(발주접수!$D24="",FALSE(),IF(발주접수!$F24="세트",COUNTIF(세트구성!$G$3:$G$302,발주접수!$D24&amp;"|"&amp;3)&gt;0,2=0))</f>
        <v>0</v>
      </c>
      <c r="K218" s="34" t="str">
        <f>IF($J218=FALSE(),"",COUNTIF($J$6:$J218,TRUE()))</f>
        <v/>
      </c>
      <c r="L218" s="34" t="str">
        <f>IF($K218="","","R"&amp;$K218)</f>
        <v/>
      </c>
      <c r="M218" s="34" t="str">
        <f>IF($J218=FALSE(),"",IF(발주접수!$F24="세트",IFERROR(INDEX(세트구성!$C$3:$C$302,MATCH(발주접수!$D24&amp;"|"&amp;3,세트구성!$G$3:$G$302,0)),""),발주접수!$D24))</f>
        <v/>
      </c>
      <c r="N218" s="34" t="str">
        <f>IF($J218=FALSE(),"",IF(발주접수!$F24="세트",발주접수!$G24*IFERROR(INDEX(세트구성!$E$3:$E$302,MATCH(발주접수!$D24&amp;"|"&amp;3,세트구성!$G$3:$G$302,0)),0),발주접수!$G24))</f>
        <v/>
      </c>
      <c r="O218" s="34" t="str">
        <f>IF($J218=FALSE(),"",발주접수!$B24)</f>
        <v/>
      </c>
      <c r="P218" s="34" t="str">
        <f>IF($J218=FALSE(),"",발주접수!$C24)</f>
        <v/>
      </c>
      <c r="Q218" s="34" t="str">
        <f>IF($J218=FALSE(),"",IF(발주접수!$F24="세트",발주접수!$E24&amp;" 전개","직접 발주"))</f>
        <v/>
      </c>
    </row>
    <row r="219" ht="15" customHeight="1" s="30">
      <c r="A219" s="47" t="str">
        <f>IF($D219="","",214)</f>
        <v/>
      </c>
      <c r="B219" s="48" t="str">
        <f>IFERROR(INDEX(전개결과!$O$6:$O$1205,MATCH("R"&amp;214,전개결과!$L$6:$L$1205,0)),"")</f>
        <v/>
      </c>
      <c r="C219" s="40" t="str">
        <f>IF($D219="","",IFERROR(INDEX(전개결과!$P$6:$P$1205,MATCH("R"&amp;214,전개결과!$L$6:$L$1205,0)),""))</f>
        <v/>
      </c>
      <c r="D219" s="40" t="str">
        <f>IFERROR(INDEX(전개결과!$M$6:$M$1205,MATCH("R"&amp;214,전개결과!$L$6:$L$1205,0)),"")</f>
        <v/>
      </c>
      <c r="E219" s="40" t="str">
        <f>IF($D219="","",IFERROR(INDEX(품목목록!$B$3:$B$302,MATCH($D219,품목목록!$A$3:$A$302,0)),""))</f>
        <v/>
      </c>
      <c r="F219" s="47" t="str">
        <f>IF($D219="","",IFERROR(INDEX(품목목록!$D$3:$D$302,MATCH($D219,품목목록!$A$3:$A$302,0)),""))</f>
        <v/>
      </c>
      <c r="G219" s="49" t="str">
        <f>IFERROR(INDEX(전개결과!$N$6:$N$1205,MATCH("R"&amp;214,전개결과!$L$6:$L$1205,0)),"")</f>
        <v/>
      </c>
      <c r="H219" s="40" t="str">
        <f>IF($D219="","",IFERROR(INDEX(전개결과!$Q$6:$Q$1205,MATCH("R"&amp;214,전개결과!$L$6:$L$1205,0)),""))</f>
        <v/>
      </c>
      <c r="J219" s="50" t="b">
        <f>IF(발주접수!$D24="",FALSE(),IF(발주접수!$F24="세트",COUNTIF(세트구성!$G$3:$G$302,발주접수!$D24&amp;"|"&amp;4)&gt;0,3=0))</f>
        <v>0</v>
      </c>
      <c r="K219" s="34" t="str">
        <f>IF($J219=FALSE(),"",COUNTIF($J$6:$J219,TRUE()))</f>
        <v/>
      </c>
      <c r="L219" s="34" t="str">
        <f>IF($K219="","","R"&amp;$K219)</f>
        <v/>
      </c>
      <c r="M219" s="34" t="str">
        <f>IF($J219=FALSE(),"",IF(발주접수!$F24="세트",IFERROR(INDEX(세트구성!$C$3:$C$302,MATCH(발주접수!$D24&amp;"|"&amp;4,세트구성!$G$3:$G$302,0)),""),발주접수!$D24))</f>
        <v/>
      </c>
      <c r="N219" s="34" t="str">
        <f>IF($J219=FALSE(),"",IF(발주접수!$F24="세트",발주접수!$G24*IFERROR(INDEX(세트구성!$E$3:$E$302,MATCH(발주접수!$D24&amp;"|"&amp;4,세트구성!$G$3:$G$302,0)),0),발주접수!$G24))</f>
        <v/>
      </c>
      <c r="O219" s="34" t="str">
        <f>IF($J219=FALSE(),"",발주접수!$B24)</f>
        <v/>
      </c>
      <c r="P219" s="34" t="str">
        <f>IF($J219=FALSE(),"",발주접수!$C24)</f>
        <v/>
      </c>
      <c r="Q219" s="34" t="str">
        <f>IF($J219=FALSE(),"",IF(발주접수!$F24="세트",발주접수!$E24&amp;" 전개","직접 발주"))</f>
        <v/>
      </c>
    </row>
    <row r="220" ht="15" customHeight="1" s="30">
      <c r="A220" s="47" t="str">
        <f>IF($D220="","",215)</f>
        <v/>
      </c>
      <c r="B220" s="48" t="str">
        <f>IFERROR(INDEX(전개결과!$O$6:$O$1205,MATCH("R"&amp;215,전개결과!$L$6:$L$1205,0)),"")</f>
        <v/>
      </c>
      <c r="C220" s="40" t="str">
        <f>IF($D220="","",IFERROR(INDEX(전개결과!$P$6:$P$1205,MATCH("R"&amp;215,전개결과!$L$6:$L$1205,0)),""))</f>
        <v/>
      </c>
      <c r="D220" s="40" t="str">
        <f>IFERROR(INDEX(전개결과!$M$6:$M$1205,MATCH("R"&amp;215,전개결과!$L$6:$L$1205,0)),"")</f>
        <v/>
      </c>
      <c r="E220" s="40" t="str">
        <f>IF($D220="","",IFERROR(INDEX(품목목록!$B$3:$B$302,MATCH($D220,품목목록!$A$3:$A$302,0)),""))</f>
        <v/>
      </c>
      <c r="F220" s="47" t="str">
        <f>IF($D220="","",IFERROR(INDEX(품목목록!$D$3:$D$302,MATCH($D220,품목목록!$A$3:$A$302,0)),""))</f>
        <v/>
      </c>
      <c r="G220" s="49" t="str">
        <f>IFERROR(INDEX(전개결과!$N$6:$N$1205,MATCH("R"&amp;215,전개결과!$L$6:$L$1205,0)),"")</f>
        <v/>
      </c>
      <c r="H220" s="40" t="str">
        <f>IF($D220="","",IFERROR(INDEX(전개결과!$Q$6:$Q$1205,MATCH("R"&amp;215,전개결과!$L$6:$L$1205,0)),""))</f>
        <v/>
      </c>
      <c r="J220" s="50" t="b">
        <f>IF(발주접수!$D24="",FALSE(),IF(발주접수!$F24="세트",COUNTIF(세트구성!$G$3:$G$302,발주접수!$D24&amp;"|"&amp;5)&gt;0,4=0))</f>
        <v>0</v>
      </c>
      <c r="K220" s="34" t="str">
        <f>IF($J220=FALSE(),"",COUNTIF($J$6:$J220,TRUE()))</f>
        <v/>
      </c>
      <c r="L220" s="34" t="str">
        <f>IF($K220="","","R"&amp;$K220)</f>
        <v/>
      </c>
      <c r="M220" s="34" t="str">
        <f>IF($J220=FALSE(),"",IF(발주접수!$F24="세트",IFERROR(INDEX(세트구성!$C$3:$C$302,MATCH(발주접수!$D24&amp;"|"&amp;5,세트구성!$G$3:$G$302,0)),""),발주접수!$D24))</f>
        <v/>
      </c>
      <c r="N220" s="34" t="str">
        <f>IF($J220=FALSE(),"",IF(발주접수!$F24="세트",발주접수!$G24*IFERROR(INDEX(세트구성!$E$3:$E$302,MATCH(발주접수!$D24&amp;"|"&amp;5,세트구성!$G$3:$G$302,0)),0),발주접수!$G24))</f>
        <v/>
      </c>
      <c r="O220" s="34" t="str">
        <f>IF($J220=FALSE(),"",발주접수!$B24)</f>
        <v/>
      </c>
      <c r="P220" s="34" t="str">
        <f>IF($J220=FALSE(),"",발주접수!$C24)</f>
        <v/>
      </c>
      <c r="Q220" s="34" t="str">
        <f>IF($J220=FALSE(),"",IF(발주접수!$F24="세트",발주접수!$E24&amp;" 전개","직접 발주"))</f>
        <v/>
      </c>
    </row>
    <row r="221" ht="15" customHeight="1" s="30">
      <c r="A221" s="47" t="str">
        <f>IF($D221="","",216)</f>
        <v/>
      </c>
      <c r="B221" s="48" t="str">
        <f>IFERROR(INDEX(전개결과!$O$6:$O$1205,MATCH("R"&amp;216,전개결과!$L$6:$L$1205,0)),"")</f>
        <v/>
      </c>
      <c r="C221" s="40" t="str">
        <f>IF($D221="","",IFERROR(INDEX(전개결과!$P$6:$P$1205,MATCH("R"&amp;216,전개결과!$L$6:$L$1205,0)),""))</f>
        <v/>
      </c>
      <c r="D221" s="40" t="str">
        <f>IFERROR(INDEX(전개결과!$M$6:$M$1205,MATCH("R"&amp;216,전개결과!$L$6:$L$1205,0)),"")</f>
        <v/>
      </c>
      <c r="E221" s="40" t="str">
        <f>IF($D221="","",IFERROR(INDEX(품목목록!$B$3:$B$302,MATCH($D221,품목목록!$A$3:$A$302,0)),""))</f>
        <v/>
      </c>
      <c r="F221" s="47" t="str">
        <f>IF($D221="","",IFERROR(INDEX(품목목록!$D$3:$D$302,MATCH($D221,품목목록!$A$3:$A$302,0)),""))</f>
        <v/>
      </c>
      <c r="G221" s="49" t="str">
        <f>IFERROR(INDEX(전개결과!$N$6:$N$1205,MATCH("R"&amp;216,전개결과!$L$6:$L$1205,0)),"")</f>
        <v/>
      </c>
      <c r="H221" s="40" t="str">
        <f>IF($D221="","",IFERROR(INDEX(전개결과!$Q$6:$Q$1205,MATCH("R"&amp;216,전개결과!$L$6:$L$1205,0)),""))</f>
        <v/>
      </c>
      <c r="J221" s="50" t="b">
        <f>IF(발주접수!$D24="",FALSE(),IF(발주접수!$F24="세트",COUNTIF(세트구성!$G$3:$G$302,발주접수!$D24&amp;"|"&amp;6)&gt;0,5=0))</f>
        <v>0</v>
      </c>
      <c r="K221" s="34" t="str">
        <f>IF($J221=FALSE(),"",COUNTIF($J$6:$J221,TRUE()))</f>
        <v/>
      </c>
      <c r="L221" s="34" t="str">
        <f>IF($K221="","","R"&amp;$K221)</f>
        <v/>
      </c>
      <c r="M221" s="34" t="str">
        <f>IF($J221=FALSE(),"",IF(발주접수!$F24="세트",IFERROR(INDEX(세트구성!$C$3:$C$302,MATCH(발주접수!$D24&amp;"|"&amp;6,세트구성!$G$3:$G$302,0)),""),발주접수!$D24))</f>
        <v/>
      </c>
      <c r="N221" s="34" t="str">
        <f>IF($J221=FALSE(),"",IF(발주접수!$F24="세트",발주접수!$G24*IFERROR(INDEX(세트구성!$E$3:$E$302,MATCH(발주접수!$D24&amp;"|"&amp;6,세트구성!$G$3:$G$302,0)),0),발주접수!$G24))</f>
        <v/>
      </c>
      <c r="O221" s="34" t="str">
        <f>IF($J221=FALSE(),"",발주접수!$B24)</f>
        <v/>
      </c>
      <c r="P221" s="34" t="str">
        <f>IF($J221=FALSE(),"",발주접수!$C24)</f>
        <v/>
      </c>
      <c r="Q221" s="34" t="str">
        <f>IF($J221=FALSE(),"",IF(발주접수!$F24="세트",발주접수!$E24&amp;" 전개","직접 발주"))</f>
        <v/>
      </c>
    </row>
    <row r="222" ht="15" customHeight="1" s="30">
      <c r="A222" s="47" t="str">
        <f>IF($D222="","",217)</f>
        <v/>
      </c>
      <c r="B222" s="48" t="str">
        <f>IFERROR(INDEX(전개결과!$O$6:$O$1205,MATCH("R"&amp;217,전개결과!$L$6:$L$1205,0)),"")</f>
        <v/>
      </c>
      <c r="C222" s="40" t="str">
        <f>IF($D222="","",IFERROR(INDEX(전개결과!$P$6:$P$1205,MATCH("R"&amp;217,전개결과!$L$6:$L$1205,0)),""))</f>
        <v/>
      </c>
      <c r="D222" s="40" t="str">
        <f>IFERROR(INDEX(전개결과!$M$6:$M$1205,MATCH("R"&amp;217,전개결과!$L$6:$L$1205,0)),"")</f>
        <v/>
      </c>
      <c r="E222" s="40" t="str">
        <f>IF($D222="","",IFERROR(INDEX(품목목록!$B$3:$B$302,MATCH($D222,품목목록!$A$3:$A$302,0)),""))</f>
        <v/>
      </c>
      <c r="F222" s="47" t="str">
        <f>IF($D222="","",IFERROR(INDEX(품목목록!$D$3:$D$302,MATCH($D222,품목목록!$A$3:$A$302,0)),""))</f>
        <v/>
      </c>
      <c r="G222" s="49" t="str">
        <f>IFERROR(INDEX(전개결과!$N$6:$N$1205,MATCH("R"&amp;217,전개결과!$L$6:$L$1205,0)),"")</f>
        <v/>
      </c>
      <c r="H222" s="40" t="str">
        <f>IF($D222="","",IFERROR(INDEX(전개결과!$Q$6:$Q$1205,MATCH("R"&amp;217,전개결과!$L$6:$L$1205,0)),""))</f>
        <v/>
      </c>
      <c r="J222" s="50" t="b">
        <f>IF(발주접수!$D24="",FALSE(),IF(발주접수!$F24="세트",COUNTIF(세트구성!$G$3:$G$302,발주접수!$D24&amp;"|"&amp;7)&gt;0,6=0))</f>
        <v>0</v>
      </c>
      <c r="K222" s="34" t="str">
        <f>IF($J222=FALSE(),"",COUNTIF($J$6:$J222,TRUE()))</f>
        <v/>
      </c>
      <c r="L222" s="34" t="str">
        <f>IF($K222="","","R"&amp;$K222)</f>
        <v/>
      </c>
      <c r="M222" s="34" t="str">
        <f>IF($J222=FALSE(),"",IF(발주접수!$F24="세트",IFERROR(INDEX(세트구성!$C$3:$C$302,MATCH(발주접수!$D24&amp;"|"&amp;7,세트구성!$G$3:$G$302,0)),""),발주접수!$D24))</f>
        <v/>
      </c>
      <c r="N222" s="34" t="str">
        <f>IF($J222=FALSE(),"",IF(발주접수!$F24="세트",발주접수!$G24*IFERROR(INDEX(세트구성!$E$3:$E$302,MATCH(발주접수!$D24&amp;"|"&amp;7,세트구성!$G$3:$G$302,0)),0),발주접수!$G24))</f>
        <v/>
      </c>
      <c r="O222" s="34" t="str">
        <f>IF($J222=FALSE(),"",발주접수!$B24)</f>
        <v/>
      </c>
      <c r="P222" s="34" t="str">
        <f>IF($J222=FALSE(),"",발주접수!$C24)</f>
        <v/>
      </c>
      <c r="Q222" s="34" t="str">
        <f>IF($J222=FALSE(),"",IF(발주접수!$F24="세트",발주접수!$E24&amp;" 전개","직접 발주"))</f>
        <v/>
      </c>
    </row>
    <row r="223" ht="15" customHeight="1" s="30">
      <c r="A223" s="47" t="str">
        <f>IF($D223="","",218)</f>
        <v/>
      </c>
      <c r="B223" s="48" t="str">
        <f>IFERROR(INDEX(전개결과!$O$6:$O$1205,MATCH("R"&amp;218,전개결과!$L$6:$L$1205,0)),"")</f>
        <v/>
      </c>
      <c r="C223" s="40" t="str">
        <f>IF($D223="","",IFERROR(INDEX(전개결과!$P$6:$P$1205,MATCH("R"&amp;218,전개결과!$L$6:$L$1205,0)),""))</f>
        <v/>
      </c>
      <c r="D223" s="40" t="str">
        <f>IFERROR(INDEX(전개결과!$M$6:$M$1205,MATCH("R"&amp;218,전개결과!$L$6:$L$1205,0)),"")</f>
        <v/>
      </c>
      <c r="E223" s="40" t="str">
        <f>IF($D223="","",IFERROR(INDEX(품목목록!$B$3:$B$302,MATCH($D223,품목목록!$A$3:$A$302,0)),""))</f>
        <v/>
      </c>
      <c r="F223" s="47" t="str">
        <f>IF($D223="","",IFERROR(INDEX(품목목록!$D$3:$D$302,MATCH($D223,품목목록!$A$3:$A$302,0)),""))</f>
        <v/>
      </c>
      <c r="G223" s="49" t="str">
        <f>IFERROR(INDEX(전개결과!$N$6:$N$1205,MATCH("R"&amp;218,전개결과!$L$6:$L$1205,0)),"")</f>
        <v/>
      </c>
      <c r="H223" s="40" t="str">
        <f>IF($D223="","",IFERROR(INDEX(전개결과!$Q$6:$Q$1205,MATCH("R"&amp;218,전개결과!$L$6:$L$1205,0)),""))</f>
        <v/>
      </c>
      <c r="J223" s="50" t="b">
        <f>IF(발주접수!$D24="",FALSE(),IF(발주접수!$F24="세트",COUNTIF(세트구성!$G$3:$G$302,발주접수!$D24&amp;"|"&amp;8)&gt;0,7=0))</f>
        <v>0</v>
      </c>
      <c r="K223" s="34" t="str">
        <f>IF($J223=FALSE(),"",COUNTIF($J$6:$J223,TRUE()))</f>
        <v/>
      </c>
      <c r="L223" s="34" t="str">
        <f>IF($K223="","","R"&amp;$K223)</f>
        <v/>
      </c>
      <c r="M223" s="34" t="str">
        <f>IF($J223=FALSE(),"",IF(발주접수!$F24="세트",IFERROR(INDEX(세트구성!$C$3:$C$302,MATCH(발주접수!$D24&amp;"|"&amp;8,세트구성!$G$3:$G$302,0)),""),발주접수!$D24))</f>
        <v/>
      </c>
      <c r="N223" s="34" t="str">
        <f>IF($J223=FALSE(),"",IF(발주접수!$F24="세트",발주접수!$G24*IFERROR(INDEX(세트구성!$E$3:$E$302,MATCH(발주접수!$D24&amp;"|"&amp;8,세트구성!$G$3:$G$302,0)),0),발주접수!$G24))</f>
        <v/>
      </c>
      <c r="O223" s="34" t="str">
        <f>IF($J223=FALSE(),"",발주접수!$B24)</f>
        <v/>
      </c>
      <c r="P223" s="34" t="str">
        <f>IF($J223=FALSE(),"",발주접수!$C24)</f>
        <v/>
      </c>
      <c r="Q223" s="34" t="str">
        <f>IF($J223=FALSE(),"",IF(발주접수!$F24="세트",발주접수!$E24&amp;" 전개","직접 발주"))</f>
        <v/>
      </c>
    </row>
    <row r="224" ht="15" customHeight="1" s="30">
      <c r="A224" s="47" t="str">
        <f>IF($D224="","",219)</f>
        <v/>
      </c>
      <c r="B224" s="48" t="str">
        <f>IFERROR(INDEX(전개결과!$O$6:$O$1205,MATCH("R"&amp;219,전개결과!$L$6:$L$1205,0)),"")</f>
        <v/>
      </c>
      <c r="C224" s="40" t="str">
        <f>IF($D224="","",IFERROR(INDEX(전개결과!$P$6:$P$1205,MATCH("R"&amp;219,전개결과!$L$6:$L$1205,0)),""))</f>
        <v/>
      </c>
      <c r="D224" s="40" t="str">
        <f>IFERROR(INDEX(전개결과!$M$6:$M$1205,MATCH("R"&amp;219,전개결과!$L$6:$L$1205,0)),"")</f>
        <v/>
      </c>
      <c r="E224" s="40" t="str">
        <f>IF($D224="","",IFERROR(INDEX(품목목록!$B$3:$B$302,MATCH($D224,품목목록!$A$3:$A$302,0)),""))</f>
        <v/>
      </c>
      <c r="F224" s="47" t="str">
        <f>IF($D224="","",IFERROR(INDEX(품목목록!$D$3:$D$302,MATCH($D224,품목목록!$A$3:$A$302,0)),""))</f>
        <v/>
      </c>
      <c r="G224" s="49" t="str">
        <f>IFERROR(INDEX(전개결과!$N$6:$N$1205,MATCH("R"&amp;219,전개결과!$L$6:$L$1205,0)),"")</f>
        <v/>
      </c>
      <c r="H224" s="40" t="str">
        <f>IF($D224="","",IFERROR(INDEX(전개결과!$Q$6:$Q$1205,MATCH("R"&amp;219,전개결과!$L$6:$L$1205,0)),""))</f>
        <v/>
      </c>
      <c r="J224" s="50" t="b">
        <f>IF(발주접수!$D24="",FALSE(),IF(발주접수!$F24="세트",COUNTIF(세트구성!$G$3:$G$302,발주접수!$D24&amp;"|"&amp;9)&gt;0,8=0))</f>
        <v>0</v>
      </c>
      <c r="K224" s="34" t="str">
        <f>IF($J224=FALSE(),"",COUNTIF($J$6:$J224,TRUE()))</f>
        <v/>
      </c>
      <c r="L224" s="34" t="str">
        <f>IF($K224="","","R"&amp;$K224)</f>
        <v/>
      </c>
      <c r="M224" s="34" t="str">
        <f>IF($J224=FALSE(),"",IF(발주접수!$F24="세트",IFERROR(INDEX(세트구성!$C$3:$C$302,MATCH(발주접수!$D24&amp;"|"&amp;9,세트구성!$G$3:$G$302,0)),""),발주접수!$D24))</f>
        <v/>
      </c>
      <c r="N224" s="34" t="str">
        <f>IF($J224=FALSE(),"",IF(발주접수!$F24="세트",발주접수!$G24*IFERROR(INDEX(세트구성!$E$3:$E$302,MATCH(발주접수!$D24&amp;"|"&amp;9,세트구성!$G$3:$G$302,0)),0),발주접수!$G24))</f>
        <v/>
      </c>
      <c r="O224" s="34" t="str">
        <f>IF($J224=FALSE(),"",발주접수!$B24)</f>
        <v/>
      </c>
      <c r="P224" s="34" t="str">
        <f>IF($J224=FALSE(),"",발주접수!$C24)</f>
        <v/>
      </c>
      <c r="Q224" s="34" t="str">
        <f>IF($J224=FALSE(),"",IF(발주접수!$F24="세트",발주접수!$E24&amp;" 전개","직접 발주"))</f>
        <v/>
      </c>
    </row>
    <row r="225" ht="15" customHeight="1" s="30">
      <c r="A225" s="47" t="str">
        <f>IF($D225="","",220)</f>
        <v/>
      </c>
      <c r="B225" s="48" t="str">
        <f>IFERROR(INDEX(전개결과!$O$6:$O$1205,MATCH("R"&amp;220,전개결과!$L$6:$L$1205,0)),"")</f>
        <v/>
      </c>
      <c r="C225" s="40" t="str">
        <f>IF($D225="","",IFERROR(INDEX(전개결과!$P$6:$P$1205,MATCH("R"&amp;220,전개결과!$L$6:$L$1205,0)),""))</f>
        <v/>
      </c>
      <c r="D225" s="40" t="str">
        <f>IFERROR(INDEX(전개결과!$M$6:$M$1205,MATCH("R"&amp;220,전개결과!$L$6:$L$1205,0)),"")</f>
        <v/>
      </c>
      <c r="E225" s="40" t="str">
        <f>IF($D225="","",IFERROR(INDEX(품목목록!$B$3:$B$302,MATCH($D225,품목목록!$A$3:$A$302,0)),""))</f>
        <v/>
      </c>
      <c r="F225" s="47" t="str">
        <f>IF($D225="","",IFERROR(INDEX(품목목록!$D$3:$D$302,MATCH($D225,품목목록!$A$3:$A$302,0)),""))</f>
        <v/>
      </c>
      <c r="G225" s="49" t="str">
        <f>IFERROR(INDEX(전개결과!$N$6:$N$1205,MATCH("R"&amp;220,전개결과!$L$6:$L$1205,0)),"")</f>
        <v/>
      </c>
      <c r="H225" s="40" t="str">
        <f>IF($D225="","",IFERROR(INDEX(전개결과!$Q$6:$Q$1205,MATCH("R"&amp;220,전개결과!$L$6:$L$1205,0)),""))</f>
        <v/>
      </c>
      <c r="J225" s="50" t="b">
        <f>IF(발주접수!$D24="",FALSE(),IF(발주접수!$F24="세트",COUNTIF(세트구성!$G$3:$G$302,발주접수!$D24&amp;"|"&amp;10)&gt;0,9=0))</f>
        <v>0</v>
      </c>
      <c r="K225" s="34" t="str">
        <f>IF($J225=FALSE(),"",COUNTIF($J$6:$J225,TRUE()))</f>
        <v/>
      </c>
      <c r="L225" s="34" t="str">
        <f>IF($K225="","","R"&amp;$K225)</f>
        <v/>
      </c>
      <c r="M225" s="34" t="str">
        <f>IF($J225=FALSE(),"",IF(발주접수!$F24="세트",IFERROR(INDEX(세트구성!$C$3:$C$302,MATCH(발주접수!$D24&amp;"|"&amp;10,세트구성!$G$3:$G$302,0)),""),발주접수!$D24))</f>
        <v/>
      </c>
      <c r="N225" s="34" t="str">
        <f>IF($J225=FALSE(),"",IF(발주접수!$F24="세트",발주접수!$G24*IFERROR(INDEX(세트구성!$E$3:$E$302,MATCH(발주접수!$D24&amp;"|"&amp;10,세트구성!$G$3:$G$302,0)),0),발주접수!$G24))</f>
        <v/>
      </c>
      <c r="O225" s="34" t="str">
        <f>IF($J225=FALSE(),"",발주접수!$B24)</f>
        <v/>
      </c>
      <c r="P225" s="34" t="str">
        <f>IF($J225=FALSE(),"",발주접수!$C24)</f>
        <v/>
      </c>
      <c r="Q225" s="34" t="str">
        <f>IF($J225=FALSE(),"",IF(발주접수!$F24="세트",발주접수!$E24&amp;" 전개","직접 발주"))</f>
        <v/>
      </c>
    </row>
    <row r="226" ht="15" customHeight="1" s="30">
      <c r="A226" s="47" t="str">
        <f>IF($D226="","",221)</f>
        <v/>
      </c>
      <c r="B226" s="48" t="str">
        <f>IFERROR(INDEX(전개결과!$O$6:$O$1205,MATCH("R"&amp;221,전개결과!$L$6:$L$1205,0)),"")</f>
        <v/>
      </c>
      <c r="C226" s="40" t="str">
        <f>IF($D226="","",IFERROR(INDEX(전개결과!$P$6:$P$1205,MATCH("R"&amp;221,전개결과!$L$6:$L$1205,0)),""))</f>
        <v/>
      </c>
      <c r="D226" s="40" t="str">
        <f>IFERROR(INDEX(전개결과!$M$6:$M$1205,MATCH("R"&amp;221,전개결과!$L$6:$L$1205,0)),"")</f>
        <v/>
      </c>
      <c r="E226" s="40" t="str">
        <f>IF($D226="","",IFERROR(INDEX(품목목록!$B$3:$B$302,MATCH($D226,품목목록!$A$3:$A$302,0)),""))</f>
        <v/>
      </c>
      <c r="F226" s="47" t="str">
        <f>IF($D226="","",IFERROR(INDEX(품목목록!$D$3:$D$302,MATCH($D226,품목목록!$A$3:$A$302,0)),""))</f>
        <v/>
      </c>
      <c r="G226" s="49" t="str">
        <f>IFERROR(INDEX(전개결과!$N$6:$N$1205,MATCH("R"&amp;221,전개결과!$L$6:$L$1205,0)),"")</f>
        <v/>
      </c>
      <c r="H226" s="40" t="str">
        <f>IF($D226="","",IFERROR(INDEX(전개결과!$Q$6:$Q$1205,MATCH("R"&amp;221,전개결과!$L$6:$L$1205,0)),""))</f>
        <v/>
      </c>
      <c r="J226" s="50" t="b">
        <f>IF(발주접수!$D25="",FALSE(),IF(발주접수!$F25="세트",COUNTIF(세트구성!$G$3:$G$302,발주접수!$D25&amp;"|"&amp;1)&gt;0,0=0))</f>
        <v>0</v>
      </c>
      <c r="K226" s="34" t="str">
        <f>IF($J226=FALSE(),"",COUNTIF($J$6:$J226,TRUE()))</f>
        <v/>
      </c>
      <c r="L226" s="34" t="str">
        <f>IF($K226="","","R"&amp;$K226)</f>
        <v/>
      </c>
      <c r="M226" s="34" t="str">
        <f>IF($J226=FALSE(),"",IF(발주접수!$F25="세트",IFERROR(INDEX(세트구성!$C$3:$C$302,MATCH(발주접수!$D25&amp;"|"&amp;1,세트구성!$G$3:$G$302,0)),""),발주접수!$D25))</f>
        <v/>
      </c>
      <c r="N226" s="34" t="str">
        <f>IF($J226=FALSE(),"",IF(발주접수!$F25="세트",발주접수!$G25*IFERROR(INDEX(세트구성!$E$3:$E$302,MATCH(발주접수!$D25&amp;"|"&amp;1,세트구성!$G$3:$G$302,0)),0),발주접수!$G25))</f>
        <v/>
      </c>
      <c r="O226" s="34" t="str">
        <f>IF($J226=FALSE(),"",발주접수!$B25)</f>
        <v/>
      </c>
      <c r="P226" s="34" t="str">
        <f>IF($J226=FALSE(),"",발주접수!$C25)</f>
        <v/>
      </c>
      <c r="Q226" s="34" t="str">
        <f>IF($J226=FALSE(),"",IF(발주접수!$F25="세트",발주접수!$E25&amp;" 전개","직접 발주"))</f>
        <v/>
      </c>
    </row>
    <row r="227" ht="15" customHeight="1" s="30">
      <c r="A227" s="47" t="str">
        <f>IF($D227="","",222)</f>
        <v/>
      </c>
      <c r="B227" s="48" t="str">
        <f>IFERROR(INDEX(전개결과!$O$6:$O$1205,MATCH("R"&amp;222,전개결과!$L$6:$L$1205,0)),"")</f>
        <v/>
      </c>
      <c r="C227" s="40" t="str">
        <f>IF($D227="","",IFERROR(INDEX(전개결과!$P$6:$P$1205,MATCH("R"&amp;222,전개결과!$L$6:$L$1205,0)),""))</f>
        <v/>
      </c>
      <c r="D227" s="40" t="str">
        <f>IFERROR(INDEX(전개결과!$M$6:$M$1205,MATCH("R"&amp;222,전개결과!$L$6:$L$1205,0)),"")</f>
        <v/>
      </c>
      <c r="E227" s="40" t="str">
        <f>IF($D227="","",IFERROR(INDEX(품목목록!$B$3:$B$302,MATCH($D227,품목목록!$A$3:$A$302,0)),""))</f>
        <v/>
      </c>
      <c r="F227" s="47" t="str">
        <f>IF($D227="","",IFERROR(INDEX(품목목록!$D$3:$D$302,MATCH($D227,품목목록!$A$3:$A$302,0)),""))</f>
        <v/>
      </c>
      <c r="G227" s="49" t="str">
        <f>IFERROR(INDEX(전개결과!$N$6:$N$1205,MATCH("R"&amp;222,전개결과!$L$6:$L$1205,0)),"")</f>
        <v/>
      </c>
      <c r="H227" s="40" t="str">
        <f>IF($D227="","",IFERROR(INDEX(전개결과!$Q$6:$Q$1205,MATCH("R"&amp;222,전개결과!$L$6:$L$1205,0)),""))</f>
        <v/>
      </c>
      <c r="J227" s="50" t="b">
        <f>IF(발주접수!$D25="",FALSE(),IF(발주접수!$F25="세트",COUNTIF(세트구성!$G$3:$G$302,발주접수!$D25&amp;"|"&amp;2)&gt;0,1=0))</f>
        <v>0</v>
      </c>
      <c r="K227" s="34" t="str">
        <f>IF($J227=FALSE(),"",COUNTIF($J$6:$J227,TRUE()))</f>
        <v/>
      </c>
      <c r="L227" s="34" t="str">
        <f>IF($K227="","","R"&amp;$K227)</f>
        <v/>
      </c>
      <c r="M227" s="34" t="str">
        <f>IF($J227=FALSE(),"",IF(발주접수!$F25="세트",IFERROR(INDEX(세트구성!$C$3:$C$302,MATCH(발주접수!$D25&amp;"|"&amp;2,세트구성!$G$3:$G$302,0)),""),발주접수!$D25))</f>
        <v/>
      </c>
      <c r="N227" s="34" t="str">
        <f>IF($J227=FALSE(),"",IF(발주접수!$F25="세트",발주접수!$G25*IFERROR(INDEX(세트구성!$E$3:$E$302,MATCH(발주접수!$D25&amp;"|"&amp;2,세트구성!$G$3:$G$302,0)),0),발주접수!$G25))</f>
        <v/>
      </c>
      <c r="O227" s="34" t="str">
        <f>IF($J227=FALSE(),"",발주접수!$B25)</f>
        <v/>
      </c>
      <c r="P227" s="34" t="str">
        <f>IF($J227=FALSE(),"",발주접수!$C25)</f>
        <v/>
      </c>
      <c r="Q227" s="34" t="str">
        <f>IF($J227=FALSE(),"",IF(발주접수!$F25="세트",발주접수!$E25&amp;" 전개","직접 발주"))</f>
        <v/>
      </c>
    </row>
    <row r="228" ht="15" customHeight="1" s="30">
      <c r="A228" s="47" t="str">
        <f>IF($D228="","",223)</f>
        <v/>
      </c>
      <c r="B228" s="48" t="str">
        <f>IFERROR(INDEX(전개결과!$O$6:$O$1205,MATCH("R"&amp;223,전개결과!$L$6:$L$1205,0)),"")</f>
        <v/>
      </c>
      <c r="C228" s="40" t="str">
        <f>IF($D228="","",IFERROR(INDEX(전개결과!$P$6:$P$1205,MATCH("R"&amp;223,전개결과!$L$6:$L$1205,0)),""))</f>
        <v/>
      </c>
      <c r="D228" s="40" t="str">
        <f>IFERROR(INDEX(전개결과!$M$6:$M$1205,MATCH("R"&amp;223,전개결과!$L$6:$L$1205,0)),"")</f>
        <v/>
      </c>
      <c r="E228" s="40" t="str">
        <f>IF($D228="","",IFERROR(INDEX(품목목록!$B$3:$B$302,MATCH($D228,품목목록!$A$3:$A$302,0)),""))</f>
        <v/>
      </c>
      <c r="F228" s="47" t="str">
        <f>IF($D228="","",IFERROR(INDEX(품목목록!$D$3:$D$302,MATCH($D228,품목목록!$A$3:$A$302,0)),""))</f>
        <v/>
      </c>
      <c r="G228" s="49" t="str">
        <f>IFERROR(INDEX(전개결과!$N$6:$N$1205,MATCH("R"&amp;223,전개결과!$L$6:$L$1205,0)),"")</f>
        <v/>
      </c>
      <c r="H228" s="40" t="str">
        <f>IF($D228="","",IFERROR(INDEX(전개결과!$Q$6:$Q$1205,MATCH("R"&amp;223,전개결과!$L$6:$L$1205,0)),""))</f>
        <v/>
      </c>
      <c r="J228" s="50" t="b">
        <f>IF(발주접수!$D25="",FALSE(),IF(발주접수!$F25="세트",COUNTIF(세트구성!$G$3:$G$302,발주접수!$D25&amp;"|"&amp;3)&gt;0,2=0))</f>
        <v>0</v>
      </c>
      <c r="K228" s="34" t="str">
        <f>IF($J228=FALSE(),"",COUNTIF($J$6:$J228,TRUE()))</f>
        <v/>
      </c>
      <c r="L228" s="34" t="str">
        <f>IF($K228="","","R"&amp;$K228)</f>
        <v/>
      </c>
      <c r="M228" s="34" t="str">
        <f>IF($J228=FALSE(),"",IF(발주접수!$F25="세트",IFERROR(INDEX(세트구성!$C$3:$C$302,MATCH(발주접수!$D25&amp;"|"&amp;3,세트구성!$G$3:$G$302,0)),""),발주접수!$D25))</f>
        <v/>
      </c>
      <c r="N228" s="34" t="str">
        <f>IF($J228=FALSE(),"",IF(발주접수!$F25="세트",발주접수!$G25*IFERROR(INDEX(세트구성!$E$3:$E$302,MATCH(발주접수!$D25&amp;"|"&amp;3,세트구성!$G$3:$G$302,0)),0),발주접수!$G25))</f>
        <v/>
      </c>
      <c r="O228" s="34" t="str">
        <f>IF($J228=FALSE(),"",발주접수!$B25)</f>
        <v/>
      </c>
      <c r="P228" s="34" t="str">
        <f>IF($J228=FALSE(),"",발주접수!$C25)</f>
        <v/>
      </c>
      <c r="Q228" s="34" t="str">
        <f>IF($J228=FALSE(),"",IF(발주접수!$F25="세트",발주접수!$E25&amp;" 전개","직접 발주"))</f>
        <v/>
      </c>
    </row>
    <row r="229" ht="15" customHeight="1" s="30">
      <c r="A229" s="47" t="str">
        <f>IF($D229="","",224)</f>
        <v/>
      </c>
      <c r="B229" s="48" t="str">
        <f>IFERROR(INDEX(전개결과!$O$6:$O$1205,MATCH("R"&amp;224,전개결과!$L$6:$L$1205,0)),"")</f>
        <v/>
      </c>
      <c r="C229" s="40" t="str">
        <f>IF($D229="","",IFERROR(INDEX(전개결과!$P$6:$P$1205,MATCH("R"&amp;224,전개결과!$L$6:$L$1205,0)),""))</f>
        <v/>
      </c>
      <c r="D229" s="40" t="str">
        <f>IFERROR(INDEX(전개결과!$M$6:$M$1205,MATCH("R"&amp;224,전개결과!$L$6:$L$1205,0)),"")</f>
        <v/>
      </c>
      <c r="E229" s="40" t="str">
        <f>IF($D229="","",IFERROR(INDEX(품목목록!$B$3:$B$302,MATCH($D229,품목목록!$A$3:$A$302,0)),""))</f>
        <v/>
      </c>
      <c r="F229" s="47" t="str">
        <f>IF($D229="","",IFERROR(INDEX(품목목록!$D$3:$D$302,MATCH($D229,품목목록!$A$3:$A$302,0)),""))</f>
        <v/>
      </c>
      <c r="G229" s="49" t="str">
        <f>IFERROR(INDEX(전개결과!$N$6:$N$1205,MATCH("R"&amp;224,전개결과!$L$6:$L$1205,0)),"")</f>
        <v/>
      </c>
      <c r="H229" s="40" t="str">
        <f>IF($D229="","",IFERROR(INDEX(전개결과!$Q$6:$Q$1205,MATCH("R"&amp;224,전개결과!$L$6:$L$1205,0)),""))</f>
        <v/>
      </c>
      <c r="J229" s="50" t="b">
        <f>IF(발주접수!$D25="",FALSE(),IF(발주접수!$F25="세트",COUNTIF(세트구성!$G$3:$G$302,발주접수!$D25&amp;"|"&amp;4)&gt;0,3=0))</f>
        <v>0</v>
      </c>
      <c r="K229" s="34" t="str">
        <f>IF($J229=FALSE(),"",COUNTIF($J$6:$J229,TRUE()))</f>
        <v/>
      </c>
      <c r="L229" s="34" t="str">
        <f>IF($K229="","","R"&amp;$K229)</f>
        <v/>
      </c>
      <c r="M229" s="34" t="str">
        <f>IF($J229=FALSE(),"",IF(발주접수!$F25="세트",IFERROR(INDEX(세트구성!$C$3:$C$302,MATCH(발주접수!$D25&amp;"|"&amp;4,세트구성!$G$3:$G$302,0)),""),발주접수!$D25))</f>
        <v/>
      </c>
      <c r="N229" s="34" t="str">
        <f>IF($J229=FALSE(),"",IF(발주접수!$F25="세트",발주접수!$G25*IFERROR(INDEX(세트구성!$E$3:$E$302,MATCH(발주접수!$D25&amp;"|"&amp;4,세트구성!$G$3:$G$302,0)),0),발주접수!$G25))</f>
        <v/>
      </c>
      <c r="O229" s="34" t="str">
        <f>IF($J229=FALSE(),"",발주접수!$B25)</f>
        <v/>
      </c>
      <c r="P229" s="34" t="str">
        <f>IF($J229=FALSE(),"",발주접수!$C25)</f>
        <v/>
      </c>
      <c r="Q229" s="34" t="str">
        <f>IF($J229=FALSE(),"",IF(발주접수!$F25="세트",발주접수!$E25&amp;" 전개","직접 발주"))</f>
        <v/>
      </c>
    </row>
    <row r="230" ht="15" customHeight="1" s="30">
      <c r="A230" s="47" t="str">
        <f>IF($D230="","",225)</f>
        <v/>
      </c>
      <c r="B230" s="48" t="str">
        <f>IFERROR(INDEX(전개결과!$O$6:$O$1205,MATCH("R"&amp;225,전개결과!$L$6:$L$1205,0)),"")</f>
        <v/>
      </c>
      <c r="C230" s="40" t="str">
        <f>IF($D230="","",IFERROR(INDEX(전개결과!$P$6:$P$1205,MATCH("R"&amp;225,전개결과!$L$6:$L$1205,0)),""))</f>
        <v/>
      </c>
      <c r="D230" s="40" t="str">
        <f>IFERROR(INDEX(전개결과!$M$6:$M$1205,MATCH("R"&amp;225,전개결과!$L$6:$L$1205,0)),"")</f>
        <v/>
      </c>
      <c r="E230" s="40" t="str">
        <f>IF($D230="","",IFERROR(INDEX(품목목록!$B$3:$B$302,MATCH($D230,품목목록!$A$3:$A$302,0)),""))</f>
        <v/>
      </c>
      <c r="F230" s="47" t="str">
        <f>IF($D230="","",IFERROR(INDEX(품목목록!$D$3:$D$302,MATCH($D230,품목목록!$A$3:$A$302,0)),""))</f>
        <v/>
      </c>
      <c r="G230" s="49" t="str">
        <f>IFERROR(INDEX(전개결과!$N$6:$N$1205,MATCH("R"&amp;225,전개결과!$L$6:$L$1205,0)),"")</f>
        <v/>
      </c>
      <c r="H230" s="40" t="str">
        <f>IF($D230="","",IFERROR(INDEX(전개결과!$Q$6:$Q$1205,MATCH("R"&amp;225,전개결과!$L$6:$L$1205,0)),""))</f>
        <v/>
      </c>
      <c r="J230" s="50" t="b">
        <f>IF(발주접수!$D25="",FALSE(),IF(발주접수!$F25="세트",COUNTIF(세트구성!$G$3:$G$302,발주접수!$D25&amp;"|"&amp;5)&gt;0,4=0))</f>
        <v>0</v>
      </c>
      <c r="K230" s="34" t="str">
        <f>IF($J230=FALSE(),"",COUNTIF($J$6:$J230,TRUE()))</f>
        <v/>
      </c>
      <c r="L230" s="34" t="str">
        <f>IF($K230="","","R"&amp;$K230)</f>
        <v/>
      </c>
      <c r="M230" s="34" t="str">
        <f>IF($J230=FALSE(),"",IF(발주접수!$F25="세트",IFERROR(INDEX(세트구성!$C$3:$C$302,MATCH(발주접수!$D25&amp;"|"&amp;5,세트구성!$G$3:$G$302,0)),""),발주접수!$D25))</f>
        <v/>
      </c>
      <c r="N230" s="34" t="str">
        <f>IF($J230=FALSE(),"",IF(발주접수!$F25="세트",발주접수!$G25*IFERROR(INDEX(세트구성!$E$3:$E$302,MATCH(발주접수!$D25&amp;"|"&amp;5,세트구성!$G$3:$G$302,0)),0),발주접수!$G25))</f>
        <v/>
      </c>
      <c r="O230" s="34" t="str">
        <f>IF($J230=FALSE(),"",발주접수!$B25)</f>
        <v/>
      </c>
      <c r="P230" s="34" t="str">
        <f>IF($J230=FALSE(),"",발주접수!$C25)</f>
        <v/>
      </c>
      <c r="Q230" s="34" t="str">
        <f>IF($J230=FALSE(),"",IF(발주접수!$F25="세트",발주접수!$E25&amp;" 전개","직접 발주"))</f>
        <v/>
      </c>
    </row>
    <row r="231" ht="15" customHeight="1" s="30">
      <c r="A231" s="47" t="str">
        <f>IF($D231="","",226)</f>
        <v/>
      </c>
      <c r="B231" s="48" t="str">
        <f>IFERROR(INDEX(전개결과!$O$6:$O$1205,MATCH("R"&amp;226,전개결과!$L$6:$L$1205,0)),"")</f>
        <v/>
      </c>
      <c r="C231" s="40" t="str">
        <f>IF($D231="","",IFERROR(INDEX(전개결과!$P$6:$P$1205,MATCH("R"&amp;226,전개결과!$L$6:$L$1205,0)),""))</f>
        <v/>
      </c>
      <c r="D231" s="40" t="str">
        <f>IFERROR(INDEX(전개결과!$M$6:$M$1205,MATCH("R"&amp;226,전개결과!$L$6:$L$1205,0)),"")</f>
        <v/>
      </c>
      <c r="E231" s="40" t="str">
        <f>IF($D231="","",IFERROR(INDEX(품목목록!$B$3:$B$302,MATCH($D231,품목목록!$A$3:$A$302,0)),""))</f>
        <v/>
      </c>
      <c r="F231" s="47" t="str">
        <f>IF($D231="","",IFERROR(INDEX(품목목록!$D$3:$D$302,MATCH($D231,품목목록!$A$3:$A$302,0)),""))</f>
        <v/>
      </c>
      <c r="G231" s="49" t="str">
        <f>IFERROR(INDEX(전개결과!$N$6:$N$1205,MATCH("R"&amp;226,전개결과!$L$6:$L$1205,0)),"")</f>
        <v/>
      </c>
      <c r="H231" s="40" t="str">
        <f>IF($D231="","",IFERROR(INDEX(전개결과!$Q$6:$Q$1205,MATCH("R"&amp;226,전개결과!$L$6:$L$1205,0)),""))</f>
        <v/>
      </c>
      <c r="J231" s="50" t="b">
        <f>IF(발주접수!$D25="",FALSE(),IF(발주접수!$F25="세트",COUNTIF(세트구성!$G$3:$G$302,발주접수!$D25&amp;"|"&amp;6)&gt;0,5=0))</f>
        <v>0</v>
      </c>
      <c r="K231" s="34" t="str">
        <f>IF($J231=FALSE(),"",COUNTIF($J$6:$J231,TRUE()))</f>
        <v/>
      </c>
      <c r="L231" s="34" t="str">
        <f>IF($K231="","","R"&amp;$K231)</f>
        <v/>
      </c>
      <c r="M231" s="34" t="str">
        <f>IF($J231=FALSE(),"",IF(발주접수!$F25="세트",IFERROR(INDEX(세트구성!$C$3:$C$302,MATCH(발주접수!$D25&amp;"|"&amp;6,세트구성!$G$3:$G$302,0)),""),발주접수!$D25))</f>
        <v/>
      </c>
      <c r="N231" s="34" t="str">
        <f>IF($J231=FALSE(),"",IF(발주접수!$F25="세트",발주접수!$G25*IFERROR(INDEX(세트구성!$E$3:$E$302,MATCH(발주접수!$D25&amp;"|"&amp;6,세트구성!$G$3:$G$302,0)),0),발주접수!$G25))</f>
        <v/>
      </c>
      <c r="O231" s="34" t="str">
        <f>IF($J231=FALSE(),"",발주접수!$B25)</f>
        <v/>
      </c>
      <c r="P231" s="34" t="str">
        <f>IF($J231=FALSE(),"",발주접수!$C25)</f>
        <v/>
      </c>
      <c r="Q231" s="34" t="str">
        <f>IF($J231=FALSE(),"",IF(발주접수!$F25="세트",발주접수!$E25&amp;" 전개","직접 발주"))</f>
        <v/>
      </c>
    </row>
    <row r="232" ht="15" customHeight="1" s="30">
      <c r="A232" s="47" t="str">
        <f>IF($D232="","",227)</f>
        <v/>
      </c>
      <c r="B232" s="48" t="str">
        <f>IFERROR(INDEX(전개결과!$O$6:$O$1205,MATCH("R"&amp;227,전개결과!$L$6:$L$1205,0)),"")</f>
        <v/>
      </c>
      <c r="C232" s="40" t="str">
        <f>IF($D232="","",IFERROR(INDEX(전개결과!$P$6:$P$1205,MATCH("R"&amp;227,전개결과!$L$6:$L$1205,0)),""))</f>
        <v/>
      </c>
      <c r="D232" s="40" t="str">
        <f>IFERROR(INDEX(전개결과!$M$6:$M$1205,MATCH("R"&amp;227,전개결과!$L$6:$L$1205,0)),"")</f>
        <v/>
      </c>
      <c r="E232" s="40" t="str">
        <f>IF($D232="","",IFERROR(INDEX(품목목록!$B$3:$B$302,MATCH($D232,품목목록!$A$3:$A$302,0)),""))</f>
        <v/>
      </c>
      <c r="F232" s="47" t="str">
        <f>IF($D232="","",IFERROR(INDEX(품목목록!$D$3:$D$302,MATCH($D232,품목목록!$A$3:$A$302,0)),""))</f>
        <v/>
      </c>
      <c r="G232" s="49" t="str">
        <f>IFERROR(INDEX(전개결과!$N$6:$N$1205,MATCH("R"&amp;227,전개결과!$L$6:$L$1205,0)),"")</f>
        <v/>
      </c>
      <c r="H232" s="40" t="str">
        <f>IF($D232="","",IFERROR(INDEX(전개결과!$Q$6:$Q$1205,MATCH("R"&amp;227,전개결과!$L$6:$L$1205,0)),""))</f>
        <v/>
      </c>
      <c r="J232" s="50" t="b">
        <f>IF(발주접수!$D25="",FALSE(),IF(발주접수!$F25="세트",COUNTIF(세트구성!$G$3:$G$302,발주접수!$D25&amp;"|"&amp;7)&gt;0,6=0))</f>
        <v>0</v>
      </c>
      <c r="K232" s="34" t="str">
        <f>IF($J232=FALSE(),"",COUNTIF($J$6:$J232,TRUE()))</f>
        <v/>
      </c>
      <c r="L232" s="34" t="str">
        <f>IF($K232="","","R"&amp;$K232)</f>
        <v/>
      </c>
      <c r="M232" s="34" t="str">
        <f>IF($J232=FALSE(),"",IF(발주접수!$F25="세트",IFERROR(INDEX(세트구성!$C$3:$C$302,MATCH(발주접수!$D25&amp;"|"&amp;7,세트구성!$G$3:$G$302,0)),""),발주접수!$D25))</f>
        <v/>
      </c>
      <c r="N232" s="34" t="str">
        <f>IF($J232=FALSE(),"",IF(발주접수!$F25="세트",발주접수!$G25*IFERROR(INDEX(세트구성!$E$3:$E$302,MATCH(발주접수!$D25&amp;"|"&amp;7,세트구성!$G$3:$G$302,0)),0),발주접수!$G25))</f>
        <v/>
      </c>
      <c r="O232" s="34" t="str">
        <f>IF($J232=FALSE(),"",발주접수!$B25)</f>
        <v/>
      </c>
      <c r="P232" s="34" t="str">
        <f>IF($J232=FALSE(),"",발주접수!$C25)</f>
        <v/>
      </c>
      <c r="Q232" s="34" t="str">
        <f>IF($J232=FALSE(),"",IF(발주접수!$F25="세트",발주접수!$E25&amp;" 전개","직접 발주"))</f>
        <v/>
      </c>
    </row>
    <row r="233" ht="15" customHeight="1" s="30">
      <c r="A233" s="47" t="str">
        <f>IF($D233="","",228)</f>
        <v/>
      </c>
      <c r="B233" s="48" t="str">
        <f>IFERROR(INDEX(전개결과!$O$6:$O$1205,MATCH("R"&amp;228,전개결과!$L$6:$L$1205,0)),"")</f>
        <v/>
      </c>
      <c r="C233" s="40" t="str">
        <f>IF($D233="","",IFERROR(INDEX(전개결과!$P$6:$P$1205,MATCH("R"&amp;228,전개결과!$L$6:$L$1205,0)),""))</f>
        <v/>
      </c>
      <c r="D233" s="40" t="str">
        <f>IFERROR(INDEX(전개결과!$M$6:$M$1205,MATCH("R"&amp;228,전개결과!$L$6:$L$1205,0)),"")</f>
        <v/>
      </c>
      <c r="E233" s="40" t="str">
        <f>IF($D233="","",IFERROR(INDEX(품목목록!$B$3:$B$302,MATCH($D233,품목목록!$A$3:$A$302,0)),""))</f>
        <v/>
      </c>
      <c r="F233" s="47" t="str">
        <f>IF($D233="","",IFERROR(INDEX(품목목록!$D$3:$D$302,MATCH($D233,품목목록!$A$3:$A$302,0)),""))</f>
        <v/>
      </c>
      <c r="G233" s="49" t="str">
        <f>IFERROR(INDEX(전개결과!$N$6:$N$1205,MATCH("R"&amp;228,전개결과!$L$6:$L$1205,0)),"")</f>
        <v/>
      </c>
      <c r="H233" s="40" t="str">
        <f>IF($D233="","",IFERROR(INDEX(전개결과!$Q$6:$Q$1205,MATCH("R"&amp;228,전개결과!$L$6:$L$1205,0)),""))</f>
        <v/>
      </c>
      <c r="J233" s="50" t="b">
        <f>IF(발주접수!$D25="",FALSE(),IF(발주접수!$F25="세트",COUNTIF(세트구성!$G$3:$G$302,발주접수!$D25&amp;"|"&amp;8)&gt;0,7=0))</f>
        <v>0</v>
      </c>
      <c r="K233" s="34" t="str">
        <f>IF($J233=FALSE(),"",COUNTIF($J$6:$J233,TRUE()))</f>
        <v/>
      </c>
      <c r="L233" s="34" t="str">
        <f>IF($K233="","","R"&amp;$K233)</f>
        <v/>
      </c>
      <c r="M233" s="34" t="str">
        <f>IF($J233=FALSE(),"",IF(발주접수!$F25="세트",IFERROR(INDEX(세트구성!$C$3:$C$302,MATCH(발주접수!$D25&amp;"|"&amp;8,세트구성!$G$3:$G$302,0)),""),발주접수!$D25))</f>
        <v/>
      </c>
      <c r="N233" s="34" t="str">
        <f>IF($J233=FALSE(),"",IF(발주접수!$F25="세트",발주접수!$G25*IFERROR(INDEX(세트구성!$E$3:$E$302,MATCH(발주접수!$D25&amp;"|"&amp;8,세트구성!$G$3:$G$302,0)),0),발주접수!$G25))</f>
        <v/>
      </c>
      <c r="O233" s="34" t="str">
        <f>IF($J233=FALSE(),"",발주접수!$B25)</f>
        <v/>
      </c>
      <c r="P233" s="34" t="str">
        <f>IF($J233=FALSE(),"",발주접수!$C25)</f>
        <v/>
      </c>
      <c r="Q233" s="34" t="str">
        <f>IF($J233=FALSE(),"",IF(발주접수!$F25="세트",발주접수!$E25&amp;" 전개","직접 발주"))</f>
        <v/>
      </c>
    </row>
    <row r="234" ht="15" customHeight="1" s="30">
      <c r="A234" s="47" t="str">
        <f>IF($D234="","",229)</f>
        <v/>
      </c>
      <c r="B234" s="48" t="str">
        <f>IFERROR(INDEX(전개결과!$O$6:$O$1205,MATCH("R"&amp;229,전개결과!$L$6:$L$1205,0)),"")</f>
        <v/>
      </c>
      <c r="C234" s="40" t="str">
        <f>IF($D234="","",IFERROR(INDEX(전개결과!$P$6:$P$1205,MATCH("R"&amp;229,전개결과!$L$6:$L$1205,0)),""))</f>
        <v/>
      </c>
      <c r="D234" s="40" t="str">
        <f>IFERROR(INDEX(전개결과!$M$6:$M$1205,MATCH("R"&amp;229,전개결과!$L$6:$L$1205,0)),"")</f>
        <v/>
      </c>
      <c r="E234" s="40" t="str">
        <f>IF($D234="","",IFERROR(INDEX(품목목록!$B$3:$B$302,MATCH($D234,품목목록!$A$3:$A$302,0)),""))</f>
        <v/>
      </c>
      <c r="F234" s="47" t="str">
        <f>IF($D234="","",IFERROR(INDEX(품목목록!$D$3:$D$302,MATCH($D234,품목목록!$A$3:$A$302,0)),""))</f>
        <v/>
      </c>
      <c r="G234" s="49" t="str">
        <f>IFERROR(INDEX(전개결과!$N$6:$N$1205,MATCH("R"&amp;229,전개결과!$L$6:$L$1205,0)),"")</f>
        <v/>
      </c>
      <c r="H234" s="40" t="str">
        <f>IF($D234="","",IFERROR(INDEX(전개결과!$Q$6:$Q$1205,MATCH("R"&amp;229,전개결과!$L$6:$L$1205,0)),""))</f>
        <v/>
      </c>
      <c r="J234" s="50" t="b">
        <f>IF(발주접수!$D25="",FALSE(),IF(발주접수!$F25="세트",COUNTIF(세트구성!$G$3:$G$302,발주접수!$D25&amp;"|"&amp;9)&gt;0,8=0))</f>
        <v>0</v>
      </c>
      <c r="K234" s="34" t="str">
        <f>IF($J234=FALSE(),"",COUNTIF($J$6:$J234,TRUE()))</f>
        <v/>
      </c>
      <c r="L234" s="34" t="str">
        <f>IF($K234="","","R"&amp;$K234)</f>
        <v/>
      </c>
      <c r="M234" s="34" t="str">
        <f>IF($J234=FALSE(),"",IF(발주접수!$F25="세트",IFERROR(INDEX(세트구성!$C$3:$C$302,MATCH(발주접수!$D25&amp;"|"&amp;9,세트구성!$G$3:$G$302,0)),""),발주접수!$D25))</f>
        <v/>
      </c>
      <c r="N234" s="34" t="str">
        <f>IF($J234=FALSE(),"",IF(발주접수!$F25="세트",발주접수!$G25*IFERROR(INDEX(세트구성!$E$3:$E$302,MATCH(발주접수!$D25&amp;"|"&amp;9,세트구성!$G$3:$G$302,0)),0),발주접수!$G25))</f>
        <v/>
      </c>
      <c r="O234" s="34" t="str">
        <f>IF($J234=FALSE(),"",발주접수!$B25)</f>
        <v/>
      </c>
      <c r="P234" s="34" t="str">
        <f>IF($J234=FALSE(),"",발주접수!$C25)</f>
        <v/>
      </c>
      <c r="Q234" s="34" t="str">
        <f>IF($J234=FALSE(),"",IF(발주접수!$F25="세트",발주접수!$E25&amp;" 전개","직접 발주"))</f>
        <v/>
      </c>
    </row>
    <row r="235" ht="15" customHeight="1" s="30">
      <c r="A235" s="47" t="str">
        <f>IF($D235="","",230)</f>
        <v/>
      </c>
      <c r="B235" s="48" t="str">
        <f>IFERROR(INDEX(전개결과!$O$6:$O$1205,MATCH("R"&amp;230,전개결과!$L$6:$L$1205,0)),"")</f>
        <v/>
      </c>
      <c r="C235" s="40" t="str">
        <f>IF($D235="","",IFERROR(INDEX(전개결과!$P$6:$P$1205,MATCH("R"&amp;230,전개결과!$L$6:$L$1205,0)),""))</f>
        <v/>
      </c>
      <c r="D235" s="40" t="str">
        <f>IFERROR(INDEX(전개결과!$M$6:$M$1205,MATCH("R"&amp;230,전개결과!$L$6:$L$1205,0)),"")</f>
        <v/>
      </c>
      <c r="E235" s="40" t="str">
        <f>IF($D235="","",IFERROR(INDEX(품목목록!$B$3:$B$302,MATCH($D235,품목목록!$A$3:$A$302,0)),""))</f>
        <v/>
      </c>
      <c r="F235" s="47" t="str">
        <f>IF($D235="","",IFERROR(INDEX(품목목록!$D$3:$D$302,MATCH($D235,품목목록!$A$3:$A$302,0)),""))</f>
        <v/>
      </c>
      <c r="G235" s="49" t="str">
        <f>IFERROR(INDEX(전개결과!$N$6:$N$1205,MATCH("R"&amp;230,전개결과!$L$6:$L$1205,0)),"")</f>
        <v/>
      </c>
      <c r="H235" s="40" t="str">
        <f>IF($D235="","",IFERROR(INDEX(전개결과!$Q$6:$Q$1205,MATCH("R"&amp;230,전개결과!$L$6:$L$1205,0)),""))</f>
        <v/>
      </c>
      <c r="J235" s="50" t="b">
        <f>IF(발주접수!$D25="",FALSE(),IF(발주접수!$F25="세트",COUNTIF(세트구성!$G$3:$G$302,발주접수!$D25&amp;"|"&amp;10)&gt;0,9=0))</f>
        <v>0</v>
      </c>
      <c r="K235" s="34" t="str">
        <f>IF($J235=FALSE(),"",COUNTIF($J$6:$J235,TRUE()))</f>
        <v/>
      </c>
      <c r="L235" s="34" t="str">
        <f>IF($K235="","","R"&amp;$K235)</f>
        <v/>
      </c>
      <c r="M235" s="34" t="str">
        <f>IF($J235=FALSE(),"",IF(발주접수!$F25="세트",IFERROR(INDEX(세트구성!$C$3:$C$302,MATCH(발주접수!$D25&amp;"|"&amp;10,세트구성!$G$3:$G$302,0)),""),발주접수!$D25))</f>
        <v/>
      </c>
      <c r="N235" s="34" t="str">
        <f>IF($J235=FALSE(),"",IF(발주접수!$F25="세트",발주접수!$G25*IFERROR(INDEX(세트구성!$E$3:$E$302,MATCH(발주접수!$D25&amp;"|"&amp;10,세트구성!$G$3:$G$302,0)),0),발주접수!$G25))</f>
        <v/>
      </c>
      <c r="O235" s="34" t="str">
        <f>IF($J235=FALSE(),"",발주접수!$B25)</f>
        <v/>
      </c>
      <c r="P235" s="34" t="str">
        <f>IF($J235=FALSE(),"",발주접수!$C25)</f>
        <v/>
      </c>
      <c r="Q235" s="34" t="str">
        <f>IF($J235=FALSE(),"",IF(발주접수!$F25="세트",발주접수!$E25&amp;" 전개","직접 발주"))</f>
        <v/>
      </c>
    </row>
    <row r="236" ht="15" customHeight="1" s="30">
      <c r="A236" s="47" t="str">
        <f>IF($D236="","",231)</f>
        <v/>
      </c>
      <c r="B236" s="48" t="str">
        <f>IFERROR(INDEX(전개결과!$O$6:$O$1205,MATCH("R"&amp;231,전개결과!$L$6:$L$1205,0)),"")</f>
        <v/>
      </c>
      <c r="C236" s="40" t="str">
        <f>IF($D236="","",IFERROR(INDEX(전개결과!$P$6:$P$1205,MATCH("R"&amp;231,전개결과!$L$6:$L$1205,0)),""))</f>
        <v/>
      </c>
      <c r="D236" s="40" t="str">
        <f>IFERROR(INDEX(전개결과!$M$6:$M$1205,MATCH("R"&amp;231,전개결과!$L$6:$L$1205,0)),"")</f>
        <v/>
      </c>
      <c r="E236" s="40" t="str">
        <f>IF($D236="","",IFERROR(INDEX(품목목록!$B$3:$B$302,MATCH($D236,품목목록!$A$3:$A$302,0)),""))</f>
        <v/>
      </c>
      <c r="F236" s="47" t="str">
        <f>IF($D236="","",IFERROR(INDEX(품목목록!$D$3:$D$302,MATCH($D236,품목목록!$A$3:$A$302,0)),""))</f>
        <v/>
      </c>
      <c r="G236" s="49" t="str">
        <f>IFERROR(INDEX(전개결과!$N$6:$N$1205,MATCH("R"&amp;231,전개결과!$L$6:$L$1205,0)),"")</f>
        <v/>
      </c>
      <c r="H236" s="40" t="str">
        <f>IF($D236="","",IFERROR(INDEX(전개결과!$Q$6:$Q$1205,MATCH("R"&amp;231,전개결과!$L$6:$L$1205,0)),""))</f>
        <v/>
      </c>
      <c r="J236" s="50" t="b">
        <f>IF(발주접수!$D26="",FALSE(),IF(발주접수!$F26="세트",COUNTIF(세트구성!$G$3:$G$302,발주접수!$D26&amp;"|"&amp;1)&gt;0,0=0))</f>
        <v>0</v>
      </c>
      <c r="K236" s="34" t="str">
        <f>IF($J236=FALSE(),"",COUNTIF($J$6:$J236,TRUE()))</f>
        <v/>
      </c>
      <c r="L236" s="34" t="str">
        <f>IF($K236="","","R"&amp;$K236)</f>
        <v/>
      </c>
      <c r="M236" s="34" t="str">
        <f>IF($J236=FALSE(),"",IF(발주접수!$F26="세트",IFERROR(INDEX(세트구성!$C$3:$C$302,MATCH(발주접수!$D26&amp;"|"&amp;1,세트구성!$G$3:$G$302,0)),""),발주접수!$D26))</f>
        <v/>
      </c>
      <c r="N236" s="34" t="str">
        <f>IF($J236=FALSE(),"",IF(발주접수!$F26="세트",발주접수!$G26*IFERROR(INDEX(세트구성!$E$3:$E$302,MATCH(발주접수!$D26&amp;"|"&amp;1,세트구성!$G$3:$G$302,0)),0),발주접수!$G26))</f>
        <v/>
      </c>
      <c r="O236" s="34" t="str">
        <f>IF($J236=FALSE(),"",발주접수!$B26)</f>
        <v/>
      </c>
      <c r="P236" s="34" t="str">
        <f>IF($J236=FALSE(),"",발주접수!$C26)</f>
        <v/>
      </c>
      <c r="Q236" s="34" t="str">
        <f>IF($J236=FALSE(),"",IF(발주접수!$F26="세트",발주접수!$E26&amp;" 전개","직접 발주"))</f>
        <v/>
      </c>
    </row>
    <row r="237" ht="15" customHeight="1" s="30">
      <c r="A237" s="47" t="str">
        <f>IF($D237="","",232)</f>
        <v/>
      </c>
      <c r="B237" s="48" t="str">
        <f>IFERROR(INDEX(전개결과!$O$6:$O$1205,MATCH("R"&amp;232,전개결과!$L$6:$L$1205,0)),"")</f>
        <v/>
      </c>
      <c r="C237" s="40" t="str">
        <f>IF($D237="","",IFERROR(INDEX(전개결과!$P$6:$P$1205,MATCH("R"&amp;232,전개결과!$L$6:$L$1205,0)),""))</f>
        <v/>
      </c>
      <c r="D237" s="40" t="str">
        <f>IFERROR(INDEX(전개결과!$M$6:$M$1205,MATCH("R"&amp;232,전개결과!$L$6:$L$1205,0)),"")</f>
        <v/>
      </c>
      <c r="E237" s="40" t="str">
        <f>IF($D237="","",IFERROR(INDEX(품목목록!$B$3:$B$302,MATCH($D237,품목목록!$A$3:$A$302,0)),""))</f>
        <v/>
      </c>
      <c r="F237" s="47" t="str">
        <f>IF($D237="","",IFERROR(INDEX(품목목록!$D$3:$D$302,MATCH($D237,품목목록!$A$3:$A$302,0)),""))</f>
        <v/>
      </c>
      <c r="G237" s="49" t="str">
        <f>IFERROR(INDEX(전개결과!$N$6:$N$1205,MATCH("R"&amp;232,전개결과!$L$6:$L$1205,0)),"")</f>
        <v/>
      </c>
      <c r="H237" s="40" t="str">
        <f>IF($D237="","",IFERROR(INDEX(전개결과!$Q$6:$Q$1205,MATCH("R"&amp;232,전개결과!$L$6:$L$1205,0)),""))</f>
        <v/>
      </c>
      <c r="J237" s="50" t="b">
        <f>IF(발주접수!$D26="",FALSE(),IF(발주접수!$F26="세트",COUNTIF(세트구성!$G$3:$G$302,발주접수!$D26&amp;"|"&amp;2)&gt;0,1=0))</f>
        <v>0</v>
      </c>
      <c r="K237" s="34" t="str">
        <f>IF($J237=FALSE(),"",COUNTIF($J$6:$J237,TRUE()))</f>
        <v/>
      </c>
      <c r="L237" s="34" t="str">
        <f>IF($K237="","","R"&amp;$K237)</f>
        <v/>
      </c>
      <c r="M237" s="34" t="str">
        <f>IF($J237=FALSE(),"",IF(발주접수!$F26="세트",IFERROR(INDEX(세트구성!$C$3:$C$302,MATCH(발주접수!$D26&amp;"|"&amp;2,세트구성!$G$3:$G$302,0)),""),발주접수!$D26))</f>
        <v/>
      </c>
      <c r="N237" s="34" t="str">
        <f>IF($J237=FALSE(),"",IF(발주접수!$F26="세트",발주접수!$G26*IFERROR(INDEX(세트구성!$E$3:$E$302,MATCH(발주접수!$D26&amp;"|"&amp;2,세트구성!$G$3:$G$302,0)),0),발주접수!$G26))</f>
        <v/>
      </c>
      <c r="O237" s="34" t="str">
        <f>IF($J237=FALSE(),"",발주접수!$B26)</f>
        <v/>
      </c>
      <c r="P237" s="34" t="str">
        <f>IF($J237=FALSE(),"",발주접수!$C26)</f>
        <v/>
      </c>
      <c r="Q237" s="34" t="str">
        <f>IF($J237=FALSE(),"",IF(발주접수!$F26="세트",발주접수!$E26&amp;" 전개","직접 발주"))</f>
        <v/>
      </c>
    </row>
    <row r="238" ht="15" customHeight="1" s="30">
      <c r="A238" s="47" t="str">
        <f>IF($D238="","",233)</f>
        <v/>
      </c>
      <c r="B238" s="48" t="str">
        <f>IFERROR(INDEX(전개결과!$O$6:$O$1205,MATCH("R"&amp;233,전개결과!$L$6:$L$1205,0)),"")</f>
        <v/>
      </c>
      <c r="C238" s="40" t="str">
        <f>IF($D238="","",IFERROR(INDEX(전개결과!$P$6:$P$1205,MATCH("R"&amp;233,전개결과!$L$6:$L$1205,0)),""))</f>
        <v/>
      </c>
      <c r="D238" s="40" t="str">
        <f>IFERROR(INDEX(전개결과!$M$6:$M$1205,MATCH("R"&amp;233,전개결과!$L$6:$L$1205,0)),"")</f>
        <v/>
      </c>
      <c r="E238" s="40" t="str">
        <f>IF($D238="","",IFERROR(INDEX(품목목록!$B$3:$B$302,MATCH($D238,품목목록!$A$3:$A$302,0)),""))</f>
        <v/>
      </c>
      <c r="F238" s="47" t="str">
        <f>IF($D238="","",IFERROR(INDEX(품목목록!$D$3:$D$302,MATCH($D238,품목목록!$A$3:$A$302,0)),""))</f>
        <v/>
      </c>
      <c r="G238" s="49" t="str">
        <f>IFERROR(INDEX(전개결과!$N$6:$N$1205,MATCH("R"&amp;233,전개결과!$L$6:$L$1205,0)),"")</f>
        <v/>
      </c>
      <c r="H238" s="40" t="str">
        <f>IF($D238="","",IFERROR(INDEX(전개결과!$Q$6:$Q$1205,MATCH("R"&amp;233,전개결과!$L$6:$L$1205,0)),""))</f>
        <v/>
      </c>
      <c r="J238" s="50" t="b">
        <f>IF(발주접수!$D26="",FALSE(),IF(발주접수!$F26="세트",COUNTIF(세트구성!$G$3:$G$302,발주접수!$D26&amp;"|"&amp;3)&gt;0,2=0))</f>
        <v>0</v>
      </c>
      <c r="K238" s="34" t="str">
        <f>IF($J238=FALSE(),"",COUNTIF($J$6:$J238,TRUE()))</f>
        <v/>
      </c>
      <c r="L238" s="34" t="str">
        <f>IF($K238="","","R"&amp;$K238)</f>
        <v/>
      </c>
      <c r="M238" s="34" t="str">
        <f>IF($J238=FALSE(),"",IF(발주접수!$F26="세트",IFERROR(INDEX(세트구성!$C$3:$C$302,MATCH(발주접수!$D26&amp;"|"&amp;3,세트구성!$G$3:$G$302,0)),""),발주접수!$D26))</f>
        <v/>
      </c>
      <c r="N238" s="34" t="str">
        <f>IF($J238=FALSE(),"",IF(발주접수!$F26="세트",발주접수!$G26*IFERROR(INDEX(세트구성!$E$3:$E$302,MATCH(발주접수!$D26&amp;"|"&amp;3,세트구성!$G$3:$G$302,0)),0),발주접수!$G26))</f>
        <v/>
      </c>
      <c r="O238" s="34" t="str">
        <f>IF($J238=FALSE(),"",발주접수!$B26)</f>
        <v/>
      </c>
      <c r="P238" s="34" t="str">
        <f>IF($J238=FALSE(),"",발주접수!$C26)</f>
        <v/>
      </c>
      <c r="Q238" s="34" t="str">
        <f>IF($J238=FALSE(),"",IF(발주접수!$F26="세트",발주접수!$E26&amp;" 전개","직접 발주"))</f>
        <v/>
      </c>
    </row>
    <row r="239" ht="15" customHeight="1" s="30">
      <c r="A239" s="47" t="str">
        <f>IF($D239="","",234)</f>
        <v/>
      </c>
      <c r="B239" s="48" t="str">
        <f>IFERROR(INDEX(전개결과!$O$6:$O$1205,MATCH("R"&amp;234,전개결과!$L$6:$L$1205,0)),"")</f>
        <v/>
      </c>
      <c r="C239" s="40" t="str">
        <f>IF($D239="","",IFERROR(INDEX(전개결과!$P$6:$P$1205,MATCH("R"&amp;234,전개결과!$L$6:$L$1205,0)),""))</f>
        <v/>
      </c>
      <c r="D239" s="40" t="str">
        <f>IFERROR(INDEX(전개결과!$M$6:$M$1205,MATCH("R"&amp;234,전개결과!$L$6:$L$1205,0)),"")</f>
        <v/>
      </c>
      <c r="E239" s="40" t="str">
        <f>IF($D239="","",IFERROR(INDEX(품목목록!$B$3:$B$302,MATCH($D239,품목목록!$A$3:$A$302,0)),""))</f>
        <v/>
      </c>
      <c r="F239" s="47" t="str">
        <f>IF($D239="","",IFERROR(INDEX(품목목록!$D$3:$D$302,MATCH($D239,품목목록!$A$3:$A$302,0)),""))</f>
        <v/>
      </c>
      <c r="G239" s="49" t="str">
        <f>IFERROR(INDEX(전개결과!$N$6:$N$1205,MATCH("R"&amp;234,전개결과!$L$6:$L$1205,0)),"")</f>
        <v/>
      </c>
      <c r="H239" s="40" t="str">
        <f>IF($D239="","",IFERROR(INDEX(전개결과!$Q$6:$Q$1205,MATCH("R"&amp;234,전개결과!$L$6:$L$1205,0)),""))</f>
        <v/>
      </c>
      <c r="J239" s="50" t="b">
        <f>IF(발주접수!$D26="",FALSE(),IF(발주접수!$F26="세트",COUNTIF(세트구성!$G$3:$G$302,발주접수!$D26&amp;"|"&amp;4)&gt;0,3=0))</f>
        <v>0</v>
      </c>
      <c r="K239" s="34" t="str">
        <f>IF($J239=FALSE(),"",COUNTIF($J$6:$J239,TRUE()))</f>
        <v/>
      </c>
      <c r="L239" s="34" t="str">
        <f>IF($K239="","","R"&amp;$K239)</f>
        <v/>
      </c>
      <c r="M239" s="34" t="str">
        <f>IF($J239=FALSE(),"",IF(발주접수!$F26="세트",IFERROR(INDEX(세트구성!$C$3:$C$302,MATCH(발주접수!$D26&amp;"|"&amp;4,세트구성!$G$3:$G$302,0)),""),발주접수!$D26))</f>
        <v/>
      </c>
      <c r="N239" s="34" t="str">
        <f>IF($J239=FALSE(),"",IF(발주접수!$F26="세트",발주접수!$G26*IFERROR(INDEX(세트구성!$E$3:$E$302,MATCH(발주접수!$D26&amp;"|"&amp;4,세트구성!$G$3:$G$302,0)),0),발주접수!$G26))</f>
        <v/>
      </c>
      <c r="O239" s="34" t="str">
        <f>IF($J239=FALSE(),"",발주접수!$B26)</f>
        <v/>
      </c>
      <c r="P239" s="34" t="str">
        <f>IF($J239=FALSE(),"",발주접수!$C26)</f>
        <v/>
      </c>
      <c r="Q239" s="34" t="str">
        <f>IF($J239=FALSE(),"",IF(발주접수!$F26="세트",발주접수!$E26&amp;" 전개","직접 발주"))</f>
        <v/>
      </c>
    </row>
    <row r="240" ht="15" customHeight="1" s="30">
      <c r="A240" s="47" t="str">
        <f>IF($D240="","",235)</f>
        <v/>
      </c>
      <c r="B240" s="48" t="str">
        <f>IFERROR(INDEX(전개결과!$O$6:$O$1205,MATCH("R"&amp;235,전개결과!$L$6:$L$1205,0)),"")</f>
        <v/>
      </c>
      <c r="C240" s="40" t="str">
        <f>IF($D240="","",IFERROR(INDEX(전개결과!$P$6:$P$1205,MATCH("R"&amp;235,전개결과!$L$6:$L$1205,0)),""))</f>
        <v/>
      </c>
      <c r="D240" s="40" t="str">
        <f>IFERROR(INDEX(전개결과!$M$6:$M$1205,MATCH("R"&amp;235,전개결과!$L$6:$L$1205,0)),"")</f>
        <v/>
      </c>
      <c r="E240" s="40" t="str">
        <f>IF($D240="","",IFERROR(INDEX(품목목록!$B$3:$B$302,MATCH($D240,품목목록!$A$3:$A$302,0)),""))</f>
        <v/>
      </c>
      <c r="F240" s="47" t="str">
        <f>IF($D240="","",IFERROR(INDEX(품목목록!$D$3:$D$302,MATCH($D240,품목목록!$A$3:$A$302,0)),""))</f>
        <v/>
      </c>
      <c r="G240" s="49" t="str">
        <f>IFERROR(INDEX(전개결과!$N$6:$N$1205,MATCH("R"&amp;235,전개결과!$L$6:$L$1205,0)),"")</f>
        <v/>
      </c>
      <c r="H240" s="40" t="str">
        <f>IF($D240="","",IFERROR(INDEX(전개결과!$Q$6:$Q$1205,MATCH("R"&amp;235,전개결과!$L$6:$L$1205,0)),""))</f>
        <v/>
      </c>
      <c r="J240" s="50" t="b">
        <f>IF(발주접수!$D26="",FALSE(),IF(발주접수!$F26="세트",COUNTIF(세트구성!$G$3:$G$302,발주접수!$D26&amp;"|"&amp;5)&gt;0,4=0))</f>
        <v>0</v>
      </c>
      <c r="K240" s="34" t="str">
        <f>IF($J240=FALSE(),"",COUNTIF($J$6:$J240,TRUE()))</f>
        <v/>
      </c>
      <c r="L240" s="34" t="str">
        <f>IF($K240="","","R"&amp;$K240)</f>
        <v/>
      </c>
      <c r="M240" s="34" t="str">
        <f>IF($J240=FALSE(),"",IF(발주접수!$F26="세트",IFERROR(INDEX(세트구성!$C$3:$C$302,MATCH(발주접수!$D26&amp;"|"&amp;5,세트구성!$G$3:$G$302,0)),""),발주접수!$D26))</f>
        <v/>
      </c>
      <c r="N240" s="34" t="str">
        <f>IF($J240=FALSE(),"",IF(발주접수!$F26="세트",발주접수!$G26*IFERROR(INDEX(세트구성!$E$3:$E$302,MATCH(발주접수!$D26&amp;"|"&amp;5,세트구성!$G$3:$G$302,0)),0),발주접수!$G26))</f>
        <v/>
      </c>
      <c r="O240" s="34" t="str">
        <f>IF($J240=FALSE(),"",발주접수!$B26)</f>
        <v/>
      </c>
      <c r="P240" s="34" t="str">
        <f>IF($J240=FALSE(),"",발주접수!$C26)</f>
        <v/>
      </c>
      <c r="Q240" s="34" t="str">
        <f>IF($J240=FALSE(),"",IF(발주접수!$F26="세트",발주접수!$E26&amp;" 전개","직접 발주"))</f>
        <v/>
      </c>
    </row>
    <row r="241" ht="15" customHeight="1" s="30">
      <c r="A241" s="47" t="str">
        <f>IF($D241="","",236)</f>
        <v/>
      </c>
      <c r="B241" s="48" t="str">
        <f>IFERROR(INDEX(전개결과!$O$6:$O$1205,MATCH("R"&amp;236,전개결과!$L$6:$L$1205,0)),"")</f>
        <v/>
      </c>
      <c r="C241" s="40" t="str">
        <f>IF($D241="","",IFERROR(INDEX(전개결과!$P$6:$P$1205,MATCH("R"&amp;236,전개결과!$L$6:$L$1205,0)),""))</f>
        <v/>
      </c>
      <c r="D241" s="40" t="str">
        <f>IFERROR(INDEX(전개결과!$M$6:$M$1205,MATCH("R"&amp;236,전개결과!$L$6:$L$1205,0)),"")</f>
        <v/>
      </c>
      <c r="E241" s="40" t="str">
        <f>IF($D241="","",IFERROR(INDEX(품목목록!$B$3:$B$302,MATCH($D241,품목목록!$A$3:$A$302,0)),""))</f>
        <v/>
      </c>
      <c r="F241" s="47" t="str">
        <f>IF($D241="","",IFERROR(INDEX(품목목록!$D$3:$D$302,MATCH($D241,품목목록!$A$3:$A$302,0)),""))</f>
        <v/>
      </c>
      <c r="G241" s="49" t="str">
        <f>IFERROR(INDEX(전개결과!$N$6:$N$1205,MATCH("R"&amp;236,전개결과!$L$6:$L$1205,0)),"")</f>
        <v/>
      </c>
      <c r="H241" s="40" t="str">
        <f>IF($D241="","",IFERROR(INDEX(전개결과!$Q$6:$Q$1205,MATCH("R"&amp;236,전개결과!$L$6:$L$1205,0)),""))</f>
        <v/>
      </c>
      <c r="J241" s="50" t="b">
        <f>IF(발주접수!$D26="",FALSE(),IF(발주접수!$F26="세트",COUNTIF(세트구성!$G$3:$G$302,발주접수!$D26&amp;"|"&amp;6)&gt;0,5=0))</f>
        <v>0</v>
      </c>
      <c r="K241" s="34" t="str">
        <f>IF($J241=FALSE(),"",COUNTIF($J$6:$J241,TRUE()))</f>
        <v/>
      </c>
      <c r="L241" s="34" t="str">
        <f>IF($K241="","","R"&amp;$K241)</f>
        <v/>
      </c>
      <c r="M241" s="34" t="str">
        <f>IF($J241=FALSE(),"",IF(발주접수!$F26="세트",IFERROR(INDEX(세트구성!$C$3:$C$302,MATCH(발주접수!$D26&amp;"|"&amp;6,세트구성!$G$3:$G$302,0)),""),발주접수!$D26))</f>
        <v/>
      </c>
      <c r="N241" s="34" t="str">
        <f>IF($J241=FALSE(),"",IF(발주접수!$F26="세트",발주접수!$G26*IFERROR(INDEX(세트구성!$E$3:$E$302,MATCH(발주접수!$D26&amp;"|"&amp;6,세트구성!$G$3:$G$302,0)),0),발주접수!$G26))</f>
        <v/>
      </c>
      <c r="O241" s="34" t="str">
        <f>IF($J241=FALSE(),"",발주접수!$B26)</f>
        <v/>
      </c>
      <c r="P241" s="34" t="str">
        <f>IF($J241=FALSE(),"",발주접수!$C26)</f>
        <v/>
      </c>
      <c r="Q241" s="34" t="str">
        <f>IF($J241=FALSE(),"",IF(발주접수!$F26="세트",발주접수!$E26&amp;" 전개","직접 발주"))</f>
        <v/>
      </c>
    </row>
    <row r="242" ht="15" customHeight="1" s="30">
      <c r="A242" s="47" t="str">
        <f>IF($D242="","",237)</f>
        <v/>
      </c>
      <c r="B242" s="48" t="str">
        <f>IFERROR(INDEX(전개결과!$O$6:$O$1205,MATCH("R"&amp;237,전개결과!$L$6:$L$1205,0)),"")</f>
        <v/>
      </c>
      <c r="C242" s="40" t="str">
        <f>IF($D242="","",IFERROR(INDEX(전개결과!$P$6:$P$1205,MATCH("R"&amp;237,전개결과!$L$6:$L$1205,0)),""))</f>
        <v/>
      </c>
      <c r="D242" s="40" t="str">
        <f>IFERROR(INDEX(전개결과!$M$6:$M$1205,MATCH("R"&amp;237,전개결과!$L$6:$L$1205,0)),"")</f>
        <v/>
      </c>
      <c r="E242" s="40" t="str">
        <f>IF($D242="","",IFERROR(INDEX(품목목록!$B$3:$B$302,MATCH($D242,품목목록!$A$3:$A$302,0)),""))</f>
        <v/>
      </c>
      <c r="F242" s="47" t="str">
        <f>IF($D242="","",IFERROR(INDEX(품목목록!$D$3:$D$302,MATCH($D242,품목목록!$A$3:$A$302,0)),""))</f>
        <v/>
      </c>
      <c r="G242" s="49" t="str">
        <f>IFERROR(INDEX(전개결과!$N$6:$N$1205,MATCH("R"&amp;237,전개결과!$L$6:$L$1205,0)),"")</f>
        <v/>
      </c>
      <c r="H242" s="40" t="str">
        <f>IF($D242="","",IFERROR(INDEX(전개결과!$Q$6:$Q$1205,MATCH("R"&amp;237,전개결과!$L$6:$L$1205,0)),""))</f>
        <v/>
      </c>
      <c r="J242" s="50" t="b">
        <f>IF(발주접수!$D26="",FALSE(),IF(발주접수!$F26="세트",COUNTIF(세트구성!$G$3:$G$302,발주접수!$D26&amp;"|"&amp;7)&gt;0,6=0))</f>
        <v>0</v>
      </c>
      <c r="K242" s="34" t="str">
        <f>IF($J242=FALSE(),"",COUNTIF($J$6:$J242,TRUE()))</f>
        <v/>
      </c>
      <c r="L242" s="34" t="str">
        <f>IF($K242="","","R"&amp;$K242)</f>
        <v/>
      </c>
      <c r="M242" s="34" t="str">
        <f>IF($J242=FALSE(),"",IF(발주접수!$F26="세트",IFERROR(INDEX(세트구성!$C$3:$C$302,MATCH(발주접수!$D26&amp;"|"&amp;7,세트구성!$G$3:$G$302,0)),""),발주접수!$D26))</f>
        <v/>
      </c>
      <c r="N242" s="34" t="str">
        <f>IF($J242=FALSE(),"",IF(발주접수!$F26="세트",발주접수!$G26*IFERROR(INDEX(세트구성!$E$3:$E$302,MATCH(발주접수!$D26&amp;"|"&amp;7,세트구성!$G$3:$G$302,0)),0),발주접수!$G26))</f>
        <v/>
      </c>
      <c r="O242" s="34" t="str">
        <f>IF($J242=FALSE(),"",발주접수!$B26)</f>
        <v/>
      </c>
      <c r="P242" s="34" t="str">
        <f>IF($J242=FALSE(),"",발주접수!$C26)</f>
        <v/>
      </c>
      <c r="Q242" s="34" t="str">
        <f>IF($J242=FALSE(),"",IF(발주접수!$F26="세트",발주접수!$E26&amp;" 전개","직접 발주"))</f>
        <v/>
      </c>
    </row>
    <row r="243" ht="15" customHeight="1" s="30">
      <c r="A243" s="47" t="str">
        <f>IF($D243="","",238)</f>
        <v/>
      </c>
      <c r="B243" s="48" t="str">
        <f>IFERROR(INDEX(전개결과!$O$6:$O$1205,MATCH("R"&amp;238,전개결과!$L$6:$L$1205,0)),"")</f>
        <v/>
      </c>
      <c r="C243" s="40" t="str">
        <f>IF($D243="","",IFERROR(INDEX(전개결과!$P$6:$P$1205,MATCH("R"&amp;238,전개결과!$L$6:$L$1205,0)),""))</f>
        <v/>
      </c>
      <c r="D243" s="40" t="str">
        <f>IFERROR(INDEX(전개결과!$M$6:$M$1205,MATCH("R"&amp;238,전개결과!$L$6:$L$1205,0)),"")</f>
        <v/>
      </c>
      <c r="E243" s="40" t="str">
        <f>IF($D243="","",IFERROR(INDEX(품목목록!$B$3:$B$302,MATCH($D243,품목목록!$A$3:$A$302,0)),""))</f>
        <v/>
      </c>
      <c r="F243" s="47" t="str">
        <f>IF($D243="","",IFERROR(INDEX(품목목록!$D$3:$D$302,MATCH($D243,품목목록!$A$3:$A$302,0)),""))</f>
        <v/>
      </c>
      <c r="G243" s="49" t="str">
        <f>IFERROR(INDEX(전개결과!$N$6:$N$1205,MATCH("R"&amp;238,전개결과!$L$6:$L$1205,0)),"")</f>
        <v/>
      </c>
      <c r="H243" s="40" t="str">
        <f>IF($D243="","",IFERROR(INDEX(전개결과!$Q$6:$Q$1205,MATCH("R"&amp;238,전개결과!$L$6:$L$1205,0)),""))</f>
        <v/>
      </c>
      <c r="J243" s="50" t="b">
        <f>IF(발주접수!$D26="",FALSE(),IF(발주접수!$F26="세트",COUNTIF(세트구성!$G$3:$G$302,발주접수!$D26&amp;"|"&amp;8)&gt;0,7=0))</f>
        <v>0</v>
      </c>
      <c r="K243" s="34" t="str">
        <f>IF($J243=FALSE(),"",COUNTIF($J$6:$J243,TRUE()))</f>
        <v/>
      </c>
      <c r="L243" s="34" t="str">
        <f>IF($K243="","","R"&amp;$K243)</f>
        <v/>
      </c>
      <c r="M243" s="34" t="str">
        <f>IF($J243=FALSE(),"",IF(발주접수!$F26="세트",IFERROR(INDEX(세트구성!$C$3:$C$302,MATCH(발주접수!$D26&amp;"|"&amp;8,세트구성!$G$3:$G$302,0)),""),발주접수!$D26))</f>
        <v/>
      </c>
      <c r="N243" s="34" t="str">
        <f>IF($J243=FALSE(),"",IF(발주접수!$F26="세트",발주접수!$G26*IFERROR(INDEX(세트구성!$E$3:$E$302,MATCH(발주접수!$D26&amp;"|"&amp;8,세트구성!$G$3:$G$302,0)),0),발주접수!$G26))</f>
        <v/>
      </c>
      <c r="O243" s="34" t="str">
        <f>IF($J243=FALSE(),"",발주접수!$B26)</f>
        <v/>
      </c>
      <c r="P243" s="34" t="str">
        <f>IF($J243=FALSE(),"",발주접수!$C26)</f>
        <v/>
      </c>
      <c r="Q243" s="34" t="str">
        <f>IF($J243=FALSE(),"",IF(발주접수!$F26="세트",발주접수!$E26&amp;" 전개","직접 발주"))</f>
        <v/>
      </c>
    </row>
    <row r="244" ht="15" customHeight="1" s="30">
      <c r="A244" s="47" t="str">
        <f>IF($D244="","",239)</f>
        <v/>
      </c>
      <c r="B244" s="48" t="str">
        <f>IFERROR(INDEX(전개결과!$O$6:$O$1205,MATCH("R"&amp;239,전개결과!$L$6:$L$1205,0)),"")</f>
        <v/>
      </c>
      <c r="C244" s="40" t="str">
        <f>IF($D244="","",IFERROR(INDEX(전개결과!$P$6:$P$1205,MATCH("R"&amp;239,전개결과!$L$6:$L$1205,0)),""))</f>
        <v/>
      </c>
      <c r="D244" s="40" t="str">
        <f>IFERROR(INDEX(전개결과!$M$6:$M$1205,MATCH("R"&amp;239,전개결과!$L$6:$L$1205,0)),"")</f>
        <v/>
      </c>
      <c r="E244" s="40" t="str">
        <f>IF($D244="","",IFERROR(INDEX(품목목록!$B$3:$B$302,MATCH($D244,품목목록!$A$3:$A$302,0)),""))</f>
        <v/>
      </c>
      <c r="F244" s="47" t="str">
        <f>IF($D244="","",IFERROR(INDEX(품목목록!$D$3:$D$302,MATCH($D244,품목목록!$A$3:$A$302,0)),""))</f>
        <v/>
      </c>
      <c r="G244" s="49" t="str">
        <f>IFERROR(INDEX(전개결과!$N$6:$N$1205,MATCH("R"&amp;239,전개결과!$L$6:$L$1205,0)),"")</f>
        <v/>
      </c>
      <c r="H244" s="40" t="str">
        <f>IF($D244="","",IFERROR(INDEX(전개결과!$Q$6:$Q$1205,MATCH("R"&amp;239,전개결과!$L$6:$L$1205,0)),""))</f>
        <v/>
      </c>
      <c r="J244" s="50" t="b">
        <f>IF(발주접수!$D26="",FALSE(),IF(발주접수!$F26="세트",COUNTIF(세트구성!$G$3:$G$302,발주접수!$D26&amp;"|"&amp;9)&gt;0,8=0))</f>
        <v>0</v>
      </c>
      <c r="K244" s="34" t="str">
        <f>IF($J244=FALSE(),"",COUNTIF($J$6:$J244,TRUE()))</f>
        <v/>
      </c>
      <c r="L244" s="34" t="str">
        <f>IF($K244="","","R"&amp;$K244)</f>
        <v/>
      </c>
      <c r="M244" s="34" t="str">
        <f>IF($J244=FALSE(),"",IF(발주접수!$F26="세트",IFERROR(INDEX(세트구성!$C$3:$C$302,MATCH(발주접수!$D26&amp;"|"&amp;9,세트구성!$G$3:$G$302,0)),""),발주접수!$D26))</f>
        <v/>
      </c>
      <c r="N244" s="34" t="str">
        <f>IF($J244=FALSE(),"",IF(발주접수!$F26="세트",발주접수!$G26*IFERROR(INDEX(세트구성!$E$3:$E$302,MATCH(발주접수!$D26&amp;"|"&amp;9,세트구성!$G$3:$G$302,0)),0),발주접수!$G26))</f>
        <v/>
      </c>
      <c r="O244" s="34" t="str">
        <f>IF($J244=FALSE(),"",발주접수!$B26)</f>
        <v/>
      </c>
      <c r="P244" s="34" t="str">
        <f>IF($J244=FALSE(),"",발주접수!$C26)</f>
        <v/>
      </c>
      <c r="Q244" s="34" t="str">
        <f>IF($J244=FALSE(),"",IF(발주접수!$F26="세트",발주접수!$E26&amp;" 전개","직접 발주"))</f>
        <v/>
      </c>
    </row>
    <row r="245" ht="15" customHeight="1" s="30">
      <c r="A245" s="47" t="str">
        <f>IF($D245="","",240)</f>
        <v/>
      </c>
      <c r="B245" s="48" t="str">
        <f>IFERROR(INDEX(전개결과!$O$6:$O$1205,MATCH("R"&amp;240,전개결과!$L$6:$L$1205,0)),"")</f>
        <v/>
      </c>
      <c r="C245" s="40" t="str">
        <f>IF($D245="","",IFERROR(INDEX(전개결과!$P$6:$P$1205,MATCH("R"&amp;240,전개결과!$L$6:$L$1205,0)),""))</f>
        <v/>
      </c>
      <c r="D245" s="40" t="str">
        <f>IFERROR(INDEX(전개결과!$M$6:$M$1205,MATCH("R"&amp;240,전개결과!$L$6:$L$1205,0)),"")</f>
        <v/>
      </c>
      <c r="E245" s="40" t="str">
        <f>IF($D245="","",IFERROR(INDEX(품목목록!$B$3:$B$302,MATCH($D245,품목목록!$A$3:$A$302,0)),""))</f>
        <v/>
      </c>
      <c r="F245" s="47" t="str">
        <f>IF($D245="","",IFERROR(INDEX(품목목록!$D$3:$D$302,MATCH($D245,품목목록!$A$3:$A$302,0)),""))</f>
        <v/>
      </c>
      <c r="G245" s="49" t="str">
        <f>IFERROR(INDEX(전개결과!$N$6:$N$1205,MATCH("R"&amp;240,전개결과!$L$6:$L$1205,0)),"")</f>
        <v/>
      </c>
      <c r="H245" s="40" t="str">
        <f>IF($D245="","",IFERROR(INDEX(전개결과!$Q$6:$Q$1205,MATCH("R"&amp;240,전개결과!$L$6:$L$1205,0)),""))</f>
        <v/>
      </c>
      <c r="J245" s="50" t="b">
        <f>IF(발주접수!$D26="",FALSE(),IF(발주접수!$F26="세트",COUNTIF(세트구성!$G$3:$G$302,발주접수!$D26&amp;"|"&amp;10)&gt;0,9=0))</f>
        <v>0</v>
      </c>
      <c r="K245" s="34" t="str">
        <f>IF($J245=FALSE(),"",COUNTIF($J$6:$J245,TRUE()))</f>
        <v/>
      </c>
      <c r="L245" s="34" t="str">
        <f>IF($K245="","","R"&amp;$K245)</f>
        <v/>
      </c>
      <c r="M245" s="34" t="str">
        <f>IF($J245=FALSE(),"",IF(발주접수!$F26="세트",IFERROR(INDEX(세트구성!$C$3:$C$302,MATCH(발주접수!$D26&amp;"|"&amp;10,세트구성!$G$3:$G$302,0)),""),발주접수!$D26))</f>
        <v/>
      </c>
      <c r="N245" s="34" t="str">
        <f>IF($J245=FALSE(),"",IF(발주접수!$F26="세트",발주접수!$G26*IFERROR(INDEX(세트구성!$E$3:$E$302,MATCH(발주접수!$D26&amp;"|"&amp;10,세트구성!$G$3:$G$302,0)),0),발주접수!$G26))</f>
        <v/>
      </c>
      <c r="O245" s="34" t="str">
        <f>IF($J245=FALSE(),"",발주접수!$B26)</f>
        <v/>
      </c>
      <c r="P245" s="34" t="str">
        <f>IF($J245=FALSE(),"",발주접수!$C26)</f>
        <v/>
      </c>
      <c r="Q245" s="34" t="str">
        <f>IF($J245=FALSE(),"",IF(발주접수!$F26="세트",발주접수!$E26&amp;" 전개","직접 발주"))</f>
        <v/>
      </c>
    </row>
    <row r="246" ht="15" customHeight="1" s="30">
      <c r="A246" s="47" t="str">
        <f>IF($D246="","",241)</f>
        <v/>
      </c>
      <c r="B246" s="48" t="str">
        <f>IFERROR(INDEX(전개결과!$O$6:$O$1205,MATCH("R"&amp;241,전개결과!$L$6:$L$1205,0)),"")</f>
        <v/>
      </c>
      <c r="C246" s="40" t="str">
        <f>IF($D246="","",IFERROR(INDEX(전개결과!$P$6:$P$1205,MATCH("R"&amp;241,전개결과!$L$6:$L$1205,0)),""))</f>
        <v/>
      </c>
      <c r="D246" s="40" t="str">
        <f>IFERROR(INDEX(전개결과!$M$6:$M$1205,MATCH("R"&amp;241,전개결과!$L$6:$L$1205,0)),"")</f>
        <v/>
      </c>
      <c r="E246" s="40" t="str">
        <f>IF($D246="","",IFERROR(INDEX(품목목록!$B$3:$B$302,MATCH($D246,품목목록!$A$3:$A$302,0)),""))</f>
        <v/>
      </c>
      <c r="F246" s="47" t="str">
        <f>IF($D246="","",IFERROR(INDEX(품목목록!$D$3:$D$302,MATCH($D246,품목목록!$A$3:$A$302,0)),""))</f>
        <v/>
      </c>
      <c r="G246" s="49" t="str">
        <f>IFERROR(INDEX(전개결과!$N$6:$N$1205,MATCH("R"&amp;241,전개결과!$L$6:$L$1205,0)),"")</f>
        <v/>
      </c>
      <c r="H246" s="40" t="str">
        <f>IF($D246="","",IFERROR(INDEX(전개결과!$Q$6:$Q$1205,MATCH("R"&amp;241,전개결과!$L$6:$L$1205,0)),""))</f>
        <v/>
      </c>
      <c r="J246" s="50" t="b">
        <f>IF(발주접수!$D27="",FALSE(),IF(발주접수!$F27="세트",COUNTIF(세트구성!$G$3:$G$302,발주접수!$D27&amp;"|"&amp;1)&gt;0,0=0))</f>
        <v>0</v>
      </c>
      <c r="K246" s="34" t="str">
        <f>IF($J246=FALSE(),"",COUNTIF($J$6:$J246,TRUE()))</f>
        <v/>
      </c>
      <c r="L246" s="34" t="str">
        <f>IF($K246="","","R"&amp;$K246)</f>
        <v/>
      </c>
      <c r="M246" s="34" t="str">
        <f>IF($J246=FALSE(),"",IF(발주접수!$F27="세트",IFERROR(INDEX(세트구성!$C$3:$C$302,MATCH(발주접수!$D27&amp;"|"&amp;1,세트구성!$G$3:$G$302,0)),""),발주접수!$D27))</f>
        <v/>
      </c>
      <c r="N246" s="34" t="str">
        <f>IF($J246=FALSE(),"",IF(발주접수!$F27="세트",발주접수!$G27*IFERROR(INDEX(세트구성!$E$3:$E$302,MATCH(발주접수!$D27&amp;"|"&amp;1,세트구성!$G$3:$G$302,0)),0),발주접수!$G27))</f>
        <v/>
      </c>
      <c r="O246" s="34" t="str">
        <f>IF($J246=FALSE(),"",발주접수!$B27)</f>
        <v/>
      </c>
      <c r="P246" s="34" t="str">
        <f>IF($J246=FALSE(),"",발주접수!$C27)</f>
        <v/>
      </c>
      <c r="Q246" s="34" t="str">
        <f>IF($J246=FALSE(),"",IF(발주접수!$F27="세트",발주접수!$E27&amp;" 전개","직접 발주"))</f>
        <v/>
      </c>
    </row>
    <row r="247" ht="15" customHeight="1" s="30">
      <c r="A247" s="47" t="str">
        <f>IF($D247="","",242)</f>
        <v/>
      </c>
      <c r="B247" s="48" t="str">
        <f>IFERROR(INDEX(전개결과!$O$6:$O$1205,MATCH("R"&amp;242,전개결과!$L$6:$L$1205,0)),"")</f>
        <v/>
      </c>
      <c r="C247" s="40" t="str">
        <f>IF($D247="","",IFERROR(INDEX(전개결과!$P$6:$P$1205,MATCH("R"&amp;242,전개결과!$L$6:$L$1205,0)),""))</f>
        <v/>
      </c>
      <c r="D247" s="40" t="str">
        <f>IFERROR(INDEX(전개결과!$M$6:$M$1205,MATCH("R"&amp;242,전개결과!$L$6:$L$1205,0)),"")</f>
        <v/>
      </c>
      <c r="E247" s="40" t="str">
        <f>IF($D247="","",IFERROR(INDEX(품목목록!$B$3:$B$302,MATCH($D247,품목목록!$A$3:$A$302,0)),""))</f>
        <v/>
      </c>
      <c r="F247" s="47" t="str">
        <f>IF($D247="","",IFERROR(INDEX(품목목록!$D$3:$D$302,MATCH($D247,품목목록!$A$3:$A$302,0)),""))</f>
        <v/>
      </c>
      <c r="G247" s="49" t="str">
        <f>IFERROR(INDEX(전개결과!$N$6:$N$1205,MATCH("R"&amp;242,전개결과!$L$6:$L$1205,0)),"")</f>
        <v/>
      </c>
      <c r="H247" s="40" t="str">
        <f>IF($D247="","",IFERROR(INDEX(전개결과!$Q$6:$Q$1205,MATCH("R"&amp;242,전개결과!$L$6:$L$1205,0)),""))</f>
        <v/>
      </c>
      <c r="J247" s="50" t="b">
        <f>IF(발주접수!$D27="",FALSE(),IF(발주접수!$F27="세트",COUNTIF(세트구성!$G$3:$G$302,발주접수!$D27&amp;"|"&amp;2)&gt;0,1=0))</f>
        <v>0</v>
      </c>
      <c r="K247" s="34" t="str">
        <f>IF($J247=FALSE(),"",COUNTIF($J$6:$J247,TRUE()))</f>
        <v/>
      </c>
      <c r="L247" s="34" t="str">
        <f>IF($K247="","","R"&amp;$K247)</f>
        <v/>
      </c>
      <c r="M247" s="34" t="str">
        <f>IF($J247=FALSE(),"",IF(발주접수!$F27="세트",IFERROR(INDEX(세트구성!$C$3:$C$302,MATCH(발주접수!$D27&amp;"|"&amp;2,세트구성!$G$3:$G$302,0)),""),발주접수!$D27))</f>
        <v/>
      </c>
      <c r="N247" s="34" t="str">
        <f>IF($J247=FALSE(),"",IF(발주접수!$F27="세트",발주접수!$G27*IFERROR(INDEX(세트구성!$E$3:$E$302,MATCH(발주접수!$D27&amp;"|"&amp;2,세트구성!$G$3:$G$302,0)),0),발주접수!$G27))</f>
        <v/>
      </c>
      <c r="O247" s="34" t="str">
        <f>IF($J247=FALSE(),"",발주접수!$B27)</f>
        <v/>
      </c>
      <c r="P247" s="34" t="str">
        <f>IF($J247=FALSE(),"",발주접수!$C27)</f>
        <v/>
      </c>
      <c r="Q247" s="34" t="str">
        <f>IF($J247=FALSE(),"",IF(발주접수!$F27="세트",발주접수!$E27&amp;" 전개","직접 발주"))</f>
        <v/>
      </c>
    </row>
    <row r="248" ht="15" customHeight="1" s="30">
      <c r="A248" s="47" t="str">
        <f>IF($D248="","",243)</f>
        <v/>
      </c>
      <c r="B248" s="48" t="str">
        <f>IFERROR(INDEX(전개결과!$O$6:$O$1205,MATCH("R"&amp;243,전개결과!$L$6:$L$1205,0)),"")</f>
        <v/>
      </c>
      <c r="C248" s="40" t="str">
        <f>IF($D248="","",IFERROR(INDEX(전개결과!$P$6:$P$1205,MATCH("R"&amp;243,전개결과!$L$6:$L$1205,0)),""))</f>
        <v/>
      </c>
      <c r="D248" s="40" t="str">
        <f>IFERROR(INDEX(전개결과!$M$6:$M$1205,MATCH("R"&amp;243,전개결과!$L$6:$L$1205,0)),"")</f>
        <v/>
      </c>
      <c r="E248" s="40" t="str">
        <f>IF($D248="","",IFERROR(INDEX(품목목록!$B$3:$B$302,MATCH($D248,품목목록!$A$3:$A$302,0)),""))</f>
        <v/>
      </c>
      <c r="F248" s="47" t="str">
        <f>IF($D248="","",IFERROR(INDEX(품목목록!$D$3:$D$302,MATCH($D248,품목목록!$A$3:$A$302,0)),""))</f>
        <v/>
      </c>
      <c r="G248" s="49" t="str">
        <f>IFERROR(INDEX(전개결과!$N$6:$N$1205,MATCH("R"&amp;243,전개결과!$L$6:$L$1205,0)),"")</f>
        <v/>
      </c>
      <c r="H248" s="40" t="str">
        <f>IF($D248="","",IFERROR(INDEX(전개결과!$Q$6:$Q$1205,MATCH("R"&amp;243,전개결과!$L$6:$L$1205,0)),""))</f>
        <v/>
      </c>
      <c r="J248" s="50" t="b">
        <f>IF(발주접수!$D27="",FALSE(),IF(발주접수!$F27="세트",COUNTIF(세트구성!$G$3:$G$302,발주접수!$D27&amp;"|"&amp;3)&gt;0,2=0))</f>
        <v>0</v>
      </c>
      <c r="K248" s="34" t="str">
        <f>IF($J248=FALSE(),"",COUNTIF($J$6:$J248,TRUE()))</f>
        <v/>
      </c>
      <c r="L248" s="34" t="str">
        <f>IF($K248="","","R"&amp;$K248)</f>
        <v/>
      </c>
      <c r="M248" s="34" t="str">
        <f>IF($J248=FALSE(),"",IF(발주접수!$F27="세트",IFERROR(INDEX(세트구성!$C$3:$C$302,MATCH(발주접수!$D27&amp;"|"&amp;3,세트구성!$G$3:$G$302,0)),""),발주접수!$D27))</f>
        <v/>
      </c>
      <c r="N248" s="34" t="str">
        <f>IF($J248=FALSE(),"",IF(발주접수!$F27="세트",발주접수!$G27*IFERROR(INDEX(세트구성!$E$3:$E$302,MATCH(발주접수!$D27&amp;"|"&amp;3,세트구성!$G$3:$G$302,0)),0),발주접수!$G27))</f>
        <v/>
      </c>
      <c r="O248" s="34" t="str">
        <f>IF($J248=FALSE(),"",발주접수!$B27)</f>
        <v/>
      </c>
      <c r="P248" s="34" t="str">
        <f>IF($J248=FALSE(),"",발주접수!$C27)</f>
        <v/>
      </c>
      <c r="Q248" s="34" t="str">
        <f>IF($J248=FALSE(),"",IF(발주접수!$F27="세트",발주접수!$E27&amp;" 전개","직접 발주"))</f>
        <v/>
      </c>
    </row>
    <row r="249" ht="15" customHeight="1" s="30">
      <c r="A249" s="47" t="str">
        <f>IF($D249="","",244)</f>
        <v/>
      </c>
      <c r="B249" s="48" t="str">
        <f>IFERROR(INDEX(전개결과!$O$6:$O$1205,MATCH("R"&amp;244,전개결과!$L$6:$L$1205,0)),"")</f>
        <v/>
      </c>
      <c r="C249" s="40" t="str">
        <f>IF($D249="","",IFERROR(INDEX(전개결과!$P$6:$P$1205,MATCH("R"&amp;244,전개결과!$L$6:$L$1205,0)),""))</f>
        <v/>
      </c>
      <c r="D249" s="40" t="str">
        <f>IFERROR(INDEX(전개결과!$M$6:$M$1205,MATCH("R"&amp;244,전개결과!$L$6:$L$1205,0)),"")</f>
        <v/>
      </c>
      <c r="E249" s="40" t="str">
        <f>IF($D249="","",IFERROR(INDEX(품목목록!$B$3:$B$302,MATCH($D249,품목목록!$A$3:$A$302,0)),""))</f>
        <v/>
      </c>
      <c r="F249" s="47" t="str">
        <f>IF($D249="","",IFERROR(INDEX(품목목록!$D$3:$D$302,MATCH($D249,품목목록!$A$3:$A$302,0)),""))</f>
        <v/>
      </c>
      <c r="G249" s="49" t="str">
        <f>IFERROR(INDEX(전개결과!$N$6:$N$1205,MATCH("R"&amp;244,전개결과!$L$6:$L$1205,0)),"")</f>
        <v/>
      </c>
      <c r="H249" s="40" t="str">
        <f>IF($D249="","",IFERROR(INDEX(전개결과!$Q$6:$Q$1205,MATCH("R"&amp;244,전개결과!$L$6:$L$1205,0)),""))</f>
        <v/>
      </c>
      <c r="J249" s="50" t="b">
        <f>IF(발주접수!$D27="",FALSE(),IF(발주접수!$F27="세트",COUNTIF(세트구성!$G$3:$G$302,발주접수!$D27&amp;"|"&amp;4)&gt;0,3=0))</f>
        <v>0</v>
      </c>
      <c r="K249" s="34" t="str">
        <f>IF($J249=FALSE(),"",COUNTIF($J$6:$J249,TRUE()))</f>
        <v/>
      </c>
      <c r="L249" s="34" t="str">
        <f>IF($K249="","","R"&amp;$K249)</f>
        <v/>
      </c>
      <c r="M249" s="34" t="str">
        <f>IF($J249=FALSE(),"",IF(발주접수!$F27="세트",IFERROR(INDEX(세트구성!$C$3:$C$302,MATCH(발주접수!$D27&amp;"|"&amp;4,세트구성!$G$3:$G$302,0)),""),발주접수!$D27))</f>
        <v/>
      </c>
      <c r="N249" s="34" t="str">
        <f>IF($J249=FALSE(),"",IF(발주접수!$F27="세트",발주접수!$G27*IFERROR(INDEX(세트구성!$E$3:$E$302,MATCH(발주접수!$D27&amp;"|"&amp;4,세트구성!$G$3:$G$302,0)),0),발주접수!$G27))</f>
        <v/>
      </c>
      <c r="O249" s="34" t="str">
        <f>IF($J249=FALSE(),"",발주접수!$B27)</f>
        <v/>
      </c>
      <c r="P249" s="34" t="str">
        <f>IF($J249=FALSE(),"",발주접수!$C27)</f>
        <v/>
      </c>
      <c r="Q249" s="34" t="str">
        <f>IF($J249=FALSE(),"",IF(발주접수!$F27="세트",발주접수!$E27&amp;" 전개","직접 발주"))</f>
        <v/>
      </c>
    </row>
    <row r="250" ht="15" customHeight="1" s="30">
      <c r="A250" s="47" t="str">
        <f>IF($D250="","",245)</f>
        <v/>
      </c>
      <c r="B250" s="48" t="str">
        <f>IFERROR(INDEX(전개결과!$O$6:$O$1205,MATCH("R"&amp;245,전개결과!$L$6:$L$1205,0)),"")</f>
        <v/>
      </c>
      <c r="C250" s="40" t="str">
        <f>IF($D250="","",IFERROR(INDEX(전개결과!$P$6:$P$1205,MATCH("R"&amp;245,전개결과!$L$6:$L$1205,0)),""))</f>
        <v/>
      </c>
      <c r="D250" s="40" t="str">
        <f>IFERROR(INDEX(전개결과!$M$6:$M$1205,MATCH("R"&amp;245,전개결과!$L$6:$L$1205,0)),"")</f>
        <v/>
      </c>
      <c r="E250" s="40" t="str">
        <f>IF($D250="","",IFERROR(INDEX(품목목록!$B$3:$B$302,MATCH($D250,품목목록!$A$3:$A$302,0)),""))</f>
        <v/>
      </c>
      <c r="F250" s="47" t="str">
        <f>IF($D250="","",IFERROR(INDEX(품목목록!$D$3:$D$302,MATCH($D250,품목목록!$A$3:$A$302,0)),""))</f>
        <v/>
      </c>
      <c r="G250" s="49" t="str">
        <f>IFERROR(INDEX(전개결과!$N$6:$N$1205,MATCH("R"&amp;245,전개결과!$L$6:$L$1205,0)),"")</f>
        <v/>
      </c>
      <c r="H250" s="40" t="str">
        <f>IF($D250="","",IFERROR(INDEX(전개결과!$Q$6:$Q$1205,MATCH("R"&amp;245,전개결과!$L$6:$L$1205,0)),""))</f>
        <v/>
      </c>
      <c r="J250" s="50" t="b">
        <f>IF(발주접수!$D27="",FALSE(),IF(발주접수!$F27="세트",COUNTIF(세트구성!$G$3:$G$302,발주접수!$D27&amp;"|"&amp;5)&gt;0,4=0))</f>
        <v>0</v>
      </c>
      <c r="K250" s="34" t="str">
        <f>IF($J250=FALSE(),"",COUNTIF($J$6:$J250,TRUE()))</f>
        <v/>
      </c>
      <c r="L250" s="34" t="str">
        <f>IF($K250="","","R"&amp;$K250)</f>
        <v/>
      </c>
      <c r="M250" s="34" t="str">
        <f>IF($J250=FALSE(),"",IF(발주접수!$F27="세트",IFERROR(INDEX(세트구성!$C$3:$C$302,MATCH(발주접수!$D27&amp;"|"&amp;5,세트구성!$G$3:$G$302,0)),""),발주접수!$D27))</f>
        <v/>
      </c>
      <c r="N250" s="34" t="str">
        <f>IF($J250=FALSE(),"",IF(발주접수!$F27="세트",발주접수!$G27*IFERROR(INDEX(세트구성!$E$3:$E$302,MATCH(발주접수!$D27&amp;"|"&amp;5,세트구성!$G$3:$G$302,0)),0),발주접수!$G27))</f>
        <v/>
      </c>
      <c r="O250" s="34" t="str">
        <f>IF($J250=FALSE(),"",발주접수!$B27)</f>
        <v/>
      </c>
      <c r="P250" s="34" t="str">
        <f>IF($J250=FALSE(),"",발주접수!$C27)</f>
        <v/>
      </c>
      <c r="Q250" s="34" t="str">
        <f>IF($J250=FALSE(),"",IF(발주접수!$F27="세트",발주접수!$E27&amp;" 전개","직접 발주"))</f>
        <v/>
      </c>
    </row>
    <row r="251" ht="15" customHeight="1" s="30">
      <c r="A251" s="47" t="str">
        <f>IF($D251="","",246)</f>
        <v/>
      </c>
      <c r="B251" s="48" t="str">
        <f>IFERROR(INDEX(전개결과!$O$6:$O$1205,MATCH("R"&amp;246,전개결과!$L$6:$L$1205,0)),"")</f>
        <v/>
      </c>
      <c r="C251" s="40" t="str">
        <f>IF($D251="","",IFERROR(INDEX(전개결과!$P$6:$P$1205,MATCH("R"&amp;246,전개결과!$L$6:$L$1205,0)),""))</f>
        <v/>
      </c>
      <c r="D251" s="40" t="str">
        <f>IFERROR(INDEX(전개결과!$M$6:$M$1205,MATCH("R"&amp;246,전개결과!$L$6:$L$1205,0)),"")</f>
        <v/>
      </c>
      <c r="E251" s="40" t="str">
        <f>IF($D251="","",IFERROR(INDEX(품목목록!$B$3:$B$302,MATCH($D251,품목목록!$A$3:$A$302,0)),""))</f>
        <v/>
      </c>
      <c r="F251" s="47" t="str">
        <f>IF($D251="","",IFERROR(INDEX(품목목록!$D$3:$D$302,MATCH($D251,품목목록!$A$3:$A$302,0)),""))</f>
        <v/>
      </c>
      <c r="G251" s="49" t="str">
        <f>IFERROR(INDEX(전개결과!$N$6:$N$1205,MATCH("R"&amp;246,전개결과!$L$6:$L$1205,0)),"")</f>
        <v/>
      </c>
      <c r="H251" s="40" t="str">
        <f>IF($D251="","",IFERROR(INDEX(전개결과!$Q$6:$Q$1205,MATCH("R"&amp;246,전개결과!$L$6:$L$1205,0)),""))</f>
        <v/>
      </c>
      <c r="J251" s="50" t="b">
        <f>IF(발주접수!$D27="",FALSE(),IF(발주접수!$F27="세트",COUNTIF(세트구성!$G$3:$G$302,발주접수!$D27&amp;"|"&amp;6)&gt;0,5=0))</f>
        <v>0</v>
      </c>
      <c r="K251" s="34" t="str">
        <f>IF($J251=FALSE(),"",COUNTIF($J$6:$J251,TRUE()))</f>
        <v/>
      </c>
      <c r="L251" s="34" t="str">
        <f>IF($K251="","","R"&amp;$K251)</f>
        <v/>
      </c>
      <c r="M251" s="34" t="str">
        <f>IF($J251=FALSE(),"",IF(발주접수!$F27="세트",IFERROR(INDEX(세트구성!$C$3:$C$302,MATCH(발주접수!$D27&amp;"|"&amp;6,세트구성!$G$3:$G$302,0)),""),발주접수!$D27))</f>
        <v/>
      </c>
      <c r="N251" s="34" t="str">
        <f>IF($J251=FALSE(),"",IF(발주접수!$F27="세트",발주접수!$G27*IFERROR(INDEX(세트구성!$E$3:$E$302,MATCH(발주접수!$D27&amp;"|"&amp;6,세트구성!$G$3:$G$302,0)),0),발주접수!$G27))</f>
        <v/>
      </c>
      <c r="O251" s="34" t="str">
        <f>IF($J251=FALSE(),"",발주접수!$B27)</f>
        <v/>
      </c>
      <c r="P251" s="34" t="str">
        <f>IF($J251=FALSE(),"",발주접수!$C27)</f>
        <v/>
      </c>
      <c r="Q251" s="34" t="str">
        <f>IF($J251=FALSE(),"",IF(발주접수!$F27="세트",발주접수!$E27&amp;" 전개","직접 발주"))</f>
        <v/>
      </c>
    </row>
    <row r="252" ht="15" customHeight="1" s="30">
      <c r="A252" s="47" t="str">
        <f>IF($D252="","",247)</f>
        <v/>
      </c>
      <c r="B252" s="48" t="str">
        <f>IFERROR(INDEX(전개결과!$O$6:$O$1205,MATCH("R"&amp;247,전개결과!$L$6:$L$1205,0)),"")</f>
        <v/>
      </c>
      <c r="C252" s="40" t="str">
        <f>IF($D252="","",IFERROR(INDEX(전개결과!$P$6:$P$1205,MATCH("R"&amp;247,전개결과!$L$6:$L$1205,0)),""))</f>
        <v/>
      </c>
      <c r="D252" s="40" t="str">
        <f>IFERROR(INDEX(전개결과!$M$6:$M$1205,MATCH("R"&amp;247,전개결과!$L$6:$L$1205,0)),"")</f>
        <v/>
      </c>
      <c r="E252" s="40" t="str">
        <f>IF($D252="","",IFERROR(INDEX(품목목록!$B$3:$B$302,MATCH($D252,품목목록!$A$3:$A$302,0)),""))</f>
        <v/>
      </c>
      <c r="F252" s="47" t="str">
        <f>IF($D252="","",IFERROR(INDEX(품목목록!$D$3:$D$302,MATCH($D252,품목목록!$A$3:$A$302,0)),""))</f>
        <v/>
      </c>
      <c r="G252" s="49" t="str">
        <f>IFERROR(INDEX(전개결과!$N$6:$N$1205,MATCH("R"&amp;247,전개결과!$L$6:$L$1205,0)),"")</f>
        <v/>
      </c>
      <c r="H252" s="40" t="str">
        <f>IF($D252="","",IFERROR(INDEX(전개결과!$Q$6:$Q$1205,MATCH("R"&amp;247,전개결과!$L$6:$L$1205,0)),""))</f>
        <v/>
      </c>
      <c r="J252" s="50" t="b">
        <f>IF(발주접수!$D27="",FALSE(),IF(발주접수!$F27="세트",COUNTIF(세트구성!$G$3:$G$302,발주접수!$D27&amp;"|"&amp;7)&gt;0,6=0))</f>
        <v>0</v>
      </c>
      <c r="K252" s="34" t="str">
        <f>IF($J252=FALSE(),"",COUNTIF($J$6:$J252,TRUE()))</f>
        <v/>
      </c>
      <c r="L252" s="34" t="str">
        <f>IF($K252="","","R"&amp;$K252)</f>
        <v/>
      </c>
      <c r="M252" s="34" t="str">
        <f>IF($J252=FALSE(),"",IF(발주접수!$F27="세트",IFERROR(INDEX(세트구성!$C$3:$C$302,MATCH(발주접수!$D27&amp;"|"&amp;7,세트구성!$G$3:$G$302,0)),""),발주접수!$D27))</f>
        <v/>
      </c>
      <c r="N252" s="34" t="str">
        <f>IF($J252=FALSE(),"",IF(발주접수!$F27="세트",발주접수!$G27*IFERROR(INDEX(세트구성!$E$3:$E$302,MATCH(발주접수!$D27&amp;"|"&amp;7,세트구성!$G$3:$G$302,0)),0),발주접수!$G27))</f>
        <v/>
      </c>
      <c r="O252" s="34" t="str">
        <f>IF($J252=FALSE(),"",발주접수!$B27)</f>
        <v/>
      </c>
      <c r="P252" s="34" t="str">
        <f>IF($J252=FALSE(),"",발주접수!$C27)</f>
        <v/>
      </c>
      <c r="Q252" s="34" t="str">
        <f>IF($J252=FALSE(),"",IF(발주접수!$F27="세트",발주접수!$E27&amp;" 전개","직접 발주"))</f>
        <v/>
      </c>
    </row>
    <row r="253" ht="15" customHeight="1" s="30">
      <c r="A253" s="47" t="str">
        <f>IF($D253="","",248)</f>
        <v/>
      </c>
      <c r="B253" s="48" t="str">
        <f>IFERROR(INDEX(전개결과!$O$6:$O$1205,MATCH("R"&amp;248,전개결과!$L$6:$L$1205,0)),"")</f>
        <v/>
      </c>
      <c r="C253" s="40" t="str">
        <f>IF($D253="","",IFERROR(INDEX(전개결과!$P$6:$P$1205,MATCH("R"&amp;248,전개결과!$L$6:$L$1205,0)),""))</f>
        <v/>
      </c>
      <c r="D253" s="40" t="str">
        <f>IFERROR(INDEX(전개결과!$M$6:$M$1205,MATCH("R"&amp;248,전개결과!$L$6:$L$1205,0)),"")</f>
        <v/>
      </c>
      <c r="E253" s="40" t="str">
        <f>IF($D253="","",IFERROR(INDEX(품목목록!$B$3:$B$302,MATCH($D253,품목목록!$A$3:$A$302,0)),""))</f>
        <v/>
      </c>
      <c r="F253" s="47" t="str">
        <f>IF($D253="","",IFERROR(INDEX(품목목록!$D$3:$D$302,MATCH($D253,품목목록!$A$3:$A$302,0)),""))</f>
        <v/>
      </c>
      <c r="G253" s="49" t="str">
        <f>IFERROR(INDEX(전개결과!$N$6:$N$1205,MATCH("R"&amp;248,전개결과!$L$6:$L$1205,0)),"")</f>
        <v/>
      </c>
      <c r="H253" s="40" t="str">
        <f>IF($D253="","",IFERROR(INDEX(전개결과!$Q$6:$Q$1205,MATCH("R"&amp;248,전개결과!$L$6:$L$1205,0)),""))</f>
        <v/>
      </c>
      <c r="J253" s="50" t="b">
        <f>IF(발주접수!$D27="",FALSE(),IF(발주접수!$F27="세트",COUNTIF(세트구성!$G$3:$G$302,발주접수!$D27&amp;"|"&amp;8)&gt;0,7=0))</f>
        <v>0</v>
      </c>
      <c r="K253" s="34" t="str">
        <f>IF($J253=FALSE(),"",COUNTIF($J$6:$J253,TRUE()))</f>
        <v/>
      </c>
      <c r="L253" s="34" t="str">
        <f>IF($K253="","","R"&amp;$K253)</f>
        <v/>
      </c>
      <c r="M253" s="34" t="str">
        <f>IF($J253=FALSE(),"",IF(발주접수!$F27="세트",IFERROR(INDEX(세트구성!$C$3:$C$302,MATCH(발주접수!$D27&amp;"|"&amp;8,세트구성!$G$3:$G$302,0)),""),발주접수!$D27))</f>
        <v/>
      </c>
      <c r="N253" s="34" t="str">
        <f>IF($J253=FALSE(),"",IF(발주접수!$F27="세트",발주접수!$G27*IFERROR(INDEX(세트구성!$E$3:$E$302,MATCH(발주접수!$D27&amp;"|"&amp;8,세트구성!$G$3:$G$302,0)),0),발주접수!$G27))</f>
        <v/>
      </c>
      <c r="O253" s="34" t="str">
        <f>IF($J253=FALSE(),"",발주접수!$B27)</f>
        <v/>
      </c>
      <c r="P253" s="34" t="str">
        <f>IF($J253=FALSE(),"",발주접수!$C27)</f>
        <v/>
      </c>
      <c r="Q253" s="34" t="str">
        <f>IF($J253=FALSE(),"",IF(발주접수!$F27="세트",발주접수!$E27&amp;" 전개","직접 발주"))</f>
        <v/>
      </c>
    </row>
    <row r="254" ht="15" customHeight="1" s="30">
      <c r="A254" s="47" t="str">
        <f>IF($D254="","",249)</f>
        <v/>
      </c>
      <c r="B254" s="48" t="str">
        <f>IFERROR(INDEX(전개결과!$O$6:$O$1205,MATCH("R"&amp;249,전개결과!$L$6:$L$1205,0)),"")</f>
        <v/>
      </c>
      <c r="C254" s="40" t="str">
        <f>IF($D254="","",IFERROR(INDEX(전개결과!$P$6:$P$1205,MATCH("R"&amp;249,전개결과!$L$6:$L$1205,0)),""))</f>
        <v/>
      </c>
      <c r="D254" s="40" t="str">
        <f>IFERROR(INDEX(전개결과!$M$6:$M$1205,MATCH("R"&amp;249,전개결과!$L$6:$L$1205,0)),"")</f>
        <v/>
      </c>
      <c r="E254" s="40" t="str">
        <f>IF($D254="","",IFERROR(INDEX(품목목록!$B$3:$B$302,MATCH($D254,품목목록!$A$3:$A$302,0)),""))</f>
        <v/>
      </c>
      <c r="F254" s="47" t="str">
        <f>IF($D254="","",IFERROR(INDEX(품목목록!$D$3:$D$302,MATCH($D254,품목목록!$A$3:$A$302,0)),""))</f>
        <v/>
      </c>
      <c r="G254" s="49" t="str">
        <f>IFERROR(INDEX(전개결과!$N$6:$N$1205,MATCH("R"&amp;249,전개결과!$L$6:$L$1205,0)),"")</f>
        <v/>
      </c>
      <c r="H254" s="40" t="str">
        <f>IF($D254="","",IFERROR(INDEX(전개결과!$Q$6:$Q$1205,MATCH("R"&amp;249,전개결과!$L$6:$L$1205,0)),""))</f>
        <v/>
      </c>
      <c r="J254" s="50" t="b">
        <f>IF(발주접수!$D27="",FALSE(),IF(발주접수!$F27="세트",COUNTIF(세트구성!$G$3:$G$302,발주접수!$D27&amp;"|"&amp;9)&gt;0,8=0))</f>
        <v>0</v>
      </c>
      <c r="K254" s="34" t="str">
        <f>IF($J254=FALSE(),"",COUNTIF($J$6:$J254,TRUE()))</f>
        <v/>
      </c>
      <c r="L254" s="34" t="str">
        <f>IF($K254="","","R"&amp;$K254)</f>
        <v/>
      </c>
      <c r="M254" s="34" t="str">
        <f>IF($J254=FALSE(),"",IF(발주접수!$F27="세트",IFERROR(INDEX(세트구성!$C$3:$C$302,MATCH(발주접수!$D27&amp;"|"&amp;9,세트구성!$G$3:$G$302,0)),""),발주접수!$D27))</f>
        <v/>
      </c>
      <c r="N254" s="34" t="str">
        <f>IF($J254=FALSE(),"",IF(발주접수!$F27="세트",발주접수!$G27*IFERROR(INDEX(세트구성!$E$3:$E$302,MATCH(발주접수!$D27&amp;"|"&amp;9,세트구성!$G$3:$G$302,0)),0),발주접수!$G27))</f>
        <v/>
      </c>
      <c r="O254" s="34" t="str">
        <f>IF($J254=FALSE(),"",발주접수!$B27)</f>
        <v/>
      </c>
      <c r="P254" s="34" t="str">
        <f>IF($J254=FALSE(),"",발주접수!$C27)</f>
        <v/>
      </c>
      <c r="Q254" s="34" t="str">
        <f>IF($J254=FALSE(),"",IF(발주접수!$F27="세트",발주접수!$E27&amp;" 전개","직접 발주"))</f>
        <v/>
      </c>
    </row>
    <row r="255" ht="15" customHeight="1" s="30">
      <c r="A255" s="47" t="str">
        <f>IF($D255="","",250)</f>
        <v/>
      </c>
      <c r="B255" s="48" t="str">
        <f>IFERROR(INDEX(전개결과!$O$6:$O$1205,MATCH("R"&amp;250,전개결과!$L$6:$L$1205,0)),"")</f>
        <v/>
      </c>
      <c r="C255" s="40" t="str">
        <f>IF($D255="","",IFERROR(INDEX(전개결과!$P$6:$P$1205,MATCH("R"&amp;250,전개결과!$L$6:$L$1205,0)),""))</f>
        <v/>
      </c>
      <c r="D255" s="40" t="str">
        <f>IFERROR(INDEX(전개결과!$M$6:$M$1205,MATCH("R"&amp;250,전개결과!$L$6:$L$1205,0)),"")</f>
        <v/>
      </c>
      <c r="E255" s="40" t="str">
        <f>IF($D255="","",IFERROR(INDEX(품목목록!$B$3:$B$302,MATCH($D255,품목목록!$A$3:$A$302,0)),""))</f>
        <v/>
      </c>
      <c r="F255" s="47" t="str">
        <f>IF($D255="","",IFERROR(INDEX(품목목록!$D$3:$D$302,MATCH($D255,품목목록!$A$3:$A$302,0)),""))</f>
        <v/>
      </c>
      <c r="G255" s="49" t="str">
        <f>IFERROR(INDEX(전개결과!$N$6:$N$1205,MATCH("R"&amp;250,전개결과!$L$6:$L$1205,0)),"")</f>
        <v/>
      </c>
      <c r="H255" s="40" t="str">
        <f>IF($D255="","",IFERROR(INDEX(전개결과!$Q$6:$Q$1205,MATCH("R"&amp;250,전개결과!$L$6:$L$1205,0)),""))</f>
        <v/>
      </c>
      <c r="J255" s="50" t="b">
        <f>IF(발주접수!$D27="",FALSE(),IF(발주접수!$F27="세트",COUNTIF(세트구성!$G$3:$G$302,발주접수!$D27&amp;"|"&amp;10)&gt;0,9=0))</f>
        <v>0</v>
      </c>
      <c r="K255" s="34" t="str">
        <f>IF($J255=FALSE(),"",COUNTIF($J$6:$J255,TRUE()))</f>
        <v/>
      </c>
      <c r="L255" s="34" t="str">
        <f>IF($K255="","","R"&amp;$K255)</f>
        <v/>
      </c>
      <c r="M255" s="34" t="str">
        <f>IF($J255=FALSE(),"",IF(발주접수!$F27="세트",IFERROR(INDEX(세트구성!$C$3:$C$302,MATCH(발주접수!$D27&amp;"|"&amp;10,세트구성!$G$3:$G$302,0)),""),발주접수!$D27))</f>
        <v/>
      </c>
      <c r="N255" s="34" t="str">
        <f>IF($J255=FALSE(),"",IF(발주접수!$F27="세트",발주접수!$G27*IFERROR(INDEX(세트구성!$E$3:$E$302,MATCH(발주접수!$D27&amp;"|"&amp;10,세트구성!$G$3:$G$302,0)),0),발주접수!$G27))</f>
        <v/>
      </c>
      <c r="O255" s="34" t="str">
        <f>IF($J255=FALSE(),"",발주접수!$B27)</f>
        <v/>
      </c>
      <c r="P255" s="34" t="str">
        <f>IF($J255=FALSE(),"",발주접수!$C27)</f>
        <v/>
      </c>
      <c r="Q255" s="34" t="str">
        <f>IF($J255=FALSE(),"",IF(발주접수!$F27="세트",발주접수!$E27&amp;" 전개","직접 발주"))</f>
        <v/>
      </c>
    </row>
    <row r="256" ht="15" customHeight="1" s="30">
      <c r="J256" s="50" t="b">
        <f>IF(발주접수!$D28="",FALSE(),IF(발주접수!$F28="세트",COUNTIF(세트구성!$G$3:$G$302,발주접수!$D28&amp;"|"&amp;1)&gt;0,0=0))</f>
        <v>0</v>
      </c>
      <c r="K256" s="34" t="str">
        <f>IF($J256=FALSE(),"",COUNTIF($J$6:$J256,TRUE()))</f>
        <v/>
      </c>
      <c r="L256" s="34" t="str">
        <f>IF($K256="","","R"&amp;$K256)</f>
        <v/>
      </c>
      <c r="M256" s="34" t="str">
        <f>IF($J256=FALSE(),"",IF(발주접수!$F28="세트",IFERROR(INDEX(세트구성!$C$3:$C$302,MATCH(발주접수!$D28&amp;"|"&amp;1,세트구성!$G$3:$G$302,0)),""),발주접수!$D28))</f>
        <v/>
      </c>
      <c r="N256" s="34" t="str">
        <f>IF($J256=FALSE(),"",IF(발주접수!$F28="세트",발주접수!$G28*IFERROR(INDEX(세트구성!$E$3:$E$302,MATCH(발주접수!$D28&amp;"|"&amp;1,세트구성!$G$3:$G$302,0)),0),발주접수!$G28))</f>
        <v/>
      </c>
      <c r="O256" s="34" t="str">
        <f>IF($J256=FALSE(),"",발주접수!$B28)</f>
        <v/>
      </c>
      <c r="P256" s="34" t="str">
        <f>IF($J256=FALSE(),"",발주접수!$C28)</f>
        <v/>
      </c>
      <c r="Q256" s="34" t="str">
        <f>IF($J256=FALSE(),"",IF(발주접수!$F28="세트",발주접수!$E28&amp;" 전개","직접 발주"))</f>
        <v/>
      </c>
    </row>
    <row r="257" ht="15" customHeight="1" s="30">
      <c r="A257" s="50" t="inlineStr">
        <is>
          <t>※ 250줄까지 표시됩니다. A6:H255 범위를 복사해 '값 붙여넣기'로 쓰세요.</t>
        </is>
      </c>
      <c r="J257" s="50" t="b">
        <f>IF(발주접수!$D28="",FALSE(),IF(발주접수!$F28="세트",COUNTIF(세트구성!$G$3:$G$302,발주접수!$D28&amp;"|"&amp;2)&gt;0,1=0))</f>
        <v>0</v>
      </c>
      <c r="K257" s="34" t="str">
        <f>IF($J257=FALSE(),"",COUNTIF($J$6:$J257,TRUE()))</f>
        <v/>
      </c>
      <c r="L257" s="34" t="str">
        <f>IF($K257="","","R"&amp;$K257)</f>
        <v/>
      </c>
      <c r="M257" s="34" t="str">
        <f>IF($J257=FALSE(),"",IF(발주접수!$F28="세트",IFERROR(INDEX(세트구성!$C$3:$C$302,MATCH(발주접수!$D28&amp;"|"&amp;2,세트구성!$G$3:$G$302,0)),""),발주접수!$D28))</f>
        <v/>
      </c>
      <c r="N257" s="34" t="str">
        <f>IF($J257=FALSE(),"",IF(발주접수!$F28="세트",발주접수!$G28*IFERROR(INDEX(세트구성!$E$3:$E$302,MATCH(발주접수!$D28&amp;"|"&amp;2,세트구성!$G$3:$G$302,0)),0),발주접수!$G28))</f>
        <v/>
      </c>
      <c r="O257" s="34" t="str">
        <f>IF($J257=FALSE(),"",발주접수!$B28)</f>
        <v/>
      </c>
      <c r="P257" s="34" t="str">
        <f>IF($J257=FALSE(),"",발주접수!$C28)</f>
        <v/>
      </c>
      <c r="Q257" s="34" t="str">
        <f>IF($J257=FALSE(),"",IF(발주접수!$F28="세트",발주접수!$E28&amp;" 전개","직접 발주"))</f>
        <v/>
      </c>
    </row>
    <row r="258" ht="15" customHeight="1" s="30">
      <c r="J258" s="50" t="b">
        <f>IF(발주접수!$D28="",FALSE(),IF(발주접수!$F28="세트",COUNTIF(세트구성!$G$3:$G$302,발주접수!$D28&amp;"|"&amp;3)&gt;0,2=0))</f>
        <v>0</v>
      </c>
      <c r="K258" s="34" t="str">
        <f>IF($J258=FALSE(),"",COUNTIF($J$6:$J258,TRUE()))</f>
        <v/>
      </c>
      <c r="L258" s="34" t="str">
        <f>IF($K258="","","R"&amp;$K258)</f>
        <v/>
      </c>
      <c r="M258" s="34" t="str">
        <f>IF($J258=FALSE(),"",IF(발주접수!$F28="세트",IFERROR(INDEX(세트구성!$C$3:$C$302,MATCH(발주접수!$D28&amp;"|"&amp;3,세트구성!$G$3:$G$302,0)),""),발주접수!$D28))</f>
        <v/>
      </c>
      <c r="N258" s="34" t="str">
        <f>IF($J258=FALSE(),"",IF(발주접수!$F28="세트",발주접수!$G28*IFERROR(INDEX(세트구성!$E$3:$E$302,MATCH(발주접수!$D28&amp;"|"&amp;3,세트구성!$G$3:$G$302,0)),0),발주접수!$G28))</f>
        <v/>
      </c>
      <c r="O258" s="34" t="str">
        <f>IF($J258=FALSE(),"",발주접수!$B28)</f>
        <v/>
      </c>
      <c r="P258" s="34" t="str">
        <f>IF($J258=FALSE(),"",발주접수!$C28)</f>
        <v/>
      </c>
      <c r="Q258" s="34" t="str">
        <f>IF($J258=FALSE(),"",IF(발주접수!$F28="세트",발주접수!$E28&amp;" 전개","직접 발주"))</f>
        <v/>
      </c>
    </row>
    <row r="259" ht="15" customHeight="1" s="30">
      <c r="J259" s="50" t="b">
        <f>IF(발주접수!$D28="",FALSE(),IF(발주접수!$F28="세트",COUNTIF(세트구성!$G$3:$G$302,발주접수!$D28&amp;"|"&amp;4)&gt;0,3=0))</f>
        <v>0</v>
      </c>
      <c r="K259" s="34" t="str">
        <f>IF($J259=FALSE(),"",COUNTIF($J$6:$J259,TRUE()))</f>
        <v/>
      </c>
      <c r="L259" s="34" t="str">
        <f>IF($K259="","","R"&amp;$K259)</f>
        <v/>
      </c>
      <c r="M259" s="34" t="str">
        <f>IF($J259=FALSE(),"",IF(발주접수!$F28="세트",IFERROR(INDEX(세트구성!$C$3:$C$302,MATCH(발주접수!$D28&amp;"|"&amp;4,세트구성!$G$3:$G$302,0)),""),발주접수!$D28))</f>
        <v/>
      </c>
      <c r="N259" s="34" t="str">
        <f>IF($J259=FALSE(),"",IF(발주접수!$F28="세트",발주접수!$G28*IFERROR(INDEX(세트구성!$E$3:$E$302,MATCH(발주접수!$D28&amp;"|"&amp;4,세트구성!$G$3:$G$302,0)),0),발주접수!$G28))</f>
        <v/>
      </c>
      <c r="O259" s="34" t="str">
        <f>IF($J259=FALSE(),"",발주접수!$B28)</f>
        <v/>
      </c>
      <c r="P259" s="34" t="str">
        <f>IF($J259=FALSE(),"",발주접수!$C28)</f>
        <v/>
      </c>
      <c r="Q259" s="34" t="str">
        <f>IF($J259=FALSE(),"",IF(발주접수!$F28="세트",발주접수!$E28&amp;" 전개","직접 발주"))</f>
        <v/>
      </c>
    </row>
    <row r="260" ht="15" customHeight="1" s="30">
      <c r="J260" s="50" t="b">
        <f>IF(발주접수!$D28="",FALSE(),IF(발주접수!$F28="세트",COUNTIF(세트구성!$G$3:$G$302,발주접수!$D28&amp;"|"&amp;5)&gt;0,4=0))</f>
        <v>0</v>
      </c>
      <c r="K260" s="34" t="str">
        <f>IF($J260=FALSE(),"",COUNTIF($J$6:$J260,TRUE()))</f>
        <v/>
      </c>
      <c r="L260" s="34" t="str">
        <f>IF($K260="","","R"&amp;$K260)</f>
        <v/>
      </c>
      <c r="M260" s="34" t="str">
        <f>IF($J260=FALSE(),"",IF(발주접수!$F28="세트",IFERROR(INDEX(세트구성!$C$3:$C$302,MATCH(발주접수!$D28&amp;"|"&amp;5,세트구성!$G$3:$G$302,0)),""),발주접수!$D28))</f>
        <v/>
      </c>
      <c r="N260" s="34" t="str">
        <f>IF($J260=FALSE(),"",IF(발주접수!$F28="세트",발주접수!$G28*IFERROR(INDEX(세트구성!$E$3:$E$302,MATCH(발주접수!$D28&amp;"|"&amp;5,세트구성!$G$3:$G$302,0)),0),발주접수!$G28))</f>
        <v/>
      </c>
      <c r="O260" s="34" t="str">
        <f>IF($J260=FALSE(),"",발주접수!$B28)</f>
        <v/>
      </c>
      <c r="P260" s="34" t="str">
        <f>IF($J260=FALSE(),"",발주접수!$C28)</f>
        <v/>
      </c>
      <c r="Q260" s="34" t="str">
        <f>IF($J260=FALSE(),"",IF(발주접수!$F28="세트",발주접수!$E28&amp;" 전개","직접 발주"))</f>
        <v/>
      </c>
    </row>
    <row r="261" ht="15" customHeight="1" s="30">
      <c r="J261" s="50" t="b">
        <f>IF(발주접수!$D28="",FALSE(),IF(발주접수!$F28="세트",COUNTIF(세트구성!$G$3:$G$302,발주접수!$D28&amp;"|"&amp;6)&gt;0,5=0))</f>
        <v>0</v>
      </c>
      <c r="K261" s="34" t="str">
        <f>IF($J261=FALSE(),"",COUNTIF($J$6:$J261,TRUE()))</f>
        <v/>
      </c>
      <c r="L261" s="34" t="str">
        <f>IF($K261="","","R"&amp;$K261)</f>
        <v/>
      </c>
      <c r="M261" s="34" t="str">
        <f>IF($J261=FALSE(),"",IF(발주접수!$F28="세트",IFERROR(INDEX(세트구성!$C$3:$C$302,MATCH(발주접수!$D28&amp;"|"&amp;6,세트구성!$G$3:$G$302,0)),""),발주접수!$D28))</f>
        <v/>
      </c>
      <c r="N261" s="34" t="str">
        <f>IF($J261=FALSE(),"",IF(발주접수!$F28="세트",발주접수!$G28*IFERROR(INDEX(세트구성!$E$3:$E$302,MATCH(발주접수!$D28&amp;"|"&amp;6,세트구성!$G$3:$G$302,0)),0),발주접수!$G28))</f>
        <v/>
      </c>
      <c r="O261" s="34" t="str">
        <f>IF($J261=FALSE(),"",발주접수!$B28)</f>
        <v/>
      </c>
      <c r="P261" s="34" t="str">
        <f>IF($J261=FALSE(),"",발주접수!$C28)</f>
        <v/>
      </c>
      <c r="Q261" s="34" t="str">
        <f>IF($J261=FALSE(),"",IF(발주접수!$F28="세트",발주접수!$E28&amp;" 전개","직접 발주"))</f>
        <v/>
      </c>
    </row>
    <row r="262" ht="15" customHeight="1" s="30">
      <c r="J262" s="50" t="b">
        <f>IF(발주접수!$D28="",FALSE(),IF(발주접수!$F28="세트",COUNTIF(세트구성!$G$3:$G$302,발주접수!$D28&amp;"|"&amp;7)&gt;0,6=0))</f>
        <v>0</v>
      </c>
      <c r="K262" s="34" t="str">
        <f>IF($J262=FALSE(),"",COUNTIF($J$6:$J262,TRUE()))</f>
        <v/>
      </c>
      <c r="L262" s="34" t="str">
        <f>IF($K262="","","R"&amp;$K262)</f>
        <v/>
      </c>
      <c r="M262" s="34" t="str">
        <f>IF($J262=FALSE(),"",IF(발주접수!$F28="세트",IFERROR(INDEX(세트구성!$C$3:$C$302,MATCH(발주접수!$D28&amp;"|"&amp;7,세트구성!$G$3:$G$302,0)),""),발주접수!$D28))</f>
        <v/>
      </c>
      <c r="N262" s="34" t="str">
        <f>IF($J262=FALSE(),"",IF(발주접수!$F28="세트",발주접수!$G28*IFERROR(INDEX(세트구성!$E$3:$E$302,MATCH(발주접수!$D28&amp;"|"&amp;7,세트구성!$G$3:$G$302,0)),0),발주접수!$G28))</f>
        <v/>
      </c>
      <c r="O262" s="34" t="str">
        <f>IF($J262=FALSE(),"",발주접수!$B28)</f>
        <v/>
      </c>
      <c r="P262" s="34" t="str">
        <f>IF($J262=FALSE(),"",발주접수!$C28)</f>
        <v/>
      </c>
      <c r="Q262" s="34" t="str">
        <f>IF($J262=FALSE(),"",IF(발주접수!$F28="세트",발주접수!$E28&amp;" 전개","직접 발주"))</f>
        <v/>
      </c>
    </row>
    <row r="263" ht="15" customHeight="1" s="30">
      <c r="J263" s="50" t="b">
        <f>IF(발주접수!$D28="",FALSE(),IF(발주접수!$F28="세트",COUNTIF(세트구성!$G$3:$G$302,발주접수!$D28&amp;"|"&amp;8)&gt;0,7=0))</f>
        <v>0</v>
      </c>
      <c r="K263" s="34" t="str">
        <f>IF($J263=FALSE(),"",COUNTIF($J$6:$J263,TRUE()))</f>
        <v/>
      </c>
      <c r="L263" s="34" t="str">
        <f>IF($K263="","","R"&amp;$K263)</f>
        <v/>
      </c>
      <c r="M263" s="34" t="str">
        <f>IF($J263=FALSE(),"",IF(발주접수!$F28="세트",IFERROR(INDEX(세트구성!$C$3:$C$302,MATCH(발주접수!$D28&amp;"|"&amp;8,세트구성!$G$3:$G$302,0)),""),발주접수!$D28))</f>
        <v/>
      </c>
      <c r="N263" s="34" t="str">
        <f>IF($J263=FALSE(),"",IF(발주접수!$F28="세트",발주접수!$G28*IFERROR(INDEX(세트구성!$E$3:$E$302,MATCH(발주접수!$D28&amp;"|"&amp;8,세트구성!$G$3:$G$302,0)),0),발주접수!$G28))</f>
        <v/>
      </c>
      <c r="O263" s="34" t="str">
        <f>IF($J263=FALSE(),"",발주접수!$B28)</f>
        <v/>
      </c>
      <c r="P263" s="34" t="str">
        <f>IF($J263=FALSE(),"",발주접수!$C28)</f>
        <v/>
      </c>
      <c r="Q263" s="34" t="str">
        <f>IF($J263=FALSE(),"",IF(발주접수!$F28="세트",발주접수!$E28&amp;" 전개","직접 발주"))</f>
        <v/>
      </c>
    </row>
    <row r="264" ht="15" customHeight="1" s="30">
      <c r="J264" s="50" t="b">
        <f>IF(발주접수!$D28="",FALSE(),IF(발주접수!$F28="세트",COUNTIF(세트구성!$G$3:$G$302,발주접수!$D28&amp;"|"&amp;9)&gt;0,8=0))</f>
        <v>0</v>
      </c>
      <c r="K264" s="34" t="str">
        <f>IF($J264=FALSE(),"",COUNTIF($J$6:$J264,TRUE()))</f>
        <v/>
      </c>
      <c r="L264" s="34" t="str">
        <f>IF($K264="","","R"&amp;$K264)</f>
        <v/>
      </c>
      <c r="M264" s="34" t="str">
        <f>IF($J264=FALSE(),"",IF(발주접수!$F28="세트",IFERROR(INDEX(세트구성!$C$3:$C$302,MATCH(발주접수!$D28&amp;"|"&amp;9,세트구성!$G$3:$G$302,0)),""),발주접수!$D28))</f>
        <v/>
      </c>
      <c r="N264" s="34" t="str">
        <f>IF($J264=FALSE(),"",IF(발주접수!$F28="세트",발주접수!$G28*IFERROR(INDEX(세트구성!$E$3:$E$302,MATCH(발주접수!$D28&amp;"|"&amp;9,세트구성!$G$3:$G$302,0)),0),발주접수!$G28))</f>
        <v/>
      </c>
      <c r="O264" s="34" t="str">
        <f>IF($J264=FALSE(),"",발주접수!$B28)</f>
        <v/>
      </c>
      <c r="P264" s="34" t="str">
        <f>IF($J264=FALSE(),"",발주접수!$C28)</f>
        <v/>
      </c>
      <c r="Q264" s="34" t="str">
        <f>IF($J264=FALSE(),"",IF(발주접수!$F28="세트",발주접수!$E28&amp;" 전개","직접 발주"))</f>
        <v/>
      </c>
    </row>
    <row r="265" ht="15" customHeight="1" s="30">
      <c r="J265" s="50" t="b">
        <f>IF(발주접수!$D28="",FALSE(),IF(발주접수!$F28="세트",COUNTIF(세트구성!$G$3:$G$302,발주접수!$D28&amp;"|"&amp;10)&gt;0,9=0))</f>
        <v>0</v>
      </c>
      <c r="K265" s="34" t="str">
        <f>IF($J265=FALSE(),"",COUNTIF($J$6:$J265,TRUE()))</f>
        <v/>
      </c>
      <c r="L265" s="34" t="str">
        <f>IF($K265="","","R"&amp;$K265)</f>
        <v/>
      </c>
      <c r="M265" s="34" t="str">
        <f>IF($J265=FALSE(),"",IF(발주접수!$F28="세트",IFERROR(INDEX(세트구성!$C$3:$C$302,MATCH(발주접수!$D28&amp;"|"&amp;10,세트구성!$G$3:$G$302,0)),""),발주접수!$D28))</f>
        <v/>
      </c>
      <c r="N265" s="34" t="str">
        <f>IF($J265=FALSE(),"",IF(발주접수!$F28="세트",발주접수!$G28*IFERROR(INDEX(세트구성!$E$3:$E$302,MATCH(발주접수!$D28&amp;"|"&amp;10,세트구성!$G$3:$G$302,0)),0),발주접수!$G28))</f>
        <v/>
      </c>
      <c r="O265" s="34" t="str">
        <f>IF($J265=FALSE(),"",발주접수!$B28)</f>
        <v/>
      </c>
      <c r="P265" s="34" t="str">
        <f>IF($J265=FALSE(),"",발주접수!$C28)</f>
        <v/>
      </c>
      <c r="Q265" s="34" t="str">
        <f>IF($J265=FALSE(),"",IF(발주접수!$F28="세트",발주접수!$E28&amp;" 전개","직접 발주"))</f>
        <v/>
      </c>
    </row>
    <row r="266" ht="15" customHeight="1" s="30">
      <c r="J266" s="50" t="b">
        <f>IF(발주접수!$D29="",FALSE(),IF(발주접수!$F29="세트",COUNTIF(세트구성!$G$3:$G$302,발주접수!$D29&amp;"|"&amp;1)&gt;0,0=0))</f>
        <v>0</v>
      </c>
      <c r="K266" s="34" t="str">
        <f>IF($J266=FALSE(),"",COUNTIF($J$6:$J266,TRUE()))</f>
        <v/>
      </c>
      <c r="L266" s="34" t="str">
        <f>IF($K266="","","R"&amp;$K266)</f>
        <v/>
      </c>
      <c r="M266" s="34" t="str">
        <f>IF($J266=FALSE(),"",IF(발주접수!$F29="세트",IFERROR(INDEX(세트구성!$C$3:$C$302,MATCH(발주접수!$D29&amp;"|"&amp;1,세트구성!$G$3:$G$302,0)),""),발주접수!$D29))</f>
        <v/>
      </c>
      <c r="N266" s="34" t="str">
        <f>IF($J266=FALSE(),"",IF(발주접수!$F29="세트",발주접수!$G29*IFERROR(INDEX(세트구성!$E$3:$E$302,MATCH(발주접수!$D29&amp;"|"&amp;1,세트구성!$G$3:$G$302,0)),0),발주접수!$G29))</f>
        <v/>
      </c>
      <c r="O266" s="34" t="str">
        <f>IF($J266=FALSE(),"",발주접수!$B29)</f>
        <v/>
      </c>
      <c r="P266" s="34" t="str">
        <f>IF($J266=FALSE(),"",발주접수!$C29)</f>
        <v/>
      </c>
      <c r="Q266" s="34" t="str">
        <f>IF($J266=FALSE(),"",IF(발주접수!$F29="세트",발주접수!$E29&amp;" 전개","직접 발주"))</f>
        <v/>
      </c>
    </row>
    <row r="267" ht="15" customHeight="1" s="30">
      <c r="J267" s="50" t="b">
        <f>IF(발주접수!$D29="",FALSE(),IF(발주접수!$F29="세트",COUNTIF(세트구성!$G$3:$G$302,발주접수!$D29&amp;"|"&amp;2)&gt;0,1=0))</f>
        <v>0</v>
      </c>
      <c r="K267" s="34" t="str">
        <f>IF($J267=FALSE(),"",COUNTIF($J$6:$J267,TRUE()))</f>
        <v/>
      </c>
      <c r="L267" s="34" t="str">
        <f>IF($K267="","","R"&amp;$K267)</f>
        <v/>
      </c>
      <c r="M267" s="34" t="str">
        <f>IF($J267=FALSE(),"",IF(발주접수!$F29="세트",IFERROR(INDEX(세트구성!$C$3:$C$302,MATCH(발주접수!$D29&amp;"|"&amp;2,세트구성!$G$3:$G$302,0)),""),발주접수!$D29))</f>
        <v/>
      </c>
      <c r="N267" s="34" t="str">
        <f>IF($J267=FALSE(),"",IF(발주접수!$F29="세트",발주접수!$G29*IFERROR(INDEX(세트구성!$E$3:$E$302,MATCH(발주접수!$D29&amp;"|"&amp;2,세트구성!$G$3:$G$302,0)),0),발주접수!$G29))</f>
        <v/>
      </c>
      <c r="O267" s="34" t="str">
        <f>IF($J267=FALSE(),"",발주접수!$B29)</f>
        <v/>
      </c>
      <c r="P267" s="34" t="str">
        <f>IF($J267=FALSE(),"",발주접수!$C29)</f>
        <v/>
      </c>
      <c r="Q267" s="34" t="str">
        <f>IF($J267=FALSE(),"",IF(발주접수!$F29="세트",발주접수!$E29&amp;" 전개","직접 발주"))</f>
        <v/>
      </c>
    </row>
    <row r="268" ht="15" customHeight="1" s="30">
      <c r="J268" s="50" t="b">
        <f>IF(발주접수!$D29="",FALSE(),IF(발주접수!$F29="세트",COUNTIF(세트구성!$G$3:$G$302,발주접수!$D29&amp;"|"&amp;3)&gt;0,2=0))</f>
        <v>0</v>
      </c>
      <c r="K268" s="34" t="str">
        <f>IF($J268=FALSE(),"",COUNTIF($J$6:$J268,TRUE()))</f>
        <v/>
      </c>
      <c r="L268" s="34" t="str">
        <f>IF($K268="","","R"&amp;$K268)</f>
        <v/>
      </c>
      <c r="M268" s="34" t="str">
        <f>IF($J268=FALSE(),"",IF(발주접수!$F29="세트",IFERROR(INDEX(세트구성!$C$3:$C$302,MATCH(발주접수!$D29&amp;"|"&amp;3,세트구성!$G$3:$G$302,0)),""),발주접수!$D29))</f>
        <v/>
      </c>
      <c r="N268" s="34" t="str">
        <f>IF($J268=FALSE(),"",IF(발주접수!$F29="세트",발주접수!$G29*IFERROR(INDEX(세트구성!$E$3:$E$302,MATCH(발주접수!$D29&amp;"|"&amp;3,세트구성!$G$3:$G$302,0)),0),발주접수!$G29))</f>
        <v/>
      </c>
      <c r="O268" s="34" t="str">
        <f>IF($J268=FALSE(),"",발주접수!$B29)</f>
        <v/>
      </c>
      <c r="P268" s="34" t="str">
        <f>IF($J268=FALSE(),"",발주접수!$C29)</f>
        <v/>
      </c>
      <c r="Q268" s="34" t="str">
        <f>IF($J268=FALSE(),"",IF(발주접수!$F29="세트",발주접수!$E29&amp;" 전개","직접 발주"))</f>
        <v/>
      </c>
    </row>
    <row r="269" ht="15" customHeight="1" s="30">
      <c r="J269" s="50" t="b">
        <f>IF(발주접수!$D29="",FALSE(),IF(발주접수!$F29="세트",COUNTIF(세트구성!$G$3:$G$302,발주접수!$D29&amp;"|"&amp;4)&gt;0,3=0))</f>
        <v>0</v>
      </c>
      <c r="K269" s="34" t="str">
        <f>IF($J269=FALSE(),"",COUNTIF($J$6:$J269,TRUE()))</f>
        <v/>
      </c>
      <c r="L269" s="34" t="str">
        <f>IF($K269="","","R"&amp;$K269)</f>
        <v/>
      </c>
      <c r="M269" s="34" t="str">
        <f>IF($J269=FALSE(),"",IF(발주접수!$F29="세트",IFERROR(INDEX(세트구성!$C$3:$C$302,MATCH(발주접수!$D29&amp;"|"&amp;4,세트구성!$G$3:$G$302,0)),""),발주접수!$D29))</f>
        <v/>
      </c>
      <c r="N269" s="34" t="str">
        <f>IF($J269=FALSE(),"",IF(발주접수!$F29="세트",발주접수!$G29*IFERROR(INDEX(세트구성!$E$3:$E$302,MATCH(발주접수!$D29&amp;"|"&amp;4,세트구성!$G$3:$G$302,0)),0),발주접수!$G29))</f>
        <v/>
      </c>
      <c r="O269" s="34" t="str">
        <f>IF($J269=FALSE(),"",발주접수!$B29)</f>
        <v/>
      </c>
      <c r="P269" s="34" t="str">
        <f>IF($J269=FALSE(),"",발주접수!$C29)</f>
        <v/>
      </c>
      <c r="Q269" s="34" t="str">
        <f>IF($J269=FALSE(),"",IF(발주접수!$F29="세트",발주접수!$E29&amp;" 전개","직접 발주"))</f>
        <v/>
      </c>
    </row>
    <row r="270" ht="15" customHeight="1" s="30">
      <c r="J270" s="50" t="b">
        <f>IF(발주접수!$D29="",FALSE(),IF(발주접수!$F29="세트",COUNTIF(세트구성!$G$3:$G$302,발주접수!$D29&amp;"|"&amp;5)&gt;0,4=0))</f>
        <v>0</v>
      </c>
      <c r="K270" s="34" t="str">
        <f>IF($J270=FALSE(),"",COUNTIF($J$6:$J270,TRUE()))</f>
        <v/>
      </c>
      <c r="L270" s="34" t="str">
        <f>IF($K270="","","R"&amp;$K270)</f>
        <v/>
      </c>
      <c r="M270" s="34" t="str">
        <f>IF($J270=FALSE(),"",IF(발주접수!$F29="세트",IFERROR(INDEX(세트구성!$C$3:$C$302,MATCH(발주접수!$D29&amp;"|"&amp;5,세트구성!$G$3:$G$302,0)),""),발주접수!$D29))</f>
        <v/>
      </c>
      <c r="N270" s="34" t="str">
        <f>IF($J270=FALSE(),"",IF(발주접수!$F29="세트",발주접수!$G29*IFERROR(INDEX(세트구성!$E$3:$E$302,MATCH(발주접수!$D29&amp;"|"&amp;5,세트구성!$G$3:$G$302,0)),0),발주접수!$G29))</f>
        <v/>
      </c>
      <c r="O270" s="34" t="str">
        <f>IF($J270=FALSE(),"",발주접수!$B29)</f>
        <v/>
      </c>
      <c r="P270" s="34" t="str">
        <f>IF($J270=FALSE(),"",발주접수!$C29)</f>
        <v/>
      </c>
      <c r="Q270" s="34" t="str">
        <f>IF($J270=FALSE(),"",IF(발주접수!$F29="세트",발주접수!$E29&amp;" 전개","직접 발주"))</f>
        <v/>
      </c>
    </row>
    <row r="271" ht="15" customHeight="1" s="30">
      <c r="J271" s="50" t="b">
        <f>IF(발주접수!$D29="",FALSE(),IF(발주접수!$F29="세트",COUNTIF(세트구성!$G$3:$G$302,발주접수!$D29&amp;"|"&amp;6)&gt;0,5=0))</f>
        <v>0</v>
      </c>
      <c r="K271" s="34" t="str">
        <f>IF($J271=FALSE(),"",COUNTIF($J$6:$J271,TRUE()))</f>
        <v/>
      </c>
      <c r="L271" s="34" t="str">
        <f>IF($K271="","","R"&amp;$K271)</f>
        <v/>
      </c>
      <c r="M271" s="34" t="str">
        <f>IF($J271=FALSE(),"",IF(발주접수!$F29="세트",IFERROR(INDEX(세트구성!$C$3:$C$302,MATCH(발주접수!$D29&amp;"|"&amp;6,세트구성!$G$3:$G$302,0)),""),발주접수!$D29))</f>
        <v/>
      </c>
      <c r="N271" s="34" t="str">
        <f>IF($J271=FALSE(),"",IF(발주접수!$F29="세트",발주접수!$G29*IFERROR(INDEX(세트구성!$E$3:$E$302,MATCH(발주접수!$D29&amp;"|"&amp;6,세트구성!$G$3:$G$302,0)),0),발주접수!$G29))</f>
        <v/>
      </c>
      <c r="O271" s="34" t="str">
        <f>IF($J271=FALSE(),"",발주접수!$B29)</f>
        <v/>
      </c>
      <c r="P271" s="34" t="str">
        <f>IF($J271=FALSE(),"",발주접수!$C29)</f>
        <v/>
      </c>
      <c r="Q271" s="34" t="str">
        <f>IF($J271=FALSE(),"",IF(발주접수!$F29="세트",발주접수!$E29&amp;" 전개","직접 발주"))</f>
        <v/>
      </c>
    </row>
    <row r="272" ht="15" customHeight="1" s="30">
      <c r="J272" s="50" t="b">
        <f>IF(발주접수!$D29="",FALSE(),IF(발주접수!$F29="세트",COUNTIF(세트구성!$G$3:$G$302,발주접수!$D29&amp;"|"&amp;7)&gt;0,6=0))</f>
        <v>0</v>
      </c>
      <c r="K272" s="34" t="str">
        <f>IF($J272=FALSE(),"",COUNTIF($J$6:$J272,TRUE()))</f>
        <v/>
      </c>
      <c r="L272" s="34" t="str">
        <f>IF($K272="","","R"&amp;$K272)</f>
        <v/>
      </c>
      <c r="M272" s="34" t="str">
        <f>IF($J272=FALSE(),"",IF(발주접수!$F29="세트",IFERROR(INDEX(세트구성!$C$3:$C$302,MATCH(발주접수!$D29&amp;"|"&amp;7,세트구성!$G$3:$G$302,0)),""),발주접수!$D29))</f>
        <v/>
      </c>
      <c r="N272" s="34" t="str">
        <f>IF($J272=FALSE(),"",IF(발주접수!$F29="세트",발주접수!$G29*IFERROR(INDEX(세트구성!$E$3:$E$302,MATCH(발주접수!$D29&amp;"|"&amp;7,세트구성!$G$3:$G$302,0)),0),발주접수!$G29))</f>
        <v/>
      </c>
      <c r="O272" s="34" t="str">
        <f>IF($J272=FALSE(),"",발주접수!$B29)</f>
        <v/>
      </c>
      <c r="P272" s="34" t="str">
        <f>IF($J272=FALSE(),"",발주접수!$C29)</f>
        <v/>
      </c>
      <c r="Q272" s="34" t="str">
        <f>IF($J272=FALSE(),"",IF(발주접수!$F29="세트",발주접수!$E29&amp;" 전개","직접 발주"))</f>
        <v/>
      </c>
    </row>
    <row r="273" ht="15" customHeight="1" s="30">
      <c r="J273" s="50" t="b">
        <f>IF(발주접수!$D29="",FALSE(),IF(발주접수!$F29="세트",COUNTIF(세트구성!$G$3:$G$302,발주접수!$D29&amp;"|"&amp;8)&gt;0,7=0))</f>
        <v>0</v>
      </c>
      <c r="K273" s="34" t="str">
        <f>IF($J273=FALSE(),"",COUNTIF($J$6:$J273,TRUE()))</f>
        <v/>
      </c>
      <c r="L273" s="34" t="str">
        <f>IF($K273="","","R"&amp;$K273)</f>
        <v/>
      </c>
      <c r="M273" s="34" t="str">
        <f>IF($J273=FALSE(),"",IF(발주접수!$F29="세트",IFERROR(INDEX(세트구성!$C$3:$C$302,MATCH(발주접수!$D29&amp;"|"&amp;8,세트구성!$G$3:$G$302,0)),""),발주접수!$D29))</f>
        <v/>
      </c>
      <c r="N273" s="34" t="str">
        <f>IF($J273=FALSE(),"",IF(발주접수!$F29="세트",발주접수!$G29*IFERROR(INDEX(세트구성!$E$3:$E$302,MATCH(발주접수!$D29&amp;"|"&amp;8,세트구성!$G$3:$G$302,0)),0),발주접수!$G29))</f>
        <v/>
      </c>
      <c r="O273" s="34" t="str">
        <f>IF($J273=FALSE(),"",발주접수!$B29)</f>
        <v/>
      </c>
      <c r="P273" s="34" t="str">
        <f>IF($J273=FALSE(),"",발주접수!$C29)</f>
        <v/>
      </c>
      <c r="Q273" s="34" t="str">
        <f>IF($J273=FALSE(),"",IF(발주접수!$F29="세트",발주접수!$E29&amp;" 전개","직접 발주"))</f>
        <v/>
      </c>
    </row>
    <row r="274" ht="15" customHeight="1" s="30">
      <c r="J274" s="50" t="b">
        <f>IF(발주접수!$D29="",FALSE(),IF(발주접수!$F29="세트",COUNTIF(세트구성!$G$3:$G$302,발주접수!$D29&amp;"|"&amp;9)&gt;0,8=0))</f>
        <v>0</v>
      </c>
      <c r="K274" s="34" t="str">
        <f>IF($J274=FALSE(),"",COUNTIF($J$6:$J274,TRUE()))</f>
        <v/>
      </c>
      <c r="L274" s="34" t="str">
        <f>IF($K274="","","R"&amp;$K274)</f>
        <v/>
      </c>
      <c r="M274" s="34" t="str">
        <f>IF($J274=FALSE(),"",IF(발주접수!$F29="세트",IFERROR(INDEX(세트구성!$C$3:$C$302,MATCH(발주접수!$D29&amp;"|"&amp;9,세트구성!$G$3:$G$302,0)),""),발주접수!$D29))</f>
        <v/>
      </c>
      <c r="N274" s="34" t="str">
        <f>IF($J274=FALSE(),"",IF(발주접수!$F29="세트",발주접수!$G29*IFERROR(INDEX(세트구성!$E$3:$E$302,MATCH(발주접수!$D29&amp;"|"&amp;9,세트구성!$G$3:$G$302,0)),0),발주접수!$G29))</f>
        <v/>
      </c>
      <c r="O274" s="34" t="str">
        <f>IF($J274=FALSE(),"",발주접수!$B29)</f>
        <v/>
      </c>
      <c r="P274" s="34" t="str">
        <f>IF($J274=FALSE(),"",발주접수!$C29)</f>
        <v/>
      </c>
      <c r="Q274" s="34" t="str">
        <f>IF($J274=FALSE(),"",IF(발주접수!$F29="세트",발주접수!$E29&amp;" 전개","직접 발주"))</f>
        <v/>
      </c>
    </row>
    <row r="275" ht="15" customHeight="1" s="30">
      <c r="J275" s="50" t="b">
        <f>IF(발주접수!$D29="",FALSE(),IF(발주접수!$F29="세트",COUNTIF(세트구성!$G$3:$G$302,발주접수!$D29&amp;"|"&amp;10)&gt;0,9=0))</f>
        <v>0</v>
      </c>
      <c r="K275" s="34" t="str">
        <f>IF($J275=FALSE(),"",COUNTIF($J$6:$J275,TRUE()))</f>
        <v/>
      </c>
      <c r="L275" s="34" t="str">
        <f>IF($K275="","","R"&amp;$K275)</f>
        <v/>
      </c>
      <c r="M275" s="34" t="str">
        <f>IF($J275=FALSE(),"",IF(발주접수!$F29="세트",IFERROR(INDEX(세트구성!$C$3:$C$302,MATCH(발주접수!$D29&amp;"|"&amp;10,세트구성!$G$3:$G$302,0)),""),발주접수!$D29))</f>
        <v/>
      </c>
      <c r="N275" s="34" t="str">
        <f>IF($J275=FALSE(),"",IF(발주접수!$F29="세트",발주접수!$G29*IFERROR(INDEX(세트구성!$E$3:$E$302,MATCH(발주접수!$D29&amp;"|"&amp;10,세트구성!$G$3:$G$302,0)),0),발주접수!$G29))</f>
        <v/>
      </c>
      <c r="O275" s="34" t="str">
        <f>IF($J275=FALSE(),"",발주접수!$B29)</f>
        <v/>
      </c>
      <c r="P275" s="34" t="str">
        <f>IF($J275=FALSE(),"",발주접수!$C29)</f>
        <v/>
      </c>
      <c r="Q275" s="34" t="str">
        <f>IF($J275=FALSE(),"",IF(발주접수!$F29="세트",발주접수!$E29&amp;" 전개","직접 발주"))</f>
        <v/>
      </c>
    </row>
    <row r="276" ht="15" customHeight="1" s="30">
      <c r="J276" s="50" t="b">
        <f>IF(발주접수!$D30="",FALSE(),IF(발주접수!$F30="세트",COUNTIF(세트구성!$G$3:$G$302,발주접수!$D30&amp;"|"&amp;1)&gt;0,0=0))</f>
        <v>0</v>
      </c>
      <c r="K276" s="34" t="str">
        <f>IF($J276=FALSE(),"",COUNTIF($J$6:$J276,TRUE()))</f>
        <v/>
      </c>
      <c r="L276" s="34" t="str">
        <f>IF($K276="","","R"&amp;$K276)</f>
        <v/>
      </c>
      <c r="M276" s="34" t="str">
        <f>IF($J276=FALSE(),"",IF(발주접수!$F30="세트",IFERROR(INDEX(세트구성!$C$3:$C$302,MATCH(발주접수!$D30&amp;"|"&amp;1,세트구성!$G$3:$G$302,0)),""),발주접수!$D30))</f>
        <v/>
      </c>
      <c r="N276" s="34" t="str">
        <f>IF($J276=FALSE(),"",IF(발주접수!$F30="세트",발주접수!$G30*IFERROR(INDEX(세트구성!$E$3:$E$302,MATCH(발주접수!$D30&amp;"|"&amp;1,세트구성!$G$3:$G$302,0)),0),발주접수!$G30))</f>
        <v/>
      </c>
      <c r="O276" s="34" t="str">
        <f>IF($J276=FALSE(),"",발주접수!$B30)</f>
        <v/>
      </c>
      <c r="P276" s="34" t="str">
        <f>IF($J276=FALSE(),"",발주접수!$C30)</f>
        <v/>
      </c>
      <c r="Q276" s="34" t="str">
        <f>IF($J276=FALSE(),"",IF(발주접수!$F30="세트",발주접수!$E30&amp;" 전개","직접 발주"))</f>
        <v/>
      </c>
    </row>
    <row r="277" ht="15" customHeight="1" s="30">
      <c r="J277" s="50" t="b">
        <f>IF(발주접수!$D30="",FALSE(),IF(발주접수!$F30="세트",COUNTIF(세트구성!$G$3:$G$302,발주접수!$D30&amp;"|"&amp;2)&gt;0,1=0))</f>
        <v>0</v>
      </c>
      <c r="K277" s="34" t="str">
        <f>IF($J277=FALSE(),"",COUNTIF($J$6:$J277,TRUE()))</f>
        <v/>
      </c>
      <c r="L277" s="34" t="str">
        <f>IF($K277="","","R"&amp;$K277)</f>
        <v/>
      </c>
      <c r="M277" s="34" t="str">
        <f>IF($J277=FALSE(),"",IF(발주접수!$F30="세트",IFERROR(INDEX(세트구성!$C$3:$C$302,MATCH(발주접수!$D30&amp;"|"&amp;2,세트구성!$G$3:$G$302,0)),""),발주접수!$D30))</f>
        <v/>
      </c>
      <c r="N277" s="34" t="str">
        <f>IF($J277=FALSE(),"",IF(발주접수!$F30="세트",발주접수!$G30*IFERROR(INDEX(세트구성!$E$3:$E$302,MATCH(발주접수!$D30&amp;"|"&amp;2,세트구성!$G$3:$G$302,0)),0),발주접수!$G30))</f>
        <v/>
      </c>
      <c r="O277" s="34" t="str">
        <f>IF($J277=FALSE(),"",발주접수!$B30)</f>
        <v/>
      </c>
      <c r="P277" s="34" t="str">
        <f>IF($J277=FALSE(),"",발주접수!$C30)</f>
        <v/>
      </c>
      <c r="Q277" s="34" t="str">
        <f>IF($J277=FALSE(),"",IF(발주접수!$F30="세트",발주접수!$E30&amp;" 전개","직접 발주"))</f>
        <v/>
      </c>
    </row>
    <row r="278" ht="15" customHeight="1" s="30">
      <c r="J278" s="50" t="b">
        <f>IF(발주접수!$D30="",FALSE(),IF(발주접수!$F30="세트",COUNTIF(세트구성!$G$3:$G$302,발주접수!$D30&amp;"|"&amp;3)&gt;0,2=0))</f>
        <v>0</v>
      </c>
      <c r="K278" s="34" t="str">
        <f>IF($J278=FALSE(),"",COUNTIF($J$6:$J278,TRUE()))</f>
        <v/>
      </c>
      <c r="L278" s="34" t="str">
        <f>IF($K278="","","R"&amp;$K278)</f>
        <v/>
      </c>
      <c r="M278" s="34" t="str">
        <f>IF($J278=FALSE(),"",IF(발주접수!$F30="세트",IFERROR(INDEX(세트구성!$C$3:$C$302,MATCH(발주접수!$D30&amp;"|"&amp;3,세트구성!$G$3:$G$302,0)),""),발주접수!$D30))</f>
        <v/>
      </c>
      <c r="N278" s="34" t="str">
        <f>IF($J278=FALSE(),"",IF(발주접수!$F30="세트",발주접수!$G30*IFERROR(INDEX(세트구성!$E$3:$E$302,MATCH(발주접수!$D30&amp;"|"&amp;3,세트구성!$G$3:$G$302,0)),0),발주접수!$G30))</f>
        <v/>
      </c>
      <c r="O278" s="34" t="str">
        <f>IF($J278=FALSE(),"",발주접수!$B30)</f>
        <v/>
      </c>
      <c r="P278" s="34" t="str">
        <f>IF($J278=FALSE(),"",발주접수!$C30)</f>
        <v/>
      </c>
      <c r="Q278" s="34" t="str">
        <f>IF($J278=FALSE(),"",IF(발주접수!$F30="세트",발주접수!$E30&amp;" 전개","직접 발주"))</f>
        <v/>
      </c>
    </row>
    <row r="279" ht="15" customHeight="1" s="30">
      <c r="J279" s="50" t="b">
        <f>IF(발주접수!$D30="",FALSE(),IF(발주접수!$F30="세트",COUNTIF(세트구성!$G$3:$G$302,발주접수!$D30&amp;"|"&amp;4)&gt;0,3=0))</f>
        <v>0</v>
      </c>
      <c r="K279" s="34" t="str">
        <f>IF($J279=FALSE(),"",COUNTIF($J$6:$J279,TRUE()))</f>
        <v/>
      </c>
      <c r="L279" s="34" t="str">
        <f>IF($K279="","","R"&amp;$K279)</f>
        <v/>
      </c>
      <c r="M279" s="34" t="str">
        <f>IF($J279=FALSE(),"",IF(발주접수!$F30="세트",IFERROR(INDEX(세트구성!$C$3:$C$302,MATCH(발주접수!$D30&amp;"|"&amp;4,세트구성!$G$3:$G$302,0)),""),발주접수!$D30))</f>
        <v/>
      </c>
      <c r="N279" s="34" t="str">
        <f>IF($J279=FALSE(),"",IF(발주접수!$F30="세트",발주접수!$G30*IFERROR(INDEX(세트구성!$E$3:$E$302,MATCH(발주접수!$D30&amp;"|"&amp;4,세트구성!$G$3:$G$302,0)),0),발주접수!$G30))</f>
        <v/>
      </c>
      <c r="O279" s="34" t="str">
        <f>IF($J279=FALSE(),"",발주접수!$B30)</f>
        <v/>
      </c>
      <c r="P279" s="34" t="str">
        <f>IF($J279=FALSE(),"",발주접수!$C30)</f>
        <v/>
      </c>
      <c r="Q279" s="34" t="str">
        <f>IF($J279=FALSE(),"",IF(발주접수!$F30="세트",발주접수!$E30&amp;" 전개","직접 발주"))</f>
        <v/>
      </c>
    </row>
    <row r="280" ht="15" customHeight="1" s="30">
      <c r="J280" s="50" t="b">
        <f>IF(발주접수!$D30="",FALSE(),IF(발주접수!$F30="세트",COUNTIF(세트구성!$G$3:$G$302,발주접수!$D30&amp;"|"&amp;5)&gt;0,4=0))</f>
        <v>0</v>
      </c>
      <c r="K280" s="34" t="str">
        <f>IF($J280=FALSE(),"",COUNTIF($J$6:$J280,TRUE()))</f>
        <v/>
      </c>
      <c r="L280" s="34" t="str">
        <f>IF($K280="","","R"&amp;$K280)</f>
        <v/>
      </c>
      <c r="M280" s="34" t="str">
        <f>IF($J280=FALSE(),"",IF(발주접수!$F30="세트",IFERROR(INDEX(세트구성!$C$3:$C$302,MATCH(발주접수!$D30&amp;"|"&amp;5,세트구성!$G$3:$G$302,0)),""),발주접수!$D30))</f>
        <v/>
      </c>
      <c r="N280" s="34" t="str">
        <f>IF($J280=FALSE(),"",IF(발주접수!$F30="세트",발주접수!$G30*IFERROR(INDEX(세트구성!$E$3:$E$302,MATCH(발주접수!$D30&amp;"|"&amp;5,세트구성!$G$3:$G$302,0)),0),발주접수!$G30))</f>
        <v/>
      </c>
      <c r="O280" s="34" t="str">
        <f>IF($J280=FALSE(),"",발주접수!$B30)</f>
        <v/>
      </c>
      <c r="P280" s="34" t="str">
        <f>IF($J280=FALSE(),"",발주접수!$C30)</f>
        <v/>
      </c>
      <c r="Q280" s="34" t="str">
        <f>IF($J280=FALSE(),"",IF(발주접수!$F30="세트",발주접수!$E30&amp;" 전개","직접 발주"))</f>
        <v/>
      </c>
    </row>
    <row r="281" ht="15" customHeight="1" s="30">
      <c r="J281" s="50" t="b">
        <f>IF(발주접수!$D30="",FALSE(),IF(발주접수!$F30="세트",COUNTIF(세트구성!$G$3:$G$302,발주접수!$D30&amp;"|"&amp;6)&gt;0,5=0))</f>
        <v>0</v>
      </c>
      <c r="K281" s="34" t="str">
        <f>IF($J281=FALSE(),"",COUNTIF($J$6:$J281,TRUE()))</f>
        <v/>
      </c>
      <c r="L281" s="34" t="str">
        <f>IF($K281="","","R"&amp;$K281)</f>
        <v/>
      </c>
      <c r="M281" s="34" t="str">
        <f>IF($J281=FALSE(),"",IF(발주접수!$F30="세트",IFERROR(INDEX(세트구성!$C$3:$C$302,MATCH(발주접수!$D30&amp;"|"&amp;6,세트구성!$G$3:$G$302,0)),""),발주접수!$D30))</f>
        <v/>
      </c>
      <c r="N281" s="34" t="str">
        <f>IF($J281=FALSE(),"",IF(발주접수!$F30="세트",발주접수!$G30*IFERROR(INDEX(세트구성!$E$3:$E$302,MATCH(발주접수!$D30&amp;"|"&amp;6,세트구성!$G$3:$G$302,0)),0),발주접수!$G30))</f>
        <v/>
      </c>
      <c r="O281" s="34" t="str">
        <f>IF($J281=FALSE(),"",발주접수!$B30)</f>
        <v/>
      </c>
      <c r="P281" s="34" t="str">
        <f>IF($J281=FALSE(),"",발주접수!$C30)</f>
        <v/>
      </c>
      <c r="Q281" s="34" t="str">
        <f>IF($J281=FALSE(),"",IF(발주접수!$F30="세트",발주접수!$E30&amp;" 전개","직접 발주"))</f>
        <v/>
      </c>
    </row>
    <row r="282" ht="15" customHeight="1" s="30">
      <c r="J282" s="50" t="b">
        <f>IF(발주접수!$D30="",FALSE(),IF(발주접수!$F30="세트",COUNTIF(세트구성!$G$3:$G$302,발주접수!$D30&amp;"|"&amp;7)&gt;0,6=0))</f>
        <v>0</v>
      </c>
      <c r="K282" s="34" t="str">
        <f>IF($J282=FALSE(),"",COUNTIF($J$6:$J282,TRUE()))</f>
        <v/>
      </c>
      <c r="L282" s="34" t="str">
        <f>IF($K282="","","R"&amp;$K282)</f>
        <v/>
      </c>
      <c r="M282" s="34" t="str">
        <f>IF($J282=FALSE(),"",IF(발주접수!$F30="세트",IFERROR(INDEX(세트구성!$C$3:$C$302,MATCH(발주접수!$D30&amp;"|"&amp;7,세트구성!$G$3:$G$302,0)),""),발주접수!$D30))</f>
        <v/>
      </c>
      <c r="N282" s="34" t="str">
        <f>IF($J282=FALSE(),"",IF(발주접수!$F30="세트",발주접수!$G30*IFERROR(INDEX(세트구성!$E$3:$E$302,MATCH(발주접수!$D30&amp;"|"&amp;7,세트구성!$G$3:$G$302,0)),0),발주접수!$G30))</f>
        <v/>
      </c>
      <c r="O282" s="34" t="str">
        <f>IF($J282=FALSE(),"",발주접수!$B30)</f>
        <v/>
      </c>
      <c r="P282" s="34" t="str">
        <f>IF($J282=FALSE(),"",발주접수!$C30)</f>
        <v/>
      </c>
      <c r="Q282" s="34" t="str">
        <f>IF($J282=FALSE(),"",IF(발주접수!$F30="세트",발주접수!$E30&amp;" 전개","직접 발주"))</f>
        <v/>
      </c>
    </row>
    <row r="283" ht="15" customHeight="1" s="30">
      <c r="J283" s="50" t="b">
        <f>IF(발주접수!$D30="",FALSE(),IF(발주접수!$F30="세트",COUNTIF(세트구성!$G$3:$G$302,발주접수!$D30&amp;"|"&amp;8)&gt;0,7=0))</f>
        <v>0</v>
      </c>
      <c r="K283" s="34" t="str">
        <f>IF($J283=FALSE(),"",COUNTIF($J$6:$J283,TRUE()))</f>
        <v/>
      </c>
      <c r="L283" s="34" t="str">
        <f>IF($K283="","","R"&amp;$K283)</f>
        <v/>
      </c>
      <c r="M283" s="34" t="str">
        <f>IF($J283=FALSE(),"",IF(발주접수!$F30="세트",IFERROR(INDEX(세트구성!$C$3:$C$302,MATCH(발주접수!$D30&amp;"|"&amp;8,세트구성!$G$3:$G$302,0)),""),발주접수!$D30))</f>
        <v/>
      </c>
      <c r="N283" s="34" t="str">
        <f>IF($J283=FALSE(),"",IF(발주접수!$F30="세트",발주접수!$G30*IFERROR(INDEX(세트구성!$E$3:$E$302,MATCH(발주접수!$D30&amp;"|"&amp;8,세트구성!$G$3:$G$302,0)),0),발주접수!$G30))</f>
        <v/>
      </c>
      <c r="O283" s="34" t="str">
        <f>IF($J283=FALSE(),"",발주접수!$B30)</f>
        <v/>
      </c>
      <c r="P283" s="34" t="str">
        <f>IF($J283=FALSE(),"",발주접수!$C30)</f>
        <v/>
      </c>
      <c r="Q283" s="34" t="str">
        <f>IF($J283=FALSE(),"",IF(발주접수!$F30="세트",발주접수!$E30&amp;" 전개","직접 발주"))</f>
        <v/>
      </c>
    </row>
    <row r="284" ht="15" customHeight="1" s="30">
      <c r="J284" s="50" t="b">
        <f>IF(발주접수!$D30="",FALSE(),IF(발주접수!$F30="세트",COUNTIF(세트구성!$G$3:$G$302,발주접수!$D30&amp;"|"&amp;9)&gt;0,8=0))</f>
        <v>0</v>
      </c>
      <c r="K284" s="34" t="str">
        <f>IF($J284=FALSE(),"",COUNTIF($J$6:$J284,TRUE()))</f>
        <v/>
      </c>
      <c r="L284" s="34" t="str">
        <f>IF($K284="","","R"&amp;$K284)</f>
        <v/>
      </c>
      <c r="M284" s="34" t="str">
        <f>IF($J284=FALSE(),"",IF(발주접수!$F30="세트",IFERROR(INDEX(세트구성!$C$3:$C$302,MATCH(발주접수!$D30&amp;"|"&amp;9,세트구성!$G$3:$G$302,0)),""),발주접수!$D30))</f>
        <v/>
      </c>
      <c r="N284" s="34" t="str">
        <f>IF($J284=FALSE(),"",IF(발주접수!$F30="세트",발주접수!$G30*IFERROR(INDEX(세트구성!$E$3:$E$302,MATCH(발주접수!$D30&amp;"|"&amp;9,세트구성!$G$3:$G$302,0)),0),발주접수!$G30))</f>
        <v/>
      </c>
      <c r="O284" s="34" t="str">
        <f>IF($J284=FALSE(),"",발주접수!$B30)</f>
        <v/>
      </c>
      <c r="P284" s="34" t="str">
        <f>IF($J284=FALSE(),"",발주접수!$C30)</f>
        <v/>
      </c>
      <c r="Q284" s="34" t="str">
        <f>IF($J284=FALSE(),"",IF(발주접수!$F30="세트",발주접수!$E30&amp;" 전개","직접 발주"))</f>
        <v/>
      </c>
    </row>
    <row r="285" ht="15" customHeight="1" s="30">
      <c r="J285" s="50" t="b">
        <f>IF(발주접수!$D30="",FALSE(),IF(발주접수!$F30="세트",COUNTIF(세트구성!$G$3:$G$302,발주접수!$D30&amp;"|"&amp;10)&gt;0,9=0))</f>
        <v>0</v>
      </c>
      <c r="K285" s="34" t="str">
        <f>IF($J285=FALSE(),"",COUNTIF($J$6:$J285,TRUE()))</f>
        <v/>
      </c>
      <c r="L285" s="34" t="str">
        <f>IF($K285="","","R"&amp;$K285)</f>
        <v/>
      </c>
      <c r="M285" s="34" t="str">
        <f>IF($J285=FALSE(),"",IF(발주접수!$F30="세트",IFERROR(INDEX(세트구성!$C$3:$C$302,MATCH(발주접수!$D30&amp;"|"&amp;10,세트구성!$G$3:$G$302,0)),""),발주접수!$D30))</f>
        <v/>
      </c>
      <c r="N285" s="34" t="str">
        <f>IF($J285=FALSE(),"",IF(발주접수!$F30="세트",발주접수!$G30*IFERROR(INDEX(세트구성!$E$3:$E$302,MATCH(발주접수!$D30&amp;"|"&amp;10,세트구성!$G$3:$G$302,0)),0),발주접수!$G30))</f>
        <v/>
      </c>
      <c r="O285" s="34" t="str">
        <f>IF($J285=FALSE(),"",발주접수!$B30)</f>
        <v/>
      </c>
      <c r="P285" s="34" t="str">
        <f>IF($J285=FALSE(),"",발주접수!$C30)</f>
        <v/>
      </c>
      <c r="Q285" s="34" t="str">
        <f>IF($J285=FALSE(),"",IF(발주접수!$F30="세트",발주접수!$E30&amp;" 전개","직접 발주"))</f>
        <v/>
      </c>
    </row>
    <row r="286" ht="15" customHeight="1" s="30">
      <c r="J286" s="50" t="b">
        <f>IF(발주접수!$D31="",FALSE(),IF(발주접수!$F31="세트",COUNTIF(세트구성!$G$3:$G$302,발주접수!$D31&amp;"|"&amp;1)&gt;0,0=0))</f>
        <v>0</v>
      </c>
      <c r="K286" s="34" t="str">
        <f>IF($J286=FALSE(),"",COUNTIF($J$6:$J286,TRUE()))</f>
        <v/>
      </c>
      <c r="L286" s="34" t="str">
        <f>IF($K286="","","R"&amp;$K286)</f>
        <v/>
      </c>
      <c r="M286" s="34" t="str">
        <f>IF($J286=FALSE(),"",IF(발주접수!$F31="세트",IFERROR(INDEX(세트구성!$C$3:$C$302,MATCH(발주접수!$D31&amp;"|"&amp;1,세트구성!$G$3:$G$302,0)),""),발주접수!$D31))</f>
        <v/>
      </c>
      <c r="N286" s="34" t="str">
        <f>IF($J286=FALSE(),"",IF(발주접수!$F31="세트",발주접수!$G31*IFERROR(INDEX(세트구성!$E$3:$E$302,MATCH(발주접수!$D31&amp;"|"&amp;1,세트구성!$G$3:$G$302,0)),0),발주접수!$G31))</f>
        <v/>
      </c>
      <c r="O286" s="34" t="str">
        <f>IF($J286=FALSE(),"",발주접수!$B31)</f>
        <v/>
      </c>
      <c r="P286" s="34" t="str">
        <f>IF($J286=FALSE(),"",발주접수!$C31)</f>
        <v/>
      </c>
      <c r="Q286" s="34" t="str">
        <f>IF($J286=FALSE(),"",IF(발주접수!$F31="세트",발주접수!$E31&amp;" 전개","직접 발주"))</f>
        <v/>
      </c>
    </row>
    <row r="287" ht="15" customHeight="1" s="30">
      <c r="J287" s="50" t="b">
        <f>IF(발주접수!$D31="",FALSE(),IF(발주접수!$F31="세트",COUNTIF(세트구성!$G$3:$G$302,발주접수!$D31&amp;"|"&amp;2)&gt;0,1=0))</f>
        <v>0</v>
      </c>
      <c r="K287" s="34" t="str">
        <f>IF($J287=FALSE(),"",COUNTIF($J$6:$J287,TRUE()))</f>
        <v/>
      </c>
      <c r="L287" s="34" t="str">
        <f>IF($K287="","","R"&amp;$K287)</f>
        <v/>
      </c>
      <c r="M287" s="34" t="str">
        <f>IF($J287=FALSE(),"",IF(발주접수!$F31="세트",IFERROR(INDEX(세트구성!$C$3:$C$302,MATCH(발주접수!$D31&amp;"|"&amp;2,세트구성!$G$3:$G$302,0)),""),발주접수!$D31))</f>
        <v/>
      </c>
      <c r="N287" s="34" t="str">
        <f>IF($J287=FALSE(),"",IF(발주접수!$F31="세트",발주접수!$G31*IFERROR(INDEX(세트구성!$E$3:$E$302,MATCH(발주접수!$D31&amp;"|"&amp;2,세트구성!$G$3:$G$302,0)),0),발주접수!$G31))</f>
        <v/>
      </c>
      <c r="O287" s="34" t="str">
        <f>IF($J287=FALSE(),"",발주접수!$B31)</f>
        <v/>
      </c>
      <c r="P287" s="34" t="str">
        <f>IF($J287=FALSE(),"",발주접수!$C31)</f>
        <v/>
      </c>
      <c r="Q287" s="34" t="str">
        <f>IF($J287=FALSE(),"",IF(발주접수!$F31="세트",발주접수!$E31&amp;" 전개","직접 발주"))</f>
        <v/>
      </c>
    </row>
    <row r="288" ht="15" customHeight="1" s="30">
      <c r="J288" s="50" t="b">
        <f>IF(발주접수!$D31="",FALSE(),IF(발주접수!$F31="세트",COUNTIF(세트구성!$G$3:$G$302,발주접수!$D31&amp;"|"&amp;3)&gt;0,2=0))</f>
        <v>0</v>
      </c>
      <c r="K288" s="34" t="str">
        <f>IF($J288=FALSE(),"",COUNTIF($J$6:$J288,TRUE()))</f>
        <v/>
      </c>
      <c r="L288" s="34" t="str">
        <f>IF($K288="","","R"&amp;$K288)</f>
        <v/>
      </c>
      <c r="M288" s="34" t="str">
        <f>IF($J288=FALSE(),"",IF(발주접수!$F31="세트",IFERROR(INDEX(세트구성!$C$3:$C$302,MATCH(발주접수!$D31&amp;"|"&amp;3,세트구성!$G$3:$G$302,0)),""),발주접수!$D31))</f>
        <v/>
      </c>
      <c r="N288" s="34" t="str">
        <f>IF($J288=FALSE(),"",IF(발주접수!$F31="세트",발주접수!$G31*IFERROR(INDEX(세트구성!$E$3:$E$302,MATCH(발주접수!$D31&amp;"|"&amp;3,세트구성!$G$3:$G$302,0)),0),발주접수!$G31))</f>
        <v/>
      </c>
      <c r="O288" s="34" t="str">
        <f>IF($J288=FALSE(),"",발주접수!$B31)</f>
        <v/>
      </c>
      <c r="P288" s="34" t="str">
        <f>IF($J288=FALSE(),"",발주접수!$C31)</f>
        <v/>
      </c>
      <c r="Q288" s="34" t="str">
        <f>IF($J288=FALSE(),"",IF(발주접수!$F31="세트",발주접수!$E31&amp;" 전개","직접 발주"))</f>
        <v/>
      </c>
    </row>
    <row r="289" ht="15" customHeight="1" s="30">
      <c r="J289" s="50" t="b">
        <f>IF(발주접수!$D31="",FALSE(),IF(발주접수!$F31="세트",COUNTIF(세트구성!$G$3:$G$302,발주접수!$D31&amp;"|"&amp;4)&gt;0,3=0))</f>
        <v>0</v>
      </c>
      <c r="K289" s="34" t="str">
        <f>IF($J289=FALSE(),"",COUNTIF($J$6:$J289,TRUE()))</f>
        <v/>
      </c>
      <c r="L289" s="34" t="str">
        <f>IF($K289="","","R"&amp;$K289)</f>
        <v/>
      </c>
      <c r="M289" s="34" t="str">
        <f>IF($J289=FALSE(),"",IF(발주접수!$F31="세트",IFERROR(INDEX(세트구성!$C$3:$C$302,MATCH(발주접수!$D31&amp;"|"&amp;4,세트구성!$G$3:$G$302,0)),""),발주접수!$D31))</f>
        <v/>
      </c>
      <c r="N289" s="34" t="str">
        <f>IF($J289=FALSE(),"",IF(발주접수!$F31="세트",발주접수!$G31*IFERROR(INDEX(세트구성!$E$3:$E$302,MATCH(발주접수!$D31&amp;"|"&amp;4,세트구성!$G$3:$G$302,0)),0),발주접수!$G31))</f>
        <v/>
      </c>
      <c r="O289" s="34" t="str">
        <f>IF($J289=FALSE(),"",발주접수!$B31)</f>
        <v/>
      </c>
      <c r="P289" s="34" t="str">
        <f>IF($J289=FALSE(),"",발주접수!$C31)</f>
        <v/>
      </c>
      <c r="Q289" s="34" t="str">
        <f>IF($J289=FALSE(),"",IF(발주접수!$F31="세트",발주접수!$E31&amp;" 전개","직접 발주"))</f>
        <v/>
      </c>
    </row>
    <row r="290" ht="15" customHeight="1" s="30">
      <c r="J290" s="50" t="b">
        <f>IF(발주접수!$D31="",FALSE(),IF(발주접수!$F31="세트",COUNTIF(세트구성!$G$3:$G$302,발주접수!$D31&amp;"|"&amp;5)&gt;0,4=0))</f>
        <v>0</v>
      </c>
      <c r="K290" s="34" t="str">
        <f>IF($J290=FALSE(),"",COUNTIF($J$6:$J290,TRUE()))</f>
        <v/>
      </c>
      <c r="L290" s="34" t="str">
        <f>IF($K290="","","R"&amp;$K290)</f>
        <v/>
      </c>
      <c r="M290" s="34" t="str">
        <f>IF($J290=FALSE(),"",IF(발주접수!$F31="세트",IFERROR(INDEX(세트구성!$C$3:$C$302,MATCH(발주접수!$D31&amp;"|"&amp;5,세트구성!$G$3:$G$302,0)),""),발주접수!$D31))</f>
        <v/>
      </c>
      <c r="N290" s="34" t="str">
        <f>IF($J290=FALSE(),"",IF(발주접수!$F31="세트",발주접수!$G31*IFERROR(INDEX(세트구성!$E$3:$E$302,MATCH(발주접수!$D31&amp;"|"&amp;5,세트구성!$G$3:$G$302,0)),0),발주접수!$G31))</f>
        <v/>
      </c>
      <c r="O290" s="34" t="str">
        <f>IF($J290=FALSE(),"",발주접수!$B31)</f>
        <v/>
      </c>
      <c r="P290" s="34" t="str">
        <f>IF($J290=FALSE(),"",발주접수!$C31)</f>
        <v/>
      </c>
      <c r="Q290" s="34" t="str">
        <f>IF($J290=FALSE(),"",IF(발주접수!$F31="세트",발주접수!$E31&amp;" 전개","직접 발주"))</f>
        <v/>
      </c>
    </row>
    <row r="291" ht="15" customHeight="1" s="30">
      <c r="J291" s="50" t="b">
        <f>IF(발주접수!$D31="",FALSE(),IF(발주접수!$F31="세트",COUNTIF(세트구성!$G$3:$G$302,발주접수!$D31&amp;"|"&amp;6)&gt;0,5=0))</f>
        <v>0</v>
      </c>
      <c r="K291" s="34" t="str">
        <f>IF($J291=FALSE(),"",COUNTIF($J$6:$J291,TRUE()))</f>
        <v/>
      </c>
      <c r="L291" s="34" t="str">
        <f>IF($K291="","","R"&amp;$K291)</f>
        <v/>
      </c>
      <c r="M291" s="34" t="str">
        <f>IF($J291=FALSE(),"",IF(발주접수!$F31="세트",IFERROR(INDEX(세트구성!$C$3:$C$302,MATCH(발주접수!$D31&amp;"|"&amp;6,세트구성!$G$3:$G$302,0)),""),발주접수!$D31))</f>
        <v/>
      </c>
      <c r="N291" s="34" t="str">
        <f>IF($J291=FALSE(),"",IF(발주접수!$F31="세트",발주접수!$G31*IFERROR(INDEX(세트구성!$E$3:$E$302,MATCH(발주접수!$D31&amp;"|"&amp;6,세트구성!$G$3:$G$302,0)),0),발주접수!$G31))</f>
        <v/>
      </c>
      <c r="O291" s="34" t="str">
        <f>IF($J291=FALSE(),"",발주접수!$B31)</f>
        <v/>
      </c>
      <c r="P291" s="34" t="str">
        <f>IF($J291=FALSE(),"",발주접수!$C31)</f>
        <v/>
      </c>
      <c r="Q291" s="34" t="str">
        <f>IF($J291=FALSE(),"",IF(발주접수!$F31="세트",발주접수!$E31&amp;" 전개","직접 발주"))</f>
        <v/>
      </c>
    </row>
    <row r="292" ht="15" customHeight="1" s="30">
      <c r="J292" s="50" t="b">
        <f>IF(발주접수!$D31="",FALSE(),IF(발주접수!$F31="세트",COUNTIF(세트구성!$G$3:$G$302,발주접수!$D31&amp;"|"&amp;7)&gt;0,6=0))</f>
        <v>0</v>
      </c>
      <c r="K292" s="34" t="str">
        <f>IF($J292=FALSE(),"",COUNTIF($J$6:$J292,TRUE()))</f>
        <v/>
      </c>
      <c r="L292" s="34" t="str">
        <f>IF($K292="","","R"&amp;$K292)</f>
        <v/>
      </c>
      <c r="M292" s="34" t="str">
        <f>IF($J292=FALSE(),"",IF(발주접수!$F31="세트",IFERROR(INDEX(세트구성!$C$3:$C$302,MATCH(발주접수!$D31&amp;"|"&amp;7,세트구성!$G$3:$G$302,0)),""),발주접수!$D31))</f>
        <v/>
      </c>
      <c r="N292" s="34" t="str">
        <f>IF($J292=FALSE(),"",IF(발주접수!$F31="세트",발주접수!$G31*IFERROR(INDEX(세트구성!$E$3:$E$302,MATCH(발주접수!$D31&amp;"|"&amp;7,세트구성!$G$3:$G$302,0)),0),발주접수!$G31))</f>
        <v/>
      </c>
      <c r="O292" s="34" t="str">
        <f>IF($J292=FALSE(),"",발주접수!$B31)</f>
        <v/>
      </c>
      <c r="P292" s="34" t="str">
        <f>IF($J292=FALSE(),"",발주접수!$C31)</f>
        <v/>
      </c>
      <c r="Q292" s="34" t="str">
        <f>IF($J292=FALSE(),"",IF(발주접수!$F31="세트",발주접수!$E31&amp;" 전개","직접 발주"))</f>
        <v/>
      </c>
    </row>
    <row r="293" ht="15" customHeight="1" s="30">
      <c r="J293" s="50" t="b">
        <f>IF(발주접수!$D31="",FALSE(),IF(발주접수!$F31="세트",COUNTIF(세트구성!$G$3:$G$302,발주접수!$D31&amp;"|"&amp;8)&gt;0,7=0))</f>
        <v>0</v>
      </c>
      <c r="K293" s="34" t="str">
        <f>IF($J293=FALSE(),"",COUNTIF($J$6:$J293,TRUE()))</f>
        <v/>
      </c>
      <c r="L293" s="34" t="str">
        <f>IF($K293="","","R"&amp;$K293)</f>
        <v/>
      </c>
      <c r="M293" s="34" t="str">
        <f>IF($J293=FALSE(),"",IF(발주접수!$F31="세트",IFERROR(INDEX(세트구성!$C$3:$C$302,MATCH(발주접수!$D31&amp;"|"&amp;8,세트구성!$G$3:$G$302,0)),""),발주접수!$D31))</f>
        <v/>
      </c>
      <c r="N293" s="34" t="str">
        <f>IF($J293=FALSE(),"",IF(발주접수!$F31="세트",발주접수!$G31*IFERROR(INDEX(세트구성!$E$3:$E$302,MATCH(발주접수!$D31&amp;"|"&amp;8,세트구성!$G$3:$G$302,0)),0),발주접수!$G31))</f>
        <v/>
      </c>
      <c r="O293" s="34" t="str">
        <f>IF($J293=FALSE(),"",발주접수!$B31)</f>
        <v/>
      </c>
      <c r="P293" s="34" t="str">
        <f>IF($J293=FALSE(),"",발주접수!$C31)</f>
        <v/>
      </c>
      <c r="Q293" s="34" t="str">
        <f>IF($J293=FALSE(),"",IF(발주접수!$F31="세트",발주접수!$E31&amp;" 전개","직접 발주"))</f>
        <v/>
      </c>
    </row>
    <row r="294" ht="15" customHeight="1" s="30">
      <c r="J294" s="50" t="b">
        <f>IF(발주접수!$D31="",FALSE(),IF(발주접수!$F31="세트",COUNTIF(세트구성!$G$3:$G$302,발주접수!$D31&amp;"|"&amp;9)&gt;0,8=0))</f>
        <v>0</v>
      </c>
      <c r="K294" s="34" t="str">
        <f>IF($J294=FALSE(),"",COUNTIF($J$6:$J294,TRUE()))</f>
        <v/>
      </c>
      <c r="L294" s="34" t="str">
        <f>IF($K294="","","R"&amp;$K294)</f>
        <v/>
      </c>
      <c r="M294" s="34" t="str">
        <f>IF($J294=FALSE(),"",IF(발주접수!$F31="세트",IFERROR(INDEX(세트구성!$C$3:$C$302,MATCH(발주접수!$D31&amp;"|"&amp;9,세트구성!$G$3:$G$302,0)),""),발주접수!$D31))</f>
        <v/>
      </c>
      <c r="N294" s="34" t="str">
        <f>IF($J294=FALSE(),"",IF(발주접수!$F31="세트",발주접수!$G31*IFERROR(INDEX(세트구성!$E$3:$E$302,MATCH(발주접수!$D31&amp;"|"&amp;9,세트구성!$G$3:$G$302,0)),0),발주접수!$G31))</f>
        <v/>
      </c>
      <c r="O294" s="34" t="str">
        <f>IF($J294=FALSE(),"",발주접수!$B31)</f>
        <v/>
      </c>
      <c r="P294" s="34" t="str">
        <f>IF($J294=FALSE(),"",발주접수!$C31)</f>
        <v/>
      </c>
      <c r="Q294" s="34" t="str">
        <f>IF($J294=FALSE(),"",IF(발주접수!$F31="세트",발주접수!$E31&amp;" 전개","직접 발주"))</f>
        <v/>
      </c>
    </row>
    <row r="295" ht="15" customHeight="1" s="30">
      <c r="J295" s="50" t="b">
        <f>IF(발주접수!$D31="",FALSE(),IF(발주접수!$F31="세트",COUNTIF(세트구성!$G$3:$G$302,발주접수!$D31&amp;"|"&amp;10)&gt;0,9=0))</f>
        <v>0</v>
      </c>
      <c r="K295" s="34" t="str">
        <f>IF($J295=FALSE(),"",COUNTIF($J$6:$J295,TRUE()))</f>
        <v/>
      </c>
      <c r="L295" s="34" t="str">
        <f>IF($K295="","","R"&amp;$K295)</f>
        <v/>
      </c>
      <c r="M295" s="34" t="str">
        <f>IF($J295=FALSE(),"",IF(발주접수!$F31="세트",IFERROR(INDEX(세트구성!$C$3:$C$302,MATCH(발주접수!$D31&amp;"|"&amp;10,세트구성!$G$3:$G$302,0)),""),발주접수!$D31))</f>
        <v/>
      </c>
      <c r="N295" s="34" t="str">
        <f>IF($J295=FALSE(),"",IF(발주접수!$F31="세트",발주접수!$G31*IFERROR(INDEX(세트구성!$E$3:$E$302,MATCH(발주접수!$D31&amp;"|"&amp;10,세트구성!$G$3:$G$302,0)),0),발주접수!$G31))</f>
        <v/>
      </c>
      <c r="O295" s="34" t="str">
        <f>IF($J295=FALSE(),"",발주접수!$B31)</f>
        <v/>
      </c>
      <c r="P295" s="34" t="str">
        <f>IF($J295=FALSE(),"",발주접수!$C31)</f>
        <v/>
      </c>
      <c r="Q295" s="34" t="str">
        <f>IF($J295=FALSE(),"",IF(발주접수!$F31="세트",발주접수!$E31&amp;" 전개","직접 발주"))</f>
        <v/>
      </c>
    </row>
    <row r="296" ht="15" customHeight="1" s="30">
      <c r="J296" s="50" t="b">
        <f>IF(발주접수!$D32="",FALSE(),IF(발주접수!$F32="세트",COUNTIF(세트구성!$G$3:$G$302,발주접수!$D32&amp;"|"&amp;1)&gt;0,0=0))</f>
        <v>0</v>
      </c>
      <c r="K296" s="34" t="str">
        <f>IF($J296=FALSE(),"",COUNTIF($J$6:$J296,TRUE()))</f>
        <v/>
      </c>
      <c r="L296" s="34" t="str">
        <f>IF($K296="","","R"&amp;$K296)</f>
        <v/>
      </c>
      <c r="M296" s="34" t="str">
        <f>IF($J296=FALSE(),"",IF(발주접수!$F32="세트",IFERROR(INDEX(세트구성!$C$3:$C$302,MATCH(발주접수!$D32&amp;"|"&amp;1,세트구성!$G$3:$G$302,0)),""),발주접수!$D32))</f>
        <v/>
      </c>
      <c r="N296" s="34" t="str">
        <f>IF($J296=FALSE(),"",IF(발주접수!$F32="세트",발주접수!$G32*IFERROR(INDEX(세트구성!$E$3:$E$302,MATCH(발주접수!$D32&amp;"|"&amp;1,세트구성!$G$3:$G$302,0)),0),발주접수!$G32))</f>
        <v/>
      </c>
      <c r="O296" s="34" t="str">
        <f>IF($J296=FALSE(),"",발주접수!$B32)</f>
        <v/>
      </c>
      <c r="P296" s="34" t="str">
        <f>IF($J296=FALSE(),"",발주접수!$C32)</f>
        <v/>
      </c>
      <c r="Q296" s="34" t="str">
        <f>IF($J296=FALSE(),"",IF(발주접수!$F32="세트",발주접수!$E32&amp;" 전개","직접 발주"))</f>
        <v/>
      </c>
    </row>
    <row r="297" ht="15" customHeight="1" s="30">
      <c r="J297" s="50" t="b">
        <f>IF(발주접수!$D32="",FALSE(),IF(발주접수!$F32="세트",COUNTIF(세트구성!$G$3:$G$302,발주접수!$D32&amp;"|"&amp;2)&gt;0,1=0))</f>
        <v>0</v>
      </c>
      <c r="K297" s="34" t="str">
        <f>IF($J297=FALSE(),"",COUNTIF($J$6:$J297,TRUE()))</f>
        <v/>
      </c>
      <c r="L297" s="34" t="str">
        <f>IF($K297="","","R"&amp;$K297)</f>
        <v/>
      </c>
      <c r="M297" s="34" t="str">
        <f>IF($J297=FALSE(),"",IF(발주접수!$F32="세트",IFERROR(INDEX(세트구성!$C$3:$C$302,MATCH(발주접수!$D32&amp;"|"&amp;2,세트구성!$G$3:$G$302,0)),""),발주접수!$D32))</f>
        <v/>
      </c>
      <c r="N297" s="34" t="str">
        <f>IF($J297=FALSE(),"",IF(발주접수!$F32="세트",발주접수!$G32*IFERROR(INDEX(세트구성!$E$3:$E$302,MATCH(발주접수!$D32&amp;"|"&amp;2,세트구성!$G$3:$G$302,0)),0),발주접수!$G32))</f>
        <v/>
      </c>
      <c r="O297" s="34" t="str">
        <f>IF($J297=FALSE(),"",발주접수!$B32)</f>
        <v/>
      </c>
      <c r="P297" s="34" t="str">
        <f>IF($J297=FALSE(),"",발주접수!$C32)</f>
        <v/>
      </c>
      <c r="Q297" s="34" t="str">
        <f>IF($J297=FALSE(),"",IF(발주접수!$F32="세트",발주접수!$E32&amp;" 전개","직접 발주"))</f>
        <v/>
      </c>
    </row>
    <row r="298" ht="15" customHeight="1" s="30">
      <c r="J298" s="50" t="b">
        <f>IF(발주접수!$D32="",FALSE(),IF(발주접수!$F32="세트",COUNTIF(세트구성!$G$3:$G$302,발주접수!$D32&amp;"|"&amp;3)&gt;0,2=0))</f>
        <v>0</v>
      </c>
      <c r="K298" s="34" t="str">
        <f>IF($J298=FALSE(),"",COUNTIF($J$6:$J298,TRUE()))</f>
        <v/>
      </c>
      <c r="L298" s="34" t="str">
        <f>IF($K298="","","R"&amp;$K298)</f>
        <v/>
      </c>
      <c r="M298" s="34" t="str">
        <f>IF($J298=FALSE(),"",IF(발주접수!$F32="세트",IFERROR(INDEX(세트구성!$C$3:$C$302,MATCH(발주접수!$D32&amp;"|"&amp;3,세트구성!$G$3:$G$302,0)),""),발주접수!$D32))</f>
        <v/>
      </c>
      <c r="N298" s="34" t="str">
        <f>IF($J298=FALSE(),"",IF(발주접수!$F32="세트",발주접수!$G32*IFERROR(INDEX(세트구성!$E$3:$E$302,MATCH(발주접수!$D32&amp;"|"&amp;3,세트구성!$G$3:$G$302,0)),0),발주접수!$G32))</f>
        <v/>
      </c>
      <c r="O298" s="34" t="str">
        <f>IF($J298=FALSE(),"",발주접수!$B32)</f>
        <v/>
      </c>
      <c r="P298" s="34" t="str">
        <f>IF($J298=FALSE(),"",발주접수!$C32)</f>
        <v/>
      </c>
      <c r="Q298" s="34" t="str">
        <f>IF($J298=FALSE(),"",IF(발주접수!$F32="세트",발주접수!$E32&amp;" 전개","직접 발주"))</f>
        <v/>
      </c>
    </row>
    <row r="299" ht="15" customHeight="1" s="30">
      <c r="J299" s="50" t="b">
        <f>IF(발주접수!$D32="",FALSE(),IF(발주접수!$F32="세트",COUNTIF(세트구성!$G$3:$G$302,발주접수!$D32&amp;"|"&amp;4)&gt;0,3=0))</f>
        <v>0</v>
      </c>
      <c r="K299" s="34" t="str">
        <f>IF($J299=FALSE(),"",COUNTIF($J$6:$J299,TRUE()))</f>
        <v/>
      </c>
      <c r="L299" s="34" t="str">
        <f>IF($K299="","","R"&amp;$K299)</f>
        <v/>
      </c>
      <c r="M299" s="34" t="str">
        <f>IF($J299=FALSE(),"",IF(발주접수!$F32="세트",IFERROR(INDEX(세트구성!$C$3:$C$302,MATCH(발주접수!$D32&amp;"|"&amp;4,세트구성!$G$3:$G$302,0)),""),발주접수!$D32))</f>
        <v/>
      </c>
      <c r="N299" s="34" t="str">
        <f>IF($J299=FALSE(),"",IF(발주접수!$F32="세트",발주접수!$G32*IFERROR(INDEX(세트구성!$E$3:$E$302,MATCH(발주접수!$D32&amp;"|"&amp;4,세트구성!$G$3:$G$302,0)),0),발주접수!$G32))</f>
        <v/>
      </c>
      <c r="O299" s="34" t="str">
        <f>IF($J299=FALSE(),"",발주접수!$B32)</f>
        <v/>
      </c>
      <c r="P299" s="34" t="str">
        <f>IF($J299=FALSE(),"",발주접수!$C32)</f>
        <v/>
      </c>
      <c r="Q299" s="34" t="str">
        <f>IF($J299=FALSE(),"",IF(발주접수!$F32="세트",발주접수!$E32&amp;" 전개","직접 발주"))</f>
        <v/>
      </c>
    </row>
    <row r="300" ht="15" customHeight="1" s="30">
      <c r="J300" s="50" t="b">
        <f>IF(발주접수!$D32="",FALSE(),IF(발주접수!$F32="세트",COUNTIF(세트구성!$G$3:$G$302,발주접수!$D32&amp;"|"&amp;5)&gt;0,4=0))</f>
        <v>0</v>
      </c>
      <c r="K300" s="34" t="str">
        <f>IF($J300=FALSE(),"",COUNTIF($J$6:$J300,TRUE()))</f>
        <v/>
      </c>
      <c r="L300" s="34" t="str">
        <f>IF($K300="","","R"&amp;$K300)</f>
        <v/>
      </c>
      <c r="M300" s="34" t="str">
        <f>IF($J300=FALSE(),"",IF(발주접수!$F32="세트",IFERROR(INDEX(세트구성!$C$3:$C$302,MATCH(발주접수!$D32&amp;"|"&amp;5,세트구성!$G$3:$G$302,0)),""),발주접수!$D32))</f>
        <v/>
      </c>
      <c r="N300" s="34" t="str">
        <f>IF($J300=FALSE(),"",IF(발주접수!$F32="세트",발주접수!$G32*IFERROR(INDEX(세트구성!$E$3:$E$302,MATCH(발주접수!$D32&amp;"|"&amp;5,세트구성!$G$3:$G$302,0)),0),발주접수!$G32))</f>
        <v/>
      </c>
      <c r="O300" s="34" t="str">
        <f>IF($J300=FALSE(),"",발주접수!$B32)</f>
        <v/>
      </c>
      <c r="P300" s="34" t="str">
        <f>IF($J300=FALSE(),"",발주접수!$C32)</f>
        <v/>
      </c>
      <c r="Q300" s="34" t="str">
        <f>IF($J300=FALSE(),"",IF(발주접수!$F32="세트",발주접수!$E32&amp;" 전개","직접 발주"))</f>
        <v/>
      </c>
    </row>
    <row r="301" ht="15" customHeight="1" s="30">
      <c r="J301" s="50" t="b">
        <f>IF(발주접수!$D32="",FALSE(),IF(발주접수!$F32="세트",COUNTIF(세트구성!$G$3:$G$302,발주접수!$D32&amp;"|"&amp;6)&gt;0,5=0))</f>
        <v>0</v>
      </c>
      <c r="K301" s="34" t="str">
        <f>IF($J301=FALSE(),"",COUNTIF($J$6:$J301,TRUE()))</f>
        <v/>
      </c>
      <c r="L301" s="34" t="str">
        <f>IF($K301="","","R"&amp;$K301)</f>
        <v/>
      </c>
      <c r="M301" s="34" t="str">
        <f>IF($J301=FALSE(),"",IF(발주접수!$F32="세트",IFERROR(INDEX(세트구성!$C$3:$C$302,MATCH(발주접수!$D32&amp;"|"&amp;6,세트구성!$G$3:$G$302,0)),""),발주접수!$D32))</f>
        <v/>
      </c>
      <c r="N301" s="34" t="str">
        <f>IF($J301=FALSE(),"",IF(발주접수!$F32="세트",발주접수!$G32*IFERROR(INDEX(세트구성!$E$3:$E$302,MATCH(발주접수!$D32&amp;"|"&amp;6,세트구성!$G$3:$G$302,0)),0),발주접수!$G32))</f>
        <v/>
      </c>
      <c r="O301" s="34" t="str">
        <f>IF($J301=FALSE(),"",발주접수!$B32)</f>
        <v/>
      </c>
      <c r="P301" s="34" t="str">
        <f>IF($J301=FALSE(),"",발주접수!$C32)</f>
        <v/>
      </c>
      <c r="Q301" s="34" t="str">
        <f>IF($J301=FALSE(),"",IF(발주접수!$F32="세트",발주접수!$E32&amp;" 전개","직접 발주"))</f>
        <v/>
      </c>
    </row>
    <row r="302" ht="15" customHeight="1" s="30">
      <c r="J302" s="50" t="b">
        <f>IF(발주접수!$D32="",FALSE(),IF(발주접수!$F32="세트",COUNTIF(세트구성!$G$3:$G$302,발주접수!$D32&amp;"|"&amp;7)&gt;0,6=0))</f>
        <v>0</v>
      </c>
      <c r="K302" s="34" t="str">
        <f>IF($J302=FALSE(),"",COUNTIF($J$6:$J302,TRUE()))</f>
        <v/>
      </c>
      <c r="L302" s="34" t="str">
        <f>IF($K302="","","R"&amp;$K302)</f>
        <v/>
      </c>
      <c r="M302" s="34" t="str">
        <f>IF($J302=FALSE(),"",IF(발주접수!$F32="세트",IFERROR(INDEX(세트구성!$C$3:$C$302,MATCH(발주접수!$D32&amp;"|"&amp;7,세트구성!$G$3:$G$302,0)),""),발주접수!$D32))</f>
        <v/>
      </c>
      <c r="N302" s="34" t="str">
        <f>IF($J302=FALSE(),"",IF(발주접수!$F32="세트",발주접수!$G32*IFERROR(INDEX(세트구성!$E$3:$E$302,MATCH(발주접수!$D32&amp;"|"&amp;7,세트구성!$G$3:$G$302,0)),0),발주접수!$G32))</f>
        <v/>
      </c>
      <c r="O302" s="34" t="str">
        <f>IF($J302=FALSE(),"",발주접수!$B32)</f>
        <v/>
      </c>
      <c r="P302" s="34" t="str">
        <f>IF($J302=FALSE(),"",발주접수!$C32)</f>
        <v/>
      </c>
      <c r="Q302" s="34" t="str">
        <f>IF($J302=FALSE(),"",IF(발주접수!$F32="세트",발주접수!$E32&amp;" 전개","직접 발주"))</f>
        <v/>
      </c>
    </row>
    <row r="303" ht="15" customHeight="1" s="30">
      <c r="J303" s="50" t="b">
        <f>IF(발주접수!$D32="",FALSE(),IF(발주접수!$F32="세트",COUNTIF(세트구성!$G$3:$G$302,발주접수!$D32&amp;"|"&amp;8)&gt;0,7=0))</f>
        <v>0</v>
      </c>
      <c r="K303" s="34" t="str">
        <f>IF($J303=FALSE(),"",COUNTIF($J$6:$J303,TRUE()))</f>
        <v/>
      </c>
      <c r="L303" s="34" t="str">
        <f>IF($K303="","","R"&amp;$K303)</f>
        <v/>
      </c>
      <c r="M303" s="34" t="str">
        <f>IF($J303=FALSE(),"",IF(발주접수!$F32="세트",IFERROR(INDEX(세트구성!$C$3:$C$302,MATCH(발주접수!$D32&amp;"|"&amp;8,세트구성!$G$3:$G$302,0)),""),발주접수!$D32))</f>
        <v/>
      </c>
      <c r="N303" s="34" t="str">
        <f>IF($J303=FALSE(),"",IF(발주접수!$F32="세트",발주접수!$G32*IFERROR(INDEX(세트구성!$E$3:$E$302,MATCH(발주접수!$D32&amp;"|"&amp;8,세트구성!$G$3:$G$302,0)),0),발주접수!$G32))</f>
        <v/>
      </c>
      <c r="O303" s="34" t="str">
        <f>IF($J303=FALSE(),"",발주접수!$B32)</f>
        <v/>
      </c>
      <c r="P303" s="34" t="str">
        <f>IF($J303=FALSE(),"",발주접수!$C32)</f>
        <v/>
      </c>
      <c r="Q303" s="34" t="str">
        <f>IF($J303=FALSE(),"",IF(발주접수!$F32="세트",발주접수!$E32&amp;" 전개","직접 발주"))</f>
        <v/>
      </c>
    </row>
    <row r="304" ht="15" customHeight="1" s="30">
      <c r="J304" s="50" t="b">
        <f>IF(발주접수!$D32="",FALSE(),IF(발주접수!$F32="세트",COUNTIF(세트구성!$G$3:$G$302,발주접수!$D32&amp;"|"&amp;9)&gt;0,8=0))</f>
        <v>0</v>
      </c>
      <c r="K304" s="34" t="str">
        <f>IF($J304=FALSE(),"",COUNTIF($J$6:$J304,TRUE()))</f>
        <v/>
      </c>
      <c r="L304" s="34" t="str">
        <f>IF($K304="","","R"&amp;$K304)</f>
        <v/>
      </c>
      <c r="M304" s="34" t="str">
        <f>IF($J304=FALSE(),"",IF(발주접수!$F32="세트",IFERROR(INDEX(세트구성!$C$3:$C$302,MATCH(발주접수!$D32&amp;"|"&amp;9,세트구성!$G$3:$G$302,0)),""),발주접수!$D32))</f>
        <v/>
      </c>
      <c r="N304" s="34" t="str">
        <f>IF($J304=FALSE(),"",IF(발주접수!$F32="세트",발주접수!$G32*IFERROR(INDEX(세트구성!$E$3:$E$302,MATCH(발주접수!$D32&amp;"|"&amp;9,세트구성!$G$3:$G$302,0)),0),발주접수!$G32))</f>
        <v/>
      </c>
      <c r="O304" s="34" t="str">
        <f>IF($J304=FALSE(),"",발주접수!$B32)</f>
        <v/>
      </c>
      <c r="P304" s="34" t="str">
        <f>IF($J304=FALSE(),"",발주접수!$C32)</f>
        <v/>
      </c>
      <c r="Q304" s="34" t="str">
        <f>IF($J304=FALSE(),"",IF(발주접수!$F32="세트",발주접수!$E32&amp;" 전개","직접 발주"))</f>
        <v/>
      </c>
    </row>
    <row r="305" ht="15" customHeight="1" s="30">
      <c r="J305" s="50" t="b">
        <f>IF(발주접수!$D32="",FALSE(),IF(발주접수!$F32="세트",COUNTIF(세트구성!$G$3:$G$302,발주접수!$D32&amp;"|"&amp;10)&gt;0,9=0))</f>
        <v>0</v>
      </c>
      <c r="K305" s="34" t="str">
        <f>IF($J305=FALSE(),"",COUNTIF($J$6:$J305,TRUE()))</f>
        <v/>
      </c>
      <c r="L305" s="34" t="str">
        <f>IF($K305="","","R"&amp;$K305)</f>
        <v/>
      </c>
      <c r="M305" s="34" t="str">
        <f>IF($J305=FALSE(),"",IF(발주접수!$F32="세트",IFERROR(INDEX(세트구성!$C$3:$C$302,MATCH(발주접수!$D32&amp;"|"&amp;10,세트구성!$G$3:$G$302,0)),""),발주접수!$D32))</f>
        <v/>
      </c>
      <c r="N305" s="34" t="str">
        <f>IF($J305=FALSE(),"",IF(발주접수!$F32="세트",발주접수!$G32*IFERROR(INDEX(세트구성!$E$3:$E$302,MATCH(발주접수!$D32&amp;"|"&amp;10,세트구성!$G$3:$G$302,0)),0),발주접수!$G32))</f>
        <v/>
      </c>
      <c r="O305" s="34" t="str">
        <f>IF($J305=FALSE(),"",발주접수!$B32)</f>
        <v/>
      </c>
      <c r="P305" s="34" t="str">
        <f>IF($J305=FALSE(),"",발주접수!$C32)</f>
        <v/>
      </c>
      <c r="Q305" s="34" t="str">
        <f>IF($J305=FALSE(),"",IF(발주접수!$F32="세트",발주접수!$E32&amp;" 전개","직접 발주"))</f>
        <v/>
      </c>
    </row>
    <row r="306" ht="15" customHeight="1" s="30">
      <c r="J306" s="50" t="b">
        <f>IF(발주접수!$D33="",FALSE(),IF(발주접수!$F33="세트",COUNTIF(세트구성!$G$3:$G$302,발주접수!$D33&amp;"|"&amp;1)&gt;0,0=0))</f>
        <v>0</v>
      </c>
      <c r="K306" s="34" t="str">
        <f>IF($J306=FALSE(),"",COUNTIF($J$6:$J306,TRUE()))</f>
        <v/>
      </c>
      <c r="L306" s="34" t="str">
        <f>IF($K306="","","R"&amp;$K306)</f>
        <v/>
      </c>
      <c r="M306" s="34" t="str">
        <f>IF($J306=FALSE(),"",IF(발주접수!$F33="세트",IFERROR(INDEX(세트구성!$C$3:$C$302,MATCH(발주접수!$D33&amp;"|"&amp;1,세트구성!$G$3:$G$302,0)),""),발주접수!$D33))</f>
        <v/>
      </c>
      <c r="N306" s="34" t="str">
        <f>IF($J306=FALSE(),"",IF(발주접수!$F33="세트",발주접수!$G33*IFERROR(INDEX(세트구성!$E$3:$E$302,MATCH(발주접수!$D33&amp;"|"&amp;1,세트구성!$G$3:$G$302,0)),0),발주접수!$G33))</f>
        <v/>
      </c>
      <c r="O306" s="34" t="str">
        <f>IF($J306=FALSE(),"",발주접수!$B33)</f>
        <v/>
      </c>
      <c r="P306" s="34" t="str">
        <f>IF($J306=FALSE(),"",발주접수!$C33)</f>
        <v/>
      </c>
      <c r="Q306" s="34" t="str">
        <f>IF($J306=FALSE(),"",IF(발주접수!$F33="세트",발주접수!$E33&amp;" 전개","직접 발주"))</f>
        <v/>
      </c>
    </row>
    <row r="307" ht="15" customHeight="1" s="30">
      <c r="J307" s="50" t="b">
        <f>IF(발주접수!$D33="",FALSE(),IF(발주접수!$F33="세트",COUNTIF(세트구성!$G$3:$G$302,발주접수!$D33&amp;"|"&amp;2)&gt;0,1=0))</f>
        <v>0</v>
      </c>
      <c r="K307" s="34" t="str">
        <f>IF($J307=FALSE(),"",COUNTIF($J$6:$J307,TRUE()))</f>
        <v/>
      </c>
      <c r="L307" s="34" t="str">
        <f>IF($K307="","","R"&amp;$K307)</f>
        <v/>
      </c>
      <c r="M307" s="34" t="str">
        <f>IF($J307=FALSE(),"",IF(발주접수!$F33="세트",IFERROR(INDEX(세트구성!$C$3:$C$302,MATCH(발주접수!$D33&amp;"|"&amp;2,세트구성!$G$3:$G$302,0)),""),발주접수!$D33))</f>
        <v/>
      </c>
      <c r="N307" s="34" t="str">
        <f>IF($J307=FALSE(),"",IF(발주접수!$F33="세트",발주접수!$G33*IFERROR(INDEX(세트구성!$E$3:$E$302,MATCH(발주접수!$D33&amp;"|"&amp;2,세트구성!$G$3:$G$302,0)),0),발주접수!$G33))</f>
        <v/>
      </c>
      <c r="O307" s="34" t="str">
        <f>IF($J307=FALSE(),"",발주접수!$B33)</f>
        <v/>
      </c>
      <c r="P307" s="34" t="str">
        <f>IF($J307=FALSE(),"",발주접수!$C33)</f>
        <v/>
      </c>
      <c r="Q307" s="34" t="str">
        <f>IF($J307=FALSE(),"",IF(발주접수!$F33="세트",발주접수!$E33&amp;" 전개","직접 발주"))</f>
        <v/>
      </c>
    </row>
    <row r="308" ht="15" customHeight="1" s="30">
      <c r="J308" s="50" t="b">
        <f>IF(발주접수!$D33="",FALSE(),IF(발주접수!$F33="세트",COUNTIF(세트구성!$G$3:$G$302,발주접수!$D33&amp;"|"&amp;3)&gt;0,2=0))</f>
        <v>0</v>
      </c>
      <c r="K308" s="34" t="str">
        <f>IF($J308=FALSE(),"",COUNTIF($J$6:$J308,TRUE()))</f>
        <v/>
      </c>
      <c r="L308" s="34" t="str">
        <f>IF($K308="","","R"&amp;$K308)</f>
        <v/>
      </c>
      <c r="M308" s="34" t="str">
        <f>IF($J308=FALSE(),"",IF(발주접수!$F33="세트",IFERROR(INDEX(세트구성!$C$3:$C$302,MATCH(발주접수!$D33&amp;"|"&amp;3,세트구성!$G$3:$G$302,0)),""),발주접수!$D33))</f>
        <v/>
      </c>
      <c r="N308" s="34" t="str">
        <f>IF($J308=FALSE(),"",IF(발주접수!$F33="세트",발주접수!$G33*IFERROR(INDEX(세트구성!$E$3:$E$302,MATCH(발주접수!$D33&amp;"|"&amp;3,세트구성!$G$3:$G$302,0)),0),발주접수!$G33))</f>
        <v/>
      </c>
      <c r="O308" s="34" t="str">
        <f>IF($J308=FALSE(),"",발주접수!$B33)</f>
        <v/>
      </c>
      <c r="P308" s="34" t="str">
        <f>IF($J308=FALSE(),"",발주접수!$C33)</f>
        <v/>
      </c>
      <c r="Q308" s="34" t="str">
        <f>IF($J308=FALSE(),"",IF(발주접수!$F33="세트",발주접수!$E33&amp;" 전개","직접 발주"))</f>
        <v/>
      </c>
    </row>
    <row r="309" ht="15" customHeight="1" s="30">
      <c r="J309" s="50" t="b">
        <f>IF(발주접수!$D33="",FALSE(),IF(발주접수!$F33="세트",COUNTIF(세트구성!$G$3:$G$302,발주접수!$D33&amp;"|"&amp;4)&gt;0,3=0))</f>
        <v>0</v>
      </c>
      <c r="K309" s="34" t="str">
        <f>IF($J309=FALSE(),"",COUNTIF($J$6:$J309,TRUE()))</f>
        <v/>
      </c>
      <c r="L309" s="34" t="str">
        <f>IF($K309="","","R"&amp;$K309)</f>
        <v/>
      </c>
      <c r="M309" s="34" t="str">
        <f>IF($J309=FALSE(),"",IF(발주접수!$F33="세트",IFERROR(INDEX(세트구성!$C$3:$C$302,MATCH(발주접수!$D33&amp;"|"&amp;4,세트구성!$G$3:$G$302,0)),""),발주접수!$D33))</f>
        <v/>
      </c>
      <c r="N309" s="34" t="str">
        <f>IF($J309=FALSE(),"",IF(발주접수!$F33="세트",발주접수!$G33*IFERROR(INDEX(세트구성!$E$3:$E$302,MATCH(발주접수!$D33&amp;"|"&amp;4,세트구성!$G$3:$G$302,0)),0),발주접수!$G33))</f>
        <v/>
      </c>
      <c r="O309" s="34" t="str">
        <f>IF($J309=FALSE(),"",발주접수!$B33)</f>
        <v/>
      </c>
      <c r="P309" s="34" t="str">
        <f>IF($J309=FALSE(),"",발주접수!$C33)</f>
        <v/>
      </c>
      <c r="Q309" s="34" t="str">
        <f>IF($J309=FALSE(),"",IF(발주접수!$F33="세트",발주접수!$E33&amp;" 전개","직접 발주"))</f>
        <v/>
      </c>
    </row>
    <row r="310" ht="15" customHeight="1" s="30">
      <c r="J310" s="50" t="b">
        <f>IF(발주접수!$D33="",FALSE(),IF(발주접수!$F33="세트",COUNTIF(세트구성!$G$3:$G$302,발주접수!$D33&amp;"|"&amp;5)&gt;0,4=0))</f>
        <v>0</v>
      </c>
      <c r="K310" s="34" t="str">
        <f>IF($J310=FALSE(),"",COUNTIF($J$6:$J310,TRUE()))</f>
        <v/>
      </c>
      <c r="L310" s="34" t="str">
        <f>IF($K310="","","R"&amp;$K310)</f>
        <v/>
      </c>
      <c r="M310" s="34" t="str">
        <f>IF($J310=FALSE(),"",IF(발주접수!$F33="세트",IFERROR(INDEX(세트구성!$C$3:$C$302,MATCH(발주접수!$D33&amp;"|"&amp;5,세트구성!$G$3:$G$302,0)),""),발주접수!$D33))</f>
        <v/>
      </c>
      <c r="N310" s="34" t="str">
        <f>IF($J310=FALSE(),"",IF(발주접수!$F33="세트",발주접수!$G33*IFERROR(INDEX(세트구성!$E$3:$E$302,MATCH(발주접수!$D33&amp;"|"&amp;5,세트구성!$G$3:$G$302,0)),0),발주접수!$G33))</f>
        <v/>
      </c>
      <c r="O310" s="34" t="str">
        <f>IF($J310=FALSE(),"",발주접수!$B33)</f>
        <v/>
      </c>
      <c r="P310" s="34" t="str">
        <f>IF($J310=FALSE(),"",발주접수!$C33)</f>
        <v/>
      </c>
      <c r="Q310" s="34" t="str">
        <f>IF($J310=FALSE(),"",IF(발주접수!$F33="세트",발주접수!$E33&amp;" 전개","직접 발주"))</f>
        <v/>
      </c>
    </row>
    <row r="311" ht="15" customHeight="1" s="30">
      <c r="J311" s="50" t="b">
        <f>IF(발주접수!$D33="",FALSE(),IF(발주접수!$F33="세트",COUNTIF(세트구성!$G$3:$G$302,발주접수!$D33&amp;"|"&amp;6)&gt;0,5=0))</f>
        <v>0</v>
      </c>
      <c r="K311" s="34" t="str">
        <f>IF($J311=FALSE(),"",COUNTIF($J$6:$J311,TRUE()))</f>
        <v/>
      </c>
      <c r="L311" s="34" t="str">
        <f>IF($K311="","","R"&amp;$K311)</f>
        <v/>
      </c>
      <c r="M311" s="34" t="str">
        <f>IF($J311=FALSE(),"",IF(발주접수!$F33="세트",IFERROR(INDEX(세트구성!$C$3:$C$302,MATCH(발주접수!$D33&amp;"|"&amp;6,세트구성!$G$3:$G$302,0)),""),발주접수!$D33))</f>
        <v/>
      </c>
      <c r="N311" s="34" t="str">
        <f>IF($J311=FALSE(),"",IF(발주접수!$F33="세트",발주접수!$G33*IFERROR(INDEX(세트구성!$E$3:$E$302,MATCH(발주접수!$D33&amp;"|"&amp;6,세트구성!$G$3:$G$302,0)),0),발주접수!$G33))</f>
        <v/>
      </c>
      <c r="O311" s="34" t="str">
        <f>IF($J311=FALSE(),"",발주접수!$B33)</f>
        <v/>
      </c>
      <c r="P311" s="34" t="str">
        <f>IF($J311=FALSE(),"",발주접수!$C33)</f>
        <v/>
      </c>
      <c r="Q311" s="34" t="str">
        <f>IF($J311=FALSE(),"",IF(발주접수!$F33="세트",발주접수!$E33&amp;" 전개","직접 발주"))</f>
        <v/>
      </c>
    </row>
    <row r="312" ht="15" customHeight="1" s="30">
      <c r="J312" s="50" t="b">
        <f>IF(발주접수!$D33="",FALSE(),IF(발주접수!$F33="세트",COUNTIF(세트구성!$G$3:$G$302,발주접수!$D33&amp;"|"&amp;7)&gt;0,6=0))</f>
        <v>0</v>
      </c>
      <c r="K312" s="34" t="str">
        <f>IF($J312=FALSE(),"",COUNTIF($J$6:$J312,TRUE()))</f>
        <v/>
      </c>
      <c r="L312" s="34" t="str">
        <f>IF($K312="","","R"&amp;$K312)</f>
        <v/>
      </c>
      <c r="M312" s="34" t="str">
        <f>IF($J312=FALSE(),"",IF(발주접수!$F33="세트",IFERROR(INDEX(세트구성!$C$3:$C$302,MATCH(발주접수!$D33&amp;"|"&amp;7,세트구성!$G$3:$G$302,0)),""),발주접수!$D33))</f>
        <v/>
      </c>
      <c r="N312" s="34" t="str">
        <f>IF($J312=FALSE(),"",IF(발주접수!$F33="세트",발주접수!$G33*IFERROR(INDEX(세트구성!$E$3:$E$302,MATCH(발주접수!$D33&amp;"|"&amp;7,세트구성!$G$3:$G$302,0)),0),발주접수!$G33))</f>
        <v/>
      </c>
      <c r="O312" s="34" t="str">
        <f>IF($J312=FALSE(),"",발주접수!$B33)</f>
        <v/>
      </c>
      <c r="P312" s="34" t="str">
        <f>IF($J312=FALSE(),"",발주접수!$C33)</f>
        <v/>
      </c>
      <c r="Q312" s="34" t="str">
        <f>IF($J312=FALSE(),"",IF(발주접수!$F33="세트",발주접수!$E33&amp;" 전개","직접 발주"))</f>
        <v/>
      </c>
    </row>
    <row r="313" ht="15" customHeight="1" s="30">
      <c r="J313" s="50" t="b">
        <f>IF(발주접수!$D33="",FALSE(),IF(발주접수!$F33="세트",COUNTIF(세트구성!$G$3:$G$302,발주접수!$D33&amp;"|"&amp;8)&gt;0,7=0))</f>
        <v>0</v>
      </c>
      <c r="K313" s="34" t="str">
        <f>IF($J313=FALSE(),"",COUNTIF($J$6:$J313,TRUE()))</f>
        <v/>
      </c>
      <c r="L313" s="34" t="str">
        <f>IF($K313="","","R"&amp;$K313)</f>
        <v/>
      </c>
      <c r="M313" s="34" t="str">
        <f>IF($J313=FALSE(),"",IF(발주접수!$F33="세트",IFERROR(INDEX(세트구성!$C$3:$C$302,MATCH(발주접수!$D33&amp;"|"&amp;8,세트구성!$G$3:$G$302,0)),""),발주접수!$D33))</f>
        <v/>
      </c>
      <c r="N313" s="34" t="str">
        <f>IF($J313=FALSE(),"",IF(발주접수!$F33="세트",발주접수!$G33*IFERROR(INDEX(세트구성!$E$3:$E$302,MATCH(발주접수!$D33&amp;"|"&amp;8,세트구성!$G$3:$G$302,0)),0),발주접수!$G33))</f>
        <v/>
      </c>
      <c r="O313" s="34" t="str">
        <f>IF($J313=FALSE(),"",발주접수!$B33)</f>
        <v/>
      </c>
      <c r="P313" s="34" t="str">
        <f>IF($J313=FALSE(),"",발주접수!$C33)</f>
        <v/>
      </c>
      <c r="Q313" s="34" t="str">
        <f>IF($J313=FALSE(),"",IF(발주접수!$F33="세트",발주접수!$E33&amp;" 전개","직접 발주"))</f>
        <v/>
      </c>
    </row>
    <row r="314" ht="15" customHeight="1" s="30">
      <c r="J314" s="50" t="b">
        <f>IF(발주접수!$D33="",FALSE(),IF(발주접수!$F33="세트",COUNTIF(세트구성!$G$3:$G$302,발주접수!$D33&amp;"|"&amp;9)&gt;0,8=0))</f>
        <v>0</v>
      </c>
      <c r="K314" s="34" t="str">
        <f>IF($J314=FALSE(),"",COUNTIF($J$6:$J314,TRUE()))</f>
        <v/>
      </c>
      <c r="L314" s="34" t="str">
        <f>IF($K314="","","R"&amp;$K314)</f>
        <v/>
      </c>
      <c r="M314" s="34" t="str">
        <f>IF($J314=FALSE(),"",IF(발주접수!$F33="세트",IFERROR(INDEX(세트구성!$C$3:$C$302,MATCH(발주접수!$D33&amp;"|"&amp;9,세트구성!$G$3:$G$302,0)),""),발주접수!$D33))</f>
        <v/>
      </c>
      <c r="N314" s="34" t="str">
        <f>IF($J314=FALSE(),"",IF(발주접수!$F33="세트",발주접수!$G33*IFERROR(INDEX(세트구성!$E$3:$E$302,MATCH(발주접수!$D33&amp;"|"&amp;9,세트구성!$G$3:$G$302,0)),0),발주접수!$G33))</f>
        <v/>
      </c>
      <c r="O314" s="34" t="str">
        <f>IF($J314=FALSE(),"",발주접수!$B33)</f>
        <v/>
      </c>
      <c r="P314" s="34" t="str">
        <f>IF($J314=FALSE(),"",발주접수!$C33)</f>
        <v/>
      </c>
      <c r="Q314" s="34" t="str">
        <f>IF($J314=FALSE(),"",IF(발주접수!$F33="세트",발주접수!$E33&amp;" 전개","직접 발주"))</f>
        <v/>
      </c>
    </row>
    <row r="315" ht="15" customHeight="1" s="30">
      <c r="J315" s="50" t="b">
        <f>IF(발주접수!$D33="",FALSE(),IF(발주접수!$F33="세트",COUNTIF(세트구성!$G$3:$G$302,발주접수!$D33&amp;"|"&amp;10)&gt;0,9=0))</f>
        <v>0</v>
      </c>
      <c r="K315" s="34" t="str">
        <f>IF($J315=FALSE(),"",COUNTIF($J$6:$J315,TRUE()))</f>
        <v/>
      </c>
      <c r="L315" s="34" t="str">
        <f>IF($K315="","","R"&amp;$K315)</f>
        <v/>
      </c>
      <c r="M315" s="34" t="str">
        <f>IF($J315=FALSE(),"",IF(발주접수!$F33="세트",IFERROR(INDEX(세트구성!$C$3:$C$302,MATCH(발주접수!$D33&amp;"|"&amp;10,세트구성!$G$3:$G$302,0)),""),발주접수!$D33))</f>
        <v/>
      </c>
      <c r="N315" s="34" t="str">
        <f>IF($J315=FALSE(),"",IF(발주접수!$F33="세트",발주접수!$G33*IFERROR(INDEX(세트구성!$E$3:$E$302,MATCH(발주접수!$D33&amp;"|"&amp;10,세트구성!$G$3:$G$302,0)),0),발주접수!$G33))</f>
        <v/>
      </c>
      <c r="O315" s="34" t="str">
        <f>IF($J315=FALSE(),"",발주접수!$B33)</f>
        <v/>
      </c>
      <c r="P315" s="34" t="str">
        <f>IF($J315=FALSE(),"",발주접수!$C33)</f>
        <v/>
      </c>
      <c r="Q315" s="34" t="str">
        <f>IF($J315=FALSE(),"",IF(발주접수!$F33="세트",발주접수!$E33&amp;" 전개","직접 발주"))</f>
        <v/>
      </c>
    </row>
    <row r="316" ht="15" customHeight="1" s="30">
      <c r="J316" s="50" t="b">
        <f>IF(발주접수!$D34="",FALSE(),IF(발주접수!$F34="세트",COUNTIF(세트구성!$G$3:$G$302,발주접수!$D34&amp;"|"&amp;1)&gt;0,0=0))</f>
        <v>0</v>
      </c>
      <c r="K316" s="34" t="str">
        <f>IF($J316=FALSE(),"",COUNTIF($J$6:$J316,TRUE()))</f>
        <v/>
      </c>
      <c r="L316" s="34" t="str">
        <f>IF($K316="","","R"&amp;$K316)</f>
        <v/>
      </c>
      <c r="M316" s="34" t="str">
        <f>IF($J316=FALSE(),"",IF(발주접수!$F34="세트",IFERROR(INDEX(세트구성!$C$3:$C$302,MATCH(발주접수!$D34&amp;"|"&amp;1,세트구성!$G$3:$G$302,0)),""),발주접수!$D34))</f>
        <v/>
      </c>
      <c r="N316" s="34" t="str">
        <f>IF($J316=FALSE(),"",IF(발주접수!$F34="세트",발주접수!$G34*IFERROR(INDEX(세트구성!$E$3:$E$302,MATCH(발주접수!$D34&amp;"|"&amp;1,세트구성!$G$3:$G$302,0)),0),발주접수!$G34))</f>
        <v/>
      </c>
      <c r="O316" s="34" t="str">
        <f>IF($J316=FALSE(),"",발주접수!$B34)</f>
        <v/>
      </c>
      <c r="P316" s="34" t="str">
        <f>IF($J316=FALSE(),"",발주접수!$C34)</f>
        <v/>
      </c>
      <c r="Q316" s="34" t="str">
        <f>IF($J316=FALSE(),"",IF(발주접수!$F34="세트",발주접수!$E34&amp;" 전개","직접 발주"))</f>
        <v/>
      </c>
    </row>
    <row r="317" ht="15" customHeight="1" s="30">
      <c r="J317" s="50" t="b">
        <f>IF(발주접수!$D34="",FALSE(),IF(발주접수!$F34="세트",COUNTIF(세트구성!$G$3:$G$302,발주접수!$D34&amp;"|"&amp;2)&gt;0,1=0))</f>
        <v>0</v>
      </c>
      <c r="K317" s="34" t="str">
        <f>IF($J317=FALSE(),"",COUNTIF($J$6:$J317,TRUE()))</f>
        <v/>
      </c>
      <c r="L317" s="34" t="str">
        <f>IF($K317="","","R"&amp;$K317)</f>
        <v/>
      </c>
      <c r="M317" s="34" t="str">
        <f>IF($J317=FALSE(),"",IF(발주접수!$F34="세트",IFERROR(INDEX(세트구성!$C$3:$C$302,MATCH(발주접수!$D34&amp;"|"&amp;2,세트구성!$G$3:$G$302,0)),""),발주접수!$D34))</f>
        <v/>
      </c>
      <c r="N317" s="34" t="str">
        <f>IF($J317=FALSE(),"",IF(발주접수!$F34="세트",발주접수!$G34*IFERROR(INDEX(세트구성!$E$3:$E$302,MATCH(발주접수!$D34&amp;"|"&amp;2,세트구성!$G$3:$G$302,0)),0),발주접수!$G34))</f>
        <v/>
      </c>
      <c r="O317" s="34" t="str">
        <f>IF($J317=FALSE(),"",발주접수!$B34)</f>
        <v/>
      </c>
      <c r="P317" s="34" t="str">
        <f>IF($J317=FALSE(),"",발주접수!$C34)</f>
        <v/>
      </c>
      <c r="Q317" s="34" t="str">
        <f>IF($J317=FALSE(),"",IF(발주접수!$F34="세트",발주접수!$E34&amp;" 전개","직접 발주"))</f>
        <v/>
      </c>
    </row>
    <row r="318" ht="15" customHeight="1" s="30">
      <c r="J318" s="50" t="b">
        <f>IF(발주접수!$D34="",FALSE(),IF(발주접수!$F34="세트",COUNTIF(세트구성!$G$3:$G$302,발주접수!$D34&amp;"|"&amp;3)&gt;0,2=0))</f>
        <v>0</v>
      </c>
      <c r="K318" s="34" t="str">
        <f>IF($J318=FALSE(),"",COUNTIF($J$6:$J318,TRUE()))</f>
        <v/>
      </c>
      <c r="L318" s="34" t="str">
        <f>IF($K318="","","R"&amp;$K318)</f>
        <v/>
      </c>
      <c r="M318" s="34" t="str">
        <f>IF($J318=FALSE(),"",IF(발주접수!$F34="세트",IFERROR(INDEX(세트구성!$C$3:$C$302,MATCH(발주접수!$D34&amp;"|"&amp;3,세트구성!$G$3:$G$302,0)),""),발주접수!$D34))</f>
        <v/>
      </c>
      <c r="N318" s="34" t="str">
        <f>IF($J318=FALSE(),"",IF(발주접수!$F34="세트",발주접수!$G34*IFERROR(INDEX(세트구성!$E$3:$E$302,MATCH(발주접수!$D34&amp;"|"&amp;3,세트구성!$G$3:$G$302,0)),0),발주접수!$G34))</f>
        <v/>
      </c>
      <c r="O318" s="34" t="str">
        <f>IF($J318=FALSE(),"",발주접수!$B34)</f>
        <v/>
      </c>
      <c r="P318" s="34" t="str">
        <f>IF($J318=FALSE(),"",발주접수!$C34)</f>
        <v/>
      </c>
      <c r="Q318" s="34" t="str">
        <f>IF($J318=FALSE(),"",IF(발주접수!$F34="세트",발주접수!$E34&amp;" 전개","직접 발주"))</f>
        <v/>
      </c>
    </row>
    <row r="319" ht="15" customHeight="1" s="30">
      <c r="J319" s="50" t="b">
        <f>IF(발주접수!$D34="",FALSE(),IF(발주접수!$F34="세트",COUNTIF(세트구성!$G$3:$G$302,발주접수!$D34&amp;"|"&amp;4)&gt;0,3=0))</f>
        <v>0</v>
      </c>
      <c r="K319" s="34" t="str">
        <f>IF($J319=FALSE(),"",COUNTIF($J$6:$J319,TRUE()))</f>
        <v/>
      </c>
      <c r="L319" s="34" t="str">
        <f>IF($K319="","","R"&amp;$K319)</f>
        <v/>
      </c>
      <c r="M319" s="34" t="str">
        <f>IF($J319=FALSE(),"",IF(발주접수!$F34="세트",IFERROR(INDEX(세트구성!$C$3:$C$302,MATCH(발주접수!$D34&amp;"|"&amp;4,세트구성!$G$3:$G$302,0)),""),발주접수!$D34))</f>
        <v/>
      </c>
      <c r="N319" s="34" t="str">
        <f>IF($J319=FALSE(),"",IF(발주접수!$F34="세트",발주접수!$G34*IFERROR(INDEX(세트구성!$E$3:$E$302,MATCH(발주접수!$D34&amp;"|"&amp;4,세트구성!$G$3:$G$302,0)),0),발주접수!$G34))</f>
        <v/>
      </c>
      <c r="O319" s="34" t="str">
        <f>IF($J319=FALSE(),"",발주접수!$B34)</f>
        <v/>
      </c>
      <c r="P319" s="34" t="str">
        <f>IF($J319=FALSE(),"",발주접수!$C34)</f>
        <v/>
      </c>
      <c r="Q319" s="34" t="str">
        <f>IF($J319=FALSE(),"",IF(발주접수!$F34="세트",발주접수!$E34&amp;" 전개","직접 발주"))</f>
        <v/>
      </c>
    </row>
    <row r="320" ht="15" customHeight="1" s="30">
      <c r="J320" s="50" t="b">
        <f>IF(발주접수!$D34="",FALSE(),IF(발주접수!$F34="세트",COUNTIF(세트구성!$G$3:$G$302,발주접수!$D34&amp;"|"&amp;5)&gt;0,4=0))</f>
        <v>0</v>
      </c>
      <c r="K320" s="34" t="str">
        <f>IF($J320=FALSE(),"",COUNTIF($J$6:$J320,TRUE()))</f>
        <v/>
      </c>
      <c r="L320" s="34" t="str">
        <f>IF($K320="","","R"&amp;$K320)</f>
        <v/>
      </c>
      <c r="M320" s="34" t="str">
        <f>IF($J320=FALSE(),"",IF(발주접수!$F34="세트",IFERROR(INDEX(세트구성!$C$3:$C$302,MATCH(발주접수!$D34&amp;"|"&amp;5,세트구성!$G$3:$G$302,0)),""),발주접수!$D34))</f>
        <v/>
      </c>
      <c r="N320" s="34" t="str">
        <f>IF($J320=FALSE(),"",IF(발주접수!$F34="세트",발주접수!$G34*IFERROR(INDEX(세트구성!$E$3:$E$302,MATCH(발주접수!$D34&amp;"|"&amp;5,세트구성!$G$3:$G$302,0)),0),발주접수!$G34))</f>
        <v/>
      </c>
      <c r="O320" s="34" t="str">
        <f>IF($J320=FALSE(),"",발주접수!$B34)</f>
        <v/>
      </c>
      <c r="P320" s="34" t="str">
        <f>IF($J320=FALSE(),"",발주접수!$C34)</f>
        <v/>
      </c>
      <c r="Q320" s="34" t="str">
        <f>IF($J320=FALSE(),"",IF(발주접수!$F34="세트",발주접수!$E34&amp;" 전개","직접 발주"))</f>
        <v/>
      </c>
    </row>
    <row r="321" ht="15" customHeight="1" s="30">
      <c r="J321" s="50" t="b">
        <f>IF(발주접수!$D34="",FALSE(),IF(발주접수!$F34="세트",COUNTIF(세트구성!$G$3:$G$302,발주접수!$D34&amp;"|"&amp;6)&gt;0,5=0))</f>
        <v>0</v>
      </c>
      <c r="K321" s="34" t="str">
        <f>IF($J321=FALSE(),"",COUNTIF($J$6:$J321,TRUE()))</f>
        <v/>
      </c>
      <c r="L321" s="34" t="str">
        <f>IF($K321="","","R"&amp;$K321)</f>
        <v/>
      </c>
      <c r="M321" s="34" t="str">
        <f>IF($J321=FALSE(),"",IF(발주접수!$F34="세트",IFERROR(INDEX(세트구성!$C$3:$C$302,MATCH(발주접수!$D34&amp;"|"&amp;6,세트구성!$G$3:$G$302,0)),""),발주접수!$D34))</f>
        <v/>
      </c>
      <c r="N321" s="34" t="str">
        <f>IF($J321=FALSE(),"",IF(발주접수!$F34="세트",발주접수!$G34*IFERROR(INDEX(세트구성!$E$3:$E$302,MATCH(발주접수!$D34&amp;"|"&amp;6,세트구성!$G$3:$G$302,0)),0),발주접수!$G34))</f>
        <v/>
      </c>
      <c r="O321" s="34" t="str">
        <f>IF($J321=FALSE(),"",발주접수!$B34)</f>
        <v/>
      </c>
      <c r="P321" s="34" t="str">
        <f>IF($J321=FALSE(),"",발주접수!$C34)</f>
        <v/>
      </c>
      <c r="Q321" s="34" t="str">
        <f>IF($J321=FALSE(),"",IF(발주접수!$F34="세트",발주접수!$E34&amp;" 전개","직접 발주"))</f>
        <v/>
      </c>
    </row>
    <row r="322" ht="15" customHeight="1" s="30">
      <c r="J322" s="50" t="b">
        <f>IF(발주접수!$D34="",FALSE(),IF(발주접수!$F34="세트",COUNTIF(세트구성!$G$3:$G$302,발주접수!$D34&amp;"|"&amp;7)&gt;0,6=0))</f>
        <v>0</v>
      </c>
      <c r="K322" s="34" t="str">
        <f>IF($J322=FALSE(),"",COUNTIF($J$6:$J322,TRUE()))</f>
        <v/>
      </c>
      <c r="L322" s="34" t="str">
        <f>IF($K322="","","R"&amp;$K322)</f>
        <v/>
      </c>
      <c r="M322" s="34" t="str">
        <f>IF($J322=FALSE(),"",IF(발주접수!$F34="세트",IFERROR(INDEX(세트구성!$C$3:$C$302,MATCH(발주접수!$D34&amp;"|"&amp;7,세트구성!$G$3:$G$302,0)),""),발주접수!$D34))</f>
        <v/>
      </c>
      <c r="N322" s="34" t="str">
        <f>IF($J322=FALSE(),"",IF(발주접수!$F34="세트",발주접수!$G34*IFERROR(INDEX(세트구성!$E$3:$E$302,MATCH(발주접수!$D34&amp;"|"&amp;7,세트구성!$G$3:$G$302,0)),0),발주접수!$G34))</f>
        <v/>
      </c>
      <c r="O322" s="34" t="str">
        <f>IF($J322=FALSE(),"",발주접수!$B34)</f>
        <v/>
      </c>
      <c r="P322" s="34" t="str">
        <f>IF($J322=FALSE(),"",발주접수!$C34)</f>
        <v/>
      </c>
      <c r="Q322" s="34" t="str">
        <f>IF($J322=FALSE(),"",IF(발주접수!$F34="세트",발주접수!$E34&amp;" 전개","직접 발주"))</f>
        <v/>
      </c>
    </row>
    <row r="323" ht="15" customHeight="1" s="30">
      <c r="J323" s="50" t="b">
        <f>IF(발주접수!$D34="",FALSE(),IF(발주접수!$F34="세트",COUNTIF(세트구성!$G$3:$G$302,발주접수!$D34&amp;"|"&amp;8)&gt;0,7=0))</f>
        <v>0</v>
      </c>
      <c r="K323" s="34" t="str">
        <f>IF($J323=FALSE(),"",COUNTIF($J$6:$J323,TRUE()))</f>
        <v/>
      </c>
      <c r="L323" s="34" t="str">
        <f>IF($K323="","","R"&amp;$K323)</f>
        <v/>
      </c>
      <c r="M323" s="34" t="str">
        <f>IF($J323=FALSE(),"",IF(발주접수!$F34="세트",IFERROR(INDEX(세트구성!$C$3:$C$302,MATCH(발주접수!$D34&amp;"|"&amp;8,세트구성!$G$3:$G$302,0)),""),발주접수!$D34))</f>
        <v/>
      </c>
      <c r="N323" s="34" t="str">
        <f>IF($J323=FALSE(),"",IF(발주접수!$F34="세트",발주접수!$G34*IFERROR(INDEX(세트구성!$E$3:$E$302,MATCH(발주접수!$D34&amp;"|"&amp;8,세트구성!$G$3:$G$302,0)),0),발주접수!$G34))</f>
        <v/>
      </c>
      <c r="O323" s="34" t="str">
        <f>IF($J323=FALSE(),"",발주접수!$B34)</f>
        <v/>
      </c>
      <c r="P323" s="34" t="str">
        <f>IF($J323=FALSE(),"",발주접수!$C34)</f>
        <v/>
      </c>
      <c r="Q323" s="34" t="str">
        <f>IF($J323=FALSE(),"",IF(발주접수!$F34="세트",발주접수!$E34&amp;" 전개","직접 발주"))</f>
        <v/>
      </c>
    </row>
    <row r="324" ht="15" customHeight="1" s="30">
      <c r="J324" s="50" t="b">
        <f>IF(발주접수!$D34="",FALSE(),IF(발주접수!$F34="세트",COUNTIF(세트구성!$G$3:$G$302,발주접수!$D34&amp;"|"&amp;9)&gt;0,8=0))</f>
        <v>0</v>
      </c>
      <c r="K324" s="34" t="str">
        <f>IF($J324=FALSE(),"",COUNTIF($J$6:$J324,TRUE()))</f>
        <v/>
      </c>
      <c r="L324" s="34" t="str">
        <f>IF($K324="","","R"&amp;$K324)</f>
        <v/>
      </c>
      <c r="M324" s="34" t="str">
        <f>IF($J324=FALSE(),"",IF(발주접수!$F34="세트",IFERROR(INDEX(세트구성!$C$3:$C$302,MATCH(발주접수!$D34&amp;"|"&amp;9,세트구성!$G$3:$G$302,0)),""),발주접수!$D34))</f>
        <v/>
      </c>
      <c r="N324" s="34" t="str">
        <f>IF($J324=FALSE(),"",IF(발주접수!$F34="세트",발주접수!$G34*IFERROR(INDEX(세트구성!$E$3:$E$302,MATCH(발주접수!$D34&amp;"|"&amp;9,세트구성!$G$3:$G$302,0)),0),발주접수!$G34))</f>
        <v/>
      </c>
      <c r="O324" s="34" t="str">
        <f>IF($J324=FALSE(),"",발주접수!$B34)</f>
        <v/>
      </c>
      <c r="P324" s="34" t="str">
        <f>IF($J324=FALSE(),"",발주접수!$C34)</f>
        <v/>
      </c>
      <c r="Q324" s="34" t="str">
        <f>IF($J324=FALSE(),"",IF(발주접수!$F34="세트",발주접수!$E34&amp;" 전개","직접 발주"))</f>
        <v/>
      </c>
    </row>
    <row r="325" ht="15" customHeight="1" s="30">
      <c r="J325" s="50" t="b">
        <f>IF(발주접수!$D34="",FALSE(),IF(발주접수!$F34="세트",COUNTIF(세트구성!$G$3:$G$302,발주접수!$D34&amp;"|"&amp;10)&gt;0,9=0))</f>
        <v>0</v>
      </c>
      <c r="K325" s="34" t="str">
        <f>IF($J325=FALSE(),"",COUNTIF($J$6:$J325,TRUE()))</f>
        <v/>
      </c>
      <c r="L325" s="34" t="str">
        <f>IF($K325="","","R"&amp;$K325)</f>
        <v/>
      </c>
      <c r="M325" s="34" t="str">
        <f>IF($J325=FALSE(),"",IF(발주접수!$F34="세트",IFERROR(INDEX(세트구성!$C$3:$C$302,MATCH(발주접수!$D34&amp;"|"&amp;10,세트구성!$G$3:$G$302,0)),""),발주접수!$D34))</f>
        <v/>
      </c>
      <c r="N325" s="34" t="str">
        <f>IF($J325=FALSE(),"",IF(발주접수!$F34="세트",발주접수!$G34*IFERROR(INDEX(세트구성!$E$3:$E$302,MATCH(발주접수!$D34&amp;"|"&amp;10,세트구성!$G$3:$G$302,0)),0),발주접수!$G34))</f>
        <v/>
      </c>
      <c r="O325" s="34" t="str">
        <f>IF($J325=FALSE(),"",발주접수!$B34)</f>
        <v/>
      </c>
      <c r="P325" s="34" t="str">
        <f>IF($J325=FALSE(),"",발주접수!$C34)</f>
        <v/>
      </c>
      <c r="Q325" s="34" t="str">
        <f>IF($J325=FALSE(),"",IF(발주접수!$F34="세트",발주접수!$E34&amp;" 전개","직접 발주"))</f>
        <v/>
      </c>
    </row>
    <row r="326" ht="15" customHeight="1" s="30">
      <c r="J326" s="50" t="b">
        <f>IF(발주접수!$D35="",FALSE(),IF(발주접수!$F35="세트",COUNTIF(세트구성!$G$3:$G$302,발주접수!$D35&amp;"|"&amp;1)&gt;0,0=0))</f>
        <v>0</v>
      </c>
      <c r="K326" s="34" t="str">
        <f>IF($J326=FALSE(),"",COUNTIF($J$6:$J326,TRUE()))</f>
        <v/>
      </c>
      <c r="L326" s="34" t="str">
        <f>IF($K326="","","R"&amp;$K326)</f>
        <v/>
      </c>
      <c r="M326" s="34" t="str">
        <f>IF($J326=FALSE(),"",IF(발주접수!$F35="세트",IFERROR(INDEX(세트구성!$C$3:$C$302,MATCH(발주접수!$D35&amp;"|"&amp;1,세트구성!$G$3:$G$302,0)),""),발주접수!$D35))</f>
        <v/>
      </c>
      <c r="N326" s="34" t="str">
        <f>IF($J326=FALSE(),"",IF(발주접수!$F35="세트",발주접수!$G35*IFERROR(INDEX(세트구성!$E$3:$E$302,MATCH(발주접수!$D35&amp;"|"&amp;1,세트구성!$G$3:$G$302,0)),0),발주접수!$G35))</f>
        <v/>
      </c>
      <c r="O326" s="34" t="str">
        <f>IF($J326=FALSE(),"",발주접수!$B35)</f>
        <v/>
      </c>
      <c r="P326" s="34" t="str">
        <f>IF($J326=FALSE(),"",발주접수!$C35)</f>
        <v/>
      </c>
      <c r="Q326" s="34" t="str">
        <f>IF($J326=FALSE(),"",IF(발주접수!$F35="세트",발주접수!$E35&amp;" 전개","직접 발주"))</f>
        <v/>
      </c>
    </row>
    <row r="327" ht="15" customHeight="1" s="30">
      <c r="J327" s="50" t="b">
        <f>IF(발주접수!$D35="",FALSE(),IF(발주접수!$F35="세트",COUNTIF(세트구성!$G$3:$G$302,발주접수!$D35&amp;"|"&amp;2)&gt;0,1=0))</f>
        <v>0</v>
      </c>
      <c r="K327" s="34" t="str">
        <f>IF($J327=FALSE(),"",COUNTIF($J$6:$J327,TRUE()))</f>
        <v/>
      </c>
      <c r="L327" s="34" t="str">
        <f>IF($K327="","","R"&amp;$K327)</f>
        <v/>
      </c>
      <c r="M327" s="34" t="str">
        <f>IF($J327=FALSE(),"",IF(발주접수!$F35="세트",IFERROR(INDEX(세트구성!$C$3:$C$302,MATCH(발주접수!$D35&amp;"|"&amp;2,세트구성!$G$3:$G$302,0)),""),발주접수!$D35))</f>
        <v/>
      </c>
      <c r="N327" s="34" t="str">
        <f>IF($J327=FALSE(),"",IF(발주접수!$F35="세트",발주접수!$G35*IFERROR(INDEX(세트구성!$E$3:$E$302,MATCH(발주접수!$D35&amp;"|"&amp;2,세트구성!$G$3:$G$302,0)),0),발주접수!$G35))</f>
        <v/>
      </c>
      <c r="O327" s="34" t="str">
        <f>IF($J327=FALSE(),"",발주접수!$B35)</f>
        <v/>
      </c>
      <c r="P327" s="34" t="str">
        <f>IF($J327=FALSE(),"",발주접수!$C35)</f>
        <v/>
      </c>
      <c r="Q327" s="34" t="str">
        <f>IF($J327=FALSE(),"",IF(발주접수!$F35="세트",발주접수!$E35&amp;" 전개","직접 발주"))</f>
        <v/>
      </c>
    </row>
    <row r="328" ht="15" customHeight="1" s="30">
      <c r="J328" s="50" t="b">
        <f>IF(발주접수!$D35="",FALSE(),IF(발주접수!$F35="세트",COUNTIF(세트구성!$G$3:$G$302,발주접수!$D35&amp;"|"&amp;3)&gt;0,2=0))</f>
        <v>0</v>
      </c>
      <c r="K328" s="34" t="str">
        <f>IF($J328=FALSE(),"",COUNTIF($J$6:$J328,TRUE()))</f>
        <v/>
      </c>
      <c r="L328" s="34" t="str">
        <f>IF($K328="","","R"&amp;$K328)</f>
        <v/>
      </c>
      <c r="M328" s="34" t="str">
        <f>IF($J328=FALSE(),"",IF(발주접수!$F35="세트",IFERROR(INDEX(세트구성!$C$3:$C$302,MATCH(발주접수!$D35&amp;"|"&amp;3,세트구성!$G$3:$G$302,0)),""),발주접수!$D35))</f>
        <v/>
      </c>
      <c r="N328" s="34" t="str">
        <f>IF($J328=FALSE(),"",IF(발주접수!$F35="세트",발주접수!$G35*IFERROR(INDEX(세트구성!$E$3:$E$302,MATCH(발주접수!$D35&amp;"|"&amp;3,세트구성!$G$3:$G$302,0)),0),발주접수!$G35))</f>
        <v/>
      </c>
      <c r="O328" s="34" t="str">
        <f>IF($J328=FALSE(),"",발주접수!$B35)</f>
        <v/>
      </c>
      <c r="P328" s="34" t="str">
        <f>IF($J328=FALSE(),"",발주접수!$C35)</f>
        <v/>
      </c>
      <c r="Q328" s="34" t="str">
        <f>IF($J328=FALSE(),"",IF(발주접수!$F35="세트",발주접수!$E35&amp;" 전개","직접 발주"))</f>
        <v/>
      </c>
    </row>
    <row r="329" ht="15" customHeight="1" s="30">
      <c r="J329" s="50" t="b">
        <f>IF(발주접수!$D35="",FALSE(),IF(발주접수!$F35="세트",COUNTIF(세트구성!$G$3:$G$302,발주접수!$D35&amp;"|"&amp;4)&gt;0,3=0))</f>
        <v>0</v>
      </c>
      <c r="K329" s="34" t="str">
        <f>IF($J329=FALSE(),"",COUNTIF($J$6:$J329,TRUE()))</f>
        <v/>
      </c>
      <c r="L329" s="34" t="str">
        <f>IF($K329="","","R"&amp;$K329)</f>
        <v/>
      </c>
      <c r="M329" s="34" t="str">
        <f>IF($J329=FALSE(),"",IF(발주접수!$F35="세트",IFERROR(INDEX(세트구성!$C$3:$C$302,MATCH(발주접수!$D35&amp;"|"&amp;4,세트구성!$G$3:$G$302,0)),""),발주접수!$D35))</f>
        <v/>
      </c>
      <c r="N329" s="34" t="str">
        <f>IF($J329=FALSE(),"",IF(발주접수!$F35="세트",발주접수!$G35*IFERROR(INDEX(세트구성!$E$3:$E$302,MATCH(발주접수!$D35&amp;"|"&amp;4,세트구성!$G$3:$G$302,0)),0),발주접수!$G35))</f>
        <v/>
      </c>
      <c r="O329" s="34" t="str">
        <f>IF($J329=FALSE(),"",발주접수!$B35)</f>
        <v/>
      </c>
      <c r="P329" s="34" t="str">
        <f>IF($J329=FALSE(),"",발주접수!$C35)</f>
        <v/>
      </c>
      <c r="Q329" s="34" t="str">
        <f>IF($J329=FALSE(),"",IF(발주접수!$F35="세트",발주접수!$E35&amp;" 전개","직접 발주"))</f>
        <v/>
      </c>
    </row>
    <row r="330" ht="15" customHeight="1" s="30">
      <c r="J330" s="50" t="b">
        <f>IF(발주접수!$D35="",FALSE(),IF(발주접수!$F35="세트",COUNTIF(세트구성!$G$3:$G$302,발주접수!$D35&amp;"|"&amp;5)&gt;0,4=0))</f>
        <v>0</v>
      </c>
      <c r="K330" s="34" t="str">
        <f>IF($J330=FALSE(),"",COUNTIF($J$6:$J330,TRUE()))</f>
        <v/>
      </c>
      <c r="L330" s="34" t="str">
        <f>IF($K330="","","R"&amp;$K330)</f>
        <v/>
      </c>
      <c r="M330" s="34" t="str">
        <f>IF($J330=FALSE(),"",IF(발주접수!$F35="세트",IFERROR(INDEX(세트구성!$C$3:$C$302,MATCH(발주접수!$D35&amp;"|"&amp;5,세트구성!$G$3:$G$302,0)),""),발주접수!$D35))</f>
        <v/>
      </c>
      <c r="N330" s="34" t="str">
        <f>IF($J330=FALSE(),"",IF(발주접수!$F35="세트",발주접수!$G35*IFERROR(INDEX(세트구성!$E$3:$E$302,MATCH(발주접수!$D35&amp;"|"&amp;5,세트구성!$G$3:$G$302,0)),0),발주접수!$G35))</f>
        <v/>
      </c>
      <c r="O330" s="34" t="str">
        <f>IF($J330=FALSE(),"",발주접수!$B35)</f>
        <v/>
      </c>
      <c r="P330" s="34" t="str">
        <f>IF($J330=FALSE(),"",발주접수!$C35)</f>
        <v/>
      </c>
      <c r="Q330" s="34" t="str">
        <f>IF($J330=FALSE(),"",IF(발주접수!$F35="세트",발주접수!$E35&amp;" 전개","직접 발주"))</f>
        <v/>
      </c>
    </row>
    <row r="331" ht="15" customHeight="1" s="30">
      <c r="J331" s="50" t="b">
        <f>IF(발주접수!$D35="",FALSE(),IF(발주접수!$F35="세트",COUNTIF(세트구성!$G$3:$G$302,발주접수!$D35&amp;"|"&amp;6)&gt;0,5=0))</f>
        <v>0</v>
      </c>
      <c r="K331" s="34" t="str">
        <f>IF($J331=FALSE(),"",COUNTIF($J$6:$J331,TRUE()))</f>
        <v/>
      </c>
      <c r="L331" s="34" t="str">
        <f>IF($K331="","","R"&amp;$K331)</f>
        <v/>
      </c>
      <c r="M331" s="34" t="str">
        <f>IF($J331=FALSE(),"",IF(발주접수!$F35="세트",IFERROR(INDEX(세트구성!$C$3:$C$302,MATCH(발주접수!$D35&amp;"|"&amp;6,세트구성!$G$3:$G$302,0)),""),발주접수!$D35))</f>
        <v/>
      </c>
      <c r="N331" s="34" t="str">
        <f>IF($J331=FALSE(),"",IF(발주접수!$F35="세트",발주접수!$G35*IFERROR(INDEX(세트구성!$E$3:$E$302,MATCH(발주접수!$D35&amp;"|"&amp;6,세트구성!$G$3:$G$302,0)),0),발주접수!$G35))</f>
        <v/>
      </c>
      <c r="O331" s="34" t="str">
        <f>IF($J331=FALSE(),"",발주접수!$B35)</f>
        <v/>
      </c>
      <c r="P331" s="34" t="str">
        <f>IF($J331=FALSE(),"",발주접수!$C35)</f>
        <v/>
      </c>
      <c r="Q331" s="34" t="str">
        <f>IF($J331=FALSE(),"",IF(발주접수!$F35="세트",발주접수!$E35&amp;" 전개","직접 발주"))</f>
        <v/>
      </c>
    </row>
    <row r="332" ht="15" customHeight="1" s="30">
      <c r="J332" s="50" t="b">
        <f>IF(발주접수!$D35="",FALSE(),IF(발주접수!$F35="세트",COUNTIF(세트구성!$G$3:$G$302,발주접수!$D35&amp;"|"&amp;7)&gt;0,6=0))</f>
        <v>0</v>
      </c>
      <c r="K332" s="34" t="str">
        <f>IF($J332=FALSE(),"",COUNTIF($J$6:$J332,TRUE()))</f>
        <v/>
      </c>
      <c r="L332" s="34" t="str">
        <f>IF($K332="","","R"&amp;$K332)</f>
        <v/>
      </c>
      <c r="M332" s="34" t="str">
        <f>IF($J332=FALSE(),"",IF(발주접수!$F35="세트",IFERROR(INDEX(세트구성!$C$3:$C$302,MATCH(발주접수!$D35&amp;"|"&amp;7,세트구성!$G$3:$G$302,0)),""),발주접수!$D35))</f>
        <v/>
      </c>
      <c r="N332" s="34" t="str">
        <f>IF($J332=FALSE(),"",IF(발주접수!$F35="세트",발주접수!$G35*IFERROR(INDEX(세트구성!$E$3:$E$302,MATCH(발주접수!$D35&amp;"|"&amp;7,세트구성!$G$3:$G$302,0)),0),발주접수!$G35))</f>
        <v/>
      </c>
      <c r="O332" s="34" t="str">
        <f>IF($J332=FALSE(),"",발주접수!$B35)</f>
        <v/>
      </c>
      <c r="P332" s="34" t="str">
        <f>IF($J332=FALSE(),"",발주접수!$C35)</f>
        <v/>
      </c>
      <c r="Q332" s="34" t="str">
        <f>IF($J332=FALSE(),"",IF(발주접수!$F35="세트",발주접수!$E35&amp;" 전개","직접 발주"))</f>
        <v/>
      </c>
    </row>
    <row r="333" ht="15" customHeight="1" s="30">
      <c r="J333" s="50" t="b">
        <f>IF(발주접수!$D35="",FALSE(),IF(발주접수!$F35="세트",COUNTIF(세트구성!$G$3:$G$302,발주접수!$D35&amp;"|"&amp;8)&gt;0,7=0))</f>
        <v>0</v>
      </c>
      <c r="K333" s="34" t="str">
        <f>IF($J333=FALSE(),"",COUNTIF($J$6:$J333,TRUE()))</f>
        <v/>
      </c>
      <c r="L333" s="34" t="str">
        <f>IF($K333="","","R"&amp;$K333)</f>
        <v/>
      </c>
      <c r="M333" s="34" t="str">
        <f>IF($J333=FALSE(),"",IF(발주접수!$F35="세트",IFERROR(INDEX(세트구성!$C$3:$C$302,MATCH(발주접수!$D35&amp;"|"&amp;8,세트구성!$G$3:$G$302,0)),""),발주접수!$D35))</f>
        <v/>
      </c>
      <c r="N333" s="34" t="str">
        <f>IF($J333=FALSE(),"",IF(발주접수!$F35="세트",발주접수!$G35*IFERROR(INDEX(세트구성!$E$3:$E$302,MATCH(발주접수!$D35&amp;"|"&amp;8,세트구성!$G$3:$G$302,0)),0),발주접수!$G35))</f>
        <v/>
      </c>
      <c r="O333" s="34" t="str">
        <f>IF($J333=FALSE(),"",발주접수!$B35)</f>
        <v/>
      </c>
      <c r="P333" s="34" t="str">
        <f>IF($J333=FALSE(),"",발주접수!$C35)</f>
        <v/>
      </c>
      <c r="Q333" s="34" t="str">
        <f>IF($J333=FALSE(),"",IF(발주접수!$F35="세트",발주접수!$E35&amp;" 전개","직접 발주"))</f>
        <v/>
      </c>
    </row>
    <row r="334" ht="15" customHeight="1" s="30">
      <c r="J334" s="50" t="b">
        <f>IF(발주접수!$D35="",FALSE(),IF(발주접수!$F35="세트",COUNTIF(세트구성!$G$3:$G$302,발주접수!$D35&amp;"|"&amp;9)&gt;0,8=0))</f>
        <v>0</v>
      </c>
      <c r="K334" s="34" t="str">
        <f>IF($J334=FALSE(),"",COUNTIF($J$6:$J334,TRUE()))</f>
        <v/>
      </c>
      <c r="L334" s="34" t="str">
        <f>IF($K334="","","R"&amp;$K334)</f>
        <v/>
      </c>
      <c r="M334" s="34" t="str">
        <f>IF($J334=FALSE(),"",IF(발주접수!$F35="세트",IFERROR(INDEX(세트구성!$C$3:$C$302,MATCH(발주접수!$D35&amp;"|"&amp;9,세트구성!$G$3:$G$302,0)),""),발주접수!$D35))</f>
        <v/>
      </c>
      <c r="N334" s="34" t="str">
        <f>IF($J334=FALSE(),"",IF(발주접수!$F35="세트",발주접수!$G35*IFERROR(INDEX(세트구성!$E$3:$E$302,MATCH(발주접수!$D35&amp;"|"&amp;9,세트구성!$G$3:$G$302,0)),0),발주접수!$G35))</f>
        <v/>
      </c>
      <c r="O334" s="34" t="str">
        <f>IF($J334=FALSE(),"",발주접수!$B35)</f>
        <v/>
      </c>
      <c r="P334" s="34" t="str">
        <f>IF($J334=FALSE(),"",발주접수!$C35)</f>
        <v/>
      </c>
      <c r="Q334" s="34" t="str">
        <f>IF($J334=FALSE(),"",IF(발주접수!$F35="세트",발주접수!$E35&amp;" 전개","직접 발주"))</f>
        <v/>
      </c>
    </row>
    <row r="335" ht="15" customHeight="1" s="30">
      <c r="J335" s="50" t="b">
        <f>IF(발주접수!$D35="",FALSE(),IF(발주접수!$F35="세트",COUNTIF(세트구성!$G$3:$G$302,발주접수!$D35&amp;"|"&amp;10)&gt;0,9=0))</f>
        <v>0</v>
      </c>
      <c r="K335" s="34" t="str">
        <f>IF($J335=FALSE(),"",COUNTIF($J$6:$J335,TRUE()))</f>
        <v/>
      </c>
      <c r="L335" s="34" t="str">
        <f>IF($K335="","","R"&amp;$K335)</f>
        <v/>
      </c>
      <c r="M335" s="34" t="str">
        <f>IF($J335=FALSE(),"",IF(발주접수!$F35="세트",IFERROR(INDEX(세트구성!$C$3:$C$302,MATCH(발주접수!$D35&amp;"|"&amp;10,세트구성!$G$3:$G$302,0)),""),발주접수!$D35))</f>
        <v/>
      </c>
      <c r="N335" s="34" t="str">
        <f>IF($J335=FALSE(),"",IF(발주접수!$F35="세트",발주접수!$G35*IFERROR(INDEX(세트구성!$E$3:$E$302,MATCH(발주접수!$D35&amp;"|"&amp;10,세트구성!$G$3:$G$302,0)),0),발주접수!$G35))</f>
        <v/>
      </c>
      <c r="O335" s="34" t="str">
        <f>IF($J335=FALSE(),"",발주접수!$B35)</f>
        <v/>
      </c>
      <c r="P335" s="34" t="str">
        <f>IF($J335=FALSE(),"",발주접수!$C35)</f>
        <v/>
      </c>
      <c r="Q335" s="34" t="str">
        <f>IF($J335=FALSE(),"",IF(발주접수!$F35="세트",발주접수!$E35&amp;" 전개","직접 발주"))</f>
        <v/>
      </c>
    </row>
    <row r="336" ht="15" customHeight="1" s="30">
      <c r="J336" s="50" t="b">
        <f>IF(발주접수!$D36="",FALSE(),IF(발주접수!$F36="세트",COUNTIF(세트구성!$G$3:$G$302,발주접수!$D36&amp;"|"&amp;1)&gt;0,0=0))</f>
        <v>0</v>
      </c>
      <c r="K336" s="34" t="str">
        <f>IF($J336=FALSE(),"",COUNTIF($J$6:$J336,TRUE()))</f>
        <v/>
      </c>
      <c r="L336" s="34" t="str">
        <f>IF($K336="","","R"&amp;$K336)</f>
        <v/>
      </c>
      <c r="M336" s="34" t="str">
        <f>IF($J336=FALSE(),"",IF(발주접수!$F36="세트",IFERROR(INDEX(세트구성!$C$3:$C$302,MATCH(발주접수!$D36&amp;"|"&amp;1,세트구성!$G$3:$G$302,0)),""),발주접수!$D36))</f>
        <v/>
      </c>
      <c r="N336" s="34" t="str">
        <f>IF($J336=FALSE(),"",IF(발주접수!$F36="세트",발주접수!$G36*IFERROR(INDEX(세트구성!$E$3:$E$302,MATCH(발주접수!$D36&amp;"|"&amp;1,세트구성!$G$3:$G$302,0)),0),발주접수!$G36))</f>
        <v/>
      </c>
      <c r="O336" s="34" t="str">
        <f>IF($J336=FALSE(),"",발주접수!$B36)</f>
        <v/>
      </c>
      <c r="P336" s="34" t="str">
        <f>IF($J336=FALSE(),"",발주접수!$C36)</f>
        <v/>
      </c>
      <c r="Q336" s="34" t="str">
        <f>IF($J336=FALSE(),"",IF(발주접수!$F36="세트",발주접수!$E36&amp;" 전개","직접 발주"))</f>
        <v/>
      </c>
    </row>
    <row r="337" ht="15" customHeight="1" s="30">
      <c r="J337" s="50" t="b">
        <f>IF(발주접수!$D36="",FALSE(),IF(발주접수!$F36="세트",COUNTIF(세트구성!$G$3:$G$302,발주접수!$D36&amp;"|"&amp;2)&gt;0,1=0))</f>
        <v>0</v>
      </c>
      <c r="K337" s="34" t="str">
        <f>IF($J337=FALSE(),"",COUNTIF($J$6:$J337,TRUE()))</f>
        <v/>
      </c>
      <c r="L337" s="34" t="str">
        <f>IF($K337="","","R"&amp;$K337)</f>
        <v/>
      </c>
      <c r="M337" s="34" t="str">
        <f>IF($J337=FALSE(),"",IF(발주접수!$F36="세트",IFERROR(INDEX(세트구성!$C$3:$C$302,MATCH(발주접수!$D36&amp;"|"&amp;2,세트구성!$G$3:$G$302,0)),""),발주접수!$D36))</f>
        <v/>
      </c>
      <c r="N337" s="34" t="str">
        <f>IF($J337=FALSE(),"",IF(발주접수!$F36="세트",발주접수!$G36*IFERROR(INDEX(세트구성!$E$3:$E$302,MATCH(발주접수!$D36&amp;"|"&amp;2,세트구성!$G$3:$G$302,0)),0),발주접수!$G36))</f>
        <v/>
      </c>
      <c r="O337" s="34" t="str">
        <f>IF($J337=FALSE(),"",발주접수!$B36)</f>
        <v/>
      </c>
      <c r="P337" s="34" t="str">
        <f>IF($J337=FALSE(),"",발주접수!$C36)</f>
        <v/>
      </c>
      <c r="Q337" s="34" t="str">
        <f>IF($J337=FALSE(),"",IF(발주접수!$F36="세트",발주접수!$E36&amp;" 전개","직접 발주"))</f>
        <v/>
      </c>
    </row>
    <row r="338" ht="15" customHeight="1" s="30">
      <c r="J338" s="50" t="b">
        <f>IF(발주접수!$D36="",FALSE(),IF(발주접수!$F36="세트",COUNTIF(세트구성!$G$3:$G$302,발주접수!$D36&amp;"|"&amp;3)&gt;0,2=0))</f>
        <v>0</v>
      </c>
      <c r="K338" s="34" t="str">
        <f>IF($J338=FALSE(),"",COUNTIF($J$6:$J338,TRUE()))</f>
        <v/>
      </c>
      <c r="L338" s="34" t="str">
        <f>IF($K338="","","R"&amp;$K338)</f>
        <v/>
      </c>
      <c r="M338" s="34" t="str">
        <f>IF($J338=FALSE(),"",IF(발주접수!$F36="세트",IFERROR(INDEX(세트구성!$C$3:$C$302,MATCH(발주접수!$D36&amp;"|"&amp;3,세트구성!$G$3:$G$302,0)),""),발주접수!$D36))</f>
        <v/>
      </c>
      <c r="N338" s="34" t="str">
        <f>IF($J338=FALSE(),"",IF(발주접수!$F36="세트",발주접수!$G36*IFERROR(INDEX(세트구성!$E$3:$E$302,MATCH(발주접수!$D36&amp;"|"&amp;3,세트구성!$G$3:$G$302,0)),0),발주접수!$G36))</f>
        <v/>
      </c>
      <c r="O338" s="34" t="str">
        <f>IF($J338=FALSE(),"",발주접수!$B36)</f>
        <v/>
      </c>
      <c r="P338" s="34" t="str">
        <f>IF($J338=FALSE(),"",발주접수!$C36)</f>
        <v/>
      </c>
      <c r="Q338" s="34" t="str">
        <f>IF($J338=FALSE(),"",IF(발주접수!$F36="세트",발주접수!$E36&amp;" 전개","직접 발주"))</f>
        <v/>
      </c>
    </row>
    <row r="339" ht="15" customHeight="1" s="30">
      <c r="J339" s="50" t="b">
        <f>IF(발주접수!$D36="",FALSE(),IF(발주접수!$F36="세트",COUNTIF(세트구성!$G$3:$G$302,발주접수!$D36&amp;"|"&amp;4)&gt;0,3=0))</f>
        <v>0</v>
      </c>
      <c r="K339" s="34" t="str">
        <f>IF($J339=FALSE(),"",COUNTIF($J$6:$J339,TRUE()))</f>
        <v/>
      </c>
      <c r="L339" s="34" t="str">
        <f>IF($K339="","","R"&amp;$K339)</f>
        <v/>
      </c>
      <c r="M339" s="34" t="str">
        <f>IF($J339=FALSE(),"",IF(발주접수!$F36="세트",IFERROR(INDEX(세트구성!$C$3:$C$302,MATCH(발주접수!$D36&amp;"|"&amp;4,세트구성!$G$3:$G$302,0)),""),발주접수!$D36))</f>
        <v/>
      </c>
      <c r="N339" s="34" t="str">
        <f>IF($J339=FALSE(),"",IF(발주접수!$F36="세트",발주접수!$G36*IFERROR(INDEX(세트구성!$E$3:$E$302,MATCH(발주접수!$D36&amp;"|"&amp;4,세트구성!$G$3:$G$302,0)),0),발주접수!$G36))</f>
        <v/>
      </c>
      <c r="O339" s="34" t="str">
        <f>IF($J339=FALSE(),"",발주접수!$B36)</f>
        <v/>
      </c>
      <c r="P339" s="34" t="str">
        <f>IF($J339=FALSE(),"",발주접수!$C36)</f>
        <v/>
      </c>
      <c r="Q339" s="34" t="str">
        <f>IF($J339=FALSE(),"",IF(발주접수!$F36="세트",발주접수!$E36&amp;" 전개","직접 발주"))</f>
        <v/>
      </c>
    </row>
    <row r="340" ht="15" customHeight="1" s="30">
      <c r="J340" s="50" t="b">
        <f>IF(발주접수!$D36="",FALSE(),IF(발주접수!$F36="세트",COUNTIF(세트구성!$G$3:$G$302,발주접수!$D36&amp;"|"&amp;5)&gt;0,4=0))</f>
        <v>0</v>
      </c>
      <c r="K340" s="34" t="str">
        <f>IF($J340=FALSE(),"",COUNTIF($J$6:$J340,TRUE()))</f>
        <v/>
      </c>
      <c r="L340" s="34" t="str">
        <f>IF($K340="","","R"&amp;$K340)</f>
        <v/>
      </c>
      <c r="M340" s="34" t="str">
        <f>IF($J340=FALSE(),"",IF(발주접수!$F36="세트",IFERROR(INDEX(세트구성!$C$3:$C$302,MATCH(발주접수!$D36&amp;"|"&amp;5,세트구성!$G$3:$G$302,0)),""),발주접수!$D36))</f>
        <v/>
      </c>
      <c r="N340" s="34" t="str">
        <f>IF($J340=FALSE(),"",IF(발주접수!$F36="세트",발주접수!$G36*IFERROR(INDEX(세트구성!$E$3:$E$302,MATCH(발주접수!$D36&amp;"|"&amp;5,세트구성!$G$3:$G$302,0)),0),발주접수!$G36))</f>
        <v/>
      </c>
      <c r="O340" s="34" t="str">
        <f>IF($J340=FALSE(),"",발주접수!$B36)</f>
        <v/>
      </c>
      <c r="P340" s="34" t="str">
        <f>IF($J340=FALSE(),"",발주접수!$C36)</f>
        <v/>
      </c>
      <c r="Q340" s="34" t="str">
        <f>IF($J340=FALSE(),"",IF(발주접수!$F36="세트",발주접수!$E36&amp;" 전개","직접 발주"))</f>
        <v/>
      </c>
    </row>
    <row r="341" ht="15" customHeight="1" s="30">
      <c r="J341" s="50" t="b">
        <f>IF(발주접수!$D36="",FALSE(),IF(발주접수!$F36="세트",COUNTIF(세트구성!$G$3:$G$302,발주접수!$D36&amp;"|"&amp;6)&gt;0,5=0))</f>
        <v>0</v>
      </c>
      <c r="K341" s="34" t="str">
        <f>IF($J341=FALSE(),"",COUNTIF($J$6:$J341,TRUE()))</f>
        <v/>
      </c>
      <c r="L341" s="34" t="str">
        <f>IF($K341="","","R"&amp;$K341)</f>
        <v/>
      </c>
      <c r="M341" s="34" t="str">
        <f>IF($J341=FALSE(),"",IF(발주접수!$F36="세트",IFERROR(INDEX(세트구성!$C$3:$C$302,MATCH(발주접수!$D36&amp;"|"&amp;6,세트구성!$G$3:$G$302,0)),""),발주접수!$D36))</f>
        <v/>
      </c>
      <c r="N341" s="34" t="str">
        <f>IF($J341=FALSE(),"",IF(발주접수!$F36="세트",발주접수!$G36*IFERROR(INDEX(세트구성!$E$3:$E$302,MATCH(발주접수!$D36&amp;"|"&amp;6,세트구성!$G$3:$G$302,0)),0),발주접수!$G36))</f>
        <v/>
      </c>
      <c r="O341" s="34" t="str">
        <f>IF($J341=FALSE(),"",발주접수!$B36)</f>
        <v/>
      </c>
      <c r="P341" s="34" t="str">
        <f>IF($J341=FALSE(),"",발주접수!$C36)</f>
        <v/>
      </c>
      <c r="Q341" s="34" t="str">
        <f>IF($J341=FALSE(),"",IF(발주접수!$F36="세트",발주접수!$E36&amp;" 전개","직접 발주"))</f>
        <v/>
      </c>
    </row>
    <row r="342" ht="15" customHeight="1" s="30">
      <c r="J342" s="50" t="b">
        <f>IF(발주접수!$D36="",FALSE(),IF(발주접수!$F36="세트",COUNTIF(세트구성!$G$3:$G$302,발주접수!$D36&amp;"|"&amp;7)&gt;0,6=0))</f>
        <v>0</v>
      </c>
      <c r="K342" s="34" t="str">
        <f>IF($J342=FALSE(),"",COUNTIF($J$6:$J342,TRUE()))</f>
        <v/>
      </c>
      <c r="L342" s="34" t="str">
        <f>IF($K342="","","R"&amp;$K342)</f>
        <v/>
      </c>
      <c r="M342" s="34" t="str">
        <f>IF($J342=FALSE(),"",IF(발주접수!$F36="세트",IFERROR(INDEX(세트구성!$C$3:$C$302,MATCH(발주접수!$D36&amp;"|"&amp;7,세트구성!$G$3:$G$302,0)),""),발주접수!$D36))</f>
        <v/>
      </c>
      <c r="N342" s="34" t="str">
        <f>IF($J342=FALSE(),"",IF(발주접수!$F36="세트",발주접수!$G36*IFERROR(INDEX(세트구성!$E$3:$E$302,MATCH(발주접수!$D36&amp;"|"&amp;7,세트구성!$G$3:$G$302,0)),0),발주접수!$G36))</f>
        <v/>
      </c>
      <c r="O342" s="34" t="str">
        <f>IF($J342=FALSE(),"",발주접수!$B36)</f>
        <v/>
      </c>
      <c r="P342" s="34" t="str">
        <f>IF($J342=FALSE(),"",발주접수!$C36)</f>
        <v/>
      </c>
      <c r="Q342" s="34" t="str">
        <f>IF($J342=FALSE(),"",IF(발주접수!$F36="세트",발주접수!$E36&amp;" 전개","직접 발주"))</f>
        <v/>
      </c>
    </row>
    <row r="343" ht="15" customHeight="1" s="30">
      <c r="J343" s="50" t="b">
        <f>IF(발주접수!$D36="",FALSE(),IF(발주접수!$F36="세트",COUNTIF(세트구성!$G$3:$G$302,발주접수!$D36&amp;"|"&amp;8)&gt;0,7=0))</f>
        <v>0</v>
      </c>
      <c r="K343" s="34" t="str">
        <f>IF($J343=FALSE(),"",COUNTIF($J$6:$J343,TRUE()))</f>
        <v/>
      </c>
      <c r="L343" s="34" t="str">
        <f>IF($K343="","","R"&amp;$K343)</f>
        <v/>
      </c>
      <c r="M343" s="34" t="str">
        <f>IF($J343=FALSE(),"",IF(발주접수!$F36="세트",IFERROR(INDEX(세트구성!$C$3:$C$302,MATCH(발주접수!$D36&amp;"|"&amp;8,세트구성!$G$3:$G$302,0)),""),발주접수!$D36))</f>
        <v/>
      </c>
      <c r="N343" s="34" t="str">
        <f>IF($J343=FALSE(),"",IF(발주접수!$F36="세트",발주접수!$G36*IFERROR(INDEX(세트구성!$E$3:$E$302,MATCH(발주접수!$D36&amp;"|"&amp;8,세트구성!$G$3:$G$302,0)),0),발주접수!$G36))</f>
        <v/>
      </c>
      <c r="O343" s="34" t="str">
        <f>IF($J343=FALSE(),"",발주접수!$B36)</f>
        <v/>
      </c>
      <c r="P343" s="34" t="str">
        <f>IF($J343=FALSE(),"",발주접수!$C36)</f>
        <v/>
      </c>
      <c r="Q343" s="34" t="str">
        <f>IF($J343=FALSE(),"",IF(발주접수!$F36="세트",발주접수!$E36&amp;" 전개","직접 발주"))</f>
        <v/>
      </c>
    </row>
    <row r="344" ht="15" customHeight="1" s="30">
      <c r="J344" s="50" t="b">
        <f>IF(발주접수!$D36="",FALSE(),IF(발주접수!$F36="세트",COUNTIF(세트구성!$G$3:$G$302,발주접수!$D36&amp;"|"&amp;9)&gt;0,8=0))</f>
        <v>0</v>
      </c>
      <c r="K344" s="34" t="str">
        <f>IF($J344=FALSE(),"",COUNTIF($J$6:$J344,TRUE()))</f>
        <v/>
      </c>
      <c r="L344" s="34" t="str">
        <f>IF($K344="","","R"&amp;$K344)</f>
        <v/>
      </c>
      <c r="M344" s="34" t="str">
        <f>IF($J344=FALSE(),"",IF(발주접수!$F36="세트",IFERROR(INDEX(세트구성!$C$3:$C$302,MATCH(발주접수!$D36&amp;"|"&amp;9,세트구성!$G$3:$G$302,0)),""),발주접수!$D36))</f>
        <v/>
      </c>
      <c r="N344" s="34" t="str">
        <f>IF($J344=FALSE(),"",IF(발주접수!$F36="세트",발주접수!$G36*IFERROR(INDEX(세트구성!$E$3:$E$302,MATCH(발주접수!$D36&amp;"|"&amp;9,세트구성!$G$3:$G$302,0)),0),발주접수!$G36))</f>
        <v/>
      </c>
      <c r="O344" s="34" t="str">
        <f>IF($J344=FALSE(),"",발주접수!$B36)</f>
        <v/>
      </c>
      <c r="P344" s="34" t="str">
        <f>IF($J344=FALSE(),"",발주접수!$C36)</f>
        <v/>
      </c>
      <c r="Q344" s="34" t="str">
        <f>IF($J344=FALSE(),"",IF(발주접수!$F36="세트",발주접수!$E36&amp;" 전개","직접 발주"))</f>
        <v/>
      </c>
    </row>
    <row r="345" ht="15" customHeight="1" s="30">
      <c r="J345" s="50" t="b">
        <f>IF(발주접수!$D36="",FALSE(),IF(발주접수!$F36="세트",COUNTIF(세트구성!$G$3:$G$302,발주접수!$D36&amp;"|"&amp;10)&gt;0,9=0))</f>
        <v>0</v>
      </c>
      <c r="K345" s="34" t="str">
        <f>IF($J345=FALSE(),"",COUNTIF($J$6:$J345,TRUE()))</f>
        <v/>
      </c>
      <c r="L345" s="34" t="str">
        <f>IF($K345="","","R"&amp;$K345)</f>
        <v/>
      </c>
      <c r="M345" s="34" t="str">
        <f>IF($J345=FALSE(),"",IF(발주접수!$F36="세트",IFERROR(INDEX(세트구성!$C$3:$C$302,MATCH(발주접수!$D36&amp;"|"&amp;10,세트구성!$G$3:$G$302,0)),""),발주접수!$D36))</f>
        <v/>
      </c>
      <c r="N345" s="34" t="str">
        <f>IF($J345=FALSE(),"",IF(발주접수!$F36="세트",발주접수!$G36*IFERROR(INDEX(세트구성!$E$3:$E$302,MATCH(발주접수!$D36&amp;"|"&amp;10,세트구성!$G$3:$G$302,0)),0),발주접수!$G36))</f>
        <v/>
      </c>
      <c r="O345" s="34" t="str">
        <f>IF($J345=FALSE(),"",발주접수!$B36)</f>
        <v/>
      </c>
      <c r="P345" s="34" t="str">
        <f>IF($J345=FALSE(),"",발주접수!$C36)</f>
        <v/>
      </c>
      <c r="Q345" s="34" t="str">
        <f>IF($J345=FALSE(),"",IF(발주접수!$F36="세트",발주접수!$E36&amp;" 전개","직접 발주"))</f>
        <v/>
      </c>
    </row>
    <row r="346" ht="15" customHeight="1" s="30">
      <c r="J346" s="50" t="b">
        <f>IF(발주접수!$D37="",FALSE(),IF(발주접수!$F37="세트",COUNTIF(세트구성!$G$3:$G$302,발주접수!$D37&amp;"|"&amp;1)&gt;0,0=0))</f>
        <v>0</v>
      </c>
      <c r="K346" s="34" t="str">
        <f>IF($J346=FALSE(),"",COUNTIF($J$6:$J346,TRUE()))</f>
        <v/>
      </c>
      <c r="L346" s="34" t="str">
        <f>IF($K346="","","R"&amp;$K346)</f>
        <v/>
      </c>
      <c r="M346" s="34" t="str">
        <f>IF($J346=FALSE(),"",IF(발주접수!$F37="세트",IFERROR(INDEX(세트구성!$C$3:$C$302,MATCH(발주접수!$D37&amp;"|"&amp;1,세트구성!$G$3:$G$302,0)),""),발주접수!$D37))</f>
        <v/>
      </c>
      <c r="N346" s="34" t="str">
        <f>IF($J346=FALSE(),"",IF(발주접수!$F37="세트",발주접수!$G37*IFERROR(INDEX(세트구성!$E$3:$E$302,MATCH(발주접수!$D37&amp;"|"&amp;1,세트구성!$G$3:$G$302,0)),0),발주접수!$G37))</f>
        <v/>
      </c>
      <c r="O346" s="34" t="str">
        <f>IF($J346=FALSE(),"",발주접수!$B37)</f>
        <v/>
      </c>
      <c r="P346" s="34" t="str">
        <f>IF($J346=FALSE(),"",발주접수!$C37)</f>
        <v/>
      </c>
      <c r="Q346" s="34" t="str">
        <f>IF($J346=FALSE(),"",IF(발주접수!$F37="세트",발주접수!$E37&amp;" 전개","직접 발주"))</f>
        <v/>
      </c>
    </row>
    <row r="347" ht="15" customHeight="1" s="30">
      <c r="J347" s="50" t="b">
        <f>IF(발주접수!$D37="",FALSE(),IF(발주접수!$F37="세트",COUNTIF(세트구성!$G$3:$G$302,발주접수!$D37&amp;"|"&amp;2)&gt;0,1=0))</f>
        <v>0</v>
      </c>
      <c r="K347" s="34" t="str">
        <f>IF($J347=FALSE(),"",COUNTIF($J$6:$J347,TRUE()))</f>
        <v/>
      </c>
      <c r="L347" s="34" t="str">
        <f>IF($K347="","","R"&amp;$K347)</f>
        <v/>
      </c>
      <c r="M347" s="34" t="str">
        <f>IF($J347=FALSE(),"",IF(발주접수!$F37="세트",IFERROR(INDEX(세트구성!$C$3:$C$302,MATCH(발주접수!$D37&amp;"|"&amp;2,세트구성!$G$3:$G$302,0)),""),발주접수!$D37))</f>
        <v/>
      </c>
      <c r="N347" s="34" t="str">
        <f>IF($J347=FALSE(),"",IF(발주접수!$F37="세트",발주접수!$G37*IFERROR(INDEX(세트구성!$E$3:$E$302,MATCH(발주접수!$D37&amp;"|"&amp;2,세트구성!$G$3:$G$302,0)),0),발주접수!$G37))</f>
        <v/>
      </c>
      <c r="O347" s="34" t="str">
        <f>IF($J347=FALSE(),"",발주접수!$B37)</f>
        <v/>
      </c>
      <c r="P347" s="34" t="str">
        <f>IF($J347=FALSE(),"",발주접수!$C37)</f>
        <v/>
      </c>
      <c r="Q347" s="34" t="str">
        <f>IF($J347=FALSE(),"",IF(발주접수!$F37="세트",발주접수!$E37&amp;" 전개","직접 발주"))</f>
        <v/>
      </c>
    </row>
    <row r="348" ht="15" customHeight="1" s="30">
      <c r="J348" s="50" t="b">
        <f>IF(발주접수!$D37="",FALSE(),IF(발주접수!$F37="세트",COUNTIF(세트구성!$G$3:$G$302,발주접수!$D37&amp;"|"&amp;3)&gt;0,2=0))</f>
        <v>0</v>
      </c>
      <c r="K348" s="34" t="str">
        <f>IF($J348=FALSE(),"",COUNTIF($J$6:$J348,TRUE()))</f>
        <v/>
      </c>
      <c r="L348" s="34" t="str">
        <f>IF($K348="","","R"&amp;$K348)</f>
        <v/>
      </c>
      <c r="M348" s="34" t="str">
        <f>IF($J348=FALSE(),"",IF(발주접수!$F37="세트",IFERROR(INDEX(세트구성!$C$3:$C$302,MATCH(발주접수!$D37&amp;"|"&amp;3,세트구성!$G$3:$G$302,0)),""),발주접수!$D37))</f>
        <v/>
      </c>
      <c r="N348" s="34" t="str">
        <f>IF($J348=FALSE(),"",IF(발주접수!$F37="세트",발주접수!$G37*IFERROR(INDEX(세트구성!$E$3:$E$302,MATCH(발주접수!$D37&amp;"|"&amp;3,세트구성!$G$3:$G$302,0)),0),발주접수!$G37))</f>
        <v/>
      </c>
      <c r="O348" s="34" t="str">
        <f>IF($J348=FALSE(),"",발주접수!$B37)</f>
        <v/>
      </c>
      <c r="P348" s="34" t="str">
        <f>IF($J348=FALSE(),"",발주접수!$C37)</f>
        <v/>
      </c>
      <c r="Q348" s="34" t="str">
        <f>IF($J348=FALSE(),"",IF(발주접수!$F37="세트",발주접수!$E37&amp;" 전개","직접 발주"))</f>
        <v/>
      </c>
    </row>
    <row r="349" ht="15" customHeight="1" s="30">
      <c r="J349" s="50" t="b">
        <f>IF(발주접수!$D37="",FALSE(),IF(발주접수!$F37="세트",COUNTIF(세트구성!$G$3:$G$302,발주접수!$D37&amp;"|"&amp;4)&gt;0,3=0))</f>
        <v>0</v>
      </c>
      <c r="K349" s="34" t="str">
        <f>IF($J349=FALSE(),"",COUNTIF($J$6:$J349,TRUE()))</f>
        <v/>
      </c>
      <c r="L349" s="34" t="str">
        <f>IF($K349="","","R"&amp;$K349)</f>
        <v/>
      </c>
      <c r="M349" s="34" t="str">
        <f>IF($J349=FALSE(),"",IF(발주접수!$F37="세트",IFERROR(INDEX(세트구성!$C$3:$C$302,MATCH(발주접수!$D37&amp;"|"&amp;4,세트구성!$G$3:$G$302,0)),""),발주접수!$D37))</f>
        <v/>
      </c>
      <c r="N349" s="34" t="str">
        <f>IF($J349=FALSE(),"",IF(발주접수!$F37="세트",발주접수!$G37*IFERROR(INDEX(세트구성!$E$3:$E$302,MATCH(발주접수!$D37&amp;"|"&amp;4,세트구성!$G$3:$G$302,0)),0),발주접수!$G37))</f>
        <v/>
      </c>
      <c r="O349" s="34" t="str">
        <f>IF($J349=FALSE(),"",발주접수!$B37)</f>
        <v/>
      </c>
      <c r="P349" s="34" t="str">
        <f>IF($J349=FALSE(),"",발주접수!$C37)</f>
        <v/>
      </c>
      <c r="Q349" s="34" t="str">
        <f>IF($J349=FALSE(),"",IF(발주접수!$F37="세트",발주접수!$E37&amp;" 전개","직접 발주"))</f>
        <v/>
      </c>
    </row>
    <row r="350" ht="15" customHeight="1" s="30">
      <c r="J350" s="50" t="b">
        <f>IF(발주접수!$D37="",FALSE(),IF(발주접수!$F37="세트",COUNTIF(세트구성!$G$3:$G$302,발주접수!$D37&amp;"|"&amp;5)&gt;0,4=0))</f>
        <v>0</v>
      </c>
      <c r="K350" s="34" t="str">
        <f>IF($J350=FALSE(),"",COUNTIF($J$6:$J350,TRUE()))</f>
        <v/>
      </c>
      <c r="L350" s="34" t="str">
        <f>IF($K350="","","R"&amp;$K350)</f>
        <v/>
      </c>
      <c r="M350" s="34" t="str">
        <f>IF($J350=FALSE(),"",IF(발주접수!$F37="세트",IFERROR(INDEX(세트구성!$C$3:$C$302,MATCH(발주접수!$D37&amp;"|"&amp;5,세트구성!$G$3:$G$302,0)),""),발주접수!$D37))</f>
        <v/>
      </c>
      <c r="N350" s="34" t="str">
        <f>IF($J350=FALSE(),"",IF(발주접수!$F37="세트",발주접수!$G37*IFERROR(INDEX(세트구성!$E$3:$E$302,MATCH(발주접수!$D37&amp;"|"&amp;5,세트구성!$G$3:$G$302,0)),0),발주접수!$G37))</f>
        <v/>
      </c>
      <c r="O350" s="34" t="str">
        <f>IF($J350=FALSE(),"",발주접수!$B37)</f>
        <v/>
      </c>
      <c r="P350" s="34" t="str">
        <f>IF($J350=FALSE(),"",발주접수!$C37)</f>
        <v/>
      </c>
      <c r="Q350" s="34" t="str">
        <f>IF($J350=FALSE(),"",IF(발주접수!$F37="세트",발주접수!$E37&amp;" 전개","직접 발주"))</f>
        <v/>
      </c>
    </row>
    <row r="351" ht="15" customHeight="1" s="30">
      <c r="J351" s="50" t="b">
        <f>IF(발주접수!$D37="",FALSE(),IF(발주접수!$F37="세트",COUNTIF(세트구성!$G$3:$G$302,발주접수!$D37&amp;"|"&amp;6)&gt;0,5=0))</f>
        <v>0</v>
      </c>
      <c r="K351" s="34" t="str">
        <f>IF($J351=FALSE(),"",COUNTIF($J$6:$J351,TRUE()))</f>
        <v/>
      </c>
      <c r="L351" s="34" t="str">
        <f>IF($K351="","","R"&amp;$K351)</f>
        <v/>
      </c>
      <c r="M351" s="34" t="str">
        <f>IF($J351=FALSE(),"",IF(발주접수!$F37="세트",IFERROR(INDEX(세트구성!$C$3:$C$302,MATCH(발주접수!$D37&amp;"|"&amp;6,세트구성!$G$3:$G$302,0)),""),발주접수!$D37))</f>
        <v/>
      </c>
      <c r="N351" s="34" t="str">
        <f>IF($J351=FALSE(),"",IF(발주접수!$F37="세트",발주접수!$G37*IFERROR(INDEX(세트구성!$E$3:$E$302,MATCH(발주접수!$D37&amp;"|"&amp;6,세트구성!$G$3:$G$302,0)),0),발주접수!$G37))</f>
        <v/>
      </c>
      <c r="O351" s="34" t="str">
        <f>IF($J351=FALSE(),"",발주접수!$B37)</f>
        <v/>
      </c>
      <c r="P351" s="34" t="str">
        <f>IF($J351=FALSE(),"",발주접수!$C37)</f>
        <v/>
      </c>
      <c r="Q351" s="34" t="str">
        <f>IF($J351=FALSE(),"",IF(발주접수!$F37="세트",발주접수!$E37&amp;" 전개","직접 발주"))</f>
        <v/>
      </c>
    </row>
    <row r="352" ht="15" customHeight="1" s="30">
      <c r="J352" s="50" t="b">
        <f>IF(발주접수!$D37="",FALSE(),IF(발주접수!$F37="세트",COUNTIF(세트구성!$G$3:$G$302,발주접수!$D37&amp;"|"&amp;7)&gt;0,6=0))</f>
        <v>0</v>
      </c>
      <c r="K352" s="34" t="str">
        <f>IF($J352=FALSE(),"",COUNTIF($J$6:$J352,TRUE()))</f>
        <v/>
      </c>
      <c r="L352" s="34" t="str">
        <f>IF($K352="","","R"&amp;$K352)</f>
        <v/>
      </c>
      <c r="M352" s="34" t="str">
        <f>IF($J352=FALSE(),"",IF(발주접수!$F37="세트",IFERROR(INDEX(세트구성!$C$3:$C$302,MATCH(발주접수!$D37&amp;"|"&amp;7,세트구성!$G$3:$G$302,0)),""),발주접수!$D37))</f>
        <v/>
      </c>
      <c r="N352" s="34" t="str">
        <f>IF($J352=FALSE(),"",IF(발주접수!$F37="세트",발주접수!$G37*IFERROR(INDEX(세트구성!$E$3:$E$302,MATCH(발주접수!$D37&amp;"|"&amp;7,세트구성!$G$3:$G$302,0)),0),발주접수!$G37))</f>
        <v/>
      </c>
      <c r="O352" s="34" t="str">
        <f>IF($J352=FALSE(),"",발주접수!$B37)</f>
        <v/>
      </c>
      <c r="P352" s="34" t="str">
        <f>IF($J352=FALSE(),"",발주접수!$C37)</f>
        <v/>
      </c>
      <c r="Q352" s="34" t="str">
        <f>IF($J352=FALSE(),"",IF(발주접수!$F37="세트",발주접수!$E37&amp;" 전개","직접 발주"))</f>
        <v/>
      </c>
    </row>
    <row r="353" ht="15" customHeight="1" s="30">
      <c r="J353" s="50" t="b">
        <f>IF(발주접수!$D37="",FALSE(),IF(발주접수!$F37="세트",COUNTIF(세트구성!$G$3:$G$302,발주접수!$D37&amp;"|"&amp;8)&gt;0,7=0))</f>
        <v>0</v>
      </c>
      <c r="K353" s="34" t="str">
        <f>IF($J353=FALSE(),"",COUNTIF($J$6:$J353,TRUE()))</f>
        <v/>
      </c>
      <c r="L353" s="34" t="str">
        <f>IF($K353="","","R"&amp;$K353)</f>
        <v/>
      </c>
      <c r="M353" s="34" t="str">
        <f>IF($J353=FALSE(),"",IF(발주접수!$F37="세트",IFERROR(INDEX(세트구성!$C$3:$C$302,MATCH(발주접수!$D37&amp;"|"&amp;8,세트구성!$G$3:$G$302,0)),""),발주접수!$D37))</f>
        <v/>
      </c>
      <c r="N353" s="34" t="str">
        <f>IF($J353=FALSE(),"",IF(발주접수!$F37="세트",발주접수!$G37*IFERROR(INDEX(세트구성!$E$3:$E$302,MATCH(발주접수!$D37&amp;"|"&amp;8,세트구성!$G$3:$G$302,0)),0),발주접수!$G37))</f>
        <v/>
      </c>
      <c r="O353" s="34" t="str">
        <f>IF($J353=FALSE(),"",발주접수!$B37)</f>
        <v/>
      </c>
      <c r="P353" s="34" t="str">
        <f>IF($J353=FALSE(),"",발주접수!$C37)</f>
        <v/>
      </c>
      <c r="Q353" s="34" t="str">
        <f>IF($J353=FALSE(),"",IF(발주접수!$F37="세트",발주접수!$E37&amp;" 전개","직접 발주"))</f>
        <v/>
      </c>
    </row>
    <row r="354" ht="15" customHeight="1" s="30">
      <c r="J354" s="50" t="b">
        <f>IF(발주접수!$D37="",FALSE(),IF(발주접수!$F37="세트",COUNTIF(세트구성!$G$3:$G$302,발주접수!$D37&amp;"|"&amp;9)&gt;0,8=0))</f>
        <v>0</v>
      </c>
      <c r="K354" s="34" t="str">
        <f>IF($J354=FALSE(),"",COUNTIF($J$6:$J354,TRUE()))</f>
        <v/>
      </c>
      <c r="L354" s="34" t="str">
        <f>IF($K354="","","R"&amp;$K354)</f>
        <v/>
      </c>
      <c r="M354" s="34" t="str">
        <f>IF($J354=FALSE(),"",IF(발주접수!$F37="세트",IFERROR(INDEX(세트구성!$C$3:$C$302,MATCH(발주접수!$D37&amp;"|"&amp;9,세트구성!$G$3:$G$302,0)),""),발주접수!$D37))</f>
        <v/>
      </c>
      <c r="N354" s="34" t="str">
        <f>IF($J354=FALSE(),"",IF(발주접수!$F37="세트",발주접수!$G37*IFERROR(INDEX(세트구성!$E$3:$E$302,MATCH(발주접수!$D37&amp;"|"&amp;9,세트구성!$G$3:$G$302,0)),0),발주접수!$G37))</f>
        <v/>
      </c>
      <c r="O354" s="34" t="str">
        <f>IF($J354=FALSE(),"",발주접수!$B37)</f>
        <v/>
      </c>
      <c r="P354" s="34" t="str">
        <f>IF($J354=FALSE(),"",발주접수!$C37)</f>
        <v/>
      </c>
      <c r="Q354" s="34" t="str">
        <f>IF($J354=FALSE(),"",IF(발주접수!$F37="세트",발주접수!$E37&amp;" 전개","직접 발주"))</f>
        <v/>
      </c>
    </row>
    <row r="355" ht="15" customHeight="1" s="30">
      <c r="J355" s="50" t="b">
        <f>IF(발주접수!$D37="",FALSE(),IF(발주접수!$F37="세트",COUNTIF(세트구성!$G$3:$G$302,발주접수!$D37&amp;"|"&amp;10)&gt;0,9=0))</f>
        <v>0</v>
      </c>
      <c r="K355" s="34" t="str">
        <f>IF($J355=FALSE(),"",COUNTIF($J$6:$J355,TRUE()))</f>
        <v/>
      </c>
      <c r="L355" s="34" t="str">
        <f>IF($K355="","","R"&amp;$K355)</f>
        <v/>
      </c>
      <c r="M355" s="34" t="str">
        <f>IF($J355=FALSE(),"",IF(발주접수!$F37="세트",IFERROR(INDEX(세트구성!$C$3:$C$302,MATCH(발주접수!$D37&amp;"|"&amp;10,세트구성!$G$3:$G$302,0)),""),발주접수!$D37))</f>
        <v/>
      </c>
      <c r="N355" s="34" t="str">
        <f>IF($J355=FALSE(),"",IF(발주접수!$F37="세트",발주접수!$G37*IFERROR(INDEX(세트구성!$E$3:$E$302,MATCH(발주접수!$D37&amp;"|"&amp;10,세트구성!$G$3:$G$302,0)),0),발주접수!$G37))</f>
        <v/>
      </c>
      <c r="O355" s="34" t="str">
        <f>IF($J355=FALSE(),"",발주접수!$B37)</f>
        <v/>
      </c>
      <c r="P355" s="34" t="str">
        <f>IF($J355=FALSE(),"",발주접수!$C37)</f>
        <v/>
      </c>
      <c r="Q355" s="34" t="str">
        <f>IF($J355=FALSE(),"",IF(발주접수!$F37="세트",발주접수!$E37&amp;" 전개","직접 발주"))</f>
        <v/>
      </c>
    </row>
    <row r="356" ht="15" customHeight="1" s="30">
      <c r="J356" s="50" t="b">
        <f>IF(발주접수!$D38="",FALSE(),IF(발주접수!$F38="세트",COUNTIF(세트구성!$G$3:$G$302,발주접수!$D38&amp;"|"&amp;1)&gt;0,0=0))</f>
        <v>0</v>
      </c>
      <c r="K356" s="34" t="str">
        <f>IF($J356=FALSE(),"",COUNTIF($J$6:$J356,TRUE()))</f>
        <v/>
      </c>
      <c r="L356" s="34" t="str">
        <f>IF($K356="","","R"&amp;$K356)</f>
        <v/>
      </c>
      <c r="M356" s="34" t="str">
        <f>IF($J356=FALSE(),"",IF(발주접수!$F38="세트",IFERROR(INDEX(세트구성!$C$3:$C$302,MATCH(발주접수!$D38&amp;"|"&amp;1,세트구성!$G$3:$G$302,0)),""),발주접수!$D38))</f>
        <v/>
      </c>
      <c r="N356" s="34" t="str">
        <f>IF($J356=FALSE(),"",IF(발주접수!$F38="세트",발주접수!$G38*IFERROR(INDEX(세트구성!$E$3:$E$302,MATCH(발주접수!$D38&amp;"|"&amp;1,세트구성!$G$3:$G$302,0)),0),발주접수!$G38))</f>
        <v/>
      </c>
      <c r="O356" s="34" t="str">
        <f>IF($J356=FALSE(),"",발주접수!$B38)</f>
        <v/>
      </c>
      <c r="P356" s="34" t="str">
        <f>IF($J356=FALSE(),"",발주접수!$C38)</f>
        <v/>
      </c>
      <c r="Q356" s="34" t="str">
        <f>IF($J356=FALSE(),"",IF(발주접수!$F38="세트",발주접수!$E38&amp;" 전개","직접 발주"))</f>
        <v/>
      </c>
    </row>
    <row r="357" ht="15" customHeight="1" s="30">
      <c r="J357" s="50" t="b">
        <f>IF(발주접수!$D38="",FALSE(),IF(발주접수!$F38="세트",COUNTIF(세트구성!$G$3:$G$302,발주접수!$D38&amp;"|"&amp;2)&gt;0,1=0))</f>
        <v>0</v>
      </c>
      <c r="K357" s="34" t="str">
        <f>IF($J357=FALSE(),"",COUNTIF($J$6:$J357,TRUE()))</f>
        <v/>
      </c>
      <c r="L357" s="34" t="str">
        <f>IF($K357="","","R"&amp;$K357)</f>
        <v/>
      </c>
      <c r="M357" s="34" t="str">
        <f>IF($J357=FALSE(),"",IF(발주접수!$F38="세트",IFERROR(INDEX(세트구성!$C$3:$C$302,MATCH(발주접수!$D38&amp;"|"&amp;2,세트구성!$G$3:$G$302,0)),""),발주접수!$D38))</f>
        <v/>
      </c>
      <c r="N357" s="34" t="str">
        <f>IF($J357=FALSE(),"",IF(발주접수!$F38="세트",발주접수!$G38*IFERROR(INDEX(세트구성!$E$3:$E$302,MATCH(발주접수!$D38&amp;"|"&amp;2,세트구성!$G$3:$G$302,0)),0),발주접수!$G38))</f>
        <v/>
      </c>
      <c r="O357" s="34" t="str">
        <f>IF($J357=FALSE(),"",발주접수!$B38)</f>
        <v/>
      </c>
      <c r="P357" s="34" t="str">
        <f>IF($J357=FALSE(),"",발주접수!$C38)</f>
        <v/>
      </c>
      <c r="Q357" s="34" t="str">
        <f>IF($J357=FALSE(),"",IF(발주접수!$F38="세트",발주접수!$E38&amp;" 전개","직접 발주"))</f>
        <v/>
      </c>
    </row>
    <row r="358" ht="15" customHeight="1" s="30">
      <c r="J358" s="50" t="b">
        <f>IF(발주접수!$D38="",FALSE(),IF(발주접수!$F38="세트",COUNTIF(세트구성!$G$3:$G$302,발주접수!$D38&amp;"|"&amp;3)&gt;0,2=0))</f>
        <v>0</v>
      </c>
      <c r="K358" s="34" t="str">
        <f>IF($J358=FALSE(),"",COUNTIF($J$6:$J358,TRUE()))</f>
        <v/>
      </c>
      <c r="L358" s="34" t="str">
        <f>IF($K358="","","R"&amp;$K358)</f>
        <v/>
      </c>
      <c r="M358" s="34" t="str">
        <f>IF($J358=FALSE(),"",IF(발주접수!$F38="세트",IFERROR(INDEX(세트구성!$C$3:$C$302,MATCH(발주접수!$D38&amp;"|"&amp;3,세트구성!$G$3:$G$302,0)),""),발주접수!$D38))</f>
        <v/>
      </c>
      <c r="N358" s="34" t="str">
        <f>IF($J358=FALSE(),"",IF(발주접수!$F38="세트",발주접수!$G38*IFERROR(INDEX(세트구성!$E$3:$E$302,MATCH(발주접수!$D38&amp;"|"&amp;3,세트구성!$G$3:$G$302,0)),0),발주접수!$G38))</f>
        <v/>
      </c>
      <c r="O358" s="34" t="str">
        <f>IF($J358=FALSE(),"",발주접수!$B38)</f>
        <v/>
      </c>
      <c r="P358" s="34" t="str">
        <f>IF($J358=FALSE(),"",발주접수!$C38)</f>
        <v/>
      </c>
      <c r="Q358" s="34" t="str">
        <f>IF($J358=FALSE(),"",IF(발주접수!$F38="세트",발주접수!$E38&amp;" 전개","직접 발주"))</f>
        <v/>
      </c>
    </row>
    <row r="359" ht="15" customHeight="1" s="30">
      <c r="J359" s="50" t="b">
        <f>IF(발주접수!$D38="",FALSE(),IF(발주접수!$F38="세트",COUNTIF(세트구성!$G$3:$G$302,발주접수!$D38&amp;"|"&amp;4)&gt;0,3=0))</f>
        <v>0</v>
      </c>
      <c r="K359" s="34" t="str">
        <f>IF($J359=FALSE(),"",COUNTIF($J$6:$J359,TRUE()))</f>
        <v/>
      </c>
      <c r="L359" s="34" t="str">
        <f>IF($K359="","","R"&amp;$K359)</f>
        <v/>
      </c>
      <c r="M359" s="34" t="str">
        <f>IF($J359=FALSE(),"",IF(발주접수!$F38="세트",IFERROR(INDEX(세트구성!$C$3:$C$302,MATCH(발주접수!$D38&amp;"|"&amp;4,세트구성!$G$3:$G$302,0)),""),발주접수!$D38))</f>
        <v/>
      </c>
      <c r="N359" s="34" t="str">
        <f>IF($J359=FALSE(),"",IF(발주접수!$F38="세트",발주접수!$G38*IFERROR(INDEX(세트구성!$E$3:$E$302,MATCH(발주접수!$D38&amp;"|"&amp;4,세트구성!$G$3:$G$302,0)),0),발주접수!$G38))</f>
        <v/>
      </c>
      <c r="O359" s="34" t="str">
        <f>IF($J359=FALSE(),"",발주접수!$B38)</f>
        <v/>
      </c>
      <c r="P359" s="34" t="str">
        <f>IF($J359=FALSE(),"",발주접수!$C38)</f>
        <v/>
      </c>
      <c r="Q359" s="34" t="str">
        <f>IF($J359=FALSE(),"",IF(발주접수!$F38="세트",발주접수!$E38&amp;" 전개","직접 발주"))</f>
        <v/>
      </c>
    </row>
    <row r="360" ht="15" customHeight="1" s="30">
      <c r="J360" s="50" t="b">
        <f>IF(발주접수!$D38="",FALSE(),IF(발주접수!$F38="세트",COUNTIF(세트구성!$G$3:$G$302,발주접수!$D38&amp;"|"&amp;5)&gt;0,4=0))</f>
        <v>0</v>
      </c>
      <c r="K360" s="34" t="str">
        <f>IF($J360=FALSE(),"",COUNTIF($J$6:$J360,TRUE()))</f>
        <v/>
      </c>
      <c r="L360" s="34" t="str">
        <f>IF($K360="","","R"&amp;$K360)</f>
        <v/>
      </c>
      <c r="M360" s="34" t="str">
        <f>IF($J360=FALSE(),"",IF(발주접수!$F38="세트",IFERROR(INDEX(세트구성!$C$3:$C$302,MATCH(발주접수!$D38&amp;"|"&amp;5,세트구성!$G$3:$G$302,0)),""),발주접수!$D38))</f>
        <v/>
      </c>
      <c r="N360" s="34" t="str">
        <f>IF($J360=FALSE(),"",IF(발주접수!$F38="세트",발주접수!$G38*IFERROR(INDEX(세트구성!$E$3:$E$302,MATCH(발주접수!$D38&amp;"|"&amp;5,세트구성!$G$3:$G$302,0)),0),발주접수!$G38))</f>
        <v/>
      </c>
      <c r="O360" s="34" t="str">
        <f>IF($J360=FALSE(),"",발주접수!$B38)</f>
        <v/>
      </c>
      <c r="P360" s="34" t="str">
        <f>IF($J360=FALSE(),"",발주접수!$C38)</f>
        <v/>
      </c>
      <c r="Q360" s="34" t="str">
        <f>IF($J360=FALSE(),"",IF(발주접수!$F38="세트",발주접수!$E38&amp;" 전개","직접 발주"))</f>
        <v/>
      </c>
    </row>
    <row r="361" ht="15" customHeight="1" s="30">
      <c r="J361" s="50" t="b">
        <f>IF(발주접수!$D38="",FALSE(),IF(발주접수!$F38="세트",COUNTIF(세트구성!$G$3:$G$302,발주접수!$D38&amp;"|"&amp;6)&gt;0,5=0))</f>
        <v>0</v>
      </c>
      <c r="K361" s="34" t="str">
        <f>IF($J361=FALSE(),"",COUNTIF($J$6:$J361,TRUE()))</f>
        <v/>
      </c>
      <c r="L361" s="34" t="str">
        <f>IF($K361="","","R"&amp;$K361)</f>
        <v/>
      </c>
      <c r="M361" s="34" t="str">
        <f>IF($J361=FALSE(),"",IF(발주접수!$F38="세트",IFERROR(INDEX(세트구성!$C$3:$C$302,MATCH(발주접수!$D38&amp;"|"&amp;6,세트구성!$G$3:$G$302,0)),""),발주접수!$D38))</f>
        <v/>
      </c>
      <c r="N361" s="34" t="str">
        <f>IF($J361=FALSE(),"",IF(발주접수!$F38="세트",발주접수!$G38*IFERROR(INDEX(세트구성!$E$3:$E$302,MATCH(발주접수!$D38&amp;"|"&amp;6,세트구성!$G$3:$G$302,0)),0),발주접수!$G38))</f>
        <v/>
      </c>
      <c r="O361" s="34" t="str">
        <f>IF($J361=FALSE(),"",발주접수!$B38)</f>
        <v/>
      </c>
      <c r="P361" s="34" t="str">
        <f>IF($J361=FALSE(),"",발주접수!$C38)</f>
        <v/>
      </c>
      <c r="Q361" s="34" t="str">
        <f>IF($J361=FALSE(),"",IF(발주접수!$F38="세트",발주접수!$E38&amp;" 전개","직접 발주"))</f>
        <v/>
      </c>
    </row>
    <row r="362" ht="15" customHeight="1" s="30">
      <c r="J362" s="50" t="b">
        <f>IF(발주접수!$D38="",FALSE(),IF(발주접수!$F38="세트",COUNTIF(세트구성!$G$3:$G$302,발주접수!$D38&amp;"|"&amp;7)&gt;0,6=0))</f>
        <v>0</v>
      </c>
      <c r="K362" s="34" t="str">
        <f>IF($J362=FALSE(),"",COUNTIF($J$6:$J362,TRUE()))</f>
        <v/>
      </c>
      <c r="L362" s="34" t="str">
        <f>IF($K362="","","R"&amp;$K362)</f>
        <v/>
      </c>
      <c r="M362" s="34" t="str">
        <f>IF($J362=FALSE(),"",IF(발주접수!$F38="세트",IFERROR(INDEX(세트구성!$C$3:$C$302,MATCH(발주접수!$D38&amp;"|"&amp;7,세트구성!$G$3:$G$302,0)),""),발주접수!$D38))</f>
        <v/>
      </c>
      <c r="N362" s="34" t="str">
        <f>IF($J362=FALSE(),"",IF(발주접수!$F38="세트",발주접수!$G38*IFERROR(INDEX(세트구성!$E$3:$E$302,MATCH(발주접수!$D38&amp;"|"&amp;7,세트구성!$G$3:$G$302,0)),0),발주접수!$G38))</f>
        <v/>
      </c>
      <c r="O362" s="34" t="str">
        <f>IF($J362=FALSE(),"",발주접수!$B38)</f>
        <v/>
      </c>
      <c r="P362" s="34" t="str">
        <f>IF($J362=FALSE(),"",발주접수!$C38)</f>
        <v/>
      </c>
      <c r="Q362" s="34" t="str">
        <f>IF($J362=FALSE(),"",IF(발주접수!$F38="세트",발주접수!$E38&amp;" 전개","직접 발주"))</f>
        <v/>
      </c>
    </row>
    <row r="363" ht="15" customHeight="1" s="30">
      <c r="J363" s="50" t="b">
        <f>IF(발주접수!$D38="",FALSE(),IF(발주접수!$F38="세트",COUNTIF(세트구성!$G$3:$G$302,발주접수!$D38&amp;"|"&amp;8)&gt;0,7=0))</f>
        <v>0</v>
      </c>
      <c r="K363" s="34" t="str">
        <f>IF($J363=FALSE(),"",COUNTIF($J$6:$J363,TRUE()))</f>
        <v/>
      </c>
      <c r="L363" s="34" t="str">
        <f>IF($K363="","","R"&amp;$K363)</f>
        <v/>
      </c>
      <c r="M363" s="34" t="str">
        <f>IF($J363=FALSE(),"",IF(발주접수!$F38="세트",IFERROR(INDEX(세트구성!$C$3:$C$302,MATCH(발주접수!$D38&amp;"|"&amp;8,세트구성!$G$3:$G$302,0)),""),발주접수!$D38))</f>
        <v/>
      </c>
      <c r="N363" s="34" t="str">
        <f>IF($J363=FALSE(),"",IF(발주접수!$F38="세트",발주접수!$G38*IFERROR(INDEX(세트구성!$E$3:$E$302,MATCH(발주접수!$D38&amp;"|"&amp;8,세트구성!$G$3:$G$302,0)),0),발주접수!$G38))</f>
        <v/>
      </c>
      <c r="O363" s="34" t="str">
        <f>IF($J363=FALSE(),"",발주접수!$B38)</f>
        <v/>
      </c>
      <c r="P363" s="34" t="str">
        <f>IF($J363=FALSE(),"",발주접수!$C38)</f>
        <v/>
      </c>
      <c r="Q363" s="34" t="str">
        <f>IF($J363=FALSE(),"",IF(발주접수!$F38="세트",발주접수!$E38&amp;" 전개","직접 발주"))</f>
        <v/>
      </c>
    </row>
    <row r="364" ht="15" customHeight="1" s="30">
      <c r="J364" s="50" t="b">
        <f>IF(발주접수!$D38="",FALSE(),IF(발주접수!$F38="세트",COUNTIF(세트구성!$G$3:$G$302,발주접수!$D38&amp;"|"&amp;9)&gt;0,8=0))</f>
        <v>0</v>
      </c>
      <c r="K364" s="34" t="str">
        <f>IF($J364=FALSE(),"",COUNTIF($J$6:$J364,TRUE()))</f>
        <v/>
      </c>
      <c r="L364" s="34" t="str">
        <f>IF($K364="","","R"&amp;$K364)</f>
        <v/>
      </c>
      <c r="M364" s="34" t="str">
        <f>IF($J364=FALSE(),"",IF(발주접수!$F38="세트",IFERROR(INDEX(세트구성!$C$3:$C$302,MATCH(발주접수!$D38&amp;"|"&amp;9,세트구성!$G$3:$G$302,0)),""),발주접수!$D38))</f>
        <v/>
      </c>
      <c r="N364" s="34" t="str">
        <f>IF($J364=FALSE(),"",IF(발주접수!$F38="세트",발주접수!$G38*IFERROR(INDEX(세트구성!$E$3:$E$302,MATCH(발주접수!$D38&amp;"|"&amp;9,세트구성!$G$3:$G$302,0)),0),발주접수!$G38))</f>
        <v/>
      </c>
      <c r="O364" s="34" t="str">
        <f>IF($J364=FALSE(),"",발주접수!$B38)</f>
        <v/>
      </c>
      <c r="P364" s="34" t="str">
        <f>IF($J364=FALSE(),"",발주접수!$C38)</f>
        <v/>
      </c>
      <c r="Q364" s="34" t="str">
        <f>IF($J364=FALSE(),"",IF(발주접수!$F38="세트",발주접수!$E38&amp;" 전개","직접 발주"))</f>
        <v/>
      </c>
    </row>
    <row r="365" ht="15" customHeight="1" s="30">
      <c r="J365" s="50" t="b">
        <f>IF(발주접수!$D38="",FALSE(),IF(발주접수!$F38="세트",COUNTIF(세트구성!$G$3:$G$302,발주접수!$D38&amp;"|"&amp;10)&gt;0,9=0))</f>
        <v>0</v>
      </c>
      <c r="K365" s="34" t="str">
        <f>IF($J365=FALSE(),"",COUNTIF($J$6:$J365,TRUE()))</f>
        <v/>
      </c>
      <c r="L365" s="34" t="str">
        <f>IF($K365="","","R"&amp;$K365)</f>
        <v/>
      </c>
      <c r="M365" s="34" t="str">
        <f>IF($J365=FALSE(),"",IF(발주접수!$F38="세트",IFERROR(INDEX(세트구성!$C$3:$C$302,MATCH(발주접수!$D38&amp;"|"&amp;10,세트구성!$G$3:$G$302,0)),""),발주접수!$D38))</f>
        <v/>
      </c>
      <c r="N365" s="34" t="str">
        <f>IF($J365=FALSE(),"",IF(발주접수!$F38="세트",발주접수!$G38*IFERROR(INDEX(세트구성!$E$3:$E$302,MATCH(발주접수!$D38&amp;"|"&amp;10,세트구성!$G$3:$G$302,0)),0),발주접수!$G38))</f>
        <v/>
      </c>
      <c r="O365" s="34" t="str">
        <f>IF($J365=FALSE(),"",발주접수!$B38)</f>
        <v/>
      </c>
      <c r="P365" s="34" t="str">
        <f>IF($J365=FALSE(),"",발주접수!$C38)</f>
        <v/>
      </c>
      <c r="Q365" s="34" t="str">
        <f>IF($J365=FALSE(),"",IF(발주접수!$F38="세트",발주접수!$E38&amp;" 전개","직접 발주"))</f>
        <v/>
      </c>
    </row>
    <row r="366" ht="15" customHeight="1" s="30">
      <c r="J366" s="50" t="b">
        <f>IF(발주접수!$D39="",FALSE(),IF(발주접수!$F39="세트",COUNTIF(세트구성!$G$3:$G$302,발주접수!$D39&amp;"|"&amp;1)&gt;0,0=0))</f>
        <v>0</v>
      </c>
      <c r="K366" s="34" t="str">
        <f>IF($J366=FALSE(),"",COUNTIF($J$6:$J366,TRUE()))</f>
        <v/>
      </c>
      <c r="L366" s="34" t="str">
        <f>IF($K366="","","R"&amp;$K366)</f>
        <v/>
      </c>
      <c r="M366" s="34" t="str">
        <f>IF($J366=FALSE(),"",IF(발주접수!$F39="세트",IFERROR(INDEX(세트구성!$C$3:$C$302,MATCH(발주접수!$D39&amp;"|"&amp;1,세트구성!$G$3:$G$302,0)),""),발주접수!$D39))</f>
        <v/>
      </c>
      <c r="N366" s="34" t="str">
        <f>IF($J366=FALSE(),"",IF(발주접수!$F39="세트",발주접수!$G39*IFERROR(INDEX(세트구성!$E$3:$E$302,MATCH(발주접수!$D39&amp;"|"&amp;1,세트구성!$G$3:$G$302,0)),0),발주접수!$G39))</f>
        <v/>
      </c>
      <c r="O366" s="34" t="str">
        <f>IF($J366=FALSE(),"",발주접수!$B39)</f>
        <v/>
      </c>
      <c r="P366" s="34" t="str">
        <f>IF($J366=FALSE(),"",발주접수!$C39)</f>
        <v/>
      </c>
      <c r="Q366" s="34" t="str">
        <f>IF($J366=FALSE(),"",IF(발주접수!$F39="세트",발주접수!$E39&amp;" 전개","직접 발주"))</f>
        <v/>
      </c>
    </row>
    <row r="367" ht="15" customHeight="1" s="30">
      <c r="J367" s="50" t="b">
        <f>IF(발주접수!$D39="",FALSE(),IF(발주접수!$F39="세트",COUNTIF(세트구성!$G$3:$G$302,발주접수!$D39&amp;"|"&amp;2)&gt;0,1=0))</f>
        <v>0</v>
      </c>
      <c r="K367" s="34" t="str">
        <f>IF($J367=FALSE(),"",COUNTIF($J$6:$J367,TRUE()))</f>
        <v/>
      </c>
      <c r="L367" s="34" t="str">
        <f>IF($K367="","","R"&amp;$K367)</f>
        <v/>
      </c>
      <c r="M367" s="34" t="str">
        <f>IF($J367=FALSE(),"",IF(발주접수!$F39="세트",IFERROR(INDEX(세트구성!$C$3:$C$302,MATCH(발주접수!$D39&amp;"|"&amp;2,세트구성!$G$3:$G$302,0)),""),발주접수!$D39))</f>
        <v/>
      </c>
      <c r="N367" s="34" t="str">
        <f>IF($J367=FALSE(),"",IF(발주접수!$F39="세트",발주접수!$G39*IFERROR(INDEX(세트구성!$E$3:$E$302,MATCH(발주접수!$D39&amp;"|"&amp;2,세트구성!$G$3:$G$302,0)),0),발주접수!$G39))</f>
        <v/>
      </c>
      <c r="O367" s="34" t="str">
        <f>IF($J367=FALSE(),"",발주접수!$B39)</f>
        <v/>
      </c>
      <c r="P367" s="34" t="str">
        <f>IF($J367=FALSE(),"",발주접수!$C39)</f>
        <v/>
      </c>
      <c r="Q367" s="34" t="str">
        <f>IF($J367=FALSE(),"",IF(발주접수!$F39="세트",발주접수!$E39&amp;" 전개","직접 발주"))</f>
        <v/>
      </c>
    </row>
    <row r="368" ht="15" customHeight="1" s="30">
      <c r="J368" s="50" t="b">
        <f>IF(발주접수!$D39="",FALSE(),IF(발주접수!$F39="세트",COUNTIF(세트구성!$G$3:$G$302,발주접수!$D39&amp;"|"&amp;3)&gt;0,2=0))</f>
        <v>0</v>
      </c>
      <c r="K368" s="34" t="str">
        <f>IF($J368=FALSE(),"",COUNTIF($J$6:$J368,TRUE()))</f>
        <v/>
      </c>
      <c r="L368" s="34" t="str">
        <f>IF($K368="","","R"&amp;$K368)</f>
        <v/>
      </c>
      <c r="M368" s="34" t="str">
        <f>IF($J368=FALSE(),"",IF(발주접수!$F39="세트",IFERROR(INDEX(세트구성!$C$3:$C$302,MATCH(발주접수!$D39&amp;"|"&amp;3,세트구성!$G$3:$G$302,0)),""),발주접수!$D39))</f>
        <v/>
      </c>
      <c r="N368" s="34" t="str">
        <f>IF($J368=FALSE(),"",IF(발주접수!$F39="세트",발주접수!$G39*IFERROR(INDEX(세트구성!$E$3:$E$302,MATCH(발주접수!$D39&amp;"|"&amp;3,세트구성!$G$3:$G$302,0)),0),발주접수!$G39))</f>
        <v/>
      </c>
      <c r="O368" s="34" t="str">
        <f>IF($J368=FALSE(),"",발주접수!$B39)</f>
        <v/>
      </c>
      <c r="P368" s="34" t="str">
        <f>IF($J368=FALSE(),"",발주접수!$C39)</f>
        <v/>
      </c>
      <c r="Q368" s="34" t="str">
        <f>IF($J368=FALSE(),"",IF(발주접수!$F39="세트",발주접수!$E39&amp;" 전개","직접 발주"))</f>
        <v/>
      </c>
    </row>
    <row r="369" ht="15" customHeight="1" s="30">
      <c r="J369" s="50" t="b">
        <f>IF(발주접수!$D39="",FALSE(),IF(발주접수!$F39="세트",COUNTIF(세트구성!$G$3:$G$302,발주접수!$D39&amp;"|"&amp;4)&gt;0,3=0))</f>
        <v>0</v>
      </c>
      <c r="K369" s="34" t="str">
        <f>IF($J369=FALSE(),"",COUNTIF($J$6:$J369,TRUE()))</f>
        <v/>
      </c>
      <c r="L369" s="34" t="str">
        <f>IF($K369="","","R"&amp;$K369)</f>
        <v/>
      </c>
      <c r="M369" s="34" t="str">
        <f>IF($J369=FALSE(),"",IF(발주접수!$F39="세트",IFERROR(INDEX(세트구성!$C$3:$C$302,MATCH(발주접수!$D39&amp;"|"&amp;4,세트구성!$G$3:$G$302,0)),""),발주접수!$D39))</f>
        <v/>
      </c>
      <c r="N369" s="34" t="str">
        <f>IF($J369=FALSE(),"",IF(발주접수!$F39="세트",발주접수!$G39*IFERROR(INDEX(세트구성!$E$3:$E$302,MATCH(발주접수!$D39&amp;"|"&amp;4,세트구성!$G$3:$G$302,0)),0),발주접수!$G39))</f>
        <v/>
      </c>
      <c r="O369" s="34" t="str">
        <f>IF($J369=FALSE(),"",발주접수!$B39)</f>
        <v/>
      </c>
      <c r="P369" s="34" t="str">
        <f>IF($J369=FALSE(),"",발주접수!$C39)</f>
        <v/>
      </c>
      <c r="Q369" s="34" t="str">
        <f>IF($J369=FALSE(),"",IF(발주접수!$F39="세트",발주접수!$E39&amp;" 전개","직접 발주"))</f>
        <v/>
      </c>
    </row>
    <row r="370" ht="15" customHeight="1" s="30">
      <c r="J370" s="50" t="b">
        <f>IF(발주접수!$D39="",FALSE(),IF(발주접수!$F39="세트",COUNTIF(세트구성!$G$3:$G$302,발주접수!$D39&amp;"|"&amp;5)&gt;0,4=0))</f>
        <v>0</v>
      </c>
      <c r="K370" s="34" t="str">
        <f>IF($J370=FALSE(),"",COUNTIF($J$6:$J370,TRUE()))</f>
        <v/>
      </c>
      <c r="L370" s="34" t="str">
        <f>IF($K370="","","R"&amp;$K370)</f>
        <v/>
      </c>
      <c r="M370" s="34" t="str">
        <f>IF($J370=FALSE(),"",IF(발주접수!$F39="세트",IFERROR(INDEX(세트구성!$C$3:$C$302,MATCH(발주접수!$D39&amp;"|"&amp;5,세트구성!$G$3:$G$302,0)),""),발주접수!$D39))</f>
        <v/>
      </c>
      <c r="N370" s="34" t="str">
        <f>IF($J370=FALSE(),"",IF(발주접수!$F39="세트",발주접수!$G39*IFERROR(INDEX(세트구성!$E$3:$E$302,MATCH(발주접수!$D39&amp;"|"&amp;5,세트구성!$G$3:$G$302,0)),0),발주접수!$G39))</f>
        <v/>
      </c>
      <c r="O370" s="34" t="str">
        <f>IF($J370=FALSE(),"",발주접수!$B39)</f>
        <v/>
      </c>
      <c r="P370" s="34" t="str">
        <f>IF($J370=FALSE(),"",발주접수!$C39)</f>
        <v/>
      </c>
      <c r="Q370" s="34" t="str">
        <f>IF($J370=FALSE(),"",IF(발주접수!$F39="세트",발주접수!$E39&amp;" 전개","직접 발주"))</f>
        <v/>
      </c>
    </row>
    <row r="371" ht="15" customHeight="1" s="30">
      <c r="J371" s="50" t="b">
        <f>IF(발주접수!$D39="",FALSE(),IF(발주접수!$F39="세트",COUNTIF(세트구성!$G$3:$G$302,발주접수!$D39&amp;"|"&amp;6)&gt;0,5=0))</f>
        <v>0</v>
      </c>
      <c r="K371" s="34" t="str">
        <f>IF($J371=FALSE(),"",COUNTIF($J$6:$J371,TRUE()))</f>
        <v/>
      </c>
      <c r="L371" s="34" t="str">
        <f>IF($K371="","","R"&amp;$K371)</f>
        <v/>
      </c>
      <c r="M371" s="34" t="str">
        <f>IF($J371=FALSE(),"",IF(발주접수!$F39="세트",IFERROR(INDEX(세트구성!$C$3:$C$302,MATCH(발주접수!$D39&amp;"|"&amp;6,세트구성!$G$3:$G$302,0)),""),발주접수!$D39))</f>
        <v/>
      </c>
      <c r="N371" s="34" t="str">
        <f>IF($J371=FALSE(),"",IF(발주접수!$F39="세트",발주접수!$G39*IFERROR(INDEX(세트구성!$E$3:$E$302,MATCH(발주접수!$D39&amp;"|"&amp;6,세트구성!$G$3:$G$302,0)),0),발주접수!$G39))</f>
        <v/>
      </c>
      <c r="O371" s="34" t="str">
        <f>IF($J371=FALSE(),"",발주접수!$B39)</f>
        <v/>
      </c>
      <c r="P371" s="34" t="str">
        <f>IF($J371=FALSE(),"",발주접수!$C39)</f>
        <v/>
      </c>
      <c r="Q371" s="34" t="str">
        <f>IF($J371=FALSE(),"",IF(발주접수!$F39="세트",발주접수!$E39&amp;" 전개","직접 발주"))</f>
        <v/>
      </c>
    </row>
    <row r="372" ht="15" customHeight="1" s="30">
      <c r="J372" s="50" t="b">
        <f>IF(발주접수!$D39="",FALSE(),IF(발주접수!$F39="세트",COUNTIF(세트구성!$G$3:$G$302,발주접수!$D39&amp;"|"&amp;7)&gt;0,6=0))</f>
        <v>0</v>
      </c>
      <c r="K372" s="34" t="str">
        <f>IF($J372=FALSE(),"",COUNTIF($J$6:$J372,TRUE()))</f>
        <v/>
      </c>
      <c r="L372" s="34" t="str">
        <f>IF($K372="","","R"&amp;$K372)</f>
        <v/>
      </c>
      <c r="M372" s="34" t="str">
        <f>IF($J372=FALSE(),"",IF(발주접수!$F39="세트",IFERROR(INDEX(세트구성!$C$3:$C$302,MATCH(발주접수!$D39&amp;"|"&amp;7,세트구성!$G$3:$G$302,0)),""),발주접수!$D39))</f>
        <v/>
      </c>
      <c r="N372" s="34" t="str">
        <f>IF($J372=FALSE(),"",IF(발주접수!$F39="세트",발주접수!$G39*IFERROR(INDEX(세트구성!$E$3:$E$302,MATCH(발주접수!$D39&amp;"|"&amp;7,세트구성!$G$3:$G$302,0)),0),발주접수!$G39))</f>
        <v/>
      </c>
      <c r="O372" s="34" t="str">
        <f>IF($J372=FALSE(),"",발주접수!$B39)</f>
        <v/>
      </c>
      <c r="P372" s="34" t="str">
        <f>IF($J372=FALSE(),"",발주접수!$C39)</f>
        <v/>
      </c>
      <c r="Q372" s="34" t="str">
        <f>IF($J372=FALSE(),"",IF(발주접수!$F39="세트",발주접수!$E39&amp;" 전개","직접 발주"))</f>
        <v/>
      </c>
    </row>
    <row r="373" ht="15" customHeight="1" s="30">
      <c r="J373" s="50" t="b">
        <f>IF(발주접수!$D39="",FALSE(),IF(발주접수!$F39="세트",COUNTIF(세트구성!$G$3:$G$302,발주접수!$D39&amp;"|"&amp;8)&gt;0,7=0))</f>
        <v>0</v>
      </c>
      <c r="K373" s="34" t="str">
        <f>IF($J373=FALSE(),"",COUNTIF($J$6:$J373,TRUE()))</f>
        <v/>
      </c>
      <c r="L373" s="34" t="str">
        <f>IF($K373="","","R"&amp;$K373)</f>
        <v/>
      </c>
      <c r="M373" s="34" t="str">
        <f>IF($J373=FALSE(),"",IF(발주접수!$F39="세트",IFERROR(INDEX(세트구성!$C$3:$C$302,MATCH(발주접수!$D39&amp;"|"&amp;8,세트구성!$G$3:$G$302,0)),""),발주접수!$D39))</f>
        <v/>
      </c>
      <c r="N373" s="34" t="str">
        <f>IF($J373=FALSE(),"",IF(발주접수!$F39="세트",발주접수!$G39*IFERROR(INDEX(세트구성!$E$3:$E$302,MATCH(발주접수!$D39&amp;"|"&amp;8,세트구성!$G$3:$G$302,0)),0),발주접수!$G39))</f>
        <v/>
      </c>
      <c r="O373" s="34" t="str">
        <f>IF($J373=FALSE(),"",발주접수!$B39)</f>
        <v/>
      </c>
      <c r="P373" s="34" t="str">
        <f>IF($J373=FALSE(),"",발주접수!$C39)</f>
        <v/>
      </c>
      <c r="Q373" s="34" t="str">
        <f>IF($J373=FALSE(),"",IF(발주접수!$F39="세트",발주접수!$E39&amp;" 전개","직접 발주"))</f>
        <v/>
      </c>
    </row>
    <row r="374" ht="15" customHeight="1" s="30">
      <c r="J374" s="50" t="b">
        <f>IF(발주접수!$D39="",FALSE(),IF(발주접수!$F39="세트",COUNTIF(세트구성!$G$3:$G$302,발주접수!$D39&amp;"|"&amp;9)&gt;0,8=0))</f>
        <v>0</v>
      </c>
      <c r="K374" s="34" t="str">
        <f>IF($J374=FALSE(),"",COUNTIF($J$6:$J374,TRUE()))</f>
        <v/>
      </c>
      <c r="L374" s="34" t="str">
        <f>IF($K374="","","R"&amp;$K374)</f>
        <v/>
      </c>
      <c r="M374" s="34" t="str">
        <f>IF($J374=FALSE(),"",IF(발주접수!$F39="세트",IFERROR(INDEX(세트구성!$C$3:$C$302,MATCH(발주접수!$D39&amp;"|"&amp;9,세트구성!$G$3:$G$302,0)),""),발주접수!$D39))</f>
        <v/>
      </c>
      <c r="N374" s="34" t="str">
        <f>IF($J374=FALSE(),"",IF(발주접수!$F39="세트",발주접수!$G39*IFERROR(INDEX(세트구성!$E$3:$E$302,MATCH(발주접수!$D39&amp;"|"&amp;9,세트구성!$G$3:$G$302,0)),0),발주접수!$G39))</f>
        <v/>
      </c>
      <c r="O374" s="34" t="str">
        <f>IF($J374=FALSE(),"",발주접수!$B39)</f>
        <v/>
      </c>
      <c r="P374" s="34" t="str">
        <f>IF($J374=FALSE(),"",발주접수!$C39)</f>
        <v/>
      </c>
      <c r="Q374" s="34" t="str">
        <f>IF($J374=FALSE(),"",IF(발주접수!$F39="세트",발주접수!$E39&amp;" 전개","직접 발주"))</f>
        <v/>
      </c>
    </row>
    <row r="375" ht="15" customHeight="1" s="30">
      <c r="J375" s="50" t="b">
        <f>IF(발주접수!$D39="",FALSE(),IF(발주접수!$F39="세트",COUNTIF(세트구성!$G$3:$G$302,발주접수!$D39&amp;"|"&amp;10)&gt;0,9=0))</f>
        <v>0</v>
      </c>
      <c r="K375" s="34" t="str">
        <f>IF($J375=FALSE(),"",COUNTIF($J$6:$J375,TRUE()))</f>
        <v/>
      </c>
      <c r="L375" s="34" t="str">
        <f>IF($K375="","","R"&amp;$K375)</f>
        <v/>
      </c>
      <c r="M375" s="34" t="str">
        <f>IF($J375=FALSE(),"",IF(발주접수!$F39="세트",IFERROR(INDEX(세트구성!$C$3:$C$302,MATCH(발주접수!$D39&amp;"|"&amp;10,세트구성!$G$3:$G$302,0)),""),발주접수!$D39))</f>
        <v/>
      </c>
      <c r="N375" s="34" t="str">
        <f>IF($J375=FALSE(),"",IF(발주접수!$F39="세트",발주접수!$G39*IFERROR(INDEX(세트구성!$E$3:$E$302,MATCH(발주접수!$D39&amp;"|"&amp;10,세트구성!$G$3:$G$302,0)),0),발주접수!$G39))</f>
        <v/>
      </c>
      <c r="O375" s="34" t="str">
        <f>IF($J375=FALSE(),"",발주접수!$B39)</f>
        <v/>
      </c>
      <c r="P375" s="34" t="str">
        <f>IF($J375=FALSE(),"",발주접수!$C39)</f>
        <v/>
      </c>
      <c r="Q375" s="34" t="str">
        <f>IF($J375=FALSE(),"",IF(발주접수!$F39="세트",발주접수!$E39&amp;" 전개","직접 발주"))</f>
        <v/>
      </c>
    </row>
    <row r="376" ht="15" customHeight="1" s="30">
      <c r="J376" s="50" t="b">
        <f>IF(발주접수!$D40="",FALSE(),IF(발주접수!$F40="세트",COUNTIF(세트구성!$G$3:$G$302,발주접수!$D40&amp;"|"&amp;1)&gt;0,0=0))</f>
        <v>0</v>
      </c>
      <c r="K376" s="34" t="str">
        <f>IF($J376=FALSE(),"",COUNTIF($J$6:$J376,TRUE()))</f>
        <v/>
      </c>
      <c r="L376" s="34" t="str">
        <f>IF($K376="","","R"&amp;$K376)</f>
        <v/>
      </c>
      <c r="M376" s="34" t="str">
        <f>IF($J376=FALSE(),"",IF(발주접수!$F40="세트",IFERROR(INDEX(세트구성!$C$3:$C$302,MATCH(발주접수!$D40&amp;"|"&amp;1,세트구성!$G$3:$G$302,0)),""),발주접수!$D40))</f>
        <v/>
      </c>
      <c r="N376" s="34" t="str">
        <f>IF($J376=FALSE(),"",IF(발주접수!$F40="세트",발주접수!$G40*IFERROR(INDEX(세트구성!$E$3:$E$302,MATCH(발주접수!$D40&amp;"|"&amp;1,세트구성!$G$3:$G$302,0)),0),발주접수!$G40))</f>
        <v/>
      </c>
      <c r="O376" s="34" t="str">
        <f>IF($J376=FALSE(),"",발주접수!$B40)</f>
        <v/>
      </c>
      <c r="P376" s="34" t="str">
        <f>IF($J376=FALSE(),"",발주접수!$C40)</f>
        <v/>
      </c>
      <c r="Q376" s="34" t="str">
        <f>IF($J376=FALSE(),"",IF(발주접수!$F40="세트",발주접수!$E40&amp;" 전개","직접 발주"))</f>
        <v/>
      </c>
    </row>
    <row r="377" ht="15" customHeight="1" s="30">
      <c r="J377" s="50" t="b">
        <f>IF(발주접수!$D40="",FALSE(),IF(발주접수!$F40="세트",COUNTIF(세트구성!$G$3:$G$302,발주접수!$D40&amp;"|"&amp;2)&gt;0,1=0))</f>
        <v>0</v>
      </c>
      <c r="K377" s="34" t="str">
        <f>IF($J377=FALSE(),"",COUNTIF($J$6:$J377,TRUE()))</f>
        <v/>
      </c>
      <c r="L377" s="34" t="str">
        <f>IF($K377="","","R"&amp;$K377)</f>
        <v/>
      </c>
      <c r="M377" s="34" t="str">
        <f>IF($J377=FALSE(),"",IF(발주접수!$F40="세트",IFERROR(INDEX(세트구성!$C$3:$C$302,MATCH(발주접수!$D40&amp;"|"&amp;2,세트구성!$G$3:$G$302,0)),""),발주접수!$D40))</f>
        <v/>
      </c>
      <c r="N377" s="34" t="str">
        <f>IF($J377=FALSE(),"",IF(발주접수!$F40="세트",발주접수!$G40*IFERROR(INDEX(세트구성!$E$3:$E$302,MATCH(발주접수!$D40&amp;"|"&amp;2,세트구성!$G$3:$G$302,0)),0),발주접수!$G40))</f>
        <v/>
      </c>
      <c r="O377" s="34" t="str">
        <f>IF($J377=FALSE(),"",발주접수!$B40)</f>
        <v/>
      </c>
      <c r="P377" s="34" t="str">
        <f>IF($J377=FALSE(),"",발주접수!$C40)</f>
        <v/>
      </c>
      <c r="Q377" s="34" t="str">
        <f>IF($J377=FALSE(),"",IF(발주접수!$F40="세트",발주접수!$E40&amp;" 전개","직접 발주"))</f>
        <v/>
      </c>
    </row>
    <row r="378" ht="15" customHeight="1" s="30">
      <c r="J378" s="50" t="b">
        <f>IF(발주접수!$D40="",FALSE(),IF(발주접수!$F40="세트",COUNTIF(세트구성!$G$3:$G$302,발주접수!$D40&amp;"|"&amp;3)&gt;0,2=0))</f>
        <v>0</v>
      </c>
      <c r="K378" s="34" t="str">
        <f>IF($J378=FALSE(),"",COUNTIF($J$6:$J378,TRUE()))</f>
        <v/>
      </c>
      <c r="L378" s="34" t="str">
        <f>IF($K378="","","R"&amp;$K378)</f>
        <v/>
      </c>
      <c r="M378" s="34" t="str">
        <f>IF($J378=FALSE(),"",IF(발주접수!$F40="세트",IFERROR(INDEX(세트구성!$C$3:$C$302,MATCH(발주접수!$D40&amp;"|"&amp;3,세트구성!$G$3:$G$302,0)),""),발주접수!$D40))</f>
        <v/>
      </c>
      <c r="N378" s="34" t="str">
        <f>IF($J378=FALSE(),"",IF(발주접수!$F40="세트",발주접수!$G40*IFERROR(INDEX(세트구성!$E$3:$E$302,MATCH(발주접수!$D40&amp;"|"&amp;3,세트구성!$G$3:$G$302,0)),0),발주접수!$G40))</f>
        <v/>
      </c>
      <c r="O378" s="34" t="str">
        <f>IF($J378=FALSE(),"",발주접수!$B40)</f>
        <v/>
      </c>
      <c r="P378" s="34" t="str">
        <f>IF($J378=FALSE(),"",발주접수!$C40)</f>
        <v/>
      </c>
      <c r="Q378" s="34" t="str">
        <f>IF($J378=FALSE(),"",IF(발주접수!$F40="세트",발주접수!$E40&amp;" 전개","직접 발주"))</f>
        <v/>
      </c>
    </row>
    <row r="379" ht="15" customHeight="1" s="30">
      <c r="J379" s="50" t="b">
        <f>IF(발주접수!$D40="",FALSE(),IF(발주접수!$F40="세트",COUNTIF(세트구성!$G$3:$G$302,발주접수!$D40&amp;"|"&amp;4)&gt;0,3=0))</f>
        <v>0</v>
      </c>
      <c r="K379" s="34" t="str">
        <f>IF($J379=FALSE(),"",COUNTIF($J$6:$J379,TRUE()))</f>
        <v/>
      </c>
      <c r="L379" s="34" t="str">
        <f>IF($K379="","","R"&amp;$K379)</f>
        <v/>
      </c>
      <c r="M379" s="34" t="str">
        <f>IF($J379=FALSE(),"",IF(발주접수!$F40="세트",IFERROR(INDEX(세트구성!$C$3:$C$302,MATCH(발주접수!$D40&amp;"|"&amp;4,세트구성!$G$3:$G$302,0)),""),발주접수!$D40))</f>
        <v/>
      </c>
      <c r="N379" s="34" t="str">
        <f>IF($J379=FALSE(),"",IF(발주접수!$F40="세트",발주접수!$G40*IFERROR(INDEX(세트구성!$E$3:$E$302,MATCH(발주접수!$D40&amp;"|"&amp;4,세트구성!$G$3:$G$302,0)),0),발주접수!$G40))</f>
        <v/>
      </c>
      <c r="O379" s="34" t="str">
        <f>IF($J379=FALSE(),"",발주접수!$B40)</f>
        <v/>
      </c>
      <c r="P379" s="34" t="str">
        <f>IF($J379=FALSE(),"",발주접수!$C40)</f>
        <v/>
      </c>
      <c r="Q379" s="34" t="str">
        <f>IF($J379=FALSE(),"",IF(발주접수!$F40="세트",발주접수!$E40&amp;" 전개","직접 발주"))</f>
        <v/>
      </c>
    </row>
    <row r="380" ht="15" customHeight="1" s="30">
      <c r="J380" s="50" t="b">
        <f>IF(발주접수!$D40="",FALSE(),IF(발주접수!$F40="세트",COUNTIF(세트구성!$G$3:$G$302,발주접수!$D40&amp;"|"&amp;5)&gt;0,4=0))</f>
        <v>0</v>
      </c>
      <c r="K380" s="34" t="str">
        <f>IF($J380=FALSE(),"",COUNTIF($J$6:$J380,TRUE()))</f>
        <v/>
      </c>
      <c r="L380" s="34" t="str">
        <f>IF($K380="","","R"&amp;$K380)</f>
        <v/>
      </c>
      <c r="M380" s="34" t="str">
        <f>IF($J380=FALSE(),"",IF(발주접수!$F40="세트",IFERROR(INDEX(세트구성!$C$3:$C$302,MATCH(발주접수!$D40&amp;"|"&amp;5,세트구성!$G$3:$G$302,0)),""),발주접수!$D40))</f>
        <v/>
      </c>
      <c r="N380" s="34" t="str">
        <f>IF($J380=FALSE(),"",IF(발주접수!$F40="세트",발주접수!$G40*IFERROR(INDEX(세트구성!$E$3:$E$302,MATCH(발주접수!$D40&amp;"|"&amp;5,세트구성!$G$3:$G$302,0)),0),발주접수!$G40))</f>
        <v/>
      </c>
      <c r="O380" s="34" t="str">
        <f>IF($J380=FALSE(),"",발주접수!$B40)</f>
        <v/>
      </c>
      <c r="P380" s="34" t="str">
        <f>IF($J380=FALSE(),"",발주접수!$C40)</f>
        <v/>
      </c>
      <c r="Q380" s="34" t="str">
        <f>IF($J380=FALSE(),"",IF(발주접수!$F40="세트",발주접수!$E40&amp;" 전개","직접 발주"))</f>
        <v/>
      </c>
    </row>
    <row r="381" ht="15" customHeight="1" s="30">
      <c r="J381" s="50" t="b">
        <f>IF(발주접수!$D40="",FALSE(),IF(발주접수!$F40="세트",COUNTIF(세트구성!$G$3:$G$302,발주접수!$D40&amp;"|"&amp;6)&gt;0,5=0))</f>
        <v>0</v>
      </c>
      <c r="K381" s="34" t="str">
        <f>IF($J381=FALSE(),"",COUNTIF($J$6:$J381,TRUE()))</f>
        <v/>
      </c>
      <c r="L381" s="34" t="str">
        <f>IF($K381="","","R"&amp;$K381)</f>
        <v/>
      </c>
      <c r="M381" s="34" t="str">
        <f>IF($J381=FALSE(),"",IF(발주접수!$F40="세트",IFERROR(INDEX(세트구성!$C$3:$C$302,MATCH(발주접수!$D40&amp;"|"&amp;6,세트구성!$G$3:$G$302,0)),""),발주접수!$D40))</f>
        <v/>
      </c>
      <c r="N381" s="34" t="str">
        <f>IF($J381=FALSE(),"",IF(발주접수!$F40="세트",발주접수!$G40*IFERROR(INDEX(세트구성!$E$3:$E$302,MATCH(발주접수!$D40&amp;"|"&amp;6,세트구성!$G$3:$G$302,0)),0),발주접수!$G40))</f>
        <v/>
      </c>
      <c r="O381" s="34" t="str">
        <f>IF($J381=FALSE(),"",발주접수!$B40)</f>
        <v/>
      </c>
      <c r="P381" s="34" t="str">
        <f>IF($J381=FALSE(),"",발주접수!$C40)</f>
        <v/>
      </c>
      <c r="Q381" s="34" t="str">
        <f>IF($J381=FALSE(),"",IF(발주접수!$F40="세트",발주접수!$E40&amp;" 전개","직접 발주"))</f>
        <v/>
      </c>
    </row>
    <row r="382" ht="15" customHeight="1" s="30">
      <c r="J382" s="50" t="b">
        <f>IF(발주접수!$D40="",FALSE(),IF(발주접수!$F40="세트",COUNTIF(세트구성!$G$3:$G$302,발주접수!$D40&amp;"|"&amp;7)&gt;0,6=0))</f>
        <v>0</v>
      </c>
      <c r="K382" s="34" t="str">
        <f>IF($J382=FALSE(),"",COUNTIF($J$6:$J382,TRUE()))</f>
        <v/>
      </c>
      <c r="L382" s="34" t="str">
        <f>IF($K382="","","R"&amp;$K382)</f>
        <v/>
      </c>
      <c r="M382" s="34" t="str">
        <f>IF($J382=FALSE(),"",IF(발주접수!$F40="세트",IFERROR(INDEX(세트구성!$C$3:$C$302,MATCH(발주접수!$D40&amp;"|"&amp;7,세트구성!$G$3:$G$302,0)),""),발주접수!$D40))</f>
        <v/>
      </c>
      <c r="N382" s="34" t="str">
        <f>IF($J382=FALSE(),"",IF(발주접수!$F40="세트",발주접수!$G40*IFERROR(INDEX(세트구성!$E$3:$E$302,MATCH(발주접수!$D40&amp;"|"&amp;7,세트구성!$G$3:$G$302,0)),0),발주접수!$G40))</f>
        <v/>
      </c>
      <c r="O382" s="34" t="str">
        <f>IF($J382=FALSE(),"",발주접수!$B40)</f>
        <v/>
      </c>
      <c r="P382" s="34" t="str">
        <f>IF($J382=FALSE(),"",발주접수!$C40)</f>
        <v/>
      </c>
      <c r="Q382" s="34" t="str">
        <f>IF($J382=FALSE(),"",IF(발주접수!$F40="세트",발주접수!$E40&amp;" 전개","직접 발주"))</f>
        <v/>
      </c>
    </row>
    <row r="383" ht="15" customHeight="1" s="30">
      <c r="J383" s="50" t="b">
        <f>IF(발주접수!$D40="",FALSE(),IF(발주접수!$F40="세트",COUNTIF(세트구성!$G$3:$G$302,발주접수!$D40&amp;"|"&amp;8)&gt;0,7=0))</f>
        <v>0</v>
      </c>
      <c r="K383" s="34" t="str">
        <f>IF($J383=FALSE(),"",COUNTIF($J$6:$J383,TRUE()))</f>
        <v/>
      </c>
      <c r="L383" s="34" t="str">
        <f>IF($K383="","","R"&amp;$K383)</f>
        <v/>
      </c>
      <c r="M383" s="34" t="str">
        <f>IF($J383=FALSE(),"",IF(발주접수!$F40="세트",IFERROR(INDEX(세트구성!$C$3:$C$302,MATCH(발주접수!$D40&amp;"|"&amp;8,세트구성!$G$3:$G$302,0)),""),발주접수!$D40))</f>
        <v/>
      </c>
      <c r="N383" s="34" t="str">
        <f>IF($J383=FALSE(),"",IF(발주접수!$F40="세트",발주접수!$G40*IFERROR(INDEX(세트구성!$E$3:$E$302,MATCH(발주접수!$D40&amp;"|"&amp;8,세트구성!$G$3:$G$302,0)),0),발주접수!$G40))</f>
        <v/>
      </c>
      <c r="O383" s="34" t="str">
        <f>IF($J383=FALSE(),"",발주접수!$B40)</f>
        <v/>
      </c>
      <c r="P383" s="34" t="str">
        <f>IF($J383=FALSE(),"",발주접수!$C40)</f>
        <v/>
      </c>
      <c r="Q383" s="34" t="str">
        <f>IF($J383=FALSE(),"",IF(발주접수!$F40="세트",발주접수!$E40&amp;" 전개","직접 발주"))</f>
        <v/>
      </c>
    </row>
    <row r="384" ht="15" customHeight="1" s="30">
      <c r="J384" s="50" t="b">
        <f>IF(발주접수!$D40="",FALSE(),IF(발주접수!$F40="세트",COUNTIF(세트구성!$G$3:$G$302,발주접수!$D40&amp;"|"&amp;9)&gt;0,8=0))</f>
        <v>0</v>
      </c>
      <c r="K384" s="34" t="str">
        <f>IF($J384=FALSE(),"",COUNTIF($J$6:$J384,TRUE()))</f>
        <v/>
      </c>
      <c r="L384" s="34" t="str">
        <f>IF($K384="","","R"&amp;$K384)</f>
        <v/>
      </c>
      <c r="M384" s="34" t="str">
        <f>IF($J384=FALSE(),"",IF(발주접수!$F40="세트",IFERROR(INDEX(세트구성!$C$3:$C$302,MATCH(발주접수!$D40&amp;"|"&amp;9,세트구성!$G$3:$G$302,0)),""),발주접수!$D40))</f>
        <v/>
      </c>
      <c r="N384" s="34" t="str">
        <f>IF($J384=FALSE(),"",IF(발주접수!$F40="세트",발주접수!$G40*IFERROR(INDEX(세트구성!$E$3:$E$302,MATCH(발주접수!$D40&amp;"|"&amp;9,세트구성!$G$3:$G$302,0)),0),발주접수!$G40))</f>
        <v/>
      </c>
      <c r="O384" s="34" t="str">
        <f>IF($J384=FALSE(),"",발주접수!$B40)</f>
        <v/>
      </c>
      <c r="P384" s="34" t="str">
        <f>IF($J384=FALSE(),"",발주접수!$C40)</f>
        <v/>
      </c>
      <c r="Q384" s="34" t="str">
        <f>IF($J384=FALSE(),"",IF(발주접수!$F40="세트",발주접수!$E40&amp;" 전개","직접 발주"))</f>
        <v/>
      </c>
    </row>
    <row r="385" ht="15" customHeight="1" s="30">
      <c r="J385" s="50" t="b">
        <f>IF(발주접수!$D40="",FALSE(),IF(발주접수!$F40="세트",COUNTIF(세트구성!$G$3:$G$302,발주접수!$D40&amp;"|"&amp;10)&gt;0,9=0))</f>
        <v>0</v>
      </c>
      <c r="K385" s="34" t="str">
        <f>IF($J385=FALSE(),"",COUNTIF($J$6:$J385,TRUE()))</f>
        <v/>
      </c>
      <c r="L385" s="34" t="str">
        <f>IF($K385="","","R"&amp;$K385)</f>
        <v/>
      </c>
      <c r="M385" s="34" t="str">
        <f>IF($J385=FALSE(),"",IF(발주접수!$F40="세트",IFERROR(INDEX(세트구성!$C$3:$C$302,MATCH(발주접수!$D40&amp;"|"&amp;10,세트구성!$G$3:$G$302,0)),""),발주접수!$D40))</f>
        <v/>
      </c>
      <c r="N385" s="34" t="str">
        <f>IF($J385=FALSE(),"",IF(발주접수!$F40="세트",발주접수!$G40*IFERROR(INDEX(세트구성!$E$3:$E$302,MATCH(발주접수!$D40&amp;"|"&amp;10,세트구성!$G$3:$G$302,0)),0),발주접수!$G40))</f>
        <v/>
      </c>
      <c r="O385" s="34" t="str">
        <f>IF($J385=FALSE(),"",발주접수!$B40)</f>
        <v/>
      </c>
      <c r="P385" s="34" t="str">
        <f>IF($J385=FALSE(),"",발주접수!$C40)</f>
        <v/>
      </c>
      <c r="Q385" s="34" t="str">
        <f>IF($J385=FALSE(),"",IF(발주접수!$F40="세트",발주접수!$E40&amp;" 전개","직접 발주"))</f>
        <v/>
      </c>
    </row>
    <row r="386" ht="15" customHeight="1" s="30">
      <c r="J386" s="50" t="b">
        <f>IF(발주접수!$D41="",FALSE(),IF(발주접수!$F41="세트",COUNTIF(세트구성!$G$3:$G$302,발주접수!$D41&amp;"|"&amp;1)&gt;0,0=0))</f>
        <v>0</v>
      </c>
      <c r="K386" s="34" t="str">
        <f>IF($J386=FALSE(),"",COUNTIF($J$6:$J386,TRUE()))</f>
        <v/>
      </c>
      <c r="L386" s="34" t="str">
        <f>IF($K386="","","R"&amp;$K386)</f>
        <v/>
      </c>
      <c r="M386" s="34" t="str">
        <f>IF($J386=FALSE(),"",IF(발주접수!$F41="세트",IFERROR(INDEX(세트구성!$C$3:$C$302,MATCH(발주접수!$D41&amp;"|"&amp;1,세트구성!$G$3:$G$302,0)),""),발주접수!$D41))</f>
        <v/>
      </c>
      <c r="N386" s="34" t="str">
        <f>IF($J386=FALSE(),"",IF(발주접수!$F41="세트",발주접수!$G41*IFERROR(INDEX(세트구성!$E$3:$E$302,MATCH(발주접수!$D41&amp;"|"&amp;1,세트구성!$G$3:$G$302,0)),0),발주접수!$G41))</f>
        <v/>
      </c>
      <c r="O386" s="34" t="str">
        <f>IF($J386=FALSE(),"",발주접수!$B41)</f>
        <v/>
      </c>
      <c r="P386" s="34" t="str">
        <f>IF($J386=FALSE(),"",발주접수!$C41)</f>
        <v/>
      </c>
      <c r="Q386" s="34" t="str">
        <f>IF($J386=FALSE(),"",IF(발주접수!$F41="세트",발주접수!$E41&amp;" 전개","직접 발주"))</f>
        <v/>
      </c>
    </row>
    <row r="387" ht="15" customHeight="1" s="30">
      <c r="J387" s="50" t="b">
        <f>IF(발주접수!$D41="",FALSE(),IF(발주접수!$F41="세트",COUNTIF(세트구성!$G$3:$G$302,발주접수!$D41&amp;"|"&amp;2)&gt;0,1=0))</f>
        <v>0</v>
      </c>
      <c r="K387" s="34" t="str">
        <f>IF($J387=FALSE(),"",COUNTIF($J$6:$J387,TRUE()))</f>
        <v/>
      </c>
      <c r="L387" s="34" t="str">
        <f>IF($K387="","","R"&amp;$K387)</f>
        <v/>
      </c>
      <c r="M387" s="34" t="str">
        <f>IF($J387=FALSE(),"",IF(발주접수!$F41="세트",IFERROR(INDEX(세트구성!$C$3:$C$302,MATCH(발주접수!$D41&amp;"|"&amp;2,세트구성!$G$3:$G$302,0)),""),발주접수!$D41))</f>
        <v/>
      </c>
      <c r="N387" s="34" t="str">
        <f>IF($J387=FALSE(),"",IF(발주접수!$F41="세트",발주접수!$G41*IFERROR(INDEX(세트구성!$E$3:$E$302,MATCH(발주접수!$D41&amp;"|"&amp;2,세트구성!$G$3:$G$302,0)),0),발주접수!$G41))</f>
        <v/>
      </c>
      <c r="O387" s="34" t="str">
        <f>IF($J387=FALSE(),"",발주접수!$B41)</f>
        <v/>
      </c>
      <c r="P387" s="34" t="str">
        <f>IF($J387=FALSE(),"",발주접수!$C41)</f>
        <v/>
      </c>
      <c r="Q387" s="34" t="str">
        <f>IF($J387=FALSE(),"",IF(발주접수!$F41="세트",발주접수!$E41&amp;" 전개","직접 발주"))</f>
        <v/>
      </c>
    </row>
    <row r="388" ht="15" customHeight="1" s="30">
      <c r="J388" s="50" t="b">
        <f>IF(발주접수!$D41="",FALSE(),IF(발주접수!$F41="세트",COUNTIF(세트구성!$G$3:$G$302,발주접수!$D41&amp;"|"&amp;3)&gt;0,2=0))</f>
        <v>0</v>
      </c>
      <c r="K388" s="34" t="str">
        <f>IF($J388=FALSE(),"",COUNTIF($J$6:$J388,TRUE()))</f>
        <v/>
      </c>
      <c r="L388" s="34" t="str">
        <f>IF($K388="","","R"&amp;$K388)</f>
        <v/>
      </c>
      <c r="M388" s="34" t="str">
        <f>IF($J388=FALSE(),"",IF(발주접수!$F41="세트",IFERROR(INDEX(세트구성!$C$3:$C$302,MATCH(발주접수!$D41&amp;"|"&amp;3,세트구성!$G$3:$G$302,0)),""),발주접수!$D41))</f>
        <v/>
      </c>
      <c r="N388" s="34" t="str">
        <f>IF($J388=FALSE(),"",IF(발주접수!$F41="세트",발주접수!$G41*IFERROR(INDEX(세트구성!$E$3:$E$302,MATCH(발주접수!$D41&amp;"|"&amp;3,세트구성!$G$3:$G$302,0)),0),발주접수!$G41))</f>
        <v/>
      </c>
      <c r="O388" s="34" t="str">
        <f>IF($J388=FALSE(),"",발주접수!$B41)</f>
        <v/>
      </c>
      <c r="P388" s="34" t="str">
        <f>IF($J388=FALSE(),"",발주접수!$C41)</f>
        <v/>
      </c>
      <c r="Q388" s="34" t="str">
        <f>IF($J388=FALSE(),"",IF(발주접수!$F41="세트",발주접수!$E41&amp;" 전개","직접 발주"))</f>
        <v/>
      </c>
    </row>
    <row r="389" ht="15" customHeight="1" s="30">
      <c r="J389" s="50" t="b">
        <f>IF(발주접수!$D41="",FALSE(),IF(발주접수!$F41="세트",COUNTIF(세트구성!$G$3:$G$302,발주접수!$D41&amp;"|"&amp;4)&gt;0,3=0))</f>
        <v>0</v>
      </c>
      <c r="K389" s="34" t="str">
        <f>IF($J389=FALSE(),"",COUNTIF($J$6:$J389,TRUE()))</f>
        <v/>
      </c>
      <c r="L389" s="34" t="str">
        <f>IF($K389="","","R"&amp;$K389)</f>
        <v/>
      </c>
      <c r="M389" s="34" t="str">
        <f>IF($J389=FALSE(),"",IF(발주접수!$F41="세트",IFERROR(INDEX(세트구성!$C$3:$C$302,MATCH(발주접수!$D41&amp;"|"&amp;4,세트구성!$G$3:$G$302,0)),""),발주접수!$D41))</f>
        <v/>
      </c>
      <c r="N389" s="34" t="str">
        <f>IF($J389=FALSE(),"",IF(발주접수!$F41="세트",발주접수!$G41*IFERROR(INDEX(세트구성!$E$3:$E$302,MATCH(발주접수!$D41&amp;"|"&amp;4,세트구성!$G$3:$G$302,0)),0),발주접수!$G41))</f>
        <v/>
      </c>
      <c r="O389" s="34" t="str">
        <f>IF($J389=FALSE(),"",발주접수!$B41)</f>
        <v/>
      </c>
      <c r="P389" s="34" t="str">
        <f>IF($J389=FALSE(),"",발주접수!$C41)</f>
        <v/>
      </c>
      <c r="Q389" s="34" t="str">
        <f>IF($J389=FALSE(),"",IF(발주접수!$F41="세트",발주접수!$E41&amp;" 전개","직접 발주"))</f>
        <v/>
      </c>
    </row>
    <row r="390" ht="15" customHeight="1" s="30">
      <c r="J390" s="50" t="b">
        <f>IF(발주접수!$D41="",FALSE(),IF(발주접수!$F41="세트",COUNTIF(세트구성!$G$3:$G$302,발주접수!$D41&amp;"|"&amp;5)&gt;0,4=0))</f>
        <v>0</v>
      </c>
      <c r="K390" s="34" t="str">
        <f>IF($J390=FALSE(),"",COUNTIF($J$6:$J390,TRUE()))</f>
        <v/>
      </c>
      <c r="L390" s="34" t="str">
        <f>IF($K390="","","R"&amp;$K390)</f>
        <v/>
      </c>
      <c r="M390" s="34" t="str">
        <f>IF($J390=FALSE(),"",IF(발주접수!$F41="세트",IFERROR(INDEX(세트구성!$C$3:$C$302,MATCH(발주접수!$D41&amp;"|"&amp;5,세트구성!$G$3:$G$302,0)),""),발주접수!$D41))</f>
        <v/>
      </c>
      <c r="N390" s="34" t="str">
        <f>IF($J390=FALSE(),"",IF(발주접수!$F41="세트",발주접수!$G41*IFERROR(INDEX(세트구성!$E$3:$E$302,MATCH(발주접수!$D41&amp;"|"&amp;5,세트구성!$G$3:$G$302,0)),0),발주접수!$G41))</f>
        <v/>
      </c>
      <c r="O390" s="34" t="str">
        <f>IF($J390=FALSE(),"",발주접수!$B41)</f>
        <v/>
      </c>
      <c r="P390" s="34" t="str">
        <f>IF($J390=FALSE(),"",발주접수!$C41)</f>
        <v/>
      </c>
      <c r="Q390" s="34" t="str">
        <f>IF($J390=FALSE(),"",IF(발주접수!$F41="세트",발주접수!$E41&amp;" 전개","직접 발주"))</f>
        <v/>
      </c>
    </row>
    <row r="391" ht="15" customHeight="1" s="30">
      <c r="J391" s="50" t="b">
        <f>IF(발주접수!$D41="",FALSE(),IF(발주접수!$F41="세트",COUNTIF(세트구성!$G$3:$G$302,발주접수!$D41&amp;"|"&amp;6)&gt;0,5=0))</f>
        <v>0</v>
      </c>
      <c r="K391" s="34" t="str">
        <f>IF($J391=FALSE(),"",COUNTIF($J$6:$J391,TRUE()))</f>
        <v/>
      </c>
      <c r="L391" s="34" t="str">
        <f>IF($K391="","","R"&amp;$K391)</f>
        <v/>
      </c>
      <c r="M391" s="34" t="str">
        <f>IF($J391=FALSE(),"",IF(발주접수!$F41="세트",IFERROR(INDEX(세트구성!$C$3:$C$302,MATCH(발주접수!$D41&amp;"|"&amp;6,세트구성!$G$3:$G$302,0)),""),발주접수!$D41))</f>
        <v/>
      </c>
      <c r="N391" s="34" t="str">
        <f>IF($J391=FALSE(),"",IF(발주접수!$F41="세트",발주접수!$G41*IFERROR(INDEX(세트구성!$E$3:$E$302,MATCH(발주접수!$D41&amp;"|"&amp;6,세트구성!$G$3:$G$302,0)),0),발주접수!$G41))</f>
        <v/>
      </c>
      <c r="O391" s="34" t="str">
        <f>IF($J391=FALSE(),"",발주접수!$B41)</f>
        <v/>
      </c>
      <c r="P391" s="34" t="str">
        <f>IF($J391=FALSE(),"",발주접수!$C41)</f>
        <v/>
      </c>
      <c r="Q391" s="34" t="str">
        <f>IF($J391=FALSE(),"",IF(발주접수!$F41="세트",발주접수!$E41&amp;" 전개","직접 발주"))</f>
        <v/>
      </c>
    </row>
    <row r="392" ht="15" customHeight="1" s="30">
      <c r="J392" s="50" t="b">
        <f>IF(발주접수!$D41="",FALSE(),IF(발주접수!$F41="세트",COUNTIF(세트구성!$G$3:$G$302,발주접수!$D41&amp;"|"&amp;7)&gt;0,6=0))</f>
        <v>0</v>
      </c>
      <c r="K392" s="34" t="str">
        <f>IF($J392=FALSE(),"",COUNTIF($J$6:$J392,TRUE()))</f>
        <v/>
      </c>
      <c r="L392" s="34" t="str">
        <f>IF($K392="","","R"&amp;$K392)</f>
        <v/>
      </c>
      <c r="M392" s="34" t="str">
        <f>IF($J392=FALSE(),"",IF(발주접수!$F41="세트",IFERROR(INDEX(세트구성!$C$3:$C$302,MATCH(발주접수!$D41&amp;"|"&amp;7,세트구성!$G$3:$G$302,0)),""),발주접수!$D41))</f>
        <v/>
      </c>
      <c r="N392" s="34" t="str">
        <f>IF($J392=FALSE(),"",IF(발주접수!$F41="세트",발주접수!$G41*IFERROR(INDEX(세트구성!$E$3:$E$302,MATCH(발주접수!$D41&amp;"|"&amp;7,세트구성!$G$3:$G$302,0)),0),발주접수!$G41))</f>
        <v/>
      </c>
      <c r="O392" s="34" t="str">
        <f>IF($J392=FALSE(),"",발주접수!$B41)</f>
        <v/>
      </c>
      <c r="P392" s="34" t="str">
        <f>IF($J392=FALSE(),"",발주접수!$C41)</f>
        <v/>
      </c>
      <c r="Q392" s="34" t="str">
        <f>IF($J392=FALSE(),"",IF(발주접수!$F41="세트",발주접수!$E41&amp;" 전개","직접 발주"))</f>
        <v/>
      </c>
    </row>
    <row r="393" ht="15" customHeight="1" s="30">
      <c r="J393" s="50" t="b">
        <f>IF(발주접수!$D41="",FALSE(),IF(발주접수!$F41="세트",COUNTIF(세트구성!$G$3:$G$302,발주접수!$D41&amp;"|"&amp;8)&gt;0,7=0))</f>
        <v>0</v>
      </c>
      <c r="K393" s="34" t="str">
        <f>IF($J393=FALSE(),"",COUNTIF($J$6:$J393,TRUE()))</f>
        <v/>
      </c>
      <c r="L393" s="34" t="str">
        <f>IF($K393="","","R"&amp;$K393)</f>
        <v/>
      </c>
      <c r="M393" s="34" t="str">
        <f>IF($J393=FALSE(),"",IF(발주접수!$F41="세트",IFERROR(INDEX(세트구성!$C$3:$C$302,MATCH(발주접수!$D41&amp;"|"&amp;8,세트구성!$G$3:$G$302,0)),""),발주접수!$D41))</f>
        <v/>
      </c>
      <c r="N393" s="34" t="str">
        <f>IF($J393=FALSE(),"",IF(발주접수!$F41="세트",발주접수!$G41*IFERROR(INDEX(세트구성!$E$3:$E$302,MATCH(발주접수!$D41&amp;"|"&amp;8,세트구성!$G$3:$G$302,0)),0),발주접수!$G41))</f>
        <v/>
      </c>
      <c r="O393" s="34" t="str">
        <f>IF($J393=FALSE(),"",발주접수!$B41)</f>
        <v/>
      </c>
      <c r="P393" s="34" t="str">
        <f>IF($J393=FALSE(),"",발주접수!$C41)</f>
        <v/>
      </c>
      <c r="Q393" s="34" t="str">
        <f>IF($J393=FALSE(),"",IF(발주접수!$F41="세트",발주접수!$E41&amp;" 전개","직접 발주"))</f>
        <v/>
      </c>
    </row>
    <row r="394" ht="15" customHeight="1" s="30">
      <c r="J394" s="50" t="b">
        <f>IF(발주접수!$D41="",FALSE(),IF(발주접수!$F41="세트",COUNTIF(세트구성!$G$3:$G$302,발주접수!$D41&amp;"|"&amp;9)&gt;0,8=0))</f>
        <v>0</v>
      </c>
      <c r="K394" s="34" t="str">
        <f>IF($J394=FALSE(),"",COUNTIF($J$6:$J394,TRUE()))</f>
        <v/>
      </c>
      <c r="L394" s="34" t="str">
        <f>IF($K394="","","R"&amp;$K394)</f>
        <v/>
      </c>
      <c r="M394" s="34" t="str">
        <f>IF($J394=FALSE(),"",IF(발주접수!$F41="세트",IFERROR(INDEX(세트구성!$C$3:$C$302,MATCH(발주접수!$D41&amp;"|"&amp;9,세트구성!$G$3:$G$302,0)),""),발주접수!$D41))</f>
        <v/>
      </c>
      <c r="N394" s="34" t="str">
        <f>IF($J394=FALSE(),"",IF(발주접수!$F41="세트",발주접수!$G41*IFERROR(INDEX(세트구성!$E$3:$E$302,MATCH(발주접수!$D41&amp;"|"&amp;9,세트구성!$G$3:$G$302,0)),0),발주접수!$G41))</f>
        <v/>
      </c>
      <c r="O394" s="34" t="str">
        <f>IF($J394=FALSE(),"",발주접수!$B41)</f>
        <v/>
      </c>
      <c r="P394" s="34" t="str">
        <f>IF($J394=FALSE(),"",발주접수!$C41)</f>
        <v/>
      </c>
      <c r="Q394" s="34" t="str">
        <f>IF($J394=FALSE(),"",IF(발주접수!$F41="세트",발주접수!$E41&amp;" 전개","직접 발주"))</f>
        <v/>
      </c>
    </row>
    <row r="395" ht="15" customHeight="1" s="30">
      <c r="J395" s="50" t="b">
        <f>IF(발주접수!$D41="",FALSE(),IF(발주접수!$F41="세트",COUNTIF(세트구성!$G$3:$G$302,발주접수!$D41&amp;"|"&amp;10)&gt;0,9=0))</f>
        <v>0</v>
      </c>
      <c r="K395" s="34" t="str">
        <f>IF($J395=FALSE(),"",COUNTIF($J$6:$J395,TRUE()))</f>
        <v/>
      </c>
      <c r="L395" s="34" t="str">
        <f>IF($K395="","","R"&amp;$K395)</f>
        <v/>
      </c>
      <c r="M395" s="34" t="str">
        <f>IF($J395=FALSE(),"",IF(발주접수!$F41="세트",IFERROR(INDEX(세트구성!$C$3:$C$302,MATCH(발주접수!$D41&amp;"|"&amp;10,세트구성!$G$3:$G$302,0)),""),발주접수!$D41))</f>
        <v/>
      </c>
      <c r="N395" s="34" t="str">
        <f>IF($J395=FALSE(),"",IF(발주접수!$F41="세트",발주접수!$G41*IFERROR(INDEX(세트구성!$E$3:$E$302,MATCH(발주접수!$D41&amp;"|"&amp;10,세트구성!$G$3:$G$302,0)),0),발주접수!$G41))</f>
        <v/>
      </c>
      <c r="O395" s="34" t="str">
        <f>IF($J395=FALSE(),"",발주접수!$B41)</f>
        <v/>
      </c>
      <c r="P395" s="34" t="str">
        <f>IF($J395=FALSE(),"",발주접수!$C41)</f>
        <v/>
      </c>
      <c r="Q395" s="34" t="str">
        <f>IF($J395=FALSE(),"",IF(발주접수!$F41="세트",발주접수!$E41&amp;" 전개","직접 발주"))</f>
        <v/>
      </c>
    </row>
    <row r="396" ht="15" customHeight="1" s="30">
      <c r="J396" s="50" t="b">
        <f>IF(발주접수!$D42="",FALSE(),IF(발주접수!$F42="세트",COUNTIF(세트구성!$G$3:$G$302,발주접수!$D42&amp;"|"&amp;1)&gt;0,0=0))</f>
        <v>0</v>
      </c>
      <c r="K396" s="34" t="str">
        <f>IF($J396=FALSE(),"",COUNTIF($J$6:$J396,TRUE()))</f>
        <v/>
      </c>
      <c r="L396" s="34" t="str">
        <f>IF($K396="","","R"&amp;$K396)</f>
        <v/>
      </c>
      <c r="M396" s="34" t="str">
        <f>IF($J396=FALSE(),"",IF(발주접수!$F42="세트",IFERROR(INDEX(세트구성!$C$3:$C$302,MATCH(발주접수!$D42&amp;"|"&amp;1,세트구성!$G$3:$G$302,0)),""),발주접수!$D42))</f>
        <v/>
      </c>
      <c r="N396" s="34" t="str">
        <f>IF($J396=FALSE(),"",IF(발주접수!$F42="세트",발주접수!$G42*IFERROR(INDEX(세트구성!$E$3:$E$302,MATCH(발주접수!$D42&amp;"|"&amp;1,세트구성!$G$3:$G$302,0)),0),발주접수!$G42))</f>
        <v/>
      </c>
      <c r="O396" s="34" t="str">
        <f>IF($J396=FALSE(),"",발주접수!$B42)</f>
        <v/>
      </c>
      <c r="P396" s="34" t="str">
        <f>IF($J396=FALSE(),"",발주접수!$C42)</f>
        <v/>
      </c>
      <c r="Q396" s="34" t="str">
        <f>IF($J396=FALSE(),"",IF(발주접수!$F42="세트",발주접수!$E42&amp;" 전개","직접 발주"))</f>
        <v/>
      </c>
    </row>
    <row r="397" ht="15" customHeight="1" s="30">
      <c r="J397" s="50" t="b">
        <f>IF(발주접수!$D42="",FALSE(),IF(발주접수!$F42="세트",COUNTIF(세트구성!$G$3:$G$302,발주접수!$D42&amp;"|"&amp;2)&gt;0,1=0))</f>
        <v>0</v>
      </c>
      <c r="K397" s="34" t="str">
        <f>IF($J397=FALSE(),"",COUNTIF($J$6:$J397,TRUE()))</f>
        <v/>
      </c>
      <c r="L397" s="34" t="str">
        <f>IF($K397="","","R"&amp;$K397)</f>
        <v/>
      </c>
      <c r="M397" s="34" t="str">
        <f>IF($J397=FALSE(),"",IF(발주접수!$F42="세트",IFERROR(INDEX(세트구성!$C$3:$C$302,MATCH(발주접수!$D42&amp;"|"&amp;2,세트구성!$G$3:$G$302,0)),""),발주접수!$D42))</f>
        <v/>
      </c>
      <c r="N397" s="34" t="str">
        <f>IF($J397=FALSE(),"",IF(발주접수!$F42="세트",발주접수!$G42*IFERROR(INDEX(세트구성!$E$3:$E$302,MATCH(발주접수!$D42&amp;"|"&amp;2,세트구성!$G$3:$G$302,0)),0),발주접수!$G42))</f>
        <v/>
      </c>
      <c r="O397" s="34" t="str">
        <f>IF($J397=FALSE(),"",발주접수!$B42)</f>
        <v/>
      </c>
      <c r="P397" s="34" t="str">
        <f>IF($J397=FALSE(),"",발주접수!$C42)</f>
        <v/>
      </c>
      <c r="Q397" s="34" t="str">
        <f>IF($J397=FALSE(),"",IF(발주접수!$F42="세트",발주접수!$E42&amp;" 전개","직접 발주"))</f>
        <v/>
      </c>
    </row>
    <row r="398" ht="15" customHeight="1" s="30">
      <c r="J398" s="50" t="b">
        <f>IF(발주접수!$D42="",FALSE(),IF(발주접수!$F42="세트",COUNTIF(세트구성!$G$3:$G$302,발주접수!$D42&amp;"|"&amp;3)&gt;0,2=0))</f>
        <v>0</v>
      </c>
      <c r="K398" s="34" t="str">
        <f>IF($J398=FALSE(),"",COUNTIF($J$6:$J398,TRUE()))</f>
        <v/>
      </c>
      <c r="L398" s="34" t="str">
        <f>IF($K398="","","R"&amp;$K398)</f>
        <v/>
      </c>
      <c r="M398" s="34" t="str">
        <f>IF($J398=FALSE(),"",IF(발주접수!$F42="세트",IFERROR(INDEX(세트구성!$C$3:$C$302,MATCH(발주접수!$D42&amp;"|"&amp;3,세트구성!$G$3:$G$302,0)),""),발주접수!$D42))</f>
        <v/>
      </c>
      <c r="N398" s="34" t="str">
        <f>IF($J398=FALSE(),"",IF(발주접수!$F42="세트",발주접수!$G42*IFERROR(INDEX(세트구성!$E$3:$E$302,MATCH(발주접수!$D42&amp;"|"&amp;3,세트구성!$G$3:$G$302,0)),0),발주접수!$G42))</f>
        <v/>
      </c>
      <c r="O398" s="34" t="str">
        <f>IF($J398=FALSE(),"",발주접수!$B42)</f>
        <v/>
      </c>
      <c r="P398" s="34" t="str">
        <f>IF($J398=FALSE(),"",발주접수!$C42)</f>
        <v/>
      </c>
      <c r="Q398" s="34" t="str">
        <f>IF($J398=FALSE(),"",IF(발주접수!$F42="세트",발주접수!$E42&amp;" 전개","직접 발주"))</f>
        <v/>
      </c>
    </row>
    <row r="399" ht="15" customHeight="1" s="30">
      <c r="J399" s="50" t="b">
        <f>IF(발주접수!$D42="",FALSE(),IF(발주접수!$F42="세트",COUNTIF(세트구성!$G$3:$G$302,발주접수!$D42&amp;"|"&amp;4)&gt;0,3=0))</f>
        <v>0</v>
      </c>
      <c r="K399" s="34" t="str">
        <f>IF($J399=FALSE(),"",COUNTIF($J$6:$J399,TRUE()))</f>
        <v/>
      </c>
      <c r="L399" s="34" t="str">
        <f>IF($K399="","","R"&amp;$K399)</f>
        <v/>
      </c>
      <c r="M399" s="34" t="str">
        <f>IF($J399=FALSE(),"",IF(발주접수!$F42="세트",IFERROR(INDEX(세트구성!$C$3:$C$302,MATCH(발주접수!$D42&amp;"|"&amp;4,세트구성!$G$3:$G$302,0)),""),발주접수!$D42))</f>
        <v/>
      </c>
      <c r="N399" s="34" t="str">
        <f>IF($J399=FALSE(),"",IF(발주접수!$F42="세트",발주접수!$G42*IFERROR(INDEX(세트구성!$E$3:$E$302,MATCH(발주접수!$D42&amp;"|"&amp;4,세트구성!$G$3:$G$302,0)),0),발주접수!$G42))</f>
        <v/>
      </c>
      <c r="O399" s="34" t="str">
        <f>IF($J399=FALSE(),"",발주접수!$B42)</f>
        <v/>
      </c>
      <c r="P399" s="34" t="str">
        <f>IF($J399=FALSE(),"",발주접수!$C42)</f>
        <v/>
      </c>
      <c r="Q399" s="34" t="str">
        <f>IF($J399=FALSE(),"",IF(발주접수!$F42="세트",발주접수!$E42&amp;" 전개","직접 발주"))</f>
        <v/>
      </c>
    </row>
    <row r="400" ht="15" customHeight="1" s="30">
      <c r="J400" s="50" t="b">
        <f>IF(발주접수!$D42="",FALSE(),IF(발주접수!$F42="세트",COUNTIF(세트구성!$G$3:$G$302,발주접수!$D42&amp;"|"&amp;5)&gt;0,4=0))</f>
        <v>0</v>
      </c>
      <c r="K400" s="34" t="str">
        <f>IF($J400=FALSE(),"",COUNTIF($J$6:$J400,TRUE()))</f>
        <v/>
      </c>
      <c r="L400" s="34" t="str">
        <f>IF($K400="","","R"&amp;$K400)</f>
        <v/>
      </c>
      <c r="M400" s="34" t="str">
        <f>IF($J400=FALSE(),"",IF(발주접수!$F42="세트",IFERROR(INDEX(세트구성!$C$3:$C$302,MATCH(발주접수!$D42&amp;"|"&amp;5,세트구성!$G$3:$G$302,0)),""),발주접수!$D42))</f>
        <v/>
      </c>
      <c r="N400" s="34" t="str">
        <f>IF($J400=FALSE(),"",IF(발주접수!$F42="세트",발주접수!$G42*IFERROR(INDEX(세트구성!$E$3:$E$302,MATCH(발주접수!$D42&amp;"|"&amp;5,세트구성!$G$3:$G$302,0)),0),발주접수!$G42))</f>
        <v/>
      </c>
      <c r="O400" s="34" t="str">
        <f>IF($J400=FALSE(),"",발주접수!$B42)</f>
        <v/>
      </c>
      <c r="P400" s="34" t="str">
        <f>IF($J400=FALSE(),"",발주접수!$C42)</f>
        <v/>
      </c>
      <c r="Q400" s="34" t="str">
        <f>IF($J400=FALSE(),"",IF(발주접수!$F42="세트",발주접수!$E42&amp;" 전개","직접 발주"))</f>
        <v/>
      </c>
    </row>
    <row r="401" ht="15" customHeight="1" s="30">
      <c r="J401" s="50" t="b">
        <f>IF(발주접수!$D42="",FALSE(),IF(발주접수!$F42="세트",COUNTIF(세트구성!$G$3:$G$302,발주접수!$D42&amp;"|"&amp;6)&gt;0,5=0))</f>
        <v>0</v>
      </c>
      <c r="K401" s="34" t="str">
        <f>IF($J401=FALSE(),"",COUNTIF($J$6:$J401,TRUE()))</f>
        <v/>
      </c>
      <c r="L401" s="34" t="str">
        <f>IF($K401="","","R"&amp;$K401)</f>
        <v/>
      </c>
      <c r="M401" s="34" t="str">
        <f>IF($J401=FALSE(),"",IF(발주접수!$F42="세트",IFERROR(INDEX(세트구성!$C$3:$C$302,MATCH(발주접수!$D42&amp;"|"&amp;6,세트구성!$G$3:$G$302,0)),""),발주접수!$D42))</f>
        <v/>
      </c>
      <c r="N401" s="34" t="str">
        <f>IF($J401=FALSE(),"",IF(발주접수!$F42="세트",발주접수!$G42*IFERROR(INDEX(세트구성!$E$3:$E$302,MATCH(발주접수!$D42&amp;"|"&amp;6,세트구성!$G$3:$G$302,0)),0),발주접수!$G42))</f>
        <v/>
      </c>
      <c r="O401" s="34" t="str">
        <f>IF($J401=FALSE(),"",발주접수!$B42)</f>
        <v/>
      </c>
      <c r="P401" s="34" t="str">
        <f>IF($J401=FALSE(),"",발주접수!$C42)</f>
        <v/>
      </c>
      <c r="Q401" s="34" t="str">
        <f>IF($J401=FALSE(),"",IF(발주접수!$F42="세트",발주접수!$E42&amp;" 전개","직접 발주"))</f>
        <v/>
      </c>
    </row>
    <row r="402" ht="15" customHeight="1" s="30">
      <c r="J402" s="50" t="b">
        <f>IF(발주접수!$D42="",FALSE(),IF(발주접수!$F42="세트",COUNTIF(세트구성!$G$3:$G$302,발주접수!$D42&amp;"|"&amp;7)&gt;0,6=0))</f>
        <v>0</v>
      </c>
      <c r="K402" s="34" t="str">
        <f>IF($J402=FALSE(),"",COUNTIF($J$6:$J402,TRUE()))</f>
        <v/>
      </c>
      <c r="L402" s="34" t="str">
        <f>IF($K402="","","R"&amp;$K402)</f>
        <v/>
      </c>
      <c r="M402" s="34" t="str">
        <f>IF($J402=FALSE(),"",IF(발주접수!$F42="세트",IFERROR(INDEX(세트구성!$C$3:$C$302,MATCH(발주접수!$D42&amp;"|"&amp;7,세트구성!$G$3:$G$302,0)),""),발주접수!$D42))</f>
        <v/>
      </c>
      <c r="N402" s="34" t="str">
        <f>IF($J402=FALSE(),"",IF(발주접수!$F42="세트",발주접수!$G42*IFERROR(INDEX(세트구성!$E$3:$E$302,MATCH(발주접수!$D42&amp;"|"&amp;7,세트구성!$G$3:$G$302,0)),0),발주접수!$G42))</f>
        <v/>
      </c>
      <c r="O402" s="34" t="str">
        <f>IF($J402=FALSE(),"",발주접수!$B42)</f>
        <v/>
      </c>
      <c r="P402" s="34" t="str">
        <f>IF($J402=FALSE(),"",발주접수!$C42)</f>
        <v/>
      </c>
      <c r="Q402" s="34" t="str">
        <f>IF($J402=FALSE(),"",IF(발주접수!$F42="세트",발주접수!$E42&amp;" 전개","직접 발주"))</f>
        <v/>
      </c>
    </row>
    <row r="403" ht="15" customHeight="1" s="30">
      <c r="J403" s="50" t="b">
        <f>IF(발주접수!$D42="",FALSE(),IF(발주접수!$F42="세트",COUNTIF(세트구성!$G$3:$G$302,발주접수!$D42&amp;"|"&amp;8)&gt;0,7=0))</f>
        <v>0</v>
      </c>
      <c r="K403" s="34" t="str">
        <f>IF($J403=FALSE(),"",COUNTIF($J$6:$J403,TRUE()))</f>
        <v/>
      </c>
      <c r="L403" s="34" t="str">
        <f>IF($K403="","","R"&amp;$K403)</f>
        <v/>
      </c>
      <c r="M403" s="34" t="str">
        <f>IF($J403=FALSE(),"",IF(발주접수!$F42="세트",IFERROR(INDEX(세트구성!$C$3:$C$302,MATCH(발주접수!$D42&amp;"|"&amp;8,세트구성!$G$3:$G$302,0)),""),발주접수!$D42))</f>
        <v/>
      </c>
      <c r="N403" s="34" t="str">
        <f>IF($J403=FALSE(),"",IF(발주접수!$F42="세트",발주접수!$G42*IFERROR(INDEX(세트구성!$E$3:$E$302,MATCH(발주접수!$D42&amp;"|"&amp;8,세트구성!$G$3:$G$302,0)),0),발주접수!$G42))</f>
        <v/>
      </c>
      <c r="O403" s="34" t="str">
        <f>IF($J403=FALSE(),"",발주접수!$B42)</f>
        <v/>
      </c>
      <c r="P403" s="34" t="str">
        <f>IF($J403=FALSE(),"",발주접수!$C42)</f>
        <v/>
      </c>
      <c r="Q403" s="34" t="str">
        <f>IF($J403=FALSE(),"",IF(발주접수!$F42="세트",발주접수!$E42&amp;" 전개","직접 발주"))</f>
        <v/>
      </c>
    </row>
    <row r="404" ht="15" customHeight="1" s="30">
      <c r="J404" s="50" t="b">
        <f>IF(발주접수!$D42="",FALSE(),IF(발주접수!$F42="세트",COUNTIF(세트구성!$G$3:$G$302,발주접수!$D42&amp;"|"&amp;9)&gt;0,8=0))</f>
        <v>0</v>
      </c>
      <c r="K404" s="34" t="str">
        <f>IF($J404=FALSE(),"",COUNTIF($J$6:$J404,TRUE()))</f>
        <v/>
      </c>
      <c r="L404" s="34" t="str">
        <f>IF($K404="","","R"&amp;$K404)</f>
        <v/>
      </c>
      <c r="M404" s="34" t="str">
        <f>IF($J404=FALSE(),"",IF(발주접수!$F42="세트",IFERROR(INDEX(세트구성!$C$3:$C$302,MATCH(발주접수!$D42&amp;"|"&amp;9,세트구성!$G$3:$G$302,0)),""),발주접수!$D42))</f>
        <v/>
      </c>
      <c r="N404" s="34" t="str">
        <f>IF($J404=FALSE(),"",IF(발주접수!$F42="세트",발주접수!$G42*IFERROR(INDEX(세트구성!$E$3:$E$302,MATCH(발주접수!$D42&amp;"|"&amp;9,세트구성!$G$3:$G$302,0)),0),발주접수!$G42))</f>
        <v/>
      </c>
      <c r="O404" s="34" t="str">
        <f>IF($J404=FALSE(),"",발주접수!$B42)</f>
        <v/>
      </c>
      <c r="P404" s="34" t="str">
        <f>IF($J404=FALSE(),"",발주접수!$C42)</f>
        <v/>
      </c>
      <c r="Q404" s="34" t="str">
        <f>IF($J404=FALSE(),"",IF(발주접수!$F42="세트",발주접수!$E42&amp;" 전개","직접 발주"))</f>
        <v/>
      </c>
    </row>
    <row r="405" ht="15" customHeight="1" s="30">
      <c r="J405" s="50" t="b">
        <f>IF(발주접수!$D42="",FALSE(),IF(발주접수!$F42="세트",COUNTIF(세트구성!$G$3:$G$302,발주접수!$D42&amp;"|"&amp;10)&gt;0,9=0))</f>
        <v>0</v>
      </c>
      <c r="K405" s="34" t="str">
        <f>IF($J405=FALSE(),"",COUNTIF($J$6:$J405,TRUE()))</f>
        <v/>
      </c>
      <c r="L405" s="34" t="str">
        <f>IF($K405="","","R"&amp;$K405)</f>
        <v/>
      </c>
      <c r="M405" s="34" t="str">
        <f>IF($J405=FALSE(),"",IF(발주접수!$F42="세트",IFERROR(INDEX(세트구성!$C$3:$C$302,MATCH(발주접수!$D42&amp;"|"&amp;10,세트구성!$G$3:$G$302,0)),""),발주접수!$D42))</f>
        <v/>
      </c>
      <c r="N405" s="34" t="str">
        <f>IF($J405=FALSE(),"",IF(발주접수!$F42="세트",발주접수!$G42*IFERROR(INDEX(세트구성!$E$3:$E$302,MATCH(발주접수!$D42&amp;"|"&amp;10,세트구성!$G$3:$G$302,0)),0),발주접수!$G42))</f>
        <v/>
      </c>
      <c r="O405" s="34" t="str">
        <f>IF($J405=FALSE(),"",발주접수!$B42)</f>
        <v/>
      </c>
      <c r="P405" s="34" t="str">
        <f>IF($J405=FALSE(),"",발주접수!$C42)</f>
        <v/>
      </c>
      <c r="Q405" s="34" t="str">
        <f>IF($J405=FALSE(),"",IF(발주접수!$F42="세트",발주접수!$E42&amp;" 전개","직접 발주"))</f>
        <v/>
      </c>
    </row>
    <row r="406" ht="15" customHeight="1" s="30">
      <c r="J406" s="50" t="b">
        <f>IF(발주접수!$D43="",FALSE(),IF(발주접수!$F43="세트",COUNTIF(세트구성!$G$3:$G$302,발주접수!$D43&amp;"|"&amp;1)&gt;0,0=0))</f>
        <v>0</v>
      </c>
      <c r="K406" s="34" t="str">
        <f>IF($J406=FALSE(),"",COUNTIF($J$6:$J406,TRUE()))</f>
        <v/>
      </c>
      <c r="L406" s="34" t="str">
        <f>IF($K406="","","R"&amp;$K406)</f>
        <v/>
      </c>
      <c r="M406" s="34" t="str">
        <f>IF($J406=FALSE(),"",IF(발주접수!$F43="세트",IFERROR(INDEX(세트구성!$C$3:$C$302,MATCH(발주접수!$D43&amp;"|"&amp;1,세트구성!$G$3:$G$302,0)),""),발주접수!$D43))</f>
        <v/>
      </c>
      <c r="N406" s="34" t="str">
        <f>IF($J406=FALSE(),"",IF(발주접수!$F43="세트",발주접수!$G43*IFERROR(INDEX(세트구성!$E$3:$E$302,MATCH(발주접수!$D43&amp;"|"&amp;1,세트구성!$G$3:$G$302,0)),0),발주접수!$G43))</f>
        <v/>
      </c>
      <c r="O406" s="34" t="str">
        <f>IF($J406=FALSE(),"",발주접수!$B43)</f>
        <v/>
      </c>
      <c r="P406" s="34" t="str">
        <f>IF($J406=FALSE(),"",발주접수!$C43)</f>
        <v/>
      </c>
      <c r="Q406" s="34" t="str">
        <f>IF($J406=FALSE(),"",IF(발주접수!$F43="세트",발주접수!$E43&amp;" 전개","직접 발주"))</f>
        <v/>
      </c>
    </row>
    <row r="407" ht="15" customHeight="1" s="30">
      <c r="J407" s="50" t="b">
        <f>IF(발주접수!$D43="",FALSE(),IF(발주접수!$F43="세트",COUNTIF(세트구성!$G$3:$G$302,발주접수!$D43&amp;"|"&amp;2)&gt;0,1=0))</f>
        <v>0</v>
      </c>
      <c r="K407" s="34" t="str">
        <f>IF($J407=FALSE(),"",COUNTIF($J$6:$J407,TRUE()))</f>
        <v/>
      </c>
      <c r="L407" s="34" t="str">
        <f>IF($K407="","","R"&amp;$K407)</f>
        <v/>
      </c>
      <c r="M407" s="34" t="str">
        <f>IF($J407=FALSE(),"",IF(발주접수!$F43="세트",IFERROR(INDEX(세트구성!$C$3:$C$302,MATCH(발주접수!$D43&amp;"|"&amp;2,세트구성!$G$3:$G$302,0)),""),발주접수!$D43))</f>
        <v/>
      </c>
      <c r="N407" s="34" t="str">
        <f>IF($J407=FALSE(),"",IF(발주접수!$F43="세트",발주접수!$G43*IFERROR(INDEX(세트구성!$E$3:$E$302,MATCH(발주접수!$D43&amp;"|"&amp;2,세트구성!$G$3:$G$302,0)),0),발주접수!$G43))</f>
        <v/>
      </c>
      <c r="O407" s="34" t="str">
        <f>IF($J407=FALSE(),"",발주접수!$B43)</f>
        <v/>
      </c>
      <c r="P407" s="34" t="str">
        <f>IF($J407=FALSE(),"",발주접수!$C43)</f>
        <v/>
      </c>
      <c r="Q407" s="34" t="str">
        <f>IF($J407=FALSE(),"",IF(발주접수!$F43="세트",발주접수!$E43&amp;" 전개","직접 발주"))</f>
        <v/>
      </c>
    </row>
    <row r="408" ht="15" customHeight="1" s="30">
      <c r="J408" s="50" t="b">
        <f>IF(발주접수!$D43="",FALSE(),IF(발주접수!$F43="세트",COUNTIF(세트구성!$G$3:$G$302,발주접수!$D43&amp;"|"&amp;3)&gt;0,2=0))</f>
        <v>0</v>
      </c>
      <c r="K408" s="34" t="str">
        <f>IF($J408=FALSE(),"",COUNTIF($J$6:$J408,TRUE()))</f>
        <v/>
      </c>
      <c r="L408" s="34" t="str">
        <f>IF($K408="","","R"&amp;$K408)</f>
        <v/>
      </c>
      <c r="M408" s="34" t="str">
        <f>IF($J408=FALSE(),"",IF(발주접수!$F43="세트",IFERROR(INDEX(세트구성!$C$3:$C$302,MATCH(발주접수!$D43&amp;"|"&amp;3,세트구성!$G$3:$G$302,0)),""),발주접수!$D43))</f>
        <v/>
      </c>
      <c r="N408" s="34" t="str">
        <f>IF($J408=FALSE(),"",IF(발주접수!$F43="세트",발주접수!$G43*IFERROR(INDEX(세트구성!$E$3:$E$302,MATCH(발주접수!$D43&amp;"|"&amp;3,세트구성!$G$3:$G$302,0)),0),발주접수!$G43))</f>
        <v/>
      </c>
      <c r="O408" s="34" t="str">
        <f>IF($J408=FALSE(),"",발주접수!$B43)</f>
        <v/>
      </c>
      <c r="P408" s="34" t="str">
        <f>IF($J408=FALSE(),"",발주접수!$C43)</f>
        <v/>
      </c>
      <c r="Q408" s="34" t="str">
        <f>IF($J408=FALSE(),"",IF(발주접수!$F43="세트",발주접수!$E43&amp;" 전개","직접 발주"))</f>
        <v/>
      </c>
    </row>
    <row r="409" ht="15" customHeight="1" s="30">
      <c r="J409" s="50" t="b">
        <f>IF(발주접수!$D43="",FALSE(),IF(발주접수!$F43="세트",COUNTIF(세트구성!$G$3:$G$302,발주접수!$D43&amp;"|"&amp;4)&gt;0,3=0))</f>
        <v>0</v>
      </c>
      <c r="K409" s="34" t="str">
        <f>IF($J409=FALSE(),"",COUNTIF($J$6:$J409,TRUE()))</f>
        <v/>
      </c>
      <c r="L409" s="34" t="str">
        <f>IF($K409="","","R"&amp;$K409)</f>
        <v/>
      </c>
      <c r="M409" s="34" t="str">
        <f>IF($J409=FALSE(),"",IF(발주접수!$F43="세트",IFERROR(INDEX(세트구성!$C$3:$C$302,MATCH(발주접수!$D43&amp;"|"&amp;4,세트구성!$G$3:$G$302,0)),""),발주접수!$D43))</f>
        <v/>
      </c>
      <c r="N409" s="34" t="str">
        <f>IF($J409=FALSE(),"",IF(발주접수!$F43="세트",발주접수!$G43*IFERROR(INDEX(세트구성!$E$3:$E$302,MATCH(발주접수!$D43&amp;"|"&amp;4,세트구성!$G$3:$G$302,0)),0),발주접수!$G43))</f>
        <v/>
      </c>
      <c r="O409" s="34" t="str">
        <f>IF($J409=FALSE(),"",발주접수!$B43)</f>
        <v/>
      </c>
      <c r="P409" s="34" t="str">
        <f>IF($J409=FALSE(),"",발주접수!$C43)</f>
        <v/>
      </c>
      <c r="Q409" s="34" t="str">
        <f>IF($J409=FALSE(),"",IF(발주접수!$F43="세트",발주접수!$E43&amp;" 전개","직접 발주"))</f>
        <v/>
      </c>
    </row>
    <row r="410" ht="15" customHeight="1" s="30">
      <c r="J410" s="50" t="b">
        <f>IF(발주접수!$D43="",FALSE(),IF(발주접수!$F43="세트",COUNTIF(세트구성!$G$3:$G$302,발주접수!$D43&amp;"|"&amp;5)&gt;0,4=0))</f>
        <v>0</v>
      </c>
      <c r="K410" s="34" t="str">
        <f>IF($J410=FALSE(),"",COUNTIF($J$6:$J410,TRUE()))</f>
        <v/>
      </c>
      <c r="L410" s="34" t="str">
        <f>IF($K410="","","R"&amp;$K410)</f>
        <v/>
      </c>
      <c r="M410" s="34" t="str">
        <f>IF($J410=FALSE(),"",IF(발주접수!$F43="세트",IFERROR(INDEX(세트구성!$C$3:$C$302,MATCH(발주접수!$D43&amp;"|"&amp;5,세트구성!$G$3:$G$302,0)),""),발주접수!$D43))</f>
        <v/>
      </c>
      <c r="N410" s="34" t="str">
        <f>IF($J410=FALSE(),"",IF(발주접수!$F43="세트",발주접수!$G43*IFERROR(INDEX(세트구성!$E$3:$E$302,MATCH(발주접수!$D43&amp;"|"&amp;5,세트구성!$G$3:$G$302,0)),0),발주접수!$G43))</f>
        <v/>
      </c>
      <c r="O410" s="34" t="str">
        <f>IF($J410=FALSE(),"",발주접수!$B43)</f>
        <v/>
      </c>
      <c r="P410" s="34" t="str">
        <f>IF($J410=FALSE(),"",발주접수!$C43)</f>
        <v/>
      </c>
      <c r="Q410" s="34" t="str">
        <f>IF($J410=FALSE(),"",IF(발주접수!$F43="세트",발주접수!$E43&amp;" 전개","직접 발주"))</f>
        <v/>
      </c>
    </row>
    <row r="411" ht="15" customHeight="1" s="30">
      <c r="J411" s="50" t="b">
        <f>IF(발주접수!$D43="",FALSE(),IF(발주접수!$F43="세트",COUNTIF(세트구성!$G$3:$G$302,발주접수!$D43&amp;"|"&amp;6)&gt;0,5=0))</f>
        <v>0</v>
      </c>
      <c r="K411" s="34" t="str">
        <f>IF($J411=FALSE(),"",COUNTIF($J$6:$J411,TRUE()))</f>
        <v/>
      </c>
      <c r="L411" s="34" t="str">
        <f>IF($K411="","","R"&amp;$K411)</f>
        <v/>
      </c>
      <c r="M411" s="34" t="str">
        <f>IF($J411=FALSE(),"",IF(발주접수!$F43="세트",IFERROR(INDEX(세트구성!$C$3:$C$302,MATCH(발주접수!$D43&amp;"|"&amp;6,세트구성!$G$3:$G$302,0)),""),발주접수!$D43))</f>
        <v/>
      </c>
      <c r="N411" s="34" t="str">
        <f>IF($J411=FALSE(),"",IF(발주접수!$F43="세트",발주접수!$G43*IFERROR(INDEX(세트구성!$E$3:$E$302,MATCH(발주접수!$D43&amp;"|"&amp;6,세트구성!$G$3:$G$302,0)),0),발주접수!$G43))</f>
        <v/>
      </c>
      <c r="O411" s="34" t="str">
        <f>IF($J411=FALSE(),"",발주접수!$B43)</f>
        <v/>
      </c>
      <c r="P411" s="34" t="str">
        <f>IF($J411=FALSE(),"",발주접수!$C43)</f>
        <v/>
      </c>
      <c r="Q411" s="34" t="str">
        <f>IF($J411=FALSE(),"",IF(발주접수!$F43="세트",발주접수!$E43&amp;" 전개","직접 발주"))</f>
        <v/>
      </c>
    </row>
    <row r="412" ht="15" customHeight="1" s="30">
      <c r="J412" s="50" t="b">
        <f>IF(발주접수!$D43="",FALSE(),IF(발주접수!$F43="세트",COUNTIF(세트구성!$G$3:$G$302,발주접수!$D43&amp;"|"&amp;7)&gt;0,6=0))</f>
        <v>0</v>
      </c>
      <c r="K412" s="34" t="str">
        <f>IF($J412=FALSE(),"",COUNTIF($J$6:$J412,TRUE()))</f>
        <v/>
      </c>
      <c r="L412" s="34" t="str">
        <f>IF($K412="","","R"&amp;$K412)</f>
        <v/>
      </c>
      <c r="M412" s="34" t="str">
        <f>IF($J412=FALSE(),"",IF(발주접수!$F43="세트",IFERROR(INDEX(세트구성!$C$3:$C$302,MATCH(발주접수!$D43&amp;"|"&amp;7,세트구성!$G$3:$G$302,0)),""),발주접수!$D43))</f>
        <v/>
      </c>
      <c r="N412" s="34" t="str">
        <f>IF($J412=FALSE(),"",IF(발주접수!$F43="세트",발주접수!$G43*IFERROR(INDEX(세트구성!$E$3:$E$302,MATCH(발주접수!$D43&amp;"|"&amp;7,세트구성!$G$3:$G$302,0)),0),발주접수!$G43))</f>
        <v/>
      </c>
      <c r="O412" s="34" t="str">
        <f>IF($J412=FALSE(),"",발주접수!$B43)</f>
        <v/>
      </c>
      <c r="P412" s="34" t="str">
        <f>IF($J412=FALSE(),"",발주접수!$C43)</f>
        <v/>
      </c>
      <c r="Q412" s="34" t="str">
        <f>IF($J412=FALSE(),"",IF(발주접수!$F43="세트",발주접수!$E43&amp;" 전개","직접 발주"))</f>
        <v/>
      </c>
    </row>
    <row r="413" ht="15" customHeight="1" s="30">
      <c r="J413" s="50" t="b">
        <f>IF(발주접수!$D43="",FALSE(),IF(발주접수!$F43="세트",COUNTIF(세트구성!$G$3:$G$302,발주접수!$D43&amp;"|"&amp;8)&gt;0,7=0))</f>
        <v>0</v>
      </c>
      <c r="K413" s="34" t="str">
        <f>IF($J413=FALSE(),"",COUNTIF($J$6:$J413,TRUE()))</f>
        <v/>
      </c>
      <c r="L413" s="34" t="str">
        <f>IF($K413="","","R"&amp;$K413)</f>
        <v/>
      </c>
      <c r="M413" s="34" t="str">
        <f>IF($J413=FALSE(),"",IF(발주접수!$F43="세트",IFERROR(INDEX(세트구성!$C$3:$C$302,MATCH(발주접수!$D43&amp;"|"&amp;8,세트구성!$G$3:$G$302,0)),""),발주접수!$D43))</f>
        <v/>
      </c>
      <c r="N413" s="34" t="str">
        <f>IF($J413=FALSE(),"",IF(발주접수!$F43="세트",발주접수!$G43*IFERROR(INDEX(세트구성!$E$3:$E$302,MATCH(발주접수!$D43&amp;"|"&amp;8,세트구성!$G$3:$G$302,0)),0),발주접수!$G43))</f>
        <v/>
      </c>
      <c r="O413" s="34" t="str">
        <f>IF($J413=FALSE(),"",발주접수!$B43)</f>
        <v/>
      </c>
      <c r="P413" s="34" t="str">
        <f>IF($J413=FALSE(),"",발주접수!$C43)</f>
        <v/>
      </c>
      <c r="Q413" s="34" t="str">
        <f>IF($J413=FALSE(),"",IF(발주접수!$F43="세트",발주접수!$E43&amp;" 전개","직접 발주"))</f>
        <v/>
      </c>
    </row>
    <row r="414" ht="15" customHeight="1" s="30">
      <c r="J414" s="50" t="b">
        <f>IF(발주접수!$D43="",FALSE(),IF(발주접수!$F43="세트",COUNTIF(세트구성!$G$3:$G$302,발주접수!$D43&amp;"|"&amp;9)&gt;0,8=0))</f>
        <v>0</v>
      </c>
      <c r="K414" s="34" t="str">
        <f>IF($J414=FALSE(),"",COUNTIF($J$6:$J414,TRUE()))</f>
        <v/>
      </c>
      <c r="L414" s="34" t="str">
        <f>IF($K414="","","R"&amp;$K414)</f>
        <v/>
      </c>
      <c r="M414" s="34" t="str">
        <f>IF($J414=FALSE(),"",IF(발주접수!$F43="세트",IFERROR(INDEX(세트구성!$C$3:$C$302,MATCH(발주접수!$D43&amp;"|"&amp;9,세트구성!$G$3:$G$302,0)),""),발주접수!$D43))</f>
        <v/>
      </c>
      <c r="N414" s="34" t="str">
        <f>IF($J414=FALSE(),"",IF(발주접수!$F43="세트",발주접수!$G43*IFERROR(INDEX(세트구성!$E$3:$E$302,MATCH(발주접수!$D43&amp;"|"&amp;9,세트구성!$G$3:$G$302,0)),0),발주접수!$G43))</f>
        <v/>
      </c>
      <c r="O414" s="34" t="str">
        <f>IF($J414=FALSE(),"",발주접수!$B43)</f>
        <v/>
      </c>
      <c r="P414" s="34" t="str">
        <f>IF($J414=FALSE(),"",발주접수!$C43)</f>
        <v/>
      </c>
      <c r="Q414" s="34" t="str">
        <f>IF($J414=FALSE(),"",IF(발주접수!$F43="세트",발주접수!$E43&amp;" 전개","직접 발주"))</f>
        <v/>
      </c>
    </row>
    <row r="415" ht="15" customHeight="1" s="30">
      <c r="J415" s="50" t="b">
        <f>IF(발주접수!$D43="",FALSE(),IF(발주접수!$F43="세트",COUNTIF(세트구성!$G$3:$G$302,발주접수!$D43&amp;"|"&amp;10)&gt;0,9=0))</f>
        <v>0</v>
      </c>
      <c r="K415" s="34" t="str">
        <f>IF($J415=FALSE(),"",COUNTIF($J$6:$J415,TRUE()))</f>
        <v/>
      </c>
      <c r="L415" s="34" t="str">
        <f>IF($K415="","","R"&amp;$K415)</f>
        <v/>
      </c>
      <c r="M415" s="34" t="str">
        <f>IF($J415=FALSE(),"",IF(발주접수!$F43="세트",IFERROR(INDEX(세트구성!$C$3:$C$302,MATCH(발주접수!$D43&amp;"|"&amp;10,세트구성!$G$3:$G$302,0)),""),발주접수!$D43))</f>
        <v/>
      </c>
      <c r="N415" s="34" t="str">
        <f>IF($J415=FALSE(),"",IF(발주접수!$F43="세트",발주접수!$G43*IFERROR(INDEX(세트구성!$E$3:$E$302,MATCH(발주접수!$D43&amp;"|"&amp;10,세트구성!$G$3:$G$302,0)),0),발주접수!$G43))</f>
        <v/>
      </c>
      <c r="O415" s="34" t="str">
        <f>IF($J415=FALSE(),"",발주접수!$B43)</f>
        <v/>
      </c>
      <c r="P415" s="34" t="str">
        <f>IF($J415=FALSE(),"",발주접수!$C43)</f>
        <v/>
      </c>
      <c r="Q415" s="34" t="str">
        <f>IF($J415=FALSE(),"",IF(발주접수!$F43="세트",발주접수!$E43&amp;" 전개","직접 발주"))</f>
        <v/>
      </c>
    </row>
    <row r="416" ht="15" customHeight="1" s="30">
      <c r="J416" s="50" t="b">
        <f>IF(발주접수!$D44="",FALSE(),IF(발주접수!$F44="세트",COUNTIF(세트구성!$G$3:$G$302,발주접수!$D44&amp;"|"&amp;1)&gt;0,0=0))</f>
        <v>0</v>
      </c>
      <c r="K416" s="34" t="str">
        <f>IF($J416=FALSE(),"",COUNTIF($J$6:$J416,TRUE()))</f>
        <v/>
      </c>
      <c r="L416" s="34" t="str">
        <f>IF($K416="","","R"&amp;$K416)</f>
        <v/>
      </c>
      <c r="M416" s="34" t="str">
        <f>IF($J416=FALSE(),"",IF(발주접수!$F44="세트",IFERROR(INDEX(세트구성!$C$3:$C$302,MATCH(발주접수!$D44&amp;"|"&amp;1,세트구성!$G$3:$G$302,0)),""),발주접수!$D44))</f>
        <v/>
      </c>
      <c r="N416" s="34" t="str">
        <f>IF($J416=FALSE(),"",IF(발주접수!$F44="세트",발주접수!$G44*IFERROR(INDEX(세트구성!$E$3:$E$302,MATCH(발주접수!$D44&amp;"|"&amp;1,세트구성!$G$3:$G$302,0)),0),발주접수!$G44))</f>
        <v/>
      </c>
      <c r="O416" s="34" t="str">
        <f>IF($J416=FALSE(),"",발주접수!$B44)</f>
        <v/>
      </c>
      <c r="P416" s="34" t="str">
        <f>IF($J416=FALSE(),"",발주접수!$C44)</f>
        <v/>
      </c>
      <c r="Q416" s="34" t="str">
        <f>IF($J416=FALSE(),"",IF(발주접수!$F44="세트",발주접수!$E44&amp;" 전개","직접 발주"))</f>
        <v/>
      </c>
    </row>
    <row r="417" ht="15" customHeight="1" s="30">
      <c r="J417" s="50" t="b">
        <f>IF(발주접수!$D44="",FALSE(),IF(발주접수!$F44="세트",COUNTIF(세트구성!$G$3:$G$302,발주접수!$D44&amp;"|"&amp;2)&gt;0,1=0))</f>
        <v>0</v>
      </c>
      <c r="K417" s="34" t="str">
        <f>IF($J417=FALSE(),"",COUNTIF($J$6:$J417,TRUE()))</f>
        <v/>
      </c>
      <c r="L417" s="34" t="str">
        <f>IF($K417="","","R"&amp;$K417)</f>
        <v/>
      </c>
      <c r="M417" s="34" t="str">
        <f>IF($J417=FALSE(),"",IF(발주접수!$F44="세트",IFERROR(INDEX(세트구성!$C$3:$C$302,MATCH(발주접수!$D44&amp;"|"&amp;2,세트구성!$G$3:$G$302,0)),""),발주접수!$D44))</f>
        <v/>
      </c>
      <c r="N417" s="34" t="str">
        <f>IF($J417=FALSE(),"",IF(발주접수!$F44="세트",발주접수!$G44*IFERROR(INDEX(세트구성!$E$3:$E$302,MATCH(발주접수!$D44&amp;"|"&amp;2,세트구성!$G$3:$G$302,0)),0),발주접수!$G44))</f>
        <v/>
      </c>
      <c r="O417" s="34" t="str">
        <f>IF($J417=FALSE(),"",발주접수!$B44)</f>
        <v/>
      </c>
      <c r="P417" s="34" t="str">
        <f>IF($J417=FALSE(),"",발주접수!$C44)</f>
        <v/>
      </c>
      <c r="Q417" s="34" t="str">
        <f>IF($J417=FALSE(),"",IF(발주접수!$F44="세트",발주접수!$E44&amp;" 전개","직접 발주"))</f>
        <v/>
      </c>
    </row>
    <row r="418" ht="15" customHeight="1" s="30">
      <c r="J418" s="50" t="b">
        <f>IF(발주접수!$D44="",FALSE(),IF(발주접수!$F44="세트",COUNTIF(세트구성!$G$3:$G$302,발주접수!$D44&amp;"|"&amp;3)&gt;0,2=0))</f>
        <v>0</v>
      </c>
      <c r="K418" s="34" t="str">
        <f>IF($J418=FALSE(),"",COUNTIF($J$6:$J418,TRUE()))</f>
        <v/>
      </c>
      <c r="L418" s="34" t="str">
        <f>IF($K418="","","R"&amp;$K418)</f>
        <v/>
      </c>
      <c r="M418" s="34" t="str">
        <f>IF($J418=FALSE(),"",IF(발주접수!$F44="세트",IFERROR(INDEX(세트구성!$C$3:$C$302,MATCH(발주접수!$D44&amp;"|"&amp;3,세트구성!$G$3:$G$302,0)),""),발주접수!$D44))</f>
        <v/>
      </c>
      <c r="N418" s="34" t="str">
        <f>IF($J418=FALSE(),"",IF(발주접수!$F44="세트",발주접수!$G44*IFERROR(INDEX(세트구성!$E$3:$E$302,MATCH(발주접수!$D44&amp;"|"&amp;3,세트구성!$G$3:$G$302,0)),0),발주접수!$G44))</f>
        <v/>
      </c>
      <c r="O418" s="34" t="str">
        <f>IF($J418=FALSE(),"",발주접수!$B44)</f>
        <v/>
      </c>
      <c r="P418" s="34" t="str">
        <f>IF($J418=FALSE(),"",발주접수!$C44)</f>
        <v/>
      </c>
      <c r="Q418" s="34" t="str">
        <f>IF($J418=FALSE(),"",IF(발주접수!$F44="세트",발주접수!$E44&amp;" 전개","직접 발주"))</f>
        <v/>
      </c>
    </row>
    <row r="419" ht="15" customHeight="1" s="30">
      <c r="J419" s="50" t="b">
        <f>IF(발주접수!$D44="",FALSE(),IF(발주접수!$F44="세트",COUNTIF(세트구성!$G$3:$G$302,발주접수!$D44&amp;"|"&amp;4)&gt;0,3=0))</f>
        <v>0</v>
      </c>
      <c r="K419" s="34" t="str">
        <f>IF($J419=FALSE(),"",COUNTIF($J$6:$J419,TRUE()))</f>
        <v/>
      </c>
      <c r="L419" s="34" t="str">
        <f>IF($K419="","","R"&amp;$K419)</f>
        <v/>
      </c>
      <c r="M419" s="34" t="str">
        <f>IF($J419=FALSE(),"",IF(발주접수!$F44="세트",IFERROR(INDEX(세트구성!$C$3:$C$302,MATCH(발주접수!$D44&amp;"|"&amp;4,세트구성!$G$3:$G$302,0)),""),발주접수!$D44))</f>
        <v/>
      </c>
      <c r="N419" s="34" t="str">
        <f>IF($J419=FALSE(),"",IF(발주접수!$F44="세트",발주접수!$G44*IFERROR(INDEX(세트구성!$E$3:$E$302,MATCH(발주접수!$D44&amp;"|"&amp;4,세트구성!$G$3:$G$302,0)),0),발주접수!$G44))</f>
        <v/>
      </c>
      <c r="O419" s="34" t="str">
        <f>IF($J419=FALSE(),"",발주접수!$B44)</f>
        <v/>
      </c>
      <c r="P419" s="34" t="str">
        <f>IF($J419=FALSE(),"",발주접수!$C44)</f>
        <v/>
      </c>
      <c r="Q419" s="34" t="str">
        <f>IF($J419=FALSE(),"",IF(발주접수!$F44="세트",발주접수!$E44&amp;" 전개","직접 발주"))</f>
        <v/>
      </c>
    </row>
    <row r="420" ht="15" customHeight="1" s="30">
      <c r="J420" s="50" t="b">
        <f>IF(발주접수!$D44="",FALSE(),IF(발주접수!$F44="세트",COUNTIF(세트구성!$G$3:$G$302,발주접수!$D44&amp;"|"&amp;5)&gt;0,4=0))</f>
        <v>0</v>
      </c>
      <c r="K420" s="34" t="str">
        <f>IF($J420=FALSE(),"",COUNTIF($J$6:$J420,TRUE()))</f>
        <v/>
      </c>
      <c r="L420" s="34" t="str">
        <f>IF($K420="","","R"&amp;$K420)</f>
        <v/>
      </c>
      <c r="M420" s="34" t="str">
        <f>IF($J420=FALSE(),"",IF(발주접수!$F44="세트",IFERROR(INDEX(세트구성!$C$3:$C$302,MATCH(발주접수!$D44&amp;"|"&amp;5,세트구성!$G$3:$G$302,0)),""),발주접수!$D44))</f>
        <v/>
      </c>
      <c r="N420" s="34" t="str">
        <f>IF($J420=FALSE(),"",IF(발주접수!$F44="세트",발주접수!$G44*IFERROR(INDEX(세트구성!$E$3:$E$302,MATCH(발주접수!$D44&amp;"|"&amp;5,세트구성!$G$3:$G$302,0)),0),발주접수!$G44))</f>
        <v/>
      </c>
      <c r="O420" s="34" t="str">
        <f>IF($J420=FALSE(),"",발주접수!$B44)</f>
        <v/>
      </c>
      <c r="P420" s="34" t="str">
        <f>IF($J420=FALSE(),"",발주접수!$C44)</f>
        <v/>
      </c>
      <c r="Q420" s="34" t="str">
        <f>IF($J420=FALSE(),"",IF(발주접수!$F44="세트",발주접수!$E44&amp;" 전개","직접 발주"))</f>
        <v/>
      </c>
    </row>
    <row r="421" ht="15" customHeight="1" s="30">
      <c r="J421" s="50" t="b">
        <f>IF(발주접수!$D44="",FALSE(),IF(발주접수!$F44="세트",COUNTIF(세트구성!$G$3:$G$302,발주접수!$D44&amp;"|"&amp;6)&gt;0,5=0))</f>
        <v>0</v>
      </c>
      <c r="K421" s="34" t="str">
        <f>IF($J421=FALSE(),"",COUNTIF($J$6:$J421,TRUE()))</f>
        <v/>
      </c>
      <c r="L421" s="34" t="str">
        <f>IF($K421="","","R"&amp;$K421)</f>
        <v/>
      </c>
      <c r="M421" s="34" t="str">
        <f>IF($J421=FALSE(),"",IF(발주접수!$F44="세트",IFERROR(INDEX(세트구성!$C$3:$C$302,MATCH(발주접수!$D44&amp;"|"&amp;6,세트구성!$G$3:$G$302,0)),""),발주접수!$D44))</f>
        <v/>
      </c>
      <c r="N421" s="34" t="str">
        <f>IF($J421=FALSE(),"",IF(발주접수!$F44="세트",발주접수!$G44*IFERROR(INDEX(세트구성!$E$3:$E$302,MATCH(발주접수!$D44&amp;"|"&amp;6,세트구성!$G$3:$G$302,0)),0),발주접수!$G44))</f>
        <v/>
      </c>
      <c r="O421" s="34" t="str">
        <f>IF($J421=FALSE(),"",발주접수!$B44)</f>
        <v/>
      </c>
      <c r="P421" s="34" t="str">
        <f>IF($J421=FALSE(),"",발주접수!$C44)</f>
        <v/>
      </c>
      <c r="Q421" s="34" t="str">
        <f>IF($J421=FALSE(),"",IF(발주접수!$F44="세트",발주접수!$E44&amp;" 전개","직접 발주"))</f>
        <v/>
      </c>
    </row>
    <row r="422" ht="15" customHeight="1" s="30">
      <c r="J422" s="50" t="b">
        <f>IF(발주접수!$D44="",FALSE(),IF(발주접수!$F44="세트",COUNTIF(세트구성!$G$3:$G$302,발주접수!$D44&amp;"|"&amp;7)&gt;0,6=0))</f>
        <v>0</v>
      </c>
      <c r="K422" s="34" t="str">
        <f>IF($J422=FALSE(),"",COUNTIF($J$6:$J422,TRUE()))</f>
        <v/>
      </c>
      <c r="L422" s="34" t="str">
        <f>IF($K422="","","R"&amp;$K422)</f>
        <v/>
      </c>
      <c r="M422" s="34" t="str">
        <f>IF($J422=FALSE(),"",IF(발주접수!$F44="세트",IFERROR(INDEX(세트구성!$C$3:$C$302,MATCH(발주접수!$D44&amp;"|"&amp;7,세트구성!$G$3:$G$302,0)),""),발주접수!$D44))</f>
        <v/>
      </c>
      <c r="N422" s="34" t="str">
        <f>IF($J422=FALSE(),"",IF(발주접수!$F44="세트",발주접수!$G44*IFERROR(INDEX(세트구성!$E$3:$E$302,MATCH(발주접수!$D44&amp;"|"&amp;7,세트구성!$G$3:$G$302,0)),0),발주접수!$G44))</f>
        <v/>
      </c>
      <c r="O422" s="34" t="str">
        <f>IF($J422=FALSE(),"",발주접수!$B44)</f>
        <v/>
      </c>
      <c r="P422" s="34" t="str">
        <f>IF($J422=FALSE(),"",발주접수!$C44)</f>
        <v/>
      </c>
      <c r="Q422" s="34" t="str">
        <f>IF($J422=FALSE(),"",IF(발주접수!$F44="세트",발주접수!$E44&amp;" 전개","직접 발주"))</f>
        <v/>
      </c>
    </row>
    <row r="423" ht="15" customHeight="1" s="30">
      <c r="J423" s="50" t="b">
        <f>IF(발주접수!$D44="",FALSE(),IF(발주접수!$F44="세트",COUNTIF(세트구성!$G$3:$G$302,발주접수!$D44&amp;"|"&amp;8)&gt;0,7=0))</f>
        <v>0</v>
      </c>
      <c r="K423" s="34" t="str">
        <f>IF($J423=FALSE(),"",COUNTIF($J$6:$J423,TRUE()))</f>
        <v/>
      </c>
      <c r="L423" s="34" t="str">
        <f>IF($K423="","","R"&amp;$K423)</f>
        <v/>
      </c>
      <c r="M423" s="34" t="str">
        <f>IF($J423=FALSE(),"",IF(발주접수!$F44="세트",IFERROR(INDEX(세트구성!$C$3:$C$302,MATCH(발주접수!$D44&amp;"|"&amp;8,세트구성!$G$3:$G$302,0)),""),발주접수!$D44))</f>
        <v/>
      </c>
      <c r="N423" s="34" t="str">
        <f>IF($J423=FALSE(),"",IF(발주접수!$F44="세트",발주접수!$G44*IFERROR(INDEX(세트구성!$E$3:$E$302,MATCH(발주접수!$D44&amp;"|"&amp;8,세트구성!$G$3:$G$302,0)),0),발주접수!$G44))</f>
        <v/>
      </c>
      <c r="O423" s="34" t="str">
        <f>IF($J423=FALSE(),"",발주접수!$B44)</f>
        <v/>
      </c>
      <c r="P423" s="34" t="str">
        <f>IF($J423=FALSE(),"",발주접수!$C44)</f>
        <v/>
      </c>
      <c r="Q423" s="34" t="str">
        <f>IF($J423=FALSE(),"",IF(발주접수!$F44="세트",발주접수!$E44&amp;" 전개","직접 발주"))</f>
        <v/>
      </c>
    </row>
    <row r="424" ht="15" customHeight="1" s="30">
      <c r="J424" s="50" t="b">
        <f>IF(발주접수!$D44="",FALSE(),IF(발주접수!$F44="세트",COUNTIF(세트구성!$G$3:$G$302,발주접수!$D44&amp;"|"&amp;9)&gt;0,8=0))</f>
        <v>0</v>
      </c>
      <c r="K424" s="34" t="str">
        <f>IF($J424=FALSE(),"",COUNTIF($J$6:$J424,TRUE()))</f>
        <v/>
      </c>
      <c r="L424" s="34" t="str">
        <f>IF($K424="","","R"&amp;$K424)</f>
        <v/>
      </c>
      <c r="M424" s="34" t="str">
        <f>IF($J424=FALSE(),"",IF(발주접수!$F44="세트",IFERROR(INDEX(세트구성!$C$3:$C$302,MATCH(발주접수!$D44&amp;"|"&amp;9,세트구성!$G$3:$G$302,0)),""),발주접수!$D44))</f>
        <v/>
      </c>
      <c r="N424" s="34" t="str">
        <f>IF($J424=FALSE(),"",IF(발주접수!$F44="세트",발주접수!$G44*IFERROR(INDEX(세트구성!$E$3:$E$302,MATCH(발주접수!$D44&amp;"|"&amp;9,세트구성!$G$3:$G$302,0)),0),발주접수!$G44))</f>
        <v/>
      </c>
      <c r="O424" s="34" t="str">
        <f>IF($J424=FALSE(),"",발주접수!$B44)</f>
        <v/>
      </c>
      <c r="P424" s="34" t="str">
        <f>IF($J424=FALSE(),"",발주접수!$C44)</f>
        <v/>
      </c>
      <c r="Q424" s="34" t="str">
        <f>IF($J424=FALSE(),"",IF(발주접수!$F44="세트",발주접수!$E44&amp;" 전개","직접 발주"))</f>
        <v/>
      </c>
    </row>
    <row r="425" ht="15" customHeight="1" s="30">
      <c r="J425" s="50" t="b">
        <f>IF(발주접수!$D44="",FALSE(),IF(발주접수!$F44="세트",COUNTIF(세트구성!$G$3:$G$302,발주접수!$D44&amp;"|"&amp;10)&gt;0,9=0))</f>
        <v>0</v>
      </c>
      <c r="K425" s="34" t="str">
        <f>IF($J425=FALSE(),"",COUNTIF($J$6:$J425,TRUE()))</f>
        <v/>
      </c>
      <c r="L425" s="34" t="str">
        <f>IF($K425="","","R"&amp;$K425)</f>
        <v/>
      </c>
      <c r="M425" s="34" t="str">
        <f>IF($J425=FALSE(),"",IF(발주접수!$F44="세트",IFERROR(INDEX(세트구성!$C$3:$C$302,MATCH(발주접수!$D44&amp;"|"&amp;10,세트구성!$G$3:$G$302,0)),""),발주접수!$D44))</f>
        <v/>
      </c>
      <c r="N425" s="34" t="str">
        <f>IF($J425=FALSE(),"",IF(발주접수!$F44="세트",발주접수!$G44*IFERROR(INDEX(세트구성!$E$3:$E$302,MATCH(발주접수!$D44&amp;"|"&amp;10,세트구성!$G$3:$G$302,0)),0),발주접수!$G44))</f>
        <v/>
      </c>
      <c r="O425" s="34" t="str">
        <f>IF($J425=FALSE(),"",발주접수!$B44)</f>
        <v/>
      </c>
      <c r="P425" s="34" t="str">
        <f>IF($J425=FALSE(),"",발주접수!$C44)</f>
        <v/>
      </c>
      <c r="Q425" s="34" t="str">
        <f>IF($J425=FALSE(),"",IF(발주접수!$F44="세트",발주접수!$E44&amp;" 전개","직접 발주"))</f>
        <v/>
      </c>
    </row>
    <row r="426" ht="15" customHeight="1" s="30">
      <c r="J426" s="50" t="b">
        <f>IF(발주접수!$D45="",FALSE(),IF(발주접수!$F45="세트",COUNTIF(세트구성!$G$3:$G$302,발주접수!$D45&amp;"|"&amp;1)&gt;0,0=0))</f>
        <v>0</v>
      </c>
      <c r="K426" s="34" t="str">
        <f>IF($J426=FALSE(),"",COUNTIF($J$6:$J426,TRUE()))</f>
        <v/>
      </c>
      <c r="L426" s="34" t="str">
        <f>IF($K426="","","R"&amp;$K426)</f>
        <v/>
      </c>
      <c r="M426" s="34" t="str">
        <f>IF($J426=FALSE(),"",IF(발주접수!$F45="세트",IFERROR(INDEX(세트구성!$C$3:$C$302,MATCH(발주접수!$D45&amp;"|"&amp;1,세트구성!$G$3:$G$302,0)),""),발주접수!$D45))</f>
        <v/>
      </c>
      <c r="N426" s="34" t="str">
        <f>IF($J426=FALSE(),"",IF(발주접수!$F45="세트",발주접수!$G45*IFERROR(INDEX(세트구성!$E$3:$E$302,MATCH(발주접수!$D45&amp;"|"&amp;1,세트구성!$G$3:$G$302,0)),0),발주접수!$G45))</f>
        <v/>
      </c>
      <c r="O426" s="34" t="str">
        <f>IF($J426=FALSE(),"",발주접수!$B45)</f>
        <v/>
      </c>
      <c r="P426" s="34" t="str">
        <f>IF($J426=FALSE(),"",발주접수!$C45)</f>
        <v/>
      </c>
      <c r="Q426" s="34" t="str">
        <f>IF($J426=FALSE(),"",IF(발주접수!$F45="세트",발주접수!$E45&amp;" 전개","직접 발주"))</f>
        <v/>
      </c>
    </row>
    <row r="427" ht="15" customHeight="1" s="30">
      <c r="J427" s="50" t="b">
        <f>IF(발주접수!$D45="",FALSE(),IF(발주접수!$F45="세트",COUNTIF(세트구성!$G$3:$G$302,발주접수!$D45&amp;"|"&amp;2)&gt;0,1=0))</f>
        <v>0</v>
      </c>
      <c r="K427" s="34" t="str">
        <f>IF($J427=FALSE(),"",COUNTIF($J$6:$J427,TRUE()))</f>
        <v/>
      </c>
      <c r="L427" s="34" t="str">
        <f>IF($K427="","","R"&amp;$K427)</f>
        <v/>
      </c>
      <c r="M427" s="34" t="str">
        <f>IF($J427=FALSE(),"",IF(발주접수!$F45="세트",IFERROR(INDEX(세트구성!$C$3:$C$302,MATCH(발주접수!$D45&amp;"|"&amp;2,세트구성!$G$3:$G$302,0)),""),발주접수!$D45))</f>
        <v/>
      </c>
      <c r="N427" s="34" t="str">
        <f>IF($J427=FALSE(),"",IF(발주접수!$F45="세트",발주접수!$G45*IFERROR(INDEX(세트구성!$E$3:$E$302,MATCH(발주접수!$D45&amp;"|"&amp;2,세트구성!$G$3:$G$302,0)),0),발주접수!$G45))</f>
        <v/>
      </c>
      <c r="O427" s="34" t="str">
        <f>IF($J427=FALSE(),"",발주접수!$B45)</f>
        <v/>
      </c>
      <c r="P427" s="34" t="str">
        <f>IF($J427=FALSE(),"",발주접수!$C45)</f>
        <v/>
      </c>
      <c r="Q427" s="34" t="str">
        <f>IF($J427=FALSE(),"",IF(발주접수!$F45="세트",발주접수!$E45&amp;" 전개","직접 발주"))</f>
        <v/>
      </c>
    </row>
    <row r="428" ht="15" customHeight="1" s="30">
      <c r="J428" s="50" t="b">
        <f>IF(발주접수!$D45="",FALSE(),IF(발주접수!$F45="세트",COUNTIF(세트구성!$G$3:$G$302,발주접수!$D45&amp;"|"&amp;3)&gt;0,2=0))</f>
        <v>0</v>
      </c>
      <c r="K428" s="34" t="str">
        <f>IF($J428=FALSE(),"",COUNTIF($J$6:$J428,TRUE()))</f>
        <v/>
      </c>
      <c r="L428" s="34" t="str">
        <f>IF($K428="","","R"&amp;$K428)</f>
        <v/>
      </c>
      <c r="M428" s="34" t="str">
        <f>IF($J428=FALSE(),"",IF(발주접수!$F45="세트",IFERROR(INDEX(세트구성!$C$3:$C$302,MATCH(발주접수!$D45&amp;"|"&amp;3,세트구성!$G$3:$G$302,0)),""),발주접수!$D45))</f>
        <v/>
      </c>
      <c r="N428" s="34" t="str">
        <f>IF($J428=FALSE(),"",IF(발주접수!$F45="세트",발주접수!$G45*IFERROR(INDEX(세트구성!$E$3:$E$302,MATCH(발주접수!$D45&amp;"|"&amp;3,세트구성!$G$3:$G$302,0)),0),발주접수!$G45))</f>
        <v/>
      </c>
      <c r="O428" s="34" t="str">
        <f>IF($J428=FALSE(),"",발주접수!$B45)</f>
        <v/>
      </c>
      <c r="P428" s="34" t="str">
        <f>IF($J428=FALSE(),"",발주접수!$C45)</f>
        <v/>
      </c>
      <c r="Q428" s="34" t="str">
        <f>IF($J428=FALSE(),"",IF(발주접수!$F45="세트",발주접수!$E45&amp;" 전개","직접 발주"))</f>
        <v/>
      </c>
    </row>
    <row r="429" ht="15" customHeight="1" s="30">
      <c r="J429" s="50" t="b">
        <f>IF(발주접수!$D45="",FALSE(),IF(발주접수!$F45="세트",COUNTIF(세트구성!$G$3:$G$302,발주접수!$D45&amp;"|"&amp;4)&gt;0,3=0))</f>
        <v>0</v>
      </c>
      <c r="K429" s="34" t="str">
        <f>IF($J429=FALSE(),"",COUNTIF($J$6:$J429,TRUE()))</f>
        <v/>
      </c>
      <c r="L429" s="34" t="str">
        <f>IF($K429="","","R"&amp;$K429)</f>
        <v/>
      </c>
      <c r="M429" s="34" t="str">
        <f>IF($J429=FALSE(),"",IF(발주접수!$F45="세트",IFERROR(INDEX(세트구성!$C$3:$C$302,MATCH(발주접수!$D45&amp;"|"&amp;4,세트구성!$G$3:$G$302,0)),""),발주접수!$D45))</f>
        <v/>
      </c>
      <c r="N429" s="34" t="str">
        <f>IF($J429=FALSE(),"",IF(발주접수!$F45="세트",발주접수!$G45*IFERROR(INDEX(세트구성!$E$3:$E$302,MATCH(발주접수!$D45&amp;"|"&amp;4,세트구성!$G$3:$G$302,0)),0),발주접수!$G45))</f>
        <v/>
      </c>
      <c r="O429" s="34" t="str">
        <f>IF($J429=FALSE(),"",발주접수!$B45)</f>
        <v/>
      </c>
      <c r="P429" s="34" t="str">
        <f>IF($J429=FALSE(),"",발주접수!$C45)</f>
        <v/>
      </c>
      <c r="Q429" s="34" t="str">
        <f>IF($J429=FALSE(),"",IF(발주접수!$F45="세트",발주접수!$E45&amp;" 전개","직접 발주"))</f>
        <v/>
      </c>
    </row>
    <row r="430" ht="15" customHeight="1" s="30">
      <c r="J430" s="50" t="b">
        <f>IF(발주접수!$D45="",FALSE(),IF(발주접수!$F45="세트",COUNTIF(세트구성!$G$3:$G$302,발주접수!$D45&amp;"|"&amp;5)&gt;0,4=0))</f>
        <v>0</v>
      </c>
      <c r="K430" s="34" t="str">
        <f>IF($J430=FALSE(),"",COUNTIF($J$6:$J430,TRUE()))</f>
        <v/>
      </c>
      <c r="L430" s="34" t="str">
        <f>IF($K430="","","R"&amp;$K430)</f>
        <v/>
      </c>
      <c r="M430" s="34" t="str">
        <f>IF($J430=FALSE(),"",IF(발주접수!$F45="세트",IFERROR(INDEX(세트구성!$C$3:$C$302,MATCH(발주접수!$D45&amp;"|"&amp;5,세트구성!$G$3:$G$302,0)),""),발주접수!$D45))</f>
        <v/>
      </c>
      <c r="N430" s="34" t="str">
        <f>IF($J430=FALSE(),"",IF(발주접수!$F45="세트",발주접수!$G45*IFERROR(INDEX(세트구성!$E$3:$E$302,MATCH(발주접수!$D45&amp;"|"&amp;5,세트구성!$G$3:$G$302,0)),0),발주접수!$G45))</f>
        <v/>
      </c>
      <c r="O430" s="34" t="str">
        <f>IF($J430=FALSE(),"",발주접수!$B45)</f>
        <v/>
      </c>
      <c r="P430" s="34" t="str">
        <f>IF($J430=FALSE(),"",발주접수!$C45)</f>
        <v/>
      </c>
      <c r="Q430" s="34" t="str">
        <f>IF($J430=FALSE(),"",IF(발주접수!$F45="세트",발주접수!$E45&amp;" 전개","직접 발주"))</f>
        <v/>
      </c>
    </row>
    <row r="431" ht="15" customHeight="1" s="30">
      <c r="J431" s="50" t="b">
        <f>IF(발주접수!$D45="",FALSE(),IF(발주접수!$F45="세트",COUNTIF(세트구성!$G$3:$G$302,발주접수!$D45&amp;"|"&amp;6)&gt;0,5=0))</f>
        <v>0</v>
      </c>
      <c r="K431" s="34" t="str">
        <f>IF($J431=FALSE(),"",COUNTIF($J$6:$J431,TRUE()))</f>
        <v/>
      </c>
      <c r="L431" s="34" t="str">
        <f>IF($K431="","","R"&amp;$K431)</f>
        <v/>
      </c>
      <c r="M431" s="34" t="str">
        <f>IF($J431=FALSE(),"",IF(발주접수!$F45="세트",IFERROR(INDEX(세트구성!$C$3:$C$302,MATCH(발주접수!$D45&amp;"|"&amp;6,세트구성!$G$3:$G$302,0)),""),발주접수!$D45))</f>
        <v/>
      </c>
      <c r="N431" s="34" t="str">
        <f>IF($J431=FALSE(),"",IF(발주접수!$F45="세트",발주접수!$G45*IFERROR(INDEX(세트구성!$E$3:$E$302,MATCH(발주접수!$D45&amp;"|"&amp;6,세트구성!$G$3:$G$302,0)),0),발주접수!$G45))</f>
        <v/>
      </c>
      <c r="O431" s="34" t="str">
        <f>IF($J431=FALSE(),"",발주접수!$B45)</f>
        <v/>
      </c>
      <c r="P431" s="34" t="str">
        <f>IF($J431=FALSE(),"",발주접수!$C45)</f>
        <v/>
      </c>
      <c r="Q431" s="34" t="str">
        <f>IF($J431=FALSE(),"",IF(발주접수!$F45="세트",발주접수!$E45&amp;" 전개","직접 발주"))</f>
        <v/>
      </c>
    </row>
    <row r="432" ht="15" customHeight="1" s="30">
      <c r="J432" s="50" t="b">
        <f>IF(발주접수!$D45="",FALSE(),IF(발주접수!$F45="세트",COUNTIF(세트구성!$G$3:$G$302,발주접수!$D45&amp;"|"&amp;7)&gt;0,6=0))</f>
        <v>0</v>
      </c>
      <c r="K432" s="34" t="str">
        <f>IF($J432=FALSE(),"",COUNTIF($J$6:$J432,TRUE()))</f>
        <v/>
      </c>
      <c r="L432" s="34" t="str">
        <f>IF($K432="","","R"&amp;$K432)</f>
        <v/>
      </c>
      <c r="M432" s="34" t="str">
        <f>IF($J432=FALSE(),"",IF(발주접수!$F45="세트",IFERROR(INDEX(세트구성!$C$3:$C$302,MATCH(발주접수!$D45&amp;"|"&amp;7,세트구성!$G$3:$G$302,0)),""),발주접수!$D45))</f>
        <v/>
      </c>
      <c r="N432" s="34" t="str">
        <f>IF($J432=FALSE(),"",IF(발주접수!$F45="세트",발주접수!$G45*IFERROR(INDEX(세트구성!$E$3:$E$302,MATCH(발주접수!$D45&amp;"|"&amp;7,세트구성!$G$3:$G$302,0)),0),발주접수!$G45))</f>
        <v/>
      </c>
      <c r="O432" s="34" t="str">
        <f>IF($J432=FALSE(),"",발주접수!$B45)</f>
        <v/>
      </c>
      <c r="P432" s="34" t="str">
        <f>IF($J432=FALSE(),"",발주접수!$C45)</f>
        <v/>
      </c>
      <c r="Q432" s="34" t="str">
        <f>IF($J432=FALSE(),"",IF(발주접수!$F45="세트",발주접수!$E45&amp;" 전개","직접 발주"))</f>
        <v/>
      </c>
    </row>
    <row r="433" ht="15" customHeight="1" s="30">
      <c r="J433" s="50" t="b">
        <f>IF(발주접수!$D45="",FALSE(),IF(발주접수!$F45="세트",COUNTIF(세트구성!$G$3:$G$302,발주접수!$D45&amp;"|"&amp;8)&gt;0,7=0))</f>
        <v>0</v>
      </c>
      <c r="K433" s="34" t="str">
        <f>IF($J433=FALSE(),"",COUNTIF($J$6:$J433,TRUE()))</f>
        <v/>
      </c>
      <c r="L433" s="34" t="str">
        <f>IF($K433="","","R"&amp;$K433)</f>
        <v/>
      </c>
      <c r="M433" s="34" t="str">
        <f>IF($J433=FALSE(),"",IF(발주접수!$F45="세트",IFERROR(INDEX(세트구성!$C$3:$C$302,MATCH(발주접수!$D45&amp;"|"&amp;8,세트구성!$G$3:$G$302,0)),""),발주접수!$D45))</f>
        <v/>
      </c>
      <c r="N433" s="34" t="str">
        <f>IF($J433=FALSE(),"",IF(발주접수!$F45="세트",발주접수!$G45*IFERROR(INDEX(세트구성!$E$3:$E$302,MATCH(발주접수!$D45&amp;"|"&amp;8,세트구성!$G$3:$G$302,0)),0),발주접수!$G45))</f>
        <v/>
      </c>
      <c r="O433" s="34" t="str">
        <f>IF($J433=FALSE(),"",발주접수!$B45)</f>
        <v/>
      </c>
      <c r="P433" s="34" t="str">
        <f>IF($J433=FALSE(),"",발주접수!$C45)</f>
        <v/>
      </c>
      <c r="Q433" s="34" t="str">
        <f>IF($J433=FALSE(),"",IF(발주접수!$F45="세트",발주접수!$E45&amp;" 전개","직접 발주"))</f>
        <v/>
      </c>
    </row>
    <row r="434" ht="15" customHeight="1" s="30">
      <c r="J434" s="50" t="b">
        <f>IF(발주접수!$D45="",FALSE(),IF(발주접수!$F45="세트",COUNTIF(세트구성!$G$3:$G$302,발주접수!$D45&amp;"|"&amp;9)&gt;0,8=0))</f>
        <v>0</v>
      </c>
      <c r="K434" s="34" t="str">
        <f>IF($J434=FALSE(),"",COUNTIF($J$6:$J434,TRUE()))</f>
        <v/>
      </c>
      <c r="L434" s="34" t="str">
        <f>IF($K434="","","R"&amp;$K434)</f>
        <v/>
      </c>
      <c r="M434" s="34" t="str">
        <f>IF($J434=FALSE(),"",IF(발주접수!$F45="세트",IFERROR(INDEX(세트구성!$C$3:$C$302,MATCH(발주접수!$D45&amp;"|"&amp;9,세트구성!$G$3:$G$302,0)),""),발주접수!$D45))</f>
        <v/>
      </c>
      <c r="N434" s="34" t="str">
        <f>IF($J434=FALSE(),"",IF(발주접수!$F45="세트",발주접수!$G45*IFERROR(INDEX(세트구성!$E$3:$E$302,MATCH(발주접수!$D45&amp;"|"&amp;9,세트구성!$G$3:$G$302,0)),0),발주접수!$G45))</f>
        <v/>
      </c>
      <c r="O434" s="34" t="str">
        <f>IF($J434=FALSE(),"",발주접수!$B45)</f>
        <v/>
      </c>
      <c r="P434" s="34" t="str">
        <f>IF($J434=FALSE(),"",발주접수!$C45)</f>
        <v/>
      </c>
      <c r="Q434" s="34" t="str">
        <f>IF($J434=FALSE(),"",IF(발주접수!$F45="세트",발주접수!$E45&amp;" 전개","직접 발주"))</f>
        <v/>
      </c>
    </row>
    <row r="435" ht="15" customHeight="1" s="30">
      <c r="J435" s="50" t="b">
        <f>IF(발주접수!$D45="",FALSE(),IF(발주접수!$F45="세트",COUNTIF(세트구성!$G$3:$G$302,발주접수!$D45&amp;"|"&amp;10)&gt;0,9=0))</f>
        <v>0</v>
      </c>
      <c r="K435" s="34" t="str">
        <f>IF($J435=FALSE(),"",COUNTIF($J$6:$J435,TRUE()))</f>
        <v/>
      </c>
      <c r="L435" s="34" t="str">
        <f>IF($K435="","","R"&amp;$K435)</f>
        <v/>
      </c>
      <c r="M435" s="34" t="str">
        <f>IF($J435=FALSE(),"",IF(발주접수!$F45="세트",IFERROR(INDEX(세트구성!$C$3:$C$302,MATCH(발주접수!$D45&amp;"|"&amp;10,세트구성!$G$3:$G$302,0)),""),발주접수!$D45))</f>
        <v/>
      </c>
      <c r="N435" s="34" t="str">
        <f>IF($J435=FALSE(),"",IF(발주접수!$F45="세트",발주접수!$G45*IFERROR(INDEX(세트구성!$E$3:$E$302,MATCH(발주접수!$D45&amp;"|"&amp;10,세트구성!$G$3:$G$302,0)),0),발주접수!$G45))</f>
        <v/>
      </c>
      <c r="O435" s="34" t="str">
        <f>IF($J435=FALSE(),"",발주접수!$B45)</f>
        <v/>
      </c>
      <c r="P435" s="34" t="str">
        <f>IF($J435=FALSE(),"",발주접수!$C45)</f>
        <v/>
      </c>
      <c r="Q435" s="34" t="str">
        <f>IF($J435=FALSE(),"",IF(발주접수!$F45="세트",발주접수!$E45&amp;" 전개","직접 발주"))</f>
        <v/>
      </c>
    </row>
    <row r="436" ht="15" customHeight="1" s="30">
      <c r="J436" s="50" t="b">
        <f>IF(발주접수!$D46="",FALSE(),IF(발주접수!$F46="세트",COUNTIF(세트구성!$G$3:$G$302,발주접수!$D46&amp;"|"&amp;1)&gt;0,0=0))</f>
        <v>0</v>
      </c>
      <c r="K436" s="34" t="str">
        <f>IF($J436=FALSE(),"",COUNTIF($J$6:$J436,TRUE()))</f>
        <v/>
      </c>
      <c r="L436" s="34" t="str">
        <f>IF($K436="","","R"&amp;$K436)</f>
        <v/>
      </c>
      <c r="M436" s="34" t="str">
        <f>IF($J436=FALSE(),"",IF(발주접수!$F46="세트",IFERROR(INDEX(세트구성!$C$3:$C$302,MATCH(발주접수!$D46&amp;"|"&amp;1,세트구성!$G$3:$G$302,0)),""),발주접수!$D46))</f>
        <v/>
      </c>
      <c r="N436" s="34" t="str">
        <f>IF($J436=FALSE(),"",IF(발주접수!$F46="세트",발주접수!$G46*IFERROR(INDEX(세트구성!$E$3:$E$302,MATCH(발주접수!$D46&amp;"|"&amp;1,세트구성!$G$3:$G$302,0)),0),발주접수!$G46))</f>
        <v/>
      </c>
      <c r="O436" s="34" t="str">
        <f>IF($J436=FALSE(),"",발주접수!$B46)</f>
        <v/>
      </c>
      <c r="P436" s="34" t="str">
        <f>IF($J436=FALSE(),"",발주접수!$C46)</f>
        <v/>
      </c>
      <c r="Q436" s="34" t="str">
        <f>IF($J436=FALSE(),"",IF(발주접수!$F46="세트",발주접수!$E46&amp;" 전개","직접 발주"))</f>
        <v/>
      </c>
    </row>
    <row r="437" ht="15" customHeight="1" s="30">
      <c r="J437" s="50" t="b">
        <f>IF(발주접수!$D46="",FALSE(),IF(발주접수!$F46="세트",COUNTIF(세트구성!$G$3:$G$302,발주접수!$D46&amp;"|"&amp;2)&gt;0,1=0))</f>
        <v>0</v>
      </c>
      <c r="K437" s="34" t="str">
        <f>IF($J437=FALSE(),"",COUNTIF($J$6:$J437,TRUE()))</f>
        <v/>
      </c>
      <c r="L437" s="34" t="str">
        <f>IF($K437="","","R"&amp;$K437)</f>
        <v/>
      </c>
      <c r="M437" s="34" t="str">
        <f>IF($J437=FALSE(),"",IF(발주접수!$F46="세트",IFERROR(INDEX(세트구성!$C$3:$C$302,MATCH(발주접수!$D46&amp;"|"&amp;2,세트구성!$G$3:$G$302,0)),""),발주접수!$D46))</f>
        <v/>
      </c>
      <c r="N437" s="34" t="str">
        <f>IF($J437=FALSE(),"",IF(발주접수!$F46="세트",발주접수!$G46*IFERROR(INDEX(세트구성!$E$3:$E$302,MATCH(발주접수!$D46&amp;"|"&amp;2,세트구성!$G$3:$G$302,0)),0),발주접수!$G46))</f>
        <v/>
      </c>
      <c r="O437" s="34" t="str">
        <f>IF($J437=FALSE(),"",발주접수!$B46)</f>
        <v/>
      </c>
      <c r="P437" s="34" t="str">
        <f>IF($J437=FALSE(),"",발주접수!$C46)</f>
        <v/>
      </c>
      <c r="Q437" s="34" t="str">
        <f>IF($J437=FALSE(),"",IF(발주접수!$F46="세트",발주접수!$E46&amp;" 전개","직접 발주"))</f>
        <v/>
      </c>
    </row>
    <row r="438" ht="15" customHeight="1" s="30">
      <c r="J438" s="50" t="b">
        <f>IF(발주접수!$D46="",FALSE(),IF(발주접수!$F46="세트",COUNTIF(세트구성!$G$3:$G$302,발주접수!$D46&amp;"|"&amp;3)&gt;0,2=0))</f>
        <v>0</v>
      </c>
      <c r="K438" s="34" t="str">
        <f>IF($J438=FALSE(),"",COUNTIF($J$6:$J438,TRUE()))</f>
        <v/>
      </c>
      <c r="L438" s="34" t="str">
        <f>IF($K438="","","R"&amp;$K438)</f>
        <v/>
      </c>
      <c r="M438" s="34" t="str">
        <f>IF($J438=FALSE(),"",IF(발주접수!$F46="세트",IFERROR(INDEX(세트구성!$C$3:$C$302,MATCH(발주접수!$D46&amp;"|"&amp;3,세트구성!$G$3:$G$302,0)),""),발주접수!$D46))</f>
        <v/>
      </c>
      <c r="N438" s="34" t="str">
        <f>IF($J438=FALSE(),"",IF(발주접수!$F46="세트",발주접수!$G46*IFERROR(INDEX(세트구성!$E$3:$E$302,MATCH(발주접수!$D46&amp;"|"&amp;3,세트구성!$G$3:$G$302,0)),0),발주접수!$G46))</f>
        <v/>
      </c>
      <c r="O438" s="34" t="str">
        <f>IF($J438=FALSE(),"",발주접수!$B46)</f>
        <v/>
      </c>
      <c r="P438" s="34" t="str">
        <f>IF($J438=FALSE(),"",발주접수!$C46)</f>
        <v/>
      </c>
      <c r="Q438" s="34" t="str">
        <f>IF($J438=FALSE(),"",IF(발주접수!$F46="세트",발주접수!$E46&amp;" 전개","직접 발주"))</f>
        <v/>
      </c>
    </row>
    <row r="439" ht="15" customHeight="1" s="30">
      <c r="J439" s="50" t="b">
        <f>IF(발주접수!$D46="",FALSE(),IF(발주접수!$F46="세트",COUNTIF(세트구성!$G$3:$G$302,발주접수!$D46&amp;"|"&amp;4)&gt;0,3=0))</f>
        <v>0</v>
      </c>
      <c r="K439" s="34" t="str">
        <f>IF($J439=FALSE(),"",COUNTIF($J$6:$J439,TRUE()))</f>
        <v/>
      </c>
      <c r="L439" s="34" t="str">
        <f>IF($K439="","","R"&amp;$K439)</f>
        <v/>
      </c>
      <c r="M439" s="34" t="str">
        <f>IF($J439=FALSE(),"",IF(발주접수!$F46="세트",IFERROR(INDEX(세트구성!$C$3:$C$302,MATCH(발주접수!$D46&amp;"|"&amp;4,세트구성!$G$3:$G$302,0)),""),발주접수!$D46))</f>
        <v/>
      </c>
      <c r="N439" s="34" t="str">
        <f>IF($J439=FALSE(),"",IF(발주접수!$F46="세트",발주접수!$G46*IFERROR(INDEX(세트구성!$E$3:$E$302,MATCH(발주접수!$D46&amp;"|"&amp;4,세트구성!$G$3:$G$302,0)),0),발주접수!$G46))</f>
        <v/>
      </c>
      <c r="O439" s="34" t="str">
        <f>IF($J439=FALSE(),"",발주접수!$B46)</f>
        <v/>
      </c>
      <c r="P439" s="34" t="str">
        <f>IF($J439=FALSE(),"",발주접수!$C46)</f>
        <v/>
      </c>
      <c r="Q439" s="34" t="str">
        <f>IF($J439=FALSE(),"",IF(발주접수!$F46="세트",발주접수!$E46&amp;" 전개","직접 발주"))</f>
        <v/>
      </c>
    </row>
    <row r="440" ht="15" customHeight="1" s="30">
      <c r="J440" s="50" t="b">
        <f>IF(발주접수!$D46="",FALSE(),IF(발주접수!$F46="세트",COUNTIF(세트구성!$G$3:$G$302,발주접수!$D46&amp;"|"&amp;5)&gt;0,4=0))</f>
        <v>0</v>
      </c>
      <c r="K440" s="34" t="str">
        <f>IF($J440=FALSE(),"",COUNTIF($J$6:$J440,TRUE()))</f>
        <v/>
      </c>
      <c r="L440" s="34" t="str">
        <f>IF($K440="","","R"&amp;$K440)</f>
        <v/>
      </c>
      <c r="M440" s="34" t="str">
        <f>IF($J440=FALSE(),"",IF(발주접수!$F46="세트",IFERROR(INDEX(세트구성!$C$3:$C$302,MATCH(발주접수!$D46&amp;"|"&amp;5,세트구성!$G$3:$G$302,0)),""),발주접수!$D46))</f>
        <v/>
      </c>
      <c r="N440" s="34" t="str">
        <f>IF($J440=FALSE(),"",IF(발주접수!$F46="세트",발주접수!$G46*IFERROR(INDEX(세트구성!$E$3:$E$302,MATCH(발주접수!$D46&amp;"|"&amp;5,세트구성!$G$3:$G$302,0)),0),발주접수!$G46))</f>
        <v/>
      </c>
      <c r="O440" s="34" t="str">
        <f>IF($J440=FALSE(),"",발주접수!$B46)</f>
        <v/>
      </c>
      <c r="P440" s="34" t="str">
        <f>IF($J440=FALSE(),"",발주접수!$C46)</f>
        <v/>
      </c>
      <c r="Q440" s="34" t="str">
        <f>IF($J440=FALSE(),"",IF(발주접수!$F46="세트",발주접수!$E46&amp;" 전개","직접 발주"))</f>
        <v/>
      </c>
    </row>
    <row r="441" ht="15" customHeight="1" s="30">
      <c r="J441" s="50" t="b">
        <f>IF(발주접수!$D46="",FALSE(),IF(발주접수!$F46="세트",COUNTIF(세트구성!$G$3:$G$302,발주접수!$D46&amp;"|"&amp;6)&gt;0,5=0))</f>
        <v>0</v>
      </c>
      <c r="K441" s="34" t="str">
        <f>IF($J441=FALSE(),"",COUNTIF($J$6:$J441,TRUE()))</f>
        <v/>
      </c>
      <c r="L441" s="34" t="str">
        <f>IF($K441="","","R"&amp;$K441)</f>
        <v/>
      </c>
      <c r="M441" s="34" t="str">
        <f>IF($J441=FALSE(),"",IF(발주접수!$F46="세트",IFERROR(INDEX(세트구성!$C$3:$C$302,MATCH(발주접수!$D46&amp;"|"&amp;6,세트구성!$G$3:$G$302,0)),""),발주접수!$D46))</f>
        <v/>
      </c>
      <c r="N441" s="34" t="str">
        <f>IF($J441=FALSE(),"",IF(발주접수!$F46="세트",발주접수!$G46*IFERROR(INDEX(세트구성!$E$3:$E$302,MATCH(발주접수!$D46&amp;"|"&amp;6,세트구성!$G$3:$G$302,0)),0),발주접수!$G46))</f>
        <v/>
      </c>
      <c r="O441" s="34" t="str">
        <f>IF($J441=FALSE(),"",발주접수!$B46)</f>
        <v/>
      </c>
      <c r="P441" s="34" t="str">
        <f>IF($J441=FALSE(),"",발주접수!$C46)</f>
        <v/>
      </c>
      <c r="Q441" s="34" t="str">
        <f>IF($J441=FALSE(),"",IF(발주접수!$F46="세트",발주접수!$E46&amp;" 전개","직접 발주"))</f>
        <v/>
      </c>
    </row>
    <row r="442" ht="15" customHeight="1" s="30">
      <c r="J442" s="50" t="b">
        <f>IF(발주접수!$D46="",FALSE(),IF(발주접수!$F46="세트",COUNTIF(세트구성!$G$3:$G$302,발주접수!$D46&amp;"|"&amp;7)&gt;0,6=0))</f>
        <v>0</v>
      </c>
      <c r="K442" s="34" t="str">
        <f>IF($J442=FALSE(),"",COUNTIF($J$6:$J442,TRUE()))</f>
        <v/>
      </c>
      <c r="L442" s="34" t="str">
        <f>IF($K442="","","R"&amp;$K442)</f>
        <v/>
      </c>
      <c r="M442" s="34" t="str">
        <f>IF($J442=FALSE(),"",IF(발주접수!$F46="세트",IFERROR(INDEX(세트구성!$C$3:$C$302,MATCH(발주접수!$D46&amp;"|"&amp;7,세트구성!$G$3:$G$302,0)),""),발주접수!$D46))</f>
        <v/>
      </c>
      <c r="N442" s="34" t="str">
        <f>IF($J442=FALSE(),"",IF(발주접수!$F46="세트",발주접수!$G46*IFERROR(INDEX(세트구성!$E$3:$E$302,MATCH(발주접수!$D46&amp;"|"&amp;7,세트구성!$G$3:$G$302,0)),0),발주접수!$G46))</f>
        <v/>
      </c>
      <c r="O442" s="34" t="str">
        <f>IF($J442=FALSE(),"",발주접수!$B46)</f>
        <v/>
      </c>
      <c r="P442" s="34" t="str">
        <f>IF($J442=FALSE(),"",발주접수!$C46)</f>
        <v/>
      </c>
      <c r="Q442" s="34" t="str">
        <f>IF($J442=FALSE(),"",IF(발주접수!$F46="세트",발주접수!$E46&amp;" 전개","직접 발주"))</f>
        <v/>
      </c>
    </row>
    <row r="443" ht="15" customHeight="1" s="30">
      <c r="J443" s="50" t="b">
        <f>IF(발주접수!$D46="",FALSE(),IF(발주접수!$F46="세트",COUNTIF(세트구성!$G$3:$G$302,발주접수!$D46&amp;"|"&amp;8)&gt;0,7=0))</f>
        <v>0</v>
      </c>
      <c r="K443" s="34" t="str">
        <f>IF($J443=FALSE(),"",COUNTIF($J$6:$J443,TRUE()))</f>
        <v/>
      </c>
      <c r="L443" s="34" t="str">
        <f>IF($K443="","","R"&amp;$K443)</f>
        <v/>
      </c>
      <c r="M443" s="34" t="str">
        <f>IF($J443=FALSE(),"",IF(발주접수!$F46="세트",IFERROR(INDEX(세트구성!$C$3:$C$302,MATCH(발주접수!$D46&amp;"|"&amp;8,세트구성!$G$3:$G$302,0)),""),발주접수!$D46))</f>
        <v/>
      </c>
      <c r="N443" s="34" t="str">
        <f>IF($J443=FALSE(),"",IF(발주접수!$F46="세트",발주접수!$G46*IFERROR(INDEX(세트구성!$E$3:$E$302,MATCH(발주접수!$D46&amp;"|"&amp;8,세트구성!$G$3:$G$302,0)),0),발주접수!$G46))</f>
        <v/>
      </c>
      <c r="O443" s="34" t="str">
        <f>IF($J443=FALSE(),"",발주접수!$B46)</f>
        <v/>
      </c>
      <c r="P443" s="34" t="str">
        <f>IF($J443=FALSE(),"",발주접수!$C46)</f>
        <v/>
      </c>
      <c r="Q443" s="34" t="str">
        <f>IF($J443=FALSE(),"",IF(발주접수!$F46="세트",발주접수!$E46&amp;" 전개","직접 발주"))</f>
        <v/>
      </c>
    </row>
    <row r="444" ht="15" customHeight="1" s="30">
      <c r="J444" s="50" t="b">
        <f>IF(발주접수!$D46="",FALSE(),IF(발주접수!$F46="세트",COUNTIF(세트구성!$G$3:$G$302,발주접수!$D46&amp;"|"&amp;9)&gt;0,8=0))</f>
        <v>0</v>
      </c>
      <c r="K444" s="34" t="str">
        <f>IF($J444=FALSE(),"",COUNTIF($J$6:$J444,TRUE()))</f>
        <v/>
      </c>
      <c r="L444" s="34" t="str">
        <f>IF($K444="","","R"&amp;$K444)</f>
        <v/>
      </c>
      <c r="M444" s="34" t="str">
        <f>IF($J444=FALSE(),"",IF(발주접수!$F46="세트",IFERROR(INDEX(세트구성!$C$3:$C$302,MATCH(발주접수!$D46&amp;"|"&amp;9,세트구성!$G$3:$G$302,0)),""),발주접수!$D46))</f>
        <v/>
      </c>
      <c r="N444" s="34" t="str">
        <f>IF($J444=FALSE(),"",IF(발주접수!$F46="세트",발주접수!$G46*IFERROR(INDEX(세트구성!$E$3:$E$302,MATCH(발주접수!$D46&amp;"|"&amp;9,세트구성!$G$3:$G$302,0)),0),발주접수!$G46))</f>
        <v/>
      </c>
      <c r="O444" s="34" t="str">
        <f>IF($J444=FALSE(),"",발주접수!$B46)</f>
        <v/>
      </c>
      <c r="P444" s="34" t="str">
        <f>IF($J444=FALSE(),"",발주접수!$C46)</f>
        <v/>
      </c>
      <c r="Q444" s="34" t="str">
        <f>IF($J444=FALSE(),"",IF(발주접수!$F46="세트",발주접수!$E46&amp;" 전개","직접 발주"))</f>
        <v/>
      </c>
    </row>
    <row r="445" ht="15" customHeight="1" s="30">
      <c r="J445" s="50" t="b">
        <f>IF(발주접수!$D46="",FALSE(),IF(발주접수!$F46="세트",COUNTIF(세트구성!$G$3:$G$302,발주접수!$D46&amp;"|"&amp;10)&gt;0,9=0))</f>
        <v>0</v>
      </c>
      <c r="K445" s="34" t="str">
        <f>IF($J445=FALSE(),"",COUNTIF($J$6:$J445,TRUE()))</f>
        <v/>
      </c>
      <c r="L445" s="34" t="str">
        <f>IF($K445="","","R"&amp;$K445)</f>
        <v/>
      </c>
      <c r="M445" s="34" t="str">
        <f>IF($J445=FALSE(),"",IF(발주접수!$F46="세트",IFERROR(INDEX(세트구성!$C$3:$C$302,MATCH(발주접수!$D46&amp;"|"&amp;10,세트구성!$G$3:$G$302,0)),""),발주접수!$D46))</f>
        <v/>
      </c>
      <c r="N445" s="34" t="str">
        <f>IF($J445=FALSE(),"",IF(발주접수!$F46="세트",발주접수!$G46*IFERROR(INDEX(세트구성!$E$3:$E$302,MATCH(발주접수!$D46&amp;"|"&amp;10,세트구성!$G$3:$G$302,0)),0),발주접수!$G46))</f>
        <v/>
      </c>
      <c r="O445" s="34" t="str">
        <f>IF($J445=FALSE(),"",발주접수!$B46)</f>
        <v/>
      </c>
      <c r="P445" s="34" t="str">
        <f>IF($J445=FALSE(),"",발주접수!$C46)</f>
        <v/>
      </c>
      <c r="Q445" s="34" t="str">
        <f>IF($J445=FALSE(),"",IF(발주접수!$F46="세트",발주접수!$E46&amp;" 전개","직접 발주"))</f>
        <v/>
      </c>
    </row>
    <row r="446" ht="15" customHeight="1" s="30">
      <c r="J446" s="50" t="b">
        <f>IF(발주접수!$D47="",FALSE(),IF(발주접수!$F47="세트",COUNTIF(세트구성!$G$3:$G$302,발주접수!$D47&amp;"|"&amp;1)&gt;0,0=0))</f>
        <v>0</v>
      </c>
      <c r="K446" s="34" t="str">
        <f>IF($J446=FALSE(),"",COUNTIF($J$6:$J446,TRUE()))</f>
        <v/>
      </c>
      <c r="L446" s="34" t="str">
        <f>IF($K446="","","R"&amp;$K446)</f>
        <v/>
      </c>
      <c r="M446" s="34" t="str">
        <f>IF($J446=FALSE(),"",IF(발주접수!$F47="세트",IFERROR(INDEX(세트구성!$C$3:$C$302,MATCH(발주접수!$D47&amp;"|"&amp;1,세트구성!$G$3:$G$302,0)),""),발주접수!$D47))</f>
        <v/>
      </c>
      <c r="N446" s="34" t="str">
        <f>IF($J446=FALSE(),"",IF(발주접수!$F47="세트",발주접수!$G47*IFERROR(INDEX(세트구성!$E$3:$E$302,MATCH(발주접수!$D47&amp;"|"&amp;1,세트구성!$G$3:$G$302,0)),0),발주접수!$G47))</f>
        <v/>
      </c>
      <c r="O446" s="34" t="str">
        <f>IF($J446=FALSE(),"",발주접수!$B47)</f>
        <v/>
      </c>
      <c r="P446" s="34" t="str">
        <f>IF($J446=FALSE(),"",발주접수!$C47)</f>
        <v/>
      </c>
      <c r="Q446" s="34" t="str">
        <f>IF($J446=FALSE(),"",IF(발주접수!$F47="세트",발주접수!$E47&amp;" 전개","직접 발주"))</f>
        <v/>
      </c>
    </row>
    <row r="447" ht="15" customHeight="1" s="30">
      <c r="J447" s="50" t="b">
        <f>IF(발주접수!$D47="",FALSE(),IF(발주접수!$F47="세트",COUNTIF(세트구성!$G$3:$G$302,발주접수!$D47&amp;"|"&amp;2)&gt;0,1=0))</f>
        <v>0</v>
      </c>
      <c r="K447" s="34" t="str">
        <f>IF($J447=FALSE(),"",COUNTIF($J$6:$J447,TRUE()))</f>
        <v/>
      </c>
      <c r="L447" s="34" t="str">
        <f>IF($K447="","","R"&amp;$K447)</f>
        <v/>
      </c>
      <c r="M447" s="34" t="str">
        <f>IF($J447=FALSE(),"",IF(발주접수!$F47="세트",IFERROR(INDEX(세트구성!$C$3:$C$302,MATCH(발주접수!$D47&amp;"|"&amp;2,세트구성!$G$3:$G$302,0)),""),발주접수!$D47))</f>
        <v/>
      </c>
      <c r="N447" s="34" t="str">
        <f>IF($J447=FALSE(),"",IF(발주접수!$F47="세트",발주접수!$G47*IFERROR(INDEX(세트구성!$E$3:$E$302,MATCH(발주접수!$D47&amp;"|"&amp;2,세트구성!$G$3:$G$302,0)),0),발주접수!$G47))</f>
        <v/>
      </c>
      <c r="O447" s="34" t="str">
        <f>IF($J447=FALSE(),"",발주접수!$B47)</f>
        <v/>
      </c>
      <c r="P447" s="34" t="str">
        <f>IF($J447=FALSE(),"",발주접수!$C47)</f>
        <v/>
      </c>
      <c r="Q447" s="34" t="str">
        <f>IF($J447=FALSE(),"",IF(발주접수!$F47="세트",발주접수!$E47&amp;" 전개","직접 발주"))</f>
        <v/>
      </c>
    </row>
    <row r="448" ht="15" customHeight="1" s="30">
      <c r="J448" s="50" t="b">
        <f>IF(발주접수!$D47="",FALSE(),IF(발주접수!$F47="세트",COUNTIF(세트구성!$G$3:$G$302,발주접수!$D47&amp;"|"&amp;3)&gt;0,2=0))</f>
        <v>0</v>
      </c>
      <c r="K448" s="34" t="str">
        <f>IF($J448=FALSE(),"",COUNTIF($J$6:$J448,TRUE()))</f>
        <v/>
      </c>
      <c r="L448" s="34" t="str">
        <f>IF($K448="","","R"&amp;$K448)</f>
        <v/>
      </c>
      <c r="M448" s="34" t="str">
        <f>IF($J448=FALSE(),"",IF(발주접수!$F47="세트",IFERROR(INDEX(세트구성!$C$3:$C$302,MATCH(발주접수!$D47&amp;"|"&amp;3,세트구성!$G$3:$G$302,0)),""),발주접수!$D47))</f>
        <v/>
      </c>
      <c r="N448" s="34" t="str">
        <f>IF($J448=FALSE(),"",IF(발주접수!$F47="세트",발주접수!$G47*IFERROR(INDEX(세트구성!$E$3:$E$302,MATCH(발주접수!$D47&amp;"|"&amp;3,세트구성!$G$3:$G$302,0)),0),발주접수!$G47))</f>
        <v/>
      </c>
      <c r="O448" s="34" t="str">
        <f>IF($J448=FALSE(),"",발주접수!$B47)</f>
        <v/>
      </c>
      <c r="P448" s="34" t="str">
        <f>IF($J448=FALSE(),"",발주접수!$C47)</f>
        <v/>
      </c>
      <c r="Q448" s="34" t="str">
        <f>IF($J448=FALSE(),"",IF(발주접수!$F47="세트",발주접수!$E47&amp;" 전개","직접 발주"))</f>
        <v/>
      </c>
    </row>
    <row r="449" ht="15" customHeight="1" s="30">
      <c r="J449" s="50" t="b">
        <f>IF(발주접수!$D47="",FALSE(),IF(발주접수!$F47="세트",COUNTIF(세트구성!$G$3:$G$302,발주접수!$D47&amp;"|"&amp;4)&gt;0,3=0))</f>
        <v>0</v>
      </c>
      <c r="K449" s="34" t="str">
        <f>IF($J449=FALSE(),"",COUNTIF($J$6:$J449,TRUE()))</f>
        <v/>
      </c>
      <c r="L449" s="34" t="str">
        <f>IF($K449="","","R"&amp;$K449)</f>
        <v/>
      </c>
      <c r="M449" s="34" t="str">
        <f>IF($J449=FALSE(),"",IF(발주접수!$F47="세트",IFERROR(INDEX(세트구성!$C$3:$C$302,MATCH(발주접수!$D47&amp;"|"&amp;4,세트구성!$G$3:$G$302,0)),""),발주접수!$D47))</f>
        <v/>
      </c>
      <c r="N449" s="34" t="str">
        <f>IF($J449=FALSE(),"",IF(발주접수!$F47="세트",발주접수!$G47*IFERROR(INDEX(세트구성!$E$3:$E$302,MATCH(발주접수!$D47&amp;"|"&amp;4,세트구성!$G$3:$G$302,0)),0),발주접수!$G47))</f>
        <v/>
      </c>
      <c r="O449" s="34" t="str">
        <f>IF($J449=FALSE(),"",발주접수!$B47)</f>
        <v/>
      </c>
      <c r="P449" s="34" t="str">
        <f>IF($J449=FALSE(),"",발주접수!$C47)</f>
        <v/>
      </c>
      <c r="Q449" s="34" t="str">
        <f>IF($J449=FALSE(),"",IF(발주접수!$F47="세트",발주접수!$E47&amp;" 전개","직접 발주"))</f>
        <v/>
      </c>
    </row>
    <row r="450" ht="15" customHeight="1" s="30">
      <c r="J450" s="50" t="b">
        <f>IF(발주접수!$D47="",FALSE(),IF(발주접수!$F47="세트",COUNTIF(세트구성!$G$3:$G$302,발주접수!$D47&amp;"|"&amp;5)&gt;0,4=0))</f>
        <v>0</v>
      </c>
      <c r="K450" s="34" t="str">
        <f>IF($J450=FALSE(),"",COUNTIF($J$6:$J450,TRUE()))</f>
        <v/>
      </c>
      <c r="L450" s="34" t="str">
        <f>IF($K450="","","R"&amp;$K450)</f>
        <v/>
      </c>
      <c r="M450" s="34" t="str">
        <f>IF($J450=FALSE(),"",IF(발주접수!$F47="세트",IFERROR(INDEX(세트구성!$C$3:$C$302,MATCH(발주접수!$D47&amp;"|"&amp;5,세트구성!$G$3:$G$302,0)),""),발주접수!$D47))</f>
        <v/>
      </c>
      <c r="N450" s="34" t="str">
        <f>IF($J450=FALSE(),"",IF(발주접수!$F47="세트",발주접수!$G47*IFERROR(INDEX(세트구성!$E$3:$E$302,MATCH(발주접수!$D47&amp;"|"&amp;5,세트구성!$G$3:$G$302,0)),0),발주접수!$G47))</f>
        <v/>
      </c>
      <c r="O450" s="34" t="str">
        <f>IF($J450=FALSE(),"",발주접수!$B47)</f>
        <v/>
      </c>
      <c r="P450" s="34" t="str">
        <f>IF($J450=FALSE(),"",발주접수!$C47)</f>
        <v/>
      </c>
      <c r="Q450" s="34" t="str">
        <f>IF($J450=FALSE(),"",IF(발주접수!$F47="세트",발주접수!$E47&amp;" 전개","직접 발주"))</f>
        <v/>
      </c>
    </row>
    <row r="451" ht="15" customHeight="1" s="30">
      <c r="J451" s="50" t="b">
        <f>IF(발주접수!$D47="",FALSE(),IF(발주접수!$F47="세트",COUNTIF(세트구성!$G$3:$G$302,발주접수!$D47&amp;"|"&amp;6)&gt;0,5=0))</f>
        <v>0</v>
      </c>
      <c r="K451" s="34" t="str">
        <f>IF($J451=FALSE(),"",COUNTIF($J$6:$J451,TRUE()))</f>
        <v/>
      </c>
      <c r="L451" s="34" t="str">
        <f>IF($K451="","","R"&amp;$K451)</f>
        <v/>
      </c>
      <c r="M451" s="34" t="str">
        <f>IF($J451=FALSE(),"",IF(발주접수!$F47="세트",IFERROR(INDEX(세트구성!$C$3:$C$302,MATCH(발주접수!$D47&amp;"|"&amp;6,세트구성!$G$3:$G$302,0)),""),발주접수!$D47))</f>
        <v/>
      </c>
      <c r="N451" s="34" t="str">
        <f>IF($J451=FALSE(),"",IF(발주접수!$F47="세트",발주접수!$G47*IFERROR(INDEX(세트구성!$E$3:$E$302,MATCH(발주접수!$D47&amp;"|"&amp;6,세트구성!$G$3:$G$302,0)),0),발주접수!$G47))</f>
        <v/>
      </c>
      <c r="O451" s="34" t="str">
        <f>IF($J451=FALSE(),"",발주접수!$B47)</f>
        <v/>
      </c>
      <c r="P451" s="34" t="str">
        <f>IF($J451=FALSE(),"",발주접수!$C47)</f>
        <v/>
      </c>
      <c r="Q451" s="34" t="str">
        <f>IF($J451=FALSE(),"",IF(발주접수!$F47="세트",발주접수!$E47&amp;" 전개","직접 발주"))</f>
        <v/>
      </c>
    </row>
    <row r="452" ht="15" customHeight="1" s="30">
      <c r="J452" s="50" t="b">
        <f>IF(발주접수!$D47="",FALSE(),IF(발주접수!$F47="세트",COUNTIF(세트구성!$G$3:$G$302,발주접수!$D47&amp;"|"&amp;7)&gt;0,6=0))</f>
        <v>0</v>
      </c>
      <c r="K452" s="34" t="str">
        <f>IF($J452=FALSE(),"",COUNTIF($J$6:$J452,TRUE()))</f>
        <v/>
      </c>
      <c r="L452" s="34" t="str">
        <f>IF($K452="","","R"&amp;$K452)</f>
        <v/>
      </c>
      <c r="M452" s="34" t="str">
        <f>IF($J452=FALSE(),"",IF(발주접수!$F47="세트",IFERROR(INDEX(세트구성!$C$3:$C$302,MATCH(발주접수!$D47&amp;"|"&amp;7,세트구성!$G$3:$G$302,0)),""),발주접수!$D47))</f>
        <v/>
      </c>
      <c r="N452" s="34" t="str">
        <f>IF($J452=FALSE(),"",IF(발주접수!$F47="세트",발주접수!$G47*IFERROR(INDEX(세트구성!$E$3:$E$302,MATCH(발주접수!$D47&amp;"|"&amp;7,세트구성!$G$3:$G$302,0)),0),발주접수!$G47))</f>
        <v/>
      </c>
      <c r="O452" s="34" t="str">
        <f>IF($J452=FALSE(),"",발주접수!$B47)</f>
        <v/>
      </c>
      <c r="P452" s="34" t="str">
        <f>IF($J452=FALSE(),"",발주접수!$C47)</f>
        <v/>
      </c>
      <c r="Q452" s="34" t="str">
        <f>IF($J452=FALSE(),"",IF(발주접수!$F47="세트",발주접수!$E47&amp;" 전개","직접 발주"))</f>
        <v/>
      </c>
    </row>
    <row r="453" ht="15" customHeight="1" s="30">
      <c r="J453" s="50" t="b">
        <f>IF(발주접수!$D47="",FALSE(),IF(발주접수!$F47="세트",COUNTIF(세트구성!$G$3:$G$302,발주접수!$D47&amp;"|"&amp;8)&gt;0,7=0))</f>
        <v>0</v>
      </c>
      <c r="K453" s="34" t="str">
        <f>IF($J453=FALSE(),"",COUNTIF($J$6:$J453,TRUE()))</f>
        <v/>
      </c>
      <c r="L453" s="34" t="str">
        <f>IF($K453="","","R"&amp;$K453)</f>
        <v/>
      </c>
      <c r="M453" s="34" t="str">
        <f>IF($J453=FALSE(),"",IF(발주접수!$F47="세트",IFERROR(INDEX(세트구성!$C$3:$C$302,MATCH(발주접수!$D47&amp;"|"&amp;8,세트구성!$G$3:$G$302,0)),""),발주접수!$D47))</f>
        <v/>
      </c>
      <c r="N453" s="34" t="str">
        <f>IF($J453=FALSE(),"",IF(발주접수!$F47="세트",발주접수!$G47*IFERROR(INDEX(세트구성!$E$3:$E$302,MATCH(발주접수!$D47&amp;"|"&amp;8,세트구성!$G$3:$G$302,0)),0),발주접수!$G47))</f>
        <v/>
      </c>
      <c r="O453" s="34" t="str">
        <f>IF($J453=FALSE(),"",발주접수!$B47)</f>
        <v/>
      </c>
      <c r="P453" s="34" t="str">
        <f>IF($J453=FALSE(),"",발주접수!$C47)</f>
        <v/>
      </c>
      <c r="Q453" s="34" t="str">
        <f>IF($J453=FALSE(),"",IF(발주접수!$F47="세트",발주접수!$E47&amp;" 전개","직접 발주"))</f>
        <v/>
      </c>
    </row>
    <row r="454" ht="15" customHeight="1" s="30">
      <c r="J454" s="50" t="b">
        <f>IF(발주접수!$D47="",FALSE(),IF(발주접수!$F47="세트",COUNTIF(세트구성!$G$3:$G$302,발주접수!$D47&amp;"|"&amp;9)&gt;0,8=0))</f>
        <v>0</v>
      </c>
      <c r="K454" s="34" t="str">
        <f>IF($J454=FALSE(),"",COUNTIF($J$6:$J454,TRUE()))</f>
        <v/>
      </c>
      <c r="L454" s="34" t="str">
        <f>IF($K454="","","R"&amp;$K454)</f>
        <v/>
      </c>
      <c r="M454" s="34" t="str">
        <f>IF($J454=FALSE(),"",IF(발주접수!$F47="세트",IFERROR(INDEX(세트구성!$C$3:$C$302,MATCH(발주접수!$D47&amp;"|"&amp;9,세트구성!$G$3:$G$302,0)),""),발주접수!$D47))</f>
        <v/>
      </c>
      <c r="N454" s="34" t="str">
        <f>IF($J454=FALSE(),"",IF(발주접수!$F47="세트",발주접수!$G47*IFERROR(INDEX(세트구성!$E$3:$E$302,MATCH(발주접수!$D47&amp;"|"&amp;9,세트구성!$G$3:$G$302,0)),0),발주접수!$G47))</f>
        <v/>
      </c>
      <c r="O454" s="34" t="str">
        <f>IF($J454=FALSE(),"",발주접수!$B47)</f>
        <v/>
      </c>
      <c r="P454" s="34" t="str">
        <f>IF($J454=FALSE(),"",발주접수!$C47)</f>
        <v/>
      </c>
      <c r="Q454" s="34" t="str">
        <f>IF($J454=FALSE(),"",IF(발주접수!$F47="세트",발주접수!$E47&amp;" 전개","직접 발주"))</f>
        <v/>
      </c>
    </row>
    <row r="455" ht="15" customHeight="1" s="30">
      <c r="J455" s="50" t="b">
        <f>IF(발주접수!$D47="",FALSE(),IF(발주접수!$F47="세트",COUNTIF(세트구성!$G$3:$G$302,발주접수!$D47&amp;"|"&amp;10)&gt;0,9=0))</f>
        <v>0</v>
      </c>
      <c r="K455" s="34" t="str">
        <f>IF($J455=FALSE(),"",COUNTIF($J$6:$J455,TRUE()))</f>
        <v/>
      </c>
      <c r="L455" s="34" t="str">
        <f>IF($K455="","","R"&amp;$K455)</f>
        <v/>
      </c>
      <c r="M455" s="34" t="str">
        <f>IF($J455=FALSE(),"",IF(발주접수!$F47="세트",IFERROR(INDEX(세트구성!$C$3:$C$302,MATCH(발주접수!$D47&amp;"|"&amp;10,세트구성!$G$3:$G$302,0)),""),발주접수!$D47))</f>
        <v/>
      </c>
      <c r="N455" s="34" t="str">
        <f>IF($J455=FALSE(),"",IF(발주접수!$F47="세트",발주접수!$G47*IFERROR(INDEX(세트구성!$E$3:$E$302,MATCH(발주접수!$D47&amp;"|"&amp;10,세트구성!$G$3:$G$302,0)),0),발주접수!$G47))</f>
        <v/>
      </c>
      <c r="O455" s="34" t="str">
        <f>IF($J455=FALSE(),"",발주접수!$B47)</f>
        <v/>
      </c>
      <c r="P455" s="34" t="str">
        <f>IF($J455=FALSE(),"",발주접수!$C47)</f>
        <v/>
      </c>
      <c r="Q455" s="34" t="str">
        <f>IF($J455=FALSE(),"",IF(발주접수!$F47="세트",발주접수!$E47&amp;" 전개","직접 발주"))</f>
        <v/>
      </c>
    </row>
    <row r="456" ht="15" customHeight="1" s="30">
      <c r="J456" s="50" t="b">
        <f>IF(발주접수!$D48="",FALSE(),IF(발주접수!$F48="세트",COUNTIF(세트구성!$G$3:$G$302,발주접수!$D48&amp;"|"&amp;1)&gt;0,0=0))</f>
        <v>0</v>
      </c>
      <c r="K456" s="34" t="str">
        <f>IF($J456=FALSE(),"",COUNTIF($J$6:$J456,TRUE()))</f>
        <v/>
      </c>
      <c r="L456" s="34" t="str">
        <f>IF($K456="","","R"&amp;$K456)</f>
        <v/>
      </c>
      <c r="M456" s="34" t="str">
        <f>IF($J456=FALSE(),"",IF(발주접수!$F48="세트",IFERROR(INDEX(세트구성!$C$3:$C$302,MATCH(발주접수!$D48&amp;"|"&amp;1,세트구성!$G$3:$G$302,0)),""),발주접수!$D48))</f>
        <v/>
      </c>
      <c r="N456" s="34" t="str">
        <f>IF($J456=FALSE(),"",IF(발주접수!$F48="세트",발주접수!$G48*IFERROR(INDEX(세트구성!$E$3:$E$302,MATCH(발주접수!$D48&amp;"|"&amp;1,세트구성!$G$3:$G$302,0)),0),발주접수!$G48))</f>
        <v/>
      </c>
      <c r="O456" s="34" t="str">
        <f>IF($J456=FALSE(),"",발주접수!$B48)</f>
        <v/>
      </c>
      <c r="P456" s="34" t="str">
        <f>IF($J456=FALSE(),"",발주접수!$C48)</f>
        <v/>
      </c>
      <c r="Q456" s="34" t="str">
        <f>IF($J456=FALSE(),"",IF(발주접수!$F48="세트",발주접수!$E48&amp;" 전개","직접 발주"))</f>
        <v/>
      </c>
    </row>
    <row r="457" ht="15" customHeight="1" s="30">
      <c r="J457" s="50" t="b">
        <f>IF(발주접수!$D48="",FALSE(),IF(발주접수!$F48="세트",COUNTIF(세트구성!$G$3:$G$302,발주접수!$D48&amp;"|"&amp;2)&gt;0,1=0))</f>
        <v>0</v>
      </c>
      <c r="K457" s="34" t="str">
        <f>IF($J457=FALSE(),"",COUNTIF($J$6:$J457,TRUE()))</f>
        <v/>
      </c>
      <c r="L457" s="34" t="str">
        <f>IF($K457="","","R"&amp;$K457)</f>
        <v/>
      </c>
      <c r="M457" s="34" t="str">
        <f>IF($J457=FALSE(),"",IF(발주접수!$F48="세트",IFERROR(INDEX(세트구성!$C$3:$C$302,MATCH(발주접수!$D48&amp;"|"&amp;2,세트구성!$G$3:$G$302,0)),""),발주접수!$D48))</f>
        <v/>
      </c>
      <c r="N457" s="34" t="str">
        <f>IF($J457=FALSE(),"",IF(발주접수!$F48="세트",발주접수!$G48*IFERROR(INDEX(세트구성!$E$3:$E$302,MATCH(발주접수!$D48&amp;"|"&amp;2,세트구성!$G$3:$G$302,0)),0),발주접수!$G48))</f>
        <v/>
      </c>
      <c r="O457" s="34" t="str">
        <f>IF($J457=FALSE(),"",발주접수!$B48)</f>
        <v/>
      </c>
      <c r="P457" s="34" t="str">
        <f>IF($J457=FALSE(),"",발주접수!$C48)</f>
        <v/>
      </c>
      <c r="Q457" s="34" t="str">
        <f>IF($J457=FALSE(),"",IF(발주접수!$F48="세트",발주접수!$E48&amp;" 전개","직접 발주"))</f>
        <v/>
      </c>
    </row>
    <row r="458" ht="15" customHeight="1" s="30">
      <c r="J458" s="50" t="b">
        <f>IF(발주접수!$D48="",FALSE(),IF(발주접수!$F48="세트",COUNTIF(세트구성!$G$3:$G$302,발주접수!$D48&amp;"|"&amp;3)&gt;0,2=0))</f>
        <v>0</v>
      </c>
      <c r="K458" s="34" t="str">
        <f>IF($J458=FALSE(),"",COUNTIF($J$6:$J458,TRUE()))</f>
        <v/>
      </c>
      <c r="L458" s="34" t="str">
        <f>IF($K458="","","R"&amp;$K458)</f>
        <v/>
      </c>
      <c r="M458" s="34" t="str">
        <f>IF($J458=FALSE(),"",IF(발주접수!$F48="세트",IFERROR(INDEX(세트구성!$C$3:$C$302,MATCH(발주접수!$D48&amp;"|"&amp;3,세트구성!$G$3:$G$302,0)),""),발주접수!$D48))</f>
        <v/>
      </c>
      <c r="N458" s="34" t="str">
        <f>IF($J458=FALSE(),"",IF(발주접수!$F48="세트",발주접수!$G48*IFERROR(INDEX(세트구성!$E$3:$E$302,MATCH(발주접수!$D48&amp;"|"&amp;3,세트구성!$G$3:$G$302,0)),0),발주접수!$G48))</f>
        <v/>
      </c>
      <c r="O458" s="34" t="str">
        <f>IF($J458=FALSE(),"",발주접수!$B48)</f>
        <v/>
      </c>
      <c r="P458" s="34" t="str">
        <f>IF($J458=FALSE(),"",발주접수!$C48)</f>
        <v/>
      </c>
      <c r="Q458" s="34" t="str">
        <f>IF($J458=FALSE(),"",IF(발주접수!$F48="세트",발주접수!$E48&amp;" 전개","직접 발주"))</f>
        <v/>
      </c>
    </row>
    <row r="459" ht="15" customHeight="1" s="30">
      <c r="J459" s="50" t="b">
        <f>IF(발주접수!$D48="",FALSE(),IF(발주접수!$F48="세트",COUNTIF(세트구성!$G$3:$G$302,발주접수!$D48&amp;"|"&amp;4)&gt;0,3=0))</f>
        <v>0</v>
      </c>
      <c r="K459" s="34" t="str">
        <f>IF($J459=FALSE(),"",COUNTIF($J$6:$J459,TRUE()))</f>
        <v/>
      </c>
      <c r="L459" s="34" t="str">
        <f>IF($K459="","","R"&amp;$K459)</f>
        <v/>
      </c>
      <c r="M459" s="34" t="str">
        <f>IF($J459=FALSE(),"",IF(발주접수!$F48="세트",IFERROR(INDEX(세트구성!$C$3:$C$302,MATCH(발주접수!$D48&amp;"|"&amp;4,세트구성!$G$3:$G$302,0)),""),발주접수!$D48))</f>
        <v/>
      </c>
      <c r="N459" s="34" t="str">
        <f>IF($J459=FALSE(),"",IF(발주접수!$F48="세트",발주접수!$G48*IFERROR(INDEX(세트구성!$E$3:$E$302,MATCH(발주접수!$D48&amp;"|"&amp;4,세트구성!$G$3:$G$302,0)),0),발주접수!$G48))</f>
        <v/>
      </c>
      <c r="O459" s="34" t="str">
        <f>IF($J459=FALSE(),"",발주접수!$B48)</f>
        <v/>
      </c>
      <c r="P459" s="34" t="str">
        <f>IF($J459=FALSE(),"",발주접수!$C48)</f>
        <v/>
      </c>
      <c r="Q459" s="34" t="str">
        <f>IF($J459=FALSE(),"",IF(발주접수!$F48="세트",발주접수!$E48&amp;" 전개","직접 발주"))</f>
        <v/>
      </c>
    </row>
    <row r="460" ht="15" customHeight="1" s="30">
      <c r="J460" s="50" t="b">
        <f>IF(발주접수!$D48="",FALSE(),IF(발주접수!$F48="세트",COUNTIF(세트구성!$G$3:$G$302,발주접수!$D48&amp;"|"&amp;5)&gt;0,4=0))</f>
        <v>0</v>
      </c>
      <c r="K460" s="34" t="str">
        <f>IF($J460=FALSE(),"",COUNTIF($J$6:$J460,TRUE()))</f>
        <v/>
      </c>
      <c r="L460" s="34" t="str">
        <f>IF($K460="","","R"&amp;$K460)</f>
        <v/>
      </c>
      <c r="M460" s="34" t="str">
        <f>IF($J460=FALSE(),"",IF(발주접수!$F48="세트",IFERROR(INDEX(세트구성!$C$3:$C$302,MATCH(발주접수!$D48&amp;"|"&amp;5,세트구성!$G$3:$G$302,0)),""),발주접수!$D48))</f>
        <v/>
      </c>
      <c r="N460" s="34" t="str">
        <f>IF($J460=FALSE(),"",IF(발주접수!$F48="세트",발주접수!$G48*IFERROR(INDEX(세트구성!$E$3:$E$302,MATCH(발주접수!$D48&amp;"|"&amp;5,세트구성!$G$3:$G$302,0)),0),발주접수!$G48))</f>
        <v/>
      </c>
      <c r="O460" s="34" t="str">
        <f>IF($J460=FALSE(),"",발주접수!$B48)</f>
        <v/>
      </c>
      <c r="P460" s="34" t="str">
        <f>IF($J460=FALSE(),"",발주접수!$C48)</f>
        <v/>
      </c>
      <c r="Q460" s="34" t="str">
        <f>IF($J460=FALSE(),"",IF(발주접수!$F48="세트",발주접수!$E48&amp;" 전개","직접 발주"))</f>
        <v/>
      </c>
    </row>
    <row r="461" ht="15" customHeight="1" s="30">
      <c r="J461" s="50" t="b">
        <f>IF(발주접수!$D48="",FALSE(),IF(발주접수!$F48="세트",COUNTIF(세트구성!$G$3:$G$302,발주접수!$D48&amp;"|"&amp;6)&gt;0,5=0))</f>
        <v>0</v>
      </c>
      <c r="K461" s="34" t="str">
        <f>IF($J461=FALSE(),"",COUNTIF($J$6:$J461,TRUE()))</f>
        <v/>
      </c>
      <c r="L461" s="34" t="str">
        <f>IF($K461="","","R"&amp;$K461)</f>
        <v/>
      </c>
      <c r="M461" s="34" t="str">
        <f>IF($J461=FALSE(),"",IF(발주접수!$F48="세트",IFERROR(INDEX(세트구성!$C$3:$C$302,MATCH(발주접수!$D48&amp;"|"&amp;6,세트구성!$G$3:$G$302,0)),""),발주접수!$D48))</f>
        <v/>
      </c>
      <c r="N461" s="34" t="str">
        <f>IF($J461=FALSE(),"",IF(발주접수!$F48="세트",발주접수!$G48*IFERROR(INDEX(세트구성!$E$3:$E$302,MATCH(발주접수!$D48&amp;"|"&amp;6,세트구성!$G$3:$G$302,0)),0),발주접수!$G48))</f>
        <v/>
      </c>
      <c r="O461" s="34" t="str">
        <f>IF($J461=FALSE(),"",발주접수!$B48)</f>
        <v/>
      </c>
      <c r="P461" s="34" t="str">
        <f>IF($J461=FALSE(),"",발주접수!$C48)</f>
        <v/>
      </c>
      <c r="Q461" s="34" t="str">
        <f>IF($J461=FALSE(),"",IF(발주접수!$F48="세트",발주접수!$E48&amp;" 전개","직접 발주"))</f>
        <v/>
      </c>
    </row>
    <row r="462" ht="15" customHeight="1" s="30">
      <c r="J462" s="50" t="b">
        <f>IF(발주접수!$D48="",FALSE(),IF(발주접수!$F48="세트",COUNTIF(세트구성!$G$3:$G$302,발주접수!$D48&amp;"|"&amp;7)&gt;0,6=0))</f>
        <v>0</v>
      </c>
      <c r="K462" s="34" t="str">
        <f>IF($J462=FALSE(),"",COUNTIF($J$6:$J462,TRUE()))</f>
        <v/>
      </c>
      <c r="L462" s="34" t="str">
        <f>IF($K462="","","R"&amp;$K462)</f>
        <v/>
      </c>
      <c r="M462" s="34" t="str">
        <f>IF($J462=FALSE(),"",IF(발주접수!$F48="세트",IFERROR(INDEX(세트구성!$C$3:$C$302,MATCH(발주접수!$D48&amp;"|"&amp;7,세트구성!$G$3:$G$302,0)),""),발주접수!$D48))</f>
        <v/>
      </c>
      <c r="N462" s="34" t="str">
        <f>IF($J462=FALSE(),"",IF(발주접수!$F48="세트",발주접수!$G48*IFERROR(INDEX(세트구성!$E$3:$E$302,MATCH(발주접수!$D48&amp;"|"&amp;7,세트구성!$G$3:$G$302,0)),0),발주접수!$G48))</f>
        <v/>
      </c>
      <c r="O462" s="34" t="str">
        <f>IF($J462=FALSE(),"",발주접수!$B48)</f>
        <v/>
      </c>
      <c r="P462" s="34" t="str">
        <f>IF($J462=FALSE(),"",발주접수!$C48)</f>
        <v/>
      </c>
      <c r="Q462" s="34" t="str">
        <f>IF($J462=FALSE(),"",IF(발주접수!$F48="세트",발주접수!$E48&amp;" 전개","직접 발주"))</f>
        <v/>
      </c>
    </row>
    <row r="463" ht="15" customHeight="1" s="30">
      <c r="J463" s="50" t="b">
        <f>IF(발주접수!$D48="",FALSE(),IF(발주접수!$F48="세트",COUNTIF(세트구성!$G$3:$G$302,발주접수!$D48&amp;"|"&amp;8)&gt;0,7=0))</f>
        <v>0</v>
      </c>
      <c r="K463" s="34" t="str">
        <f>IF($J463=FALSE(),"",COUNTIF($J$6:$J463,TRUE()))</f>
        <v/>
      </c>
      <c r="L463" s="34" t="str">
        <f>IF($K463="","","R"&amp;$K463)</f>
        <v/>
      </c>
      <c r="M463" s="34" t="str">
        <f>IF($J463=FALSE(),"",IF(발주접수!$F48="세트",IFERROR(INDEX(세트구성!$C$3:$C$302,MATCH(발주접수!$D48&amp;"|"&amp;8,세트구성!$G$3:$G$302,0)),""),발주접수!$D48))</f>
        <v/>
      </c>
      <c r="N463" s="34" t="str">
        <f>IF($J463=FALSE(),"",IF(발주접수!$F48="세트",발주접수!$G48*IFERROR(INDEX(세트구성!$E$3:$E$302,MATCH(발주접수!$D48&amp;"|"&amp;8,세트구성!$G$3:$G$302,0)),0),발주접수!$G48))</f>
        <v/>
      </c>
      <c r="O463" s="34" t="str">
        <f>IF($J463=FALSE(),"",발주접수!$B48)</f>
        <v/>
      </c>
      <c r="P463" s="34" t="str">
        <f>IF($J463=FALSE(),"",발주접수!$C48)</f>
        <v/>
      </c>
      <c r="Q463" s="34" t="str">
        <f>IF($J463=FALSE(),"",IF(발주접수!$F48="세트",발주접수!$E48&amp;" 전개","직접 발주"))</f>
        <v/>
      </c>
    </row>
    <row r="464" ht="15" customHeight="1" s="30">
      <c r="J464" s="50" t="b">
        <f>IF(발주접수!$D48="",FALSE(),IF(발주접수!$F48="세트",COUNTIF(세트구성!$G$3:$G$302,발주접수!$D48&amp;"|"&amp;9)&gt;0,8=0))</f>
        <v>0</v>
      </c>
      <c r="K464" s="34" t="str">
        <f>IF($J464=FALSE(),"",COUNTIF($J$6:$J464,TRUE()))</f>
        <v/>
      </c>
      <c r="L464" s="34" t="str">
        <f>IF($K464="","","R"&amp;$K464)</f>
        <v/>
      </c>
      <c r="M464" s="34" t="str">
        <f>IF($J464=FALSE(),"",IF(발주접수!$F48="세트",IFERROR(INDEX(세트구성!$C$3:$C$302,MATCH(발주접수!$D48&amp;"|"&amp;9,세트구성!$G$3:$G$302,0)),""),발주접수!$D48))</f>
        <v/>
      </c>
      <c r="N464" s="34" t="str">
        <f>IF($J464=FALSE(),"",IF(발주접수!$F48="세트",발주접수!$G48*IFERROR(INDEX(세트구성!$E$3:$E$302,MATCH(발주접수!$D48&amp;"|"&amp;9,세트구성!$G$3:$G$302,0)),0),발주접수!$G48))</f>
        <v/>
      </c>
      <c r="O464" s="34" t="str">
        <f>IF($J464=FALSE(),"",발주접수!$B48)</f>
        <v/>
      </c>
      <c r="P464" s="34" t="str">
        <f>IF($J464=FALSE(),"",발주접수!$C48)</f>
        <v/>
      </c>
      <c r="Q464" s="34" t="str">
        <f>IF($J464=FALSE(),"",IF(발주접수!$F48="세트",발주접수!$E48&amp;" 전개","직접 발주"))</f>
        <v/>
      </c>
    </row>
    <row r="465" ht="15" customHeight="1" s="30">
      <c r="J465" s="50" t="b">
        <f>IF(발주접수!$D48="",FALSE(),IF(발주접수!$F48="세트",COUNTIF(세트구성!$G$3:$G$302,발주접수!$D48&amp;"|"&amp;10)&gt;0,9=0))</f>
        <v>0</v>
      </c>
      <c r="K465" s="34" t="str">
        <f>IF($J465=FALSE(),"",COUNTIF($J$6:$J465,TRUE()))</f>
        <v/>
      </c>
      <c r="L465" s="34" t="str">
        <f>IF($K465="","","R"&amp;$K465)</f>
        <v/>
      </c>
      <c r="M465" s="34" t="str">
        <f>IF($J465=FALSE(),"",IF(발주접수!$F48="세트",IFERROR(INDEX(세트구성!$C$3:$C$302,MATCH(발주접수!$D48&amp;"|"&amp;10,세트구성!$G$3:$G$302,0)),""),발주접수!$D48))</f>
        <v/>
      </c>
      <c r="N465" s="34" t="str">
        <f>IF($J465=FALSE(),"",IF(발주접수!$F48="세트",발주접수!$G48*IFERROR(INDEX(세트구성!$E$3:$E$302,MATCH(발주접수!$D48&amp;"|"&amp;10,세트구성!$G$3:$G$302,0)),0),발주접수!$G48))</f>
        <v/>
      </c>
      <c r="O465" s="34" t="str">
        <f>IF($J465=FALSE(),"",발주접수!$B48)</f>
        <v/>
      </c>
      <c r="P465" s="34" t="str">
        <f>IF($J465=FALSE(),"",발주접수!$C48)</f>
        <v/>
      </c>
      <c r="Q465" s="34" t="str">
        <f>IF($J465=FALSE(),"",IF(발주접수!$F48="세트",발주접수!$E48&amp;" 전개","직접 발주"))</f>
        <v/>
      </c>
    </row>
    <row r="466" ht="15" customHeight="1" s="30">
      <c r="J466" s="50" t="b">
        <f>IF(발주접수!$D49="",FALSE(),IF(발주접수!$F49="세트",COUNTIF(세트구성!$G$3:$G$302,발주접수!$D49&amp;"|"&amp;1)&gt;0,0=0))</f>
        <v>0</v>
      </c>
      <c r="K466" s="34" t="str">
        <f>IF($J466=FALSE(),"",COUNTIF($J$6:$J466,TRUE()))</f>
        <v/>
      </c>
      <c r="L466" s="34" t="str">
        <f>IF($K466="","","R"&amp;$K466)</f>
        <v/>
      </c>
      <c r="M466" s="34" t="str">
        <f>IF($J466=FALSE(),"",IF(발주접수!$F49="세트",IFERROR(INDEX(세트구성!$C$3:$C$302,MATCH(발주접수!$D49&amp;"|"&amp;1,세트구성!$G$3:$G$302,0)),""),발주접수!$D49))</f>
        <v/>
      </c>
      <c r="N466" s="34" t="str">
        <f>IF($J466=FALSE(),"",IF(발주접수!$F49="세트",발주접수!$G49*IFERROR(INDEX(세트구성!$E$3:$E$302,MATCH(발주접수!$D49&amp;"|"&amp;1,세트구성!$G$3:$G$302,0)),0),발주접수!$G49))</f>
        <v/>
      </c>
      <c r="O466" s="34" t="str">
        <f>IF($J466=FALSE(),"",발주접수!$B49)</f>
        <v/>
      </c>
      <c r="P466" s="34" t="str">
        <f>IF($J466=FALSE(),"",발주접수!$C49)</f>
        <v/>
      </c>
      <c r="Q466" s="34" t="str">
        <f>IF($J466=FALSE(),"",IF(발주접수!$F49="세트",발주접수!$E49&amp;" 전개","직접 발주"))</f>
        <v/>
      </c>
    </row>
    <row r="467" ht="15" customHeight="1" s="30">
      <c r="J467" s="50" t="b">
        <f>IF(발주접수!$D49="",FALSE(),IF(발주접수!$F49="세트",COUNTIF(세트구성!$G$3:$G$302,발주접수!$D49&amp;"|"&amp;2)&gt;0,1=0))</f>
        <v>0</v>
      </c>
      <c r="K467" s="34" t="str">
        <f>IF($J467=FALSE(),"",COUNTIF($J$6:$J467,TRUE()))</f>
        <v/>
      </c>
      <c r="L467" s="34" t="str">
        <f>IF($K467="","","R"&amp;$K467)</f>
        <v/>
      </c>
      <c r="M467" s="34" t="str">
        <f>IF($J467=FALSE(),"",IF(발주접수!$F49="세트",IFERROR(INDEX(세트구성!$C$3:$C$302,MATCH(발주접수!$D49&amp;"|"&amp;2,세트구성!$G$3:$G$302,0)),""),발주접수!$D49))</f>
        <v/>
      </c>
      <c r="N467" s="34" t="str">
        <f>IF($J467=FALSE(),"",IF(발주접수!$F49="세트",발주접수!$G49*IFERROR(INDEX(세트구성!$E$3:$E$302,MATCH(발주접수!$D49&amp;"|"&amp;2,세트구성!$G$3:$G$302,0)),0),발주접수!$G49))</f>
        <v/>
      </c>
      <c r="O467" s="34" t="str">
        <f>IF($J467=FALSE(),"",발주접수!$B49)</f>
        <v/>
      </c>
      <c r="P467" s="34" t="str">
        <f>IF($J467=FALSE(),"",발주접수!$C49)</f>
        <v/>
      </c>
      <c r="Q467" s="34" t="str">
        <f>IF($J467=FALSE(),"",IF(발주접수!$F49="세트",발주접수!$E49&amp;" 전개","직접 발주"))</f>
        <v/>
      </c>
    </row>
    <row r="468" ht="15" customHeight="1" s="30">
      <c r="J468" s="50" t="b">
        <f>IF(발주접수!$D49="",FALSE(),IF(발주접수!$F49="세트",COUNTIF(세트구성!$G$3:$G$302,발주접수!$D49&amp;"|"&amp;3)&gt;0,2=0))</f>
        <v>0</v>
      </c>
      <c r="K468" s="34" t="str">
        <f>IF($J468=FALSE(),"",COUNTIF($J$6:$J468,TRUE()))</f>
        <v/>
      </c>
      <c r="L468" s="34" t="str">
        <f>IF($K468="","","R"&amp;$K468)</f>
        <v/>
      </c>
      <c r="M468" s="34" t="str">
        <f>IF($J468=FALSE(),"",IF(발주접수!$F49="세트",IFERROR(INDEX(세트구성!$C$3:$C$302,MATCH(발주접수!$D49&amp;"|"&amp;3,세트구성!$G$3:$G$302,0)),""),발주접수!$D49))</f>
        <v/>
      </c>
      <c r="N468" s="34" t="str">
        <f>IF($J468=FALSE(),"",IF(발주접수!$F49="세트",발주접수!$G49*IFERROR(INDEX(세트구성!$E$3:$E$302,MATCH(발주접수!$D49&amp;"|"&amp;3,세트구성!$G$3:$G$302,0)),0),발주접수!$G49))</f>
        <v/>
      </c>
      <c r="O468" s="34" t="str">
        <f>IF($J468=FALSE(),"",발주접수!$B49)</f>
        <v/>
      </c>
      <c r="P468" s="34" t="str">
        <f>IF($J468=FALSE(),"",발주접수!$C49)</f>
        <v/>
      </c>
      <c r="Q468" s="34" t="str">
        <f>IF($J468=FALSE(),"",IF(발주접수!$F49="세트",발주접수!$E49&amp;" 전개","직접 발주"))</f>
        <v/>
      </c>
    </row>
    <row r="469" ht="15" customHeight="1" s="30">
      <c r="J469" s="50" t="b">
        <f>IF(발주접수!$D49="",FALSE(),IF(발주접수!$F49="세트",COUNTIF(세트구성!$G$3:$G$302,발주접수!$D49&amp;"|"&amp;4)&gt;0,3=0))</f>
        <v>0</v>
      </c>
      <c r="K469" s="34" t="str">
        <f>IF($J469=FALSE(),"",COUNTIF($J$6:$J469,TRUE()))</f>
        <v/>
      </c>
      <c r="L469" s="34" t="str">
        <f>IF($K469="","","R"&amp;$K469)</f>
        <v/>
      </c>
      <c r="M469" s="34" t="str">
        <f>IF($J469=FALSE(),"",IF(발주접수!$F49="세트",IFERROR(INDEX(세트구성!$C$3:$C$302,MATCH(발주접수!$D49&amp;"|"&amp;4,세트구성!$G$3:$G$302,0)),""),발주접수!$D49))</f>
        <v/>
      </c>
      <c r="N469" s="34" t="str">
        <f>IF($J469=FALSE(),"",IF(발주접수!$F49="세트",발주접수!$G49*IFERROR(INDEX(세트구성!$E$3:$E$302,MATCH(발주접수!$D49&amp;"|"&amp;4,세트구성!$G$3:$G$302,0)),0),발주접수!$G49))</f>
        <v/>
      </c>
      <c r="O469" s="34" t="str">
        <f>IF($J469=FALSE(),"",발주접수!$B49)</f>
        <v/>
      </c>
      <c r="P469" s="34" t="str">
        <f>IF($J469=FALSE(),"",발주접수!$C49)</f>
        <v/>
      </c>
      <c r="Q469" s="34" t="str">
        <f>IF($J469=FALSE(),"",IF(발주접수!$F49="세트",발주접수!$E49&amp;" 전개","직접 발주"))</f>
        <v/>
      </c>
    </row>
    <row r="470" ht="15" customHeight="1" s="30">
      <c r="J470" s="50" t="b">
        <f>IF(발주접수!$D49="",FALSE(),IF(발주접수!$F49="세트",COUNTIF(세트구성!$G$3:$G$302,발주접수!$D49&amp;"|"&amp;5)&gt;0,4=0))</f>
        <v>0</v>
      </c>
      <c r="K470" s="34" t="str">
        <f>IF($J470=FALSE(),"",COUNTIF($J$6:$J470,TRUE()))</f>
        <v/>
      </c>
      <c r="L470" s="34" t="str">
        <f>IF($K470="","","R"&amp;$K470)</f>
        <v/>
      </c>
      <c r="M470" s="34" t="str">
        <f>IF($J470=FALSE(),"",IF(발주접수!$F49="세트",IFERROR(INDEX(세트구성!$C$3:$C$302,MATCH(발주접수!$D49&amp;"|"&amp;5,세트구성!$G$3:$G$302,0)),""),발주접수!$D49))</f>
        <v/>
      </c>
      <c r="N470" s="34" t="str">
        <f>IF($J470=FALSE(),"",IF(발주접수!$F49="세트",발주접수!$G49*IFERROR(INDEX(세트구성!$E$3:$E$302,MATCH(발주접수!$D49&amp;"|"&amp;5,세트구성!$G$3:$G$302,0)),0),발주접수!$G49))</f>
        <v/>
      </c>
      <c r="O470" s="34" t="str">
        <f>IF($J470=FALSE(),"",발주접수!$B49)</f>
        <v/>
      </c>
      <c r="P470" s="34" t="str">
        <f>IF($J470=FALSE(),"",발주접수!$C49)</f>
        <v/>
      </c>
      <c r="Q470" s="34" t="str">
        <f>IF($J470=FALSE(),"",IF(발주접수!$F49="세트",발주접수!$E49&amp;" 전개","직접 발주"))</f>
        <v/>
      </c>
    </row>
    <row r="471" ht="15" customHeight="1" s="30">
      <c r="J471" s="50" t="b">
        <f>IF(발주접수!$D49="",FALSE(),IF(발주접수!$F49="세트",COUNTIF(세트구성!$G$3:$G$302,발주접수!$D49&amp;"|"&amp;6)&gt;0,5=0))</f>
        <v>0</v>
      </c>
      <c r="K471" s="34" t="str">
        <f>IF($J471=FALSE(),"",COUNTIF($J$6:$J471,TRUE()))</f>
        <v/>
      </c>
      <c r="L471" s="34" t="str">
        <f>IF($K471="","","R"&amp;$K471)</f>
        <v/>
      </c>
      <c r="M471" s="34" t="str">
        <f>IF($J471=FALSE(),"",IF(발주접수!$F49="세트",IFERROR(INDEX(세트구성!$C$3:$C$302,MATCH(발주접수!$D49&amp;"|"&amp;6,세트구성!$G$3:$G$302,0)),""),발주접수!$D49))</f>
        <v/>
      </c>
      <c r="N471" s="34" t="str">
        <f>IF($J471=FALSE(),"",IF(발주접수!$F49="세트",발주접수!$G49*IFERROR(INDEX(세트구성!$E$3:$E$302,MATCH(발주접수!$D49&amp;"|"&amp;6,세트구성!$G$3:$G$302,0)),0),발주접수!$G49))</f>
        <v/>
      </c>
      <c r="O471" s="34" t="str">
        <f>IF($J471=FALSE(),"",발주접수!$B49)</f>
        <v/>
      </c>
      <c r="P471" s="34" t="str">
        <f>IF($J471=FALSE(),"",발주접수!$C49)</f>
        <v/>
      </c>
      <c r="Q471" s="34" t="str">
        <f>IF($J471=FALSE(),"",IF(발주접수!$F49="세트",발주접수!$E49&amp;" 전개","직접 발주"))</f>
        <v/>
      </c>
    </row>
    <row r="472" ht="15" customHeight="1" s="30">
      <c r="J472" s="50" t="b">
        <f>IF(발주접수!$D49="",FALSE(),IF(발주접수!$F49="세트",COUNTIF(세트구성!$G$3:$G$302,발주접수!$D49&amp;"|"&amp;7)&gt;0,6=0))</f>
        <v>0</v>
      </c>
      <c r="K472" s="34" t="str">
        <f>IF($J472=FALSE(),"",COUNTIF($J$6:$J472,TRUE()))</f>
        <v/>
      </c>
      <c r="L472" s="34" t="str">
        <f>IF($K472="","","R"&amp;$K472)</f>
        <v/>
      </c>
      <c r="M472" s="34" t="str">
        <f>IF($J472=FALSE(),"",IF(발주접수!$F49="세트",IFERROR(INDEX(세트구성!$C$3:$C$302,MATCH(발주접수!$D49&amp;"|"&amp;7,세트구성!$G$3:$G$302,0)),""),발주접수!$D49))</f>
        <v/>
      </c>
      <c r="N472" s="34" t="str">
        <f>IF($J472=FALSE(),"",IF(발주접수!$F49="세트",발주접수!$G49*IFERROR(INDEX(세트구성!$E$3:$E$302,MATCH(발주접수!$D49&amp;"|"&amp;7,세트구성!$G$3:$G$302,0)),0),발주접수!$G49))</f>
        <v/>
      </c>
      <c r="O472" s="34" t="str">
        <f>IF($J472=FALSE(),"",발주접수!$B49)</f>
        <v/>
      </c>
      <c r="P472" s="34" t="str">
        <f>IF($J472=FALSE(),"",발주접수!$C49)</f>
        <v/>
      </c>
      <c r="Q472" s="34" t="str">
        <f>IF($J472=FALSE(),"",IF(발주접수!$F49="세트",발주접수!$E49&amp;" 전개","직접 발주"))</f>
        <v/>
      </c>
    </row>
    <row r="473" ht="15" customHeight="1" s="30">
      <c r="J473" s="50" t="b">
        <f>IF(발주접수!$D49="",FALSE(),IF(발주접수!$F49="세트",COUNTIF(세트구성!$G$3:$G$302,발주접수!$D49&amp;"|"&amp;8)&gt;0,7=0))</f>
        <v>0</v>
      </c>
      <c r="K473" s="34" t="str">
        <f>IF($J473=FALSE(),"",COUNTIF($J$6:$J473,TRUE()))</f>
        <v/>
      </c>
      <c r="L473" s="34" t="str">
        <f>IF($K473="","","R"&amp;$K473)</f>
        <v/>
      </c>
      <c r="M473" s="34" t="str">
        <f>IF($J473=FALSE(),"",IF(발주접수!$F49="세트",IFERROR(INDEX(세트구성!$C$3:$C$302,MATCH(발주접수!$D49&amp;"|"&amp;8,세트구성!$G$3:$G$302,0)),""),발주접수!$D49))</f>
        <v/>
      </c>
      <c r="N473" s="34" t="str">
        <f>IF($J473=FALSE(),"",IF(발주접수!$F49="세트",발주접수!$G49*IFERROR(INDEX(세트구성!$E$3:$E$302,MATCH(발주접수!$D49&amp;"|"&amp;8,세트구성!$G$3:$G$302,0)),0),발주접수!$G49))</f>
        <v/>
      </c>
      <c r="O473" s="34" t="str">
        <f>IF($J473=FALSE(),"",발주접수!$B49)</f>
        <v/>
      </c>
      <c r="P473" s="34" t="str">
        <f>IF($J473=FALSE(),"",발주접수!$C49)</f>
        <v/>
      </c>
      <c r="Q473" s="34" t="str">
        <f>IF($J473=FALSE(),"",IF(발주접수!$F49="세트",발주접수!$E49&amp;" 전개","직접 발주"))</f>
        <v/>
      </c>
    </row>
    <row r="474" ht="15" customHeight="1" s="30">
      <c r="J474" s="50" t="b">
        <f>IF(발주접수!$D49="",FALSE(),IF(발주접수!$F49="세트",COUNTIF(세트구성!$G$3:$G$302,발주접수!$D49&amp;"|"&amp;9)&gt;0,8=0))</f>
        <v>0</v>
      </c>
      <c r="K474" s="34" t="str">
        <f>IF($J474=FALSE(),"",COUNTIF($J$6:$J474,TRUE()))</f>
        <v/>
      </c>
      <c r="L474" s="34" t="str">
        <f>IF($K474="","","R"&amp;$K474)</f>
        <v/>
      </c>
      <c r="M474" s="34" t="str">
        <f>IF($J474=FALSE(),"",IF(발주접수!$F49="세트",IFERROR(INDEX(세트구성!$C$3:$C$302,MATCH(발주접수!$D49&amp;"|"&amp;9,세트구성!$G$3:$G$302,0)),""),발주접수!$D49))</f>
        <v/>
      </c>
      <c r="N474" s="34" t="str">
        <f>IF($J474=FALSE(),"",IF(발주접수!$F49="세트",발주접수!$G49*IFERROR(INDEX(세트구성!$E$3:$E$302,MATCH(발주접수!$D49&amp;"|"&amp;9,세트구성!$G$3:$G$302,0)),0),발주접수!$G49))</f>
        <v/>
      </c>
      <c r="O474" s="34" t="str">
        <f>IF($J474=FALSE(),"",발주접수!$B49)</f>
        <v/>
      </c>
      <c r="P474" s="34" t="str">
        <f>IF($J474=FALSE(),"",발주접수!$C49)</f>
        <v/>
      </c>
      <c r="Q474" s="34" t="str">
        <f>IF($J474=FALSE(),"",IF(발주접수!$F49="세트",발주접수!$E49&amp;" 전개","직접 발주"))</f>
        <v/>
      </c>
    </row>
    <row r="475" ht="15" customHeight="1" s="30">
      <c r="J475" s="50" t="b">
        <f>IF(발주접수!$D49="",FALSE(),IF(발주접수!$F49="세트",COUNTIF(세트구성!$G$3:$G$302,발주접수!$D49&amp;"|"&amp;10)&gt;0,9=0))</f>
        <v>0</v>
      </c>
      <c r="K475" s="34" t="str">
        <f>IF($J475=FALSE(),"",COUNTIF($J$6:$J475,TRUE()))</f>
        <v/>
      </c>
      <c r="L475" s="34" t="str">
        <f>IF($K475="","","R"&amp;$K475)</f>
        <v/>
      </c>
      <c r="M475" s="34" t="str">
        <f>IF($J475=FALSE(),"",IF(발주접수!$F49="세트",IFERROR(INDEX(세트구성!$C$3:$C$302,MATCH(발주접수!$D49&amp;"|"&amp;10,세트구성!$G$3:$G$302,0)),""),발주접수!$D49))</f>
        <v/>
      </c>
      <c r="N475" s="34" t="str">
        <f>IF($J475=FALSE(),"",IF(발주접수!$F49="세트",발주접수!$G49*IFERROR(INDEX(세트구성!$E$3:$E$302,MATCH(발주접수!$D49&amp;"|"&amp;10,세트구성!$G$3:$G$302,0)),0),발주접수!$G49))</f>
        <v/>
      </c>
      <c r="O475" s="34" t="str">
        <f>IF($J475=FALSE(),"",발주접수!$B49)</f>
        <v/>
      </c>
      <c r="P475" s="34" t="str">
        <f>IF($J475=FALSE(),"",발주접수!$C49)</f>
        <v/>
      </c>
      <c r="Q475" s="34" t="str">
        <f>IF($J475=FALSE(),"",IF(발주접수!$F49="세트",발주접수!$E49&amp;" 전개","직접 발주"))</f>
        <v/>
      </c>
    </row>
    <row r="476" ht="15" customHeight="1" s="30">
      <c r="J476" s="50" t="b">
        <f>IF(발주접수!$D50="",FALSE(),IF(발주접수!$F50="세트",COUNTIF(세트구성!$G$3:$G$302,발주접수!$D50&amp;"|"&amp;1)&gt;0,0=0))</f>
        <v>0</v>
      </c>
      <c r="K476" s="34" t="str">
        <f>IF($J476=FALSE(),"",COUNTIF($J$6:$J476,TRUE()))</f>
        <v/>
      </c>
      <c r="L476" s="34" t="str">
        <f>IF($K476="","","R"&amp;$K476)</f>
        <v/>
      </c>
      <c r="M476" s="34" t="str">
        <f>IF($J476=FALSE(),"",IF(발주접수!$F50="세트",IFERROR(INDEX(세트구성!$C$3:$C$302,MATCH(발주접수!$D50&amp;"|"&amp;1,세트구성!$G$3:$G$302,0)),""),발주접수!$D50))</f>
        <v/>
      </c>
      <c r="N476" s="34" t="str">
        <f>IF($J476=FALSE(),"",IF(발주접수!$F50="세트",발주접수!$G50*IFERROR(INDEX(세트구성!$E$3:$E$302,MATCH(발주접수!$D50&amp;"|"&amp;1,세트구성!$G$3:$G$302,0)),0),발주접수!$G50))</f>
        <v/>
      </c>
      <c r="O476" s="34" t="str">
        <f>IF($J476=FALSE(),"",발주접수!$B50)</f>
        <v/>
      </c>
      <c r="P476" s="34" t="str">
        <f>IF($J476=FALSE(),"",발주접수!$C50)</f>
        <v/>
      </c>
      <c r="Q476" s="34" t="str">
        <f>IF($J476=FALSE(),"",IF(발주접수!$F50="세트",발주접수!$E50&amp;" 전개","직접 발주"))</f>
        <v/>
      </c>
    </row>
    <row r="477" ht="15" customHeight="1" s="30">
      <c r="J477" s="50" t="b">
        <f>IF(발주접수!$D50="",FALSE(),IF(발주접수!$F50="세트",COUNTIF(세트구성!$G$3:$G$302,발주접수!$D50&amp;"|"&amp;2)&gt;0,1=0))</f>
        <v>0</v>
      </c>
      <c r="K477" s="34" t="str">
        <f>IF($J477=FALSE(),"",COUNTIF($J$6:$J477,TRUE()))</f>
        <v/>
      </c>
      <c r="L477" s="34" t="str">
        <f>IF($K477="","","R"&amp;$K477)</f>
        <v/>
      </c>
      <c r="M477" s="34" t="str">
        <f>IF($J477=FALSE(),"",IF(발주접수!$F50="세트",IFERROR(INDEX(세트구성!$C$3:$C$302,MATCH(발주접수!$D50&amp;"|"&amp;2,세트구성!$G$3:$G$302,0)),""),발주접수!$D50))</f>
        <v/>
      </c>
      <c r="N477" s="34" t="str">
        <f>IF($J477=FALSE(),"",IF(발주접수!$F50="세트",발주접수!$G50*IFERROR(INDEX(세트구성!$E$3:$E$302,MATCH(발주접수!$D50&amp;"|"&amp;2,세트구성!$G$3:$G$302,0)),0),발주접수!$G50))</f>
        <v/>
      </c>
      <c r="O477" s="34" t="str">
        <f>IF($J477=FALSE(),"",발주접수!$B50)</f>
        <v/>
      </c>
      <c r="P477" s="34" t="str">
        <f>IF($J477=FALSE(),"",발주접수!$C50)</f>
        <v/>
      </c>
      <c r="Q477" s="34" t="str">
        <f>IF($J477=FALSE(),"",IF(발주접수!$F50="세트",발주접수!$E50&amp;" 전개","직접 발주"))</f>
        <v/>
      </c>
    </row>
    <row r="478" ht="15" customHeight="1" s="30">
      <c r="J478" s="50" t="b">
        <f>IF(발주접수!$D50="",FALSE(),IF(발주접수!$F50="세트",COUNTIF(세트구성!$G$3:$G$302,발주접수!$D50&amp;"|"&amp;3)&gt;0,2=0))</f>
        <v>0</v>
      </c>
      <c r="K478" s="34" t="str">
        <f>IF($J478=FALSE(),"",COUNTIF($J$6:$J478,TRUE()))</f>
        <v/>
      </c>
      <c r="L478" s="34" t="str">
        <f>IF($K478="","","R"&amp;$K478)</f>
        <v/>
      </c>
      <c r="M478" s="34" t="str">
        <f>IF($J478=FALSE(),"",IF(발주접수!$F50="세트",IFERROR(INDEX(세트구성!$C$3:$C$302,MATCH(발주접수!$D50&amp;"|"&amp;3,세트구성!$G$3:$G$302,0)),""),발주접수!$D50))</f>
        <v/>
      </c>
      <c r="N478" s="34" t="str">
        <f>IF($J478=FALSE(),"",IF(발주접수!$F50="세트",발주접수!$G50*IFERROR(INDEX(세트구성!$E$3:$E$302,MATCH(발주접수!$D50&amp;"|"&amp;3,세트구성!$G$3:$G$302,0)),0),발주접수!$G50))</f>
        <v/>
      </c>
      <c r="O478" s="34" t="str">
        <f>IF($J478=FALSE(),"",발주접수!$B50)</f>
        <v/>
      </c>
      <c r="P478" s="34" t="str">
        <f>IF($J478=FALSE(),"",발주접수!$C50)</f>
        <v/>
      </c>
      <c r="Q478" s="34" t="str">
        <f>IF($J478=FALSE(),"",IF(발주접수!$F50="세트",발주접수!$E50&amp;" 전개","직접 발주"))</f>
        <v/>
      </c>
    </row>
    <row r="479" ht="15" customHeight="1" s="30">
      <c r="J479" s="50" t="b">
        <f>IF(발주접수!$D50="",FALSE(),IF(발주접수!$F50="세트",COUNTIF(세트구성!$G$3:$G$302,발주접수!$D50&amp;"|"&amp;4)&gt;0,3=0))</f>
        <v>0</v>
      </c>
      <c r="K479" s="34" t="str">
        <f>IF($J479=FALSE(),"",COUNTIF($J$6:$J479,TRUE()))</f>
        <v/>
      </c>
      <c r="L479" s="34" t="str">
        <f>IF($K479="","","R"&amp;$K479)</f>
        <v/>
      </c>
      <c r="M479" s="34" t="str">
        <f>IF($J479=FALSE(),"",IF(발주접수!$F50="세트",IFERROR(INDEX(세트구성!$C$3:$C$302,MATCH(발주접수!$D50&amp;"|"&amp;4,세트구성!$G$3:$G$302,0)),""),발주접수!$D50))</f>
        <v/>
      </c>
      <c r="N479" s="34" t="str">
        <f>IF($J479=FALSE(),"",IF(발주접수!$F50="세트",발주접수!$G50*IFERROR(INDEX(세트구성!$E$3:$E$302,MATCH(발주접수!$D50&amp;"|"&amp;4,세트구성!$G$3:$G$302,0)),0),발주접수!$G50))</f>
        <v/>
      </c>
      <c r="O479" s="34" t="str">
        <f>IF($J479=FALSE(),"",발주접수!$B50)</f>
        <v/>
      </c>
      <c r="P479" s="34" t="str">
        <f>IF($J479=FALSE(),"",발주접수!$C50)</f>
        <v/>
      </c>
      <c r="Q479" s="34" t="str">
        <f>IF($J479=FALSE(),"",IF(발주접수!$F50="세트",발주접수!$E50&amp;" 전개","직접 발주"))</f>
        <v/>
      </c>
    </row>
    <row r="480" ht="15" customHeight="1" s="30">
      <c r="J480" s="50" t="b">
        <f>IF(발주접수!$D50="",FALSE(),IF(발주접수!$F50="세트",COUNTIF(세트구성!$G$3:$G$302,발주접수!$D50&amp;"|"&amp;5)&gt;0,4=0))</f>
        <v>0</v>
      </c>
      <c r="K480" s="34" t="str">
        <f>IF($J480=FALSE(),"",COUNTIF($J$6:$J480,TRUE()))</f>
        <v/>
      </c>
      <c r="L480" s="34" t="str">
        <f>IF($K480="","","R"&amp;$K480)</f>
        <v/>
      </c>
      <c r="M480" s="34" t="str">
        <f>IF($J480=FALSE(),"",IF(발주접수!$F50="세트",IFERROR(INDEX(세트구성!$C$3:$C$302,MATCH(발주접수!$D50&amp;"|"&amp;5,세트구성!$G$3:$G$302,0)),""),발주접수!$D50))</f>
        <v/>
      </c>
      <c r="N480" s="34" t="str">
        <f>IF($J480=FALSE(),"",IF(발주접수!$F50="세트",발주접수!$G50*IFERROR(INDEX(세트구성!$E$3:$E$302,MATCH(발주접수!$D50&amp;"|"&amp;5,세트구성!$G$3:$G$302,0)),0),발주접수!$G50))</f>
        <v/>
      </c>
      <c r="O480" s="34" t="str">
        <f>IF($J480=FALSE(),"",발주접수!$B50)</f>
        <v/>
      </c>
      <c r="P480" s="34" t="str">
        <f>IF($J480=FALSE(),"",발주접수!$C50)</f>
        <v/>
      </c>
      <c r="Q480" s="34" t="str">
        <f>IF($J480=FALSE(),"",IF(발주접수!$F50="세트",발주접수!$E50&amp;" 전개","직접 발주"))</f>
        <v/>
      </c>
    </row>
    <row r="481" ht="15" customHeight="1" s="30">
      <c r="J481" s="50" t="b">
        <f>IF(발주접수!$D50="",FALSE(),IF(발주접수!$F50="세트",COUNTIF(세트구성!$G$3:$G$302,발주접수!$D50&amp;"|"&amp;6)&gt;0,5=0))</f>
        <v>0</v>
      </c>
      <c r="K481" s="34" t="str">
        <f>IF($J481=FALSE(),"",COUNTIF($J$6:$J481,TRUE()))</f>
        <v/>
      </c>
      <c r="L481" s="34" t="str">
        <f>IF($K481="","","R"&amp;$K481)</f>
        <v/>
      </c>
      <c r="M481" s="34" t="str">
        <f>IF($J481=FALSE(),"",IF(발주접수!$F50="세트",IFERROR(INDEX(세트구성!$C$3:$C$302,MATCH(발주접수!$D50&amp;"|"&amp;6,세트구성!$G$3:$G$302,0)),""),발주접수!$D50))</f>
        <v/>
      </c>
      <c r="N481" s="34" t="str">
        <f>IF($J481=FALSE(),"",IF(발주접수!$F50="세트",발주접수!$G50*IFERROR(INDEX(세트구성!$E$3:$E$302,MATCH(발주접수!$D50&amp;"|"&amp;6,세트구성!$G$3:$G$302,0)),0),발주접수!$G50))</f>
        <v/>
      </c>
      <c r="O481" s="34" t="str">
        <f>IF($J481=FALSE(),"",발주접수!$B50)</f>
        <v/>
      </c>
      <c r="P481" s="34" t="str">
        <f>IF($J481=FALSE(),"",발주접수!$C50)</f>
        <v/>
      </c>
      <c r="Q481" s="34" t="str">
        <f>IF($J481=FALSE(),"",IF(발주접수!$F50="세트",발주접수!$E50&amp;" 전개","직접 발주"))</f>
        <v/>
      </c>
    </row>
    <row r="482" ht="15" customHeight="1" s="30">
      <c r="J482" s="50" t="b">
        <f>IF(발주접수!$D50="",FALSE(),IF(발주접수!$F50="세트",COUNTIF(세트구성!$G$3:$G$302,발주접수!$D50&amp;"|"&amp;7)&gt;0,6=0))</f>
        <v>0</v>
      </c>
      <c r="K482" s="34" t="str">
        <f>IF($J482=FALSE(),"",COUNTIF($J$6:$J482,TRUE()))</f>
        <v/>
      </c>
      <c r="L482" s="34" t="str">
        <f>IF($K482="","","R"&amp;$K482)</f>
        <v/>
      </c>
      <c r="M482" s="34" t="str">
        <f>IF($J482=FALSE(),"",IF(발주접수!$F50="세트",IFERROR(INDEX(세트구성!$C$3:$C$302,MATCH(발주접수!$D50&amp;"|"&amp;7,세트구성!$G$3:$G$302,0)),""),발주접수!$D50))</f>
        <v/>
      </c>
      <c r="N482" s="34" t="str">
        <f>IF($J482=FALSE(),"",IF(발주접수!$F50="세트",발주접수!$G50*IFERROR(INDEX(세트구성!$E$3:$E$302,MATCH(발주접수!$D50&amp;"|"&amp;7,세트구성!$G$3:$G$302,0)),0),발주접수!$G50))</f>
        <v/>
      </c>
      <c r="O482" s="34" t="str">
        <f>IF($J482=FALSE(),"",발주접수!$B50)</f>
        <v/>
      </c>
      <c r="P482" s="34" t="str">
        <f>IF($J482=FALSE(),"",발주접수!$C50)</f>
        <v/>
      </c>
      <c r="Q482" s="34" t="str">
        <f>IF($J482=FALSE(),"",IF(발주접수!$F50="세트",발주접수!$E50&amp;" 전개","직접 발주"))</f>
        <v/>
      </c>
    </row>
    <row r="483" ht="15" customHeight="1" s="30">
      <c r="J483" s="50" t="b">
        <f>IF(발주접수!$D50="",FALSE(),IF(발주접수!$F50="세트",COUNTIF(세트구성!$G$3:$G$302,발주접수!$D50&amp;"|"&amp;8)&gt;0,7=0))</f>
        <v>0</v>
      </c>
      <c r="K483" s="34" t="str">
        <f>IF($J483=FALSE(),"",COUNTIF($J$6:$J483,TRUE()))</f>
        <v/>
      </c>
      <c r="L483" s="34" t="str">
        <f>IF($K483="","","R"&amp;$K483)</f>
        <v/>
      </c>
      <c r="M483" s="34" t="str">
        <f>IF($J483=FALSE(),"",IF(발주접수!$F50="세트",IFERROR(INDEX(세트구성!$C$3:$C$302,MATCH(발주접수!$D50&amp;"|"&amp;8,세트구성!$G$3:$G$302,0)),""),발주접수!$D50))</f>
        <v/>
      </c>
      <c r="N483" s="34" t="str">
        <f>IF($J483=FALSE(),"",IF(발주접수!$F50="세트",발주접수!$G50*IFERROR(INDEX(세트구성!$E$3:$E$302,MATCH(발주접수!$D50&amp;"|"&amp;8,세트구성!$G$3:$G$302,0)),0),발주접수!$G50))</f>
        <v/>
      </c>
      <c r="O483" s="34" t="str">
        <f>IF($J483=FALSE(),"",발주접수!$B50)</f>
        <v/>
      </c>
      <c r="P483" s="34" t="str">
        <f>IF($J483=FALSE(),"",발주접수!$C50)</f>
        <v/>
      </c>
      <c r="Q483" s="34" t="str">
        <f>IF($J483=FALSE(),"",IF(발주접수!$F50="세트",발주접수!$E50&amp;" 전개","직접 발주"))</f>
        <v/>
      </c>
    </row>
    <row r="484" ht="15" customHeight="1" s="30">
      <c r="J484" s="50" t="b">
        <f>IF(발주접수!$D50="",FALSE(),IF(발주접수!$F50="세트",COUNTIF(세트구성!$G$3:$G$302,발주접수!$D50&amp;"|"&amp;9)&gt;0,8=0))</f>
        <v>0</v>
      </c>
      <c r="K484" s="34" t="str">
        <f>IF($J484=FALSE(),"",COUNTIF($J$6:$J484,TRUE()))</f>
        <v/>
      </c>
      <c r="L484" s="34" t="str">
        <f>IF($K484="","","R"&amp;$K484)</f>
        <v/>
      </c>
      <c r="M484" s="34" t="str">
        <f>IF($J484=FALSE(),"",IF(발주접수!$F50="세트",IFERROR(INDEX(세트구성!$C$3:$C$302,MATCH(발주접수!$D50&amp;"|"&amp;9,세트구성!$G$3:$G$302,0)),""),발주접수!$D50))</f>
        <v/>
      </c>
      <c r="N484" s="34" t="str">
        <f>IF($J484=FALSE(),"",IF(발주접수!$F50="세트",발주접수!$G50*IFERROR(INDEX(세트구성!$E$3:$E$302,MATCH(발주접수!$D50&amp;"|"&amp;9,세트구성!$G$3:$G$302,0)),0),발주접수!$G50))</f>
        <v/>
      </c>
      <c r="O484" s="34" t="str">
        <f>IF($J484=FALSE(),"",발주접수!$B50)</f>
        <v/>
      </c>
      <c r="P484" s="34" t="str">
        <f>IF($J484=FALSE(),"",발주접수!$C50)</f>
        <v/>
      </c>
      <c r="Q484" s="34" t="str">
        <f>IF($J484=FALSE(),"",IF(발주접수!$F50="세트",발주접수!$E50&amp;" 전개","직접 발주"))</f>
        <v/>
      </c>
    </row>
    <row r="485" ht="15" customHeight="1" s="30">
      <c r="J485" s="50" t="b">
        <f>IF(발주접수!$D50="",FALSE(),IF(발주접수!$F50="세트",COUNTIF(세트구성!$G$3:$G$302,발주접수!$D50&amp;"|"&amp;10)&gt;0,9=0))</f>
        <v>0</v>
      </c>
      <c r="K485" s="34" t="str">
        <f>IF($J485=FALSE(),"",COUNTIF($J$6:$J485,TRUE()))</f>
        <v/>
      </c>
      <c r="L485" s="34" t="str">
        <f>IF($K485="","","R"&amp;$K485)</f>
        <v/>
      </c>
      <c r="M485" s="34" t="str">
        <f>IF($J485=FALSE(),"",IF(발주접수!$F50="세트",IFERROR(INDEX(세트구성!$C$3:$C$302,MATCH(발주접수!$D50&amp;"|"&amp;10,세트구성!$G$3:$G$302,0)),""),발주접수!$D50))</f>
        <v/>
      </c>
      <c r="N485" s="34" t="str">
        <f>IF($J485=FALSE(),"",IF(발주접수!$F50="세트",발주접수!$G50*IFERROR(INDEX(세트구성!$E$3:$E$302,MATCH(발주접수!$D50&amp;"|"&amp;10,세트구성!$G$3:$G$302,0)),0),발주접수!$G50))</f>
        <v/>
      </c>
      <c r="O485" s="34" t="str">
        <f>IF($J485=FALSE(),"",발주접수!$B50)</f>
        <v/>
      </c>
      <c r="P485" s="34" t="str">
        <f>IF($J485=FALSE(),"",발주접수!$C50)</f>
        <v/>
      </c>
      <c r="Q485" s="34" t="str">
        <f>IF($J485=FALSE(),"",IF(발주접수!$F50="세트",발주접수!$E50&amp;" 전개","직접 발주"))</f>
        <v/>
      </c>
    </row>
    <row r="486" ht="15" customHeight="1" s="30">
      <c r="J486" s="50" t="b">
        <f>IF(발주접수!$D51="",FALSE(),IF(발주접수!$F51="세트",COUNTIF(세트구성!$G$3:$G$302,발주접수!$D51&amp;"|"&amp;1)&gt;0,0=0))</f>
        <v>0</v>
      </c>
      <c r="K486" s="34" t="str">
        <f>IF($J486=FALSE(),"",COUNTIF($J$6:$J486,TRUE()))</f>
        <v/>
      </c>
      <c r="L486" s="34" t="str">
        <f>IF($K486="","","R"&amp;$K486)</f>
        <v/>
      </c>
      <c r="M486" s="34" t="str">
        <f>IF($J486=FALSE(),"",IF(발주접수!$F51="세트",IFERROR(INDEX(세트구성!$C$3:$C$302,MATCH(발주접수!$D51&amp;"|"&amp;1,세트구성!$G$3:$G$302,0)),""),발주접수!$D51))</f>
        <v/>
      </c>
      <c r="N486" s="34" t="str">
        <f>IF($J486=FALSE(),"",IF(발주접수!$F51="세트",발주접수!$G51*IFERROR(INDEX(세트구성!$E$3:$E$302,MATCH(발주접수!$D51&amp;"|"&amp;1,세트구성!$G$3:$G$302,0)),0),발주접수!$G51))</f>
        <v/>
      </c>
      <c r="O486" s="34" t="str">
        <f>IF($J486=FALSE(),"",발주접수!$B51)</f>
        <v/>
      </c>
      <c r="P486" s="34" t="str">
        <f>IF($J486=FALSE(),"",발주접수!$C51)</f>
        <v/>
      </c>
      <c r="Q486" s="34" t="str">
        <f>IF($J486=FALSE(),"",IF(발주접수!$F51="세트",발주접수!$E51&amp;" 전개","직접 발주"))</f>
        <v/>
      </c>
    </row>
    <row r="487" ht="15" customHeight="1" s="30">
      <c r="J487" s="50" t="b">
        <f>IF(발주접수!$D51="",FALSE(),IF(발주접수!$F51="세트",COUNTIF(세트구성!$G$3:$G$302,발주접수!$D51&amp;"|"&amp;2)&gt;0,1=0))</f>
        <v>0</v>
      </c>
      <c r="K487" s="34" t="str">
        <f>IF($J487=FALSE(),"",COUNTIF($J$6:$J487,TRUE()))</f>
        <v/>
      </c>
      <c r="L487" s="34" t="str">
        <f>IF($K487="","","R"&amp;$K487)</f>
        <v/>
      </c>
      <c r="M487" s="34" t="str">
        <f>IF($J487=FALSE(),"",IF(발주접수!$F51="세트",IFERROR(INDEX(세트구성!$C$3:$C$302,MATCH(발주접수!$D51&amp;"|"&amp;2,세트구성!$G$3:$G$302,0)),""),발주접수!$D51))</f>
        <v/>
      </c>
      <c r="N487" s="34" t="str">
        <f>IF($J487=FALSE(),"",IF(발주접수!$F51="세트",발주접수!$G51*IFERROR(INDEX(세트구성!$E$3:$E$302,MATCH(발주접수!$D51&amp;"|"&amp;2,세트구성!$G$3:$G$302,0)),0),발주접수!$G51))</f>
        <v/>
      </c>
      <c r="O487" s="34" t="str">
        <f>IF($J487=FALSE(),"",발주접수!$B51)</f>
        <v/>
      </c>
      <c r="P487" s="34" t="str">
        <f>IF($J487=FALSE(),"",발주접수!$C51)</f>
        <v/>
      </c>
      <c r="Q487" s="34" t="str">
        <f>IF($J487=FALSE(),"",IF(발주접수!$F51="세트",발주접수!$E51&amp;" 전개","직접 발주"))</f>
        <v/>
      </c>
    </row>
    <row r="488" ht="15" customHeight="1" s="30">
      <c r="J488" s="50" t="b">
        <f>IF(발주접수!$D51="",FALSE(),IF(발주접수!$F51="세트",COUNTIF(세트구성!$G$3:$G$302,발주접수!$D51&amp;"|"&amp;3)&gt;0,2=0))</f>
        <v>0</v>
      </c>
      <c r="K488" s="34" t="str">
        <f>IF($J488=FALSE(),"",COUNTIF($J$6:$J488,TRUE()))</f>
        <v/>
      </c>
      <c r="L488" s="34" t="str">
        <f>IF($K488="","","R"&amp;$K488)</f>
        <v/>
      </c>
      <c r="M488" s="34" t="str">
        <f>IF($J488=FALSE(),"",IF(발주접수!$F51="세트",IFERROR(INDEX(세트구성!$C$3:$C$302,MATCH(발주접수!$D51&amp;"|"&amp;3,세트구성!$G$3:$G$302,0)),""),발주접수!$D51))</f>
        <v/>
      </c>
      <c r="N488" s="34" t="str">
        <f>IF($J488=FALSE(),"",IF(발주접수!$F51="세트",발주접수!$G51*IFERROR(INDEX(세트구성!$E$3:$E$302,MATCH(발주접수!$D51&amp;"|"&amp;3,세트구성!$G$3:$G$302,0)),0),발주접수!$G51))</f>
        <v/>
      </c>
      <c r="O488" s="34" t="str">
        <f>IF($J488=FALSE(),"",발주접수!$B51)</f>
        <v/>
      </c>
      <c r="P488" s="34" t="str">
        <f>IF($J488=FALSE(),"",발주접수!$C51)</f>
        <v/>
      </c>
      <c r="Q488" s="34" t="str">
        <f>IF($J488=FALSE(),"",IF(발주접수!$F51="세트",발주접수!$E51&amp;" 전개","직접 발주"))</f>
        <v/>
      </c>
    </row>
    <row r="489" ht="15" customHeight="1" s="30">
      <c r="J489" s="50" t="b">
        <f>IF(발주접수!$D51="",FALSE(),IF(발주접수!$F51="세트",COUNTIF(세트구성!$G$3:$G$302,발주접수!$D51&amp;"|"&amp;4)&gt;0,3=0))</f>
        <v>0</v>
      </c>
      <c r="K489" s="34" t="str">
        <f>IF($J489=FALSE(),"",COUNTIF($J$6:$J489,TRUE()))</f>
        <v/>
      </c>
      <c r="L489" s="34" t="str">
        <f>IF($K489="","","R"&amp;$K489)</f>
        <v/>
      </c>
      <c r="M489" s="34" t="str">
        <f>IF($J489=FALSE(),"",IF(발주접수!$F51="세트",IFERROR(INDEX(세트구성!$C$3:$C$302,MATCH(발주접수!$D51&amp;"|"&amp;4,세트구성!$G$3:$G$302,0)),""),발주접수!$D51))</f>
        <v/>
      </c>
      <c r="N489" s="34" t="str">
        <f>IF($J489=FALSE(),"",IF(발주접수!$F51="세트",발주접수!$G51*IFERROR(INDEX(세트구성!$E$3:$E$302,MATCH(발주접수!$D51&amp;"|"&amp;4,세트구성!$G$3:$G$302,0)),0),발주접수!$G51))</f>
        <v/>
      </c>
      <c r="O489" s="34" t="str">
        <f>IF($J489=FALSE(),"",발주접수!$B51)</f>
        <v/>
      </c>
      <c r="P489" s="34" t="str">
        <f>IF($J489=FALSE(),"",발주접수!$C51)</f>
        <v/>
      </c>
      <c r="Q489" s="34" t="str">
        <f>IF($J489=FALSE(),"",IF(발주접수!$F51="세트",발주접수!$E51&amp;" 전개","직접 발주"))</f>
        <v/>
      </c>
    </row>
    <row r="490" ht="15" customHeight="1" s="30">
      <c r="J490" s="50" t="b">
        <f>IF(발주접수!$D51="",FALSE(),IF(발주접수!$F51="세트",COUNTIF(세트구성!$G$3:$G$302,발주접수!$D51&amp;"|"&amp;5)&gt;0,4=0))</f>
        <v>0</v>
      </c>
      <c r="K490" s="34" t="str">
        <f>IF($J490=FALSE(),"",COUNTIF($J$6:$J490,TRUE()))</f>
        <v/>
      </c>
      <c r="L490" s="34" t="str">
        <f>IF($K490="","","R"&amp;$K490)</f>
        <v/>
      </c>
      <c r="M490" s="34" t="str">
        <f>IF($J490=FALSE(),"",IF(발주접수!$F51="세트",IFERROR(INDEX(세트구성!$C$3:$C$302,MATCH(발주접수!$D51&amp;"|"&amp;5,세트구성!$G$3:$G$302,0)),""),발주접수!$D51))</f>
        <v/>
      </c>
      <c r="N490" s="34" t="str">
        <f>IF($J490=FALSE(),"",IF(발주접수!$F51="세트",발주접수!$G51*IFERROR(INDEX(세트구성!$E$3:$E$302,MATCH(발주접수!$D51&amp;"|"&amp;5,세트구성!$G$3:$G$302,0)),0),발주접수!$G51))</f>
        <v/>
      </c>
      <c r="O490" s="34" t="str">
        <f>IF($J490=FALSE(),"",발주접수!$B51)</f>
        <v/>
      </c>
      <c r="P490" s="34" t="str">
        <f>IF($J490=FALSE(),"",발주접수!$C51)</f>
        <v/>
      </c>
      <c r="Q490" s="34" t="str">
        <f>IF($J490=FALSE(),"",IF(발주접수!$F51="세트",발주접수!$E51&amp;" 전개","직접 발주"))</f>
        <v/>
      </c>
    </row>
    <row r="491" ht="15" customHeight="1" s="30">
      <c r="J491" s="50" t="b">
        <f>IF(발주접수!$D51="",FALSE(),IF(발주접수!$F51="세트",COUNTIF(세트구성!$G$3:$G$302,발주접수!$D51&amp;"|"&amp;6)&gt;0,5=0))</f>
        <v>0</v>
      </c>
      <c r="K491" s="34" t="str">
        <f>IF($J491=FALSE(),"",COUNTIF($J$6:$J491,TRUE()))</f>
        <v/>
      </c>
      <c r="L491" s="34" t="str">
        <f>IF($K491="","","R"&amp;$K491)</f>
        <v/>
      </c>
      <c r="M491" s="34" t="str">
        <f>IF($J491=FALSE(),"",IF(발주접수!$F51="세트",IFERROR(INDEX(세트구성!$C$3:$C$302,MATCH(발주접수!$D51&amp;"|"&amp;6,세트구성!$G$3:$G$302,0)),""),발주접수!$D51))</f>
        <v/>
      </c>
      <c r="N491" s="34" t="str">
        <f>IF($J491=FALSE(),"",IF(발주접수!$F51="세트",발주접수!$G51*IFERROR(INDEX(세트구성!$E$3:$E$302,MATCH(발주접수!$D51&amp;"|"&amp;6,세트구성!$G$3:$G$302,0)),0),발주접수!$G51))</f>
        <v/>
      </c>
      <c r="O491" s="34" t="str">
        <f>IF($J491=FALSE(),"",발주접수!$B51)</f>
        <v/>
      </c>
      <c r="P491" s="34" t="str">
        <f>IF($J491=FALSE(),"",발주접수!$C51)</f>
        <v/>
      </c>
      <c r="Q491" s="34" t="str">
        <f>IF($J491=FALSE(),"",IF(발주접수!$F51="세트",발주접수!$E51&amp;" 전개","직접 발주"))</f>
        <v/>
      </c>
    </row>
    <row r="492" ht="15" customHeight="1" s="30">
      <c r="J492" s="50" t="b">
        <f>IF(발주접수!$D51="",FALSE(),IF(발주접수!$F51="세트",COUNTIF(세트구성!$G$3:$G$302,발주접수!$D51&amp;"|"&amp;7)&gt;0,6=0))</f>
        <v>0</v>
      </c>
      <c r="K492" s="34" t="str">
        <f>IF($J492=FALSE(),"",COUNTIF($J$6:$J492,TRUE()))</f>
        <v/>
      </c>
      <c r="L492" s="34" t="str">
        <f>IF($K492="","","R"&amp;$K492)</f>
        <v/>
      </c>
      <c r="M492" s="34" t="str">
        <f>IF($J492=FALSE(),"",IF(발주접수!$F51="세트",IFERROR(INDEX(세트구성!$C$3:$C$302,MATCH(발주접수!$D51&amp;"|"&amp;7,세트구성!$G$3:$G$302,0)),""),발주접수!$D51))</f>
        <v/>
      </c>
      <c r="N492" s="34" t="str">
        <f>IF($J492=FALSE(),"",IF(발주접수!$F51="세트",발주접수!$G51*IFERROR(INDEX(세트구성!$E$3:$E$302,MATCH(발주접수!$D51&amp;"|"&amp;7,세트구성!$G$3:$G$302,0)),0),발주접수!$G51))</f>
        <v/>
      </c>
      <c r="O492" s="34" t="str">
        <f>IF($J492=FALSE(),"",발주접수!$B51)</f>
        <v/>
      </c>
      <c r="P492" s="34" t="str">
        <f>IF($J492=FALSE(),"",발주접수!$C51)</f>
        <v/>
      </c>
      <c r="Q492" s="34" t="str">
        <f>IF($J492=FALSE(),"",IF(발주접수!$F51="세트",발주접수!$E51&amp;" 전개","직접 발주"))</f>
        <v/>
      </c>
    </row>
    <row r="493" ht="15" customHeight="1" s="30">
      <c r="J493" s="50" t="b">
        <f>IF(발주접수!$D51="",FALSE(),IF(발주접수!$F51="세트",COUNTIF(세트구성!$G$3:$G$302,발주접수!$D51&amp;"|"&amp;8)&gt;0,7=0))</f>
        <v>0</v>
      </c>
      <c r="K493" s="34" t="str">
        <f>IF($J493=FALSE(),"",COUNTIF($J$6:$J493,TRUE()))</f>
        <v/>
      </c>
      <c r="L493" s="34" t="str">
        <f>IF($K493="","","R"&amp;$K493)</f>
        <v/>
      </c>
      <c r="M493" s="34" t="str">
        <f>IF($J493=FALSE(),"",IF(발주접수!$F51="세트",IFERROR(INDEX(세트구성!$C$3:$C$302,MATCH(발주접수!$D51&amp;"|"&amp;8,세트구성!$G$3:$G$302,0)),""),발주접수!$D51))</f>
        <v/>
      </c>
      <c r="N493" s="34" t="str">
        <f>IF($J493=FALSE(),"",IF(발주접수!$F51="세트",발주접수!$G51*IFERROR(INDEX(세트구성!$E$3:$E$302,MATCH(발주접수!$D51&amp;"|"&amp;8,세트구성!$G$3:$G$302,0)),0),발주접수!$G51))</f>
        <v/>
      </c>
      <c r="O493" s="34" t="str">
        <f>IF($J493=FALSE(),"",발주접수!$B51)</f>
        <v/>
      </c>
      <c r="P493" s="34" t="str">
        <f>IF($J493=FALSE(),"",발주접수!$C51)</f>
        <v/>
      </c>
      <c r="Q493" s="34" t="str">
        <f>IF($J493=FALSE(),"",IF(발주접수!$F51="세트",발주접수!$E51&amp;" 전개","직접 발주"))</f>
        <v/>
      </c>
    </row>
    <row r="494" ht="15" customHeight="1" s="30">
      <c r="J494" s="50" t="b">
        <f>IF(발주접수!$D51="",FALSE(),IF(발주접수!$F51="세트",COUNTIF(세트구성!$G$3:$G$302,발주접수!$D51&amp;"|"&amp;9)&gt;0,8=0))</f>
        <v>0</v>
      </c>
      <c r="K494" s="34" t="str">
        <f>IF($J494=FALSE(),"",COUNTIF($J$6:$J494,TRUE()))</f>
        <v/>
      </c>
      <c r="L494" s="34" t="str">
        <f>IF($K494="","","R"&amp;$K494)</f>
        <v/>
      </c>
      <c r="M494" s="34" t="str">
        <f>IF($J494=FALSE(),"",IF(발주접수!$F51="세트",IFERROR(INDEX(세트구성!$C$3:$C$302,MATCH(발주접수!$D51&amp;"|"&amp;9,세트구성!$G$3:$G$302,0)),""),발주접수!$D51))</f>
        <v/>
      </c>
      <c r="N494" s="34" t="str">
        <f>IF($J494=FALSE(),"",IF(발주접수!$F51="세트",발주접수!$G51*IFERROR(INDEX(세트구성!$E$3:$E$302,MATCH(발주접수!$D51&amp;"|"&amp;9,세트구성!$G$3:$G$302,0)),0),발주접수!$G51))</f>
        <v/>
      </c>
      <c r="O494" s="34" t="str">
        <f>IF($J494=FALSE(),"",발주접수!$B51)</f>
        <v/>
      </c>
      <c r="P494" s="34" t="str">
        <f>IF($J494=FALSE(),"",발주접수!$C51)</f>
        <v/>
      </c>
      <c r="Q494" s="34" t="str">
        <f>IF($J494=FALSE(),"",IF(발주접수!$F51="세트",발주접수!$E51&amp;" 전개","직접 발주"))</f>
        <v/>
      </c>
    </row>
    <row r="495" ht="15" customHeight="1" s="30">
      <c r="J495" s="50" t="b">
        <f>IF(발주접수!$D51="",FALSE(),IF(발주접수!$F51="세트",COUNTIF(세트구성!$G$3:$G$302,발주접수!$D51&amp;"|"&amp;10)&gt;0,9=0))</f>
        <v>0</v>
      </c>
      <c r="K495" s="34" t="str">
        <f>IF($J495=FALSE(),"",COUNTIF($J$6:$J495,TRUE()))</f>
        <v/>
      </c>
      <c r="L495" s="34" t="str">
        <f>IF($K495="","","R"&amp;$K495)</f>
        <v/>
      </c>
      <c r="M495" s="34" t="str">
        <f>IF($J495=FALSE(),"",IF(발주접수!$F51="세트",IFERROR(INDEX(세트구성!$C$3:$C$302,MATCH(발주접수!$D51&amp;"|"&amp;10,세트구성!$G$3:$G$302,0)),""),발주접수!$D51))</f>
        <v/>
      </c>
      <c r="N495" s="34" t="str">
        <f>IF($J495=FALSE(),"",IF(발주접수!$F51="세트",발주접수!$G51*IFERROR(INDEX(세트구성!$E$3:$E$302,MATCH(발주접수!$D51&amp;"|"&amp;10,세트구성!$G$3:$G$302,0)),0),발주접수!$G51))</f>
        <v/>
      </c>
      <c r="O495" s="34" t="str">
        <f>IF($J495=FALSE(),"",발주접수!$B51)</f>
        <v/>
      </c>
      <c r="P495" s="34" t="str">
        <f>IF($J495=FALSE(),"",발주접수!$C51)</f>
        <v/>
      </c>
      <c r="Q495" s="34" t="str">
        <f>IF($J495=FALSE(),"",IF(발주접수!$F51="세트",발주접수!$E51&amp;" 전개","직접 발주"))</f>
        <v/>
      </c>
    </row>
    <row r="496" ht="15" customHeight="1" s="30">
      <c r="J496" s="50" t="b">
        <f>IF(발주접수!$D52="",FALSE(),IF(발주접수!$F52="세트",COUNTIF(세트구성!$G$3:$G$302,발주접수!$D52&amp;"|"&amp;1)&gt;0,0=0))</f>
        <v>0</v>
      </c>
      <c r="K496" s="34" t="str">
        <f>IF($J496=FALSE(),"",COUNTIF($J$6:$J496,TRUE()))</f>
        <v/>
      </c>
      <c r="L496" s="34" t="str">
        <f>IF($K496="","","R"&amp;$K496)</f>
        <v/>
      </c>
      <c r="M496" s="34" t="str">
        <f>IF($J496=FALSE(),"",IF(발주접수!$F52="세트",IFERROR(INDEX(세트구성!$C$3:$C$302,MATCH(발주접수!$D52&amp;"|"&amp;1,세트구성!$G$3:$G$302,0)),""),발주접수!$D52))</f>
        <v/>
      </c>
      <c r="N496" s="34" t="str">
        <f>IF($J496=FALSE(),"",IF(발주접수!$F52="세트",발주접수!$G52*IFERROR(INDEX(세트구성!$E$3:$E$302,MATCH(발주접수!$D52&amp;"|"&amp;1,세트구성!$G$3:$G$302,0)),0),발주접수!$G52))</f>
        <v/>
      </c>
      <c r="O496" s="34" t="str">
        <f>IF($J496=FALSE(),"",발주접수!$B52)</f>
        <v/>
      </c>
      <c r="P496" s="34" t="str">
        <f>IF($J496=FALSE(),"",발주접수!$C52)</f>
        <v/>
      </c>
      <c r="Q496" s="34" t="str">
        <f>IF($J496=FALSE(),"",IF(발주접수!$F52="세트",발주접수!$E52&amp;" 전개","직접 발주"))</f>
        <v/>
      </c>
    </row>
    <row r="497" ht="15" customHeight="1" s="30">
      <c r="J497" s="50" t="b">
        <f>IF(발주접수!$D52="",FALSE(),IF(발주접수!$F52="세트",COUNTIF(세트구성!$G$3:$G$302,발주접수!$D52&amp;"|"&amp;2)&gt;0,1=0))</f>
        <v>0</v>
      </c>
      <c r="K497" s="34" t="str">
        <f>IF($J497=FALSE(),"",COUNTIF($J$6:$J497,TRUE()))</f>
        <v/>
      </c>
      <c r="L497" s="34" t="str">
        <f>IF($K497="","","R"&amp;$K497)</f>
        <v/>
      </c>
      <c r="M497" s="34" t="str">
        <f>IF($J497=FALSE(),"",IF(발주접수!$F52="세트",IFERROR(INDEX(세트구성!$C$3:$C$302,MATCH(발주접수!$D52&amp;"|"&amp;2,세트구성!$G$3:$G$302,0)),""),발주접수!$D52))</f>
        <v/>
      </c>
      <c r="N497" s="34" t="str">
        <f>IF($J497=FALSE(),"",IF(발주접수!$F52="세트",발주접수!$G52*IFERROR(INDEX(세트구성!$E$3:$E$302,MATCH(발주접수!$D52&amp;"|"&amp;2,세트구성!$G$3:$G$302,0)),0),발주접수!$G52))</f>
        <v/>
      </c>
      <c r="O497" s="34" t="str">
        <f>IF($J497=FALSE(),"",발주접수!$B52)</f>
        <v/>
      </c>
      <c r="P497" s="34" t="str">
        <f>IF($J497=FALSE(),"",발주접수!$C52)</f>
        <v/>
      </c>
      <c r="Q497" s="34" t="str">
        <f>IF($J497=FALSE(),"",IF(발주접수!$F52="세트",발주접수!$E52&amp;" 전개","직접 발주"))</f>
        <v/>
      </c>
    </row>
    <row r="498" ht="15" customHeight="1" s="30">
      <c r="J498" s="50" t="b">
        <f>IF(발주접수!$D52="",FALSE(),IF(발주접수!$F52="세트",COUNTIF(세트구성!$G$3:$G$302,발주접수!$D52&amp;"|"&amp;3)&gt;0,2=0))</f>
        <v>0</v>
      </c>
      <c r="K498" s="34" t="str">
        <f>IF($J498=FALSE(),"",COUNTIF($J$6:$J498,TRUE()))</f>
        <v/>
      </c>
      <c r="L498" s="34" t="str">
        <f>IF($K498="","","R"&amp;$K498)</f>
        <v/>
      </c>
      <c r="M498" s="34" t="str">
        <f>IF($J498=FALSE(),"",IF(발주접수!$F52="세트",IFERROR(INDEX(세트구성!$C$3:$C$302,MATCH(발주접수!$D52&amp;"|"&amp;3,세트구성!$G$3:$G$302,0)),""),발주접수!$D52))</f>
        <v/>
      </c>
      <c r="N498" s="34" t="str">
        <f>IF($J498=FALSE(),"",IF(발주접수!$F52="세트",발주접수!$G52*IFERROR(INDEX(세트구성!$E$3:$E$302,MATCH(발주접수!$D52&amp;"|"&amp;3,세트구성!$G$3:$G$302,0)),0),발주접수!$G52))</f>
        <v/>
      </c>
      <c r="O498" s="34" t="str">
        <f>IF($J498=FALSE(),"",발주접수!$B52)</f>
        <v/>
      </c>
      <c r="P498" s="34" t="str">
        <f>IF($J498=FALSE(),"",발주접수!$C52)</f>
        <v/>
      </c>
      <c r="Q498" s="34" t="str">
        <f>IF($J498=FALSE(),"",IF(발주접수!$F52="세트",발주접수!$E52&amp;" 전개","직접 발주"))</f>
        <v/>
      </c>
    </row>
    <row r="499" ht="15" customHeight="1" s="30">
      <c r="J499" s="50" t="b">
        <f>IF(발주접수!$D52="",FALSE(),IF(발주접수!$F52="세트",COUNTIF(세트구성!$G$3:$G$302,발주접수!$D52&amp;"|"&amp;4)&gt;0,3=0))</f>
        <v>0</v>
      </c>
      <c r="K499" s="34" t="str">
        <f>IF($J499=FALSE(),"",COUNTIF($J$6:$J499,TRUE()))</f>
        <v/>
      </c>
      <c r="L499" s="34" t="str">
        <f>IF($K499="","","R"&amp;$K499)</f>
        <v/>
      </c>
      <c r="M499" s="34" t="str">
        <f>IF($J499=FALSE(),"",IF(발주접수!$F52="세트",IFERROR(INDEX(세트구성!$C$3:$C$302,MATCH(발주접수!$D52&amp;"|"&amp;4,세트구성!$G$3:$G$302,0)),""),발주접수!$D52))</f>
        <v/>
      </c>
      <c r="N499" s="34" t="str">
        <f>IF($J499=FALSE(),"",IF(발주접수!$F52="세트",발주접수!$G52*IFERROR(INDEX(세트구성!$E$3:$E$302,MATCH(발주접수!$D52&amp;"|"&amp;4,세트구성!$G$3:$G$302,0)),0),발주접수!$G52))</f>
        <v/>
      </c>
      <c r="O499" s="34" t="str">
        <f>IF($J499=FALSE(),"",발주접수!$B52)</f>
        <v/>
      </c>
      <c r="P499" s="34" t="str">
        <f>IF($J499=FALSE(),"",발주접수!$C52)</f>
        <v/>
      </c>
      <c r="Q499" s="34" t="str">
        <f>IF($J499=FALSE(),"",IF(발주접수!$F52="세트",발주접수!$E52&amp;" 전개","직접 발주"))</f>
        <v/>
      </c>
    </row>
    <row r="500" ht="15" customHeight="1" s="30">
      <c r="J500" s="50" t="b">
        <f>IF(발주접수!$D52="",FALSE(),IF(발주접수!$F52="세트",COUNTIF(세트구성!$G$3:$G$302,발주접수!$D52&amp;"|"&amp;5)&gt;0,4=0))</f>
        <v>0</v>
      </c>
      <c r="K500" s="34" t="str">
        <f>IF($J500=FALSE(),"",COUNTIF($J$6:$J500,TRUE()))</f>
        <v/>
      </c>
      <c r="L500" s="34" t="str">
        <f>IF($K500="","","R"&amp;$K500)</f>
        <v/>
      </c>
      <c r="M500" s="34" t="str">
        <f>IF($J500=FALSE(),"",IF(발주접수!$F52="세트",IFERROR(INDEX(세트구성!$C$3:$C$302,MATCH(발주접수!$D52&amp;"|"&amp;5,세트구성!$G$3:$G$302,0)),""),발주접수!$D52))</f>
        <v/>
      </c>
      <c r="N500" s="34" t="str">
        <f>IF($J500=FALSE(),"",IF(발주접수!$F52="세트",발주접수!$G52*IFERROR(INDEX(세트구성!$E$3:$E$302,MATCH(발주접수!$D52&amp;"|"&amp;5,세트구성!$G$3:$G$302,0)),0),발주접수!$G52))</f>
        <v/>
      </c>
      <c r="O500" s="34" t="str">
        <f>IF($J500=FALSE(),"",발주접수!$B52)</f>
        <v/>
      </c>
      <c r="P500" s="34" t="str">
        <f>IF($J500=FALSE(),"",발주접수!$C52)</f>
        <v/>
      </c>
      <c r="Q500" s="34" t="str">
        <f>IF($J500=FALSE(),"",IF(발주접수!$F52="세트",발주접수!$E52&amp;" 전개","직접 발주"))</f>
        <v/>
      </c>
    </row>
    <row r="501" ht="15" customHeight="1" s="30">
      <c r="J501" s="50" t="b">
        <f>IF(발주접수!$D52="",FALSE(),IF(발주접수!$F52="세트",COUNTIF(세트구성!$G$3:$G$302,발주접수!$D52&amp;"|"&amp;6)&gt;0,5=0))</f>
        <v>0</v>
      </c>
      <c r="K501" s="34" t="str">
        <f>IF($J501=FALSE(),"",COUNTIF($J$6:$J501,TRUE()))</f>
        <v/>
      </c>
      <c r="L501" s="34" t="str">
        <f>IF($K501="","","R"&amp;$K501)</f>
        <v/>
      </c>
      <c r="M501" s="34" t="str">
        <f>IF($J501=FALSE(),"",IF(발주접수!$F52="세트",IFERROR(INDEX(세트구성!$C$3:$C$302,MATCH(발주접수!$D52&amp;"|"&amp;6,세트구성!$G$3:$G$302,0)),""),발주접수!$D52))</f>
        <v/>
      </c>
      <c r="N501" s="34" t="str">
        <f>IF($J501=FALSE(),"",IF(발주접수!$F52="세트",발주접수!$G52*IFERROR(INDEX(세트구성!$E$3:$E$302,MATCH(발주접수!$D52&amp;"|"&amp;6,세트구성!$G$3:$G$302,0)),0),발주접수!$G52))</f>
        <v/>
      </c>
      <c r="O501" s="34" t="str">
        <f>IF($J501=FALSE(),"",발주접수!$B52)</f>
        <v/>
      </c>
      <c r="P501" s="34" t="str">
        <f>IF($J501=FALSE(),"",발주접수!$C52)</f>
        <v/>
      </c>
      <c r="Q501" s="34" t="str">
        <f>IF($J501=FALSE(),"",IF(발주접수!$F52="세트",발주접수!$E52&amp;" 전개","직접 발주"))</f>
        <v/>
      </c>
    </row>
    <row r="502" ht="15" customHeight="1" s="30">
      <c r="J502" s="50" t="b">
        <f>IF(발주접수!$D52="",FALSE(),IF(발주접수!$F52="세트",COUNTIF(세트구성!$G$3:$G$302,발주접수!$D52&amp;"|"&amp;7)&gt;0,6=0))</f>
        <v>0</v>
      </c>
      <c r="K502" s="34" t="str">
        <f>IF($J502=FALSE(),"",COUNTIF($J$6:$J502,TRUE()))</f>
        <v/>
      </c>
      <c r="L502" s="34" t="str">
        <f>IF($K502="","","R"&amp;$K502)</f>
        <v/>
      </c>
      <c r="M502" s="34" t="str">
        <f>IF($J502=FALSE(),"",IF(발주접수!$F52="세트",IFERROR(INDEX(세트구성!$C$3:$C$302,MATCH(발주접수!$D52&amp;"|"&amp;7,세트구성!$G$3:$G$302,0)),""),발주접수!$D52))</f>
        <v/>
      </c>
      <c r="N502" s="34" t="str">
        <f>IF($J502=FALSE(),"",IF(발주접수!$F52="세트",발주접수!$G52*IFERROR(INDEX(세트구성!$E$3:$E$302,MATCH(발주접수!$D52&amp;"|"&amp;7,세트구성!$G$3:$G$302,0)),0),발주접수!$G52))</f>
        <v/>
      </c>
      <c r="O502" s="34" t="str">
        <f>IF($J502=FALSE(),"",발주접수!$B52)</f>
        <v/>
      </c>
      <c r="P502" s="34" t="str">
        <f>IF($J502=FALSE(),"",발주접수!$C52)</f>
        <v/>
      </c>
      <c r="Q502" s="34" t="str">
        <f>IF($J502=FALSE(),"",IF(발주접수!$F52="세트",발주접수!$E52&amp;" 전개","직접 발주"))</f>
        <v/>
      </c>
    </row>
    <row r="503" ht="15" customHeight="1" s="30">
      <c r="J503" s="50" t="b">
        <f>IF(발주접수!$D52="",FALSE(),IF(발주접수!$F52="세트",COUNTIF(세트구성!$G$3:$G$302,발주접수!$D52&amp;"|"&amp;8)&gt;0,7=0))</f>
        <v>0</v>
      </c>
      <c r="K503" s="34" t="str">
        <f>IF($J503=FALSE(),"",COUNTIF($J$6:$J503,TRUE()))</f>
        <v/>
      </c>
      <c r="L503" s="34" t="str">
        <f>IF($K503="","","R"&amp;$K503)</f>
        <v/>
      </c>
      <c r="M503" s="34" t="str">
        <f>IF($J503=FALSE(),"",IF(발주접수!$F52="세트",IFERROR(INDEX(세트구성!$C$3:$C$302,MATCH(발주접수!$D52&amp;"|"&amp;8,세트구성!$G$3:$G$302,0)),""),발주접수!$D52))</f>
        <v/>
      </c>
      <c r="N503" s="34" t="str">
        <f>IF($J503=FALSE(),"",IF(발주접수!$F52="세트",발주접수!$G52*IFERROR(INDEX(세트구성!$E$3:$E$302,MATCH(발주접수!$D52&amp;"|"&amp;8,세트구성!$G$3:$G$302,0)),0),발주접수!$G52))</f>
        <v/>
      </c>
      <c r="O503" s="34" t="str">
        <f>IF($J503=FALSE(),"",발주접수!$B52)</f>
        <v/>
      </c>
      <c r="P503" s="34" t="str">
        <f>IF($J503=FALSE(),"",발주접수!$C52)</f>
        <v/>
      </c>
      <c r="Q503" s="34" t="str">
        <f>IF($J503=FALSE(),"",IF(발주접수!$F52="세트",발주접수!$E52&amp;" 전개","직접 발주"))</f>
        <v/>
      </c>
    </row>
    <row r="504" ht="15" customHeight="1" s="30">
      <c r="J504" s="50" t="b">
        <f>IF(발주접수!$D52="",FALSE(),IF(발주접수!$F52="세트",COUNTIF(세트구성!$G$3:$G$302,발주접수!$D52&amp;"|"&amp;9)&gt;0,8=0))</f>
        <v>0</v>
      </c>
      <c r="K504" s="34" t="str">
        <f>IF($J504=FALSE(),"",COUNTIF($J$6:$J504,TRUE()))</f>
        <v/>
      </c>
      <c r="L504" s="34" t="str">
        <f>IF($K504="","","R"&amp;$K504)</f>
        <v/>
      </c>
      <c r="M504" s="34" t="str">
        <f>IF($J504=FALSE(),"",IF(발주접수!$F52="세트",IFERROR(INDEX(세트구성!$C$3:$C$302,MATCH(발주접수!$D52&amp;"|"&amp;9,세트구성!$G$3:$G$302,0)),""),발주접수!$D52))</f>
        <v/>
      </c>
      <c r="N504" s="34" t="str">
        <f>IF($J504=FALSE(),"",IF(발주접수!$F52="세트",발주접수!$G52*IFERROR(INDEX(세트구성!$E$3:$E$302,MATCH(발주접수!$D52&amp;"|"&amp;9,세트구성!$G$3:$G$302,0)),0),발주접수!$G52))</f>
        <v/>
      </c>
      <c r="O504" s="34" t="str">
        <f>IF($J504=FALSE(),"",발주접수!$B52)</f>
        <v/>
      </c>
      <c r="P504" s="34" t="str">
        <f>IF($J504=FALSE(),"",발주접수!$C52)</f>
        <v/>
      </c>
      <c r="Q504" s="34" t="str">
        <f>IF($J504=FALSE(),"",IF(발주접수!$F52="세트",발주접수!$E52&amp;" 전개","직접 발주"))</f>
        <v/>
      </c>
    </row>
    <row r="505" ht="15" customHeight="1" s="30">
      <c r="J505" s="50" t="b">
        <f>IF(발주접수!$D52="",FALSE(),IF(발주접수!$F52="세트",COUNTIF(세트구성!$G$3:$G$302,발주접수!$D52&amp;"|"&amp;10)&gt;0,9=0))</f>
        <v>0</v>
      </c>
      <c r="K505" s="34" t="str">
        <f>IF($J505=FALSE(),"",COUNTIF($J$6:$J505,TRUE()))</f>
        <v/>
      </c>
      <c r="L505" s="34" t="str">
        <f>IF($K505="","","R"&amp;$K505)</f>
        <v/>
      </c>
      <c r="M505" s="34" t="str">
        <f>IF($J505=FALSE(),"",IF(발주접수!$F52="세트",IFERROR(INDEX(세트구성!$C$3:$C$302,MATCH(발주접수!$D52&amp;"|"&amp;10,세트구성!$G$3:$G$302,0)),""),발주접수!$D52))</f>
        <v/>
      </c>
      <c r="N505" s="34" t="str">
        <f>IF($J505=FALSE(),"",IF(발주접수!$F52="세트",발주접수!$G52*IFERROR(INDEX(세트구성!$E$3:$E$302,MATCH(발주접수!$D52&amp;"|"&amp;10,세트구성!$G$3:$G$302,0)),0),발주접수!$G52))</f>
        <v/>
      </c>
      <c r="O505" s="34" t="str">
        <f>IF($J505=FALSE(),"",발주접수!$B52)</f>
        <v/>
      </c>
      <c r="P505" s="34" t="str">
        <f>IF($J505=FALSE(),"",발주접수!$C52)</f>
        <v/>
      </c>
      <c r="Q505" s="34" t="str">
        <f>IF($J505=FALSE(),"",IF(발주접수!$F52="세트",발주접수!$E52&amp;" 전개","직접 발주"))</f>
        <v/>
      </c>
    </row>
    <row r="506" ht="15" customHeight="1" s="30">
      <c r="J506" s="50" t="b">
        <f>IF(발주접수!$D53="",FALSE(),IF(발주접수!$F53="세트",COUNTIF(세트구성!$G$3:$G$302,발주접수!$D53&amp;"|"&amp;1)&gt;0,0=0))</f>
        <v>0</v>
      </c>
      <c r="K506" s="34" t="str">
        <f>IF($J506=FALSE(),"",COUNTIF($J$6:$J506,TRUE()))</f>
        <v/>
      </c>
      <c r="L506" s="34" t="str">
        <f>IF($K506="","","R"&amp;$K506)</f>
        <v/>
      </c>
      <c r="M506" s="34" t="str">
        <f>IF($J506=FALSE(),"",IF(발주접수!$F53="세트",IFERROR(INDEX(세트구성!$C$3:$C$302,MATCH(발주접수!$D53&amp;"|"&amp;1,세트구성!$G$3:$G$302,0)),""),발주접수!$D53))</f>
        <v/>
      </c>
      <c r="N506" s="34" t="str">
        <f>IF($J506=FALSE(),"",IF(발주접수!$F53="세트",발주접수!$G53*IFERROR(INDEX(세트구성!$E$3:$E$302,MATCH(발주접수!$D53&amp;"|"&amp;1,세트구성!$G$3:$G$302,0)),0),발주접수!$G53))</f>
        <v/>
      </c>
      <c r="O506" s="34" t="str">
        <f>IF($J506=FALSE(),"",발주접수!$B53)</f>
        <v/>
      </c>
      <c r="P506" s="34" t="str">
        <f>IF($J506=FALSE(),"",발주접수!$C53)</f>
        <v/>
      </c>
      <c r="Q506" s="34" t="str">
        <f>IF($J506=FALSE(),"",IF(발주접수!$F53="세트",발주접수!$E53&amp;" 전개","직접 발주"))</f>
        <v/>
      </c>
    </row>
    <row r="507" ht="15" customHeight="1" s="30">
      <c r="J507" s="50" t="b">
        <f>IF(발주접수!$D53="",FALSE(),IF(발주접수!$F53="세트",COUNTIF(세트구성!$G$3:$G$302,발주접수!$D53&amp;"|"&amp;2)&gt;0,1=0))</f>
        <v>0</v>
      </c>
      <c r="K507" s="34" t="str">
        <f>IF($J507=FALSE(),"",COUNTIF($J$6:$J507,TRUE()))</f>
        <v/>
      </c>
      <c r="L507" s="34" t="str">
        <f>IF($K507="","","R"&amp;$K507)</f>
        <v/>
      </c>
      <c r="M507" s="34" t="str">
        <f>IF($J507=FALSE(),"",IF(발주접수!$F53="세트",IFERROR(INDEX(세트구성!$C$3:$C$302,MATCH(발주접수!$D53&amp;"|"&amp;2,세트구성!$G$3:$G$302,0)),""),발주접수!$D53))</f>
        <v/>
      </c>
      <c r="N507" s="34" t="str">
        <f>IF($J507=FALSE(),"",IF(발주접수!$F53="세트",발주접수!$G53*IFERROR(INDEX(세트구성!$E$3:$E$302,MATCH(발주접수!$D53&amp;"|"&amp;2,세트구성!$G$3:$G$302,0)),0),발주접수!$G53))</f>
        <v/>
      </c>
      <c r="O507" s="34" t="str">
        <f>IF($J507=FALSE(),"",발주접수!$B53)</f>
        <v/>
      </c>
      <c r="P507" s="34" t="str">
        <f>IF($J507=FALSE(),"",발주접수!$C53)</f>
        <v/>
      </c>
      <c r="Q507" s="34" t="str">
        <f>IF($J507=FALSE(),"",IF(발주접수!$F53="세트",발주접수!$E53&amp;" 전개","직접 발주"))</f>
        <v/>
      </c>
    </row>
    <row r="508" ht="15" customHeight="1" s="30">
      <c r="J508" s="50" t="b">
        <f>IF(발주접수!$D53="",FALSE(),IF(발주접수!$F53="세트",COUNTIF(세트구성!$G$3:$G$302,발주접수!$D53&amp;"|"&amp;3)&gt;0,2=0))</f>
        <v>0</v>
      </c>
      <c r="K508" s="34" t="str">
        <f>IF($J508=FALSE(),"",COUNTIF($J$6:$J508,TRUE()))</f>
        <v/>
      </c>
      <c r="L508" s="34" t="str">
        <f>IF($K508="","","R"&amp;$K508)</f>
        <v/>
      </c>
      <c r="M508" s="34" t="str">
        <f>IF($J508=FALSE(),"",IF(발주접수!$F53="세트",IFERROR(INDEX(세트구성!$C$3:$C$302,MATCH(발주접수!$D53&amp;"|"&amp;3,세트구성!$G$3:$G$302,0)),""),발주접수!$D53))</f>
        <v/>
      </c>
      <c r="N508" s="34" t="str">
        <f>IF($J508=FALSE(),"",IF(발주접수!$F53="세트",발주접수!$G53*IFERROR(INDEX(세트구성!$E$3:$E$302,MATCH(발주접수!$D53&amp;"|"&amp;3,세트구성!$G$3:$G$302,0)),0),발주접수!$G53))</f>
        <v/>
      </c>
      <c r="O508" s="34" t="str">
        <f>IF($J508=FALSE(),"",발주접수!$B53)</f>
        <v/>
      </c>
      <c r="P508" s="34" t="str">
        <f>IF($J508=FALSE(),"",발주접수!$C53)</f>
        <v/>
      </c>
      <c r="Q508" s="34" t="str">
        <f>IF($J508=FALSE(),"",IF(발주접수!$F53="세트",발주접수!$E53&amp;" 전개","직접 발주"))</f>
        <v/>
      </c>
    </row>
    <row r="509" ht="15" customHeight="1" s="30">
      <c r="J509" s="50" t="b">
        <f>IF(발주접수!$D53="",FALSE(),IF(발주접수!$F53="세트",COUNTIF(세트구성!$G$3:$G$302,발주접수!$D53&amp;"|"&amp;4)&gt;0,3=0))</f>
        <v>0</v>
      </c>
      <c r="K509" s="34" t="str">
        <f>IF($J509=FALSE(),"",COUNTIF($J$6:$J509,TRUE()))</f>
        <v/>
      </c>
      <c r="L509" s="34" t="str">
        <f>IF($K509="","","R"&amp;$K509)</f>
        <v/>
      </c>
      <c r="M509" s="34" t="str">
        <f>IF($J509=FALSE(),"",IF(발주접수!$F53="세트",IFERROR(INDEX(세트구성!$C$3:$C$302,MATCH(발주접수!$D53&amp;"|"&amp;4,세트구성!$G$3:$G$302,0)),""),발주접수!$D53))</f>
        <v/>
      </c>
      <c r="N509" s="34" t="str">
        <f>IF($J509=FALSE(),"",IF(발주접수!$F53="세트",발주접수!$G53*IFERROR(INDEX(세트구성!$E$3:$E$302,MATCH(발주접수!$D53&amp;"|"&amp;4,세트구성!$G$3:$G$302,0)),0),발주접수!$G53))</f>
        <v/>
      </c>
      <c r="O509" s="34" t="str">
        <f>IF($J509=FALSE(),"",발주접수!$B53)</f>
        <v/>
      </c>
      <c r="P509" s="34" t="str">
        <f>IF($J509=FALSE(),"",발주접수!$C53)</f>
        <v/>
      </c>
      <c r="Q509" s="34" t="str">
        <f>IF($J509=FALSE(),"",IF(발주접수!$F53="세트",발주접수!$E53&amp;" 전개","직접 발주"))</f>
        <v/>
      </c>
    </row>
    <row r="510" ht="15" customHeight="1" s="30">
      <c r="J510" s="50" t="b">
        <f>IF(발주접수!$D53="",FALSE(),IF(발주접수!$F53="세트",COUNTIF(세트구성!$G$3:$G$302,발주접수!$D53&amp;"|"&amp;5)&gt;0,4=0))</f>
        <v>0</v>
      </c>
      <c r="K510" s="34" t="str">
        <f>IF($J510=FALSE(),"",COUNTIF($J$6:$J510,TRUE()))</f>
        <v/>
      </c>
      <c r="L510" s="34" t="str">
        <f>IF($K510="","","R"&amp;$K510)</f>
        <v/>
      </c>
      <c r="M510" s="34" t="str">
        <f>IF($J510=FALSE(),"",IF(발주접수!$F53="세트",IFERROR(INDEX(세트구성!$C$3:$C$302,MATCH(발주접수!$D53&amp;"|"&amp;5,세트구성!$G$3:$G$302,0)),""),발주접수!$D53))</f>
        <v/>
      </c>
      <c r="N510" s="34" t="str">
        <f>IF($J510=FALSE(),"",IF(발주접수!$F53="세트",발주접수!$G53*IFERROR(INDEX(세트구성!$E$3:$E$302,MATCH(발주접수!$D53&amp;"|"&amp;5,세트구성!$G$3:$G$302,0)),0),발주접수!$G53))</f>
        <v/>
      </c>
      <c r="O510" s="34" t="str">
        <f>IF($J510=FALSE(),"",발주접수!$B53)</f>
        <v/>
      </c>
      <c r="P510" s="34" t="str">
        <f>IF($J510=FALSE(),"",발주접수!$C53)</f>
        <v/>
      </c>
      <c r="Q510" s="34" t="str">
        <f>IF($J510=FALSE(),"",IF(발주접수!$F53="세트",발주접수!$E53&amp;" 전개","직접 발주"))</f>
        <v/>
      </c>
    </row>
    <row r="511" ht="15" customHeight="1" s="30">
      <c r="J511" s="50" t="b">
        <f>IF(발주접수!$D53="",FALSE(),IF(발주접수!$F53="세트",COUNTIF(세트구성!$G$3:$G$302,발주접수!$D53&amp;"|"&amp;6)&gt;0,5=0))</f>
        <v>0</v>
      </c>
      <c r="K511" s="34" t="str">
        <f>IF($J511=FALSE(),"",COUNTIF($J$6:$J511,TRUE()))</f>
        <v/>
      </c>
      <c r="L511" s="34" t="str">
        <f>IF($K511="","","R"&amp;$K511)</f>
        <v/>
      </c>
      <c r="M511" s="34" t="str">
        <f>IF($J511=FALSE(),"",IF(발주접수!$F53="세트",IFERROR(INDEX(세트구성!$C$3:$C$302,MATCH(발주접수!$D53&amp;"|"&amp;6,세트구성!$G$3:$G$302,0)),""),발주접수!$D53))</f>
        <v/>
      </c>
      <c r="N511" s="34" t="str">
        <f>IF($J511=FALSE(),"",IF(발주접수!$F53="세트",발주접수!$G53*IFERROR(INDEX(세트구성!$E$3:$E$302,MATCH(발주접수!$D53&amp;"|"&amp;6,세트구성!$G$3:$G$302,0)),0),발주접수!$G53))</f>
        <v/>
      </c>
      <c r="O511" s="34" t="str">
        <f>IF($J511=FALSE(),"",발주접수!$B53)</f>
        <v/>
      </c>
      <c r="P511" s="34" t="str">
        <f>IF($J511=FALSE(),"",발주접수!$C53)</f>
        <v/>
      </c>
      <c r="Q511" s="34" t="str">
        <f>IF($J511=FALSE(),"",IF(발주접수!$F53="세트",발주접수!$E53&amp;" 전개","직접 발주"))</f>
        <v/>
      </c>
    </row>
    <row r="512" ht="15" customHeight="1" s="30">
      <c r="J512" s="50" t="b">
        <f>IF(발주접수!$D53="",FALSE(),IF(발주접수!$F53="세트",COUNTIF(세트구성!$G$3:$G$302,발주접수!$D53&amp;"|"&amp;7)&gt;0,6=0))</f>
        <v>0</v>
      </c>
      <c r="K512" s="34" t="str">
        <f>IF($J512=FALSE(),"",COUNTIF($J$6:$J512,TRUE()))</f>
        <v/>
      </c>
      <c r="L512" s="34" t="str">
        <f>IF($K512="","","R"&amp;$K512)</f>
        <v/>
      </c>
      <c r="M512" s="34" t="str">
        <f>IF($J512=FALSE(),"",IF(발주접수!$F53="세트",IFERROR(INDEX(세트구성!$C$3:$C$302,MATCH(발주접수!$D53&amp;"|"&amp;7,세트구성!$G$3:$G$302,0)),""),발주접수!$D53))</f>
        <v/>
      </c>
      <c r="N512" s="34" t="str">
        <f>IF($J512=FALSE(),"",IF(발주접수!$F53="세트",발주접수!$G53*IFERROR(INDEX(세트구성!$E$3:$E$302,MATCH(발주접수!$D53&amp;"|"&amp;7,세트구성!$G$3:$G$302,0)),0),발주접수!$G53))</f>
        <v/>
      </c>
      <c r="O512" s="34" t="str">
        <f>IF($J512=FALSE(),"",발주접수!$B53)</f>
        <v/>
      </c>
      <c r="P512" s="34" t="str">
        <f>IF($J512=FALSE(),"",발주접수!$C53)</f>
        <v/>
      </c>
      <c r="Q512" s="34" t="str">
        <f>IF($J512=FALSE(),"",IF(발주접수!$F53="세트",발주접수!$E53&amp;" 전개","직접 발주"))</f>
        <v/>
      </c>
    </row>
    <row r="513" ht="15" customHeight="1" s="30">
      <c r="J513" s="50" t="b">
        <f>IF(발주접수!$D53="",FALSE(),IF(발주접수!$F53="세트",COUNTIF(세트구성!$G$3:$G$302,발주접수!$D53&amp;"|"&amp;8)&gt;0,7=0))</f>
        <v>0</v>
      </c>
      <c r="K513" s="34" t="str">
        <f>IF($J513=FALSE(),"",COUNTIF($J$6:$J513,TRUE()))</f>
        <v/>
      </c>
      <c r="L513" s="34" t="str">
        <f>IF($K513="","","R"&amp;$K513)</f>
        <v/>
      </c>
      <c r="M513" s="34" t="str">
        <f>IF($J513=FALSE(),"",IF(발주접수!$F53="세트",IFERROR(INDEX(세트구성!$C$3:$C$302,MATCH(발주접수!$D53&amp;"|"&amp;8,세트구성!$G$3:$G$302,0)),""),발주접수!$D53))</f>
        <v/>
      </c>
      <c r="N513" s="34" t="str">
        <f>IF($J513=FALSE(),"",IF(발주접수!$F53="세트",발주접수!$G53*IFERROR(INDEX(세트구성!$E$3:$E$302,MATCH(발주접수!$D53&amp;"|"&amp;8,세트구성!$G$3:$G$302,0)),0),발주접수!$G53))</f>
        <v/>
      </c>
      <c r="O513" s="34" t="str">
        <f>IF($J513=FALSE(),"",발주접수!$B53)</f>
        <v/>
      </c>
      <c r="P513" s="34" t="str">
        <f>IF($J513=FALSE(),"",발주접수!$C53)</f>
        <v/>
      </c>
      <c r="Q513" s="34" t="str">
        <f>IF($J513=FALSE(),"",IF(발주접수!$F53="세트",발주접수!$E53&amp;" 전개","직접 발주"))</f>
        <v/>
      </c>
    </row>
    <row r="514" ht="15" customHeight="1" s="30">
      <c r="J514" s="50" t="b">
        <f>IF(발주접수!$D53="",FALSE(),IF(발주접수!$F53="세트",COUNTIF(세트구성!$G$3:$G$302,발주접수!$D53&amp;"|"&amp;9)&gt;0,8=0))</f>
        <v>0</v>
      </c>
      <c r="K514" s="34" t="str">
        <f>IF($J514=FALSE(),"",COUNTIF($J$6:$J514,TRUE()))</f>
        <v/>
      </c>
      <c r="L514" s="34" t="str">
        <f>IF($K514="","","R"&amp;$K514)</f>
        <v/>
      </c>
      <c r="M514" s="34" t="str">
        <f>IF($J514=FALSE(),"",IF(발주접수!$F53="세트",IFERROR(INDEX(세트구성!$C$3:$C$302,MATCH(발주접수!$D53&amp;"|"&amp;9,세트구성!$G$3:$G$302,0)),""),발주접수!$D53))</f>
        <v/>
      </c>
      <c r="N514" s="34" t="str">
        <f>IF($J514=FALSE(),"",IF(발주접수!$F53="세트",발주접수!$G53*IFERROR(INDEX(세트구성!$E$3:$E$302,MATCH(발주접수!$D53&amp;"|"&amp;9,세트구성!$G$3:$G$302,0)),0),발주접수!$G53))</f>
        <v/>
      </c>
      <c r="O514" s="34" t="str">
        <f>IF($J514=FALSE(),"",발주접수!$B53)</f>
        <v/>
      </c>
      <c r="P514" s="34" t="str">
        <f>IF($J514=FALSE(),"",발주접수!$C53)</f>
        <v/>
      </c>
      <c r="Q514" s="34" t="str">
        <f>IF($J514=FALSE(),"",IF(발주접수!$F53="세트",발주접수!$E53&amp;" 전개","직접 발주"))</f>
        <v/>
      </c>
    </row>
    <row r="515" ht="15" customHeight="1" s="30">
      <c r="J515" s="50" t="b">
        <f>IF(발주접수!$D53="",FALSE(),IF(발주접수!$F53="세트",COUNTIF(세트구성!$G$3:$G$302,발주접수!$D53&amp;"|"&amp;10)&gt;0,9=0))</f>
        <v>0</v>
      </c>
      <c r="K515" s="34" t="str">
        <f>IF($J515=FALSE(),"",COUNTIF($J$6:$J515,TRUE()))</f>
        <v/>
      </c>
      <c r="L515" s="34" t="str">
        <f>IF($K515="","","R"&amp;$K515)</f>
        <v/>
      </c>
      <c r="M515" s="34" t="str">
        <f>IF($J515=FALSE(),"",IF(발주접수!$F53="세트",IFERROR(INDEX(세트구성!$C$3:$C$302,MATCH(발주접수!$D53&amp;"|"&amp;10,세트구성!$G$3:$G$302,0)),""),발주접수!$D53))</f>
        <v/>
      </c>
      <c r="N515" s="34" t="str">
        <f>IF($J515=FALSE(),"",IF(발주접수!$F53="세트",발주접수!$G53*IFERROR(INDEX(세트구성!$E$3:$E$302,MATCH(발주접수!$D53&amp;"|"&amp;10,세트구성!$G$3:$G$302,0)),0),발주접수!$G53))</f>
        <v/>
      </c>
      <c r="O515" s="34" t="str">
        <f>IF($J515=FALSE(),"",발주접수!$B53)</f>
        <v/>
      </c>
      <c r="P515" s="34" t="str">
        <f>IF($J515=FALSE(),"",발주접수!$C53)</f>
        <v/>
      </c>
      <c r="Q515" s="34" t="str">
        <f>IF($J515=FALSE(),"",IF(발주접수!$F53="세트",발주접수!$E53&amp;" 전개","직접 발주"))</f>
        <v/>
      </c>
    </row>
    <row r="516" ht="15" customHeight="1" s="30">
      <c r="J516" s="50" t="b">
        <f>IF(발주접수!$D54="",FALSE(),IF(발주접수!$F54="세트",COUNTIF(세트구성!$G$3:$G$302,발주접수!$D54&amp;"|"&amp;1)&gt;0,0=0))</f>
        <v>0</v>
      </c>
      <c r="K516" s="34" t="str">
        <f>IF($J516=FALSE(),"",COUNTIF($J$6:$J516,TRUE()))</f>
        <v/>
      </c>
      <c r="L516" s="34" t="str">
        <f>IF($K516="","","R"&amp;$K516)</f>
        <v/>
      </c>
      <c r="M516" s="34" t="str">
        <f>IF($J516=FALSE(),"",IF(발주접수!$F54="세트",IFERROR(INDEX(세트구성!$C$3:$C$302,MATCH(발주접수!$D54&amp;"|"&amp;1,세트구성!$G$3:$G$302,0)),""),발주접수!$D54))</f>
        <v/>
      </c>
      <c r="N516" s="34" t="str">
        <f>IF($J516=FALSE(),"",IF(발주접수!$F54="세트",발주접수!$G54*IFERROR(INDEX(세트구성!$E$3:$E$302,MATCH(발주접수!$D54&amp;"|"&amp;1,세트구성!$G$3:$G$302,0)),0),발주접수!$G54))</f>
        <v/>
      </c>
      <c r="O516" s="34" t="str">
        <f>IF($J516=FALSE(),"",발주접수!$B54)</f>
        <v/>
      </c>
      <c r="P516" s="34" t="str">
        <f>IF($J516=FALSE(),"",발주접수!$C54)</f>
        <v/>
      </c>
      <c r="Q516" s="34" t="str">
        <f>IF($J516=FALSE(),"",IF(발주접수!$F54="세트",발주접수!$E54&amp;" 전개","직접 발주"))</f>
        <v/>
      </c>
    </row>
    <row r="517" ht="15" customHeight="1" s="30">
      <c r="J517" s="50" t="b">
        <f>IF(발주접수!$D54="",FALSE(),IF(발주접수!$F54="세트",COUNTIF(세트구성!$G$3:$G$302,발주접수!$D54&amp;"|"&amp;2)&gt;0,1=0))</f>
        <v>0</v>
      </c>
      <c r="K517" s="34" t="str">
        <f>IF($J517=FALSE(),"",COUNTIF($J$6:$J517,TRUE()))</f>
        <v/>
      </c>
      <c r="L517" s="34" t="str">
        <f>IF($K517="","","R"&amp;$K517)</f>
        <v/>
      </c>
      <c r="M517" s="34" t="str">
        <f>IF($J517=FALSE(),"",IF(발주접수!$F54="세트",IFERROR(INDEX(세트구성!$C$3:$C$302,MATCH(발주접수!$D54&amp;"|"&amp;2,세트구성!$G$3:$G$302,0)),""),발주접수!$D54))</f>
        <v/>
      </c>
      <c r="N517" s="34" t="str">
        <f>IF($J517=FALSE(),"",IF(발주접수!$F54="세트",발주접수!$G54*IFERROR(INDEX(세트구성!$E$3:$E$302,MATCH(발주접수!$D54&amp;"|"&amp;2,세트구성!$G$3:$G$302,0)),0),발주접수!$G54))</f>
        <v/>
      </c>
      <c r="O517" s="34" t="str">
        <f>IF($J517=FALSE(),"",발주접수!$B54)</f>
        <v/>
      </c>
      <c r="P517" s="34" t="str">
        <f>IF($J517=FALSE(),"",발주접수!$C54)</f>
        <v/>
      </c>
      <c r="Q517" s="34" t="str">
        <f>IF($J517=FALSE(),"",IF(발주접수!$F54="세트",발주접수!$E54&amp;" 전개","직접 발주"))</f>
        <v/>
      </c>
    </row>
    <row r="518" ht="15" customHeight="1" s="30">
      <c r="J518" s="50" t="b">
        <f>IF(발주접수!$D54="",FALSE(),IF(발주접수!$F54="세트",COUNTIF(세트구성!$G$3:$G$302,발주접수!$D54&amp;"|"&amp;3)&gt;0,2=0))</f>
        <v>0</v>
      </c>
      <c r="K518" s="34" t="str">
        <f>IF($J518=FALSE(),"",COUNTIF($J$6:$J518,TRUE()))</f>
        <v/>
      </c>
      <c r="L518" s="34" t="str">
        <f>IF($K518="","","R"&amp;$K518)</f>
        <v/>
      </c>
      <c r="M518" s="34" t="str">
        <f>IF($J518=FALSE(),"",IF(발주접수!$F54="세트",IFERROR(INDEX(세트구성!$C$3:$C$302,MATCH(발주접수!$D54&amp;"|"&amp;3,세트구성!$G$3:$G$302,0)),""),발주접수!$D54))</f>
        <v/>
      </c>
      <c r="N518" s="34" t="str">
        <f>IF($J518=FALSE(),"",IF(발주접수!$F54="세트",발주접수!$G54*IFERROR(INDEX(세트구성!$E$3:$E$302,MATCH(발주접수!$D54&amp;"|"&amp;3,세트구성!$G$3:$G$302,0)),0),발주접수!$G54))</f>
        <v/>
      </c>
      <c r="O518" s="34" t="str">
        <f>IF($J518=FALSE(),"",발주접수!$B54)</f>
        <v/>
      </c>
      <c r="P518" s="34" t="str">
        <f>IF($J518=FALSE(),"",발주접수!$C54)</f>
        <v/>
      </c>
      <c r="Q518" s="34" t="str">
        <f>IF($J518=FALSE(),"",IF(발주접수!$F54="세트",발주접수!$E54&amp;" 전개","직접 발주"))</f>
        <v/>
      </c>
    </row>
    <row r="519" ht="15" customHeight="1" s="30">
      <c r="J519" s="50" t="b">
        <f>IF(발주접수!$D54="",FALSE(),IF(발주접수!$F54="세트",COUNTIF(세트구성!$G$3:$G$302,발주접수!$D54&amp;"|"&amp;4)&gt;0,3=0))</f>
        <v>0</v>
      </c>
      <c r="K519" s="34" t="str">
        <f>IF($J519=FALSE(),"",COUNTIF($J$6:$J519,TRUE()))</f>
        <v/>
      </c>
      <c r="L519" s="34" t="str">
        <f>IF($K519="","","R"&amp;$K519)</f>
        <v/>
      </c>
      <c r="M519" s="34" t="str">
        <f>IF($J519=FALSE(),"",IF(발주접수!$F54="세트",IFERROR(INDEX(세트구성!$C$3:$C$302,MATCH(발주접수!$D54&amp;"|"&amp;4,세트구성!$G$3:$G$302,0)),""),발주접수!$D54))</f>
        <v/>
      </c>
      <c r="N519" s="34" t="str">
        <f>IF($J519=FALSE(),"",IF(발주접수!$F54="세트",발주접수!$G54*IFERROR(INDEX(세트구성!$E$3:$E$302,MATCH(발주접수!$D54&amp;"|"&amp;4,세트구성!$G$3:$G$302,0)),0),발주접수!$G54))</f>
        <v/>
      </c>
      <c r="O519" s="34" t="str">
        <f>IF($J519=FALSE(),"",발주접수!$B54)</f>
        <v/>
      </c>
      <c r="P519" s="34" t="str">
        <f>IF($J519=FALSE(),"",발주접수!$C54)</f>
        <v/>
      </c>
      <c r="Q519" s="34" t="str">
        <f>IF($J519=FALSE(),"",IF(발주접수!$F54="세트",발주접수!$E54&amp;" 전개","직접 발주"))</f>
        <v/>
      </c>
    </row>
    <row r="520" ht="15" customHeight="1" s="30">
      <c r="J520" s="50" t="b">
        <f>IF(발주접수!$D54="",FALSE(),IF(발주접수!$F54="세트",COUNTIF(세트구성!$G$3:$G$302,발주접수!$D54&amp;"|"&amp;5)&gt;0,4=0))</f>
        <v>0</v>
      </c>
      <c r="K520" s="34" t="str">
        <f>IF($J520=FALSE(),"",COUNTIF($J$6:$J520,TRUE()))</f>
        <v/>
      </c>
      <c r="L520" s="34" t="str">
        <f>IF($K520="","","R"&amp;$K520)</f>
        <v/>
      </c>
      <c r="M520" s="34" t="str">
        <f>IF($J520=FALSE(),"",IF(발주접수!$F54="세트",IFERROR(INDEX(세트구성!$C$3:$C$302,MATCH(발주접수!$D54&amp;"|"&amp;5,세트구성!$G$3:$G$302,0)),""),발주접수!$D54))</f>
        <v/>
      </c>
      <c r="N520" s="34" t="str">
        <f>IF($J520=FALSE(),"",IF(발주접수!$F54="세트",발주접수!$G54*IFERROR(INDEX(세트구성!$E$3:$E$302,MATCH(발주접수!$D54&amp;"|"&amp;5,세트구성!$G$3:$G$302,0)),0),발주접수!$G54))</f>
        <v/>
      </c>
      <c r="O520" s="34" t="str">
        <f>IF($J520=FALSE(),"",발주접수!$B54)</f>
        <v/>
      </c>
      <c r="P520" s="34" t="str">
        <f>IF($J520=FALSE(),"",발주접수!$C54)</f>
        <v/>
      </c>
      <c r="Q520" s="34" t="str">
        <f>IF($J520=FALSE(),"",IF(발주접수!$F54="세트",발주접수!$E54&amp;" 전개","직접 발주"))</f>
        <v/>
      </c>
    </row>
    <row r="521" ht="15" customHeight="1" s="30">
      <c r="J521" s="50" t="b">
        <f>IF(발주접수!$D54="",FALSE(),IF(발주접수!$F54="세트",COUNTIF(세트구성!$G$3:$G$302,발주접수!$D54&amp;"|"&amp;6)&gt;0,5=0))</f>
        <v>0</v>
      </c>
      <c r="K521" s="34" t="str">
        <f>IF($J521=FALSE(),"",COUNTIF($J$6:$J521,TRUE()))</f>
        <v/>
      </c>
      <c r="L521" s="34" t="str">
        <f>IF($K521="","","R"&amp;$K521)</f>
        <v/>
      </c>
      <c r="M521" s="34" t="str">
        <f>IF($J521=FALSE(),"",IF(발주접수!$F54="세트",IFERROR(INDEX(세트구성!$C$3:$C$302,MATCH(발주접수!$D54&amp;"|"&amp;6,세트구성!$G$3:$G$302,0)),""),발주접수!$D54))</f>
        <v/>
      </c>
      <c r="N521" s="34" t="str">
        <f>IF($J521=FALSE(),"",IF(발주접수!$F54="세트",발주접수!$G54*IFERROR(INDEX(세트구성!$E$3:$E$302,MATCH(발주접수!$D54&amp;"|"&amp;6,세트구성!$G$3:$G$302,0)),0),발주접수!$G54))</f>
        <v/>
      </c>
      <c r="O521" s="34" t="str">
        <f>IF($J521=FALSE(),"",발주접수!$B54)</f>
        <v/>
      </c>
      <c r="P521" s="34" t="str">
        <f>IF($J521=FALSE(),"",발주접수!$C54)</f>
        <v/>
      </c>
      <c r="Q521" s="34" t="str">
        <f>IF($J521=FALSE(),"",IF(발주접수!$F54="세트",발주접수!$E54&amp;" 전개","직접 발주"))</f>
        <v/>
      </c>
    </row>
    <row r="522" ht="15" customHeight="1" s="30">
      <c r="J522" s="50" t="b">
        <f>IF(발주접수!$D54="",FALSE(),IF(발주접수!$F54="세트",COUNTIF(세트구성!$G$3:$G$302,발주접수!$D54&amp;"|"&amp;7)&gt;0,6=0))</f>
        <v>0</v>
      </c>
      <c r="K522" s="34" t="str">
        <f>IF($J522=FALSE(),"",COUNTIF($J$6:$J522,TRUE()))</f>
        <v/>
      </c>
      <c r="L522" s="34" t="str">
        <f>IF($K522="","","R"&amp;$K522)</f>
        <v/>
      </c>
      <c r="M522" s="34" t="str">
        <f>IF($J522=FALSE(),"",IF(발주접수!$F54="세트",IFERROR(INDEX(세트구성!$C$3:$C$302,MATCH(발주접수!$D54&amp;"|"&amp;7,세트구성!$G$3:$G$302,0)),""),발주접수!$D54))</f>
        <v/>
      </c>
      <c r="N522" s="34" t="str">
        <f>IF($J522=FALSE(),"",IF(발주접수!$F54="세트",발주접수!$G54*IFERROR(INDEX(세트구성!$E$3:$E$302,MATCH(발주접수!$D54&amp;"|"&amp;7,세트구성!$G$3:$G$302,0)),0),발주접수!$G54))</f>
        <v/>
      </c>
      <c r="O522" s="34" t="str">
        <f>IF($J522=FALSE(),"",발주접수!$B54)</f>
        <v/>
      </c>
      <c r="P522" s="34" t="str">
        <f>IF($J522=FALSE(),"",발주접수!$C54)</f>
        <v/>
      </c>
      <c r="Q522" s="34" t="str">
        <f>IF($J522=FALSE(),"",IF(발주접수!$F54="세트",발주접수!$E54&amp;" 전개","직접 발주"))</f>
        <v/>
      </c>
    </row>
    <row r="523" ht="15" customHeight="1" s="30">
      <c r="J523" s="50" t="b">
        <f>IF(발주접수!$D54="",FALSE(),IF(발주접수!$F54="세트",COUNTIF(세트구성!$G$3:$G$302,발주접수!$D54&amp;"|"&amp;8)&gt;0,7=0))</f>
        <v>0</v>
      </c>
      <c r="K523" s="34" t="str">
        <f>IF($J523=FALSE(),"",COUNTIF($J$6:$J523,TRUE()))</f>
        <v/>
      </c>
      <c r="L523" s="34" t="str">
        <f>IF($K523="","","R"&amp;$K523)</f>
        <v/>
      </c>
      <c r="M523" s="34" t="str">
        <f>IF($J523=FALSE(),"",IF(발주접수!$F54="세트",IFERROR(INDEX(세트구성!$C$3:$C$302,MATCH(발주접수!$D54&amp;"|"&amp;8,세트구성!$G$3:$G$302,0)),""),발주접수!$D54))</f>
        <v/>
      </c>
      <c r="N523" s="34" t="str">
        <f>IF($J523=FALSE(),"",IF(발주접수!$F54="세트",발주접수!$G54*IFERROR(INDEX(세트구성!$E$3:$E$302,MATCH(발주접수!$D54&amp;"|"&amp;8,세트구성!$G$3:$G$302,0)),0),발주접수!$G54))</f>
        <v/>
      </c>
      <c r="O523" s="34" t="str">
        <f>IF($J523=FALSE(),"",발주접수!$B54)</f>
        <v/>
      </c>
      <c r="P523" s="34" t="str">
        <f>IF($J523=FALSE(),"",발주접수!$C54)</f>
        <v/>
      </c>
      <c r="Q523" s="34" t="str">
        <f>IF($J523=FALSE(),"",IF(발주접수!$F54="세트",발주접수!$E54&amp;" 전개","직접 발주"))</f>
        <v/>
      </c>
    </row>
    <row r="524" ht="15" customHeight="1" s="30">
      <c r="J524" s="50" t="b">
        <f>IF(발주접수!$D54="",FALSE(),IF(발주접수!$F54="세트",COUNTIF(세트구성!$G$3:$G$302,발주접수!$D54&amp;"|"&amp;9)&gt;0,8=0))</f>
        <v>0</v>
      </c>
      <c r="K524" s="34" t="str">
        <f>IF($J524=FALSE(),"",COUNTIF($J$6:$J524,TRUE()))</f>
        <v/>
      </c>
      <c r="L524" s="34" t="str">
        <f>IF($K524="","","R"&amp;$K524)</f>
        <v/>
      </c>
      <c r="M524" s="34" t="str">
        <f>IF($J524=FALSE(),"",IF(발주접수!$F54="세트",IFERROR(INDEX(세트구성!$C$3:$C$302,MATCH(발주접수!$D54&amp;"|"&amp;9,세트구성!$G$3:$G$302,0)),""),발주접수!$D54))</f>
        <v/>
      </c>
      <c r="N524" s="34" t="str">
        <f>IF($J524=FALSE(),"",IF(발주접수!$F54="세트",발주접수!$G54*IFERROR(INDEX(세트구성!$E$3:$E$302,MATCH(발주접수!$D54&amp;"|"&amp;9,세트구성!$G$3:$G$302,0)),0),발주접수!$G54))</f>
        <v/>
      </c>
      <c r="O524" s="34" t="str">
        <f>IF($J524=FALSE(),"",발주접수!$B54)</f>
        <v/>
      </c>
      <c r="P524" s="34" t="str">
        <f>IF($J524=FALSE(),"",발주접수!$C54)</f>
        <v/>
      </c>
      <c r="Q524" s="34" t="str">
        <f>IF($J524=FALSE(),"",IF(발주접수!$F54="세트",발주접수!$E54&amp;" 전개","직접 발주"))</f>
        <v/>
      </c>
    </row>
    <row r="525" ht="15" customHeight="1" s="30">
      <c r="J525" s="50" t="b">
        <f>IF(발주접수!$D54="",FALSE(),IF(발주접수!$F54="세트",COUNTIF(세트구성!$G$3:$G$302,발주접수!$D54&amp;"|"&amp;10)&gt;0,9=0))</f>
        <v>0</v>
      </c>
      <c r="K525" s="34" t="str">
        <f>IF($J525=FALSE(),"",COUNTIF($J$6:$J525,TRUE()))</f>
        <v/>
      </c>
      <c r="L525" s="34" t="str">
        <f>IF($K525="","","R"&amp;$K525)</f>
        <v/>
      </c>
      <c r="M525" s="34" t="str">
        <f>IF($J525=FALSE(),"",IF(발주접수!$F54="세트",IFERROR(INDEX(세트구성!$C$3:$C$302,MATCH(발주접수!$D54&amp;"|"&amp;10,세트구성!$G$3:$G$302,0)),""),발주접수!$D54))</f>
        <v/>
      </c>
      <c r="N525" s="34" t="str">
        <f>IF($J525=FALSE(),"",IF(발주접수!$F54="세트",발주접수!$G54*IFERROR(INDEX(세트구성!$E$3:$E$302,MATCH(발주접수!$D54&amp;"|"&amp;10,세트구성!$G$3:$G$302,0)),0),발주접수!$G54))</f>
        <v/>
      </c>
      <c r="O525" s="34" t="str">
        <f>IF($J525=FALSE(),"",발주접수!$B54)</f>
        <v/>
      </c>
      <c r="P525" s="34" t="str">
        <f>IF($J525=FALSE(),"",발주접수!$C54)</f>
        <v/>
      </c>
      <c r="Q525" s="34" t="str">
        <f>IF($J525=FALSE(),"",IF(발주접수!$F54="세트",발주접수!$E54&amp;" 전개","직접 발주"))</f>
        <v/>
      </c>
    </row>
    <row r="526" ht="15" customHeight="1" s="30">
      <c r="J526" s="50" t="b">
        <f>IF(발주접수!$D55="",FALSE(),IF(발주접수!$F55="세트",COUNTIF(세트구성!$G$3:$G$302,발주접수!$D55&amp;"|"&amp;1)&gt;0,0=0))</f>
        <v>0</v>
      </c>
      <c r="K526" s="34" t="str">
        <f>IF($J526=FALSE(),"",COUNTIF($J$6:$J526,TRUE()))</f>
        <v/>
      </c>
      <c r="L526" s="34" t="str">
        <f>IF($K526="","","R"&amp;$K526)</f>
        <v/>
      </c>
      <c r="M526" s="34" t="str">
        <f>IF($J526=FALSE(),"",IF(발주접수!$F55="세트",IFERROR(INDEX(세트구성!$C$3:$C$302,MATCH(발주접수!$D55&amp;"|"&amp;1,세트구성!$G$3:$G$302,0)),""),발주접수!$D55))</f>
        <v/>
      </c>
      <c r="N526" s="34" t="str">
        <f>IF($J526=FALSE(),"",IF(발주접수!$F55="세트",발주접수!$G55*IFERROR(INDEX(세트구성!$E$3:$E$302,MATCH(발주접수!$D55&amp;"|"&amp;1,세트구성!$G$3:$G$302,0)),0),발주접수!$G55))</f>
        <v/>
      </c>
      <c r="O526" s="34" t="str">
        <f>IF($J526=FALSE(),"",발주접수!$B55)</f>
        <v/>
      </c>
      <c r="P526" s="34" t="str">
        <f>IF($J526=FALSE(),"",발주접수!$C55)</f>
        <v/>
      </c>
      <c r="Q526" s="34" t="str">
        <f>IF($J526=FALSE(),"",IF(발주접수!$F55="세트",발주접수!$E55&amp;" 전개","직접 발주"))</f>
        <v/>
      </c>
    </row>
    <row r="527" ht="15" customHeight="1" s="30">
      <c r="J527" s="50" t="b">
        <f>IF(발주접수!$D55="",FALSE(),IF(발주접수!$F55="세트",COUNTIF(세트구성!$G$3:$G$302,발주접수!$D55&amp;"|"&amp;2)&gt;0,1=0))</f>
        <v>0</v>
      </c>
      <c r="K527" s="34" t="str">
        <f>IF($J527=FALSE(),"",COUNTIF($J$6:$J527,TRUE()))</f>
        <v/>
      </c>
      <c r="L527" s="34" t="str">
        <f>IF($K527="","","R"&amp;$K527)</f>
        <v/>
      </c>
      <c r="M527" s="34" t="str">
        <f>IF($J527=FALSE(),"",IF(발주접수!$F55="세트",IFERROR(INDEX(세트구성!$C$3:$C$302,MATCH(발주접수!$D55&amp;"|"&amp;2,세트구성!$G$3:$G$302,0)),""),발주접수!$D55))</f>
        <v/>
      </c>
      <c r="N527" s="34" t="str">
        <f>IF($J527=FALSE(),"",IF(발주접수!$F55="세트",발주접수!$G55*IFERROR(INDEX(세트구성!$E$3:$E$302,MATCH(발주접수!$D55&amp;"|"&amp;2,세트구성!$G$3:$G$302,0)),0),발주접수!$G55))</f>
        <v/>
      </c>
      <c r="O527" s="34" t="str">
        <f>IF($J527=FALSE(),"",발주접수!$B55)</f>
        <v/>
      </c>
      <c r="P527" s="34" t="str">
        <f>IF($J527=FALSE(),"",발주접수!$C55)</f>
        <v/>
      </c>
      <c r="Q527" s="34" t="str">
        <f>IF($J527=FALSE(),"",IF(발주접수!$F55="세트",발주접수!$E55&amp;" 전개","직접 발주"))</f>
        <v/>
      </c>
    </row>
    <row r="528" ht="15" customHeight="1" s="30">
      <c r="J528" s="50" t="b">
        <f>IF(발주접수!$D55="",FALSE(),IF(발주접수!$F55="세트",COUNTIF(세트구성!$G$3:$G$302,발주접수!$D55&amp;"|"&amp;3)&gt;0,2=0))</f>
        <v>0</v>
      </c>
      <c r="K528" s="34" t="str">
        <f>IF($J528=FALSE(),"",COUNTIF($J$6:$J528,TRUE()))</f>
        <v/>
      </c>
      <c r="L528" s="34" t="str">
        <f>IF($K528="","","R"&amp;$K528)</f>
        <v/>
      </c>
      <c r="M528" s="34" t="str">
        <f>IF($J528=FALSE(),"",IF(발주접수!$F55="세트",IFERROR(INDEX(세트구성!$C$3:$C$302,MATCH(발주접수!$D55&amp;"|"&amp;3,세트구성!$G$3:$G$302,0)),""),발주접수!$D55))</f>
        <v/>
      </c>
      <c r="N528" s="34" t="str">
        <f>IF($J528=FALSE(),"",IF(발주접수!$F55="세트",발주접수!$G55*IFERROR(INDEX(세트구성!$E$3:$E$302,MATCH(발주접수!$D55&amp;"|"&amp;3,세트구성!$G$3:$G$302,0)),0),발주접수!$G55))</f>
        <v/>
      </c>
      <c r="O528" s="34" t="str">
        <f>IF($J528=FALSE(),"",발주접수!$B55)</f>
        <v/>
      </c>
      <c r="P528" s="34" t="str">
        <f>IF($J528=FALSE(),"",발주접수!$C55)</f>
        <v/>
      </c>
      <c r="Q528" s="34" t="str">
        <f>IF($J528=FALSE(),"",IF(발주접수!$F55="세트",발주접수!$E55&amp;" 전개","직접 발주"))</f>
        <v/>
      </c>
    </row>
    <row r="529" ht="15" customHeight="1" s="30">
      <c r="J529" s="50" t="b">
        <f>IF(발주접수!$D55="",FALSE(),IF(발주접수!$F55="세트",COUNTIF(세트구성!$G$3:$G$302,발주접수!$D55&amp;"|"&amp;4)&gt;0,3=0))</f>
        <v>0</v>
      </c>
      <c r="K529" s="34" t="str">
        <f>IF($J529=FALSE(),"",COUNTIF($J$6:$J529,TRUE()))</f>
        <v/>
      </c>
      <c r="L529" s="34" t="str">
        <f>IF($K529="","","R"&amp;$K529)</f>
        <v/>
      </c>
      <c r="M529" s="34" t="str">
        <f>IF($J529=FALSE(),"",IF(발주접수!$F55="세트",IFERROR(INDEX(세트구성!$C$3:$C$302,MATCH(발주접수!$D55&amp;"|"&amp;4,세트구성!$G$3:$G$302,0)),""),발주접수!$D55))</f>
        <v/>
      </c>
      <c r="N529" s="34" t="str">
        <f>IF($J529=FALSE(),"",IF(발주접수!$F55="세트",발주접수!$G55*IFERROR(INDEX(세트구성!$E$3:$E$302,MATCH(발주접수!$D55&amp;"|"&amp;4,세트구성!$G$3:$G$302,0)),0),발주접수!$G55))</f>
        <v/>
      </c>
      <c r="O529" s="34" t="str">
        <f>IF($J529=FALSE(),"",발주접수!$B55)</f>
        <v/>
      </c>
      <c r="P529" s="34" t="str">
        <f>IF($J529=FALSE(),"",발주접수!$C55)</f>
        <v/>
      </c>
      <c r="Q529" s="34" t="str">
        <f>IF($J529=FALSE(),"",IF(발주접수!$F55="세트",발주접수!$E55&amp;" 전개","직접 발주"))</f>
        <v/>
      </c>
    </row>
    <row r="530" ht="15" customHeight="1" s="30">
      <c r="J530" s="50" t="b">
        <f>IF(발주접수!$D55="",FALSE(),IF(발주접수!$F55="세트",COUNTIF(세트구성!$G$3:$G$302,발주접수!$D55&amp;"|"&amp;5)&gt;0,4=0))</f>
        <v>0</v>
      </c>
      <c r="K530" s="34" t="str">
        <f>IF($J530=FALSE(),"",COUNTIF($J$6:$J530,TRUE()))</f>
        <v/>
      </c>
      <c r="L530" s="34" t="str">
        <f>IF($K530="","","R"&amp;$K530)</f>
        <v/>
      </c>
      <c r="M530" s="34" t="str">
        <f>IF($J530=FALSE(),"",IF(발주접수!$F55="세트",IFERROR(INDEX(세트구성!$C$3:$C$302,MATCH(발주접수!$D55&amp;"|"&amp;5,세트구성!$G$3:$G$302,0)),""),발주접수!$D55))</f>
        <v/>
      </c>
      <c r="N530" s="34" t="str">
        <f>IF($J530=FALSE(),"",IF(발주접수!$F55="세트",발주접수!$G55*IFERROR(INDEX(세트구성!$E$3:$E$302,MATCH(발주접수!$D55&amp;"|"&amp;5,세트구성!$G$3:$G$302,0)),0),발주접수!$G55))</f>
        <v/>
      </c>
      <c r="O530" s="34" t="str">
        <f>IF($J530=FALSE(),"",발주접수!$B55)</f>
        <v/>
      </c>
      <c r="P530" s="34" t="str">
        <f>IF($J530=FALSE(),"",발주접수!$C55)</f>
        <v/>
      </c>
      <c r="Q530" s="34" t="str">
        <f>IF($J530=FALSE(),"",IF(발주접수!$F55="세트",발주접수!$E55&amp;" 전개","직접 발주"))</f>
        <v/>
      </c>
    </row>
    <row r="531" ht="15" customHeight="1" s="30">
      <c r="J531" s="50" t="b">
        <f>IF(발주접수!$D55="",FALSE(),IF(발주접수!$F55="세트",COUNTIF(세트구성!$G$3:$G$302,발주접수!$D55&amp;"|"&amp;6)&gt;0,5=0))</f>
        <v>0</v>
      </c>
      <c r="K531" s="34" t="str">
        <f>IF($J531=FALSE(),"",COUNTIF($J$6:$J531,TRUE()))</f>
        <v/>
      </c>
      <c r="L531" s="34" t="str">
        <f>IF($K531="","","R"&amp;$K531)</f>
        <v/>
      </c>
      <c r="M531" s="34" t="str">
        <f>IF($J531=FALSE(),"",IF(발주접수!$F55="세트",IFERROR(INDEX(세트구성!$C$3:$C$302,MATCH(발주접수!$D55&amp;"|"&amp;6,세트구성!$G$3:$G$302,0)),""),발주접수!$D55))</f>
        <v/>
      </c>
      <c r="N531" s="34" t="str">
        <f>IF($J531=FALSE(),"",IF(발주접수!$F55="세트",발주접수!$G55*IFERROR(INDEX(세트구성!$E$3:$E$302,MATCH(발주접수!$D55&amp;"|"&amp;6,세트구성!$G$3:$G$302,0)),0),발주접수!$G55))</f>
        <v/>
      </c>
      <c r="O531" s="34" t="str">
        <f>IF($J531=FALSE(),"",발주접수!$B55)</f>
        <v/>
      </c>
      <c r="P531" s="34" t="str">
        <f>IF($J531=FALSE(),"",발주접수!$C55)</f>
        <v/>
      </c>
      <c r="Q531" s="34" t="str">
        <f>IF($J531=FALSE(),"",IF(발주접수!$F55="세트",발주접수!$E55&amp;" 전개","직접 발주"))</f>
        <v/>
      </c>
    </row>
    <row r="532" ht="15" customHeight="1" s="30">
      <c r="J532" s="50" t="b">
        <f>IF(발주접수!$D55="",FALSE(),IF(발주접수!$F55="세트",COUNTIF(세트구성!$G$3:$G$302,발주접수!$D55&amp;"|"&amp;7)&gt;0,6=0))</f>
        <v>0</v>
      </c>
      <c r="K532" s="34" t="str">
        <f>IF($J532=FALSE(),"",COUNTIF($J$6:$J532,TRUE()))</f>
        <v/>
      </c>
      <c r="L532" s="34" t="str">
        <f>IF($K532="","","R"&amp;$K532)</f>
        <v/>
      </c>
      <c r="M532" s="34" t="str">
        <f>IF($J532=FALSE(),"",IF(발주접수!$F55="세트",IFERROR(INDEX(세트구성!$C$3:$C$302,MATCH(발주접수!$D55&amp;"|"&amp;7,세트구성!$G$3:$G$302,0)),""),발주접수!$D55))</f>
        <v/>
      </c>
      <c r="N532" s="34" t="str">
        <f>IF($J532=FALSE(),"",IF(발주접수!$F55="세트",발주접수!$G55*IFERROR(INDEX(세트구성!$E$3:$E$302,MATCH(발주접수!$D55&amp;"|"&amp;7,세트구성!$G$3:$G$302,0)),0),발주접수!$G55))</f>
        <v/>
      </c>
      <c r="O532" s="34" t="str">
        <f>IF($J532=FALSE(),"",발주접수!$B55)</f>
        <v/>
      </c>
      <c r="P532" s="34" t="str">
        <f>IF($J532=FALSE(),"",발주접수!$C55)</f>
        <v/>
      </c>
      <c r="Q532" s="34" t="str">
        <f>IF($J532=FALSE(),"",IF(발주접수!$F55="세트",발주접수!$E55&amp;" 전개","직접 발주"))</f>
        <v/>
      </c>
    </row>
    <row r="533" ht="15" customHeight="1" s="30">
      <c r="J533" s="50" t="b">
        <f>IF(발주접수!$D55="",FALSE(),IF(발주접수!$F55="세트",COUNTIF(세트구성!$G$3:$G$302,발주접수!$D55&amp;"|"&amp;8)&gt;0,7=0))</f>
        <v>0</v>
      </c>
      <c r="K533" s="34" t="str">
        <f>IF($J533=FALSE(),"",COUNTIF($J$6:$J533,TRUE()))</f>
        <v/>
      </c>
      <c r="L533" s="34" t="str">
        <f>IF($K533="","","R"&amp;$K533)</f>
        <v/>
      </c>
      <c r="M533" s="34" t="str">
        <f>IF($J533=FALSE(),"",IF(발주접수!$F55="세트",IFERROR(INDEX(세트구성!$C$3:$C$302,MATCH(발주접수!$D55&amp;"|"&amp;8,세트구성!$G$3:$G$302,0)),""),발주접수!$D55))</f>
        <v/>
      </c>
      <c r="N533" s="34" t="str">
        <f>IF($J533=FALSE(),"",IF(발주접수!$F55="세트",발주접수!$G55*IFERROR(INDEX(세트구성!$E$3:$E$302,MATCH(발주접수!$D55&amp;"|"&amp;8,세트구성!$G$3:$G$302,0)),0),발주접수!$G55))</f>
        <v/>
      </c>
      <c r="O533" s="34" t="str">
        <f>IF($J533=FALSE(),"",발주접수!$B55)</f>
        <v/>
      </c>
      <c r="P533" s="34" t="str">
        <f>IF($J533=FALSE(),"",발주접수!$C55)</f>
        <v/>
      </c>
      <c r="Q533" s="34" t="str">
        <f>IF($J533=FALSE(),"",IF(발주접수!$F55="세트",발주접수!$E55&amp;" 전개","직접 발주"))</f>
        <v/>
      </c>
    </row>
    <row r="534" ht="15" customHeight="1" s="30">
      <c r="J534" s="50" t="b">
        <f>IF(발주접수!$D55="",FALSE(),IF(발주접수!$F55="세트",COUNTIF(세트구성!$G$3:$G$302,발주접수!$D55&amp;"|"&amp;9)&gt;0,8=0))</f>
        <v>0</v>
      </c>
      <c r="K534" s="34" t="str">
        <f>IF($J534=FALSE(),"",COUNTIF($J$6:$J534,TRUE()))</f>
        <v/>
      </c>
      <c r="L534" s="34" t="str">
        <f>IF($K534="","","R"&amp;$K534)</f>
        <v/>
      </c>
      <c r="M534" s="34" t="str">
        <f>IF($J534=FALSE(),"",IF(발주접수!$F55="세트",IFERROR(INDEX(세트구성!$C$3:$C$302,MATCH(발주접수!$D55&amp;"|"&amp;9,세트구성!$G$3:$G$302,0)),""),발주접수!$D55))</f>
        <v/>
      </c>
      <c r="N534" s="34" t="str">
        <f>IF($J534=FALSE(),"",IF(발주접수!$F55="세트",발주접수!$G55*IFERROR(INDEX(세트구성!$E$3:$E$302,MATCH(발주접수!$D55&amp;"|"&amp;9,세트구성!$G$3:$G$302,0)),0),발주접수!$G55))</f>
        <v/>
      </c>
      <c r="O534" s="34" t="str">
        <f>IF($J534=FALSE(),"",발주접수!$B55)</f>
        <v/>
      </c>
      <c r="P534" s="34" t="str">
        <f>IF($J534=FALSE(),"",발주접수!$C55)</f>
        <v/>
      </c>
      <c r="Q534" s="34" t="str">
        <f>IF($J534=FALSE(),"",IF(발주접수!$F55="세트",발주접수!$E55&amp;" 전개","직접 발주"))</f>
        <v/>
      </c>
    </row>
    <row r="535" ht="15" customHeight="1" s="30">
      <c r="J535" s="50" t="b">
        <f>IF(발주접수!$D55="",FALSE(),IF(발주접수!$F55="세트",COUNTIF(세트구성!$G$3:$G$302,발주접수!$D55&amp;"|"&amp;10)&gt;0,9=0))</f>
        <v>0</v>
      </c>
      <c r="K535" s="34" t="str">
        <f>IF($J535=FALSE(),"",COUNTIF($J$6:$J535,TRUE()))</f>
        <v/>
      </c>
      <c r="L535" s="34" t="str">
        <f>IF($K535="","","R"&amp;$K535)</f>
        <v/>
      </c>
      <c r="M535" s="34" t="str">
        <f>IF($J535=FALSE(),"",IF(발주접수!$F55="세트",IFERROR(INDEX(세트구성!$C$3:$C$302,MATCH(발주접수!$D55&amp;"|"&amp;10,세트구성!$G$3:$G$302,0)),""),발주접수!$D55))</f>
        <v/>
      </c>
      <c r="N535" s="34" t="str">
        <f>IF($J535=FALSE(),"",IF(발주접수!$F55="세트",발주접수!$G55*IFERROR(INDEX(세트구성!$E$3:$E$302,MATCH(발주접수!$D55&amp;"|"&amp;10,세트구성!$G$3:$G$302,0)),0),발주접수!$G55))</f>
        <v/>
      </c>
      <c r="O535" s="34" t="str">
        <f>IF($J535=FALSE(),"",발주접수!$B55)</f>
        <v/>
      </c>
      <c r="P535" s="34" t="str">
        <f>IF($J535=FALSE(),"",발주접수!$C55)</f>
        <v/>
      </c>
      <c r="Q535" s="34" t="str">
        <f>IF($J535=FALSE(),"",IF(발주접수!$F55="세트",발주접수!$E55&amp;" 전개","직접 발주"))</f>
        <v/>
      </c>
    </row>
    <row r="536" ht="15" customHeight="1" s="30">
      <c r="J536" s="50" t="b">
        <f>IF(발주접수!$D56="",FALSE(),IF(발주접수!$F56="세트",COUNTIF(세트구성!$G$3:$G$302,발주접수!$D56&amp;"|"&amp;1)&gt;0,0=0))</f>
        <v>0</v>
      </c>
      <c r="K536" s="34" t="str">
        <f>IF($J536=FALSE(),"",COUNTIF($J$6:$J536,TRUE()))</f>
        <v/>
      </c>
      <c r="L536" s="34" t="str">
        <f>IF($K536="","","R"&amp;$K536)</f>
        <v/>
      </c>
      <c r="M536" s="34" t="str">
        <f>IF($J536=FALSE(),"",IF(발주접수!$F56="세트",IFERROR(INDEX(세트구성!$C$3:$C$302,MATCH(발주접수!$D56&amp;"|"&amp;1,세트구성!$G$3:$G$302,0)),""),발주접수!$D56))</f>
        <v/>
      </c>
      <c r="N536" s="34" t="str">
        <f>IF($J536=FALSE(),"",IF(발주접수!$F56="세트",발주접수!$G56*IFERROR(INDEX(세트구성!$E$3:$E$302,MATCH(발주접수!$D56&amp;"|"&amp;1,세트구성!$G$3:$G$302,0)),0),발주접수!$G56))</f>
        <v/>
      </c>
      <c r="O536" s="34" t="str">
        <f>IF($J536=FALSE(),"",발주접수!$B56)</f>
        <v/>
      </c>
      <c r="P536" s="34" t="str">
        <f>IF($J536=FALSE(),"",발주접수!$C56)</f>
        <v/>
      </c>
      <c r="Q536" s="34" t="str">
        <f>IF($J536=FALSE(),"",IF(발주접수!$F56="세트",발주접수!$E56&amp;" 전개","직접 발주"))</f>
        <v/>
      </c>
    </row>
    <row r="537" ht="15" customHeight="1" s="30">
      <c r="J537" s="50" t="b">
        <f>IF(발주접수!$D56="",FALSE(),IF(발주접수!$F56="세트",COUNTIF(세트구성!$G$3:$G$302,발주접수!$D56&amp;"|"&amp;2)&gt;0,1=0))</f>
        <v>0</v>
      </c>
      <c r="K537" s="34" t="str">
        <f>IF($J537=FALSE(),"",COUNTIF($J$6:$J537,TRUE()))</f>
        <v/>
      </c>
      <c r="L537" s="34" t="str">
        <f>IF($K537="","","R"&amp;$K537)</f>
        <v/>
      </c>
      <c r="M537" s="34" t="str">
        <f>IF($J537=FALSE(),"",IF(발주접수!$F56="세트",IFERROR(INDEX(세트구성!$C$3:$C$302,MATCH(발주접수!$D56&amp;"|"&amp;2,세트구성!$G$3:$G$302,0)),""),발주접수!$D56))</f>
        <v/>
      </c>
      <c r="N537" s="34" t="str">
        <f>IF($J537=FALSE(),"",IF(발주접수!$F56="세트",발주접수!$G56*IFERROR(INDEX(세트구성!$E$3:$E$302,MATCH(발주접수!$D56&amp;"|"&amp;2,세트구성!$G$3:$G$302,0)),0),발주접수!$G56))</f>
        <v/>
      </c>
      <c r="O537" s="34" t="str">
        <f>IF($J537=FALSE(),"",발주접수!$B56)</f>
        <v/>
      </c>
      <c r="P537" s="34" t="str">
        <f>IF($J537=FALSE(),"",발주접수!$C56)</f>
        <v/>
      </c>
      <c r="Q537" s="34" t="str">
        <f>IF($J537=FALSE(),"",IF(발주접수!$F56="세트",발주접수!$E56&amp;" 전개","직접 발주"))</f>
        <v/>
      </c>
    </row>
    <row r="538" ht="15" customHeight="1" s="30">
      <c r="J538" s="50" t="b">
        <f>IF(발주접수!$D56="",FALSE(),IF(발주접수!$F56="세트",COUNTIF(세트구성!$G$3:$G$302,발주접수!$D56&amp;"|"&amp;3)&gt;0,2=0))</f>
        <v>0</v>
      </c>
      <c r="K538" s="34" t="str">
        <f>IF($J538=FALSE(),"",COUNTIF($J$6:$J538,TRUE()))</f>
        <v/>
      </c>
      <c r="L538" s="34" t="str">
        <f>IF($K538="","","R"&amp;$K538)</f>
        <v/>
      </c>
      <c r="M538" s="34" t="str">
        <f>IF($J538=FALSE(),"",IF(발주접수!$F56="세트",IFERROR(INDEX(세트구성!$C$3:$C$302,MATCH(발주접수!$D56&amp;"|"&amp;3,세트구성!$G$3:$G$302,0)),""),발주접수!$D56))</f>
        <v/>
      </c>
      <c r="N538" s="34" t="str">
        <f>IF($J538=FALSE(),"",IF(발주접수!$F56="세트",발주접수!$G56*IFERROR(INDEX(세트구성!$E$3:$E$302,MATCH(발주접수!$D56&amp;"|"&amp;3,세트구성!$G$3:$G$302,0)),0),발주접수!$G56))</f>
        <v/>
      </c>
      <c r="O538" s="34" t="str">
        <f>IF($J538=FALSE(),"",발주접수!$B56)</f>
        <v/>
      </c>
      <c r="P538" s="34" t="str">
        <f>IF($J538=FALSE(),"",발주접수!$C56)</f>
        <v/>
      </c>
      <c r="Q538" s="34" t="str">
        <f>IF($J538=FALSE(),"",IF(발주접수!$F56="세트",발주접수!$E56&amp;" 전개","직접 발주"))</f>
        <v/>
      </c>
    </row>
    <row r="539" ht="15" customHeight="1" s="30">
      <c r="J539" s="50" t="b">
        <f>IF(발주접수!$D56="",FALSE(),IF(발주접수!$F56="세트",COUNTIF(세트구성!$G$3:$G$302,발주접수!$D56&amp;"|"&amp;4)&gt;0,3=0))</f>
        <v>0</v>
      </c>
      <c r="K539" s="34" t="str">
        <f>IF($J539=FALSE(),"",COUNTIF($J$6:$J539,TRUE()))</f>
        <v/>
      </c>
      <c r="L539" s="34" t="str">
        <f>IF($K539="","","R"&amp;$K539)</f>
        <v/>
      </c>
      <c r="M539" s="34" t="str">
        <f>IF($J539=FALSE(),"",IF(발주접수!$F56="세트",IFERROR(INDEX(세트구성!$C$3:$C$302,MATCH(발주접수!$D56&amp;"|"&amp;4,세트구성!$G$3:$G$302,0)),""),발주접수!$D56))</f>
        <v/>
      </c>
      <c r="N539" s="34" t="str">
        <f>IF($J539=FALSE(),"",IF(발주접수!$F56="세트",발주접수!$G56*IFERROR(INDEX(세트구성!$E$3:$E$302,MATCH(발주접수!$D56&amp;"|"&amp;4,세트구성!$G$3:$G$302,0)),0),발주접수!$G56))</f>
        <v/>
      </c>
      <c r="O539" s="34" t="str">
        <f>IF($J539=FALSE(),"",발주접수!$B56)</f>
        <v/>
      </c>
      <c r="P539" s="34" t="str">
        <f>IF($J539=FALSE(),"",발주접수!$C56)</f>
        <v/>
      </c>
      <c r="Q539" s="34" t="str">
        <f>IF($J539=FALSE(),"",IF(발주접수!$F56="세트",발주접수!$E56&amp;" 전개","직접 발주"))</f>
        <v/>
      </c>
    </row>
    <row r="540" ht="15" customHeight="1" s="30">
      <c r="J540" s="50" t="b">
        <f>IF(발주접수!$D56="",FALSE(),IF(발주접수!$F56="세트",COUNTIF(세트구성!$G$3:$G$302,발주접수!$D56&amp;"|"&amp;5)&gt;0,4=0))</f>
        <v>0</v>
      </c>
      <c r="K540" s="34" t="str">
        <f>IF($J540=FALSE(),"",COUNTIF($J$6:$J540,TRUE()))</f>
        <v/>
      </c>
      <c r="L540" s="34" t="str">
        <f>IF($K540="","","R"&amp;$K540)</f>
        <v/>
      </c>
      <c r="M540" s="34" t="str">
        <f>IF($J540=FALSE(),"",IF(발주접수!$F56="세트",IFERROR(INDEX(세트구성!$C$3:$C$302,MATCH(발주접수!$D56&amp;"|"&amp;5,세트구성!$G$3:$G$302,0)),""),발주접수!$D56))</f>
        <v/>
      </c>
      <c r="N540" s="34" t="str">
        <f>IF($J540=FALSE(),"",IF(발주접수!$F56="세트",발주접수!$G56*IFERROR(INDEX(세트구성!$E$3:$E$302,MATCH(발주접수!$D56&amp;"|"&amp;5,세트구성!$G$3:$G$302,0)),0),발주접수!$G56))</f>
        <v/>
      </c>
      <c r="O540" s="34" t="str">
        <f>IF($J540=FALSE(),"",발주접수!$B56)</f>
        <v/>
      </c>
      <c r="P540" s="34" t="str">
        <f>IF($J540=FALSE(),"",발주접수!$C56)</f>
        <v/>
      </c>
      <c r="Q540" s="34" t="str">
        <f>IF($J540=FALSE(),"",IF(발주접수!$F56="세트",발주접수!$E56&amp;" 전개","직접 발주"))</f>
        <v/>
      </c>
    </row>
    <row r="541" ht="15" customHeight="1" s="30">
      <c r="J541" s="50" t="b">
        <f>IF(발주접수!$D56="",FALSE(),IF(발주접수!$F56="세트",COUNTIF(세트구성!$G$3:$G$302,발주접수!$D56&amp;"|"&amp;6)&gt;0,5=0))</f>
        <v>0</v>
      </c>
      <c r="K541" s="34" t="str">
        <f>IF($J541=FALSE(),"",COUNTIF($J$6:$J541,TRUE()))</f>
        <v/>
      </c>
      <c r="L541" s="34" t="str">
        <f>IF($K541="","","R"&amp;$K541)</f>
        <v/>
      </c>
      <c r="M541" s="34" t="str">
        <f>IF($J541=FALSE(),"",IF(발주접수!$F56="세트",IFERROR(INDEX(세트구성!$C$3:$C$302,MATCH(발주접수!$D56&amp;"|"&amp;6,세트구성!$G$3:$G$302,0)),""),발주접수!$D56))</f>
        <v/>
      </c>
      <c r="N541" s="34" t="str">
        <f>IF($J541=FALSE(),"",IF(발주접수!$F56="세트",발주접수!$G56*IFERROR(INDEX(세트구성!$E$3:$E$302,MATCH(발주접수!$D56&amp;"|"&amp;6,세트구성!$G$3:$G$302,0)),0),발주접수!$G56))</f>
        <v/>
      </c>
      <c r="O541" s="34" t="str">
        <f>IF($J541=FALSE(),"",발주접수!$B56)</f>
        <v/>
      </c>
      <c r="P541" s="34" t="str">
        <f>IF($J541=FALSE(),"",발주접수!$C56)</f>
        <v/>
      </c>
      <c r="Q541" s="34" t="str">
        <f>IF($J541=FALSE(),"",IF(발주접수!$F56="세트",발주접수!$E56&amp;" 전개","직접 발주"))</f>
        <v/>
      </c>
    </row>
    <row r="542" ht="15" customHeight="1" s="30">
      <c r="J542" s="50" t="b">
        <f>IF(발주접수!$D56="",FALSE(),IF(발주접수!$F56="세트",COUNTIF(세트구성!$G$3:$G$302,발주접수!$D56&amp;"|"&amp;7)&gt;0,6=0))</f>
        <v>0</v>
      </c>
      <c r="K542" s="34" t="str">
        <f>IF($J542=FALSE(),"",COUNTIF($J$6:$J542,TRUE()))</f>
        <v/>
      </c>
      <c r="L542" s="34" t="str">
        <f>IF($K542="","","R"&amp;$K542)</f>
        <v/>
      </c>
      <c r="M542" s="34" t="str">
        <f>IF($J542=FALSE(),"",IF(발주접수!$F56="세트",IFERROR(INDEX(세트구성!$C$3:$C$302,MATCH(발주접수!$D56&amp;"|"&amp;7,세트구성!$G$3:$G$302,0)),""),발주접수!$D56))</f>
        <v/>
      </c>
      <c r="N542" s="34" t="str">
        <f>IF($J542=FALSE(),"",IF(발주접수!$F56="세트",발주접수!$G56*IFERROR(INDEX(세트구성!$E$3:$E$302,MATCH(발주접수!$D56&amp;"|"&amp;7,세트구성!$G$3:$G$302,0)),0),발주접수!$G56))</f>
        <v/>
      </c>
      <c r="O542" s="34" t="str">
        <f>IF($J542=FALSE(),"",발주접수!$B56)</f>
        <v/>
      </c>
      <c r="P542" s="34" t="str">
        <f>IF($J542=FALSE(),"",발주접수!$C56)</f>
        <v/>
      </c>
      <c r="Q542" s="34" t="str">
        <f>IF($J542=FALSE(),"",IF(발주접수!$F56="세트",발주접수!$E56&amp;" 전개","직접 발주"))</f>
        <v/>
      </c>
    </row>
    <row r="543" ht="15" customHeight="1" s="30">
      <c r="J543" s="50" t="b">
        <f>IF(발주접수!$D56="",FALSE(),IF(발주접수!$F56="세트",COUNTIF(세트구성!$G$3:$G$302,발주접수!$D56&amp;"|"&amp;8)&gt;0,7=0))</f>
        <v>0</v>
      </c>
      <c r="K543" s="34" t="str">
        <f>IF($J543=FALSE(),"",COUNTIF($J$6:$J543,TRUE()))</f>
        <v/>
      </c>
      <c r="L543" s="34" t="str">
        <f>IF($K543="","","R"&amp;$K543)</f>
        <v/>
      </c>
      <c r="M543" s="34" t="str">
        <f>IF($J543=FALSE(),"",IF(발주접수!$F56="세트",IFERROR(INDEX(세트구성!$C$3:$C$302,MATCH(발주접수!$D56&amp;"|"&amp;8,세트구성!$G$3:$G$302,0)),""),발주접수!$D56))</f>
        <v/>
      </c>
      <c r="N543" s="34" t="str">
        <f>IF($J543=FALSE(),"",IF(발주접수!$F56="세트",발주접수!$G56*IFERROR(INDEX(세트구성!$E$3:$E$302,MATCH(발주접수!$D56&amp;"|"&amp;8,세트구성!$G$3:$G$302,0)),0),발주접수!$G56))</f>
        <v/>
      </c>
      <c r="O543" s="34" t="str">
        <f>IF($J543=FALSE(),"",발주접수!$B56)</f>
        <v/>
      </c>
      <c r="P543" s="34" t="str">
        <f>IF($J543=FALSE(),"",발주접수!$C56)</f>
        <v/>
      </c>
      <c r="Q543" s="34" t="str">
        <f>IF($J543=FALSE(),"",IF(발주접수!$F56="세트",발주접수!$E56&amp;" 전개","직접 발주"))</f>
        <v/>
      </c>
    </row>
    <row r="544" ht="15" customHeight="1" s="30">
      <c r="J544" s="50" t="b">
        <f>IF(발주접수!$D56="",FALSE(),IF(발주접수!$F56="세트",COUNTIF(세트구성!$G$3:$G$302,발주접수!$D56&amp;"|"&amp;9)&gt;0,8=0))</f>
        <v>0</v>
      </c>
      <c r="K544" s="34" t="str">
        <f>IF($J544=FALSE(),"",COUNTIF($J$6:$J544,TRUE()))</f>
        <v/>
      </c>
      <c r="L544" s="34" t="str">
        <f>IF($K544="","","R"&amp;$K544)</f>
        <v/>
      </c>
      <c r="M544" s="34" t="str">
        <f>IF($J544=FALSE(),"",IF(발주접수!$F56="세트",IFERROR(INDEX(세트구성!$C$3:$C$302,MATCH(발주접수!$D56&amp;"|"&amp;9,세트구성!$G$3:$G$302,0)),""),발주접수!$D56))</f>
        <v/>
      </c>
      <c r="N544" s="34" t="str">
        <f>IF($J544=FALSE(),"",IF(발주접수!$F56="세트",발주접수!$G56*IFERROR(INDEX(세트구성!$E$3:$E$302,MATCH(발주접수!$D56&amp;"|"&amp;9,세트구성!$G$3:$G$302,0)),0),발주접수!$G56))</f>
        <v/>
      </c>
      <c r="O544" s="34" t="str">
        <f>IF($J544=FALSE(),"",발주접수!$B56)</f>
        <v/>
      </c>
      <c r="P544" s="34" t="str">
        <f>IF($J544=FALSE(),"",발주접수!$C56)</f>
        <v/>
      </c>
      <c r="Q544" s="34" t="str">
        <f>IF($J544=FALSE(),"",IF(발주접수!$F56="세트",발주접수!$E56&amp;" 전개","직접 발주"))</f>
        <v/>
      </c>
    </row>
    <row r="545" ht="15" customHeight="1" s="30">
      <c r="J545" s="50" t="b">
        <f>IF(발주접수!$D56="",FALSE(),IF(발주접수!$F56="세트",COUNTIF(세트구성!$G$3:$G$302,발주접수!$D56&amp;"|"&amp;10)&gt;0,9=0))</f>
        <v>0</v>
      </c>
      <c r="K545" s="34" t="str">
        <f>IF($J545=FALSE(),"",COUNTIF($J$6:$J545,TRUE()))</f>
        <v/>
      </c>
      <c r="L545" s="34" t="str">
        <f>IF($K545="","","R"&amp;$K545)</f>
        <v/>
      </c>
      <c r="M545" s="34" t="str">
        <f>IF($J545=FALSE(),"",IF(발주접수!$F56="세트",IFERROR(INDEX(세트구성!$C$3:$C$302,MATCH(발주접수!$D56&amp;"|"&amp;10,세트구성!$G$3:$G$302,0)),""),발주접수!$D56))</f>
        <v/>
      </c>
      <c r="N545" s="34" t="str">
        <f>IF($J545=FALSE(),"",IF(발주접수!$F56="세트",발주접수!$G56*IFERROR(INDEX(세트구성!$E$3:$E$302,MATCH(발주접수!$D56&amp;"|"&amp;10,세트구성!$G$3:$G$302,0)),0),발주접수!$G56))</f>
        <v/>
      </c>
      <c r="O545" s="34" t="str">
        <f>IF($J545=FALSE(),"",발주접수!$B56)</f>
        <v/>
      </c>
      <c r="P545" s="34" t="str">
        <f>IF($J545=FALSE(),"",발주접수!$C56)</f>
        <v/>
      </c>
      <c r="Q545" s="34" t="str">
        <f>IF($J545=FALSE(),"",IF(발주접수!$F56="세트",발주접수!$E56&amp;" 전개","직접 발주"))</f>
        <v/>
      </c>
    </row>
    <row r="546" ht="15" customHeight="1" s="30">
      <c r="J546" s="50" t="b">
        <f>IF(발주접수!$D57="",FALSE(),IF(발주접수!$F57="세트",COUNTIF(세트구성!$G$3:$G$302,발주접수!$D57&amp;"|"&amp;1)&gt;0,0=0))</f>
        <v>0</v>
      </c>
      <c r="K546" s="34" t="str">
        <f>IF($J546=FALSE(),"",COUNTIF($J$6:$J546,TRUE()))</f>
        <v/>
      </c>
      <c r="L546" s="34" t="str">
        <f>IF($K546="","","R"&amp;$K546)</f>
        <v/>
      </c>
      <c r="M546" s="34" t="str">
        <f>IF($J546=FALSE(),"",IF(발주접수!$F57="세트",IFERROR(INDEX(세트구성!$C$3:$C$302,MATCH(발주접수!$D57&amp;"|"&amp;1,세트구성!$G$3:$G$302,0)),""),발주접수!$D57))</f>
        <v/>
      </c>
      <c r="N546" s="34" t="str">
        <f>IF($J546=FALSE(),"",IF(발주접수!$F57="세트",발주접수!$G57*IFERROR(INDEX(세트구성!$E$3:$E$302,MATCH(발주접수!$D57&amp;"|"&amp;1,세트구성!$G$3:$G$302,0)),0),발주접수!$G57))</f>
        <v/>
      </c>
      <c r="O546" s="34" t="str">
        <f>IF($J546=FALSE(),"",발주접수!$B57)</f>
        <v/>
      </c>
      <c r="P546" s="34" t="str">
        <f>IF($J546=FALSE(),"",발주접수!$C57)</f>
        <v/>
      </c>
      <c r="Q546" s="34" t="str">
        <f>IF($J546=FALSE(),"",IF(발주접수!$F57="세트",발주접수!$E57&amp;" 전개","직접 발주"))</f>
        <v/>
      </c>
    </row>
    <row r="547" ht="15" customHeight="1" s="30">
      <c r="J547" s="50" t="b">
        <f>IF(발주접수!$D57="",FALSE(),IF(발주접수!$F57="세트",COUNTIF(세트구성!$G$3:$G$302,발주접수!$D57&amp;"|"&amp;2)&gt;0,1=0))</f>
        <v>0</v>
      </c>
      <c r="K547" s="34" t="str">
        <f>IF($J547=FALSE(),"",COUNTIF($J$6:$J547,TRUE()))</f>
        <v/>
      </c>
      <c r="L547" s="34" t="str">
        <f>IF($K547="","","R"&amp;$K547)</f>
        <v/>
      </c>
      <c r="M547" s="34" t="str">
        <f>IF($J547=FALSE(),"",IF(발주접수!$F57="세트",IFERROR(INDEX(세트구성!$C$3:$C$302,MATCH(발주접수!$D57&amp;"|"&amp;2,세트구성!$G$3:$G$302,0)),""),발주접수!$D57))</f>
        <v/>
      </c>
      <c r="N547" s="34" t="str">
        <f>IF($J547=FALSE(),"",IF(발주접수!$F57="세트",발주접수!$G57*IFERROR(INDEX(세트구성!$E$3:$E$302,MATCH(발주접수!$D57&amp;"|"&amp;2,세트구성!$G$3:$G$302,0)),0),발주접수!$G57))</f>
        <v/>
      </c>
      <c r="O547" s="34" t="str">
        <f>IF($J547=FALSE(),"",발주접수!$B57)</f>
        <v/>
      </c>
      <c r="P547" s="34" t="str">
        <f>IF($J547=FALSE(),"",발주접수!$C57)</f>
        <v/>
      </c>
      <c r="Q547" s="34" t="str">
        <f>IF($J547=FALSE(),"",IF(발주접수!$F57="세트",발주접수!$E57&amp;" 전개","직접 발주"))</f>
        <v/>
      </c>
    </row>
    <row r="548" ht="15" customHeight="1" s="30">
      <c r="J548" s="50" t="b">
        <f>IF(발주접수!$D57="",FALSE(),IF(발주접수!$F57="세트",COUNTIF(세트구성!$G$3:$G$302,발주접수!$D57&amp;"|"&amp;3)&gt;0,2=0))</f>
        <v>0</v>
      </c>
      <c r="K548" s="34" t="str">
        <f>IF($J548=FALSE(),"",COUNTIF($J$6:$J548,TRUE()))</f>
        <v/>
      </c>
      <c r="L548" s="34" t="str">
        <f>IF($K548="","","R"&amp;$K548)</f>
        <v/>
      </c>
      <c r="M548" s="34" t="str">
        <f>IF($J548=FALSE(),"",IF(발주접수!$F57="세트",IFERROR(INDEX(세트구성!$C$3:$C$302,MATCH(발주접수!$D57&amp;"|"&amp;3,세트구성!$G$3:$G$302,0)),""),발주접수!$D57))</f>
        <v/>
      </c>
      <c r="N548" s="34" t="str">
        <f>IF($J548=FALSE(),"",IF(발주접수!$F57="세트",발주접수!$G57*IFERROR(INDEX(세트구성!$E$3:$E$302,MATCH(발주접수!$D57&amp;"|"&amp;3,세트구성!$G$3:$G$302,0)),0),발주접수!$G57))</f>
        <v/>
      </c>
      <c r="O548" s="34" t="str">
        <f>IF($J548=FALSE(),"",발주접수!$B57)</f>
        <v/>
      </c>
      <c r="P548" s="34" t="str">
        <f>IF($J548=FALSE(),"",발주접수!$C57)</f>
        <v/>
      </c>
      <c r="Q548" s="34" t="str">
        <f>IF($J548=FALSE(),"",IF(발주접수!$F57="세트",발주접수!$E57&amp;" 전개","직접 발주"))</f>
        <v/>
      </c>
    </row>
    <row r="549" ht="15" customHeight="1" s="30">
      <c r="J549" s="50" t="b">
        <f>IF(발주접수!$D57="",FALSE(),IF(발주접수!$F57="세트",COUNTIF(세트구성!$G$3:$G$302,발주접수!$D57&amp;"|"&amp;4)&gt;0,3=0))</f>
        <v>0</v>
      </c>
      <c r="K549" s="34" t="str">
        <f>IF($J549=FALSE(),"",COUNTIF($J$6:$J549,TRUE()))</f>
        <v/>
      </c>
      <c r="L549" s="34" t="str">
        <f>IF($K549="","","R"&amp;$K549)</f>
        <v/>
      </c>
      <c r="M549" s="34" t="str">
        <f>IF($J549=FALSE(),"",IF(발주접수!$F57="세트",IFERROR(INDEX(세트구성!$C$3:$C$302,MATCH(발주접수!$D57&amp;"|"&amp;4,세트구성!$G$3:$G$302,0)),""),발주접수!$D57))</f>
        <v/>
      </c>
      <c r="N549" s="34" t="str">
        <f>IF($J549=FALSE(),"",IF(발주접수!$F57="세트",발주접수!$G57*IFERROR(INDEX(세트구성!$E$3:$E$302,MATCH(발주접수!$D57&amp;"|"&amp;4,세트구성!$G$3:$G$302,0)),0),발주접수!$G57))</f>
        <v/>
      </c>
      <c r="O549" s="34" t="str">
        <f>IF($J549=FALSE(),"",발주접수!$B57)</f>
        <v/>
      </c>
      <c r="P549" s="34" t="str">
        <f>IF($J549=FALSE(),"",발주접수!$C57)</f>
        <v/>
      </c>
      <c r="Q549" s="34" t="str">
        <f>IF($J549=FALSE(),"",IF(발주접수!$F57="세트",발주접수!$E57&amp;" 전개","직접 발주"))</f>
        <v/>
      </c>
    </row>
    <row r="550" ht="15" customHeight="1" s="30">
      <c r="J550" s="50" t="b">
        <f>IF(발주접수!$D57="",FALSE(),IF(발주접수!$F57="세트",COUNTIF(세트구성!$G$3:$G$302,발주접수!$D57&amp;"|"&amp;5)&gt;0,4=0))</f>
        <v>0</v>
      </c>
      <c r="K550" s="34" t="str">
        <f>IF($J550=FALSE(),"",COUNTIF($J$6:$J550,TRUE()))</f>
        <v/>
      </c>
      <c r="L550" s="34" t="str">
        <f>IF($K550="","","R"&amp;$K550)</f>
        <v/>
      </c>
      <c r="M550" s="34" t="str">
        <f>IF($J550=FALSE(),"",IF(발주접수!$F57="세트",IFERROR(INDEX(세트구성!$C$3:$C$302,MATCH(발주접수!$D57&amp;"|"&amp;5,세트구성!$G$3:$G$302,0)),""),발주접수!$D57))</f>
        <v/>
      </c>
      <c r="N550" s="34" t="str">
        <f>IF($J550=FALSE(),"",IF(발주접수!$F57="세트",발주접수!$G57*IFERROR(INDEX(세트구성!$E$3:$E$302,MATCH(발주접수!$D57&amp;"|"&amp;5,세트구성!$G$3:$G$302,0)),0),발주접수!$G57))</f>
        <v/>
      </c>
      <c r="O550" s="34" t="str">
        <f>IF($J550=FALSE(),"",발주접수!$B57)</f>
        <v/>
      </c>
      <c r="P550" s="34" t="str">
        <f>IF($J550=FALSE(),"",발주접수!$C57)</f>
        <v/>
      </c>
      <c r="Q550" s="34" t="str">
        <f>IF($J550=FALSE(),"",IF(발주접수!$F57="세트",발주접수!$E57&amp;" 전개","직접 발주"))</f>
        <v/>
      </c>
    </row>
    <row r="551" ht="15" customHeight="1" s="30">
      <c r="J551" s="50" t="b">
        <f>IF(발주접수!$D57="",FALSE(),IF(발주접수!$F57="세트",COUNTIF(세트구성!$G$3:$G$302,발주접수!$D57&amp;"|"&amp;6)&gt;0,5=0))</f>
        <v>0</v>
      </c>
      <c r="K551" s="34" t="str">
        <f>IF($J551=FALSE(),"",COUNTIF($J$6:$J551,TRUE()))</f>
        <v/>
      </c>
      <c r="L551" s="34" t="str">
        <f>IF($K551="","","R"&amp;$K551)</f>
        <v/>
      </c>
      <c r="M551" s="34" t="str">
        <f>IF($J551=FALSE(),"",IF(발주접수!$F57="세트",IFERROR(INDEX(세트구성!$C$3:$C$302,MATCH(발주접수!$D57&amp;"|"&amp;6,세트구성!$G$3:$G$302,0)),""),발주접수!$D57))</f>
        <v/>
      </c>
      <c r="N551" s="34" t="str">
        <f>IF($J551=FALSE(),"",IF(발주접수!$F57="세트",발주접수!$G57*IFERROR(INDEX(세트구성!$E$3:$E$302,MATCH(발주접수!$D57&amp;"|"&amp;6,세트구성!$G$3:$G$302,0)),0),발주접수!$G57))</f>
        <v/>
      </c>
      <c r="O551" s="34" t="str">
        <f>IF($J551=FALSE(),"",발주접수!$B57)</f>
        <v/>
      </c>
      <c r="P551" s="34" t="str">
        <f>IF($J551=FALSE(),"",발주접수!$C57)</f>
        <v/>
      </c>
      <c r="Q551" s="34" t="str">
        <f>IF($J551=FALSE(),"",IF(발주접수!$F57="세트",발주접수!$E57&amp;" 전개","직접 발주"))</f>
        <v/>
      </c>
    </row>
    <row r="552" ht="15" customHeight="1" s="30">
      <c r="J552" s="50" t="b">
        <f>IF(발주접수!$D57="",FALSE(),IF(발주접수!$F57="세트",COUNTIF(세트구성!$G$3:$G$302,발주접수!$D57&amp;"|"&amp;7)&gt;0,6=0))</f>
        <v>0</v>
      </c>
      <c r="K552" s="34" t="str">
        <f>IF($J552=FALSE(),"",COUNTIF($J$6:$J552,TRUE()))</f>
        <v/>
      </c>
      <c r="L552" s="34" t="str">
        <f>IF($K552="","","R"&amp;$K552)</f>
        <v/>
      </c>
      <c r="M552" s="34" t="str">
        <f>IF($J552=FALSE(),"",IF(발주접수!$F57="세트",IFERROR(INDEX(세트구성!$C$3:$C$302,MATCH(발주접수!$D57&amp;"|"&amp;7,세트구성!$G$3:$G$302,0)),""),발주접수!$D57))</f>
        <v/>
      </c>
      <c r="N552" s="34" t="str">
        <f>IF($J552=FALSE(),"",IF(발주접수!$F57="세트",발주접수!$G57*IFERROR(INDEX(세트구성!$E$3:$E$302,MATCH(발주접수!$D57&amp;"|"&amp;7,세트구성!$G$3:$G$302,0)),0),발주접수!$G57))</f>
        <v/>
      </c>
      <c r="O552" s="34" t="str">
        <f>IF($J552=FALSE(),"",발주접수!$B57)</f>
        <v/>
      </c>
      <c r="P552" s="34" t="str">
        <f>IF($J552=FALSE(),"",발주접수!$C57)</f>
        <v/>
      </c>
      <c r="Q552" s="34" t="str">
        <f>IF($J552=FALSE(),"",IF(발주접수!$F57="세트",발주접수!$E57&amp;" 전개","직접 발주"))</f>
        <v/>
      </c>
    </row>
    <row r="553" ht="15" customHeight="1" s="30">
      <c r="J553" s="50" t="b">
        <f>IF(발주접수!$D57="",FALSE(),IF(발주접수!$F57="세트",COUNTIF(세트구성!$G$3:$G$302,발주접수!$D57&amp;"|"&amp;8)&gt;0,7=0))</f>
        <v>0</v>
      </c>
      <c r="K553" s="34" t="str">
        <f>IF($J553=FALSE(),"",COUNTIF($J$6:$J553,TRUE()))</f>
        <v/>
      </c>
      <c r="L553" s="34" t="str">
        <f>IF($K553="","","R"&amp;$K553)</f>
        <v/>
      </c>
      <c r="M553" s="34" t="str">
        <f>IF($J553=FALSE(),"",IF(발주접수!$F57="세트",IFERROR(INDEX(세트구성!$C$3:$C$302,MATCH(발주접수!$D57&amp;"|"&amp;8,세트구성!$G$3:$G$302,0)),""),발주접수!$D57))</f>
        <v/>
      </c>
      <c r="N553" s="34" t="str">
        <f>IF($J553=FALSE(),"",IF(발주접수!$F57="세트",발주접수!$G57*IFERROR(INDEX(세트구성!$E$3:$E$302,MATCH(발주접수!$D57&amp;"|"&amp;8,세트구성!$G$3:$G$302,0)),0),발주접수!$G57))</f>
        <v/>
      </c>
      <c r="O553" s="34" t="str">
        <f>IF($J553=FALSE(),"",발주접수!$B57)</f>
        <v/>
      </c>
      <c r="P553" s="34" t="str">
        <f>IF($J553=FALSE(),"",발주접수!$C57)</f>
        <v/>
      </c>
      <c r="Q553" s="34" t="str">
        <f>IF($J553=FALSE(),"",IF(발주접수!$F57="세트",발주접수!$E57&amp;" 전개","직접 발주"))</f>
        <v/>
      </c>
    </row>
    <row r="554" ht="15" customHeight="1" s="30">
      <c r="J554" s="50" t="b">
        <f>IF(발주접수!$D57="",FALSE(),IF(발주접수!$F57="세트",COUNTIF(세트구성!$G$3:$G$302,발주접수!$D57&amp;"|"&amp;9)&gt;0,8=0))</f>
        <v>0</v>
      </c>
      <c r="K554" s="34" t="str">
        <f>IF($J554=FALSE(),"",COUNTIF($J$6:$J554,TRUE()))</f>
        <v/>
      </c>
      <c r="L554" s="34" t="str">
        <f>IF($K554="","","R"&amp;$K554)</f>
        <v/>
      </c>
      <c r="M554" s="34" t="str">
        <f>IF($J554=FALSE(),"",IF(발주접수!$F57="세트",IFERROR(INDEX(세트구성!$C$3:$C$302,MATCH(발주접수!$D57&amp;"|"&amp;9,세트구성!$G$3:$G$302,0)),""),발주접수!$D57))</f>
        <v/>
      </c>
      <c r="N554" s="34" t="str">
        <f>IF($J554=FALSE(),"",IF(발주접수!$F57="세트",발주접수!$G57*IFERROR(INDEX(세트구성!$E$3:$E$302,MATCH(발주접수!$D57&amp;"|"&amp;9,세트구성!$G$3:$G$302,0)),0),발주접수!$G57))</f>
        <v/>
      </c>
      <c r="O554" s="34" t="str">
        <f>IF($J554=FALSE(),"",발주접수!$B57)</f>
        <v/>
      </c>
      <c r="P554" s="34" t="str">
        <f>IF($J554=FALSE(),"",발주접수!$C57)</f>
        <v/>
      </c>
      <c r="Q554" s="34" t="str">
        <f>IF($J554=FALSE(),"",IF(발주접수!$F57="세트",발주접수!$E57&amp;" 전개","직접 발주"))</f>
        <v/>
      </c>
    </row>
    <row r="555" ht="15" customHeight="1" s="30">
      <c r="J555" s="50" t="b">
        <f>IF(발주접수!$D57="",FALSE(),IF(발주접수!$F57="세트",COUNTIF(세트구성!$G$3:$G$302,발주접수!$D57&amp;"|"&amp;10)&gt;0,9=0))</f>
        <v>0</v>
      </c>
      <c r="K555" s="34" t="str">
        <f>IF($J555=FALSE(),"",COUNTIF($J$6:$J555,TRUE()))</f>
        <v/>
      </c>
      <c r="L555" s="34" t="str">
        <f>IF($K555="","","R"&amp;$K555)</f>
        <v/>
      </c>
      <c r="M555" s="34" t="str">
        <f>IF($J555=FALSE(),"",IF(발주접수!$F57="세트",IFERROR(INDEX(세트구성!$C$3:$C$302,MATCH(발주접수!$D57&amp;"|"&amp;10,세트구성!$G$3:$G$302,0)),""),발주접수!$D57))</f>
        <v/>
      </c>
      <c r="N555" s="34" t="str">
        <f>IF($J555=FALSE(),"",IF(발주접수!$F57="세트",발주접수!$G57*IFERROR(INDEX(세트구성!$E$3:$E$302,MATCH(발주접수!$D57&amp;"|"&amp;10,세트구성!$G$3:$G$302,0)),0),발주접수!$G57))</f>
        <v/>
      </c>
      <c r="O555" s="34" t="str">
        <f>IF($J555=FALSE(),"",발주접수!$B57)</f>
        <v/>
      </c>
      <c r="P555" s="34" t="str">
        <f>IF($J555=FALSE(),"",발주접수!$C57)</f>
        <v/>
      </c>
      <c r="Q555" s="34" t="str">
        <f>IF($J555=FALSE(),"",IF(발주접수!$F57="세트",발주접수!$E57&amp;" 전개","직접 발주"))</f>
        <v/>
      </c>
    </row>
    <row r="556" ht="15" customHeight="1" s="30">
      <c r="J556" s="50" t="b">
        <f>IF(발주접수!$D58="",FALSE(),IF(발주접수!$F58="세트",COUNTIF(세트구성!$G$3:$G$302,발주접수!$D58&amp;"|"&amp;1)&gt;0,0=0))</f>
        <v>0</v>
      </c>
      <c r="K556" s="34" t="str">
        <f>IF($J556=FALSE(),"",COUNTIF($J$6:$J556,TRUE()))</f>
        <v/>
      </c>
      <c r="L556" s="34" t="str">
        <f>IF($K556="","","R"&amp;$K556)</f>
        <v/>
      </c>
      <c r="M556" s="34" t="str">
        <f>IF($J556=FALSE(),"",IF(발주접수!$F58="세트",IFERROR(INDEX(세트구성!$C$3:$C$302,MATCH(발주접수!$D58&amp;"|"&amp;1,세트구성!$G$3:$G$302,0)),""),발주접수!$D58))</f>
        <v/>
      </c>
      <c r="N556" s="34" t="str">
        <f>IF($J556=FALSE(),"",IF(발주접수!$F58="세트",발주접수!$G58*IFERROR(INDEX(세트구성!$E$3:$E$302,MATCH(발주접수!$D58&amp;"|"&amp;1,세트구성!$G$3:$G$302,0)),0),발주접수!$G58))</f>
        <v/>
      </c>
      <c r="O556" s="34" t="str">
        <f>IF($J556=FALSE(),"",발주접수!$B58)</f>
        <v/>
      </c>
      <c r="P556" s="34" t="str">
        <f>IF($J556=FALSE(),"",발주접수!$C58)</f>
        <v/>
      </c>
      <c r="Q556" s="34" t="str">
        <f>IF($J556=FALSE(),"",IF(발주접수!$F58="세트",발주접수!$E58&amp;" 전개","직접 발주"))</f>
        <v/>
      </c>
    </row>
    <row r="557" ht="15" customHeight="1" s="30">
      <c r="J557" s="50" t="b">
        <f>IF(발주접수!$D58="",FALSE(),IF(발주접수!$F58="세트",COUNTIF(세트구성!$G$3:$G$302,발주접수!$D58&amp;"|"&amp;2)&gt;0,1=0))</f>
        <v>0</v>
      </c>
      <c r="K557" s="34" t="str">
        <f>IF($J557=FALSE(),"",COUNTIF($J$6:$J557,TRUE()))</f>
        <v/>
      </c>
      <c r="L557" s="34" t="str">
        <f>IF($K557="","","R"&amp;$K557)</f>
        <v/>
      </c>
      <c r="M557" s="34" t="str">
        <f>IF($J557=FALSE(),"",IF(발주접수!$F58="세트",IFERROR(INDEX(세트구성!$C$3:$C$302,MATCH(발주접수!$D58&amp;"|"&amp;2,세트구성!$G$3:$G$302,0)),""),발주접수!$D58))</f>
        <v/>
      </c>
      <c r="N557" s="34" t="str">
        <f>IF($J557=FALSE(),"",IF(발주접수!$F58="세트",발주접수!$G58*IFERROR(INDEX(세트구성!$E$3:$E$302,MATCH(발주접수!$D58&amp;"|"&amp;2,세트구성!$G$3:$G$302,0)),0),발주접수!$G58))</f>
        <v/>
      </c>
      <c r="O557" s="34" t="str">
        <f>IF($J557=FALSE(),"",발주접수!$B58)</f>
        <v/>
      </c>
      <c r="P557" s="34" t="str">
        <f>IF($J557=FALSE(),"",발주접수!$C58)</f>
        <v/>
      </c>
      <c r="Q557" s="34" t="str">
        <f>IF($J557=FALSE(),"",IF(발주접수!$F58="세트",발주접수!$E58&amp;" 전개","직접 발주"))</f>
        <v/>
      </c>
    </row>
    <row r="558" ht="15" customHeight="1" s="30">
      <c r="J558" s="50" t="b">
        <f>IF(발주접수!$D58="",FALSE(),IF(발주접수!$F58="세트",COUNTIF(세트구성!$G$3:$G$302,발주접수!$D58&amp;"|"&amp;3)&gt;0,2=0))</f>
        <v>0</v>
      </c>
      <c r="K558" s="34" t="str">
        <f>IF($J558=FALSE(),"",COUNTIF($J$6:$J558,TRUE()))</f>
        <v/>
      </c>
      <c r="L558" s="34" t="str">
        <f>IF($K558="","","R"&amp;$K558)</f>
        <v/>
      </c>
      <c r="M558" s="34" t="str">
        <f>IF($J558=FALSE(),"",IF(발주접수!$F58="세트",IFERROR(INDEX(세트구성!$C$3:$C$302,MATCH(발주접수!$D58&amp;"|"&amp;3,세트구성!$G$3:$G$302,0)),""),발주접수!$D58))</f>
        <v/>
      </c>
      <c r="N558" s="34" t="str">
        <f>IF($J558=FALSE(),"",IF(발주접수!$F58="세트",발주접수!$G58*IFERROR(INDEX(세트구성!$E$3:$E$302,MATCH(발주접수!$D58&amp;"|"&amp;3,세트구성!$G$3:$G$302,0)),0),발주접수!$G58))</f>
        <v/>
      </c>
      <c r="O558" s="34" t="str">
        <f>IF($J558=FALSE(),"",발주접수!$B58)</f>
        <v/>
      </c>
      <c r="P558" s="34" t="str">
        <f>IF($J558=FALSE(),"",발주접수!$C58)</f>
        <v/>
      </c>
      <c r="Q558" s="34" t="str">
        <f>IF($J558=FALSE(),"",IF(발주접수!$F58="세트",발주접수!$E58&amp;" 전개","직접 발주"))</f>
        <v/>
      </c>
    </row>
    <row r="559" ht="15" customHeight="1" s="30">
      <c r="J559" s="50" t="b">
        <f>IF(발주접수!$D58="",FALSE(),IF(발주접수!$F58="세트",COUNTIF(세트구성!$G$3:$G$302,발주접수!$D58&amp;"|"&amp;4)&gt;0,3=0))</f>
        <v>0</v>
      </c>
      <c r="K559" s="34" t="str">
        <f>IF($J559=FALSE(),"",COUNTIF($J$6:$J559,TRUE()))</f>
        <v/>
      </c>
      <c r="L559" s="34" t="str">
        <f>IF($K559="","","R"&amp;$K559)</f>
        <v/>
      </c>
      <c r="M559" s="34" t="str">
        <f>IF($J559=FALSE(),"",IF(발주접수!$F58="세트",IFERROR(INDEX(세트구성!$C$3:$C$302,MATCH(발주접수!$D58&amp;"|"&amp;4,세트구성!$G$3:$G$302,0)),""),발주접수!$D58))</f>
        <v/>
      </c>
      <c r="N559" s="34" t="str">
        <f>IF($J559=FALSE(),"",IF(발주접수!$F58="세트",발주접수!$G58*IFERROR(INDEX(세트구성!$E$3:$E$302,MATCH(발주접수!$D58&amp;"|"&amp;4,세트구성!$G$3:$G$302,0)),0),발주접수!$G58))</f>
        <v/>
      </c>
      <c r="O559" s="34" t="str">
        <f>IF($J559=FALSE(),"",발주접수!$B58)</f>
        <v/>
      </c>
      <c r="P559" s="34" t="str">
        <f>IF($J559=FALSE(),"",발주접수!$C58)</f>
        <v/>
      </c>
      <c r="Q559" s="34" t="str">
        <f>IF($J559=FALSE(),"",IF(발주접수!$F58="세트",발주접수!$E58&amp;" 전개","직접 발주"))</f>
        <v/>
      </c>
    </row>
    <row r="560" ht="15" customHeight="1" s="30">
      <c r="J560" s="50" t="b">
        <f>IF(발주접수!$D58="",FALSE(),IF(발주접수!$F58="세트",COUNTIF(세트구성!$G$3:$G$302,발주접수!$D58&amp;"|"&amp;5)&gt;0,4=0))</f>
        <v>0</v>
      </c>
      <c r="K560" s="34" t="str">
        <f>IF($J560=FALSE(),"",COUNTIF($J$6:$J560,TRUE()))</f>
        <v/>
      </c>
      <c r="L560" s="34" t="str">
        <f>IF($K560="","","R"&amp;$K560)</f>
        <v/>
      </c>
      <c r="M560" s="34" t="str">
        <f>IF($J560=FALSE(),"",IF(발주접수!$F58="세트",IFERROR(INDEX(세트구성!$C$3:$C$302,MATCH(발주접수!$D58&amp;"|"&amp;5,세트구성!$G$3:$G$302,0)),""),발주접수!$D58))</f>
        <v/>
      </c>
      <c r="N560" s="34" t="str">
        <f>IF($J560=FALSE(),"",IF(발주접수!$F58="세트",발주접수!$G58*IFERROR(INDEX(세트구성!$E$3:$E$302,MATCH(발주접수!$D58&amp;"|"&amp;5,세트구성!$G$3:$G$302,0)),0),발주접수!$G58))</f>
        <v/>
      </c>
      <c r="O560" s="34" t="str">
        <f>IF($J560=FALSE(),"",발주접수!$B58)</f>
        <v/>
      </c>
      <c r="P560" s="34" t="str">
        <f>IF($J560=FALSE(),"",발주접수!$C58)</f>
        <v/>
      </c>
      <c r="Q560" s="34" t="str">
        <f>IF($J560=FALSE(),"",IF(발주접수!$F58="세트",발주접수!$E58&amp;" 전개","직접 발주"))</f>
        <v/>
      </c>
    </row>
    <row r="561" ht="15" customHeight="1" s="30">
      <c r="J561" s="50" t="b">
        <f>IF(발주접수!$D58="",FALSE(),IF(발주접수!$F58="세트",COUNTIF(세트구성!$G$3:$G$302,발주접수!$D58&amp;"|"&amp;6)&gt;0,5=0))</f>
        <v>0</v>
      </c>
      <c r="K561" s="34" t="str">
        <f>IF($J561=FALSE(),"",COUNTIF($J$6:$J561,TRUE()))</f>
        <v/>
      </c>
      <c r="L561" s="34" t="str">
        <f>IF($K561="","","R"&amp;$K561)</f>
        <v/>
      </c>
      <c r="M561" s="34" t="str">
        <f>IF($J561=FALSE(),"",IF(발주접수!$F58="세트",IFERROR(INDEX(세트구성!$C$3:$C$302,MATCH(발주접수!$D58&amp;"|"&amp;6,세트구성!$G$3:$G$302,0)),""),발주접수!$D58))</f>
        <v/>
      </c>
      <c r="N561" s="34" t="str">
        <f>IF($J561=FALSE(),"",IF(발주접수!$F58="세트",발주접수!$G58*IFERROR(INDEX(세트구성!$E$3:$E$302,MATCH(발주접수!$D58&amp;"|"&amp;6,세트구성!$G$3:$G$302,0)),0),발주접수!$G58))</f>
        <v/>
      </c>
      <c r="O561" s="34" t="str">
        <f>IF($J561=FALSE(),"",발주접수!$B58)</f>
        <v/>
      </c>
      <c r="P561" s="34" t="str">
        <f>IF($J561=FALSE(),"",발주접수!$C58)</f>
        <v/>
      </c>
      <c r="Q561" s="34" t="str">
        <f>IF($J561=FALSE(),"",IF(발주접수!$F58="세트",발주접수!$E58&amp;" 전개","직접 발주"))</f>
        <v/>
      </c>
    </row>
    <row r="562" ht="15" customHeight="1" s="30">
      <c r="J562" s="50" t="b">
        <f>IF(발주접수!$D58="",FALSE(),IF(발주접수!$F58="세트",COUNTIF(세트구성!$G$3:$G$302,발주접수!$D58&amp;"|"&amp;7)&gt;0,6=0))</f>
        <v>0</v>
      </c>
      <c r="K562" s="34" t="str">
        <f>IF($J562=FALSE(),"",COUNTIF($J$6:$J562,TRUE()))</f>
        <v/>
      </c>
      <c r="L562" s="34" t="str">
        <f>IF($K562="","","R"&amp;$K562)</f>
        <v/>
      </c>
      <c r="M562" s="34" t="str">
        <f>IF($J562=FALSE(),"",IF(발주접수!$F58="세트",IFERROR(INDEX(세트구성!$C$3:$C$302,MATCH(발주접수!$D58&amp;"|"&amp;7,세트구성!$G$3:$G$302,0)),""),발주접수!$D58))</f>
        <v/>
      </c>
      <c r="N562" s="34" t="str">
        <f>IF($J562=FALSE(),"",IF(발주접수!$F58="세트",발주접수!$G58*IFERROR(INDEX(세트구성!$E$3:$E$302,MATCH(발주접수!$D58&amp;"|"&amp;7,세트구성!$G$3:$G$302,0)),0),발주접수!$G58))</f>
        <v/>
      </c>
      <c r="O562" s="34" t="str">
        <f>IF($J562=FALSE(),"",발주접수!$B58)</f>
        <v/>
      </c>
      <c r="P562" s="34" t="str">
        <f>IF($J562=FALSE(),"",발주접수!$C58)</f>
        <v/>
      </c>
      <c r="Q562" s="34" t="str">
        <f>IF($J562=FALSE(),"",IF(발주접수!$F58="세트",발주접수!$E58&amp;" 전개","직접 발주"))</f>
        <v/>
      </c>
    </row>
    <row r="563" ht="15" customHeight="1" s="30">
      <c r="J563" s="50" t="b">
        <f>IF(발주접수!$D58="",FALSE(),IF(발주접수!$F58="세트",COUNTIF(세트구성!$G$3:$G$302,발주접수!$D58&amp;"|"&amp;8)&gt;0,7=0))</f>
        <v>0</v>
      </c>
      <c r="K563" s="34" t="str">
        <f>IF($J563=FALSE(),"",COUNTIF($J$6:$J563,TRUE()))</f>
        <v/>
      </c>
      <c r="L563" s="34" t="str">
        <f>IF($K563="","","R"&amp;$K563)</f>
        <v/>
      </c>
      <c r="M563" s="34" t="str">
        <f>IF($J563=FALSE(),"",IF(발주접수!$F58="세트",IFERROR(INDEX(세트구성!$C$3:$C$302,MATCH(발주접수!$D58&amp;"|"&amp;8,세트구성!$G$3:$G$302,0)),""),발주접수!$D58))</f>
        <v/>
      </c>
      <c r="N563" s="34" t="str">
        <f>IF($J563=FALSE(),"",IF(발주접수!$F58="세트",발주접수!$G58*IFERROR(INDEX(세트구성!$E$3:$E$302,MATCH(발주접수!$D58&amp;"|"&amp;8,세트구성!$G$3:$G$302,0)),0),발주접수!$G58))</f>
        <v/>
      </c>
      <c r="O563" s="34" t="str">
        <f>IF($J563=FALSE(),"",발주접수!$B58)</f>
        <v/>
      </c>
      <c r="P563" s="34" t="str">
        <f>IF($J563=FALSE(),"",발주접수!$C58)</f>
        <v/>
      </c>
      <c r="Q563" s="34" t="str">
        <f>IF($J563=FALSE(),"",IF(발주접수!$F58="세트",발주접수!$E58&amp;" 전개","직접 발주"))</f>
        <v/>
      </c>
    </row>
    <row r="564" ht="15" customHeight="1" s="30">
      <c r="J564" s="50" t="b">
        <f>IF(발주접수!$D58="",FALSE(),IF(발주접수!$F58="세트",COUNTIF(세트구성!$G$3:$G$302,발주접수!$D58&amp;"|"&amp;9)&gt;0,8=0))</f>
        <v>0</v>
      </c>
      <c r="K564" s="34" t="str">
        <f>IF($J564=FALSE(),"",COUNTIF($J$6:$J564,TRUE()))</f>
        <v/>
      </c>
      <c r="L564" s="34" t="str">
        <f>IF($K564="","","R"&amp;$K564)</f>
        <v/>
      </c>
      <c r="M564" s="34" t="str">
        <f>IF($J564=FALSE(),"",IF(발주접수!$F58="세트",IFERROR(INDEX(세트구성!$C$3:$C$302,MATCH(발주접수!$D58&amp;"|"&amp;9,세트구성!$G$3:$G$302,0)),""),발주접수!$D58))</f>
        <v/>
      </c>
      <c r="N564" s="34" t="str">
        <f>IF($J564=FALSE(),"",IF(발주접수!$F58="세트",발주접수!$G58*IFERROR(INDEX(세트구성!$E$3:$E$302,MATCH(발주접수!$D58&amp;"|"&amp;9,세트구성!$G$3:$G$302,0)),0),발주접수!$G58))</f>
        <v/>
      </c>
      <c r="O564" s="34" t="str">
        <f>IF($J564=FALSE(),"",발주접수!$B58)</f>
        <v/>
      </c>
      <c r="P564" s="34" t="str">
        <f>IF($J564=FALSE(),"",발주접수!$C58)</f>
        <v/>
      </c>
      <c r="Q564" s="34" t="str">
        <f>IF($J564=FALSE(),"",IF(발주접수!$F58="세트",발주접수!$E58&amp;" 전개","직접 발주"))</f>
        <v/>
      </c>
    </row>
    <row r="565" ht="15" customHeight="1" s="30">
      <c r="J565" s="50" t="b">
        <f>IF(발주접수!$D58="",FALSE(),IF(발주접수!$F58="세트",COUNTIF(세트구성!$G$3:$G$302,발주접수!$D58&amp;"|"&amp;10)&gt;0,9=0))</f>
        <v>0</v>
      </c>
      <c r="K565" s="34" t="str">
        <f>IF($J565=FALSE(),"",COUNTIF($J$6:$J565,TRUE()))</f>
        <v/>
      </c>
      <c r="L565" s="34" t="str">
        <f>IF($K565="","","R"&amp;$K565)</f>
        <v/>
      </c>
      <c r="M565" s="34" t="str">
        <f>IF($J565=FALSE(),"",IF(발주접수!$F58="세트",IFERROR(INDEX(세트구성!$C$3:$C$302,MATCH(발주접수!$D58&amp;"|"&amp;10,세트구성!$G$3:$G$302,0)),""),발주접수!$D58))</f>
        <v/>
      </c>
      <c r="N565" s="34" t="str">
        <f>IF($J565=FALSE(),"",IF(발주접수!$F58="세트",발주접수!$G58*IFERROR(INDEX(세트구성!$E$3:$E$302,MATCH(발주접수!$D58&amp;"|"&amp;10,세트구성!$G$3:$G$302,0)),0),발주접수!$G58))</f>
        <v/>
      </c>
      <c r="O565" s="34" t="str">
        <f>IF($J565=FALSE(),"",발주접수!$B58)</f>
        <v/>
      </c>
      <c r="P565" s="34" t="str">
        <f>IF($J565=FALSE(),"",발주접수!$C58)</f>
        <v/>
      </c>
      <c r="Q565" s="34" t="str">
        <f>IF($J565=FALSE(),"",IF(발주접수!$F58="세트",발주접수!$E58&amp;" 전개","직접 발주"))</f>
        <v/>
      </c>
    </row>
    <row r="566" ht="15" customHeight="1" s="30">
      <c r="J566" s="50" t="b">
        <f>IF(발주접수!$D59="",FALSE(),IF(발주접수!$F59="세트",COUNTIF(세트구성!$G$3:$G$302,발주접수!$D59&amp;"|"&amp;1)&gt;0,0=0))</f>
        <v>0</v>
      </c>
      <c r="K566" s="34" t="str">
        <f>IF($J566=FALSE(),"",COUNTIF($J$6:$J566,TRUE()))</f>
        <v/>
      </c>
      <c r="L566" s="34" t="str">
        <f>IF($K566="","","R"&amp;$K566)</f>
        <v/>
      </c>
      <c r="M566" s="34" t="str">
        <f>IF($J566=FALSE(),"",IF(발주접수!$F59="세트",IFERROR(INDEX(세트구성!$C$3:$C$302,MATCH(발주접수!$D59&amp;"|"&amp;1,세트구성!$G$3:$G$302,0)),""),발주접수!$D59))</f>
        <v/>
      </c>
      <c r="N566" s="34" t="str">
        <f>IF($J566=FALSE(),"",IF(발주접수!$F59="세트",발주접수!$G59*IFERROR(INDEX(세트구성!$E$3:$E$302,MATCH(발주접수!$D59&amp;"|"&amp;1,세트구성!$G$3:$G$302,0)),0),발주접수!$G59))</f>
        <v/>
      </c>
      <c r="O566" s="34" t="str">
        <f>IF($J566=FALSE(),"",발주접수!$B59)</f>
        <v/>
      </c>
      <c r="P566" s="34" t="str">
        <f>IF($J566=FALSE(),"",발주접수!$C59)</f>
        <v/>
      </c>
      <c r="Q566" s="34" t="str">
        <f>IF($J566=FALSE(),"",IF(발주접수!$F59="세트",발주접수!$E59&amp;" 전개","직접 발주"))</f>
        <v/>
      </c>
    </row>
    <row r="567" ht="15" customHeight="1" s="30">
      <c r="J567" s="50" t="b">
        <f>IF(발주접수!$D59="",FALSE(),IF(발주접수!$F59="세트",COUNTIF(세트구성!$G$3:$G$302,발주접수!$D59&amp;"|"&amp;2)&gt;0,1=0))</f>
        <v>0</v>
      </c>
      <c r="K567" s="34" t="str">
        <f>IF($J567=FALSE(),"",COUNTIF($J$6:$J567,TRUE()))</f>
        <v/>
      </c>
      <c r="L567" s="34" t="str">
        <f>IF($K567="","","R"&amp;$K567)</f>
        <v/>
      </c>
      <c r="M567" s="34" t="str">
        <f>IF($J567=FALSE(),"",IF(발주접수!$F59="세트",IFERROR(INDEX(세트구성!$C$3:$C$302,MATCH(발주접수!$D59&amp;"|"&amp;2,세트구성!$G$3:$G$302,0)),""),발주접수!$D59))</f>
        <v/>
      </c>
      <c r="N567" s="34" t="str">
        <f>IF($J567=FALSE(),"",IF(발주접수!$F59="세트",발주접수!$G59*IFERROR(INDEX(세트구성!$E$3:$E$302,MATCH(발주접수!$D59&amp;"|"&amp;2,세트구성!$G$3:$G$302,0)),0),발주접수!$G59))</f>
        <v/>
      </c>
      <c r="O567" s="34" t="str">
        <f>IF($J567=FALSE(),"",발주접수!$B59)</f>
        <v/>
      </c>
      <c r="P567" s="34" t="str">
        <f>IF($J567=FALSE(),"",발주접수!$C59)</f>
        <v/>
      </c>
      <c r="Q567" s="34" t="str">
        <f>IF($J567=FALSE(),"",IF(발주접수!$F59="세트",발주접수!$E59&amp;" 전개","직접 발주"))</f>
        <v/>
      </c>
    </row>
    <row r="568" ht="15" customHeight="1" s="30">
      <c r="J568" s="50" t="b">
        <f>IF(발주접수!$D59="",FALSE(),IF(발주접수!$F59="세트",COUNTIF(세트구성!$G$3:$G$302,발주접수!$D59&amp;"|"&amp;3)&gt;0,2=0))</f>
        <v>0</v>
      </c>
      <c r="K568" s="34" t="str">
        <f>IF($J568=FALSE(),"",COUNTIF($J$6:$J568,TRUE()))</f>
        <v/>
      </c>
      <c r="L568" s="34" t="str">
        <f>IF($K568="","","R"&amp;$K568)</f>
        <v/>
      </c>
      <c r="M568" s="34" t="str">
        <f>IF($J568=FALSE(),"",IF(발주접수!$F59="세트",IFERROR(INDEX(세트구성!$C$3:$C$302,MATCH(발주접수!$D59&amp;"|"&amp;3,세트구성!$G$3:$G$302,0)),""),발주접수!$D59))</f>
        <v/>
      </c>
      <c r="N568" s="34" t="str">
        <f>IF($J568=FALSE(),"",IF(발주접수!$F59="세트",발주접수!$G59*IFERROR(INDEX(세트구성!$E$3:$E$302,MATCH(발주접수!$D59&amp;"|"&amp;3,세트구성!$G$3:$G$302,0)),0),발주접수!$G59))</f>
        <v/>
      </c>
      <c r="O568" s="34" t="str">
        <f>IF($J568=FALSE(),"",발주접수!$B59)</f>
        <v/>
      </c>
      <c r="P568" s="34" t="str">
        <f>IF($J568=FALSE(),"",발주접수!$C59)</f>
        <v/>
      </c>
      <c r="Q568" s="34" t="str">
        <f>IF($J568=FALSE(),"",IF(발주접수!$F59="세트",발주접수!$E59&amp;" 전개","직접 발주"))</f>
        <v/>
      </c>
    </row>
    <row r="569" ht="15" customHeight="1" s="30">
      <c r="J569" s="50" t="b">
        <f>IF(발주접수!$D59="",FALSE(),IF(발주접수!$F59="세트",COUNTIF(세트구성!$G$3:$G$302,발주접수!$D59&amp;"|"&amp;4)&gt;0,3=0))</f>
        <v>0</v>
      </c>
      <c r="K569" s="34" t="str">
        <f>IF($J569=FALSE(),"",COUNTIF($J$6:$J569,TRUE()))</f>
        <v/>
      </c>
      <c r="L569" s="34" t="str">
        <f>IF($K569="","","R"&amp;$K569)</f>
        <v/>
      </c>
      <c r="M569" s="34" t="str">
        <f>IF($J569=FALSE(),"",IF(발주접수!$F59="세트",IFERROR(INDEX(세트구성!$C$3:$C$302,MATCH(발주접수!$D59&amp;"|"&amp;4,세트구성!$G$3:$G$302,0)),""),발주접수!$D59))</f>
        <v/>
      </c>
      <c r="N569" s="34" t="str">
        <f>IF($J569=FALSE(),"",IF(발주접수!$F59="세트",발주접수!$G59*IFERROR(INDEX(세트구성!$E$3:$E$302,MATCH(발주접수!$D59&amp;"|"&amp;4,세트구성!$G$3:$G$302,0)),0),발주접수!$G59))</f>
        <v/>
      </c>
      <c r="O569" s="34" t="str">
        <f>IF($J569=FALSE(),"",발주접수!$B59)</f>
        <v/>
      </c>
      <c r="P569" s="34" t="str">
        <f>IF($J569=FALSE(),"",발주접수!$C59)</f>
        <v/>
      </c>
      <c r="Q569" s="34" t="str">
        <f>IF($J569=FALSE(),"",IF(발주접수!$F59="세트",발주접수!$E59&amp;" 전개","직접 발주"))</f>
        <v/>
      </c>
    </row>
    <row r="570" ht="15" customHeight="1" s="30">
      <c r="J570" s="50" t="b">
        <f>IF(발주접수!$D59="",FALSE(),IF(발주접수!$F59="세트",COUNTIF(세트구성!$G$3:$G$302,발주접수!$D59&amp;"|"&amp;5)&gt;0,4=0))</f>
        <v>0</v>
      </c>
      <c r="K570" s="34" t="str">
        <f>IF($J570=FALSE(),"",COUNTIF($J$6:$J570,TRUE()))</f>
        <v/>
      </c>
      <c r="L570" s="34" t="str">
        <f>IF($K570="","","R"&amp;$K570)</f>
        <v/>
      </c>
      <c r="M570" s="34" t="str">
        <f>IF($J570=FALSE(),"",IF(발주접수!$F59="세트",IFERROR(INDEX(세트구성!$C$3:$C$302,MATCH(발주접수!$D59&amp;"|"&amp;5,세트구성!$G$3:$G$302,0)),""),발주접수!$D59))</f>
        <v/>
      </c>
      <c r="N570" s="34" t="str">
        <f>IF($J570=FALSE(),"",IF(발주접수!$F59="세트",발주접수!$G59*IFERROR(INDEX(세트구성!$E$3:$E$302,MATCH(발주접수!$D59&amp;"|"&amp;5,세트구성!$G$3:$G$302,0)),0),발주접수!$G59))</f>
        <v/>
      </c>
      <c r="O570" s="34" t="str">
        <f>IF($J570=FALSE(),"",발주접수!$B59)</f>
        <v/>
      </c>
      <c r="P570" s="34" t="str">
        <f>IF($J570=FALSE(),"",발주접수!$C59)</f>
        <v/>
      </c>
      <c r="Q570" s="34" t="str">
        <f>IF($J570=FALSE(),"",IF(발주접수!$F59="세트",발주접수!$E59&amp;" 전개","직접 발주"))</f>
        <v/>
      </c>
    </row>
    <row r="571" ht="15" customHeight="1" s="30">
      <c r="J571" s="50" t="b">
        <f>IF(발주접수!$D59="",FALSE(),IF(발주접수!$F59="세트",COUNTIF(세트구성!$G$3:$G$302,발주접수!$D59&amp;"|"&amp;6)&gt;0,5=0))</f>
        <v>0</v>
      </c>
      <c r="K571" s="34" t="str">
        <f>IF($J571=FALSE(),"",COUNTIF($J$6:$J571,TRUE()))</f>
        <v/>
      </c>
      <c r="L571" s="34" t="str">
        <f>IF($K571="","","R"&amp;$K571)</f>
        <v/>
      </c>
      <c r="M571" s="34" t="str">
        <f>IF($J571=FALSE(),"",IF(발주접수!$F59="세트",IFERROR(INDEX(세트구성!$C$3:$C$302,MATCH(발주접수!$D59&amp;"|"&amp;6,세트구성!$G$3:$G$302,0)),""),발주접수!$D59))</f>
        <v/>
      </c>
      <c r="N571" s="34" t="str">
        <f>IF($J571=FALSE(),"",IF(발주접수!$F59="세트",발주접수!$G59*IFERROR(INDEX(세트구성!$E$3:$E$302,MATCH(발주접수!$D59&amp;"|"&amp;6,세트구성!$G$3:$G$302,0)),0),발주접수!$G59))</f>
        <v/>
      </c>
      <c r="O571" s="34" t="str">
        <f>IF($J571=FALSE(),"",발주접수!$B59)</f>
        <v/>
      </c>
      <c r="P571" s="34" t="str">
        <f>IF($J571=FALSE(),"",발주접수!$C59)</f>
        <v/>
      </c>
      <c r="Q571" s="34" t="str">
        <f>IF($J571=FALSE(),"",IF(발주접수!$F59="세트",발주접수!$E59&amp;" 전개","직접 발주"))</f>
        <v/>
      </c>
    </row>
    <row r="572" ht="15" customHeight="1" s="30">
      <c r="J572" s="50" t="b">
        <f>IF(발주접수!$D59="",FALSE(),IF(발주접수!$F59="세트",COUNTIF(세트구성!$G$3:$G$302,발주접수!$D59&amp;"|"&amp;7)&gt;0,6=0))</f>
        <v>0</v>
      </c>
      <c r="K572" s="34" t="str">
        <f>IF($J572=FALSE(),"",COUNTIF($J$6:$J572,TRUE()))</f>
        <v/>
      </c>
      <c r="L572" s="34" t="str">
        <f>IF($K572="","","R"&amp;$K572)</f>
        <v/>
      </c>
      <c r="M572" s="34" t="str">
        <f>IF($J572=FALSE(),"",IF(발주접수!$F59="세트",IFERROR(INDEX(세트구성!$C$3:$C$302,MATCH(발주접수!$D59&amp;"|"&amp;7,세트구성!$G$3:$G$302,0)),""),발주접수!$D59))</f>
        <v/>
      </c>
      <c r="N572" s="34" t="str">
        <f>IF($J572=FALSE(),"",IF(발주접수!$F59="세트",발주접수!$G59*IFERROR(INDEX(세트구성!$E$3:$E$302,MATCH(발주접수!$D59&amp;"|"&amp;7,세트구성!$G$3:$G$302,0)),0),발주접수!$G59))</f>
        <v/>
      </c>
      <c r="O572" s="34" t="str">
        <f>IF($J572=FALSE(),"",발주접수!$B59)</f>
        <v/>
      </c>
      <c r="P572" s="34" t="str">
        <f>IF($J572=FALSE(),"",발주접수!$C59)</f>
        <v/>
      </c>
      <c r="Q572" s="34" t="str">
        <f>IF($J572=FALSE(),"",IF(발주접수!$F59="세트",발주접수!$E59&amp;" 전개","직접 발주"))</f>
        <v/>
      </c>
    </row>
    <row r="573" ht="15" customHeight="1" s="30">
      <c r="J573" s="50" t="b">
        <f>IF(발주접수!$D59="",FALSE(),IF(발주접수!$F59="세트",COUNTIF(세트구성!$G$3:$G$302,발주접수!$D59&amp;"|"&amp;8)&gt;0,7=0))</f>
        <v>0</v>
      </c>
      <c r="K573" s="34" t="str">
        <f>IF($J573=FALSE(),"",COUNTIF($J$6:$J573,TRUE()))</f>
        <v/>
      </c>
      <c r="L573" s="34" t="str">
        <f>IF($K573="","","R"&amp;$K573)</f>
        <v/>
      </c>
      <c r="M573" s="34" t="str">
        <f>IF($J573=FALSE(),"",IF(발주접수!$F59="세트",IFERROR(INDEX(세트구성!$C$3:$C$302,MATCH(발주접수!$D59&amp;"|"&amp;8,세트구성!$G$3:$G$302,0)),""),발주접수!$D59))</f>
        <v/>
      </c>
      <c r="N573" s="34" t="str">
        <f>IF($J573=FALSE(),"",IF(발주접수!$F59="세트",발주접수!$G59*IFERROR(INDEX(세트구성!$E$3:$E$302,MATCH(발주접수!$D59&amp;"|"&amp;8,세트구성!$G$3:$G$302,0)),0),발주접수!$G59))</f>
        <v/>
      </c>
      <c r="O573" s="34" t="str">
        <f>IF($J573=FALSE(),"",발주접수!$B59)</f>
        <v/>
      </c>
      <c r="P573" s="34" t="str">
        <f>IF($J573=FALSE(),"",발주접수!$C59)</f>
        <v/>
      </c>
      <c r="Q573" s="34" t="str">
        <f>IF($J573=FALSE(),"",IF(발주접수!$F59="세트",발주접수!$E59&amp;" 전개","직접 발주"))</f>
        <v/>
      </c>
    </row>
    <row r="574" ht="15" customHeight="1" s="30">
      <c r="J574" s="50" t="b">
        <f>IF(발주접수!$D59="",FALSE(),IF(발주접수!$F59="세트",COUNTIF(세트구성!$G$3:$G$302,발주접수!$D59&amp;"|"&amp;9)&gt;0,8=0))</f>
        <v>0</v>
      </c>
      <c r="K574" s="34" t="str">
        <f>IF($J574=FALSE(),"",COUNTIF($J$6:$J574,TRUE()))</f>
        <v/>
      </c>
      <c r="L574" s="34" t="str">
        <f>IF($K574="","","R"&amp;$K574)</f>
        <v/>
      </c>
      <c r="M574" s="34" t="str">
        <f>IF($J574=FALSE(),"",IF(발주접수!$F59="세트",IFERROR(INDEX(세트구성!$C$3:$C$302,MATCH(발주접수!$D59&amp;"|"&amp;9,세트구성!$G$3:$G$302,0)),""),발주접수!$D59))</f>
        <v/>
      </c>
      <c r="N574" s="34" t="str">
        <f>IF($J574=FALSE(),"",IF(발주접수!$F59="세트",발주접수!$G59*IFERROR(INDEX(세트구성!$E$3:$E$302,MATCH(발주접수!$D59&amp;"|"&amp;9,세트구성!$G$3:$G$302,0)),0),발주접수!$G59))</f>
        <v/>
      </c>
      <c r="O574" s="34" t="str">
        <f>IF($J574=FALSE(),"",발주접수!$B59)</f>
        <v/>
      </c>
      <c r="P574" s="34" t="str">
        <f>IF($J574=FALSE(),"",발주접수!$C59)</f>
        <v/>
      </c>
      <c r="Q574" s="34" t="str">
        <f>IF($J574=FALSE(),"",IF(발주접수!$F59="세트",발주접수!$E59&amp;" 전개","직접 발주"))</f>
        <v/>
      </c>
    </row>
    <row r="575" ht="15" customHeight="1" s="30">
      <c r="J575" s="50" t="b">
        <f>IF(발주접수!$D59="",FALSE(),IF(발주접수!$F59="세트",COUNTIF(세트구성!$G$3:$G$302,발주접수!$D59&amp;"|"&amp;10)&gt;0,9=0))</f>
        <v>0</v>
      </c>
      <c r="K575" s="34" t="str">
        <f>IF($J575=FALSE(),"",COUNTIF($J$6:$J575,TRUE()))</f>
        <v/>
      </c>
      <c r="L575" s="34" t="str">
        <f>IF($K575="","","R"&amp;$K575)</f>
        <v/>
      </c>
      <c r="M575" s="34" t="str">
        <f>IF($J575=FALSE(),"",IF(발주접수!$F59="세트",IFERROR(INDEX(세트구성!$C$3:$C$302,MATCH(발주접수!$D59&amp;"|"&amp;10,세트구성!$G$3:$G$302,0)),""),발주접수!$D59))</f>
        <v/>
      </c>
      <c r="N575" s="34" t="str">
        <f>IF($J575=FALSE(),"",IF(발주접수!$F59="세트",발주접수!$G59*IFERROR(INDEX(세트구성!$E$3:$E$302,MATCH(발주접수!$D59&amp;"|"&amp;10,세트구성!$G$3:$G$302,0)),0),발주접수!$G59))</f>
        <v/>
      </c>
      <c r="O575" s="34" t="str">
        <f>IF($J575=FALSE(),"",발주접수!$B59)</f>
        <v/>
      </c>
      <c r="P575" s="34" t="str">
        <f>IF($J575=FALSE(),"",발주접수!$C59)</f>
        <v/>
      </c>
      <c r="Q575" s="34" t="str">
        <f>IF($J575=FALSE(),"",IF(발주접수!$F59="세트",발주접수!$E59&amp;" 전개","직접 발주"))</f>
        <v/>
      </c>
    </row>
    <row r="576" ht="15" customHeight="1" s="30">
      <c r="J576" s="50" t="b">
        <f>IF(발주접수!$D60="",FALSE(),IF(발주접수!$F60="세트",COUNTIF(세트구성!$G$3:$G$302,발주접수!$D60&amp;"|"&amp;1)&gt;0,0=0))</f>
        <v>0</v>
      </c>
      <c r="K576" s="34" t="str">
        <f>IF($J576=FALSE(),"",COUNTIF($J$6:$J576,TRUE()))</f>
        <v/>
      </c>
      <c r="L576" s="34" t="str">
        <f>IF($K576="","","R"&amp;$K576)</f>
        <v/>
      </c>
      <c r="M576" s="34" t="str">
        <f>IF($J576=FALSE(),"",IF(발주접수!$F60="세트",IFERROR(INDEX(세트구성!$C$3:$C$302,MATCH(발주접수!$D60&amp;"|"&amp;1,세트구성!$G$3:$G$302,0)),""),발주접수!$D60))</f>
        <v/>
      </c>
      <c r="N576" s="34" t="str">
        <f>IF($J576=FALSE(),"",IF(발주접수!$F60="세트",발주접수!$G60*IFERROR(INDEX(세트구성!$E$3:$E$302,MATCH(발주접수!$D60&amp;"|"&amp;1,세트구성!$G$3:$G$302,0)),0),발주접수!$G60))</f>
        <v/>
      </c>
      <c r="O576" s="34" t="str">
        <f>IF($J576=FALSE(),"",발주접수!$B60)</f>
        <v/>
      </c>
      <c r="P576" s="34" t="str">
        <f>IF($J576=FALSE(),"",발주접수!$C60)</f>
        <v/>
      </c>
      <c r="Q576" s="34" t="str">
        <f>IF($J576=FALSE(),"",IF(발주접수!$F60="세트",발주접수!$E60&amp;" 전개","직접 발주"))</f>
        <v/>
      </c>
    </row>
    <row r="577" ht="15" customHeight="1" s="30">
      <c r="J577" s="50" t="b">
        <f>IF(발주접수!$D60="",FALSE(),IF(발주접수!$F60="세트",COUNTIF(세트구성!$G$3:$G$302,발주접수!$D60&amp;"|"&amp;2)&gt;0,1=0))</f>
        <v>0</v>
      </c>
      <c r="K577" s="34" t="str">
        <f>IF($J577=FALSE(),"",COUNTIF($J$6:$J577,TRUE()))</f>
        <v/>
      </c>
      <c r="L577" s="34" t="str">
        <f>IF($K577="","","R"&amp;$K577)</f>
        <v/>
      </c>
      <c r="M577" s="34" t="str">
        <f>IF($J577=FALSE(),"",IF(발주접수!$F60="세트",IFERROR(INDEX(세트구성!$C$3:$C$302,MATCH(발주접수!$D60&amp;"|"&amp;2,세트구성!$G$3:$G$302,0)),""),발주접수!$D60))</f>
        <v/>
      </c>
      <c r="N577" s="34" t="str">
        <f>IF($J577=FALSE(),"",IF(발주접수!$F60="세트",발주접수!$G60*IFERROR(INDEX(세트구성!$E$3:$E$302,MATCH(발주접수!$D60&amp;"|"&amp;2,세트구성!$G$3:$G$302,0)),0),발주접수!$G60))</f>
        <v/>
      </c>
      <c r="O577" s="34" t="str">
        <f>IF($J577=FALSE(),"",발주접수!$B60)</f>
        <v/>
      </c>
      <c r="P577" s="34" t="str">
        <f>IF($J577=FALSE(),"",발주접수!$C60)</f>
        <v/>
      </c>
      <c r="Q577" s="34" t="str">
        <f>IF($J577=FALSE(),"",IF(발주접수!$F60="세트",발주접수!$E60&amp;" 전개","직접 발주"))</f>
        <v/>
      </c>
    </row>
    <row r="578" ht="15" customHeight="1" s="30">
      <c r="J578" s="50" t="b">
        <f>IF(발주접수!$D60="",FALSE(),IF(발주접수!$F60="세트",COUNTIF(세트구성!$G$3:$G$302,발주접수!$D60&amp;"|"&amp;3)&gt;0,2=0))</f>
        <v>0</v>
      </c>
      <c r="K578" s="34" t="str">
        <f>IF($J578=FALSE(),"",COUNTIF($J$6:$J578,TRUE()))</f>
        <v/>
      </c>
      <c r="L578" s="34" t="str">
        <f>IF($K578="","","R"&amp;$K578)</f>
        <v/>
      </c>
      <c r="M578" s="34" t="str">
        <f>IF($J578=FALSE(),"",IF(발주접수!$F60="세트",IFERROR(INDEX(세트구성!$C$3:$C$302,MATCH(발주접수!$D60&amp;"|"&amp;3,세트구성!$G$3:$G$302,0)),""),발주접수!$D60))</f>
        <v/>
      </c>
      <c r="N578" s="34" t="str">
        <f>IF($J578=FALSE(),"",IF(발주접수!$F60="세트",발주접수!$G60*IFERROR(INDEX(세트구성!$E$3:$E$302,MATCH(발주접수!$D60&amp;"|"&amp;3,세트구성!$G$3:$G$302,0)),0),발주접수!$G60))</f>
        <v/>
      </c>
      <c r="O578" s="34" t="str">
        <f>IF($J578=FALSE(),"",발주접수!$B60)</f>
        <v/>
      </c>
      <c r="P578" s="34" t="str">
        <f>IF($J578=FALSE(),"",발주접수!$C60)</f>
        <v/>
      </c>
      <c r="Q578" s="34" t="str">
        <f>IF($J578=FALSE(),"",IF(발주접수!$F60="세트",발주접수!$E60&amp;" 전개","직접 발주"))</f>
        <v/>
      </c>
    </row>
    <row r="579" ht="15" customHeight="1" s="30">
      <c r="J579" s="50" t="b">
        <f>IF(발주접수!$D60="",FALSE(),IF(발주접수!$F60="세트",COUNTIF(세트구성!$G$3:$G$302,발주접수!$D60&amp;"|"&amp;4)&gt;0,3=0))</f>
        <v>0</v>
      </c>
      <c r="K579" s="34" t="str">
        <f>IF($J579=FALSE(),"",COUNTIF($J$6:$J579,TRUE()))</f>
        <v/>
      </c>
      <c r="L579" s="34" t="str">
        <f>IF($K579="","","R"&amp;$K579)</f>
        <v/>
      </c>
      <c r="M579" s="34" t="str">
        <f>IF($J579=FALSE(),"",IF(발주접수!$F60="세트",IFERROR(INDEX(세트구성!$C$3:$C$302,MATCH(발주접수!$D60&amp;"|"&amp;4,세트구성!$G$3:$G$302,0)),""),발주접수!$D60))</f>
        <v/>
      </c>
      <c r="N579" s="34" t="str">
        <f>IF($J579=FALSE(),"",IF(발주접수!$F60="세트",발주접수!$G60*IFERROR(INDEX(세트구성!$E$3:$E$302,MATCH(발주접수!$D60&amp;"|"&amp;4,세트구성!$G$3:$G$302,0)),0),발주접수!$G60))</f>
        <v/>
      </c>
      <c r="O579" s="34" t="str">
        <f>IF($J579=FALSE(),"",발주접수!$B60)</f>
        <v/>
      </c>
      <c r="P579" s="34" t="str">
        <f>IF($J579=FALSE(),"",발주접수!$C60)</f>
        <v/>
      </c>
      <c r="Q579" s="34" t="str">
        <f>IF($J579=FALSE(),"",IF(발주접수!$F60="세트",발주접수!$E60&amp;" 전개","직접 발주"))</f>
        <v/>
      </c>
    </row>
    <row r="580" ht="15" customHeight="1" s="30">
      <c r="J580" s="50" t="b">
        <f>IF(발주접수!$D60="",FALSE(),IF(발주접수!$F60="세트",COUNTIF(세트구성!$G$3:$G$302,발주접수!$D60&amp;"|"&amp;5)&gt;0,4=0))</f>
        <v>0</v>
      </c>
      <c r="K580" s="34" t="str">
        <f>IF($J580=FALSE(),"",COUNTIF($J$6:$J580,TRUE()))</f>
        <v/>
      </c>
      <c r="L580" s="34" t="str">
        <f>IF($K580="","","R"&amp;$K580)</f>
        <v/>
      </c>
      <c r="M580" s="34" t="str">
        <f>IF($J580=FALSE(),"",IF(발주접수!$F60="세트",IFERROR(INDEX(세트구성!$C$3:$C$302,MATCH(발주접수!$D60&amp;"|"&amp;5,세트구성!$G$3:$G$302,0)),""),발주접수!$D60))</f>
        <v/>
      </c>
      <c r="N580" s="34" t="str">
        <f>IF($J580=FALSE(),"",IF(발주접수!$F60="세트",발주접수!$G60*IFERROR(INDEX(세트구성!$E$3:$E$302,MATCH(발주접수!$D60&amp;"|"&amp;5,세트구성!$G$3:$G$302,0)),0),발주접수!$G60))</f>
        <v/>
      </c>
      <c r="O580" s="34" t="str">
        <f>IF($J580=FALSE(),"",발주접수!$B60)</f>
        <v/>
      </c>
      <c r="P580" s="34" t="str">
        <f>IF($J580=FALSE(),"",발주접수!$C60)</f>
        <v/>
      </c>
      <c r="Q580" s="34" t="str">
        <f>IF($J580=FALSE(),"",IF(발주접수!$F60="세트",발주접수!$E60&amp;" 전개","직접 발주"))</f>
        <v/>
      </c>
    </row>
    <row r="581" ht="15" customHeight="1" s="30">
      <c r="J581" s="50" t="b">
        <f>IF(발주접수!$D60="",FALSE(),IF(발주접수!$F60="세트",COUNTIF(세트구성!$G$3:$G$302,발주접수!$D60&amp;"|"&amp;6)&gt;0,5=0))</f>
        <v>0</v>
      </c>
      <c r="K581" s="34" t="str">
        <f>IF($J581=FALSE(),"",COUNTIF($J$6:$J581,TRUE()))</f>
        <v/>
      </c>
      <c r="L581" s="34" t="str">
        <f>IF($K581="","","R"&amp;$K581)</f>
        <v/>
      </c>
      <c r="M581" s="34" t="str">
        <f>IF($J581=FALSE(),"",IF(발주접수!$F60="세트",IFERROR(INDEX(세트구성!$C$3:$C$302,MATCH(발주접수!$D60&amp;"|"&amp;6,세트구성!$G$3:$G$302,0)),""),발주접수!$D60))</f>
        <v/>
      </c>
      <c r="N581" s="34" t="str">
        <f>IF($J581=FALSE(),"",IF(발주접수!$F60="세트",발주접수!$G60*IFERROR(INDEX(세트구성!$E$3:$E$302,MATCH(발주접수!$D60&amp;"|"&amp;6,세트구성!$G$3:$G$302,0)),0),발주접수!$G60))</f>
        <v/>
      </c>
      <c r="O581" s="34" t="str">
        <f>IF($J581=FALSE(),"",발주접수!$B60)</f>
        <v/>
      </c>
      <c r="P581" s="34" t="str">
        <f>IF($J581=FALSE(),"",발주접수!$C60)</f>
        <v/>
      </c>
      <c r="Q581" s="34" t="str">
        <f>IF($J581=FALSE(),"",IF(발주접수!$F60="세트",발주접수!$E60&amp;" 전개","직접 발주"))</f>
        <v/>
      </c>
    </row>
    <row r="582" ht="15" customHeight="1" s="30">
      <c r="J582" s="50" t="b">
        <f>IF(발주접수!$D60="",FALSE(),IF(발주접수!$F60="세트",COUNTIF(세트구성!$G$3:$G$302,발주접수!$D60&amp;"|"&amp;7)&gt;0,6=0))</f>
        <v>0</v>
      </c>
      <c r="K582" s="34" t="str">
        <f>IF($J582=FALSE(),"",COUNTIF($J$6:$J582,TRUE()))</f>
        <v/>
      </c>
      <c r="L582" s="34" t="str">
        <f>IF($K582="","","R"&amp;$K582)</f>
        <v/>
      </c>
      <c r="M582" s="34" t="str">
        <f>IF($J582=FALSE(),"",IF(발주접수!$F60="세트",IFERROR(INDEX(세트구성!$C$3:$C$302,MATCH(발주접수!$D60&amp;"|"&amp;7,세트구성!$G$3:$G$302,0)),""),발주접수!$D60))</f>
        <v/>
      </c>
      <c r="N582" s="34" t="str">
        <f>IF($J582=FALSE(),"",IF(발주접수!$F60="세트",발주접수!$G60*IFERROR(INDEX(세트구성!$E$3:$E$302,MATCH(발주접수!$D60&amp;"|"&amp;7,세트구성!$G$3:$G$302,0)),0),발주접수!$G60))</f>
        <v/>
      </c>
      <c r="O582" s="34" t="str">
        <f>IF($J582=FALSE(),"",발주접수!$B60)</f>
        <v/>
      </c>
      <c r="P582" s="34" t="str">
        <f>IF($J582=FALSE(),"",발주접수!$C60)</f>
        <v/>
      </c>
      <c r="Q582" s="34" t="str">
        <f>IF($J582=FALSE(),"",IF(발주접수!$F60="세트",발주접수!$E60&amp;" 전개","직접 발주"))</f>
        <v/>
      </c>
    </row>
    <row r="583" ht="15" customHeight="1" s="30">
      <c r="J583" s="50" t="b">
        <f>IF(발주접수!$D60="",FALSE(),IF(발주접수!$F60="세트",COUNTIF(세트구성!$G$3:$G$302,발주접수!$D60&amp;"|"&amp;8)&gt;0,7=0))</f>
        <v>0</v>
      </c>
      <c r="K583" s="34" t="str">
        <f>IF($J583=FALSE(),"",COUNTIF($J$6:$J583,TRUE()))</f>
        <v/>
      </c>
      <c r="L583" s="34" t="str">
        <f>IF($K583="","","R"&amp;$K583)</f>
        <v/>
      </c>
      <c r="M583" s="34" t="str">
        <f>IF($J583=FALSE(),"",IF(발주접수!$F60="세트",IFERROR(INDEX(세트구성!$C$3:$C$302,MATCH(발주접수!$D60&amp;"|"&amp;8,세트구성!$G$3:$G$302,0)),""),발주접수!$D60))</f>
        <v/>
      </c>
      <c r="N583" s="34" t="str">
        <f>IF($J583=FALSE(),"",IF(발주접수!$F60="세트",발주접수!$G60*IFERROR(INDEX(세트구성!$E$3:$E$302,MATCH(발주접수!$D60&amp;"|"&amp;8,세트구성!$G$3:$G$302,0)),0),발주접수!$G60))</f>
        <v/>
      </c>
      <c r="O583" s="34" t="str">
        <f>IF($J583=FALSE(),"",발주접수!$B60)</f>
        <v/>
      </c>
      <c r="P583" s="34" t="str">
        <f>IF($J583=FALSE(),"",발주접수!$C60)</f>
        <v/>
      </c>
      <c r="Q583" s="34" t="str">
        <f>IF($J583=FALSE(),"",IF(발주접수!$F60="세트",발주접수!$E60&amp;" 전개","직접 발주"))</f>
        <v/>
      </c>
    </row>
    <row r="584" ht="15" customHeight="1" s="30">
      <c r="J584" s="50" t="b">
        <f>IF(발주접수!$D60="",FALSE(),IF(발주접수!$F60="세트",COUNTIF(세트구성!$G$3:$G$302,발주접수!$D60&amp;"|"&amp;9)&gt;0,8=0))</f>
        <v>0</v>
      </c>
      <c r="K584" s="34" t="str">
        <f>IF($J584=FALSE(),"",COUNTIF($J$6:$J584,TRUE()))</f>
        <v/>
      </c>
      <c r="L584" s="34" t="str">
        <f>IF($K584="","","R"&amp;$K584)</f>
        <v/>
      </c>
      <c r="M584" s="34" t="str">
        <f>IF($J584=FALSE(),"",IF(발주접수!$F60="세트",IFERROR(INDEX(세트구성!$C$3:$C$302,MATCH(발주접수!$D60&amp;"|"&amp;9,세트구성!$G$3:$G$302,0)),""),발주접수!$D60))</f>
        <v/>
      </c>
      <c r="N584" s="34" t="str">
        <f>IF($J584=FALSE(),"",IF(발주접수!$F60="세트",발주접수!$G60*IFERROR(INDEX(세트구성!$E$3:$E$302,MATCH(발주접수!$D60&amp;"|"&amp;9,세트구성!$G$3:$G$302,0)),0),발주접수!$G60))</f>
        <v/>
      </c>
      <c r="O584" s="34" t="str">
        <f>IF($J584=FALSE(),"",발주접수!$B60)</f>
        <v/>
      </c>
      <c r="P584" s="34" t="str">
        <f>IF($J584=FALSE(),"",발주접수!$C60)</f>
        <v/>
      </c>
      <c r="Q584" s="34" t="str">
        <f>IF($J584=FALSE(),"",IF(발주접수!$F60="세트",발주접수!$E60&amp;" 전개","직접 발주"))</f>
        <v/>
      </c>
    </row>
    <row r="585" ht="15" customHeight="1" s="30">
      <c r="J585" s="50" t="b">
        <f>IF(발주접수!$D60="",FALSE(),IF(발주접수!$F60="세트",COUNTIF(세트구성!$G$3:$G$302,발주접수!$D60&amp;"|"&amp;10)&gt;0,9=0))</f>
        <v>0</v>
      </c>
      <c r="K585" s="34" t="str">
        <f>IF($J585=FALSE(),"",COUNTIF($J$6:$J585,TRUE()))</f>
        <v/>
      </c>
      <c r="L585" s="34" t="str">
        <f>IF($K585="","","R"&amp;$K585)</f>
        <v/>
      </c>
      <c r="M585" s="34" t="str">
        <f>IF($J585=FALSE(),"",IF(발주접수!$F60="세트",IFERROR(INDEX(세트구성!$C$3:$C$302,MATCH(발주접수!$D60&amp;"|"&amp;10,세트구성!$G$3:$G$302,0)),""),발주접수!$D60))</f>
        <v/>
      </c>
      <c r="N585" s="34" t="str">
        <f>IF($J585=FALSE(),"",IF(발주접수!$F60="세트",발주접수!$G60*IFERROR(INDEX(세트구성!$E$3:$E$302,MATCH(발주접수!$D60&amp;"|"&amp;10,세트구성!$G$3:$G$302,0)),0),발주접수!$G60))</f>
        <v/>
      </c>
      <c r="O585" s="34" t="str">
        <f>IF($J585=FALSE(),"",발주접수!$B60)</f>
        <v/>
      </c>
      <c r="P585" s="34" t="str">
        <f>IF($J585=FALSE(),"",발주접수!$C60)</f>
        <v/>
      </c>
      <c r="Q585" s="34" t="str">
        <f>IF($J585=FALSE(),"",IF(발주접수!$F60="세트",발주접수!$E60&amp;" 전개","직접 발주"))</f>
        <v/>
      </c>
    </row>
    <row r="586" ht="15" customHeight="1" s="30">
      <c r="J586" s="50" t="b">
        <f>IF(발주접수!$D61="",FALSE(),IF(발주접수!$F61="세트",COUNTIF(세트구성!$G$3:$G$302,발주접수!$D61&amp;"|"&amp;1)&gt;0,0=0))</f>
        <v>0</v>
      </c>
      <c r="K586" s="34" t="str">
        <f>IF($J586=FALSE(),"",COUNTIF($J$6:$J586,TRUE()))</f>
        <v/>
      </c>
      <c r="L586" s="34" t="str">
        <f>IF($K586="","","R"&amp;$K586)</f>
        <v/>
      </c>
      <c r="M586" s="34" t="str">
        <f>IF($J586=FALSE(),"",IF(발주접수!$F61="세트",IFERROR(INDEX(세트구성!$C$3:$C$302,MATCH(발주접수!$D61&amp;"|"&amp;1,세트구성!$G$3:$G$302,0)),""),발주접수!$D61))</f>
        <v/>
      </c>
      <c r="N586" s="34" t="str">
        <f>IF($J586=FALSE(),"",IF(발주접수!$F61="세트",발주접수!$G61*IFERROR(INDEX(세트구성!$E$3:$E$302,MATCH(발주접수!$D61&amp;"|"&amp;1,세트구성!$G$3:$G$302,0)),0),발주접수!$G61))</f>
        <v/>
      </c>
      <c r="O586" s="34" t="str">
        <f>IF($J586=FALSE(),"",발주접수!$B61)</f>
        <v/>
      </c>
      <c r="P586" s="34" t="str">
        <f>IF($J586=FALSE(),"",발주접수!$C61)</f>
        <v/>
      </c>
      <c r="Q586" s="34" t="str">
        <f>IF($J586=FALSE(),"",IF(발주접수!$F61="세트",발주접수!$E61&amp;" 전개","직접 발주"))</f>
        <v/>
      </c>
    </row>
    <row r="587" ht="15" customHeight="1" s="30">
      <c r="J587" s="50" t="b">
        <f>IF(발주접수!$D61="",FALSE(),IF(발주접수!$F61="세트",COUNTIF(세트구성!$G$3:$G$302,발주접수!$D61&amp;"|"&amp;2)&gt;0,1=0))</f>
        <v>0</v>
      </c>
      <c r="K587" s="34" t="str">
        <f>IF($J587=FALSE(),"",COUNTIF($J$6:$J587,TRUE()))</f>
        <v/>
      </c>
      <c r="L587" s="34" t="str">
        <f>IF($K587="","","R"&amp;$K587)</f>
        <v/>
      </c>
      <c r="M587" s="34" t="str">
        <f>IF($J587=FALSE(),"",IF(발주접수!$F61="세트",IFERROR(INDEX(세트구성!$C$3:$C$302,MATCH(발주접수!$D61&amp;"|"&amp;2,세트구성!$G$3:$G$302,0)),""),발주접수!$D61))</f>
        <v/>
      </c>
      <c r="N587" s="34" t="str">
        <f>IF($J587=FALSE(),"",IF(발주접수!$F61="세트",발주접수!$G61*IFERROR(INDEX(세트구성!$E$3:$E$302,MATCH(발주접수!$D61&amp;"|"&amp;2,세트구성!$G$3:$G$302,0)),0),발주접수!$G61))</f>
        <v/>
      </c>
      <c r="O587" s="34" t="str">
        <f>IF($J587=FALSE(),"",발주접수!$B61)</f>
        <v/>
      </c>
      <c r="P587" s="34" t="str">
        <f>IF($J587=FALSE(),"",발주접수!$C61)</f>
        <v/>
      </c>
      <c r="Q587" s="34" t="str">
        <f>IF($J587=FALSE(),"",IF(발주접수!$F61="세트",발주접수!$E61&amp;" 전개","직접 발주"))</f>
        <v/>
      </c>
    </row>
    <row r="588" ht="15" customHeight="1" s="30">
      <c r="J588" s="50" t="b">
        <f>IF(발주접수!$D61="",FALSE(),IF(발주접수!$F61="세트",COUNTIF(세트구성!$G$3:$G$302,발주접수!$D61&amp;"|"&amp;3)&gt;0,2=0))</f>
        <v>0</v>
      </c>
      <c r="K588" s="34" t="str">
        <f>IF($J588=FALSE(),"",COUNTIF($J$6:$J588,TRUE()))</f>
        <v/>
      </c>
      <c r="L588" s="34" t="str">
        <f>IF($K588="","","R"&amp;$K588)</f>
        <v/>
      </c>
      <c r="M588" s="34" t="str">
        <f>IF($J588=FALSE(),"",IF(발주접수!$F61="세트",IFERROR(INDEX(세트구성!$C$3:$C$302,MATCH(발주접수!$D61&amp;"|"&amp;3,세트구성!$G$3:$G$302,0)),""),발주접수!$D61))</f>
        <v/>
      </c>
      <c r="N588" s="34" t="str">
        <f>IF($J588=FALSE(),"",IF(발주접수!$F61="세트",발주접수!$G61*IFERROR(INDEX(세트구성!$E$3:$E$302,MATCH(발주접수!$D61&amp;"|"&amp;3,세트구성!$G$3:$G$302,0)),0),발주접수!$G61))</f>
        <v/>
      </c>
      <c r="O588" s="34" t="str">
        <f>IF($J588=FALSE(),"",발주접수!$B61)</f>
        <v/>
      </c>
      <c r="P588" s="34" t="str">
        <f>IF($J588=FALSE(),"",발주접수!$C61)</f>
        <v/>
      </c>
      <c r="Q588" s="34" t="str">
        <f>IF($J588=FALSE(),"",IF(발주접수!$F61="세트",발주접수!$E61&amp;" 전개","직접 발주"))</f>
        <v/>
      </c>
    </row>
    <row r="589" ht="15" customHeight="1" s="30">
      <c r="J589" s="50" t="b">
        <f>IF(발주접수!$D61="",FALSE(),IF(발주접수!$F61="세트",COUNTIF(세트구성!$G$3:$G$302,발주접수!$D61&amp;"|"&amp;4)&gt;0,3=0))</f>
        <v>0</v>
      </c>
      <c r="K589" s="34" t="str">
        <f>IF($J589=FALSE(),"",COUNTIF($J$6:$J589,TRUE()))</f>
        <v/>
      </c>
      <c r="L589" s="34" t="str">
        <f>IF($K589="","","R"&amp;$K589)</f>
        <v/>
      </c>
      <c r="M589" s="34" t="str">
        <f>IF($J589=FALSE(),"",IF(발주접수!$F61="세트",IFERROR(INDEX(세트구성!$C$3:$C$302,MATCH(발주접수!$D61&amp;"|"&amp;4,세트구성!$G$3:$G$302,0)),""),발주접수!$D61))</f>
        <v/>
      </c>
      <c r="N589" s="34" t="str">
        <f>IF($J589=FALSE(),"",IF(발주접수!$F61="세트",발주접수!$G61*IFERROR(INDEX(세트구성!$E$3:$E$302,MATCH(발주접수!$D61&amp;"|"&amp;4,세트구성!$G$3:$G$302,0)),0),발주접수!$G61))</f>
        <v/>
      </c>
      <c r="O589" s="34" t="str">
        <f>IF($J589=FALSE(),"",발주접수!$B61)</f>
        <v/>
      </c>
      <c r="P589" s="34" t="str">
        <f>IF($J589=FALSE(),"",발주접수!$C61)</f>
        <v/>
      </c>
      <c r="Q589" s="34" t="str">
        <f>IF($J589=FALSE(),"",IF(발주접수!$F61="세트",발주접수!$E61&amp;" 전개","직접 발주"))</f>
        <v/>
      </c>
    </row>
    <row r="590" ht="15" customHeight="1" s="30">
      <c r="J590" s="50" t="b">
        <f>IF(발주접수!$D61="",FALSE(),IF(발주접수!$F61="세트",COUNTIF(세트구성!$G$3:$G$302,발주접수!$D61&amp;"|"&amp;5)&gt;0,4=0))</f>
        <v>0</v>
      </c>
      <c r="K590" s="34" t="str">
        <f>IF($J590=FALSE(),"",COUNTIF($J$6:$J590,TRUE()))</f>
        <v/>
      </c>
      <c r="L590" s="34" t="str">
        <f>IF($K590="","","R"&amp;$K590)</f>
        <v/>
      </c>
      <c r="M590" s="34" t="str">
        <f>IF($J590=FALSE(),"",IF(발주접수!$F61="세트",IFERROR(INDEX(세트구성!$C$3:$C$302,MATCH(발주접수!$D61&amp;"|"&amp;5,세트구성!$G$3:$G$302,0)),""),발주접수!$D61))</f>
        <v/>
      </c>
      <c r="N590" s="34" t="str">
        <f>IF($J590=FALSE(),"",IF(발주접수!$F61="세트",발주접수!$G61*IFERROR(INDEX(세트구성!$E$3:$E$302,MATCH(발주접수!$D61&amp;"|"&amp;5,세트구성!$G$3:$G$302,0)),0),발주접수!$G61))</f>
        <v/>
      </c>
      <c r="O590" s="34" t="str">
        <f>IF($J590=FALSE(),"",발주접수!$B61)</f>
        <v/>
      </c>
      <c r="P590" s="34" t="str">
        <f>IF($J590=FALSE(),"",발주접수!$C61)</f>
        <v/>
      </c>
      <c r="Q590" s="34" t="str">
        <f>IF($J590=FALSE(),"",IF(발주접수!$F61="세트",발주접수!$E61&amp;" 전개","직접 발주"))</f>
        <v/>
      </c>
    </row>
    <row r="591" ht="15" customHeight="1" s="30">
      <c r="J591" s="50" t="b">
        <f>IF(발주접수!$D61="",FALSE(),IF(발주접수!$F61="세트",COUNTIF(세트구성!$G$3:$G$302,발주접수!$D61&amp;"|"&amp;6)&gt;0,5=0))</f>
        <v>0</v>
      </c>
      <c r="K591" s="34" t="str">
        <f>IF($J591=FALSE(),"",COUNTIF($J$6:$J591,TRUE()))</f>
        <v/>
      </c>
      <c r="L591" s="34" t="str">
        <f>IF($K591="","","R"&amp;$K591)</f>
        <v/>
      </c>
      <c r="M591" s="34" t="str">
        <f>IF($J591=FALSE(),"",IF(발주접수!$F61="세트",IFERROR(INDEX(세트구성!$C$3:$C$302,MATCH(발주접수!$D61&amp;"|"&amp;6,세트구성!$G$3:$G$302,0)),""),발주접수!$D61))</f>
        <v/>
      </c>
      <c r="N591" s="34" t="str">
        <f>IF($J591=FALSE(),"",IF(발주접수!$F61="세트",발주접수!$G61*IFERROR(INDEX(세트구성!$E$3:$E$302,MATCH(발주접수!$D61&amp;"|"&amp;6,세트구성!$G$3:$G$302,0)),0),발주접수!$G61))</f>
        <v/>
      </c>
      <c r="O591" s="34" t="str">
        <f>IF($J591=FALSE(),"",발주접수!$B61)</f>
        <v/>
      </c>
      <c r="P591" s="34" t="str">
        <f>IF($J591=FALSE(),"",발주접수!$C61)</f>
        <v/>
      </c>
      <c r="Q591" s="34" t="str">
        <f>IF($J591=FALSE(),"",IF(발주접수!$F61="세트",발주접수!$E61&amp;" 전개","직접 발주"))</f>
        <v/>
      </c>
    </row>
    <row r="592" ht="15" customHeight="1" s="30">
      <c r="J592" s="50" t="b">
        <f>IF(발주접수!$D61="",FALSE(),IF(발주접수!$F61="세트",COUNTIF(세트구성!$G$3:$G$302,발주접수!$D61&amp;"|"&amp;7)&gt;0,6=0))</f>
        <v>0</v>
      </c>
      <c r="K592" s="34" t="str">
        <f>IF($J592=FALSE(),"",COUNTIF($J$6:$J592,TRUE()))</f>
        <v/>
      </c>
      <c r="L592" s="34" t="str">
        <f>IF($K592="","","R"&amp;$K592)</f>
        <v/>
      </c>
      <c r="M592" s="34" t="str">
        <f>IF($J592=FALSE(),"",IF(발주접수!$F61="세트",IFERROR(INDEX(세트구성!$C$3:$C$302,MATCH(발주접수!$D61&amp;"|"&amp;7,세트구성!$G$3:$G$302,0)),""),발주접수!$D61))</f>
        <v/>
      </c>
      <c r="N592" s="34" t="str">
        <f>IF($J592=FALSE(),"",IF(발주접수!$F61="세트",발주접수!$G61*IFERROR(INDEX(세트구성!$E$3:$E$302,MATCH(발주접수!$D61&amp;"|"&amp;7,세트구성!$G$3:$G$302,0)),0),발주접수!$G61))</f>
        <v/>
      </c>
      <c r="O592" s="34" t="str">
        <f>IF($J592=FALSE(),"",발주접수!$B61)</f>
        <v/>
      </c>
      <c r="P592" s="34" t="str">
        <f>IF($J592=FALSE(),"",발주접수!$C61)</f>
        <v/>
      </c>
      <c r="Q592" s="34" t="str">
        <f>IF($J592=FALSE(),"",IF(발주접수!$F61="세트",발주접수!$E61&amp;" 전개","직접 발주"))</f>
        <v/>
      </c>
    </row>
    <row r="593" ht="15" customHeight="1" s="30">
      <c r="J593" s="50" t="b">
        <f>IF(발주접수!$D61="",FALSE(),IF(발주접수!$F61="세트",COUNTIF(세트구성!$G$3:$G$302,발주접수!$D61&amp;"|"&amp;8)&gt;0,7=0))</f>
        <v>0</v>
      </c>
      <c r="K593" s="34" t="str">
        <f>IF($J593=FALSE(),"",COUNTIF($J$6:$J593,TRUE()))</f>
        <v/>
      </c>
      <c r="L593" s="34" t="str">
        <f>IF($K593="","","R"&amp;$K593)</f>
        <v/>
      </c>
      <c r="M593" s="34" t="str">
        <f>IF($J593=FALSE(),"",IF(발주접수!$F61="세트",IFERROR(INDEX(세트구성!$C$3:$C$302,MATCH(발주접수!$D61&amp;"|"&amp;8,세트구성!$G$3:$G$302,0)),""),발주접수!$D61))</f>
        <v/>
      </c>
      <c r="N593" s="34" t="str">
        <f>IF($J593=FALSE(),"",IF(발주접수!$F61="세트",발주접수!$G61*IFERROR(INDEX(세트구성!$E$3:$E$302,MATCH(발주접수!$D61&amp;"|"&amp;8,세트구성!$G$3:$G$302,0)),0),발주접수!$G61))</f>
        <v/>
      </c>
      <c r="O593" s="34" t="str">
        <f>IF($J593=FALSE(),"",발주접수!$B61)</f>
        <v/>
      </c>
      <c r="P593" s="34" t="str">
        <f>IF($J593=FALSE(),"",발주접수!$C61)</f>
        <v/>
      </c>
      <c r="Q593" s="34" t="str">
        <f>IF($J593=FALSE(),"",IF(발주접수!$F61="세트",발주접수!$E61&amp;" 전개","직접 발주"))</f>
        <v/>
      </c>
    </row>
    <row r="594" ht="15" customHeight="1" s="30">
      <c r="J594" s="50" t="b">
        <f>IF(발주접수!$D61="",FALSE(),IF(발주접수!$F61="세트",COUNTIF(세트구성!$G$3:$G$302,발주접수!$D61&amp;"|"&amp;9)&gt;0,8=0))</f>
        <v>0</v>
      </c>
      <c r="K594" s="34" t="str">
        <f>IF($J594=FALSE(),"",COUNTIF($J$6:$J594,TRUE()))</f>
        <v/>
      </c>
      <c r="L594" s="34" t="str">
        <f>IF($K594="","","R"&amp;$K594)</f>
        <v/>
      </c>
      <c r="M594" s="34" t="str">
        <f>IF($J594=FALSE(),"",IF(발주접수!$F61="세트",IFERROR(INDEX(세트구성!$C$3:$C$302,MATCH(발주접수!$D61&amp;"|"&amp;9,세트구성!$G$3:$G$302,0)),""),발주접수!$D61))</f>
        <v/>
      </c>
      <c r="N594" s="34" t="str">
        <f>IF($J594=FALSE(),"",IF(발주접수!$F61="세트",발주접수!$G61*IFERROR(INDEX(세트구성!$E$3:$E$302,MATCH(발주접수!$D61&amp;"|"&amp;9,세트구성!$G$3:$G$302,0)),0),발주접수!$G61))</f>
        <v/>
      </c>
      <c r="O594" s="34" t="str">
        <f>IF($J594=FALSE(),"",발주접수!$B61)</f>
        <v/>
      </c>
      <c r="P594" s="34" t="str">
        <f>IF($J594=FALSE(),"",발주접수!$C61)</f>
        <v/>
      </c>
      <c r="Q594" s="34" t="str">
        <f>IF($J594=FALSE(),"",IF(발주접수!$F61="세트",발주접수!$E61&amp;" 전개","직접 발주"))</f>
        <v/>
      </c>
    </row>
    <row r="595" ht="15" customHeight="1" s="30">
      <c r="J595" s="50" t="b">
        <f>IF(발주접수!$D61="",FALSE(),IF(발주접수!$F61="세트",COUNTIF(세트구성!$G$3:$G$302,발주접수!$D61&amp;"|"&amp;10)&gt;0,9=0))</f>
        <v>0</v>
      </c>
      <c r="K595" s="34" t="str">
        <f>IF($J595=FALSE(),"",COUNTIF($J$6:$J595,TRUE()))</f>
        <v/>
      </c>
      <c r="L595" s="34" t="str">
        <f>IF($K595="","","R"&amp;$K595)</f>
        <v/>
      </c>
      <c r="M595" s="34" t="str">
        <f>IF($J595=FALSE(),"",IF(발주접수!$F61="세트",IFERROR(INDEX(세트구성!$C$3:$C$302,MATCH(발주접수!$D61&amp;"|"&amp;10,세트구성!$G$3:$G$302,0)),""),발주접수!$D61))</f>
        <v/>
      </c>
      <c r="N595" s="34" t="str">
        <f>IF($J595=FALSE(),"",IF(발주접수!$F61="세트",발주접수!$G61*IFERROR(INDEX(세트구성!$E$3:$E$302,MATCH(발주접수!$D61&amp;"|"&amp;10,세트구성!$G$3:$G$302,0)),0),발주접수!$G61))</f>
        <v/>
      </c>
      <c r="O595" s="34" t="str">
        <f>IF($J595=FALSE(),"",발주접수!$B61)</f>
        <v/>
      </c>
      <c r="P595" s="34" t="str">
        <f>IF($J595=FALSE(),"",발주접수!$C61)</f>
        <v/>
      </c>
      <c r="Q595" s="34" t="str">
        <f>IF($J595=FALSE(),"",IF(발주접수!$F61="세트",발주접수!$E61&amp;" 전개","직접 발주"))</f>
        <v/>
      </c>
    </row>
    <row r="596" ht="15" customHeight="1" s="30">
      <c r="J596" s="50" t="b">
        <f>IF(발주접수!$D62="",FALSE(),IF(발주접수!$F62="세트",COUNTIF(세트구성!$G$3:$G$302,발주접수!$D62&amp;"|"&amp;1)&gt;0,0=0))</f>
        <v>0</v>
      </c>
      <c r="K596" s="34" t="str">
        <f>IF($J596=FALSE(),"",COUNTIF($J$6:$J596,TRUE()))</f>
        <v/>
      </c>
      <c r="L596" s="34" t="str">
        <f>IF($K596="","","R"&amp;$K596)</f>
        <v/>
      </c>
      <c r="M596" s="34" t="str">
        <f>IF($J596=FALSE(),"",IF(발주접수!$F62="세트",IFERROR(INDEX(세트구성!$C$3:$C$302,MATCH(발주접수!$D62&amp;"|"&amp;1,세트구성!$G$3:$G$302,0)),""),발주접수!$D62))</f>
        <v/>
      </c>
      <c r="N596" s="34" t="str">
        <f>IF($J596=FALSE(),"",IF(발주접수!$F62="세트",발주접수!$G62*IFERROR(INDEX(세트구성!$E$3:$E$302,MATCH(발주접수!$D62&amp;"|"&amp;1,세트구성!$G$3:$G$302,0)),0),발주접수!$G62))</f>
        <v/>
      </c>
      <c r="O596" s="34" t="str">
        <f>IF($J596=FALSE(),"",발주접수!$B62)</f>
        <v/>
      </c>
      <c r="P596" s="34" t="str">
        <f>IF($J596=FALSE(),"",발주접수!$C62)</f>
        <v/>
      </c>
      <c r="Q596" s="34" t="str">
        <f>IF($J596=FALSE(),"",IF(발주접수!$F62="세트",발주접수!$E62&amp;" 전개","직접 발주"))</f>
        <v/>
      </c>
    </row>
    <row r="597" ht="15" customHeight="1" s="30">
      <c r="J597" s="50" t="b">
        <f>IF(발주접수!$D62="",FALSE(),IF(발주접수!$F62="세트",COUNTIF(세트구성!$G$3:$G$302,발주접수!$D62&amp;"|"&amp;2)&gt;0,1=0))</f>
        <v>0</v>
      </c>
      <c r="K597" s="34" t="str">
        <f>IF($J597=FALSE(),"",COUNTIF($J$6:$J597,TRUE()))</f>
        <v/>
      </c>
      <c r="L597" s="34" t="str">
        <f>IF($K597="","","R"&amp;$K597)</f>
        <v/>
      </c>
      <c r="M597" s="34" t="str">
        <f>IF($J597=FALSE(),"",IF(발주접수!$F62="세트",IFERROR(INDEX(세트구성!$C$3:$C$302,MATCH(발주접수!$D62&amp;"|"&amp;2,세트구성!$G$3:$G$302,0)),""),발주접수!$D62))</f>
        <v/>
      </c>
      <c r="N597" s="34" t="str">
        <f>IF($J597=FALSE(),"",IF(발주접수!$F62="세트",발주접수!$G62*IFERROR(INDEX(세트구성!$E$3:$E$302,MATCH(발주접수!$D62&amp;"|"&amp;2,세트구성!$G$3:$G$302,0)),0),발주접수!$G62))</f>
        <v/>
      </c>
      <c r="O597" s="34" t="str">
        <f>IF($J597=FALSE(),"",발주접수!$B62)</f>
        <v/>
      </c>
      <c r="P597" s="34" t="str">
        <f>IF($J597=FALSE(),"",발주접수!$C62)</f>
        <v/>
      </c>
      <c r="Q597" s="34" t="str">
        <f>IF($J597=FALSE(),"",IF(발주접수!$F62="세트",발주접수!$E62&amp;" 전개","직접 발주"))</f>
        <v/>
      </c>
    </row>
    <row r="598" ht="15" customHeight="1" s="30">
      <c r="J598" s="50" t="b">
        <f>IF(발주접수!$D62="",FALSE(),IF(발주접수!$F62="세트",COUNTIF(세트구성!$G$3:$G$302,발주접수!$D62&amp;"|"&amp;3)&gt;0,2=0))</f>
        <v>0</v>
      </c>
      <c r="K598" s="34" t="str">
        <f>IF($J598=FALSE(),"",COUNTIF($J$6:$J598,TRUE()))</f>
        <v/>
      </c>
      <c r="L598" s="34" t="str">
        <f>IF($K598="","","R"&amp;$K598)</f>
        <v/>
      </c>
      <c r="M598" s="34" t="str">
        <f>IF($J598=FALSE(),"",IF(발주접수!$F62="세트",IFERROR(INDEX(세트구성!$C$3:$C$302,MATCH(발주접수!$D62&amp;"|"&amp;3,세트구성!$G$3:$G$302,0)),""),발주접수!$D62))</f>
        <v/>
      </c>
      <c r="N598" s="34" t="str">
        <f>IF($J598=FALSE(),"",IF(발주접수!$F62="세트",발주접수!$G62*IFERROR(INDEX(세트구성!$E$3:$E$302,MATCH(발주접수!$D62&amp;"|"&amp;3,세트구성!$G$3:$G$302,0)),0),발주접수!$G62))</f>
        <v/>
      </c>
      <c r="O598" s="34" t="str">
        <f>IF($J598=FALSE(),"",발주접수!$B62)</f>
        <v/>
      </c>
      <c r="P598" s="34" t="str">
        <f>IF($J598=FALSE(),"",발주접수!$C62)</f>
        <v/>
      </c>
      <c r="Q598" s="34" t="str">
        <f>IF($J598=FALSE(),"",IF(발주접수!$F62="세트",발주접수!$E62&amp;" 전개","직접 발주"))</f>
        <v/>
      </c>
    </row>
    <row r="599" ht="15" customHeight="1" s="30">
      <c r="J599" s="50" t="b">
        <f>IF(발주접수!$D62="",FALSE(),IF(발주접수!$F62="세트",COUNTIF(세트구성!$G$3:$G$302,발주접수!$D62&amp;"|"&amp;4)&gt;0,3=0))</f>
        <v>0</v>
      </c>
      <c r="K599" s="34" t="str">
        <f>IF($J599=FALSE(),"",COUNTIF($J$6:$J599,TRUE()))</f>
        <v/>
      </c>
      <c r="L599" s="34" t="str">
        <f>IF($K599="","","R"&amp;$K599)</f>
        <v/>
      </c>
      <c r="M599" s="34" t="str">
        <f>IF($J599=FALSE(),"",IF(발주접수!$F62="세트",IFERROR(INDEX(세트구성!$C$3:$C$302,MATCH(발주접수!$D62&amp;"|"&amp;4,세트구성!$G$3:$G$302,0)),""),발주접수!$D62))</f>
        <v/>
      </c>
      <c r="N599" s="34" t="str">
        <f>IF($J599=FALSE(),"",IF(발주접수!$F62="세트",발주접수!$G62*IFERROR(INDEX(세트구성!$E$3:$E$302,MATCH(발주접수!$D62&amp;"|"&amp;4,세트구성!$G$3:$G$302,0)),0),발주접수!$G62))</f>
        <v/>
      </c>
      <c r="O599" s="34" t="str">
        <f>IF($J599=FALSE(),"",발주접수!$B62)</f>
        <v/>
      </c>
      <c r="P599" s="34" t="str">
        <f>IF($J599=FALSE(),"",발주접수!$C62)</f>
        <v/>
      </c>
      <c r="Q599" s="34" t="str">
        <f>IF($J599=FALSE(),"",IF(발주접수!$F62="세트",발주접수!$E62&amp;" 전개","직접 발주"))</f>
        <v/>
      </c>
    </row>
    <row r="600" ht="15" customHeight="1" s="30">
      <c r="J600" s="50" t="b">
        <f>IF(발주접수!$D62="",FALSE(),IF(발주접수!$F62="세트",COUNTIF(세트구성!$G$3:$G$302,발주접수!$D62&amp;"|"&amp;5)&gt;0,4=0))</f>
        <v>0</v>
      </c>
      <c r="K600" s="34" t="str">
        <f>IF($J600=FALSE(),"",COUNTIF($J$6:$J600,TRUE()))</f>
        <v/>
      </c>
      <c r="L600" s="34" t="str">
        <f>IF($K600="","","R"&amp;$K600)</f>
        <v/>
      </c>
      <c r="M600" s="34" t="str">
        <f>IF($J600=FALSE(),"",IF(발주접수!$F62="세트",IFERROR(INDEX(세트구성!$C$3:$C$302,MATCH(발주접수!$D62&amp;"|"&amp;5,세트구성!$G$3:$G$302,0)),""),발주접수!$D62))</f>
        <v/>
      </c>
      <c r="N600" s="34" t="str">
        <f>IF($J600=FALSE(),"",IF(발주접수!$F62="세트",발주접수!$G62*IFERROR(INDEX(세트구성!$E$3:$E$302,MATCH(발주접수!$D62&amp;"|"&amp;5,세트구성!$G$3:$G$302,0)),0),발주접수!$G62))</f>
        <v/>
      </c>
      <c r="O600" s="34" t="str">
        <f>IF($J600=FALSE(),"",발주접수!$B62)</f>
        <v/>
      </c>
      <c r="P600" s="34" t="str">
        <f>IF($J600=FALSE(),"",발주접수!$C62)</f>
        <v/>
      </c>
      <c r="Q600" s="34" t="str">
        <f>IF($J600=FALSE(),"",IF(발주접수!$F62="세트",발주접수!$E62&amp;" 전개","직접 발주"))</f>
        <v/>
      </c>
    </row>
    <row r="601" ht="15" customHeight="1" s="30">
      <c r="J601" s="50" t="b">
        <f>IF(발주접수!$D62="",FALSE(),IF(발주접수!$F62="세트",COUNTIF(세트구성!$G$3:$G$302,발주접수!$D62&amp;"|"&amp;6)&gt;0,5=0))</f>
        <v>0</v>
      </c>
      <c r="K601" s="34" t="str">
        <f>IF($J601=FALSE(),"",COUNTIF($J$6:$J601,TRUE()))</f>
        <v/>
      </c>
      <c r="L601" s="34" t="str">
        <f>IF($K601="","","R"&amp;$K601)</f>
        <v/>
      </c>
      <c r="M601" s="34" t="str">
        <f>IF($J601=FALSE(),"",IF(발주접수!$F62="세트",IFERROR(INDEX(세트구성!$C$3:$C$302,MATCH(발주접수!$D62&amp;"|"&amp;6,세트구성!$G$3:$G$302,0)),""),발주접수!$D62))</f>
        <v/>
      </c>
      <c r="N601" s="34" t="str">
        <f>IF($J601=FALSE(),"",IF(발주접수!$F62="세트",발주접수!$G62*IFERROR(INDEX(세트구성!$E$3:$E$302,MATCH(발주접수!$D62&amp;"|"&amp;6,세트구성!$G$3:$G$302,0)),0),발주접수!$G62))</f>
        <v/>
      </c>
      <c r="O601" s="34" t="str">
        <f>IF($J601=FALSE(),"",발주접수!$B62)</f>
        <v/>
      </c>
      <c r="P601" s="34" t="str">
        <f>IF($J601=FALSE(),"",발주접수!$C62)</f>
        <v/>
      </c>
      <c r="Q601" s="34" t="str">
        <f>IF($J601=FALSE(),"",IF(발주접수!$F62="세트",발주접수!$E62&amp;" 전개","직접 발주"))</f>
        <v/>
      </c>
    </row>
    <row r="602" ht="15" customHeight="1" s="30">
      <c r="J602" s="50" t="b">
        <f>IF(발주접수!$D62="",FALSE(),IF(발주접수!$F62="세트",COUNTIF(세트구성!$G$3:$G$302,발주접수!$D62&amp;"|"&amp;7)&gt;0,6=0))</f>
        <v>0</v>
      </c>
      <c r="K602" s="34" t="str">
        <f>IF($J602=FALSE(),"",COUNTIF($J$6:$J602,TRUE()))</f>
        <v/>
      </c>
      <c r="L602" s="34" t="str">
        <f>IF($K602="","","R"&amp;$K602)</f>
        <v/>
      </c>
      <c r="M602" s="34" t="str">
        <f>IF($J602=FALSE(),"",IF(발주접수!$F62="세트",IFERROR(INDEX(세트구성!$C$3:$C$302,MATCH(발주접수!$D62&amp;"|"&amp;7,세트구성!$G$3:$G$302,0)),""),발주접수!$D62))</f>
        <v/>
      </c>
      <c r="N602" s="34" t="str">
        <f>IF($J602=FALSE(),"",IF(발주접수!$F62="세트",발주접수!$G62*IFERROR(INDEX(세트구성!$E$3:$E$302,MATCH(발주접수!$D62&amp;"|"&amp;7,세트구성!$G$3:$G$302,0)),0),발주접수!$G62))</f>
        <v/>
      </c>
      <c r="O602" s="34" t="str">
        <f>IF($J602=FALSE(),"",발주접수!$B62)</f>
        <v/>
      </c>
      <c r="P602" s="34" t="str">
        <f>IF($J602=FALSE(),"",발주접수!$C62)</f>
        <v/>
      </c>
      <c r="Q602" s="34" t="str">
        <f>IF($J602=FALSE(),"",IF(발주접수!$F62="세트",발주접수!$E62&amp;" 전개","직접 발주"))</f>
        <v/>
      </c>
    </row>
    <row r="603" ht="15" customHeight="1" s="30">
      <c r="J603" s="50" t="b">
        <f>IF(발주접수!$D62="",FALSE(),IF(발주접수!$F62="세트",COUNTIF(세트구성!$G$3:$G$302,발주접수!$D62&amp;"|"&amp;8)&gt;0,7=0))</f>
        <v>0</v>
      </c>
      <c r="K603" s="34" t="str">
        <f>IF($J603=FALSE(),"",COUNTIF($J$6:$J603,TRUE()))</f>
        <v/>
      </c>
      <c r="L603" s="34" t="str">
        <f>IF($K603="","","R"&amp;$K603)</f>
        <v/>
      </c>
      <c r="M603" s="34" t="str">
        <f>IF($J603=FALSE(),"",IF(발주접수!$F62="세트",IFERROR(INDEX(세트구성!$C$3:$C$302,MATCH(발주접수!$D62&amp;"|"&amp;8,세트구성!$G$3:$G$302,0)),""),발주접수!$D62))</f>
        <v/>
      </c>
      <c r="N603" s="34" t="str">
        <f>IF($J603=FALSE(),"",IF(발주접수!$F62="세트",발주접수!$G62*IFERROR(INDEX(세트구성!$E$3:$E$302,MATCH(발주접수!$D62&amp;"|"&amp;8,세트구성!$G$3:$G$302,0)),0),발주접수!$G62))</f>
        <v/>
      </c>
      <c r="O603" s="34" t="str">
        <f>IF($J603=FALSE(),"",발주접수!$B62)</f>
        <v/>
      </c>
      <c r="P603" s="34" t="str">
        <f>IF($J603=FALSE(),"",발주접수!$C62)</f>
        <v/>
      </c>
      <c r="Q603" s="34" t="str">
        <f>IF($J603=FALSE(),"",IF(발주접수!$F62="세트",발주접수!$E62&amp;" 전개","직접 발주"))</f>
        <v/>
      </c>
    </row>
    <row r="604" ht="15" customHeight="1" s="30">
      <c r="J604" s="50" t="b">
        <f>IF(발주접수!$D62="",FALSE(),IF(발주접수!$F62="세트",COUNTIF(세트구성!$G$3:$G$302,발주접수!$D62&amp;"|"&amp;9)&gt;0,8=0))</f>
        <v>0</v>
      </c>
      <c r="K604" s="34" t="str">
        <f>IF($J604=FALSE(),"",COUNTIF($J$6:$J604,TRUE()))</f>
        <v/>
      </c>
      <c r="L604" s="34" t="str">
        <f>IF($K604="","","R"&amp;$K604)</f>
        <v/>
      </c>
      <c r="M604" s="34" t="str">
        <f>IF($J604=FALSE(),"",IF(발주접수!$F62="세트",IFERROR(INDEX(세트구성!$C$3:$C$302,MATCH(발주접수!$D62&amp;"|"&amp;9,세트구성!$G$3:$G$302,0)),""),발주접수!$D62))</f>
        <v/>
      </c>
      <c r="N604" s="34" t="str">
        <f>IF($J604=FALSE(),"",IF(발주접수!$F62="세트",발주접수!$G62*IFERROR(INDEX(세트구성!$E$3:$E$302,MATCH(발주접수!$D62&amp;"|"&amp;9,세트구성!$G$3:$G$302,0)),0),발주접수!$G62))</f>
        <v/>
      </c>
      <c r="O604" s="34" t="str">
        <f>IF($J604=FALSE(),"",발주접수!$B62)</f>
        <v/>
      </c>
      <c r="P604" s="34" t="str">
        <f>IF($J604=FALSE(),"",발주접수!$C62)</f>
        <v/>
      </c>
      <c r="Q604" s="34" t="str">
        <f>IF($J604=FALSE(),"",IF(발주접수!$F62="세트",발주접수!$E62&amp;" 전개","직접 발주"))</f>
        <v/>
      </c>
    </row>
    <row r="605" ht="15" customHeight="1" s="30">
      <c r="J605" s="50" t="b">
        <f>IF(발주접수!$D62="",FALSE(),IF(발주접수!$F62="세트",COUNTIF(세트구성!$G$3:$G$302,발주접수!$D62&amp;"|"&amp;10)&gt;0,9=0))</f>
        <v>0</v>
      </c>
      <c r="K605" s="34" t="str">
        <f>IF($J605=FALSE(),"",COUNTIF($J$6:$J605,TRUE()))</f>
        <v/>
      </c>
      <c r="L605" s="34" t="str">
        <f>IF($K605="","","R"&amp;$K605)</f>
        <v/>
      </c>
      <c r="M605" s="34" t="str">
        <f>IF($J605=FALSE(),"",IF(발주접수!$F62="세트",IFERROR(INDEX(세트구성!$C$3:$C$302,MATCH(발주접수!$D62&amp;"|"&amp;10,세트구성!$G$3:$G$302,0)),""),발주접수!$D62))</f>
        <v/>
      </c>
      <c r="N605" s="34" t="str">
        <f>IF($J605=FALSE(),"",IF(발주접수!$F62="세트",발주접수!$G62*IFERROR(INDEX(세트구성!$E$3:$E$302,MATCH(발주접수!$D62&amp;"|"&amp;10,세트구성!$G$3:$G$302,0)),0),발주접수!$G62))</f>
        <v/>
      </c>
      <c r="O605" s="34" t="str">
        <f>IF($J605=FALSE(),"",발주접수!$B62)</f>
        <v/>
      </c>
      <c r="P605" s="34" t="str">
        <f>IF($J605=FALSE(),"",발주접수!$C62)</f>
        <v/>
      </c>
      <c r="Q605" s="34" t="str">
        <f>IF($J605=FALSE(),"",IF(발주접수!$F62="세트",발주접수!$E62&amp;" 전개","직접 발주"))</f>
        <v/>
      </c>
    </row>
    <row r="606" ht="15" customHeight="1" s="30">
      <c r="J606" s="50" t="b">
        <f>IF(발주접수!$D63="",FALSE(),IF(발주접수!$F63="세트",COUNTIF(세트구성!$G$3:$G$302,발주접수!$D63&amp;"|"&amp;1)&gt;0,0=0))</f>
        <v>0</v>
      </c>
      <c r="K606" s="34" t="str">
        <f>IF($J606=FALSE(),"",COUNTIF($J$6:$J606,TRUE()))</f>
        <v/>
      </c>
      <c r="L606" s="34" t="str">
        <f>IF($K606="","","R"&amp;$K606)</f>
        <v/>
      </c>
      <c r="M606" s="34" t="str">
        <f>IF($J606=FALSE(),"",IF(발주접수!$F63="세트",IFERROR(INDEX(세트구성!$C$3:$C$302,MATCH(발주접수!$D63&amp;"|"&amp;1,세트구성!$G$3:$G$302,0)),""),발주접수!$D63))</f>
        <v/>
      </c>
      <c r="N606" s="34" t="str">
        <f>IF($J606=FALSE(),"",IF(발주접수!$F63="세트",발주접수!$G63*IFERROR(INDEX(세트구성!$E$3:$E$302,MATCH(발주접수!$D63&amp;"|"&amp;1,세트구성!$G$3:$G$302,0)),0),발주접수!$G63))</f>
        <v/>
      </c>
      <c r="O606" s="34" t="str">
        <f>IF($J606=FALSE(),"",발주접수!$B63)</f>
        <v/>
      </c>
      <c r="P606" s="34" t="str">
        <f>IF($J606=FALSE(),"",발주접수!$C63)</f>
        <v/>
      </c>
      <c r="Q606" s="34" t="str">
        <f>IF($J606=FALSE(),"",IF(발주접수!$F63="세트",발주접수!$E63&amp;" 전개","직접 발주"))</f>
        <v/>
      </c>
    </row>
    <row r="607" ht="15" customHeight="1" s="30">
      <c r="J607" s="50" t="b">
        <f>IF(발주접수!$D63="",FALSE(),IF(발주접수!$F63="세트",COUNTIF(세트구성!$G$3:$G$302,발주접수!$D63&amp;"|"&amp;2)&gt;0,1=0))</f>
        <v>0</v>
      </c>
      <c r="K607" s="34" t="str">
        <f>IF($J607=FALSE(),"",COUNTIF($J$6:$J607,TRUE()))</f>
        <v/>
      </c>
      <c r="L607" s="34" t="str">
        <f>IF($K607="","","R"&amp;$K607)</f>
        <v/>
      </c>
      <c r="M607" s="34" t="str">
        <f>IF($J607=FALSE(),"",IF(발주접수!$F63="세트",IFERROR(INDEX(세트구성!$C$3:$C$302,MATCH(발주접수!$D63&amp;"|"&amp;2,세트구성!$G$3:$G$302,0)),""),발주접수!$D63))</f>
        <v/>
      </c>
      <c r="N607" s="34" t="str">
        <f>IF($J607=FALSE(),"",IF(발주접수!$F63="세트",발주접수!$G63*IFERROR(INDEX(세트구성!$E$3:$E$302,MATCH(발주접수!$D63&amp;"|"&amp;2,세트구성!$G$3:$G$302,0)),0),발주접수!$G63))</f>
        <v/>
      </c>
      <c r="O607" s="34" t="str">
        <f>IF($J607=FALSE(),"",발주접수!$B63)</f>
        <v/>
      </c>
      <c r="P607" s="34" t="str">
        <f>IF($J607=FALSE(),"",발주접수!$C63)</f>
        <v/>
      </c>
      <c r="Q607" s="34" t="str">
        <f>IF($J607=FALSE(),"",IF(발주접수!$F63="세트",발주접수!$E63&amp;" 전개","직접 발주"))</f>
        <v/>
      </c>
    </row>
    <row r="608" ht="15" customHeight="1" s="30">
      <c r="J608" s="50" t="b">
        <f>IF(발주접수!$D63="",FALSE(),IF(발주접수!$F63="세트",COUNTIF(세트구성!$G$3:$G$302,발주접수!$D63&amp;"|"&amp;3)&gt;0,2=0))</f>
        <v>0</v>
      </c>
      <c r="K608" s="34" t="str">
        <f>IF($J608=FALSE(),"",COUNTIF($J$6:$J608,TRUE()))</f>
        <v/>
      </c>
      <c r="L608" s="34" t="str">
        <f>IF($K608="","","R"&amp;$K608)</f>
        <v/>
      </c>
      <c r="M608" s="34" t="str">
        <f>IF($J608=FALSE(),"",IF(발주접수!$F63="세트",IFERROR(INDEX(세트구성!$C$3:$C$302,MATCH(발주접수!$D63&amp;"|"&amp;3,세트구성!$G$3:$G$302,0)),""),발주접수!$D63))</f>
        <v/>
      </c>
      <c r="N608" s="34" t="str">
        <f>IF($J608=FALSE(),"",IF(발주접수!$F63="세트",발주접수!$G63*IFERROR(INDEX(세트구성!$E$3:$E$302,MATCH(발주접수!$D63&amp;"|"&amp;3,세트구성!$G$3:$G$302,0)),0),발주접수!$G63))</f>
        <v/>
      </c>
      <c r="O608" s="34" t="str">
        <f>IF($J608=FALSE(),"",발주접수!$B63)</f>
        <v/>
      </c>
      <c r="P608" s="34" t="str">
        <f>IF($J608=FALSE(),"",발주접수!$C63)</f>
        <v/>
      </c>
      <c r="Q608" s="34" t="str">
        <f>IF($J608=FALSE(),"",IF(발주접수!$F63="세트",발주접수!$E63&amp;" 전개","직접 발주"))</f>
        <v/>
      </c>
    </row>
    <row r="609" ht="15" customHeight="1" s="30">
      <c r="J609" s="50" t="b">
        <f>IF(발주접수!$D63="",FALSE(),IF(발주접수!$F63="세트",COUNTIF(세트구성!$G$3:$G$302,발주접수!$D63&amp;"|"&amp;4)&gt;0,3=0))</f>
        <v>0</v>
      </c>
      <c r="K609" s="34" t="str">
        <f>IF($J609=FALSE(),"",COUNTIF($J$6:$J609,TRUE()))</f>
        <v/>
      </c>
      <c r="L609" s="34" t="str">
        <f>IF($K609="","","R"&amp;$K609)</f>
        <v/>
      </c>
      <c r="M609" s="34" t="str">
        <f>IF($J609=FALSE(),"",IF(발주접수!$F63="세트",IFERROR(INDEX(세트구성!$C$3:$C$302,MATCH(발주접수!$D63&amp;"|"&amp;4,세트구성!$G$3:$G$302,0)),""),발주접수!$D63))</f>
        <v/>
      </c>
      <c r="N609" s="34" t="str">
        <f>IF($J609=FALSE(),"",IF(발주접수!$F63="세트",발주접수!$G63*IFERROR(INDEX(세트구성!$E$3:$E$302,MATCH(발주접수!$D63&amp;"|"&amp;4,세트구성!$G$3:$G$302,0)),0),발주접수!$G63))</f>
        <v/>
      </c>
      <c r="O609" s="34" t="str">
        <f>IF($J609=FALSE(),"",발주접수!$B63)</f>
        <v/>
      </c>
      <c r="P609" s="34" t="str">
        <f>IF($J609=FALSE(),"",발주접수!$C63)</f>
        <v/>
      </c>
      <c r="Q609" s="34" t="str">
        <f>IF($J609=FALSE(),"",IF(발주접수!$F63="세트",발주접수!$E63&amp;" 전개","직접 발주"))</f>
        <v/>
      </c>
    </row>
    <row r="610" ht="15" customHeight="1" s="30">
      <c r="J610" s="50" t="b">
        <f>IF(발주접수!$D63="",FALSE(),IF(발주접수!$F63="세트",COUNTIF(세트구성!$G$3:$G$302,발주접수!$D63&amp;"|"&amp;5)&gt;0,4=0))</f>
        <v>0</v>
      </c>
      <c r="K610" s="34" t="str">
        <f>IF($J610=FALSE(),"",COUNTIF($J$6:$J610,TRUE()))</f>
        <v/>
      </c>
      <c r="L610" s="34" t="str">
        <f>IF($K610="","","R"&amp;$K610)</f>
        <v/>
      </c>
      <c r="M610" s="34" t="str">
        <f>IF($J610=FALSE(),"",IF(발주접수!$F63="세트",IFERROR(INDEX(세트구성!$C$3:$C$302,MATCH(발주접수!$D63&amp;"|"&amp;5,세트구성!$G$3:$G$302,0)),""),발주접수!$D63))</f>
        <v/>
      </c>
      <c r="N610" s="34" t="str">
        <f>IF($J610=FALSE(),"",IF(발주접수!$F63="세트",발주접수!$G63*IFERROR(INDEX(세트구성!$E$3:$E$302,MATCH(발주접수!$D63&amp;"|"&amp;5,세트구성!$G$3:$G$302,0)),0),발주접수!$G63))</f>
        <v/>
      </c>
      <c r="O610" s="34" t="str">
        <f>IF($J610=FALSE(),"",발주접수!$B63)</f>
        <v/>
      </c>
      <c r="P610" s="34" t="str">
        <f>IF($J610=FALSE(),"",발주접수!$C63)</f>
        <v/>
      </c>
      <c r="Q610" s="34" t="str">
        <f>IF($J610=FALSE(),"",IF(발주접수!$F63="세트",발주접수!$E63&amp;" 전개","직접 발주"))</f>
        <v/>
      </c>
    </row>
    <row r="611" ht="15" customHeight="1" s="30">
      <c r="J611" s="50" t="b">
        <f>IF(발주접수!$D63="",FALSE(),IF(발주접수!$F63="세트",COUNTIF(세트구성!$G$3:$G$302,발주접수!$D63&amp;"|"&amp;6)&gt;0,5=0))</f>
        <v>0</v>
      </c>
      <c r="K611" s="34" t="str">
        <f>IF($J611=FALSE(),"",COUNTIF($J$6:$J611,TRUE()))</f>
        <v/>
      </c>
      <c r="L611" s="34" t="str">
        <f>IF($K611="","","R"&amp;$K611)</f>
        <v/>
      </c>
      <c r="M611" s="34" t="str">
        <f>IF($J611=FALSE(),"",IF(발주접수!$F63="세트",IFERROR(INDEX(세트구성!$C$3:$C$302,MATCH(발주접수!$D63&amp;"|"&amp;6,세트구성!$G$3:$G$302,0)),""),발주접수!$D63))</f>
        <v/>
      </c>
      <c r="N611" s="34" t="str">
        <f>IF($J611=FALSE(),"",IF(발주접수!$F63="세트",발주접수!$G63*IFERROR(INDEX(세트구성!$E$3:$E$302,MATCH(발주접수!$D63&amp;"|"&amp;6,세트구성!$G$3:$G$302,0)),0),발주접수!$G63))</f>
        <v/>
      </c>
      <c r="O611" s="34" t="str">
        <f>IF($J611=FALSE(),"",발주접수!$B63)</f>
        <v/>
      </c>
      <c r="P611" s="34" t="str">
        <f>IF($J611=FALSE(),"",발주접수!$C63)</f>
        <v/>
      </c>
      <c r="Q611" s="34" t="str">
        <f>IF($J611=FALSE(),"",IF(발주접수!$F63="세트",발주접수!$E63&amp;" 전개","직접 발주"))</f>
        <v/>
      </c>
    </row>
    <row r="612" ht="15" customHeight="1" s="30">
      <c r="J612" s="50" t="b">
        <f>IF(발주접수!$D63="",FALSE(),IF(발주접수!$F63="세트",COUNTIF(세트구성!$G$3:$G$302,발주접수!$D63&amp;"|"&amp;7)&gt;0,6=0))</f>
        <v>0</v>
      </c>
      <c r="K612" s="34" t="str">
        <f>IF($J612=FALSE(),"",COUNTIF($J$6:$J612,TRUE()))</f>
        <v/>
      </c>
      <c r="L612" s="34" t="str">
        <f>IF($K612="","","R"&amp;$K612)</f>
        <v/>
      </c>
      <c r="M612" s="34" t="str">
        <f>IF($J612=FALSE(),"",IF(발주접수!$F63="세트",IFERROR(INDEX(세트구성!$C$3:$C$302,MATCH(발주접수!$D63&amp;"|"&amp;7,세트구성!$G$3:$G$302,0)),""),발주접수!$D63))</f>
        <v/>
      </c>
      <c r="N612" s="34" t="str">
        <f>IF($J612=FALSE(),"",IF(발주접수!$F63="세트",발주접수!$G63*IFERROR(INDEX(세트구성!$E$3:$E$302,MATCH(발주접수!$D63&amp;"|"&amp;7,세트구성!$G$3:$G$302,0)),0),발주접수!$G63))</f>
        <v/>
      </c>
      <c r="O612" s="34" t="str">
        <f>IF($J612=FALSE(),"",발주접수!$B63)</f>
        <v/>
      </c>
      <c r="P612" s="34" t="str">
        <f>IF($J612=FALSE(),"",발주접수!$C63)</f>
        <v/>
      </c>
      <c r="Q612" s="34" t="str">
        <f>IF($J612=FALSE(),"",IF(발주접수!$F63="세트",발주접수!$E63&amp;" 전개","직접 발주"))</f>
        <v/>
      </c>
    </row>
    <row r="613" ht="15" customHeight="1" s="30">
      <c r="J613" s="50" t="b">
        <f>IF(발주접수!$D63="",FALSE(),IF(발주접수!$F63="세트",COUNTIF(세트구성!$G$3:$G$302,발주접수!$D63&amp;"|"&amp;8)&gt;0,7=0))</f>
        <v>0</v>
      </c>
      <c r="K613" s="34" t="str">
        <f>IF($J613=FALSE(),"",COUNTIF($J$6:$J613,TRUE()))</f>
        <v/>
      </c>
      <c r="L613" s="34" t="str">
        <f>IF($K613="","","R"&amp;$K613)</f>
        <v/>
      </c>
      <c r="M613" s="34" t="str">
        <f>IF($J613=FALSE(),"",IF(발주접수!$F63="세트",IFERROR(INDEX(세트구성!$C$3:$C$302,MATCH(발주접수!$D63&amp;"|"&amp;8,세트구성!$G$3:$G$302,0)),""),발주접수!$D63))</f>
        <v/>
      </c>
      <c r="N613" s="34" t="str">
        <f>IF($J613=FALSE(),"",IF(발주접수!$F63="세트",발주접수!$G63*IFERROR(INDEX(세트구성!$E$3:$E$302,MATCH(발주접수!$D63&amp;"|"&amp;8,세트구성!$G$3:$G$302,0)),0),발주접수!$G63))</f>
        <v/>
      </c>
      <c r="O613" s="34" t="str">
        <f>IF($J613=FALSE(),"",발주접수!$B63)</f>
        <v/>
      </c>
      <c r="P613" s="34" t="str">
        <f>IF($J613=FALSE(),"",발주접수!$C63)</f>
        <v/>
      </c>
      <c r="Q613" s="34" t="str">
        <f>IF($J613=FALSE(),"",IF(발주접수!$F63="세트",발주접수!$E63&amp;" 전개","직접 발주"))</f>
        <v/>
      </c>
    </row>
    <row r="614" ht="15" customHeight="1" s="30">
      <c r="J614" s="50" t="b">
        <f>IF(발주접수!$D63="",FALSE(),IF(발주접수!$F63="세트",COUNTIF(세트구성!$G$3:$G$302,발주접수!$D63&amp;"|"&amp;9)&gt;0,8=0))</f>
        <v>0</v>
      </c>
      <c r="K614" s="34" t="str">
        <f>IF($J614=FALSE(),"",COUNTIF($J$6:$J614,TRUE()))</f>
        <v/>
      </c>
      <c r="L614" s="34" t="str">
        <f>IF($K614="","","R"&amp;$K614)</f>
        <v/>
      </c>
      <c r="M614" s="34" t="str">
        <f>IF($J614=FALSE(),"",IF(발주접수!$F63="세트",IFERROR(INDEX(세트구성!$C$3:$C$302,MATCH(발주접수!$D63&amp;"|"&amp;9,세트구성!$G$3:$G$302,0)),""),발주접수!$D63))</f>
        <v/>
      </c>
      <c r="N614" s="34" t="str">
        <f>IF($J614=FALSE(),"",IF(발주접수!$F63="세트",발주접수!$G63*IFERROR(INDEX(세트구성!$E$3:$E$302,MATCH(발주접수!$D63&amp;"|"&amp;9,세트구성!$G$3:$G$302,0)),0),발주접수!$G63))</f>
        <v/>
      </c>
      <c r="O614" s="34" t="str">
        <f>IF($J614=FALSE(),"",발주접수!$B63)</f>
        <v/>
      </c>
      <c r="P614" s="34" t="str">
        <f>IF($J614=FALSE(),"",발주접수!$C63)</f>
        <v/>
      </c>
      <c r="Q614" s="34" t="str">
        <f>IF($J614=FALSE(),"",IF(발주접수!$F63="세트",발주접수!$E63&amp;" 전개","직접 발주"))</f>
        <v/>
      </c>
    </row>
    <row r="615" ht="15" customHeight="1" s="30">
      <c r="J615" s="50" t="b">
        <f>IF(발주접수!$D63="",FALSE(),IF(발주접수!$F63="세트",COUNTIF(세트구성!$G$3:$G$302,발주접수!$D63&amp;"|"&amp;10)&gt;0,9=0))</f>
        <v>0</v>
      </c>
      <c r="K615" s="34" t="str">
        <f>IF($J615=FALSE(),"",COUNTIF($J$6:$J615,TRUE()))</f>
        <v/>
      </c>
      <c r="L615" s="34" t="str">
        <f>IF($K615="","","R"&amp;$K615)</f>
        <v/>
      </c>
      <c r="M615" s="34" t="str">
        <f>IF($J615=FALSE(),"",IF(발주접수!$F63="세트",IFERROR(INDEX(세트구성!$C$3:$C$302,MATCH(발주접수!$D63&amp;"|"&amp;10,세트구성!$G$3:$G$302,0)),""),발주접수!$D63))</f>
        <v/>
      </c>
      <c r="N615" s="34" t="str">
        <f>IF($J615=FALSE(),"",IF(발주접수!$F63="세트",발주접수!$G63*IFERROR(INDEX(세트구성!$E$3:$E$302,MATCH(발주접수!$D63&amp;"|"&amp;10,세트구성!$G$3:$G$302,0)),0),발주접수!$G63))</f>
        <v/>
      </c>
      <c r="O615" s="34" t="str">
        <f>IF($J615=FALSE(),"",발주접수!$B63)</f>
        <v/>
      </c>
      <c r="P615" s="34" t="str">
        <f>IF($J615=FALSE(),"",발주접수!$C63)</f>
        <v/>
      </c>
      <c r="Q615" s="34" t="str">
        <f>IF($J615=FALSE(),"",IF(발주접수!$F63="세트",발주접수!$E63&amp;" 전개","직접 발주"))</f>
        <v/>
      </c>
    </row>
    <row r="616" ht="15" customHeight="1" s="30">
      <c r="J616" s="50" t="b">
        <f>IF(발주접수!$D64="",FALSE(),IF(발주접수!$F64="세트",COUNTIF(세트구성!$G$3:$G$302,발주접수!$D64&amp;"|"&amp;1)&gt;0,0=0))</f>
        <v>0</v>
      </c>
      <c r="K616" s="34" t="str">
        <f>IF($J616=FALSE(),"",COUNTIF($J$6:$J616,TRUE()))</f>
        <v/>
      </c>
      <c r="L616" s="34" t="str">
        <f>IF($K616="","","R"&amp;$K616)</f>
        <v/>
      </c>
      <c r="M616" s="34" t="str">
        <f>IF($J616=FALSE(),"",IF(발주접수!$F64="세트",IFERROR(INDEX(세트구성!$C$3:$C$302,MATCH(발주접수!$D64&amp;"|"&amp;1,세트구성!$G$3:$G$302,0)),""),발주접수!$D64))</f>
        <v/>
      </c>
      <c r="N616" s="34" t="str">
        <f>IF($J616=FALSE(),"",IF(발주접수!$F64="세트",발주접수!$G64*IFERROR(INDEX(세트구성!$E$3:$E$302,MATCH(발주접수!$D64&amp;"|"&amp;1,세트구성!$G$3:$G$302,0)),0),발주접수!$G64))</f>
        <v/>
      </c>
      <c r="O616" s="34" t="str">
        <f>IF($J616=FALSE(),"",발주접수!$B64)</f>
        <v/>
      </c>
      <c r="P616" s="34" t="str">
        <f>IF($J616=FALSE(),"",발주접수!$C64)</f>
        <v/>
      </c>
      <c r="Q616" s="34" t="str">
        <f>IF($J616=FALSE(),"",IF(발주접수!$F64="세트",발주접수!$E64&amp;" 전개","직접 발주"))</f>
        <v/>
      </c>
    </row>
    <row r="617" ht="15" customHeight="1" s="30">
      <c r="J617" s="50" t="b">
        <f>IF(발주접수!$D64="",FALSE(),IF(발주접수!$F64="세트",COUNTIF(세트구성!$G$3:$G$302,발주접수!$D64&amp;"|"&amp;2)&gt;0,1=0))</f>
        <v>0</v>
      </c>
      <c r="K617" s="34" t="str">
        <f>IF($J617=FALSE(),"",COUNTIF($J$6:$J617,TRUE()))</f>
        <v/>
      </c>
      <c r="L617" s="34" t="str">
        <f>IF($K617="","","R"&amp;$K617)</f>
        <v/>
      </c>
      <c r="M617" s="34" t="str">
        <f>IF($J617=FALSE(),"",IF(발주접수!$F64="세트",IFERROR(INDEX(세트구성!$C$3:$C$302,MATCH(발주접수!$D64&amp;"|"&amp;2,세트구성!$G$3:$G$302,0)),""),발주접수!$D64))</f>
        <v/>
      </c>
      <c r="N617" s="34" t="str">
        <f>IF($J617=FALSE(),"",IF(발주접수!$F64="세트",발주접수!$G64*IFERROR(INDEX(세트구성!$E$3:$E$302,MATCH(발주접수!$D64&amp;"|"&amp;2,세트구성!$G$3:$G$302,0)),0),발주접수!$G64))</f>
        <v/>
      </c>
      <c r="O617" s="34" t="str">
        <f>IF($J617=FALSE(),"",발주접수!$B64)</f>
        <v/>
      </c>
      <c r="P617" s="34" t="str">
        <f>IF($J617=FALSE(),"",발주접수!$C64)</f>
        <v/>
      </c>
      <c r="Q617" s="34" t="str">
        <f>IF($J617=FALSE(),"",IF(발주접수!$F64="세트",발주접수!$E64&amp;" 전개","직접 발주"))</f>
        <v/>
      </c>
    </row>
    <row r="618" ht="15" customHeight="1" s="30">
      <c r="J618" s="50" t="b">
        <f>IF(발주접수!$D64="",FALSE(),IF(발주접수!$F64="세트",COUNTIF(세트구성!$G$3:$G$302,발주접수!$D64&amp;"|"&amp;3)&gt;0,2=0))</f>
        <v>0</v>
      </c>
      <c r="K618" s="34" t="str">
        <f>IF($J618=FALSE(),"",COUNTIF($J$6:$J618,TRUE()))</f>
        <v/>
      </c>
      <c r="L618" s="34" t="str">
        <f>IF($K618="","","R"&amp;$K618)</f>
        <v/>
      </c>
      <c r="M618" s="34" t="str">
        <f>IF($J618=FALSE(),"",IF(발주접수!$F64="세트",IFERROR(INDEX(세트구성!$C$3:$C$302,MATCH(발주접수!$D64&amp;"|"&amp;3,세트구성!$G$3:$G$302,0)),""),발주접수!$D64))</f>
        <v/>
      </c>
      <c r="N618" s="34" t="str">
        <f>IF($J618=FALSE(),"",IF(발주접수!$F64="세트",발주접수!$G64*IFERROR(INDEX(세트구성!$E$3:$E$302,MATCH(발주접수!$D64&amp;"|"&amp;3,세트구성!$G$3:$G$302,0)),0),발주접수!$G64))</f>
        <v/>
      </c>
      <c r="O618" s="34" t="str">
        <f>IF($J618=FALSE(),"",발주접수!$B64)</f>
        <v/>
      </c>
      <c r="P618" s="34" t="str">
        <f>IF($J618=FALSE(),"",발주접수!$C64)</f>
        <v/>
      </c>
      <c r="Q618" s="34" t="str">
        <f>IF($J618=FALSE(),"",IF(발주접수!$F64="세트",발주접수!$E64&amp;" 전개","직접 발주"))</f>
        <v/>
      </c>
    </row>
    <row r="619" ht="15" customHeight="1" s="30">
      <c r="J619" s="50" t="b">
        <f>IF(발주접수!$D64="",FALSE(),IF(발주접수!$F64="세트",COUNTIF(세트구성!$G$3:$G$302,발주접수!$D64&amp;"|"&amp;4)&gt;0,3=0))</f>
        <v>0</v>
      </c>
      <c r="K619" s="34" t="str">
        <f>IF($J619=FALSE(),"",COUNTIF($J$6:$J619,TRUE()))</f>
        <v/>
      </c>
      <c r="L619" s="34" t="str">
        <f>IF($K619="","","R"&amp;$K619)</f>
        <v/>
      </c>
      <c r="M619" s="34" t="str">
        <f>IF($J619=FALSE(),"",IF(발주접수!$F64="세트",IFERROR(INDEX(세트구성!$C$3:$C$302,MATCH(발주접수!$D64&amp;"|"&amp;4,세트구성!$G$3:$G$302,0)),""),발주접수!$D64))</f>
        <v/>
      </c>
      <c r="N619" s="34" t="str">
        <f>IF($J619=FALSE(),"",IF(발주접수!$F64="세트",발주접수!$G64*IFERROR(INDEX(세트구성!$E$3:$E$302,MATCH(발주접수!$D64&amp;"|"&amp;4,세트구성!$G$3:$G$302,0)),0),발주접수!$G64))</f>
        <v/>
      </c>
      <c r="O619" s="34" t="str">
        <f>IF($J619=FALSE(),"",발주접수!$B64)</f>
        <v/>
      </c>
      <c r="P619" s="34" t="str">
        <f>IF($J619=FALSE(),"",발주접수!$C64)</f>
        <v/>
      </c>
      <c r="Q619" s="34" t="str">
        <f>IF($J619=FALSE(),"",IF(발주접수!$F64="세트",발주접수!$E64&amp;" 전개","직접 발주"))</f>
        <v/>
      </c>
    </row>
    <row r="620" ht="15" customHeight="1" s="30">
      <c r="J620" s="50" t="b">
        <f>IF(발주접수!$D64="",FALSE(),IF(발주접수!$F64="세트",COUNTIF(세트구성!$G$3:$G$302,발주접수!$D64&amp;"|"&amp;5)&gt;0,4=0))</f>
        <v>0</v>
      </c>
      <c r="K620" s="34" t="str">
        <f>IF($J620=FALSE(),"",COUNTIF($J$6:$J620,TRUE()))</f>
        <v/>
      </c>
      <c r="L620" s="34" t="str">
        <f>IF($K620="","","R"&amp;$K620)</f>
        <v/>
      </c>
      <c r="M620" s="34" t="str">
        <f>IF($J620=FALSE(),"",IF(발주접수!$F64="세트",IFERROR(INDEX(세트구성!$C$3:$C$302,MATCH(발주접수!$D64&amp;"|"&amp;5,세트구성!$G$3:$G$302,0)),""),발주접수!$D64))</f>
        <v/>
      </c>
      <c r="N620" s="34" t="str">
        <f>IF($J620=FALSE(),"",IF(발주접수!$F64="세트",발주접수!$G64*IFERROR(INDEX(세트구성!$E$3:$E$302,MATCH(발주접수!$D64&amp;"|"&amp;5,세트구성!$G$3:$G$302,0)),0),발주접수!$G64))</f>
        <v/>
      </c>
      <c r="O620" s="34" t="str">
        <f>IF($J620=FALSE(),"",발주접수!$B64)</f>
        <v/>
      </c>
      <c r="P620" s="34" t="str">
        <f>IF($J620=FALSE(),"",발주접수!$C64)</f>
        <v/>
      </c>
      <c r="Q620" s="34" t="str">
        <f>IF($J620=FALSE(),"",IF(발주접수!$F64="세트",발주접수!$E64&amp;" 전개","직접 발주"))</f>
        <v/>
      </c>
    </row>
    <row r="621" ht="15" customHeight="1" s="30">
      <c r="J621" s="50" t="b">
        <f>IF(발주접수!$D64="",FALSE(),IF(발주접수!$F64="세트",COUNTIF(세트구성!$G$3:$G$302,발주접수!$D64&amp;"|"&amp;6)&gt;0,5=0))</f>
        <v>0</v>
      </c>
      <c r="K621" s="34" t="str">
        <f>IF($J621=FALSE(),"",COUNTIF($J$6:$J621,TRUE()))</f>
        <v/>
      </c>
      <c r="L621" s="34" t="str">
        <f>IF($K621="","","R"&amp;$K621)</f>
        <v/>
      </c>
      <c r="M621" s="34" t="str">
        <f>IF($J621=FALSE(),"",IF(발주접수!$F64="세트",IFERROR(INDEX(세트구성!$C$3:$C$302,MATCH(발주접수!$D64&amp;"|"&amp;6,세트구성!$G$3:$G$302,0)),""),발주접수!$D64))</f>
        <v/>
      </c>
      <c r="N621" s="34" t="str">
        <f>IF($J621=FALSE(),"",IF(발주접수!$F64="세트",발주접수!$G64*IFERROR(INDEX(세트구성!$E$3:$E$302,MATCH(발주접수!$D64&amp;"|"&amp;6,세트구성!$G$3:$G$302,0)),0),발주접수!$G64))</f>
        <v/>
      </c>
      <c r="O621" s="34" t="str">
        <f>IF($J621=FALSE(),"",발주접수!$B64)</f>
        <v/>
      </c>
      <c r="P621" s="34" t="str">
        <f>IF($J621=FALSE(),"",발주접수!$C64)</f>
        <v/>
      </c>
      <c r="Q621" s="34" t="str">
        <f>IF($J621=FALSE(),"",IF(발주접수!$F64="세트",발주접수!$E64&amp;" 전개","직접 발주"))</f>
        <v/>
      </c>
    </row>
    <row r="622" ht="15" customHeight="1" s="30">
      <c r="J622" s="50" t="b">
        <f>IF(발주접수!$D64="",FALSE(),IF(발주접수!$F64="세트",COUNTIF(세트구성!$G$3:$G$302,발주접수!$D64&amp;"|"&amp;7)&gt;0,6=0))</f>
        <v>0</v>
      </c>
      <c r="K622" s="34" t="str">
        <f>IF($J622=FALSE(),"",COUNTIF($J$6:$J622,TRUE()))</f>
        <v/>
      </c>
      <c r="L622" s="34" t="str">
        <f>IF($K622="","","R"&amp;$K622)</f>
        <v/>
      </c>
      <c r="M622" s="34" t="str">
        <f>IF($J622=FALSE(),"",IF(발주접수!$F64="세트",IFERROR(INDEX(세트구성!$C$3:$C$302,MATCH(발주접수!$D64&amp;"|"&amp;7,세트구성!$G$3:$G$302,0)),""),발주접수!$D64))</f>
        <v/>
      </c>
      <c r="N622" s="34" t="str">
        <f>IF($J622=FALSE(),"",IF(발주접수!$F64="세트",발주접수!$G64*IFERROR(INDEX(세트구성!$E$3:$E$302,MATCH(발주접수!$D64&amp;"|"&amp;7,세트구성!$G$3:$G$302,0)),0),발주접수!$G64))</f>
        <v/>
      </c>
      <c r="O622" s="34" t="str">
        <f>IF($J622=FALSE(),"",발주접수!$B64)</f>
        <v/>
      </c>
      <c r="P622" s="34" t="str">
        <f>IF($J622=FALSE(),"",발주접수!$C64)</f>
        <v/>
      </c>
      <c r="Q622" s="34" t="str">
        <f>IF($J622=FALSE(),"",IF(발주접수!$F64="세트",발주접수!$E64&amp;" 전개","직접 발주"))</f>
        <v/>
      </c>
    </row>
    <row r="623" ht="15" customHeight="1" s="30">
      <c r="J623" s="50" t="b">
        <f>IF(발주접수!$D64="",FALSE(),IF(발주접수!$F64="세트",COUNTIF(세트구성!$G$3:$G$302,발주접수!$D64&amp;"|"&amp;8)&gt;0,7=0))</f>
        <v>0</v>
      </c>
      <c r="K623" s="34" t="str">
        <f>IF($J623=FALSE(),"",COUNTIF($J$6:$J623,TRUE()))</f>
        <v/>
      </c>
      <c r="L623" s="34" t="str">
        <f>IF($K623="","","R"&amp;$K623)</f>
        <v/>
      </c>
      <c r="M623" s="34" t="str">
        <f>IF($J623=FALSE(),"",IF(발주접수!$F64="세트",IFERROR(INDEX(세트구성!$C$3:$C$302,MATCH(발주접수!$D64&amp;"|"&amp;8,세트구성!$G$3:$G$302,0)),""),발주접수!$D64))</f>
        <v/>
      </c>
      <c r="N623" s="34" t="str">
        <f>IF($J623=FALSE(),"",IF(발주접수!$F64="세트",발주접수!$G64*IFERROR(INDEX(세트구성!$E$3:$E$302,MATCH(발주접수!$D64&amp;"|"&amp;8,세트구성!$G$3:$G$302,0)),0),발주접수!$G64))</f>
        <v/>
      </c>
      <c r="O623" s="34" t="str">
        <f>IF($J623=FALSE(),"",발주접수!$B64)</f>
        <v/>
      </c>
      <c r="P623" s="34" t="str">
        <f>IF($J623=FALSE(),"",발주접수!$C64)</f>
        <v/>
      </c>
      <c r="Q623" s="34" t="str">
        <f>IF($J623=FALSE(),"",IF(발주접수!$F64="세트",발주접수!$E64&amp;" 전개","직접 발주"))</f>
        <v/>
      </c>
    </row>
    <row r="624" ht="15" customHeight="1" s="30">
      <c r="J624" s="50" t="b">
        <f>IF(발주접수!$D64="",FALSE(),IF(발주접수!$F64="세트",COUNTIF(세트구성!$G$3:$G$302,발주접수!$D64&amp;"|"&amp;9)&gt;0,8=0))</f>
        <v>0</v>
      </c>
      <c r="K624" s="34" t="str">
        <f>IF($J624=FALSE(),"",COUNTIF($J$6:$J624,TRUE()))</f>
        <v/>
      </c>
      <c r="L624" s="34" t="str">
        <f>IF($K624="","","R"&amp;$K624)</f>
        <v/>
      </c>
      <c r="M624" s="34" t="str">
        <f>IF($J624=FALSE(),"",IF(발주접수!$F64="세트",IFERROR(INDEX(세트구성!$C$3:$C$302,MATCH(발주접수!$D64&amp;"|"&amp;9,세트구성!$G$3:$G$302,0)),""),발주접수!$D64))</f>
        <v/>
      </c>
      <c r="N624" s="34" t="str">
        <f>IF($J624=FALSE(),"",IF(발주접수!$F64="세트",발주접수!$G64*IFERROR(INDEX(세트구성!$E$3:$E$302,MATCH(발주접수!$D64&amp;"|"&amp;9,세트구성!$G$3:$G$302,0)),0),발주접수!$G64))</f>
        <v/>
      </c>
      <c r="O624" s="34" t="str">
        <f>IF($J624=FALSE(),"",발주접수!$B64)</f>
        <v/>
      </c>
      <c r="P624" s="34" t="str">
        <f>IF($J624=FALSE(),"",발주접수!$C64)</f>
        <v/>
      </c>
      <c r="Q624" s="34" t="str">
        <f>IF($J624=FALSE(),"",IF(발주접수!$F64="세트",발주접수!$E64&amp;" 전개","직접 발주"))</f>
        <v/>
      </c>
    </row>
    <row r="625" ht="15" customHeight="1" s="30">
      <c r="J625" s="50" t="b">
        <f>IF(발주접수!$D64="",FALSE(),IF(발주접수!$F64="세트",COUNTIF(세트구성!$G$3:$G$302,발주접수!$D64&amp;"|"&amp;10)&gt;0,9=0))</f>
        <v>0</v>
      </c>
      <c r="K625" s="34" t="str">
        <f>IF($J625=FALSE(),"",COUNTIF($J$6:$J625,TRUE()))</f>
        <v/>
      </c>
      <c r="L625" s="34" t="str">
        <f>IF($K625="","","R"&amp;$K625)</f>
        <v/>
      </c>
      <c r="M625" s="34" t="str">
        <f>IF($J625=FALSE(),"",IF(발주접수!$F64="세트",IFERROR(INDEX(세트구성!$C$3:$C$302,MATCH(발주접수!$D64&amp;"|"&amp;10,세트구성!$G$3:$G$302,0)),""),발주접수!$D64))</f>
        <v/>
      </c>
      <c r="N625" s="34" t="str">
        <f>IF($J625=FALSE(),"",IF(발주접수!$F64="세트",발주접수!$G64*IFERROR(INDEX(세트구성!$E$3:$E$302,MATCH(발주접수!$D64&amp;"|"&amp;10,세트구성!$G$3:$G$302,0)),0),발주접수!$G64))</f>
        <v/>
      </c>
      <c r="O625" s="34" t="str">
        <f>IF($J625=FALSE(),"",발주접수!$B64)</f>
        <v/>
      </c>
      <c r="P625" s="34" t="str">
        <f>IF($J625=FALSE(),"",발주접수!$C64)</f>
        <v/>
      </c>
      <c r="Q625" s="34" t="str">
        <f>IF($J625=FALSE(),"",IF(발주접수!$F64="세트",발주접수!$E64&amp;" 전개","직접 발주"))</f>
        <v/>
      </c>
    </row>
    <row r="626" ht="15" customHeight="1" s="30">
      <c r="J626" s="50" t="b">
        <f>IF(발주접수!$D65="",FALSE(),IF(발주접수!$F65="세트",COUNTIF(세트구성!$G$3:$G$302,발주접수!$D65&amp;"|"&amp;1)&gt;0,0=0))</f>
        <v>0</v>
      </c>
      <c r="K626" s="34" t="str">
        <f>IF($J626=FALSE(),"",COUNTIF($J$6:$J626,TRUE()))</f>
        <v/>
      </c>
      <c r="L626" s="34" t="str">
        <f>IF($K626="","","R"&amp;$K626)</f>
        <v/>
      </c>
      <c r="M626" s="34" t="str">
        <f>IF($J626=FALSE(),"",IF(발주접수!$F65="세트",IFERROR(INDEX(세트구성!$C$3:$C$302,MATCH(발주접수!$D65&amp;"|"&amp;1,세트구성!$G$3:$G$302,0)),""),발주접수!$D65))</f>
        <v/>
      </c>
      <c r="N626" s="34" t="str">
        <f>IF($J626=FALSE(),"",IF(발주접수!$F65="세트",발주접수!$G65*IFERROR(INDEX(세트구성!$E$3:$E$302,MATCH(발주접수!$D65&amp;"|"&amp;1,세트구성!$G$3:$G$302,0)),0),발주접수!$G65))</f>
        <v/>
      </c>
      <c r="O626" s="34" t="str">
        <f>IF($J626=FALSE(),"",발주접수!$B65)</f>
        <v/>
      </c>
      <c r="P626" s="34" t="str">
        <f>IF($J626=FALSE(),"",발주접수!$C65)</f>
        <v/>
      </c>
      <c r="Q626" s="34" t="str">
        <f>IF($J626=FALSE(),"",IF(발주접수!$F65="세트",발주접수!$E65&amp;" 전개","직접 발주"))</f>
        <v/>
      </c>
    </row>
    <row r="627" ht="15" customHeight="1" s="30">
      <c r="J627" s="50" t="b">
        <f>IF(발주접수!$D65="",FALSE(),IF(발주접수!$F65="세트",COUNTIF(세트구성!$G$3:$G$302,발주접수!$D65&amp;"|"&amp;2)&gt;0,1=0))</f>
        <v>0</v>
      </c>
      <c r="K627" s="34" t="str">
        <f>IF($J627=FALSE(),"",COUNTIF($J$6:$J627,TRUE()))</f>
        <v/>
      </c>
      <c r="L627" s="34" t="str">
        <f>IF($K627="","","R"&amp;$K627)</f>
        <v/>
      </c>
      <c r="M627" s="34" t="str">
        <f>IF($J627=FALSE(),"",IF(발주접수!$F65="세트",IFERROR(INDEX(세트구성!$C$3:$C$302,MATCH(발주접수!$D65&amp;"|"&amp;2,세트구성!$G$3:$G$302,0)),""),발주접수!$D65))</f>
        <v/>
      </c>
      <c r="N627" s="34" t="str">
        <f>IF($J627=FALSE(),"",IF(발주접수!$F65="세트",발주접수!$G65*IFERROR(INDEX(세트구성!$E$3:$E$302,MATCH(발주접수!$D65&amp;"|"&amp;2,세트구성!$G$3:$G$302,0)),0),발주접수!$G65))</f>
        <v/>
      </c>
      <c r="O627" s="34" t="str">
        <f>IF($J627=FALSE(),"",발주접수!$B65)</f>
        <v/>
      </c>
      <c r="P627" s="34" t="str">
        <f>IF($J627=FALSE(),"",발주접수!$C65)</f>
        <v/>
      </c>
      <c r="Q627" s="34" t="str">
        <f>IF($J627=FALSE(),"",IF(발주접수!$F65="세트",발주접수!$E65&amp;" 전개","직접 발주"))</f>
        <v/>
      </c>
    </row>
    <row r="628" ht="15" customHeight="1" s="30">
      <c r="J628" s="50" t="b">
        <f>IF(발주접수!$D65="",FALSE(),IF(발주접수!$F65="세트",COUNTIF(세트구성!$G$3:$G$302,발주접수!$D65&amp;"|"&amp;3)&gt;0,2=0))</f>
        <v>0</v>
      </c>
      <c r="K628" s="34" t="str">
        <f>IF($J628=FALSE(),"",COUNTIF($J$6:$J628,TRUE()))</f>
        <v/>
      </c>
      <c r="L628" s="34" t="str">
        <f>IF($K628="","","R"&amp;$K628)</f>
        <v/>
      </c>
      <c r="M628" s="34" t="str">
        <f>IF($J628=FALSE(),"",IF(발주접수!$F65="세트",IFERROR(INDEX(세트구성!$C$3:$C$302,MATCH(발주접수!$D65&amp;"|"&amp;3,세트구성!$G$3:$G$302,0)),""),발주접수!$D65))</f>
        <v/>
      </c>
      <c r="N628" s="34" t="str">
        <f>IF($J628=FALSE(),"",IF(발주접수!$F65="세트",발주접수!$G65*IFERROR(INDEX(세트구성!$E$3:$E$302,MATCH(발주접수!$D65&amp;"|"&amp;3,세트구성!$G$3:$G$302,0)),0),발주접수!$G65))</f>
        <v/>
      </c>
      <c r="O628" s="34" t="str">
        <f>IF($J628=FALSE(),"",발주접수!$B65)</f>
        <v/>
      </c>
      <c r="P628" s="34" t="str">
        <f>IF($J628=FALSE(),"",발주접수!$C65)</f>
        <v/>
      </c>
      <c r="Q628" s="34" t="str">
        <f>IF($J628=FALSE(),"",IF(발주접수!$F65="세트",발주접수!$E65&amp;" 전개","직접 발주"))</f>
        <v/>
      </c>
    </row>
    <row r="629" ht="15" customHeight="1" s="30">
      <c r="J629" s="50" t="b">
        <f>IF(발주접수!$D65="",FALSE(),IF(발주접수!$F65="세트",COUNTIF(세트구성!$G$3:$G$302,발주접수!$D65&amp;"|"&amp;4)&gt;0,3=0))</f>
        <v>0</v>
      </c>
      <c r="K629" s="34" t="str">
        <f>IF($J629=FALSE(),"",COUNTIF($J$6:$J629,TRUE()))</f>
        <v/>
      </c>
      <c r="L629" s="34" t="str">
        <f>IF($K629="","","R"&amp;$K629)</f>
        <v/>
      </c>
      <c r="M629" s="34" t="str">
        <f>IF($J629=FALSE(),"",IF(발주접수!$F65="세트",IFERROR(INDEX(세트구성!$C$3:$C$302,MATCH(발주접수!$D65&amp;"|"&amp;4,세트구성!$G$3:$G$302,0)),""),발주접수!$D65))</f>
        <v/>
      </c>
      <c r="N629" s="34" t="str">
        <f>IF($J629=FALSE(),"",IF(발주접수!$F65="세트",발주접수!$G65*IFERROR(INDEX(세트구성!$E$3:$E$302,MATCH(발주접수!$D65&amp;"|"&amp;4,세트구성!$G$3:$G$302,0)),0),발주접수!$G65))</f>
        <v/>
      </c>
      <c r="O629" s="34" t="str">
        <f>IF($J629=FALSE(),"",발주접수!$B65)</f>
        <v/>
      </c>
      <c r="P629" s="34" t="str">
        <f>IF($J629=FALSE(),"",발주접수!$C65)</f>
        <v/>
      </c>
      <c r="Q629" s="34" t="str">
        <f>IF($J629=FALSE(),"",IF(발주접수!$F65="세트",발주접수!$E65&amp;" 전개","직접 발주"))</f>
        <v/>
      </c>
    </row>
    <row r="630" ht="15" customHeight="1" s="30">
      <c r="J630" s="50" t="b">
        <f>IF(발주접수!$D65="",FALSE(),IF(발주접수!$F65="세트",COUNTIF(세트구성!$G$3:$G$302,발주접수!$D65&amp;"|"&amp;5)&gt;0,4=0))</f>
        <v>0</v>
      </c>
      <c r="K630" s="34" t="str">
        <f>IF($J630=FALSE(),"",COUNTIF($J$6:$J630,TRUE()))</f>
        <v/>
      </c>
      <c r="L630" s="34" t="str">
        <f>IF($K630="","","R"&amp;$K630)</f>
        <v/>
      </c>
      <c r="M630" s="34" t="str">
        <f>IF($J630=FALSE(),"",IF(발주접수!$F65="세트",IFERROR(INDEX(세트구성!$C$3:$C$302,MATCH(발주접수!$D65&amp;"|"&amp;5,세트구성!$G$3:$G$302,0)),""),발주접수!$D65))</f>
        <v/>
      </c>
      <c r="N630" s="34" t="str">
        <f>IF($J630=FALSE(),"",IF(발주접수!$F65="세트",발주접수!$G65*IFERROR(INDEX(세트구성!$E$3:$E$302,MATCH(발주접수!$D65&amp;"|"&amp;5,세트구성!$G$3:$G$302,0)),0),발주접수!$G65))</f>
        <v/>
      </c>
      <c r="O630" s="34" t="str">
        <f>IF($J630=FALSE(),"",발주접수!$B65)</f>
        <v/>
      </c>
      <c r="P630" s="34" t="str">
        <f>IF($J630=FALSE(),"",발주접수!$C65)</f>
        <v/>
      </c>
      <c r="Q630" s="34" t="str">
        <f>IF($J630=FALSE(),"",IF(발주접수!$F65="세트",발주접수!$E65&amp;" 전개","직접 발주"))</f>
        <v/>
      </c>
    </row>
    <row r="631" ht="15" customHeight="1" s="30">
      <c r="J631" s="50" t="b">
        <f>IF(발주접수!$D65="",FALSE(),IF(발주접수!$F65="세트",COUNTIF(세트구성!$G$3:$G$302,발주접수!$D65&amp;"|"&amp;6)&gt;0,5=0))</f>
        <v>0</v>
      </c>
      <c r="K631" s="34" t="str">
        <f>IF($J631=FALSE(),"",COUNTIF($J$6:$J631,TRUE()))</f>
        <v/>
      </c>
      <c r="L631" s="34" t="str">
        <f>IF($K631="","","R"&amp;$K631)</f>
        <v/>
      </c>
      <c r="M631" s="34" t="str">
        <f>IF($J631=FALSE(),"",IF(발주접수!$F65="세트",IFERROR(INDEX(세트구성!$C$3:$C$302,MATCH(발주접수!$D65&amp;"|"&amp;6,세트구성!$G$3:$G$302,0)),""),발주접수!$D65))</f>
        <v/>
      </c>
      <c r="N631" s="34" t="str">
        <f>IF($J631=FALSE(),"",IF(발주접수!$F65="세트",발주접수!$G65*IFERROR(INDEX(세트구성!$E$3:$E$302,MATCH(발주접수!$D65&amp;"|"&amp;6,세트구성!$G$3:$G$302,0)),0),발주접수!$G65))</f>
        <v/>
      </c>
      <c r="O631" s="34" t="str">
        <f>IF($J631=FALSE(),"",발주접수!$B65)</f>
        <v/>
      </c>
      <c r="P631" s="34" t="str">
        <f>IF($J631=FALSE(),"",발주접수!$C65)</f>
        <v/>
      </c>
      <c r="Q631" s="34" t="str">
        <f>IF($J631=FALSE(),"",IF(발주접수!$F65="세트",발주접수!$E65&amp;" 전개","직접 발주"))</f>
        <v/>
      </c>
    </row>
    <row r="632" ht="15" customHeight="1" s="30">
      <c r="J632" s="50" t="b">
        <f>IF(발주접수!$D65="",FALSE(),IF(발주접수!$F65="세트",COUNTIF(세트구성!$G$3:$G$302,발주접수!$D65&amp;"|"&amp;7)&gt;0,6=0))</f>
        <v>0</v>
      </c>
      <c r="K632" s="34" t="str">
        <f>IF($J632=FALSE(),"",COUNTIF($J$6:$J632,TRUE()))</f>
        <v/>
      </c>
      <c r="L632" s="34" t="str">
        <f>IF($K632="","","R"&amp;$K632)</f>
        <v/>
      </c>
      <c r="M632" s="34" t="str">
        <f>IF($J632=FALSE(),"",IF(발주접수!$F65="세트",IFERROR(INDEX(세트구성!$C$3:$C$302,MATCH(발주접수!$D65&amp;"|"&amp;7,세트구성!$G$3:$G$302,0)),""),발주접수!$D65))</f>
        <v/>
      </c>
      <c r="N632" s="34" t="str">
        <f>IF($J632=FALSE(),"",IF(발주접수!$F65="세트",발주접수!$G65*IFERROR(INDEX(세트구성!$E$3:$E$302,MATCH(발주접수!$D65&amp;"|"&amp;7,세트구성!$G$3:$G$302,0)),0),발주접수!$G65))</f>
        <v/>
      </c>
      <c r="O632" s="34" t="str">
        <f>IF($J632=FALSE(),"",발주접수!$B65)</f>
        <v/>
      </c>
      <c r="P632" s="34" t="str">
        <f>IF($J632=FALSE(),"",발주접수!$C65)</f>
        <v/>
      </c>
      <c r="Q632" s="34" t="str">
        <f>IF($J632=FALSE(),"",IF(발주접수!$F65="세트",발주접수!$E65&amp;" 전개","직접 발주"))</f>
        <v/>
      </c>
    </row>
    <row r="633" ht="15" customHeight="1" s="30">
      <c r="J633" s="50" t="b">
        <f>IF(발주접수!$D65="",FALSE(),IF(발주접수!$F65="세트",COUNTIF(세트구성!$G$3:$G$302,발주접수!$D65&amp;"|"&amp;8)&gt;0,7=0))</f>
        <v>0</v>
      </c>
      <c r="K633" s="34" t="str">
        <f>IF($J633=FALSE(),"",COUNTIF($J$6:$J633,TRUE()))</f>
        <v/>
      </c>
      <c r="L633" s="34" t="str">
        <f>IF($K633="","","R"&amp;$K633)</f>
        <v/>
      </c>
      <c r="M633" s="34" t="str">
        <f>IF($J633=FALSE(),"",IF(발주접수!$F65="세트",IFERROR(INDEX(세트구성!$C$3:$C$302,MATCH(발주접수!$D65&amp;"|"&amp;8,세트구성!$G$3:$G$302,0)),""),발주접수!$D65))</f>
        <v/>
      </c>
      <c r="N633" s="34" t="str">
        <f>IF($J633=FALSE(),"",IF(발주접수!$F65="세트",발주접수!$G65*IFERROR(INDEX(세트구성!$E$3:$E$302,MATCH(발주접수!$D65&amp;"|"&amp;8,세트구성!$G$3:$G$302,0)),0),발주접수!$G65))</f>
        <v/>
      </c>
      <c r="O633" s="34" t="str">
        <f>IF($J633=FALSE(),"",발주접수!$B65)</f>
        <v/>
      </c>
      <c r="P633" s="34" t="str">
        <f>IF($J633=FALSE(),"",발주접수!$C65)</f>
        <v/>
      </c>
      <c r="Q633" s="34" t="str">
        <f>IF($J633=FALSE(),"",IF(발주접수!$F65="세트",발주접수!$E65&amp;" 전개","직접 발주"))</f>
        <v/>
      </c>
    </row>
    <row r="634" ht="15" customHeight="1" s="30">
      <c r="J634" s="50" t="b">
        <f>IF(발주접수!$D65="",FALSE(),IF(발주접수!$F65="세트",COUNTIF(세트구성!$G$3:$G$302,발주접수!$D65&amp;"|"&amp;9)&gt;0,8=0))</f>
        <v>0</v>
      </c>
      <c r="K634" s="34" t="str">
        <f>IF($J634=FALSE(),"",COUNTIF($J$6:$J634,TRUE()))</f>
        <v/>
      </c>
      <c r="L634" s="34" t="str">
        <f>IF($K634="","","R"&amp;$K634)</f>
        <v/>
      </c>
      <c r="M634" s="34" t="str">
        <f>IF($J634=FALSE(),"",IF(발주접수!$F65="세트",IFERROR(INDEX(세트구성!$C$3:$C$302,MATCH(발주접수!$D65&amp;"|"&amp;9,세트구성!$G$3:$G$302,0)),""),발주접수!$D65))</f>
        <v/>
      </c>
      <c r="N634" s="34" t="str">
        <f>IF($J634=FALSE(),"",IF(발주접수!$F65="세트",발주접수!$G65*IFERROR(INDEX(세트구성!$E$3:$E$302,MATCH(발주접수!$D65&amp;"|"&amp;9,세트구성!$G$3:$G$302,0)),0),발주접수!$G65))</f>
        <v/>
      </c>
      <c r="O634" s="34" t="str">
        <f>IF($J634=FALSE(),"",발주접수!$B65)</f>
        <v/>
      </c>
      <c r="P634" s="34" t="str">
        <f>IF($J634=FALSE(),"",발주접수!$C65)</f>
        <v/>
      </c>
      <c r="Q634" s="34" t="str">
        <f>IF($J634=FALSE(),"",IF(발주접수!$F65="세트",발주접수!$E65&amp;" 전개","직접 발주"))</f>
        <v/>
      </c>
    </row>
    <row r="635" ht="15" customHeight="1" s="30">
      <c r="J635" s="50" t="b">
        <f>IF(발주접수!$D65="",FALSE(),IF(발주접수!$F65="세트",COUNTIF(세트구성!$G$3:$G$302,발주접수!$D65&amp;"|"&amp;10)&gt;0,9=0))</f>
        <v>0</v>
      </c>
      <c r="K635" s="34" t="str">
        <f>IF($J635=FALSE(),"",COUNTIF($J$6:$J635,TRUE()))</f>
        <v/>
      </c>
      <c r="L635" s="34" t="str">
        <f>IF($K635="","","R"&amp;$K635)</f>
        <v/>
      </c>
      <c r="M635" s="34" t="str">
        <f>IF($J635=FALSE(),"",IF(발주접수!$F65="세트",IFERROR(INDEX(세트구성!$C$3:$C$302,MATCH(발주접수!$D65&amp;"|"&amp;10,세트구성!$G$3:$G$302,0)),""),발주접수!$D65))</f>
        <v/>
      </c>
      <c r="N635" s="34" t="str">
        <f>IF($J635=FALSE(),"",IF(발주접수!$F65="세트",발주접수!$G65*IFERROR(INDEX(세트구성!$E$3:$E$302,MATCH(발주접수!$D65&amp;"|"&amp;10,세트구성!$G$3:$G$302,0)),0),발주접수!$G65))</f>
        <v/>
      </c>
      <c r="O635" s="34" t="str">
        <f>IF($J635=FALSE(),"",발주접수!$B65)</f>
        <v/>
      </c>
      <c r="P635" s="34" t="str">
        <f>IF($J635=FALSE(),"",발주접수!$C65)</f>
        <v/>
      </c>
      <c r="Q635" s="34" t="str">
        <f>IF($J635=FALSE(),"",IF(발주접수!$F65="세트",발주접수!$E65&amp;" 전개","직접 발주"))</f>
        <v/>
      </c>
    </row>
    <row r="636" ht="15" customHeight="1" s="30">
      <c r="J636" s="50" t="b">
        <f>IF(발주접수!$D66="",FALSE(),IF(발주접수!$F66="세트",COUNTIF(세트구성!$G$3:$G$302,발주접수!$D66&amp;"|"&amp;1)&gt;0,0=0))</f>
        <v>0</v>
      </c>
      <c r="K636" s="34" t="str">
        <f>IF($J636=FALSE(),"",COUNTIF($J$6:$J636,TRUE()))</f>
        <v/>
      </c>
      <c r="L636" s="34" t="str">
        <f>IF($K636="","","R"&amp;$K636)</f>
        <v/>
      </c>
      <c r="M636" s="34" t="str">
        <f>IF($J636=FALSE(),"",IF(발주접수!$F66="세트",IFERROR(INDEX(세트구성!$C$3:$C$302,MATCH(발주접수!$D66&amp;"|"&amp;1,세트구성!$G$3:$G$302,0)),""),발주접수!$D66))</f>
        <v/>
      </c>
      <c r="N636" s="34" t="str">
        <f>IF($J636=FALSE(),"",IF(발주접수!$F66="세트",발주접수!$G66*IFERROR(INDEX(세트구성!$E$3:$E$302,MATCH(발주접수!$D66&amp;"|"&amp;1,세트구성!$G$3:$G$302,0)),0),발주접수!$G66))</f>
        <v/>
      </c>
      <c r="O636" s="34" t="str">
        <f>IF($J636=FALSE(),"",발주접수!$B66)</f>
        <v/>
      </c>
      <c r="P636" s="34" t="str">
        <f>IF($J636=FALSE(),"",발주접수!$C66)</f>
        <v/>
      </c>
      <c r="Q636" s="34" t="str">
        <f>IF($J636=FALSE(),"",IF(발주접수!$F66="세트",발주접수!$E66&amp;" 전개","직접 발주"))</f>
        <v/>
      </c>
    </row>
    <row r="637" ht="15" customHeight="1" s="30">
      <c r="J637" s="50" t="b">
        <f>IF(발주접수!$D66="",FALSE(),IF(발주접수!$F66="세트",COUNTIF(세트구성!$G$3:$G$302,발주접수!$D66&amp;"|"&amp;2)&gt;0,1=0))</f>
        <v>0</v>
      </c>
      <c r="K637" s="34" t="str">
        <f>IF($J637=FALSE(),"",COUNTIF($J$6:$J637,TRUE()))</f>
        <v/>
      </c>
      <c r="L637" s="34" t="str">
        <f>IF($K637="","","R"&amp;$K637)</f>
        <v/>
      </c>
      <c r="M637" s="34" t="str">
        <f>IF($J637=FALSE(),"",IF(발주접수!$F66="세트",IFERROR(INDEX(세트구성!$C$3:$C$302,MATCH(발주접수!$D66&amp;"|"&amp;2,세트구성!$G$3:$G$302,0)),""),발주접수!$D66))</f>
        <v/>
      </c>
      <c r="N637" s="34" t="str">
        <f>IF($J637=FALSE(),"",IF(발주접수!$F66="세트",발주접수!$G66*IFERROR(INDEX(세트구성!$E$3:$E$302,MATCH(발주접수!$D66&amp;"|"&amp;2,세트구성!$G$3:$G$302,0)),0),발주접수!$G66))</f>
        <v/>
      </c>
      <c r="O637" s="34" t="str">
        <f>IF($J637=FALSE(),"",발주접수!$B66)</f>
        <v/>
      </c>
      <c r="P637" s="34" t="str">
        <f>IF($J637=FALSE(),"",발주접수!$C66)</f>
        <v/>
      </c>
      <c r="Q637" s="34" t="str">
        <f>IF($J637=FALSE(),"",IF(발주접수!$F66="세트",발주접수!$E66&amp;" 전개","직접 발주"))</f>
        <v/>
      </c>
    </row>
    <row r="638" ht="15" customHeight="1" s="30">
      <c r="J638" s="50" t="b">
        <f>IF(발주접수!$D66="",FALSE(),IF(발주접수!$F66="세트",COUNTIF(세트구성!$G$3:$G$302,발주접수!$D66&amp;"|"&amp;3)&gt;0,2=0))</f>
        <v>0</v>
      </c>
      <c r="K638" s="34" t="str">
        <f>IF($J638=FALSE(),"",COUNTIF($J$6:$J638,TRUE()))</f>
        <v/>
      </c>
      <c r="L638" s="34" t="str">
        <f>IF($K638="","","R"&amp;$K638)</f>
        <v/>
      </c>
      <c r="M638" s="34" t="str">
        <f>IF($J638=FALSE(),"",IF(발주접수!$F66="세트",IFERROR(INDEX(세트구성!$C$3:$C$302,MATCH(발주접수!$D66&amp;"|"&amp;3,세트구성!$G$3:$G$302,0)),""),발주접수!$D66))</f>
        <v/>
      </c>
      <c r="N638" s="34" t="str">
        <f>IF($J638=FALSE(),"",IF(발주접수!$F66="세트",발주접수!$G66*IFERROR(INDEX(세트구성!$E$3:$E$302,MATCH(발주접수!$D66&amp;"|"&amp;3,세트구성!$G$3:$G$302,0)),0),발주접수!$G66))</f>
        <v/>
      </c>
      <c r="O638" s="34" t="str">
        <f>IF($J638=FALSE(),"",발주접수!$B66)</f>
        <v/>
      </c>
      <c r="P638" s="34" t="str">
        <f>IF($J638=FALSE(),"",발주접수!$C66)</f>
        <v/>
      </c>
      <c r="Q638" s="34" t="str">
        <f>IF($J638=FALSE(),"",IF(발주접수!$F66="세트",발주접수!$E66&amp;" 전개","직접 발주"))</f>
        <v/>
      </c>
    </row>
    <row r="639" ht="15" customHeight="1" s="30">
      <c r="J639" s="50" t="b">
        <f>IF(발주접수!$D66="",FALSE(),IF(발주접수!$F66="세트",COUNTIF(세트구성!$G$3:$G$302,발주접수!$D66&amp;"|"&amp;4)&gt;0,3=0))</f>
        <v>0</v>
      </c>
      <c r="K639" s="34" t="str">
        <f>IF($J639=FALSE(),"",COUNTIF($J$6:$J639,TRUE()))</f>
        <v/>
      </c>
      <c r="L639" s="34" t="str">
        <f>IF($K639="","","R"&amp;$K639)</f>
        <v/>
      </c>
      <c r="M639" s="34" t="str">
        <f>IF($J639=FALSE(),"",IF(발주접수!$F66="세트",IFERROR(INDEX(세트구성!$C$3:$C$302,MATCH(발주접수!$D66&amp;"|"&amp;4,세트구성!$G$3:$G$302,0)),""),발주접수!$D66))</f>
        <v/>
      </c>
      <c r="N639" s="34" t="str">
        <f>IF($J639=FALSE(),"",IF(발주접수!$F66="세트",발주접수!$G66*IFERROR(INDEX(세트구성!$E$3:$E$302,MATCH(발주접수!$D66&amp;"|"&amp;4,세트구성!$G$3:$G$302,0)),0),발주접수!$G66))</f>
        <v/>
      </c>
      <c r="O639" s="34" t="str">
        <f>IF($J639=FALSE(),"",발주접수!$B66)</f>
        <v/>
      </c>
      <c r="P639" s="34" t="str">
        <f>IF($J639=FALSE(),"",발주접수!$C66)</f>
        <v/>
      </c>
      <c r="Q639" s="34" t="str">
        <f>IF($J639=FALSE(),"",IF(발주접수!$F66="세트",발주접수!$E66&amp;" 전개","직접 발주"))</f>
        <v/>
      </c>
    </row>
    <row r="640" ht="15" customHeight="1" s="30">
      <c r="J640" s="50" t="b">
        <f>IF(발주접수!$D66="",FALSE(),IF(발주접수!$F66="세트",COUNTIF(세트구성!$G$3:$G$302,발주접수!$D66&amp;"|"&amp;5)&gt;0,4=0))</f>
        <v>0</v>
      </c>
      <c r="K640" s="34" t="str">
        <f>IF($J640=FALSE(),"",COUNTIF($J$6:$J640,TRUE()))</f>
        <v/>
      </c>
      <c r="L640" s="34" t="str">
        <f>IF($K640="","","R"&amp;$K640)</f>
        <v/>
      </c>
      <c r="M640" s="34" t="str">
        <f>IF($J640=FALSE(),"",IF(발주접수!$F66="세트",IFERROR(INDEX(세트구성!$C$3:$C$302,MATCH(발주접수!$D66&amp;"|"&amp;5,세트구성!$G$3:$G$302,0)),""),발주접수!$D66))</f>
        <v/>
      </c>
      <c r="N640" s="34" t="str">
        <f>IF($J640=FALSE(),"",IF(발주접수!$F66="세트",발주접수!$G66*IFERROR(INDEX(세트구성!$E$3:$E$302,MATCH(발주접수!$D66&amp;"|"&amp;5,세트구성!$G$3:$G$302,0)),0),발주접수!$G66))</f>
        <v/>
      </c>
      <c r="O640" s="34" t="str">
        <f>IF($J640=FALSE(),"",발주접수!$B66)</f>
        <v/>
      </c>
      <c r="P640" s="34" t="str">
        <f>IF($J640=FALSE(),"",발주접수!$C66)</f>
        <v/>
      </c>
      <c r="Q640" s="34" t="str">
        <f>IF($J640=FALSE(),"",IF(발주접수!$F66="세트",발주접수!$E66&amp;" 전개","직접 발주"))</f>
        <v/>
      </c>
    </row>
    <row r="641" ht="15" customHeight="1" s="30">
      <c r="J641" s="50" t="b">
        <f>IF(발주접수!$D66="",FALSE(),IF(발주접수!$F66="세트",COUNTIF(세트구성!$G$3:$G$302,발주접수!$D66&amp;"|"&amp;6)&gt;0,5=0))</f>
        <v>0</v>
      </c>
      <c r="K641" s="34" t="str">
        <f>IF($J641=FALSE(),"",COUNTIF($J$6:$J641,TRUE()))</f>
        <v/>
      </c>
      <c r="L641" s="34" t="str">
        <f>IF($K641="","","R"&amp;$K641)</f>
        <v/>
      </c>
      <c r="M641" s="34" t="str">
        <f>IF($J641=FALSE(),"",IF(발주접수!$F66="세트",IFERROR(INDEX(세트구성!$C$3:$C$302,MATCH(발주접수!$D66&amp;"|"&amp;6,세트구성!$G$3:$G$302,0)),""),발주접수!$D66))</f>
        <v/>
      </c>
      <c r="N641" s="34" t="str">
        <f>IF($J641=FALSE(),"",IF(발주접수!$F66="세트",발주접수!$G66*IFERROR(INDEX(세트구성!$E$3:$E$302,MATCH(발주접수!$D66&amp;"|"&amp;6,세트구성!$G$3:$G$302,0)),0),발주접수!$G66))</f>
        <v/>
      </c>
      <c r="O641" s="34" t="str">
        <f>IF($J641=FALSE(),"",발주접수!$B66)</f>
        <v/>
      </c>
      <c r="P641" s="34" t="str">
        <f>IF($J641=FALSE(),"",발주접수!$C66)</f>
        <v/>
      </c>
      <c r="Q641" s="34" t="str">
        <f>IF($J641=FALSE(),"",IF(발주접수!$F66="세트",발주접수!$E66&amp;" 전개","직접 발주"))</f>
        <v/>
      </c>
    </row>
    <row r="642" ht="15" customHeight="1" s="30">
      <c r="J642" s="50" t="b">
        <f>IF(발주접수!$D66="",FALSE(),IF(발주접수!$F66="세트",COUNTIF(세트구성!$G$3:$G$302,발주접수!$D66&amp;"|"&amp;7)&gt;0,6=0))</f>
        <v>0</v>
      </c>
      <c r="K642" s="34" t="str">
        <f>IF($J642=FALSE(),"",COUNTIF($J$6:$J642,TRUE()))</f>
        <v/>
      </c>
      <c r="L642" s="34" t="str">
        <f>IF($K642="","","R"&amp;$K642)</f>
        <v/>
      </c>
      <c r="M642" s="34" t="str">
        <f>IF($J642=FALSE(),"",IF(발주접수!$F66="세트",IFERROR(INDEX(세트구성!$C$3:$C$302,MATCH(발주접수!$D66&amp;"|"&amp;7,세트구성!$G$3:$G$302,0)),""),발주접수!$D66))</f>
        <v/>
      </c>
      <c r="N642" s="34" t="str">
        <f>IF($J642=FALSE(),"",IF(발주접수!$F66="세트",발주접수!$G66*IFERROR(INDEX(세트구성!$E$3:$E$302,MATCH(발주접수!$D66&amp;"|"&amp;7,세트구성!$G$3:$G$302,0)),0),발주접수!$G66))</f>
        <v/>
      </c>
      <c r="O642" s="34" t="str">
        <f>IF($J642=FALSE(),"",발주접수!$B66)</f>
        <v/>
      </c>
      <c r="P642" s="34" t="str">
        <f>IF($J642=FALSE(),"",발주접수!$C66)</f>
        <v/>
      </c>
      <c r="Q642" s="34" t="str">
        <f>IF($J642=FALSE(),"",IF(발주접수!$F66="세트",발주접수!$E66&amp;" 전개","직접 발주"))</f>
        <v/>
      </c>
    </row>
    <row r="643" ht="15" customHeight="1" s="30">
      <c r="J643" s="50" t="b">
        <f>IF(발주접수!$D66="",FALSE(),IF(발주접수!$F66="세트",COUNTIF(세트구성!$G$3:$G$302,발주접수!$D66&amp;"|"&amp;8)&gt;0,7=0))</f>
        <v>0</v>
      </c>
      <c r="K643" s="34" t="str">
        <f>IF($J643=FALSE(),"",COUNTIF($J$6:$J643,TRUE()))</f>
        <v/>
      </c>
      <c r="L643" s="34" t="str">
        <f>IF($K643="","","R"&amp;$K643)</f>
        <v/>
      </c>
      <c r="M643" s="34" t="str">
        <f>IF($J643=FALSE(),"",IF(발주접수!$F66="세트",IFERROR(INDEX(세트구성!$C$3:$C$302,MATCH(발주접수!$D66&amp;"|"&amp;8,세트구성!$G$3:$G$302,0)),""),발주접수!$D66))</f>
        <v/>
      </c>
      <c r="N643" s="34" t="str">
        <f>IF($J643=FALSE(),"",IF(발주접수!$F66="세트",발주접수!$G66*IFERROR(INDEX(세트구성!$E$3:$E$302,MATCH(발주접수!$D66&amp;"|"&amp;8,세트구성!$G$3:$G$302,0)),0),발주접수!$G66))</f>
        <v/>
      </c>
      <c r="O643" s="34" t="str">
        <f>IF($J643=FALSE(),"",발주접수!$B66)</f>
        <v/>
      </c>
      <c r="P643" s="34" t="str">
        <f>IF($J643=FALSE(),"",발주접수!$C66)</f>
        <v/>
      </c>
      <c r="Q643" s="34" t="str">
        <f>IF($J643=FALSE(),"",IF(발주접수!$F66="세트",발주접수!$E66&amp;" 전개","직접 발주"))</f>
        <v/>
      </c>
    </row>
    <row r="644" ht="15" customHeight="1" s="30">
      <c r="J644" s="50" t="b">
        <f>IF(발주접수!$D66="",FALSE(),IF(발주접수!$F66="세트",COUNTIF(세트구성!$G$3:$G$302,발주접수!$D66&amp;"|"&amp;9)&gt;0,8=0))</f>
        <v>0</v>
      </c>
      <c r="K644" s="34" t="str">
        <f>IF($J644=FALSE(),"",COUNTIF($J$6:$J644,TRUE()))</f>
        <v/>
      </c>
      <c r="L644" s="34" t="str">
        <f>IF($K644="","","R"&amp;$K644)</f>
        <v/>
      </c>
      <c r="M644" s="34" t="str">
        <f>IF($J644=FALSE(),"",IF(발주접수!$F66="세트",IFERROR(INDEX(세트구성!$C$3:$C$302,MATCH(발주접수!$D66&amp;"|"&amp;9,세트구성!$G$3:$G$302,0)),""),발주접수!$D66))</f>
        <v/>
      </c>
      <c r="N644" s="34" t="str">
        <f>IF($J644=FALSE(),"",IF(발주접수!$F66="세트",발주접수!$G66*IFERROR(INDEX(세트구성!$E$3:$E$302,MATCH(발주접수!$D66&amp;"|"&amp;9,세트구성!$G$3:$G$302,0)),0),발주접수!$G66))</f>
        <v/>
      </c>
      <c r="O644" s="34" t="str">
        <f>IF($J644=FALSE(),"",발주접수!$B66)</f>
        <v/>
      </c>
      <c r="P644" s="34" t="str">
        <f>IF($J644=FALSE(),"",발주접수!$C66)</f>
        <v/>
      </c>
      <c r="Q644" s="34" t="str">
        <f>IF($J644=FALSE(),"",IF(발주접수!$F66="세트",발주접수!$E66&amp;" 전개","직접 발주"))</f>
        <v/>
      </c>
    </row>
    <row r="645" ht="15" customHeight="1" s="30">
      <c r="J645" s="50" t="b">
        <f>IF(발주접수!$D66="",FALSE(),IF(발주접수!$F66="세트",COUNTIF(세트구성!$G$3:$G$302,발주접수!$D66&amp;"|"&amp;10)&gt;0,9=0))</f>
        <v>0</v>
      </c>
      <c r="K645" s="34" t="str">
        <f>IF($J645=FALSE(),"",COUNTIF($J$6:$J645,TRUE()))</f>
        <v/>
      </c>
      <c r="L645" s="34" t="str">
        <f>IF($K645="","","R"&amp;$K645)</f>
        <v/>
      </c>
      <c r="M645" s="34" t="str">
        <f>IF($J645=FALSE(),"",IF(발주접수!$F66="세트",IFERROR(INDEX(세트구성!$C$3:$C$302,MATCH(발주접수!$D66&amp;"|"&amp;10,세트구성!$G$3:$G$302,0)),""),발주접수!$D66))</f>
        <v/>
      </c>
      <c r="N645" s="34" t="str">
        <f>IF($J645=FALSE(),"",IF(발주접수!$F66="세트",발주접수!$G66*IFERROR(INDEX(세트구성!$E$3:$E$302,MATCH(발주접수!$D66&amp;"|"&amp;10,세트구성!$G$3:$G$302,0)),0),발주접수!$G66))</f>
        <v/>
      </c>
      <c r="O645" s="34" t="str">
        <f>IF($J645=FALSE(),"",발주접수!$B66)</f>
        <v/>
      </c>
      <c r="P645" s="34" t="str">
        <f>IF($J645=FALSE(),"",발주접수!$C66)</f>
        <v/>
      </c>
      <c r="Q645" s="34" t="str">
        <f>IF($J645=FALSE(),"",IF(발주접수!$F66="세트",발주접수!$E66&amp;" 전개","직접 발주"))</f>
        <v/>
      </c>
    </row>
    <row r="646" ht="15" customHeight="1" s="30">
      <c r="J646" s="50" t="b">
        <f>IF(발주접수!$D67="",FALSE(),IF(발주접수!$F67="세트",COUNTIF(세트구성!$G$3:$G$302,발주접수!$D67&amp;"|"&amp;1)&gt;0,0=0))</f>
        <v>0</v>
      </c>
      <c r="K646" s="34" t="str">
        <f>IF($J646=FALSE(),"",COUNTIF($J$6:$J646,TRUE()))</f>
        <v/>
      </c>
      <c r="L646" s="34" t="str">
        <f>IF($K646="","","R"&amp;$K646)</f>
        <v/>
      </c>
      <c r="M646" s="34" t="str">
        <f>IF($J646=FALSE(),"",IF(발주접수!$F67="세트",IFERROR(INDEX(세트구성!$C$3:$C$302,MATCH(발주접수!$D67&amp;"|"&amp;1,세트구성!$G$3:$G$302,0)),""),발주접수!$D67))</f>
        <v/>
      </c>
      <c r="N646" s="34" t="str">
        <f>IF($J646=FALSE(),"",IF(발주접수!$F67="세트",발주접수!$G67*IFERROR(INDEX(세트구성!$E$3:$E$302,MATCH(발주접수!$D67&amp;"|"&amp;1,세트구성!$G$3:$G$302,0)),0),발주접수!$G67))</f>
        <v/>
      </c>
      <c r="O646" s="34" t="str">
        <f>IF($J646=FALSE(),"",발주접수!$B67)</f>
        <v/>
      </c>
      <c r="P646" s="34" t="str">
        <f>IF($J646=FALSE(),"",발주접수!$C67)</f>
        <v/>
      </c>
      <c r="Q646" s="34" t="str">
        <f>IF($J646=FALSE(),"",IF(발주접수!$F67="세트",발주접수!$E67&amp;" 전개","직접 발주"))</f>
        <v/>
      </c>
    </row>
    <row r="647" ht="15" customHeight="1" s="30">
      <c r="J647" s="50" t="b">
        <f>IF(발주접수!$D67="",FALSE(),IF(발주접수!$F67="세트",COUNTIF(세트구성!$G$3:$G$302,발주접수!$D67&amp;"|"&amp;2)&gt;0,1=0))</f>
        <v>0</v>
      </c>
      <c r="K647" s="34" t="str">
        <f>IF($J647=FALSE(),"",COUNTIF($J$6:$J647,TRUE()))</f>
        <v/>
      </c>
      <c r="L647" s="34" t="str">
        <f>IF($K647="","","R"&amp;$K647)</f>
        <v/>
      </c>
      <c r="M647" s="34" t="str">
        <f>IF($J647=FALSE(),"",IF(발주접수!$F67="세트",IFERROR(INDEX(세트구성!$C$3:$C$302,MATCH(발주접수!$D67&amp;"|"&amp;2,세트구성!$G$3:$G$302,0)),""),발주접수!$D67))</f>
        <v/>
      </c>
      <c r="N647" s="34" t="str">
        <f>IF($J647=FALSE(),"",IF(발주접수!$F67="세트",발주접수!$G67*IFERROR(INDEX(세트구성!$E$3:$E$302,MATCH(발주접수!$D67&amp;"|"&amp;2,세트구성!$G$3:$G$302,0)),0),발주접수!$G67))</f>
        <v/>
      </c>
      <c r="O647" s="34" t="str">
        <f>IF($J647=FALSE(),"",발주접수!$B67)</f>
        <v/>
      </c>
      <c r="P647" s="34" t="str">
        <f>IF($J647=FALSE(),"",발주접수!$C67)</f>
        <v/>
      </c>
      <c r="Q647" s="34" t="str">
        <f>IF($J647=FALSE(),"",IF(발주접수!$F67="세트",발주접수!$E67&amp;" 전개","직접 발주"))</f>
        <v/>
      </c>
    </row>
    <row r="648" ht="15" customHeight="1" s="30">
      <c r="J648" s="50" t="b">
        <f>IF(발주접수!$D67="",FALSE(),IF(발주접수!$F67="세트",COUNTIF(세트구성!$G$3:$G$302,발주접수!$D67&amp;"|"&amp;3)&gt;0,2=0))</f>
        <v>0</v>
      </c>
      <c r="K648" s="34" t="str">
        <f>IF($J648=FALSE(),"",COUNTIF($J$6:$J648,TRUE()))</f>
        <v/>
      </c>
      <c r="L648" s="34" t="str">
        <f>IF($K648="","","R"&amp;$K648)</f>
        <v/>
      </c>
      <c r="M648" s="34" t="str">
        <f>IF($J648=FALSE(),"",IF(발주접수!$F67="세트",IFERROR(INDEX(세트구성!$C$3:$C$302,MATCH(발주접수!$D67&amp;"|"&amp;3,세트구성!$G$3:$G$302,0)),""),발주접수!$D67))</f>
        <v/>
      </c>
      <c r="N648" s="34" t="str">
        <f>IF($J648=FALSE(),"",IF(발주접수!$F67="세트",발주접수!$G67*IFERROR(INDEX(세트구성!$E$3:$E$302,MATCH(발주접수!$D67&amp;"|"&amp;3,세트구성!$G$3:$G$302,0)),0),발주접수!$G67))</f>
        <v/>
      </c>
      <c r="O648" s="34" t="str">
        <f>IF($J648=FALSE(),"",발주접수!$B67)</f>
        <v/>
      </c>
      <c r="P648" s="34" t="str">
        <f>IF($J648=FALSE(),"",발주접수!$C67)</f>
        <v/>
      </c>
      <c r="Q648" s="34" t="str">
        <f>IF($J648=FALSE(),"",IF(발주접수!$F67="세트",발주접수!$E67&amp;" 전개","직접 발주"))</f>
        <v/>
      </c>
    </row>
    <row r="649" ht="15" customHeight="1" s="30">
      <c r="J649" s="50" t="b">
        <f>IF(발주접수!$D67="",FALSE(),IF(발주접수!$F67="세트",COUNTIF(세트구성!$G$3:$G$302,발주접수!$D67&amp;"|"&amp;4)&gt;0,3=0))</f>
        <v>0</v>
      </c>
      <c r="K649" s="34" t="str">
        <f>IF($J649=FALSE(),"",COUNTIF($J$6:$J649,TRUE()))</f>
        <v/>
      </c>
      <c r="L649" s="34" t="str">
        <f>IF($K649="","","R"&amp;$K649)</f>
        <v/>
      </c>
      <c r="M649" s="34" t="str">
        <f>IF($J649=FALSE(),"",IF(발주접수!$F67="세트",IFERROR(INDEX(세트구성!$C$3:$C$302,MATCH(발주접수!$D67&amp;"|"&amp;4,세트구성!$G$3:$G$302,0)),""),발주접수!$D67))</f>
        <v/>
      </c>
      <c r="N649" s="34" t="str">
        <f>IF($J649=FALSE(),"",IF(발주접수!$F67="세트",발주접수!$G67*IFERROR(INDEX(세트구성!$E$3:$E$302,MATCH(발주접수!$D67&amp;"|"&amp;4,세트구성!$G$3:$G$302,0)),0),발주접수!$G67))</f>
        <v/>
      </c>
      <c r="O649" s="34" t="str">
        <f>IF($J649=FALSE(),"",발주접수!$B67)</f>
        <v/>
      </c>
      <c r="P649" s="34" t="str">
        <f>IF($J649=FALSE(),"",발주접수!$C67)</f>
        <v/>
      </c>
      <c r="Q649" s="34" t="str">
        <f>IF($J649=FALSE(),"",IF(발주접수!$F67="세트",발주접수!$E67&amp;" 전개","직접 발주"))</f>
        <v/>
      </c>
    </row>
    <row r="650" ht="15" customHeight="1" s="30">
      <c r="J650" s="50" t="b">
        <f>IF(발주접수!$D67="",FALSE(),IF(발주접수!$F67="세트",COUNTIF(세트구성!$G$3:$G$302,발주접수!$D67&amp;"|"&amp;5)&gt;0,4=0))</f>
        <v>0</v>
      </c>
      <c r="K650" s="34" t="str">
        <f>IF($J650=FALSE(),"",COUNTIF($J$6:$J650,TRUE()))</f>
        <v/>
      </c>
      <c r="L650" s="34" t="str">
        <f>IF($K650="","","R"&amp;$K650)</f>
        <v/>
      </c>
      <c r="M650" s="34" t="str">
        <f>IF($J650=FALSE(),"",IF(발주접수!$F67="세트",IFERROR(INDEX(세트구성!$C$3:$C$302,MATCH(발주접수!$D67&amp;"|"&amp;5,세트구성!$G$3:$G$302,0)),""),발주접수!$D67))</f>
        <v/>
      </c>
      <c r="N650" s="34" t="str">
        <f>IF($J650=FALSE(),"",IF(발주접수!$F67="세트",발주접수!$G67*IFERROR(INDEX(세트구성!$E$3:$E$302,MATCH(발주접수!$D67&amp;"|"&amp;5,세트구성!$G$3:$G$302,0)),0),발주접수!$G67))</f>
        <v/>
      </c>
      <c r="O650" s="34" t="str">
        <f>IF($J650=FALSE(),"",발주접수!$B67)</f>
        <v/>
      </c>
      <c r="P650" s="34" t="str">
        <f>IF($J650=FALSE(),"",발주접수!$C67)</f>
        <v/>
      </c>
      <c r="Q650" s="34" t="str">
        <f>IF($J650=FALSE(),"",IF(발주접수!$F67="세트",발주접수!$E67&amp;" 전개","직접 발주"))</f>
        <v/>
      </c>
    </row>
    <row r="651" ht="15" customHeight="1" s="30">
      <c r="J651" s="50" t="b">
        <f>IF(발주접수!$D67="",FALSE(),IF(발주접수!$F67="세트",COUNTIF(세트구성!$G$3:$G$302,발주접수!$D67&amp;"|"&amp;6)&gt;0,5=0))</f>
        <v>0</v>
      </c>
      <c r="K651" s="34" t="str">
        <f>IF($J651=FALSE(),"",COUNTIF($J$6:$J651,TRUE()))</f>
        <v/>
      </c>
      <c r="L651" s="34" t="str">
        <f>IF($K651="","","R"&amp;$K651)</f>
        <v/>
      </c>
      <c r="M651" s="34" t="str">
        <f>IF($J651=FALSE(),"",IF(발주접수!$F67="세트",IFERROR(INDEX(세트구성!$C$3:$C$302,MATCH(발주접수!$D67&amp;"|"&amp;6,세트구성!$G$3:$G$302,0)),""),발주접수!$D67))</f>
        <v/>
      </c>
      <c r="N651" s="34" t="str">
        <f>IF($J651=FALSE(),"",IF(발주접수!$F67="세트",발주접수!$G67*IFERROR(INDEX(세트구성!$E$3:$E$302,MATCH(발주접수!$D67&amp;"|"&amp;6,세트구성!$G$3:$G$302,0)),0),발주접수!$G67))</f>
        <v/>
      </c>
      <c r="O651" s="34" t="str">
        <f>IF($J651=FALSE(),"",발주접수!$B67)</f>
        <v/>
      </c>
      <c r="P651" s="34" t="str">
        <f>IF($J651=FALSE(),"",발주접수!$C67)</f>
        <v/>
      </c>
      <c r="Q651" s="34" t="str">
        <f>IF($J651=FALSE(),"",IF(발주접수!$F67="세트",발주접수!$E67&amp;" 전개","직접 발주"))</f>
        <v/>
      </c>
    </row>
    <row r="652" ht="15" customHeight="1" s="30">
      <c r="J652" s="50" t="b">
        <f>IF(발주접수!$D67="",FALSE(),IF(발주접수!$F67="세트",COUNTIF(세트구성!$G$3:$G$302,발주접수!$D67&amp;"|"&amp;7)&gt;0,6=0))</f>
        <v>0</v>
      </c>
      <c r="K652" s="34" t="str">
        <f>IF($J652=FALSE(),"",COUNTIF($J$6:$J652,TRUE()))</f>
        <v/>
      </c>
      <c r="L652" s="34" t="str">
        <f>IF($K652="","","R"&amp;$K652)</f>
        <v/>
      </c>
      <c r="M652" s="34" t="str">
        <f>IF($J652=FALSE(),"",IF(발주접수!$F67="세트",IFERROR(INDEX(세트구성!$C$3:$C$302,MATCH(발주접수!$D67&amp;"|"&amp;7,세트구성!$G$3:$G$302,0)),""),발주접수!$D67))</f>
        <v/>
      </c>
      <c r="N652" s="34" t="str">
        <f>IF($J652=FALSE(),"",IF(발주접수!$F67="세트",발주접수!$G67*IFERROR(INDEX(세트구성!$E$3:$E$302,MATCH(발주접수!$D67&amp;"|"&amp;7,세트구성!$G$3:$G$302,0)),0),발주접수!$G67))</f>
        <v/>
      </c>
      <c r="O652" s="34" t="str">
        <f>IF($J652=FALSE(),"",발주접수!$B67)</f>
        <v/>
      </c>
      <c r="P652" s="34" t="str">
        <f>IF($J652=FALSE(),"",발주접수!$C67)</f>
        <v/>
      </c>
      <c r="Q652" s="34" t="str">
        <f>IF($J652=FALSE(),"",IF(발주접수!$F67="세트",발주접수!$E67&amp;" 전개","직접 발주"))</f>
        <v/>
      </c>
    </row>
    <row r="653" ht="15" customHeight="1" s="30">
      <c r="J653" s="50" t="b">
        <f>IF(발주접수!$D67="",FALSE(),IF(발주접수!$F67="세트",COUNTIF(세트구성!$G$3:$G$302,발주접수!$D67&amp;"|"&amp;8)&gt;0,7=0))</f>
        <v>0</v>
      </c>
      <c r="K653" s="34" t="str">
        <f>IF($J653=FALSE(),"",COUNTIF($J$6:$J653,TRUE()))</f>
        <v/>
      </c>
      <c r="L653" s="34" t="str">
        <f>IF($K653="","","R"&amp;$K653)</f>
        <v/>
      </c>
      <c r="M653" s="34" t="str">
        <f>IF($J653=FALSE(),"",IF(발주접수!$F67="세트",IFERROR(INDEX(세트구성!$C$3:$C$302,MATCH(발주접수!$D67&amp;"|"&amp;8,세트구성!$G$3:$G$302,0)),""),발주접수!$D67))</f>
        <v/>
      </c>
      <c r="N653" s="34" t="str">
        <f>IF($J653=FALSE(),"",IF(발주접수!$F67="세트",발주접수!$G67*IFERROR(INDEX(세트구성!$E$3:$E$302,MATCH(발주접수!$D67&amp;"|"&amp;8,세트구성!$G$3:$G$302,0)),0),발주접수!$G67))</f>
        <v/>
      </c>
      <c r="O653" s="34" t="str">
        <f>IF($J653=FALSE(),"",발주접수!$B67)</f>
        <v/>
      </c>
      <c r="P653" s="34" t="str">
        <f>IF($J653=FALSE(),"",발주접수!$C67)</f>
        <v/>
      </c>
      <c r="Q653" s="34" t="str">
        <f>IF($J653=FALSE(),"",IF(발주접수!$F67="세트",발주접수!$E67&amp;" 전개","직접 발주"))</f>
        <v/>
      </c>
    </row>
    <row r="654" ht="15" customHeight="1" s="30">
      <c r="J654" s="50" t="b">
        <f>IF(발주접수!$D67="",FALSE(),IF(발주접수!$F67="세트",COUNTIF(세트구성!$G$3:$G$302,발주접수!$D67&amp;"|"&amp;9)&gt;0,8=0))</f>
        <v>0</v>
      </c>
      <c r="K654" s="34" t="str">
        <f>IF($J654=FALSE(),"",COUNTIF($J$6:$J654,TRUE()))</f>
        <v/>
      </c>
      <c r="L654" s="34" t="str">
        <f>IF($K654="","","R"&amp;$K654)</f>
        <v/>
      </c>
      <c r="M654" s="34" t="str">
        <f>IF($J654=FALSE(),"",IF(발주접수!$F67="세트",IFERROR(INDEX(세트구성!$C$3:$C$302,MATCH(발주접수!$D67&amp;"|"&amp;9,세트구성!$G$3:$G$302,0)),""),발주접수!$D67))</f>
        <v/>
      </c>
      <c r="N654" s="34" t="str">
        <f>IF($J654=FALSE(),"",IF(발주접수!$F67="세트",발주접수!$G67*IFERROR(INDEX(세트구성!$E$3:$E$302,MATCH(발주접수!$D67&amp;"|"&amp;9,세트구성!$G$3:$G$302,0)),0),발주접수!$G67))</f>
        <v/>
      </c>
      <c r="O654" s="34" t="str">
        <f>IF($J654=FALSE(),"",발주접수!$B67)</f>
        <v/>
      </c>
      <c r="P654" s="34" t="str">
        <f>IF($J654=FALSE(),"",발주접수!$C67)</f>
        <v/>
      </c>
      <c r="Q654" s="34" t="str">
        <f>IF($J654=FALSE(),"",IF(발주접수!$F67="세트",발주접수!$E67&amp;" 전개","직접 발주"))</f>
        <v/>
      </c>
    </row>
    <row r="655" ht="15" customHeight="1" s="30">
      <c r="J655" s="50" t="b">
        <f>IF(발주접수!$D67="",FALSE(),IF(발주접수!$F67="세트",COUNTIF(세트구성!$G$3:$G$302,발주접수!$D67&amp;"|"&amp;10)&gt;0,9=0))</f>
        <v>0</v>
      </c>
      <c r="K655" s="34" t="str">
        <f>IF($J655=FALSE(),"",COUNTIF($J$6:$J655,TRUE()))</f>
        <v/>
      </c>
      <c r="L655" s="34" t="str">
        <f>IF($K655="","","R"&amp;$K655)</f>
        <v/>
      </c>
      <c r="M655" s="34" t="str">
        <f>IF($J655=FALSE(),"",IF(발주접수!$F67="세트",IFERROR(INDEX(세트구성!$C$3:$C$302,MATCH(발주접수!$D67&amp;"|"&amp;10,세트구성!$G$3:$G$302,0)),""),발주접수!$D67))</f>
        <v/>
      </c>
      <c r="N655" s="34" t="str">
        <f>IF($J655=FALSE(),"",IF(발주접수!$F67="세트",발주접수!$G67*IFERROR(INDEX(세트구성!$E$3:$E$302,MATCH(발주접수!$D67&amp;"|"&amp;10,세트구성!$G$3:$G$302,0)),0),발주접수!$G67))</f>
        <v/>
      </c>
      <c r="O655" s="34" t="str">
        <f>IF($J655=FALSE(),"",발주접수!$B67)</f>
        <v/>
      </c>
      <c r="P655" s="34" t="str">
        <f>IF($J655=FALSE(),"",발주접수!$C67)</f>
        <v/>
      </c>
      <c r="Q655" s="34" t="str">
        <f>IF($J655=FALSE(),"",IF(발주접수!$F67="세트",발주접수!$E67&amp;" 전개","직접 발주"))</f>
        <v/>
      </c>
    </row>
    <row r="656" ht="15" customHeight="1" s="30">
      <c r="J656" s="50" t="b">
        <f>IF(발주접수!$D68="",FALSE(),IF(발주접수!$F68="세트",COUNTIF(세트구성!$G$3:$G$302,발주접수!$D68&amp;"|"&amp;1)&gt;0,0=0))</f>
        <v>0</v>
      </c>
      <c r="K656" s="34" t="str">
        <f>IF($J656=FALSE(),"",COUNTIF($J$6:$J656,TRUE()))</f>
        <v/>
      </c>
      <c r="L656" s="34" t="str">
        <f>IF($K656="","","R"&amp;$K656)</f>
        <v/>
      </c>
      <c r="M656" s="34" t="str">
        <f>IF($J656=FALSE(),"",IF(발주접수!$F68="세트",IFERROR(INDEX(세트구성!$C$3:$C$302,MATCH(발주접수!$D68&amp;"|"&amp;1,세트구성!$G$3:$G$302,0)),""),발주접수!$D68))</f>
        <v/>
      </c>
      <c r="N656" s="34" t="str">
        <f>IF($J656=FALSE(),"",IF(발주접수!$F68="세트",발주접수!$G68*IFERROR(INDEX(세트구성!$E$3:$E$302,MATCH(발주접수!$D68&amp;"|"&amp;1,세트구성!$G$3:$G$302,0)),0),발주접수!$G68))</f>
        <v/>
      </c>
      <c r="O656" s="34" t="str">
        <f>IF($J656=FALSE(),"",발주접수!$B68)</f>
        <v/>
      </c>
      <c r="P656" s="34" t="str">
        <f>IF($J656=FALSE(),"",발주접수!$C68)</f>
        <v/>
      </c>
      <c r="Q656" s="34" t="str">
        <f>IF($J656=FALSE(),"",IF(발주접수!$F68="세트",발주접수!$E68&amp;" 전개","직접 발주"))</f>
        <v/>
      </c>
    </row>
    <row r="657" ht="15" customHeight="1" s="30">
      <c r="J657" s="50" t="b">
        <f>IF(발주접수!$D68="",FALSE(),IF(발주접수!$F68="세트",COUNTIF(세트구성!$G$3:$G$302,발주접수!$D68&amp;"|"&amp;2)&gt;0,1=0))</f>
        <v>0</v>
      </c>
      <c r="K657" s="34" t="str">
        <f>IF($J657=FALSE(),"",COUNTIF($J$6:$J657,TRUE()))</f>
        <v/>
      </c>
      <c r="L657" s="34" t="str">
        <f>IF($K657="","","R"&amp;$K657)</f>
        <v/>
      </c>
      <c r="M657" s="34" t="str">
        <f>IF($J657=FALSE(),"",IF(발주접수!$F68="세트",IFERROR(INDEX(세트구성!$C$3:$C$302,MATCH(발주접수!$D68&amp;"|"&amp;2,세트구성!$G$3:$G$302,0)),""),발주접수!$D68))</f>
        <v/>
      </c>
      <c r="N657" s="34" t="str">
        <f>IF($J657=FALSE(),"",IF(발주접수!$F68="세트",발주접수!$G68*IFERROR(INDEX(세트구성!$E$3:$E$302,MATCH(발주접수!$D68&amp;"|"&amp;2,세트구성!$G$3:$G$302,0)),0),발주접수!$G68))</f>
        <v/>
      </c>
      <c r="O657" s="34" t="str">
        <f>IF($J657=FALSE(),"",발주접수!$B68)</f>
        <v/>
      </c>
      <c r="P657" s="34" t="str">
        <f>IF($J657=FALSE(),"",발주접수!$C68)</f>
        <v/>
      </c>
      <c r="Q657" s="34" t="str">
        <f>IF($J657=FALSE(),"",IF(발주접수!$F68="세트",발주접수!$E68&amp;" 전개","직접 발주"))</f>
        <v/>
      </c>
    </row>
    <row r="658" ht="15" customHeight="1" s="30">
      <c r="J658" s="50" t="b">
        <f>IF(발주접수!$D68="",FALSE(),IF(발주접수!$F68="세트",COUNTIF(세트구성!$G$3:$G$302,발주접수!$D68&amp;"|"&amp;3)&gt;0,2=0))</f>
        <v>0</v>
      </c>
      <c r="K658" s="34" t="str">
        <f>IF($J658=FALSE(),"",COUNTIF($J$6:$J658,TRUE()))</f>
        <v/>
      </c>
      <c r="L658" s="34" t="str">
        <f>IF($K658="","","R"&amp;$K658)</f>
        <v/>
      </c>
      <c r="M658" s="34" t="str">
        <f>IF($J658=FALSE(),"",IF(발주접수!$F68="세트",IFERROR(INDEX(세트구성!$C$3:$C$302,MATCH(발주접수!$D68&amp;"|"&amp;3,세트구성!$G$3:$G$302,0)),""),발주접수!$D68))</f>
        <v/>
      </c>
      <c r="N658" s="34" t="str">
        <f>IF($J658=FALSE(),"",IF(발주접수!$F68="세트",발주접수!$G68*IFERROR(INDEX(세트구성!$E$3:$E$302,MATCH(발주접수!$D68&amp;"|"&amp;3,세트구성!$G$3:$G$302,0)),0),발주접수!$G68))</f>
        <v/>
      </c>
      <c r="O658" s="34" t="str">
        <f>IF($J658=FALSE(),"",발주접수!$B68)</f>
        <v/>
      </c>
      <c r="P658" s="34" t="str">
        <f>IF($J658=FALSE(),"",발주접수!$C68)</f>
        <v/>
      </c>
      <c r="Q658" s="34" t="str">
        <f>IF($J658=FALSE(),"",IF(발주접수!$F68="세트",발주접수!$E68&amp;" 전개","직접 발주"))</f>
        <v/>
      </c>
    </row>
    <row r="659" ht="15" customHeight="1" s="30">
      <c r="J659" s="50" t="b">
        <f>IF(발주접수!$D68="",FALSE(),IF(발주접수!$F68="세트",COUNTIF(세트구성!$G$3:$G$302,발주접수!$D68&amp;"|"&amp;4)&gt;0,3=0))</f>
        <v>0</v>
      </c>
      <c r="K659" s="34" t="str">
        <f>IF($J659=FALSE(),"",COUNTIF($J$6:$J659,TRUE()))</f>
        <v/>
      </c>
      <c r="L659" s="34" t="str">
        <f>IF($K659="","","R"&amp;$K659)</f>
        <v/>
      </c>
      <c r="M659" s="34" t="str">
        <f>IF($J659=FALSE(),"",IF(발주접수!$F68="세트",IFERROR(INDEX(세트구성!$C$3:$C$302,MATCH(발주접수!$D68&amp;"|"&amp;4,세트구성!$G$3:$G$302,0)),""),발주접수!$D68))</f>
        <v/>
      </c>
      <c r="N659" s="34" t="str">
        <f>IF($J659=FALSE(),"",IF(발주접수!$F68="세트",발주접수!$G68*IFERROR(INDEX(세트구성!$E$3:$E$302,MATCH(발주접수!$D68&amp;"|"&amp;4,세트구성!$G$3:$G$302,0)),0),발주접수!$G68))</f>
        <v/>
      </c>
      <c r="O659" s="34" t="str">
        <f>IF($J659=FALSE(),"",발주접수!$B68)</f>
        <v/>
      </c>
      <c r="P659" s="34" t="str">
        <f>IF($J659=FALSE(),"",발주접수!$C68)</f>
        <v/>
      </c>
      <c r="Q659" s="34" t="str">
        <f>IF($J659=FALSE(),"",IF(발주접수!$F68="세트",발주접수!$E68&amp;" 전개","직접 발주"))</f>
        <v/>
      </c>
    </row>
    <row r="660" ht="15" customHeight="1" s="30">
      <c r="J660" s="50" t="b">
        <f>IF(발주접수!$D68="",FALSE(),IF(발주접수!$F68="세트",COUNTIF(세트구성!$G$3:$G$302,발주접수!$D68&amp;"|"&amp;5)&gt;0,4=0))</f>
        <v>0</v>
      </c>
      <c r="K660" s="34" t="str">
        <f>IF($J660=FALSE(),"",COUNTIF($J$6:$J660,TRUE()))</f>
        <v/>
      </c>
      <c r="L660" s="34" t="str">
        <f>IF($K660="","","R"&amp;$K660)</f>
        <v/>
      </c>
      <c r="M660" s="34" t="str">
        <f>IF($J660=FALSE(),"",IF(발주접수!$F68="세트",IFERROR(INDEX(세트구성!$C$3:$C$302,MATCH(발주접수!$D68&amp;"|"&amp;5,세트구성!$G$3:$G$302,0)),""),발주접수!$D68))</f>
        <v/>
      </c>
      <c r="N660" s="34" t="str">
        <f>IF($J660=FALSE(),"",IF(발주접수!$F68="세트",발주접수!$G68*IFERROR(INDEX(세트구성!$E$3:$E$302,MATCH(발주접수!$D68&amp;"|"&amp;5,세트구성!$G$3:$G$302,0)),0),발주접수!$G68))</f>
        <v/>
      </c>
      <c r="O660" s="34" t="str">
        <f>IF($J660=FALSE(),"",발주접수!$B68)</f>
        <v/>
      </c>
      <c r="P660" s="34" t="str">
        <f>IF($J660=FALSE(),"",발주접수!$C68)</f>
        <v/>
      </c>
      <c r="Q660" s="34" t="str">
        <f>IF($J660=FALSE(),"",IF(발주접수!$F68="세트",발주접수!$E68&amp;" 전개","직접 발주"))</f>
        <v/>
      </c>
    </row>
    <row r="661" ht="15" customHeight="1" s="30">
      <c r="J661" s="50" t="b">
        <f>IF(발주접수!$D68="",FALSE(),IF(발주접수!$F68="세트",COUNTIF(세트구성!$G$3:$G$302,발주접수!$D68&amp;"|"&amp;6)&gt;0,5=0))</f>
        <v>0</v>
      </c>
      <c r="K661" s="34" t="str">
        <f>IF($J661=FALSE(),"",COUNTIF($J$6:$J661,TRUE()))</f>
        <v/>
      </c>
      <c r="L661" s="34" t="str">
        <f>IF($K661="","","R"&amp;$K661)</f>
        <v/>
      </c>
      <c r="M661" s="34" t="str">
        <f>IF($J661=FALSE(),"",IF(발주접수!$F68="세트",IFERROR(INDEX(세트구성!$C$3:$C$302,MATCH(발주접수!$D68&amp;"|"&amp;6,세트구성!$G$3:$G$302,0)),""),발주접수!$D68))</f>
        <v/>
      </c>
      <c r="N661" s="34" t="str">
        <f>IF($J661=FALSE(),"",IF(발주접수!$F68="세트",발주접수!$G68*IFERROR(INDEX(세트구성!$E$3:$E$302,MATCH(발주접수!$D68&amp;"|"&amp;6,세트구성!$G$3:$G$302,0)),0),발주접수!$G68))</f>
        <v/>
      </c>
      <c r="O661" s="34" t="str">
        <f>IF($J661=FALSE(),"",발주접수!$B68)</f>
        <v/>
      </c>
      <c r="P661" s="34" t="str">
        <f>IF($J661=FALSE(),"",발주접수!$C68)</f>
        <v/>
      </c>
      <c r="Q661" s="34" t="str">
        <f>IF($J661=FALSE(),"",IF(발주접수!$F68="세트",발주접수!$E68&amp;" 전개","직접 발주"))</f>
        <v/>
      </c>
    </row>
    <row r="662" ht="15" customHeight="1" s="30">
      <c r="J662" s="50" t="b">
        <f>IF(발주접수!$D68="",FALSE(),IF(발주접수!$F68="세트",COUNTIF(세트구성!$G$3:$G$302,발주접수!$D68&amp;"|"&amp;7)&gt;0,6=0))</f>
        <v>0</v>
      </c>
      <c r="K662" s="34" t="str">
        <f>IF($J662=FALSE(),"",COUNTIF($J$6:$J662,TRUE()))</f>
        <v/>
      </c>
      <c r="L662" s="34" t="str">
        <f>IF($K662="","","R"&amp;$K662)</f>
        <v/>
      </c>
      <c r="M662" s="34" t="str">
        <f>IF($J662=FALSE(),"",IF(발주접수!$F68="세트",IFERROR(INDEX(세트구성!$C$3:$C$302,MATCH(발주접수!$D68&amp;"|"&amp;7,세트구성!$G$3:$G$302,0)),""),발주접수!$D68))</f>
        <v/>
      </c>
      <c r="N662" s="34" t="str">
        <f>IF($J662=FALSE(),"",IF(발주접수!$F68="세트",발주접수!$G68*IFERROR(INDEX(세트구성!$E$3:$E$302,MATCH(발주접수!$D68&amp;"|"&amp;7,세트구성!$G$3:$G$302,0)),0),발주접수!$G68))</f>
        <v/>
      </c>
      <c r="O662" s="34" t="str">
        <f>IF($J662=FALSE(),"",발주접수!$B68)</f>
        <v/>
      </c>
      <c r="P662" s="34" t="str">
        <f>IF($J662=FALSE(),"",발주접수!$C68)</f>
        <v/>
      </c>
      <c r="Q662" s="34" t="str">
        <f>IF($J662=FALSE(),"",IF(발주접수!$F68="세트",발주접수!$E68&amp;" 전개","직접 발주"))</f>
        <v/>
      </c>
    </row>
    <row r="663" ht="15" customHeight="1" s="30">
      <c r="J663" s="50" t="b">
        <f>IF(발주접수!$D68="",FALSE(),IF(발주접수!$F68="세트",COUNTIF(세트구성!$G$3:$G$302,발주접수!$D68&amp;"|"&amp;8)&gt;0,7=0))</f>
        <v>0</v>
      </c>
      <c r="K663" s="34" t="str">
        <f>IF($J663=FALSE(),"",COUNTIF($J$6:$J663,TRUE()))</f>
        <v/>
      </c>
      <c r="L663" s="34" t="str">
        <f>IF($K663="","","R"&amp;$K663)</f>
        <v/>
      </c>
      <c r="M663" s="34" t="str">
        <f>IF($J663=FALSE(),"",IF(발주접수!$F68="세트",IFERROR(INDEX(세트구성!$C$3:$C$302,MATCH(발주접수!$D68&amp;"|"&amp;8,세트구성!$G$3:$G$302,0)),""),발주접수!$D68))</f>
        <v/>
      </c>
      <c r="N663" s="34" t="str">
        <f>IF($J663=FALSE(),"",IF(발주접수!$F68="세트",발주접수!$G68*IFERROR(INDEX(세트구성!$E$3:$E$302,MATCH(발주접수!$D68&amp;"|"&amp;8,세트구성!$G$3:$G$302,0)),0),발주접수!$G68))</f>
        <v/>
      </c>
      <c r="O663" s="34" t="str">
        <f>IF($J663=FALSE(),"",발주접수!$B68)</f>
        <v/>
      </c>
      <c r="P663" s="34" t="str">
        <f>IF($J663=FALSE(),"",발주접수!$C68)</f>
        <v/>
      </c>
      <c r="Q663" s="34" t="str">
        <f>IF($J663=FALSE(),"",IF(발주접수!$F68="세트",발주접수!$E68&amp;" 전개","직접 발주"))</f>
        <v/>
      </c>
    </row>
    <row r="664" ht="15" customHeight="1" s="30">
      <c r="J664" s="50" t="b">
        <f>IF(발주접수!$D68="",FALSE(),IF(발주접수!$F68="세트",COUNTIF(세트구성!$G$3:$G$302,발주접수!$D68&amp;"|"&amp;9)&gt;0,8=0))</f>
        <v>0</v>
      </c>
      <c r="K664" s="34" t="str">
        <f>IF($J664=FALSE(),"",COUNTIF($J$6:$J664,TRUE()))</f>
        <v/>
      </c>
      <c r="L664" s="34" t="str">
        <f>IF($K664="","","R"&amp;$K664)</f>
        <v/>
      </c>
      <c r="M664" s="34" t="str">
        <f>IF($J664=FALSE(),"",IF(발주접수!$F68="세트",IFERROR(INDEX(세트구성!$C$3:$C$302,MATCH(발주접수!$D68&amp;"|"&amp;9,세트구성!$G$3:$G$302,0)),""),발주접수!$D68))</f>
        <v/>
      </c>
      <c r="N664" s="34" t="str">
        <f>IF($J664=FALSE(),"",IF(발주접수!$F68="세트",발주접수!$G68*IFERROR(INDEX(세트구성!$E$3:$E$302,MATCH(발주접수!$D68&amp;"|"&amp;9,세트구성!$G$3:$G$302,0)),0),발주접수!$G68))</f>
        <v/>
      </c>
      <c r="O664" s="34" t="str">
        <f>IF($J664=FALSE(),"",발주접수!$B68)</f>
        <v/>
      </c>
      <c r="P664" s="34" t="str">
        <f>IF($J664=FALSE(),"",발주접수!$C68)</f>
        <v/>
      </c>
      <c r="Q664" s="34" t="str">
        <f>IF($J664=FALSE(),"",IF(발주접수!$F68="세트",발주접수!$E68&amp;" 전개","직접 발주"))</f>
        <v/>
      </c>
    </row>
    <row r="665" ht="15" customHeight="1" s="30">
      <c r="J665" s="50" t="b">
        <f>IF(발주접수!$D68="",FALSE(),IF(발주접수!$F68="세트",COUNTIF(세트구성!$G$3:$G$302,발주접수!$D68&amp;"|"&amp;10)&gt;0,9=0))</f>
        <v>0</v>
      </c>
      <c r="K665" s="34" t="str">
        <f>IF($J665=FALSE(),"",COUNTIF($J$6:$J665,TRUE()))</f>
        <v/>
      </c>
      <c r="L665" s="34" t="str">
        <f>IF($K665="","","R"&amp;$K665)</f>
        <v/>
      </c>
      <c r="M665" s="34" t="str">
        <f>IF($J665=FALSE(),"",IF(발주접수!$F68="세트",IFERROR(INDEX(세트구성!$C$3:$C$302,MATCH(발주접수!$D68&amp;"|"&amp;10,세트구성!$G$3:$G$302,0)),""),발주접수!$D68))</f>
        <v/>
      </c>
      <c r="N665" s="34" t="str">
        <f>IF($J665=FALSE(),"",IF(발주접수!$F68="세트",발주접수!$G68*IFERROR(INDEX(세트구성!$E$3:$E$302,MATCH(발주접수!$D68&amp;"|"&amp;10,세트구성!$G$3:$G$302,0)),0),발주접수!$G68))</f>
        <v/>
      </c>
      <c r="O665" s="34" t="str">
        <f>IF($J665=FALSE(),"",발주접수!$B68)</f>
        <v/>
      </c>
      <c r="P665" s="34" t="str">
        <f>IF($J665=FALSE(),"",발주접수!$C68)</f>
        <v/>
      </c>
      <c r="Q665" s="34" t="str">
        <f>IF($J665=FALSE(),"",IF(발주접수!$F68="세트",발주접수!$E68&amp;" 전개","직접 발주"))</f>
        <v/>
      </c>
    </row>
    <row r="666" ht="15" customHeight="1" s="30">
      <c r="J666" s="50" t="b">
        <f>IF(발주접수!$D69="",FALSE(),IF(발주접수!$F69="세트",COUNTIF(세트구성!$G$3:$G$302,발주접수!$D69&amp;"|"&amp;1)&gt;0,0=0))</f>
        <v>0</v>
      </c>
      <c r="K666" s="34" t="str">
        <f>IF($J666=FALSE(),"",COUNTIF($J$6:$J666,TRUE()))</f>
        <v/>
      </c>
      <c r="L666" s="34" t="str">
        <f>IF($K666="","","R"&amp;$K666)</f>
        <v/>
      </c>
      <c r="M666" s="34" t="str">
        <f>IF($J666=FALSE(),"",IF(발주접수!$F69="세트",IFERROR(INDEX(세트구성!$C$3:$C$302,MATCH(발주접수!$D69&amp;"|"&amp;1,세트구성!$G$3:$G$302,0)),""),발주접수!$D69))</f>
        <v/>
      </c>
      <c r="N666" s="34" t="str">
        <f>IF($J666=FALSE(),"",IF(발주접수!$F69="세트",발주접수!$G69*IFERROR(INDEX(세트구성!$E$3:$E$302,MATCH(발주접수!$D69&amp;"|"&amp;1,세트구성!$G$3:$G$302,0)),0),발주접수!$G69))</f>
        <v/>
      </c>
      <c r="O666" s="34" t="str">
        <f>IF($J666=FALSE(),"",발주접수!$B69)</f>
        <v/>
      </c>
      <c r="P666" s="34" t="str">
        <f>IF($J666=FALSE(),"",발주접수!$C69)</f>
        <v/>
      </c>
      <c r="Q666" s="34" t="str">
        <f>IF($J666=FALSE(),"",IF(발주접수!$F69="세트",발주접수!$E69&amp;" 전개","직접 발주"))</f>
        <v/>
      </c>
    </row>
    <row r="667" ht="15" customHeight="1" s="30">
      <c r="J667" s="50" t="b">
        <f>IF(발주접수!$D69="",FALSE(),IF(발주접수!$F69="세트",COUNTIF(세트구성!$G$3:$G$302,발주접수!$D69&amp;"|"&amp;2)&gt;0,1=0))</f>
        <v>0</v>
      </c>
      <c r="K667" s="34" t="str">
        <f>IF($J667=FALSE(),"",COUNTIF($J$6:$J667,TRUE()))</f>
        <v/>
      </c>
      <c r="L667" s="34" t="str">
        <f>IF($K667="","","R"&amp;$K667)</f>
        <v/>
      </c>
      <c r="M667" s="34" t="str">
        <f>IF($J667=FALSE(),"",IF(발주접수!$F69="세트",IFERROR(INDEX(세트구성!$C$3:$C$302,MATCH(발주접수!$D69&amp;"|"&amp;2,세트구성!$G$3:$G$302,0)),""),발주접수!$D69))</f>
        <v/>
      </c>
      <c r="N667" s="34" t="str">
        <f>IF($J667=FALSE(),"",IF(발주접수!$F69="세트",발주접수!$G69*IFERROR(INDEX(세트구성!$E$3:$E$302,MATCH(발주접수!$D69&amp;"|"&amp;2,세트구성!$G$3:$G$302,0)),0),발주접수!$G69))</f>
        <v/>
      </c>
      <c r="O667" s="34" t="str">
        <f>IF($J667=FALSE(),"",발주접수!$B69)</f>
        <v/>
      </c>
      <c r="P667" s="34" t="str">
        <f>IF($J667=FALSE(),"",발주접수!$C69)</f>
        <v/>
      </c>
      <c r="Q667" s="34" t="str">
        <f>IF($J667=FALSE(),"",IF(발주접수!$F69="세트",발주접수!$E69&amp;" 전개","직접 발주"))</f>
        <v/>
      </c>
    </row>
    <row r="668" ht="15" customHeight="1" s="30">
      <c r="J668" s="50" t="b">
        <f>IF(발주접수!$D69="",FALSE(),IF(발주접수!$F69="세트",COUNTIF(세트구성!$G$3:$G$302,발주접수!$D69&amp;"|"&amp;3)&gt;0,2=0))</f>
        <v>0</v>
      </c>
      <c r="K668" s="34" t="str">
        <f>IF($J668=FALSE(),"",COUNTIF($J$6:$J668,TRUE()))</f>
        <v/>
      </c>
      <c r="L668" s="34" t="str">
        <f>IF($K668="","","R"&amp;$K668)</f>
        <v/>
      </c>
      <c r="M668" s="34" t="str">
        <f>IF($J668=FALSE(),"",IF(발주접수!$F69="세트",IFERROR(INDEX(세트구성!$C$3:$C$302,MATCH(발주접수!$D69&amp;"|"&amp;3,세트구성!$G$3:$G$302,0)),""),발주접수!$D69))</f>
        <v/>
      </c>
      <c r="N668" s="34" t="str">
        <f>IF($J668=FALSE(),"",IF(발주접수!$F69="세트",발주접수!$G69*IFERROR(INDEX(세트구성!$E$3:$E$302,MATCH(발주접수!$D69&amp;"|"&amp;3,세트구성!$G$3:$G$302,0)),0),발주접수!$G69))</f>
        <v/>
      </c>
      <c r="O668" s="34" t="str">
        <f>IF($J668=FALSE(),"",발주접수!$B69)</f>
        <v/>
      </c>
      <c r="P668" s="34" t="str">
        <f>IF($J668=FALSE(),"",발주접수!$C69)</f>
        <v/>
      </c>
      <c r="Q668" s="34" t="str">
        <f>IF($J668=FALSE(),"",IF(발주접수!$F69="세트",발주접수!$E69&amp;" 전개","직접 발주"))</f>
        <v/>
      </c>
    </row>
    <row r="669" ht="15" customHeight="1" s="30">
      <c r="J669" s="50" t="b">
        <f>IF(발주접수!$D69="",FALSE(),IF(발주접수!$F69="세트",COUNTIF(세트구성!$G$3:$G$302,발주접수!$D69&amp;"|"&amp;4)&gt;0,3=0))</f>
        <v>0</v>
      </c>
      <c r="K669" s="34" t="str">
        <f>IF($J669=FALSE(),"",COUNTIF($J$6:$J669,TRUE()))</f>
        <v/>
      </c>
      <c r="L669" s="34" t="str">
        <f>IF($K669="","","R"&amp;$K669)</f>
        <v/>
      </c>
      <c r="M669" s="34" t="str">
        <f>IF($J669=FALSE(),"",IF(발주접수!$F69="세트",IFERROR(INDEX(세트구성!$C$3:$C$302,MATCH(발주접수!$D69&amp;"|"&amp;4,세트구성!$G$3:$G$302,0)),""),발주접수!$D69))</f>
        <v/>
      </c>
      <c r="N669" s="34" t="str">
        <f>IF($J669=FALSE(),"",IF(발주접수!$F69="세트",발주접수!$G69*IFERROR(INDEX(세트구성!$E$3:$E$302,MATCH(발주접수!$D69&amp;"|"&amp;4,세트구성!$G$3:$G$302,0)),0),발주접수!$G69))</f>
        <v/>
      </c>
      <c r="O669" s="34" t="str">
        <f>IF($J669=FALSE(),"",발주접수!$B69)</f>
        <v/>
      </c>
      <c r="P669" s="34" t="str">
        <f>IF($J669=FALSE(),"",발주접수!$C69)</f>
        <v/>
      </c>
      <c r="Q669" s="34" t="str">
        <f>IF($J669=FALSE(),"",IF(발주접수!$F69="세트",발주접수!$E69&amp;" 전개","직접 발주"))</f>
        <v/>
      </c>
    </row>
    <row r="670" ht="15" customHeight="1" s="30">
      <c r="J670" s="50" t="b">
        <f>IF(발주접수!$D69="",FALSE(),IF(발주접수!$F69="세트",COUNTIF(세트구성!$G$3:$G$302,발주접수!$D69&amp;"|"&amp;5)&gt;0,4=0))</f>
        <v>0</v>
      </c>
      <c r="K670" s="34" t="str">
        <f>IF($J670=FALSE(),"",COUNTIF($J$6:$J670,TRUE()))</f>
        <v/>
      </c>
      <c r="L670" s="34" t="str">
        <f>IF($K670="","","R"&amp;$K670)</f>
        <v/>
      </c>
      <c r="M670" s="34" t="str">
        <f>IF($J670=FALSE(),"",IF(발주접수!$F69="세트",IFERROR(INDEX(세트구성!$C$3:$C$302,MATCH(발주접수!$D69&amp;"|"&amp;5,세트구성!$G$3:$G$302,0)),""),발주접수!$D69))</f>
        <v/>
      </c>
      <c r="N670" s="34" t="str">
        <f>IF($J670=FALSE(),"",IF(발주접수!$F69="세트",발주접수!$G69*IFERROR(INDEX(세트구성!$E$3:$E$302,MATCH(발주접수!$D69&amp;"|"&amp;5,세트구성!$G$3:$G$302,0)),0),발주접수!$G69))</f>
        <v/>
      </c>
      <c r="O670" s="34" t="str">
        <f>IF($J670=FALSE(),"",발주접수!$B69)</f>
        <v/>
      </c>
      <c r="P670" s="34" t="str">
        <f>IF($J670=FALSE(),"",발주접수!$C69)</f>
        <v/>
      </c>
      <c r="Q670" s="34" t="str">
        <f>IF($J670=FALSE(),"",IF(발주접수!$F69="세트",발주접수!$E69&amp;" 전개","직접 발주"))</f>
        <v/>
      </c>
    </row>
    <row r="671" ht="15" customHeight="1" s="30">
      <c r="J671" s="50" t="b">
        <f>IF(발주접수!$D69="",FALSE(),IF(발주접수!$F69="세트",COUNTIF(세트구성!$G$3:$G$302,발주접수!$D69&amp;"|"&amp;6)&gt;0,5=0))</f>
        <v>0</v>
      </c>
      <c r="K671" s="34" t="str">
        <f>IF($J671=FALSE(),"",COUNTIF($J$6:$J671,TRUE()))</f>
        <v/>
      </c>
      <c r="L671" s="34" t="str">
        <f>IF($K671="","","R"&amp;$K671)</f>
        <v/>
      </c>
      <c r="M671" s="34" t="str">
        <f>IF($J671=FALSE(),"",IF(발주접수!$F69="세트",IFERROR(INDEX(세트구성!$C$3:$C$302,MATCH(발주접수!$D69&amp;"|"&amp;6,세트구성!$G$3:$G$302,0)),""),발주접수!$D69))</f>
        <v/>
      </c>
      <c r="N671" s="34" t="str">
        <f>IF($J671=FALSE(),"",IF(발주접수!$F69="세트",발주접수!$G69*IFERROR(INDEX(세트구성!$E$3:$E$302,MATCH(발주접수!$D69&amp;"|"&amp;6,세트구성!$G$3:$G$302,0)),0),발주접수!$G69))</f>
        <v/>
      </c>
      <c r="O671" s="34" t="str">
        <f>IF($J671=FALSE(),"",발주접수!$B69)</f>
        <v/>
      </c>
      <c r="P671" s="34" t="str">
        <f>IF($J671=FALSE(),"",발주접수!$C69)</f>
        <v/>
      </c>
      <c r="Q671" s="34" t="str">
        <f>IF($J671=FALSE(),"",IF(발주접수!$F69="세트",발주접수!$E69&amp;" 전개","직접 발주"))</f>
        <v/>
      </c>
    </row>
    <row r="672" ht="15" customHeight="1" s="30">
      <c r="J672" s="50" t="b">
        <f>IF(발주접수!$D69="",FALSE(),IF(발주접수!$F69="세트",COUNTIF(세트구성!$G$3:$G$302,발주접수!$D69&amp;"|"&amp;7)&gt;0,6=0))</f>
        <v>0</v>
      </c>
      <c r="K672" s="34" t="str">
        <f>IF($J672=FALSE(),"",COUNTIF($J$6:$J672,TRUE()))</f>
        <v/>
      </c>
      <c r="L672" s="34" t="str">
        <f>IF($K672="","","R"&amp;$K672)</f>
        <v/>
      </c>
      <c r="M672" s="34" t="str">
        <f>IF($J672=FALSE(),"",IF(발주접수!$F69="세트",IFERROR(INDEX(세트구성!$C$3:$C$302,MATCH(발주접수!$D69&amp;"|"&amp;7,세트구성!$G$3:$G$302,0)),""),발주접수!$D69))</f>
        <v/>
      </c>
      <c r="N672" s="34" t="str">
        <f>IF($J672=FALSE(),"",IF(발주접수!$F69="세트",발주접수!$G69*IFERROR(INDEX(세트구성!$E$3:$E$302,MATCH(발주접수!$D69&amp;"|"&amp;7,세트구성!$G$3:$G$302,0)),0),발주접수!$G69))</f>
        <v/>
      </c>
      <c r="O672" s="34" t="str">
        <f>IF($J672=FALSE(),"",발주접수!$B69)</f>
        <v/>
      </c>
      <c r="P672" s="34" t="str">
        <f>IF($J672=FALSE(),"",발주접수!$C69)</f>
        <v/>
      </c>
      <c r="Q672" s="34" t="str">
        <f>IF($J672=FALSE(),"",IF(발주접수!$F69="세트",발주접수!$E69&amp;" 전개","직접 발주"))</f>
        <v/>
      </c>
    </row>
    <row r="673" ht="15" customHeight="1" s="30">
      <c r="J673" s="50" t="b">
        <f>IF(발주접수!$D69="",FALSE(),IF(발주접수!$F69="세트",COUNTIF(세트구성!$G$3:$G$302,발주접수!$D69&amp;"|"&amp;8)&gt;0,7=0))</f>
        <v>0</v>
      </c>
      <c r="K673" s="34" t="str">
        <f>IF($J673=FALSE(),"",COUNTIF($J$6:$J673,TRUE()))</f>
        <v/>
      </c>
      <c r="L673" s="34" t="str">
        <f>IF($K673="","","R"&amp;$K673)</f>
        <v/>
      </c>
      <c r="M673" s="34" t="str">
        <f>IF($J673=FALSE(),"",IF(발주접수!$F69="세트",IFERROR(INDEX(세트구성!$C$3:$C$302,MATCH(발주접수!$D69&amp;"|"&amp;8,세트구성!$G$3:$G$302,0)),""),발주접수!$D69))</f>
        <v/>
      </c>
      <c r="N673" s="34" t="str">
        <f>IF($J673=FALSE(),"",IF(발주접수!$F69="세트",발주접수!$G69*IFERROR(INDEX(세트구성!$E$3:$E$302,MATCH(발주접수!$D69&amp;"|"&amp;8,세트구성!$G$3:$G$302,0)),0),발주접수!$G69))</f>
        <v/>
      </c>
      <c r="O673" s="34" t="str">
        <f>IF($J673=FALSE(),"",발주접수!$B69)</f>
        <v/>
      </c>
      <c r="P673" s="34" t="str">
        <f>IF($J673=FALSE(),"",발주접수!$C69)</f>
        <v/>
      </c>
      <c r="Q673" s="34" t="str">
        <f>IF($J673=FALSE(),"",IF(발주접수!$F69="세트",발주접수!$E69&amp;" 전개","직접 발주"))</f>
        <v/>
      </c>
    </row>
    <row r="674" ht="15" customHeight="1" s="30">
      <c r="J674" s="50" t="b">
        <f>IF(발주접수!$D69="",FALSE(),IF(발주접수!$F69="세트",COUNTIF(세트구성!$G$3:$G$302,발주접수!$D69&amp;"|"&amp;9)&gt;0,8=0))</f>
        <v>0</v>
      </c>
      <c r="K674" s="34" t="str">
        <f>IF($J674=FALSE(),"",COUNTIF($J$6:$J674,TRUE()))</f>
        <v/>
      </c>
      <c r="L674" s="34" t="str">
        <f>IF($K674="","","R"&amp;$K674)</f>
        <v/>
      </c>
      <c r="M674" s="34" t="str">
        <f>IF($J674=FALSE(),"",IF(발주접수!$F69="세트",IFERROR(INDEX(세트구성!$C$3:$C$302,MATCH(발주접수!$D69&amp;"|"&amp;9,세트구성!$G$3:$G$302,0)),""),발주접수!$D69))</f>
        <v/>
      </c>
      <c r="N674" s="34" t="str">
        <f>IF($J674=FALSE(),"",IF(발주접수!$F69="세트",발주접수!$G69*IFERROR(INDEX(세트구성!$E$3:$E$302,MATCH(발주접수!$D69&amp;"|"&amp;9,세트구성!$G$3:$G$302,0)),0),발주접수!$G69))</f>
        <v/>
      </c>
      <c r="O674" s="34" t="str">
        <f>IF($J674=FALSE(),"",발주접수!$B69)</f>
        <v/>
      </c>
      <c r="P674" s="34" t="str">
        <f>IF($J674=FALSE(),"",발주접수!$C69)</f>
        <v/>
      </c>
      <c r="Q674" s="34" t="str">
        <f>IF($J674=FALSE(),"",IF(발주접수!$F69="세트",발주접수!$E69&amp;" 전개","직접 발주"))</f>
        <v/>
      </c>
    </row>
    <row r="675" ht="15" customHeight="1" s="30">
      <c r="J675" s="50" t="b">
        <f>IF(발주접수!$D69="",FALSE(),IF(발주접수!$F69="세트",COUNTIF(세트구성!$G$3:$G$302,발주접수!$D69&amp;"|"&amp;10)&gt;0,9=0))</f>
        <v>0</v>
      </c>
      <c r="K675" s="34" t="str">
        <f>IF($J675=FALSE(),"",COUNTIF($J$6:$J675,TRUE()))</f>
        <v/>
      </c>
      <c r="L675" s="34" t="str">
        <f>IF($K675="","","R"&amp;$K675)</f>
        <v/>
      </c>
      <c r="M675" s="34" t="str">
        <f>IF($J675=FALSE(),"",IF(발주접수!$F69="세트",IFERROR(INDEX(세트구성!$C$3:$C$302,MATCH(발주접수!$D69&amp;"|"&amp;10,세트구성!$G$3:$G$302,0)),""),발주접수!$D69))</f>
        <v/>
      </c>
      <c r="N675" s="34" t="str">
        <f>IF($J675=FALSE(),"",IF(발주접수!$F69="세트",발주접수!$G69*IFERROR(INDEX(세트구성!$E$3:$E$302,MATCH(발주접수!$D69&amp;"|"&amp;10,세트구성!$G$3:$G$302,0)),0),발주접수!$G69))</f>
        <v/>
      </c>
      <c r="O675" s="34" t="str">
        <f>IF($J675=FALSE(),"",발주접수!$B69)</f>
        <v/>
      </c>
      <c r="P675" s="34" t="str">
        <f>IF($J675=FALSE(),"",발주접수!$C69)</f>
        <v/>
      </c>
      <c r="Q675" s="34" t="str">
        <f>IF($J675=FALSE(),"",IF(발주접수!$F69="세트",발주접수!$E69&amp;" 전개","직접 발주"))</f>
        <v/>
      </c>
    </row>
    <row r="676" ht="15" customHeight="1" s="30">
      <c r="J676" s="50" t="b">
        <f>IF(발주접수!$D70="",FALSE(),IF(발주접수!$F70="세트",COUNTIF(세트구성!$G$3:$G$302,발주접수!$D70&amp;"|"&amp;1)&gt;0,0=0))</f>
        <v>0</v>
      </c>
      <c r="K676" s="34" t="str">
        <f>IF($J676=FALSE(),"",COUNTIF($J$6:$J676,TRUE()))</f>
        <v/>
      </c>
      <c r="L676" s="34" t="str">
        <f>IF($K676="","","R"&amp;$K676)</f>
        <v/>
      </c>
      <c r="M676" s="34" t="str">
        <f>IF($J676=FALSE(),"",IF(발주접수!$F70="세트",IFERROR(INDEX(세트구성!$C$3:$C$302,MATCH(발주접수!$D70&amp;"|"&amp;1,세트구성!$G$3:$G$302,0)),""),발주접수!$D70))</f>
        <v/>
      </c>
      <c r="N676" s="34" t="str">
        <f>IF($J676=FALSE(),"",IF(발주접수!$F70="세트",발주접수!$G70*IFERROR(INDEX(세트구성!$E$3:$E$302,MATCH(발주접수!$D70&amp;"|"&amp;1,세트구성!$G$3:$G$302,0)),0),발주접수!$G70))</f>
        <v/>
      </c>
      <c r="O676" s="34" t="str">
        <f>IF($J676=FALSE(),"",발주접수!$B70)</f>
        <v/>
      </c>
      <c r="P676" s="34" t="str">
        <f>IF($J676=FALSE(),"",발주접수!$C70)</f>
        <v/>
      </c>
      <c r="Q676" s="34" t="str">
        <f>IF($J676=FALSE(),"",IF(발주접수!$F70="세트",발주접수!$E70&amp;" 전개","직접 발주"))</f>
        <v/>
      </c>
    </row>
    <row r="677" ht="15" customHeight="1" s="30">
      <c r="J677" s="50" t="b">
        <f>IF(발주접수!$D70="",FALSE(),IF(발주접수!$F70="세트",COUNTIF(세트구성!$G$3:$G$302,발주접수!$D70&amp;"|"&amp;2)&gt;0,1=0))</f>
        <v>0</v>
      </c>
      <c r="K677" s="34" t="str">
        <f>IF($J677=FALSE(),"",COUNTIF($J$6:$J677,TRUE()))</f>
        <v/>
      </c>
      <c r="L677" s="34" t="str">
        <f>IF($K677="","","R"&amp;$K677)</f>
        <v/>
      </c>
      <c r="M677" s="34" t="str">
        <f>IF($J677=FALSE(),"",IF(발주접수!$F70="세트",IFERROR(INDEX(세트구성!$C$3:$C$302,MATCH(발주접수!$D70&amp;"|"&amp;2,세트구성!$G$3:$G$302,0)),""),발주접수!$D70))</f>
        <v/>
      </c>
      <c r="N677" s="34" t="str">
        <f>IF($J677=FALSE(),"",IF(발주접수!$F70="세트",발주접수!$G70*IFERROR(INDEX(세트구성!$E$3:$E$302,MATCH(발주접수!$D70&amp;"|"&amp;2,세트구성!$G$3:$G$302,0)),0),발주접수!$G70))</f>
        <v/>
      </c>
      <c r="O677" s="34" t="str">
        <f>IF($J677=FALSE(),"",발주접수!$B70)</f>
        <v/>
      </c>
      <c r="P677" s="34" t="str">
        <f>IF($J677=FALSE(),"",발주접수!$C70)</f>
        <v/>
      </c>
      <c r="Q677" s="34" t="str">
        <f>IF($J677=FALSE(),"",IF(발주접수!$F70="세트",발주접수!$E70&amp;" 전개","직접 발주"))</f>
        <v/>
      </c>
    </row>
    <row r="678" ht="15" customHeight="1" s="30">
      <c r="J678" s="50" t="b">
        <f>IF(발주접수!$D70="",FALSE(),IF(발주접수!$F70="세트",COUNTIF(세트구성!$G$3:$G$302,발주접수!$D70&amp;"|"&amp;3)&gt;0,2=0))</f>
        <v>0</v>
      </c>
      <c r="K678" s="34" t="str">
        <f>IF($J678=FALSE(),"",COUNTIF($J$6:$J678,TRUE()))</f>
        <v/>
      </c>
      <c r="L678" s="34" t="str">
        <f>IF($K678="","","R"&amp;$K678)</f>
        <v/>
      </c>
      <c r="M678" s="34" t="str">
        <f>IF($J678=FALSE(),"",IF(발주접수!$F70="세트",IFERROR(INDEX(세트구성!$C$3:$C$302,MATCH(발주접수!$D70&amp;"|"&amp;3,세트구성!$G$3:$G$302,0)),""),발주접수!$D70))</f>
        <v/>
      </c>
      <c r="N678" s="34" t="str">
        <f>IF($J678=FALSE(),"",IF(발주접수!$F70="세트",발주접수!$G70*IFERROR(INDEX(세트구성!$E$3:$E$302,MATCH(발주접수!$D70&amp;"|"&amp;3,세트구성!$G$3:$G$302,0)),0),발주접수!$G70))</f>
        <v/>
      </c>
      <c r="O678" s="34" t="str">
        <f>IF($J678=FALSE(),"",발주접수!$B70)</f>
        <v/>
      </c>
      <c r="P678" s="34" t="str">
        <f>IF($J678=FALSE(),"",발주접수!$C70)</f>
        <v/>
      </c>
      <c r="Q678" s="34" t="str">
        <f>IF($J678=FALSE(),"",IF(발주접수!$F70="세트",발주접수!$E70&amp;" 전개","직접 발주"))</f>
        <v/>
      </c>
    </row>
    <row r="679" ht="15" customHeight="1" s="30">
      <c r="J679" s="50" t="b">
        <f>IF(발주접수!$D70="",FALSE(),IF(발주접수!$F70="세트",COUNTIF(세트구성!$G$3:$G$302,발주접수!$D70&amp;"|"&amp;4)&gt;0,3=0))</f>
        <v>0</v>
      </c>
      <c r="K679" s="34" t="str">
        <f>IF($J679=FALSE(),"",COUNTIF($J$6:$J679,TRUE()))</f>
        <v/>
      </c>
      <c r="L679" s="34" t="str">
        <f>IF($K679="","","R"&amp;$K679)</f>
        <v/>
      </c>
      <c r="M679" s="34" t="str">
        <f>IF($J679=FALSE(),"",IF(발주접수!$F70="세트",IFERROR(INDEX(세트구성!$C$3:$C$302,MATCH(발주접수!$D70&amp;"|"&amp;4,세트구성!$G$3:$G$302,0)),""),발주접수!$D70))</f>
        <v/>
      </c>
      <c r="N679" s="34" t="str">
        <f>IF($J679=FALSE(),"",IF(발주접수!$F70="세트",발주접수!$G70*IFERROR(INDEX(세트구성!$E$3:$E$302,MATCH(발주접수!$D70&amp;"|"&amp;4,세트구성!$G$3:$G$302,0)),0),발주접수!$G70))</f>
        <v/>
      </c>
      <c r="O679" s="34" t="str">
        <f>IF($J679=FALSE(),"",발주접수!$B70)</f>
        <v/>
      </c>
      <c r="P679" s="34" t="str">
        <f>IF($J679=FALSE(),"",발주접수!$C70)</f>
        <v/>
      </c>
      <c r="Q679" s="34" t="str">
        <f>IF($J679=FALSE(),"",IF(발주접수!$F70="세트",발주접수!$E70&amp;" 전개","직접 발주"))</f>
        <v/>
      </c>
    </row>
    <row r="680" ht="15" customHeight="1" s="30">
      <c r="J680" s="50" t="b">
        <f>IF(발주접수!$D70="",FALSE(),IF(발주접수!$F70="세트",COUNTIF(세트구성!$G$3:$G$302,발주접수!$D70&amp;"|"&amp;5)&gt;0,4=0))</f>
        <v>0</v>
      </c>
      <c r="K680" s="34" t="str">
        <f>IF($J680=FALSE(),"",COUNTIF($J$6:$J680,TRUE()))</f>
        <v/>
      </c>
      <c r="L680" s="34" t="str">
        <f>IF($K680="","","R"&amp;$K680)</f>
        <v/>
      </c>
      <c r="M680" s="34" t="str">
        <f>IF($J680=FALSE(),"",IF(발주접수!$F70="세트",IFERROR(INDEX(세트구성!$C$3:$C$302,MATCH(발주접수!$D70&amp;"|"&amp;5,세트구성!$G$3:$G$302,0)),""),발주접수!$D70))</f>
        <v/>
      </c>
      <c r="N680" s="34" t="str">
        <f>IF($J680=FALSE(),"",IF(발주접수!$F70="세트",발주접수!$G70*IFERROR(INDEX(세트구성!$E$3:$E$302,MATCH(발주접수!$D70&amp;"|"&amp;5,세트구성!$G$3:$G$302,0)),0),발주접수!$G70))</f>
        <v/>
      </c>
      <c r="O680" s="34" t="str">
        <f>IF($J680=FALSE(),"",발주접수!$B70)</f>
        <v/>
      </c>
      <c r="P680" s="34" t="str">
        <f>IF($J680=FALSE(),"",발주접수!$C70)</f>
        <v/>
      </c>
      <c r="Q680" s="34" t="str">
        <f>IF($J680=FALSE(),"",IF(발주접수!$F70="세트",발주접수!$E70&amp;" 전개","직접 발주"))</f>
        <v/>
      </c>
    </row>
    <row r="681" ht="15" customHeight="1" s="30">
      <c r="J681" s="50" t="b">
        <f>IF(발주접수!$D70="",FALSE(),IF(발주접수!$F70="세트",COUNTIF(세트구성!$G$3:$G$302,발주접수!$D70&amp;"|"&amp;6)&gt;0,5=0))</f>
        <v>0</v>
      </c>
      <c r="K681" s="34" t="str">
        <f>IF($J681=FALSE(),"",COUNTIF($J$6:$J681,TRUE()))</f>
        <v/>
      </c>
      <c r="L681" s="34" t="str">
        <f>IF($K681="","","R"&amp;$K681)</f>
        <v/>
      </c>
      <c r="M681" s="34" t="str">
        <f>IF($J681=FALSE(),"",IF(발주접수!$F70="세트",IFERROR(INDEX(세트구성!$C$3:$C$302,MATCH(발주접수!$D70&amp;"|"&amp;6,세트구성!$G$3:$G$302,0)),""),발주접수!$D70))</f>
        <v/>
      </c>
      <c r="N681" s="34" t="str">
        <f>IF($J681=FALSE(),"",IF(발주접수!$F70="세트",발주접수!$G70*IFERROR(INDEX(세트구성!$E$3:$E$302,MATCH(발주접수!$D70&amp;"|"&amp;6,세트구성!$G$3:$G$302,0)),0),발주접수!$G70))</f>
        <v/>
      </c>
      <c r="O681" s="34" t="str">
        <f>IF($J681=FALSE(),"",발주접수!$B70)</f>
        <v/>
      </c>
      <c r="P681" s="34" t="str">
        <f>IF($J681=FALSE(),"",발주접수!$C70)</f>
        <v/>
      </c>
      <c r="Q681" s="34" t="str">
        <f>IF($J681=FALSE(),"",IF(발주접수!$F70="세트",발주접수!$E70&amp;" 전개","직접 발주"))</f>
        <v/>
      </c>
    </row>
    <row r="682" ht="15" customHeight="1" s="30">
      <c r="J682" s="50" t="b">
        <f>IF(발주접수!$D70="",FALSE(),IF(발주접수!$F70="세트",COUNTIF(세트구성!$G$3:$G$302,발주접수!$D70&amp;"|"&amp;7)&gt;0,6=0))</f>
        <v>0</v>
      </c>
      <c r="K682" s="34" t="str">
        <f>IF($J682=FALSE(),"",COUNTIF($J$6:$J682,TRUE()))</f>
        <v/>
      </c>
      <c r="L682" s="34" t="str">
        <f>IF($K682="","","R"&amp;$K682)</f>
        <v/>
      </c>
      <c r="M682" s="34" t="str">
        <f>IF($J682=FALSE(),"",IF(발주접수!$F70="세트",IFERROR(INDEX(세트구성!$C$3:$C$302,MATCH(발주접수!$D70&amp;"|"&amp;7,세트구성!$G$3:$G$302,0)),""),발주접수!$D70))</f>
        <v/>
      </c>
      <c r="N682" s="34" t="str">
        <f>IF($J682=FALSE(),"",IF(발주접수!$F70="세트",발주접수!$G70*IFERROR(INDEX(세트구성!$E$3:$E$302,MATCH(발주접수!$D70&amp;"|"&amp;7,세트구성!$G$3:$G$302,0)),0),발주접수!$G70))</f>
        <v/>
      </c>
      <c r="O682" s="34" t="str">
        <f>IF($J682=FALSE(),"",발주접수!$B70)</f>
        <v/>
      </c>
      <c r="P682" s="34" t="str">
        <f>IF($J682=FALSE(),"",발주접수!$C70)</f>
        <v/>
      </c>
      <c r="Q682" s="34" t="str">
        <f>IF($J682=FALSE(),"",IF(발주접수!$F70="세트",발주접수!$E70&amp;" 전개","직접 발주"))</f>
        <v/>
      </c>
    </row>
    <row r="683" ht="15" customHeight="1" s="30">
      <c r="J683" s="50" t="b">
        <f>IF(발주접수!$D70="",FALSE(),IF(발주접수!$F70="세트",COUNTIF(세트구성!$G$3:$G$302,발주접수!$D70&amp;"|"&amp;8)&gt;0,7=0))</f>
        <v>0</v>
      </c>
      <c r="K683" s="34" t="str">
        <f>IF($J683=FALSE(),"",COUNTIF($J$6:$J683,TRUE()))</f>
        <v/>
      </c>
      <c r="L683" s="34" t="str">
        <f>IF($K683="","","R"&amp;$K683)</f>
        <v/>
      </c>
      <c r="M683" s="34" t="str">
        <f>IF($J683=FALSE(),"",IF(발주접수!$F70="세트",IFERROR(INDEX(세트구성!$C$3:$C$302,MATCH(발주접수!$D70&amp;"|"&amp;8,세트구성!$G$3:$G$302,0)),""),발주접수!$D70))</f>
        <v/>
      </c>
      <c r="N683" s="34" t="str">
        <f>IF($J683=FALSE(),"",IF(발주접수!$F70="세트",발주접수!$G70*IFERROR(INDEX(세트구성!$E$3:$E$302,MATCH(발주접수!$D70&amp;"|"&amp;8,세트구성!$G$3:$G$302,0)),0),발주접수!$G70))</f>
        <v/>
      </c>
      <c r="O683" s="34" t="str">
        <f>IF($J683=FALSE(),"",발주접수!$B70)</f>
        <v/>
      </c>
      <c r="P683" s="34" t="str">
        <f>IF($J683=FALSE(),"",발주접수!$C70)</f>
        <v/>
      </c>
      <c r="Q683" s="34" t="str">
        <f>IF($J683=FALSE(),"",IF(발주접수!$F70="세트",발주접수!$E70&amp;" 전개","직접 발주"))</f>
        <v/>
      </c>
    </row>
    <row r="684" ht="15" customHeight="1" s="30">
      <c r="J684" s="50" t="b">
        <f>IF(발주접수!$D70="",FALSE(),IF(발주접수!$F70="세트",COUNTIF(세트구성!$G$3:$G$302,발주접수!$D70&amp;"|"&amp;9)&gt;0,8=0))</f>
        <v>0</v>
      </c>
      <c r="K684" s="34" t="str">
        <f>IF($J684=FALSE(),"",COUNTIF($J$6:$J684,TRUE()))</f>
        <v/>
      </c>
      <c r="L684" s="34" t="str">
        <f>IF($K684="","","R"&amp;$K684)</f>
        <v/>
      </c>
      <c r="M684" s="34" t="str">
        <f>IF($J684=FALSE(),"",IF(발주접수!$F70="세트",IFERROR(INDEX(세트구성!$C$3:$C$302,MATCH(발주접수!$D70&amp;"|"&amp;9,세트구성!$G$3:$G$302,0)),""),발주접수!$D70))</f>
        <v/>
      </c>
      <c r="N684" s="34" t="str">
        <f>IF($J684=FALSE(),"",IF(발주접수!$F70="세트",발주접수!$G70*IFERROR(INDEX(세트구성!$E$3:$E$302,MATCH(발주접수!$D70&amp;"|"&amp;9,세트구성!$G$3:$G$302,0)),0),발주접수!$G70))</f>
        <v/>
      </c>
      <c r="O684" s="34" t="str">
        <f>IF($J684=FALSE(),"",발주접수!$B70)</f>
        <v/>
      </c>
      <c r="P684" s="34" t="str">
        <f>IF($J684=FALSE(),"",발주접수!$C70)</f>
        <v/>
      </c>
      <c r="Q684" s="34" t="str">
        <f>IF($J684=FALSE(),"",IF(발주접수!$F70="세트",발주접수!$E70&amp;" 전개","직접 발주"))</f>
        <v/>
      </c>
    </row>
    <row r="685" ht="15" customHeight="1" s="30">
      <c r="J685" s="50" t="b">
        <f>IF(발주접수!$D70="",FALSE(),IF(발주접수!$F70="세트",COUNTIF(세트구성!$G$3:$G$302,발주접수!$D70&amp;"|"&amp;10)&gt;0,9=0))</f>
        <v>0</v>
      </c>
      <c r="K685" s="34" t="str">
        <f>IF($J685=FALSE(),"",COUNTIF($J$6:$J685,TRUE()))</f>
        <v/>
      </c>
      <c r="L685" s="34" t="str">
        <f>IF($K685="","","R"&amp;$K685)</f>
        <v/>
      </c>
      <c r="M685" s="34" t="str">
        <f>IF($J685=FALSE(),"",IF(발주접수!$F70="세트",IFERROR(INDEX(세트구성!$C$3:$C$302,MATCH(발주접수!$D70&amp;"|"&amp;10,세트구성!$G$3:$G$302,0)),""),발주접수!$D70))</f>
        <v/>
      </c>
      <c r="N685" s="34" t="str">
        <f>IF($J685=FALSE(),"",IF(발주접수!$F70="세트",발주접수!$G70*IFERROR(INDEX(세트구성!$E$3:$E$302,MATCH(발주접수!$D70&amp;"|"&amp;10,세트구성!$G$3:$G$302,0)),0),발주접수!$G70))</f>
        <v/>
      </c>
      <c r="O685" s="34" t="str">
        <f>IF($J685=FALSE(),"",발주접수!$B70)</f>
        <v/>
      </c>
      <c r="P685" s="34" t="str">
        <f>IF($J685=FALSE(),"",발주접수!$C70)</f>
        <v/>
      </c>
      <c r="Q685" s="34" t="str">
        <f>IF($J685=FALSE(),"",IF(발주접수!$F70="세트",발주접수!$E70&amp;" 전개","직접 발주"))</f>
        <v/>
      </c>
    </row>
    <row r="686" ht="15" customHeight="1" s="30">
      <c r="J686" s="50" t="b">
        <f>IF(발주접수!$D71="",FALSE(),IF(발주접수!$F71="세트",COUNTIF(세트구성!$G$3:$G$302,발주접수!$D71&amp;"|"&amp;1)&gt;0,0=0))</f>
        <v>0</v>
      </c>
      <c r="K686" s="34" t="str">
        <f>IF($J686=FALSE(),"",COUNTIF($J$6:$J686,TRUE()))</f>
        <v/>
      </c>
      <c r="L686" s="34" t="str">
        <f>IF($K686="","","R"&amp;$K686)</f>
        <v/>
      </c>
      <c r="M686" s="34" t="str">
        <f>IF($J686=FALSE(),"",IF(발주접수!$F71="세트",IFERROR(INDEX(세트구성!$C$3:$C$302,MATCH(발주접수!$D71&amp;"|"&amp;1,세트구성!$G$3:$G$302,0)),""),발주접수!$D71))</f>
        <v/>
      </c>
      <c r="N686" s="34" t="str">
        <f>IF($J686=FALSE(),"",IF(발주접수!$F71="세트",발주접수!$G71*IFERROR(INDEX(세트구성!$E$3:$E$302,MATCH(발주접수!$D71&amp;"|"&amp;1,세트구성!$G$3:$G$302,0)),0),발주접수!$G71))</f>
        <v/>
      </c>
      <c r="O686" s="34" t="str">
        <f>IF($J686=FALSE(),"",발주접수!$B71)</f>
        <v/>
      </c>
      <c r="P686" s="34" t="str">
        <f>IF($J686=FALSE(),"",발주접수!$C71)</f>
        <v/>
      </c>
      <c r="Q686" s="34" t="str">
        <f>IF($J686=FALSE(),"",IF(발주접수!$F71="세트",발주접수!$E71&amp;" 전개","직접 발주"))</f>
        <v/>
      </c>
    </row>
    <row r="687" ht="15" customHeight="1" s="30">
      <c r="J687" s="50" t="b">
        <f>IF(발주접수!$D71="",FALSE(),IF(발주접수!$F71="세트",COUNTIF(세트구성!$G$3:$G$302,발주접수!$D71&amp;"|"&amp;2)&gt;0,1=0))</f>
        <v>0</v>
      </c>
      <c r="K687" s="34" t="str">
        <f>IF($J687=FALSE(),"",COUNTIF($J$6:$J687,TRUE()))</f>
        <v/>
      </c>
      <c r="L687" s="34" t="str">
        <f>IF($K687="","","R"&amp;$K687)</f>
        <v/>
      </c>
      <c r="M687" s="34" t="str">
        <f>IF($J687=FALSE(),"",IF(발주접수!$F71="세트",IFERROR(INDEX(세트구성!$C$3:$C$302,MATCH(발주접수!$D71&amp;"|"&amp;2,세트구성!$G$3:$G$302,0)),""),발주접수!$D71))</f>
        <v/>
      </c>
      <c r="N687" s="34" t="str">
        <f>IF($J687=FALSE(),"",IF(발주접수!$F71="세트",발주접수!$G71*IFERROR(INDEX(세트구성!$E$3:$E$302,MATCH(발주접수!$D71&amp;"|"&amp;2,세트구성!$G$3:$G$302,0)),0),발주접수!$G71))</f>
        <v/>
      </c>
      <c r="O687" s="34" t="str">
        <f>IF($J687=FALSE(),"",발주접수!$B71)</f>
        <v/>
      </c>
      <c r="P687" s="34" t="str">
        <f>IF($J687=FALSE(),"",발주접수!$C71)</f>
        <v/>
      </c>
      <c r="Q687" s="34" t="str">
        <f>IF($J687=FALSE(),"",IF(발주접수!$F71="세트",발주접수!$E71&amp;" 전개","직접 발주"))</f>
        <v/>
      </c>
    </row>
    <row r="688" ht="15" customHeight="1" s="30">
      <c r="J688" s="50" t="b">
        <f>IF(발주접수!$D71="",FALSE(),IF(발주접수!$F71="세트",COUNTIF(세트구성!$G$3:$G$302,발주접수!$D71&amp;"|"&amp;3)&gt;0,2=0))</f>
        <v>0</v>
      </c>
      <c r="K688" s="34" t="str">
        <f>IF($J688=FALSE(),"",COUNTIF($J$6:$J688,TRUE()))</f>
        <v/>
      </c>
      <c r="L688" s="34" t="str">
        <f>IF($K688="","","R"&amp;$K688)</f>
        <v/>
      </c>
      <c r="M688" s="34" t="str">
        <f>IF($J688=FALSE(),"",IF(발주접수!$F71="세트",IFERROR(INDEX(세트구성!$C$3:$C$302,MATCH(발주접수!$D71&amp;"|"&amp;3,세트구성!$G$3:$G$302,0)),""),발주접수!$D71))</f>
        <v/>
      </c>
      <c r="N688" s="34" t="str">
        <f>IF($J688=FALSE(),"",IF(발주접수!$F71="세트",발주접수!$G71*IFERROR(INDEX(세트구성!$E$3:$E$302,MATCH(발주접수!$D71&amp;"|"&amp;3,세트구성!$G$3:$G$302,0)),0),발주접수!$G71))</f>
        <v/>
      </c>
      <c r="O688" s="34" t="str">
        <f>IF($J688=FALSE(),"",발주접수!$B71)</f>
        <v/>
      </c>
      <c r="P688" s="34" t="str">
        <f>IF($J688=FALSE(),"",발주접수!$C71)</f>
        <v/>
      </c>
      <c r="Q688" s="34" t="str">
        <f>IF($J688=FALSE(),"",IF(발주접수!$F71="세트",발주접수!$E71&amp;" 전개","직접 발주"))</f>
        <v/>
      </c>
    </row>
    <row r="689" ht="15" customHeight="1" s="30">
      <c r="J689" s="50" t="b">
        <f>IF(발주접수!$D71="",FALSE(),IF(발주접수!$F71="세트",COUNTIF(세트구성!$G$3:$G$302,발주접수!$D71&amp;"|"&amp;4)&gt;0,3=0))</f>
        <v>0</v>
      </c>
      <c r="K689" s="34" t="str">
        <f>IF($J689=FALSE(),"",COUNTIF($J$6:$J689,TRUE()))</f>
        <v/>
      </c>
      <c r="L689" s="34" t="str">
        <f>IF($K689="","","R"&amp;$K689)</f>
        <v/>
      </c>
      <c r="M689" s="34" t="str">
        <f>IF($J689=FALSE(),"",IF(발주접수!$F71="세트",IFERROR(INDEX(세트구성!$C$3:$C$302,MATCH(발주접수!$D71&amp;"|"&amp;4,세트구성!$G$3:$G$302,0)),""),발주접수!$D71))</f>
        <v/>
      </c>
      <c r="N689" s="34" t="str">
        <f>IF($J689=FALSE(),"",IF(발주접수!$F71="세트",발주접수!$G71*IFERROR(INDEX(세트구성!$E$3:$E$302,MATCH(발주접수!$D71&amp;"|"&amp;4,세트구성!$G$3:$G$302,0)),0),발주접수!$G71))</f>
        <v/>
      </c>
      <c r="O689" s="34" t="str">
        <f>IF($J689=FALSE(),"",발주접수!$B71)</f>
        <v/>
      </c>
      <c r="P689" s="34" t="str">
        <f>IF($J689=FALSE(),"",발주접수!$C71)</f>
        <v/>
      </c>
      <c r="Q689" s="34" t="str">
        <f>IF($J689=FALSE(),"",IF(발주접수!$F71="세트",발주접수!$E71&amp;" 전개","직접 발주"))</f>
        <v/>
      </c>
    </row>
    <row r="690" ht="15" customHeight="1" s="30">
      <c r="J690" s="50" t="b">
        <f>IF(발주접수!$D71="",FALSE(),IF(발주접수!$F71="세트",COUNTIF(세트구성!$G$3:$G$302,발주접수!$D71&amp;"|"&amp;5)&gt;0,4=0))</f>
        <v>0</v>
      </c>
      <c r="K690" s="34" t="str">
        <f>IF($J690=FALSE(),"",COUNTIF($J$6:$J690,TRUE()))</f>
        <v/>
      </c>
      <c r="L690" s="34" t="str">
        <f>IF($K690="","","R"&amp;$K690)</f>
        <v/>
      </c>
      <c r="M690" s="34" t="str">
        <f>IF($J690=FALSE(),"",IF(발주접수!$F71="세트",IFERROR(INDEX(세트구성!$C$3:$C$302,MATCH(발주접수!$D71&amp;"|"&amp;5,세트구성!$G$3:$G$302,0)),""),발주접수!$D71))</f>
        <v/>
      </c>
      <c r="N690" s="34" t="str">
        <f>IF($J690=FALSE(),"",IF(발주접수!$F71="세트",발주접수!$G71*IFERROR(INDEX(세트구성!$E$3:$E$302,MATCH(발주접수!$D71&amp;"|"&amp;5,세트구성!$G$3:$G$302,0)),0),발주접수!$G71))</f>
        <v/>
      </c>
      <c r="O690" s="34" t="str">
        <f>IF($J690=FALSE(),"",발주접수!$B71)</f>
        <v/>
      </c>
      <c r="P690" s="34" t="str">
        <f>IF($J690=FALSE(),"",발주접수!$C71)</f>
        <v/>
      </c>
      <c r="Q690" s="34" t="str">
        <f>IF($J690=FALSE(),"",IF(발주접수!$F71="세트",발주접수!$E71&amp;" 전개","직접 발주"))</f>
        <v/>
      </c>
    </row>
    <row r="691" ht="15" customHeight="1" s="30">
      <c r="J691" s="50" t="b">
        <f>IF(발주접수!$D71="",FALSE(),IF(발주접수!$F71="세트",COUNTIF(세트구성!$G$3:$G$302,발주접수!$D71&amp;"|"&amp;6)&gt;0,5=0))</f>
        <v>0</v>
      </c>
      <c r="K691" s="34" t="str">
        <f>IF($J691=FALSE(),"",COUNTIF($J$6:$J691,TRUE()))</f>
        <v/>
      </c>
      <c r="L691" s="34" t="str">
        <f>IF($K691="","","R"&amp;$K691)</f>
        <v/>
      </c>
      <c r="M691" s="34" t="str">
        <f>IF($J691=FALSE(),"",IF(발주접수!$F71="세트",IFERROR(INDEX(세트구성!$C$3:$C$302,MATCH(발주접수!$D71&amp;"|"&amp;6,세트구성!$G$3:$G$302,0)),""),발주접수!$D71))</f>
        <v/>
      </c>
      <c r="N691" s="34" t="str">
        <f>IF($J691=FALSE(),"",IF(발주접수!$F71="세트",발주접수!$G71*IFERROR(INDEX(세트구성!$E$3:$E$302,MATCH(발주접수!$D71&amp;"|"&amp;6,세트구성!$G$3:$G$302,0)),0),발주접수!$G71))</f>
        <v/>
      </c>
      <c r="O691" s="34" t="str">
        <f>IF($J691=FALSE(),"",발주접수!$B71)</f>
        <v/>
      </c>
      <c r="P691" s="34" t="str">
        <f>IF($J691=FALSE(),"",발주접수!$C71)</f>
        <v/>
      </c>
      <c r="Q691" s="34" t="str">
        <f>IF($J691=FALSE(),"",IF(발주접수!$F71="세트",발주접수!$E71&amp;" 전개","직접 발주"))</f>
        <v/>
      </c>
    </row>
    <row r="692" ht="15" customHeight="1" s="30">
      <c r="J692" s="50" t="b">
        <f>IF(발주접수!$D71="",FALSE(),IF(발주접수!$F71="세트",COUNTIF(세트구성!$G$3:$G$302,발주접수!$D71&amp;"|"&amp;7)&gt;0,6=0))</f>
        <v>0</v>
      </c>
      <c r="K692" s="34" t="str">
        <f>IF($J692=FALSE(),"",COUNTIF($J$6:$J692,TRUE()))</f>
        <v/>
      </c>
      <c r="L692" s="34" t="str">
        <f>IF($K692="","","R"&amp;$K692)</f>
        <v/>
      </c>
      <c r="M692" s="34" t="str">
        <f>IF($J692=FALSE(),"",IF(발주접수!$F71="세트",IFERROR(INDEX(세트구성!$C$3:$C$302,MATCH(발주접수!$D71&amp;"|"&amp;7,세트구성!$G$3:$G$302,0)),""),발주접수!$D71))</f>
        <v/>
      </c>
      <c r="N692" s="34" t="str">
        <f>IF($J692=FALSE(),"",IF(발주접수!$F71="세트",발주접수!$G71*IFERROR(INDEX(세트구성!$E$3:$E$302,MATCH(발주접수!$D71&amp;"|"&amp;7,세트구성!$G$3:$G$302,0)),0),발주접수!$G71))</f>
        <v/>
      </c>
      <c r="O692" s="34" t="str">
        <f>IF($J692=FALSE(),"",발주접수!$B71)</f>
        <v/>
      </c>
      <c r="P692" s="34" t="str">
        <f>IF($J692=FALSE(),"",발주접수!$C71)</f>
        <v/>
      </c>
      <c r="Q692" s="34" t="str">
        <f>IF($J692=FALSE(),"",IF(발주접수!$F71="세트",발주접수!$E71&amp;" 전개","직접 발주"))</f>
        <v/>
      </c>
    </row>
    <row r="693" ht="15" customHeight="1" s="30">
      <c r="J693" s="50" t="b">
        <f>IF(발주접수!$D71="",FALSE(),IF(발주접수!$F71="세트",COUNTIF(세트구성!$G$3:$G$302,발주접수!$D71&amp;"|"&amp;8)&gt;0,7=0))</f>
        <v>0</v>
      </c>
      <c r="K693" s="34" t="str">
        <f>IF($J693=FALSE(),"",COUNTIF($J$6:$J693,TRUE()))</f>
        <v/>
      </c>
      <c r="L693" s="34" t="str">
        <f>IF($K693="","","R"&amp;$K693)</f>
        <v/>
      </c>
      <c r="M693" s="34" t="str">
        <f>IF($J693=FALSE(),"",IF(발주접수!$F71="세트",IFERROR(INDEX(세트구성!$C$3:$C$302,MATCH(발주접수!$D71&amp;"|"&amp;8,세트구성!$G$3:$G$302,0)),""),발주접수!$D71))</f>
        <v/>
      </c>
      <c r="N693" s="34" t="str">
        <f>IF($J693=FALSE(),"",IF(발주접수!$F71="세트",발주접수!$G71*IFERROR(INDEX(세트구성!$E$3:$E$302,MATCH(발주접수!$D71&amp;"|"&amp;8,세트구성!$G$3:$G$302,0)),0),발주접수!$G71))</f>
        <v/>
      </c>
      <c r="O693" s="34" t="str">
        <f>IF($J693=FALSE(),"",발주접수!$B71)</f>
        <v/>
      </c>
      <c r="P693" s="34" t="str">
        <f>IF($J693=FALSE(),"",발주접수!$C71)</f>
        <v/>
      </c>
      <c r="Q693" s="34" t="str">
        <f>IF($J693=FALSE(),"",IF(발주접수!$F71="세트",발주접수!$E71&amp;" 전개","직접 발주"))</f>
        <v/>
      </c>
    </row>
    <row r="694" ht="15" customHeight="1" s="30">
      <c r="J694" s="50" t="b">
        <f>IF(발주접수!$D71="",FALSE(),IF(발주접수!$F71="세트",COUNTIF(세트구성!$G$3:$G$302,발주접수!$D71&amp;"|"&amp;9)&gt;0,8=0))</f>
        <v>0</v>
      </c>
      <c r="K694" s="34" t="str">
        <f>IF($J694=FALSE(),"",COUNTIF($J$6:$J694,TRUE()))</f>
        <v/>
      </c>
      <c r="L694" s="34" t="str">
        <f>IF($K694="","","R"&amp;$K694)</f>
        <v/>
      </c>
      <c r="M694" s="34" t="str">
        <f>IF($J694=FALSE(),"",IF(발주접수!$F71="세트",IFERROR(INDEX(세트구성!$C$3:$C$302,MATCH(발주접수!$D71&amp;"|"&amp;9,세트구성!$G$3:$G$302,0)),""),발주접수!$D71))</f>
        <v/>
      </c>
      <c r="N694" s="34" t="str">
        <f>IF($J694=FALSE(),"",IF(발주접수!$F71="세트",발주접수!$G71*IFERROR(INDEX(세트구성!$E$3:$E$302,MATCH(발주접수!$D71&amp;"|"&amp;9,세트구성!$G$3:$G$302,0)),0),발주접수!$G71))</f>
        <v/>
      </c>
      <c r="O694" s="34" t="str">
        <f>IF($J694=FALSE(),"",발주접수!$B71)</f>
        <v/>
      </c>
      <c r="P694" s="34" t="str">
        <f>IF($J694=FALSE(),"",발주접수!$C71)</f>
        <v/>
      </c>
      <c r="Q694" s="34" t="str">
        <f>IF($J694=FALSE(),"",IF(발주접수!$F71="세트",발주접수!$E71&amp;" 전개","직접 발주"))</f>
        <v/>
      </c>
    </row>
    <row r="695" ht="15" customHeight="1" s="30">
      <c r="J695" s="50" t="b">
        <f>IF(발주접수!$D71="",FALSE(),IF(발주접수!$F71="세트",COUNTIF(세트구성!$G$3:$G$302,발주접수!$D71&amp;"|"&amp;10)&gt;0,9=0))</f>
        <v>0</v>
      </c>
      <c r="K695" s="34" t="str">
        <f>IF($J695=FALSE(),"",COUNTIF($J$6:$J695,TRUE()))</f>
        <v/>
      </c>
      <c r="L695" s="34" t="str">
        <f>IF($K695="","","R"&amp;$K695)</f>
        <v/>
      </c>
      <c r="M695" s="34" t="str">
        <f>IF($J695=FALSE(),"",IF(발주접수!$F71="세트",IFERROR(INDEX(세트구성!$C$3:$C$302,MATCH(발주접수!$D71&amp;"|"&amp;10,세트구성!$G$3:$G$302,0)),""),발주접수!$D71))</f>
        <v/>
      </c>
      <c r="N695" s="34" t="str">
        <f>IF($J695=FALSE(),"",IF(발주접수!$F71="세트",발주접수!$G71*IFERROR(INDEX(세트구성!$E$3:$E$302,MATCH(발주접수!$D71&amp;"|"&amp;10,세트구성!$G$3:$G$302,0)),0),발주접수!$G71))</f>
        <v/>
      </c>
      <c r="O695" s="34" t="str">
        <f>IF($J695=FALSE(),"",발주접수!$B71)</f>
        <v/>
      </c>
      <c r="P695" s="34" t="str">
        <f>IF($J695=FALSE(),"",발주접수!$C71)</f>
        <v/>
      </c>
      <c r="Q695" s="34" t="str">
        <f>IF($J695=FALSE(),"",IF(발주접수!$F71="세트",발주접수!$E71&amp;" 전개","직접 발주"))</f>
        <v/>
      </c>
    </row>
    <row r="696" ht="15" customHeight="1" s="30">
      <c r="J696" s="50" t="b">
        <f>IF(발주접수!$D72="",FALSE(),IF(발주접수!$F72="세트",COUNTIF(세트구성!$G$3:$G$302,발주접수!$D72&amp;"|"&amp;1)&gt;0,0=0))</f>
        <v>0</v>
      </c>
      <c r="K696" s="34" t="str">
        <f>IF($J696=FALSE(),"",COUNTIF($J$6:$J696,TRUE()))</f>
        <v/>
      </c>
      <c r="L696" s="34" t="str">
        <f>IF($K696="","","R"&amp;$K696)</f>
        <v/>
      </c>
      <c r="M696" s="34" t="str">
        <f>IF($J696=FALSE(),"",IF(발주접수!$F72="세트",IFERROR(INDEX(세트구성!$C$3:$C$302,MATCH(발주접수!$D72&amp;"|"&amp;1,세트구성!$G$3:$G$302,0)),""),발주접수!$D72))</f>
        <v/>
      </c>
      <c r="N696" s="34" t="str">
        <f>IF($J696=FALSE(),"",IF(발주접수!$F72="세트",발주접수!$G72*IFERROR(INDEX(세트구성!$E$3:$E$302,MATCH(발주접수!$D72&amp;"|"&amp;1,세트구성!$G$3:$G$302,0)),0),발주접수!$G72))</f>
        <v/>
      </c>
      <c r="O696" s="34" t="str">
        <f>IF($J696=FALSE(),"",발주접수!$B72)</f>
        <v/>
      </c>
      <c r="P696" s="34" t="str">
        <f>IF($J696=FALSE(),"",발주접수!$C72)</f>
        <v/>
      </c>
      <c r="Q696" s="34" t="str">
        <f>IF($J696=FALSE(),"",IF(발주접수!$F72="세트",발주접수!$E72&amp;" 전개","직접 발주"))</f>
        <v/>
      </c>
    </row>
    <row r="697" ht="15" customHeight="1" s="30">
      <c r="J697" s="50" t="b">
        <f>IF(발주접수!$D72="",FALSE(),IF(발주접수!$F72="세트",COUNTIF(세트구성!$G$3:$G$302,발주접수!$D72&amp;"|"&amp;2)&gt;0,1=0))</f>
        <v>0</v>
      </c>
      <c r="K697" s="34" t="str">
        <f>IF($J697=FALSE(),"",COUNTIF($J$6:$J697,TRUE()))</f>
        <v/>
      </c>
      <c r="L697" s="34" t="str">
        <f>IF($K697="","","R"&amp;$K697)</f>
        <v/>
      </c>
      <c r="M697" s="34" t="str">
        <f>IF($J697=FALSE(),"",IF(발주접수!$F72="세트",IFERROR(INDEX(세트구성!$C$3:$C$302,MATCH(발주접수!$D72&amp;"|"&amp;2,세트구성!$G$3:$G$302,0)),""),발주접수!$D72))</f>
        <v/>
      </c>
      <c r="N697" s="34" t="str">
        <f>IF($J697=FALSE(),"",IF(발주접수!$F72="세트",발주접수!$G72*IFERROR(INDEX(세트구성!$E$3:$E$302,MATCH(발주접수!$D72&amp;"|"&amp;2,세트구성!$G$3:$G$302,0)),0),발주접수!$G72))</f>
        <v/>
      </c>
      <c r="O697" s="34" t="str">
        <f>IF($J697=FALSE(),"",발주접수!$B72)</f>
        <v/>
      </c>
      <c r="P697" s="34" t="str">
        <f>IF($J697=FALSE(),"",발주접수!$C72)</f>
        <v/>
      </c>
      <c r="Q697" s="34" t="str">
        <f>IF($J697=FALSE(),"",IF(발주접수!$F72="세트",발주접수!$E72&amp;" 전개","직접 발주"))</f>
        <v/>
      </c>
    </row>
    <row r="698" ht="15" customHeight="1" s="30">
      <c r="J698" s="50" t="b">
        <f>IF(발주접수!$D72="",FALSE(),IF(발주접수!$F72="세트",COUNTIF(세트구성!$G$3:$G$302,발주접수!$D72&amp;"|"&amp;3)&gt;0,2=0))</f>
        <v>0</v>
      </c>
      <c r="K698" s="34" t="str">
        <f>IF($J698=FALSE(),"",COUNTIF($J$6:$J698,TRUE()))</f>
        <v/>
      </c>
      <c r="L698" s="34" t="str">
        <f>IF($K698="","","R"&amp;$K698)</f>
        <v/>
      </c>
      <c r="M698" s="34" t="str">
        <f>IF($J698=FALSE(),"",IF(발주접수!$F72="세트",IFERROR(INDEX(세트구성!$C$3:$C$302,MATCH(발주접수!$D72&amp;"|"&amp;3,세트구성!$G$3:$G$302,0)),""),발주접수!$D72))</f>
        <v/>
      </c>
      <c r="N698" s="34" t="str">
        <f>IF($J698=FALSE(),"",IF(발주접수!$F72="세트",발주접수!$G72*IFERROR(INDEX(세트구성!$E$3:$E$302,MATCH(발주접수!$D72&amp;"|"&amp;3,세트구성!$G$3:$G$302,0)),0),발주접수!$G72))</f>
        <v/>
      </c>
      <c r="O698" s="34" t="str">
        <f>IF($J698=FALSE(),"",발주접수!$B72)</f>
        <v/>
      </c>
      <c r="P698" s="34" t="str">
        <f>IF($J698=FALSE(),"",발주접수!$C72)</f>
        <v/>
      </c>
      <c r="Q698" s="34" t="str">
        <f>IF($J698=FALSE(),"",IF(발주접수!$F72="세트",발주접수!$E72&amp;" 전개","직접 발주"))</f>
        <v/>
      </c>
    </row>
    <row r="699" ht="15" customHeight="1" s="30">
      <c r="J699" s="50" t="b">
        <f>IF(발주접수!$D72="",FALSE(),IF(발주접수!$F72="세트",COUNTIF(세트구성!$G$3:$G$302,발주접수!$D72&amp;"|"&amp;4)&gt;0,3=0))</f>
        <v>0</v>
      </c>
      <c r="K699" s="34" t="str">
        <f>IF($J699=FALSE(),"",COUNTIF($J$6:$J699,TRUE()))</f>
        <v/>
      </c>
      <c r="L699" s="34" t="str">
        <f>IF($K699="","","R"&amp;$K699)</f>
        <v/>
      </c>
      <c r="M699" s="34" t="str">
        <f>IF($J699=FALSE(),"",IF(발주접수!$F72="세트",IFERROR(INDEX(세트구성!$C$3:$C$302,MATCH(발주접수!$D72&amp;"|"&amp;4,세트구성!$G$3:$G$302,0)),""),발주접수!$D72))</f>
        <v/>
      </c>
      <c r="N699" s="34" t="str">
        <f>IF($J699=FALSE(),"",IF(발주접수!$F72="세트",발주접수!$G72*IFERROR(INDEX(세트구성!$E$3:$E$302,MATCH(발주접수!$D72&amp;"|"&amp;4,세트구성!$G$3:$G$302,0)),0),발주접수!$G72))</f>
        <v/>
      </c>
      <c r="O699" s="34" t="str">
        <f>IF($J699=FALSE(),"",발주접수!$B72)</f>
        <v/>
      </c>
      <c r="P699" s="34" t="str">
        <f>IF($J699=FALSE(),"",발주접수!$C72)</f>
        <v/>
      </c>
      <c r="Q699" s="34" t="str">
        <f>IF($J699=FALSE(),"",IF(발주접수!$F72="세트",발주접수!$E72&amp;" 전개","직접 발주"))</f>
        <v/>
      </c>
    </row>
    <row r="700" ht="15" customHeight="1" s="30">
      <c r="J700" s="50" t="b">
        <f>IF(발주접수!$D72="",FALSE(),IF(발주접수!$F72="세트",COUNTIF(세트구성!$G$3:$G$302,발주접수!$D72&amp;"|"&amp;5)&gt;0,4=0))</f>
        <v>0</v>
      </c>
      <c r="K700" s="34" t="str">
        <f>IF($J700=FALSE(),"",COUNTIF($J$6:$J700,TRUE()))</f>
        <v/>
      </c>
      <c r="L700" s="34" t="str">
        <f>IF($K700="","","R"&amp;$K700)</f>
        <v/>
      </c>
      <c r="M700" s="34" t="str">
        <f>IF($J700=FALSE(),"",IF(발주접수!$F72="세트",IFERROR(INDEX(세트구성!$C$3:$C$302,MATCH(발주접수!$D72&amp;"|"&amp;5,세트구성!$G$3:$G$302,0)),""),발주접수!$D72))</f>
        <v/>
      </c>
      <c r="N700" s="34" t="str">
        <f>IF($J700=FALSE(),"",IF(발주접수!$F72="세트",발주접수!$G72*IFERROR(INDEX(세트구성!$E$3:$E$302,MATCH(발주접수!$D72&amp;"|"&amp;5,세트구성!$G$3:$G$302,0)),0),발주접수!$G72))</f>
        <v/>
      </c>
      <c r="O700" s="34" t="str">
        <f>IF($J700=FALSE(),"",발주접수!$B72)</f>
        <v/>
      </c>
      <c r="P700" s="34" t="str">
        <f>IF($J700=FALSE(),"",발주접수!$C72)</f>
        <v/>
      </c>
      <c r="Q700" s="34" t="str">
        <f>IF($J700=FALSE(),"",IF(발주접수!$F72="세트",발주접수!$E72&amp;" 전개","직접 발주"))</f>
        <v/>
      </c>
    </row>
    <row r="701" ht="15" customHeight="1" s="30">
      <c r="J701" s="50" t="b">
        <f>IF(발주접수!$D72="",FALSE(),IF(발주접수!$F72="세트",COUNTIF(세트구성!$G$3:$G$302,발주접수!$D72&amp;"|"&amp;6)&gt;0,5=0))</f>
        <v>0</v>
      </c>
      <c r="K701" s="34" t="str">
        <f>IF($J701=FALSE(),"",COUNTIF($J$6:$J701,TRUE()))</f>
        <v/>
      </c>
      <c r="L701" s="34" t="str">
        <f>IF($K701="","","R"&amp;$K701)</f>
        <v/>
      </c>
      <c r="M701" s="34" t="str">
        <f>IF($J701=FALSE(),"",IF(발주접수!$F72="세트",IFERROR(INDEX(세트구성!$C$3:$C$302,MATCH(발주접수!$D72&amp;"|"&amp;6,세트구성!$G$3:$G$302,0)),""),발주접수!$D72))</f>
        <v/>
      </c>
      <c r="N701" s="34" t="str">
        <f>IF($J701=FALSE(),"",IF(발주접수!$F72="세트",발주접수!$G72*IFERROR(INDEX(세트구성!$E$3:$E$302,MATCH(발주접수!$D72&amp;"|"&amp;6,세트구성!$G$3:$G$302,0)),0),발주접수!$G72))</f>
        <v/>
      </c>
      <c r="O701" s="34" t="str">
        <f>IF($J701=FALSE(),"",발주접수!$B72)</f>
        <v/>
      </c>
      <c r="P701" s="34" t="str">
        <f>IF($J701=FALSE(),"",발주접수!$C72)</f>
        <v/>
      </c>
      <c r="Q701" s="34" t="str">
        <f>IF($J701=FALSE(),"",IF(발주접수!$F72="세트",발주접수!$E72&amp;" 전개","직접 발주"))</f>
        <v/>
      </c>
    </row>
    <row r="702" ht="15" customHeight="1" s="30">
      <c r="J702" s="50" t="b">
        <f>IF(발주접수!$D72="",FALSE(),IF(발주접수!$F72="세트",COUNTIF(세트구성!$G$3:$G$302,발주접수!$D72&amp;"|"&amp;7)&gt;0,6=0))</f>
        <v>0</v>
      </c>
      <c r="K702" s="34" t="str">
        <f>IF($J702=FALSE(),"",COUNTIF($J$6:$J702,TRUE()))</f>
        <v/>
      </c>
      <c r="L702" s="34" t="str">
        <f>IF($K702="","","R"&amp;$K702)</f>
        <v/>
      </c>
      <c r="M702" s="34" t="str">
        <f>IF($J702=FALSE(),"",IF(발주접수!$F72="세트",IFERROR(INDEX(세트구성!$C$3:$C$302,MATCH(발주접수!$D72&amp;"|"&amp;7,세트구성!$G$3:$G$302,0)),""),발주접수!$D72))</f>
        <v/>
      </c>
      <c r="N702" s="34" t="str">
        <f>IF($J702=FALSE(),"",IF(발주접수!$F72="세트",발주접수!$G72*IFERROR(INDEX(세트구성!$E$3:$E$302,MATCH(발주접수!$D72&amp;"|"&amp;7,세트구성!$G$3:$G$302,0)),0),발주접수!$G72))</f>
        <v/>
      </c>
      <c r="O702" s="34" t="str">
        <f>IF($J702=FALSE(),"",발주접수!$B72)</f>
        <v/>
      </c>
      <c r="P702" s="34" t="str">
        <f>IF($J702=FALSE(),"",발주접수!$C72)</f>
        <v/>
      </c>
      <c r="Q702" s="34" t="str">
        <f>IF($J702=FALSE(),"",IF(발주접수!$F72="세트",발주접수!$E72&amp;" 전개","직접 발주"))</f>
        <v/>
      </c>
    </row>
    <row r="703" ht="15" customHeight="1" s="30">
      <c r="J703" s="50" t="b">
        <f>IF(발주접수!$D72="",FALSE(),IF(발주접수!$F72="세트",COUNTIF(세트구성!$G$3:$G$302,발주접수!$D72&amp;"|"&amp;8)&gt;0,7=0))</f>
        <v>0</v>
      </c>
      <c r="K703" s="34" t="str">
        <f>IF($J703=FALSE(),"",COUNTIF($J$6:$J703,TRUE()))</f>
        <v/>
      </c>
      <c r="L703" s="34" t="str">
        <f>IF($K703="","","R"&amp;$K703)</f>
        <v/>
      </c>
      <c r="M703" s="34" t="str">
        <f>IF($J703=FALSE(),"",IF(발주접수!$F72="세트",IFERROR(INDEX(세트구성!$C$3:$C$302,MATCH(발주접수!$D72&amp;"|"&amp;8,세트구성!$G$3:$G$302,0)),""),발주접수!$D72))</f>
        <v/>
      </c>
      <c r="N703" s="34" t="str">
        <f>IF($J703=FALSE(),"",IF(발주접수!$F72="세트",발주접수!$G72*IFERROR(INDEX(세트구성!$E$3:$E$302,MATCH(발주접수!$D72&amp;"|"&amp;8,세트구성!$G$3:$G$302,0)),0),발주접수!$G72))</f>
        <v/>
      </c>
      <c r="O703" s="34" t="str">
        <f>IF($J703=FALSE(),"",발주접수!$B72)</f>
        <v/>
      </c>
      <c r="P703" s="34" t="str">
        <f>IF($J703=FALSE(),"",발주접수!$C72)</f>
        <v/>
      </c>
      <c r="Q703" s="34" t="str">
        <f>IF($J703=FALSE(),"",IF(발주접수!$F72="세트",발주접수!$E72&amp;" 전개","직접 발주"))</f>
        <v/>
      </c>
    </row>
    <row r="704" ht="15" customHeight="1" s="30">
      <c r="J704" s="50" t="b">
        <f>IF(발주접수!$D72="",FALSE(),IF(발주접수!$F72="세트",COUNTIF(세트구성!$G$3:$G$302,발주접수!$D72&amp;"|"&amp;9)&gt;0,8=0))</f>
        <v>0</v>
      </c>
      <c r="K704" s="34" t="str">
        <f>IF($J704=FALSE(),"",COUNTIF($J$6:$J704,TRUE()))</f>
        <v/>
      </c>
      <c r="L704" s="34" t="str">
        <f>IF($K704="","","R"&amp;$K704)</f>
        <v/>
      </c>
      <c r="M704" s="34" t="str">
        <f>IF($J704=FALSE(),"",IF(발주접수!$F72="세트",IFERROR(INDEX(세트구성!$C$3:$C$302,MATCH(발주접수!$D72&amp;"|"&amp;9,세트구성!$G$3:$G$302,0)),""),발주접수!$D72))</f>
        <v/>
      </c>
      <c r="N704" s="34" t="str">
        <f>IF($J704=FALSE(),"",IF(발주접수!$F72="세트",발주접수!$G72*IFERROR(INDEX(세트구성!$E$3:$E$302,MATCH(발주접수!$D72&amp;"|"&amp;9,세트구성!$G$3:$G$302,0)),0),발주접수!$G72))</f>
        <v/>
      </c>
      <c r="O704" s="34" t="str">
        <f>IF($J704=FALSE(),"",발주접수!$B72)</f>
        <v/>
      </c>
      <c r="P704" s="34" t="str">
        <f>IF($J704=FALSE(),"",발주접수!$C72)</f>
        <v/>
      </c>
      <c r="Q704" s="34" t="str">
        <f>IF($J704=FALSE(),"",IF(발주접수!$F72="세트",발주접수!$E72&amp;" 전개","직접 발주"))</f>
        <v/>
      </c>
    </row>
    <row r="705" ht="15" customHeight="1" s="30">
      <c r="J705" s="50" t="b">
        <f>IF(발주접수!$D72="",FALSE(),IF(발주접수!$F72="세트",COUNTIF(세트구성!$G$3:$G$302,발주접수!$D72&amp;"|"&amp;10)&gt;0,9=0))</f>
        <v>0</v>
      </c>
      <c r="K705" s="34" t="str">
        <f>IF($J705=FALSE(),"",COUNTIF($J$6:$J705,TRUE()))</f>
        <v/>
      </c>
      <c r="L705" s="34" t="str">
        <f>IF($K705="","","R"&amp;$K705)</f>
        <v/>
      </c>
      <c r="M705" s="34" t="str">
        <f>IF($J705=FALSE(),"",IF(발주접수!$F72="세트",IFERROR(INDEX(세트구성!$C$3:$C$302,MATCH(발주접수!$D72&amp;"|"&amp;10,세트구성!$G$3:$G$302,0)),""),발주접수!$D72))</f>
        <v/>
      </c>
      <c r="N705" s="34" t="str">
        <f>IF($J705=FALSE(),"",IF(발주접수!$F72="세트",발주접수!$G72*IFERROR(INDEX(세트구성!$E$3:$E$302,MATCH(발주접수!$D72&amp;"|"&amp;10,세트구성!$G$3:$G$302,0)),0),발주접수!$G72))</f>
        <v/>
      </c>
      <c r="O705" s="34" t="str">
        <f>IF($J705=FALSE(),"",발주접수!$B72)</f>
        <v/>
      </c>
      <c r="P705" s="34" t="str">
        <f>IF($J705=FALSE(),"",발주접수!$C72)</f>
        <v/>
      </c>
      <c r="Q705" s="34" t="str">
        <f>IF($J705=FALSE(),"",IF(발주접수!$F72="세트",발주접수!$E72&amp;" 전개","직접 발주"))</f>
        <v/>
      </c>
    </row>
    <row r="706" ht="15" customHeight="1" s="30">
      <c r="J706" s="50" t="b">
        <f>IF(발주접수!$D73="",FALSE(),IF(발주접수!$F73="세트",COUNTIF(세트구성!$G$3:$G$302,발주접수!$D73&amp;"|"&amp;1)&gt;0,0=0))</f>
        <v>0</v>
      </c>
      <c r="K706" s="34" t="str">
        <f>IF($J706=FALSE(),"",COUNTIF($J$6:$J706,TRUE()))</f>
        <v/>
      </c>
      <c r="L706" s="34" t="str">
        <f>IF($K706="","","R"&amp;$K706)</f>
        <v/>
      </c>
      <c r="M706" s="34" t="str">
        <f>IF($J706=FALSE(),"",IF(발주접수!$F73="세트",IFERROR(INDEX(세트구성!$C$3:$C$302,MATCH(발주접수!$D73&amp;"|"&amp;1,세트구성!$G$3:$G$302,0)),""),발주접수!$D73))</f>
        <v/>
      </c>
      <c r="N706" s="34" t="str">
        <f>IF($J706=FALSE(),"",IF(발주접수!$F73="세트",발주접수!$G73*IFERROR(INDEX(세트구성!$E$3:$E$302,MATCH(발주접수!$D73&amp;"|"&amp;1,세트구성!$G$3:$G$302,0)),0),발주접수!$G73))</f>
        <v/>
      </c>
      <c r="O706" s="34" t="str">
        <f>IF($J706=FALSE(),"",발주접수!$B73)</f>
        <v/>
      </c>
      <c r="P706" s="34" t="str">
        <f>IF($J706=FALSE(),"",발주접수!$C73)</f>
        <v/>
      </c>
      <c r="Q706" s="34" t="str">
        <f>IF($J706=FALSE(),"",IF(발주접수!$F73="세트",발주접수!$E73&amp;" 전개","직접 발주"))</f>
        <v/>
      </c>
    </row>
    <row r="707" ht="15" customHeight="1" s="30">
      <c r="J707" s="50" t="b">
        <f>IF(발주접수!$D73="",FALSE(),IF(발주접수!$F73="세트",COUNTIF(세트구성!$G$3:$G$302,발주접수!$D73&amp;"|"&amp;2)&gt;0,1=0))</f>
        <v>0</v>
      </c>
      <c r="K707" s="34" t="str">
        <f>IF($J707=FALSE(),"",COUNTIF($J$6:$J707,TRUE()))</f>
        <v/>
      </c>
      <c r="L707" s="34" t="str">
        <f>IF($K707="","","R"&amp;$K707)</f>
        <v/>
      </c>
      <c r="M707" s="34" t="str">
        <f>IF($J707=FALSE(),"",IF(발주접수!$F73="세트",IFERROR(INDEX(세트구성!$C$3:$C$302,MATCH(발주접수!$D73&amp;"|"&amp;2,세트구성!$G$3:$G$302,0)),""),발주접수!$D73))</f>
        <v/>
      </c>
      <c r="N707" s="34" t="str">
        <f>IF($J707=FALSE(),"",IF(발주접수!$F73="세트",발주접수!$G73*IFERROR(INDEX(세트구성!$E$3:$E$302,MATCH(발주접수!$D73&amp;"|"&amp;2,세트구성!$G$3:$G$302,0)),0),발주접수!$G73))</f>
        <v/>
      </c>
      <c r="O707" s="34" t="str">
        <f>IF($J707=FALSE(),"",발주접수!$B73)</f>
        <v/>
      </c>
      <c r="P707" s="34" t="str">
        <f>IF($J707=FALSE(),"",발주접수!$C73)</f>
        <v/>
      </c>
      <c r="Q707" s="34" t="str">
        <f>IF($J707=FALSE(),"",IF(발주접수!$F73="세트",발주접수!$E73&amp;" 전개","직접 발주"))</f>
        <v/>
      </c>
    </row>
    <row r="708" ht="15" customHeight="1" s="30">
      <c r="J708" s="50" t="b">
        <f>IF(발주접수!$D73="",FALSE(),IF(발주접수!$F73="세트",COUNTIF(세트구성!$G$3:$G$302,발주접수!$D73&amp;"|"&amp;3)&gt;0,2=0))</f>
        <v>0</v>
      </c>
      <c r="K708" s="34" t="str">
        <f>IF($J708=FALSE(),"",COUNTIF($J$6:$J708,TRUE()))</f>
        <v/>
      </c>
      <c r="L708" s="34" t="str">
        <f>IF($K708="","","R"&amp;$K708)</f>
        <v/>
      </c>
      <c r="M708" s="34" t="str">
        <f>IF($J708=FALSE(),"",IF(발주접수!$F73="세트",IFERROR(INDEX(세트구성!$C$3:$C$302,MATCH(발주접수!$D73&amp;"|"&amp;3,세트구성!$G$3:$G$302,0)),""),발주접수!$D73))</f>
        <v/>
      </c>
      <c r="N708" s="34" t="str">
        <f>IF($J708=FALSE(),"",IF(발주접수!$F73="세트",발주접수!$G73*IFERROR(INDEX(세트구성!$E$3:$E$302,MATCH(발주접수!$D73&amp;"|"&amp;3,세트구성!$G$3:$G$302,0)),0),발주접수!$G73))</f>
        <v/>
      </c>
      <c r="O708" s="34" t="str">
        <f>IF($J708=FALSE(),"",발주접수!$B73)</f>
        <v/>
      </c>
      <c r="P708" s="34" t="str">
        <f>IF($J708=FALSE(),"",발주접수!$C73)</f>
        <v/>
      </c>
      <c r="Q708" s="34" t="str">
        <f>IF($J708=FALSE(),"",IF(발주접수!$F73="세트",발주접수!$E73&amp;" 전개","직접 발주"))</f>
        <v/>
      </c>
    </row>
    <row r="709" ht="15" customHeight="1" s="30">
      <c r="J709" s="50" t="b">
        <f>IF(발주접수!$D73="",FALSE(),IF(발주접수!$F73="세트",COUNTIF(세트구성!$G$3:$G$302,발주접수!$D73&amp;"|"&amp;4)&gt;0,3=0))</f>
        <v>0</v>
      </c>
      <c r="K709" s="34" t="str">
        <f>IF($J709=FALSE(),"",COUNTIF($J$6:$J709,TRUE()))</f>
        <v/>
      </c>
      <c r="L709" s="34" t="str">
        <f>IF($K709="","","R"&amp;$K709)</f>
        <v/>
      </c>
      <c r="M709" s="34" t="str">
        <f>IF($J709=FALSE(),"",IF(발주접수!$F73="세트",IFERROR(INDEX(세트구성!$C$3:$C$302,MATCH(발주접수!$D73&amp;"|"&amp;4,세트구성!$G$3:$G$302,0)),""),발주접수!$D73))</f>
        <v/>
      </c>
      <c r="N709" s="34" t="str">
        <f>IF($J709=FALSE(),"",IF(발주접수!$F73="세트",발주접수!$G73*IFERROR(INDEX(세트구성!$E$3:$E$302,MATCH(발주접수!$D73&amp;"|"&amp;4,세트구성!$G$3:$G$302,0)),0),발주접수!$G73))</f>
        <v/>
      </c>
      <c r="O709" s="34" t="str">
        <f>IF($J709=FALSE(),"",발주접수!$B73)</f>
        <v/>
      </c>
      <c r="P709" s="34" t="str">
        <f>IF($J709=FALSE(),"",발주접수!$C73)</f>
        <v/>
      </c>
      <c r="Q709" s="34" t="str">
        <f>IF($J709=FALSE(),"",IF(발주접수!$F73="세트",발주접수!$E73&amp;" 전개","직접 발주"))</f>
        <v/>
      </c>
    </row>
    <row r="710" ht="15" customHeight="1" s="30">
      <c r="J710" s="50" t="b">
        <f>IF(발주접수!$D73="",FALSE(),IF(발주접수!$F73="세트",COUNTIF(세트구성!$G$3:$G$302,발주접수!$D73&amp;"|"&amp;5)&gt;0,4=0))</f>
        <v>0</v>
      </c>
      <c r="K710" s="34" t="str">
        <f>IF($J710=FALSE(),"",COUNTIF($J$6:$J710,TRUE()))</f>
        <v/>
      </c>
      <c r="L710" s="34" t="str">
        <f>IF($K710="","","R"&amp;$K710)</f>
        <v/>
      </c>
      <c r="M710" s="34" t="str">
        <f>IF($J710=FALSE(),"",IF(발주접수!$F73="세트",IFERROR(INDEX(세트구성!$C$3:$C$302,MATCH(발주접수!$D73&amp;"|"&amp;5,세트구성!$G$3:$G$302,0)),""),발주접수!$D73))</f>
        <v/>
      </c>
      <c r="N710" s="34" t="str">
        <f>IF($J710=FALSE(),"",IF(발주접수!$F73="세트",발주접수!$G73*IFERROR(INDEX(세트구성!$E$3:$E$302,MATCH(발주접수!$D73&amp;"|"&amp;5,세트구성!$G$3:$G$302,0)),0),발주접수!$G73))</f>
        <v/>
      </c>
      <c r="O710" s="34" t="str">
        <f>IF($J710=FALSE(),"",발주접수!$B73)</f>
        <v/>
      </c>
      <c r="P710" s="34" t="str">
        <f>IF($J710=FALSE(),"",발주접수!$C73)</f>
        <v/>
      </c>
      <c r="Q710" s="34" t="str">
        <f>IF($J710=FALSE(),"",IF(발주접수!$F73="세트",발주접수!$E73&amp;" 전개","직접 발주"))</f>
        <v/>
      </c>
    </row>
    <row r="711" ht="15" customHeight="1" s="30">
      <c r="J711" s="50" t="b">
        <f>IF(발주접수!$D73="",FALSE(),IF(발주접수!$F73="세트",COUNTIF(세트구성!$G$3:$G$302,발주접수!$D73&amp;"|"&amp;6)&gt;0,5=0))</f>
        <v>0</v>
      </c>
      <c r="K711" s="34" t="str">
        <f>IF($J711=FALSE(),"",COUNTIF($J$6:$J711,TRUE()))</f>
        <v/>
      </c>
      <c r="L711" s="34" t="str">
        <f>IF($K711="","","R"&amp;$K711)</f>
        <v/>
      </c>
      <c r="M711" s="34" t="str">
        <f>IF($J711=FALSE(),"",IF(발주접수!$F73="세트",IFERROR(INDEX(세트구성!$C$3:$C$302,MATCH(발주접수!$D73&amp;"|"&amp;6,세트구성!$G$3:$G$302,0)),""),발주접수!$D73))</f>
        <v/>
      </c>
      <c r="N711" s="34" t="str">
        <f>IF($J711=FALSE(),"",IF(발주접수!$F73="세트",발주접수!$G73*IFERROR(INDEX(세트구성!$E$3:$E$302,MATCH(발주접수!$D73&amp;"|"&amp;6,세트구성!$G$3:$G$302,0)),0),발주접수!$G73))</f>
        <v/>
      </c>
      <c r="O711" s="34" t="str">
        <f>IF($J711=FALSE(),"",발주접수!$B73)</f>
        <v/>
      </c>
      <c r="P711" s="34" t="str">
        <f>IF($J711=FALSE(),"",발주접수!$C73)</f>
        <v/>
      </c>
      <c r="Q711" s="34" t="str">
        <f>IF($J711=FALSE(),"",IF(발주접수!$F73="세트",발주접수!$E73&amp;" 전개","직접 발주"))</f>
        <v/>
      </c>
    </row>
    <row r="712" ht="15" customHeight="1" s="30">
      <c r="J712" s="50" t="b">
        <f>IF(발주접수!$D73="",FALSE(),IF(발주접수!$F73="세트",COUNTIF(세트구성!$G$3:$G$302,발주접수!$D73&amp;"|"&amp;7)&gt;0,6=0))</f>
        <v>0</v>
      </c>
      <c r="K712" s="34" t="str">
        <f>IF($J712=FALSE(),"",COUNTIF($J$6:$J712,TRUE()))</f>
        <v/>
      </c>
      <c r="L712" s="34" t="str">
        <f>IF($K712="","","R"&amp;$K712)</f>
        <v/>
      </c>
      <c r="M712" s="34" t="str">
        <f>IF($J712=FALSE(),"",IF(발주접수!$F73="세트",IFERROR(INDEX(세트구성!$C$3:$C$302,MATCH(발주접수!$D73&amp;"|"&amp;7,세트구성!$G$3:$G$302,0)),""),발주접수!$D73))</f>
        <v/>
      </c>
      <c r="N712" s="34" t="str">
        <f>IF($J712=FALSE(),"",IF(발주접수!$F73="세트",발주접수!$G73*IFERROR(INDEX(세트구성!$E$3:$E$302,MATCH(발주접수!$D73&amp;"|"&amp;7,세트구성!$G$3:$G$302,0)),0),발주접수!$G73))</f>
        <v/>
      </c>
      <c r="O712" s="34" t="str">
        <f>IF($J712=FALSE(),"",발주접수!$B73)</f>
        <v/>
      </c>
      <c r="P712" s="34" t="str">
        <f>IF($J712=FALSE(),"",발주접수!$C73)</f>
        <v/>
      </c>
      <c r="Q712" s="34" t="str">
        <f>IF($J712=FALSE(),"",IF(발주접수!$F73="세트",발주접수!$E73&amp;" 전개","직접 발주"))</f>
        <v/>
      </c>
    </row>
    <row r="713" ht="15" customHeight="1" s="30">
      <c r="J713" s="50" t="b">
        <f>IF(발주접수!$D73="",FALSE(),IF(발주접수!$F73="세트",COUNTIF(세트구성!$G$3:$G$302,발주접수!$D73&amp;"|"&amp;8)&gt;0,7=0))</f>
        <v>0</v>
      </c>
      <c r="K713" s="34" t="str">
        <f>IF($J713=FALSE(),"",COUNTIF($J$6:$J713,TRUE()))</f>
        <v/>
      </c>
      <c r="L713" s="34" t="str">
        <f>IF($K713="","","R"&amp;$K713)</f>
        <v/>
      </c>
      <c r="M713" s="34" t="str">
        <f>IF($J713=FALSE(),"",IF(발주접수!$F73="세트",IFERROR(INDEX(세트구성!$C$3:$C$302,MATCH(발주접수!$D73&amp;"|"&amp;8,세트구성!$G$3:$G$302,0)),""),발주접수!$D73))</f>
        <v/>
      </c>
      <c r="N713" s="34" t="str">
        <f>IF($J713=FALSE(),"",IF(발주접수!$F73="세트",발주접수!$G73*IFERROR(INDEX(세트구성!$E$3:$E$302,MATCH(발주접수!$D73&amp;"|"&amp;8,세트구성!$G$3:$G$302,0)),0),발주접수!$G73))</f>
        <v/>
      </c>
      <c r="O713" s="34" t="str">
        <f>IF($J713=FALSE(),"",발주접수!$B73)</f>
        <v/>
      </c>
      <c r="P713" s="34" t="str">
        <f>IF($J713=FALSE(),"",발주접수!$C73)</f>
        <v/>
      </c>
      <c r="Q713" s="34" t="str">
        <f>IF($J713=FALSE(),"",IF(발주접수!$F73="세트",발주접수!$E73&amp;" 전개","직접 발주"))</f>
        <v/>
      </c>
    </row>
    <row r="714" ht="15" customHeight="1" s="30">
      <c r="J714" s="50" t="b">
        <f>IF(발주접수!$D73="",FALSE(),IF(발주접수!$F73="세트",COUNTIF(세트구성!$G$3:$G$302,발주접수!$D73&amp;"|"&amp;9)&gt;0,8=0))</f>
        <v>0</v>
      </c>
      <c r="K714" s="34" t="str">
        <f>IF($J714=FALSE(),"",COUNTIF($J$6:$J714,TRUE()))</f>
        <v/>
      </c>
      <c r="L714" s="34" t="str">
        <f>IF($K714="","","R"&amp;$K714)</f>
        <v/>
      </c>
      <c r="M714" s="34" t="str">
        <f>IF($J714=FALSE(),"",IF(발주접수!$F73="세트",IFERROR(INDEX(세트구성!$C$3:$C$302,MATCH(발주접수!$D73&amp;"|"&amp;9,세트구성!$G$3:$G$302,0)),""),발주접수!$D73))</f>
        <v/>
      </c>
      <c r="N714" s="34" t="str">
        <f>IF($J714=FALSE(),"",IF(발주접수!$F73="세트",발주접수!$G73*IFERROR(INDEX(세트구성!$E$3:$E$302,MATCH(발주접수!$D73&amp;"|"&amp;9,세트구성!$G$3:$G$302,0)),0),발주접수!$G73))</f>
        <v/>
      </c>
      <c r="O714" s="34" t="str">
        <f>IF($J714=FALSE(),"",발주접수!$B73)</f>
        <v/>
      </c>
      <c r="P714" s="34" t="str">
        <f>IF($J714=FALSE(),"",발주접수!$C73)</f>
        <v/>
      </c>
      <c r="Q714" s="34" t="str">
        <f>IF($J714=FALSE(),"",IF(발주접수!$F73="세트",발주접수!$E73&amp;" 전개","직접 발주"))</f>
        <v/>
      </c>
    </row>
    <row r="715" ht="15" customHeight="1" s="30">
      <c r="J715" s="50" t="b">
        <f>IF(발주접수!$D73="",FALSE(),IF(발주접수!$F73="세트",COUNTIF(세트구성!$G$3:$G$302,발주접수!$D73&amp;"|"&amp;10)&gt;0,9=0))</f>
        <v>0</v>
      </c>
      <c r="K715" s="34" t="str">
        <f>IF($J715=FALSE(),"",COUNTIF($J$6:$J715,TRUE()))</f>
        <v/>
      </c>
      <c r="L715" s="34" t="str">
        <f>IF($K715="","","R"&amp;$K715)</f>
        <v/>
      </c>
      <c r="M715" s="34" t="str">
        <f>IF($J715=FALSE(),"",IF(발주접수!$F73="세트",IFERROR(INDEX(세트구성!$C$3:$C$302,MATCH(발주접수!$D73&amp;"|"&amp;10,세트구성!$G$3:$G$302,0)),""),발주접수!$D73))</f>
        <v/>
      </c>
      <c r="N715" s="34" t="str">
        <f>IF($J715=FALSE(),"",IF(발주접수!$F73="세트",발주접수!$G73*IFERROR(INDEX(세트구성!$E$3:$E$302,MATCH(발주접수!$D73&amp;"|"&amp;10,세트구성!$G$3:$G$302,0)),0),발주접수!$G73))</f>
        <v/>
      </c>
      <c r="O715" s="34" t="str">
        <f>IF($J715=FALSE(),"",발주접수!$B73)</f>
        <v/>
      </c>
      <c r="P715" s="34" t="str">
        <f>IF($J715=FALSE(),"",발주접수!$C73)</f>
        <v/>
      </c>
      <c r="Q715" s="34" t="str">
        <f>IF($J715=FALSE(),"",IF(발주접수!$F73="세트",발주접수!$E73&amp;" 전개","직접 발주"))</f>
        <v/>
      </c>
    </row>
    <row r="716" ht="15" customHeight="1" s="30">
      <c r="J716" s="50" t="b">
        <f>IF(발주접수!$D74="",FALSE(),IF(발주접수!$F74="세트",COUNTIF(세트구성!$G$3:$G$302,발주접수!$D74&amp;"|"&amp;1)&gt;0,0=0))</f>
        <v>0</v>
      </c>
      <c r="K716" s="34" t="str">
        <f>IF($J716=FALSE(),"",COUNTIF($J$6:$J716,TRUE()))</f>
        <v/>
      </c>
      <c r="L716" s="34" t="str">
        <f>IF($K716="","","R"&amp;$K716)</f>
        <v/>
      </c>
      <c r="M716" s="34" t="str">
        <f>IF($J716=FALSE(),"",IF(발주접수!$F74="세트",IFERROR(INDEX(세트구성!$C$3:$C$302,MATCH(발주접수!$D74&amp;"|"&amp;1,세트구성!$G$3:$G$302,0)),""),발주접수!$D74))</f>
        <v/>
      </c>
      <c r="N716" s="34" t="str">
        <f>IF($J716=FALSE(),"",IF(발주접수!$F74="세트",발주접수!$G74*IFERROR(INDEX(세트구성!$E$3:$E$302,MATCH(발주접수!$D74&amp;"|"&amp;1,세트구성!$G$3:$G$302,0)),0),발주접수!$G74))</f>
        <v/>
      </c>
      <c r="O716" s="34" t="str">
        <f>IF($J716=FALSE(),"",발주접수!$B74)</f>
        <v/>
      </c>
      <c r="P716" s="34" t="str">
        <f>IF($J716=FALSE(),"",발주접수!$C74)</f>
        <v/>
      </c>
      <c r="Q716" s="34" t="str">
        <f>IF($J716=FALSE(),"",IF(발주접수!$F74="세트",발주접수!$E74&amp;" 전개","직접 발주"))</f>
        <v/>
      </c>
    </row>
    <row r="717" ht="15" customHeight="1" s="30">
      <c r="J717" s="50" t="b">
        <f>IF(발주접수!$D74="",FALSE(),IF(발주접수!$F74="세트",COUNTIF(세트구성!$G$3:$G$302,발주접수!$D74&amp;"|"&amp;2)&gt;0,1=0))</f>
        <v>0</v>
      </c>
      <c r="K717" s="34" t="str">
        <f>IF($J717=FALSE(),"",COUNTIF($J$6:$J717,TRUE()))</f>
        <v/>
      </c>
      <c r="L717" s="34" t="str">
        <f>IF($K717="","","R"&amp;$K717)</f>
        <v/>
      </c>
      <c r="M717" s="34" t="str">
        <f>IF($J717=FALSE(),"",IF(발주접수!$F74="세트",IFERROR(INDEX(세트구성!$C$3:$C$302,MATCH(발주접수!$D74&amp;"|"&amp;2,세트구성!$G$3:$G$302,0)),""),발주접수!$D74))</f>
        <v/>
      </c>
      <c r="N717" s="34" t="str">
        <f>IF($J717=FALSE(),"",IF(발주접수!$F74="세트",발주접수!$G74*IFERROR(INDEX(세트구성!$E$3:$E$302,MATCH(발주접수!$D74&amp;"|"&amp;2,세트구성!$G$3:$G$302,0)),0),발주접수!$G74))</f>
        <v/>
      </c>
      <c r="O717" s="34" t="str">
        <f>IF($J717=FALSE(),"",발주접수!$B74)</f>
        <v/>
      </c>
      <c r="P717" s="34" t="str">
        <f>IF($J717=FALSE(),"",발주접수!$C74)</f>
        <v/>
      </c>
      <c r="Q717" s="34" t="str">
        <f>IF($J717=FALSE(),"",IF(발주접수!$F74="세트",발주접수!$E74&amp;" 전개","직접 발주"))</f>
        <v/>
      </c>
    </row>
    <row r="718" ht="15" customHeight="1" s="30">
      <c r="J718" s="50" t="b">
        <f>IF(발주접수!$D74="",FALSE(),IF(발주접수!$F74="세트",COUNTIF(세트구성!$G$3:$G$302,발주접수!$D74&amp;"|"&amp;3)&gt;0,2=0))</f>
        <v>0</v>
      </c>
      <c r="K718" s="34" t="str">
        <f>IF($J718=FALSE(),"",COUNTIF($J$6:$J718,TRUE()))</f>
        <v/>
      </c>
      <c r="L718" s="34" t="str">
        <f>IF($K718="","","R"&amp;$K718)</f>
        <v/>
      </c>
      <c r="M718" s="34" t="str">
        <f>IF($J718=FALSE(),"",IF(발주접수!$F74="세트",IFERROR(INDEX(세트구성!$C$3:$C$302,MATCH(발주접수!$D74&amp;"|"&amp;3,세트구성!$G$3:$G$302,0)),""),발주접수!$D74))</f>
        <v/>
      </c>
      <c r="N718" s="34" t="str">
        <f>IF($J718=FALSE(),"",IF(발주접수!$F74="세트",발주접수!$G74*IFERROR(INDEX(세트구성!$E$3:$E$302,MATCH(발주접수!$D74&amp;"|"&amp;3,세트구성!$G$3:$G$302,0)),0),발주접수!$G74))</f>
        <v/>
      </c>
      <c r="O718" s="34" t="str">
        <f>IF($J718=FALSE(),"",발주접수!$B74)</f>
        <v/>
      </c>
      <c r="P718" s="34" t="str">
        <f>IF($J718=FALSE(),"",발주접수!$C74)</f>
        <v/>
      </c>
      <c r="Q718" s="34" t="str">
        <f>IF($J718=FALSE(),"",IF(발주접수!$F74="세트",발주접수!$E74&amp;" 전개","직접 발주"))</f>
        <v/>
      </c>
    </row>
    <row r="719" ht="15" customHeight="1" s="30">
      <c r="J719" s="50" t="b">
        <f>IF(발주접수!$D74="",FALSE(),IF(발주접수!$F74="세트",COUNTIF(세트구성!$G$3:$G$302,발주접수!$D74&amp;"|"&amp;4)&gt;0,3=0))</f>
        <v>0</v>
      </c>
      <c r="K719" s="34" t="str">
        <f>IF($J719=FALSE(),"",COUNTIF($J$6:$J719,TRUE()))</f>
        <v/>
      </c>
      <c r="L719" s="34" t="str">
        <f>IF($K719="","","R"&amp;$K719)</f>
        <v/>
      </c>
      <c r="M719" s="34" t="str">
        <f>IF($J719=FALSE(),"",IF(발주접수!$F74="세트",IFERROR(INDEX(세트구성!$C$3:$C$302,MATCH(발주접수!$D74&amp;"|"&amp;4,세트구성!$G$3:$G$302,0)),""),발주접수!$D74))</f>
        <v/>
      </c>
      <c r="N719" s="34" t="str">
        <f>IF($J719=FALSE(),"",IF(발주접수!$F74="세트",발주접수!$G74*IFERROR(INDEX(세트구성!$E$3:$E$302,MATCH(발주접수!$D74&amp;"|"&amp;4,세트구성!$G$3:$G$302,0)),0),발주접수!$G74))</f>
        <v/>
      </c>
      <c r="O719" s="34" t="str">
        <f>IF($J719=FALSE(),"",발주접수!$B74)</f>
        <v/>
      </c>
      <c r="P719" s="34" t="str">
        <f>IF($J719=FALSE(),"",발주접수!$C74)</f>
        <v/>
      </c>
      <c r="Q719" s="34" t="str">
        <f>IF($J719=FALSE(),"",IF(발주접수!$F74="세트",발주접수!$E74&amp;" 전개","직접 발주"))</f>
        <v/>
      </c>
    </row>
    <row r="720" ht="15" customHeight="1" s="30">
      <c r="J720" s="50" t="b">
        <f>IF(발주접수!$D74="",FALSE(),IF(발주접수!$F74="세트",COUNTIF(세트구성!$G$3:$G$302,발주접수!$D74&amp;"|"&amp;5)&gt;0,4=0))</f>
        <v>0</v>
      </c>
      <c r="K720" s="34" t="str">
        <f>IF($J720=FALSE(),"",COUNTIF($J$6:$J720,TRUE()))</f>
        <v/>
      </c>
      <c r="L720" s="34" t="str">
        <f>IF($K720="","","R"&amp;$K720)</f>
        <v/>
      </c>
      <c r="M720" s="34" t="str">
        <f>IF($J720=FALSE(),"",IF(발주접수!$F74="세트",IFERROR(INDEX(세트구성!$C$3:$C$302,MATCH(발주접수!$D74&amp;"|"&amp;5,세트구성!$G$3:$G$302,0)),""),발주접수!$D74))</f>
        <v/>
      </c>
      <c r="N720" s="34" t="str">
        <f>IF($J720=FALSE(),"",IF(발주접수!$F74="세트",발주접수!$G74*IFERROR(INDEX(세트구성!$E$3:$E$302,MATCH(발주접수!$D74&amp;"|"&amp;5,세트구성!$G$3:$G$302,0)),0),발주접수!$G74))</f>
        <v/>
      </c>
      <c r="O720" s="34" t="str">
        <f>IF($J720=FALSE(),"",발주접수!$B74)</f>
        <v/>
      </c>
      <c r="P720" s="34" t="str">
        <f>IF($J720=FALSE(),"",발주접수!$C74)</f>
        <v/>
      </c>
      <c r="Q720" s="34" t="str">
        <f>IF($J720=FALSE(),"",IF(발주접수!$F74="세트",발주접수!$E74&amp;" 전개","직접 발주"))</f>
        <v/>
      </c>
    </row>
    <row r="721" ht="15" customHeight="1" s="30">
      <c r="J721" s="50" t="b">
        <f>IF(발주접수!$D74="",FALSE(),IF(발주접수!$F74="세트",COUNTIF(세트구성!$G$3:$G$302,발주접수!$D74&amp;"|"&amp;6)&gt;0,5=0))</f>
        <v>0</v>
      </c>
      <c r="K721" s="34" t="str">
        <f>IF($J721=FALSE(),"",COUNTIF($J$6:$J721,TRUE()))</f>
        <v/>
      </c>
      <c r="L721" s="34" t="str">
        <f>IF($K721="","","R"&amp;$K721)</f>
        <v/>
      </c>
      <c r="M721" s="34" t="str">
        <f>IF($J721=FALSE(),"",IF(발주접수!$F74="세트",IFERROR(INDEX(세트구성!$C$3:$C$302,MATCH(발주접수!$D74&amp;"|"&amp;6,세트구성!$G$3:$G$302,0)),""),발주접수!$D74))</f>
        <v/>
      </c>
      <c r="N721" s="34" t="str">
        <f>IF($J721=FALSE(),"",IF(발주접수!$F74="세트",발주접수!$G74*IFERROR(INDEX(세트구성!$E$3:$E$302,MATCH(발주접수!$D74&amp;"|"&amp;6,세트구성!$G$3:$G$302,0)),0),발주접수!$G74))</f>
        <v/>
      </c>
      <c r="O721" s="34" t="str">
        <f>IF($J721=FALSE(),"",발주접수!$B74)</f>
        <v/>
      </c>
      <c r="P721" s="34" t="str">
        <f>IF($J721=FALSE(),"",발주접수!$C74)</f>
        <v/>
      </c>
      <c r="Q721" s="34" t="str">
        <f>IF($J721=FALSE(),"",IF(발주접수!$F74="세트",발주접수!$E74&amp;" 전개","직접 발주"))</f>
        <v/>
      </c>
    </row>
    <row r="722" ht="15" customHeight="1" s="30">
      <c r="J722" s="50" t="b">
        <f>IF(발주접수!$D74="",FALSE(),IF(발주접수!$F74="세트",COUNTIF(세트구성!$G$3:$G$302,발주접수!$D74&amp;"|"&amp;7)&gt;0,6=0))</f>
        <v>0</v>
      </c>
      <c r="K722" s="34" t="str">
        <f>IF($J722=FALSE(),"",COUNTIF($J$6:$J722,TRUE()))</f>
        <v/>
      </c>
      <c r="L722" s="34" t="str">
        <f>IF($K722="","","R"&amp;$K722)</f>
        <v/>
      </c>
      <c r="M722" s="34" t="str">
        <f>IF($J722=FALSE(),"",IF(발주접수!$F74="세트",IFERROR(INDEX(세트구성!$C$3:$C$302,MATCH(발주접수!$D74&amp;"|"&amp;7,세트구성!$G$3:$G$302,0)),""),발주접수!$D74))</f>
        <v/>
      </c>
      <c r="N722" s="34" t="str">
        <f>IF($J722=FALSE(),"",IF(발주접수!$F74="세트",발주접수!$G74*IFERROR(INDEX(세트구성!$E$3:$E$302,MATCH(발주접수!$D74&amp;"|"&amp;7,세트구성!$G$3:$G$302,0)),0),발주접수!$G74))</f>
        <v/>
      </c>
      <c r="O722" s="34" t="str">
        <f>IF($J722=FALSE(),"",발주접수!$B74)</f>
        <v/>
      </c>
      <c r="P722" s="34" t="str">
        <f>IF($J722=FALSE(),"",발주접수!$C74)</f>
        <v/>
      </c>
      <c r="Q722" s="34" t="str">
        <f>IF($J722=FALSE(),"",IF(발주접수!$F74="세트",발주접수!$E74&amp;" 전개","직접 발주"))</f>
        <v/>
      </c>
    </row>
    <row r="723" ht="15" customHeight="1" s="30">
      <c r="J723" s="50" t="b">
        <f>IF(발주접수!$D74="",FALSE(),IF(발주접수!$F74="세트",COUNTIF(세트구성!$G$3:$G$302,발주접수!$D74&amp;"|"&amp;8)&gt;0,7=0))</f>
        <v>0</v>
      </c>
      <c r="K723" s="34" t="str">
        <f>IF($J723=FALSE(),"",COUNTIF($J$6:$J723,TRUE()))</f>
        <v/>
      </c>
      <c r="L723" s="34" t="str">
        <f>IF($K723="","","R"&amp;$K723)</f>
        <v/>
      </c>
      <c r="M723" s="34" t="str">
        <f>IF($J723=FALSE(),"",IF(발주접수!$F74="세트",IFERROR(INDEX(세트구성!$C$3:$C$302,MATCH(발주접수!$D74&amp;"|"&amp;8,세트구성!$G$3:$G$302,0)),""),발주접수!$D74))</f>
        <v/>
      </c>
      <c r="N723" s="34" t="str">
        <f>IF($J723=FALSE(),"",IF(발주접수!$F74="세트",발주접수!$G74*IFERROR(INDEX(세트구성!$E$3:$E$302,MATCH(발주접수!$D74&amp;"|"&amp;8,세트구성!$G$3:$G$302,0)),0),발주접수!$G74))</f>
        <v/>
      </c>
      <c r="O723" s="34" t="str">
        <f>IF($J723=FALSE(),"",발주접수!$B74)</f>
        <v/>
      </c>
      <c r="P723" s="34" t="str">
        <f>IF($J723=FALSE(),"",발주접수!$C74)</f>
        <v/>
      </c>
      <c r="Q723" s="34" t="str">
        <f>IF($J723=FALSE(),"",IF(발주접수!$F74="세트",발주접수!$E74&amp;" 전개","직접 발주"))</f>
        <v/>
      </c>
    </row>
    <row r="724" ht="15" customHeight="1" s="30">
      <c r="J724" s="50" t="b">
        <f>IF(발주접수!$D74="",FALSE(),IF(발주접수!$F74="세트",COUNTIF(세트구성!$G$3:$G$302,발주접수!$D74&amp;"|"&amp;9)&gt;0,8=0))</f>
        <v>0</v>
      </c>
      <c r="K724" s="34" t="str">
        <f>IF($J724=FALSE(),"",COUNTIF($J$6:$J724,TRUE()))</f>
        <v/>
      </c>
      <c r="L724" s="34" t="str">
        <f>IF($K724="","","R"&amp;$K724)</f>
        <v/>
      </c>
      <c r="M724" s="34" t="str">
        <f>IF($J724=FALSE(),"",IF(발주접수!$F74="세트",IFERROR(INDEX(세트구성!$C$3:$C$302,MATCH(발주접수!$D74&amp;"|"&amp;9,세트구성!$G$3:$G$302,0)),""),발주접수!$D74))</f>
        <v/>
      </c>
      <c r="N724" s="34" t="str">
        <f>IF($J724=FALSE(),"",IF(발주접수!$F74="세트",발주접수!$G74*IFERROR(INDEX(세트구성!$E$3:$E$302,MATCH(발주접수!$D74&amp;"|"&amp;9,세트구성!$G$3:$G$302,0)),0),발주접수!$G74))</f>
        <v/>
      </c>
      <c r="O724" s="34" t="str">
        <f>IF($J724=FALSE(),"",발주접수!$B74)</f>
        <v/>
      </c>
      <c r="P724" s="34" t="str">
        <f>IF($J724=FALSE(),"",발주접수!$C74)</f>
        <v/>
      </c>
      <c r="Q724" s="34" t="str">
        <f>IF($J724=FALSE(),"",IF(발주접수!$F74="세트",발주접수!$E74&amp;" 전개","직접 발주"))</f>
        <v/>
      </c>
    </row>
    <row r="725" ht="15" customHeight="1" s="30">
      <c r="J725" s="50" t="b">
        <f>IF(발주접수!$D74="",FALSE(),IF(발주접수!$F74="세트",COUNTIF(세트구성!$G$3:$G$302,발주접수!$D74&amp;"|"&amp;10)&gt;0,9=0))</f>
        <v>0</v>
      </c>
      <c r="K725" s="34" t="str">
        <f>IF($J725=FALSE(),"",COUNTIF($J$6:$J725,TRUE()))</f>
        <v/>
      </c>
      <c r="L725" s="34" t="str">
        <f>IF($K725="","","R"&amp;$K725)</f>
        <v/>
      </c>
      <c r="M725" s="34" t="str">
        <f>IF($J725=FALSE(),"",IF(발주접수!$F74="세트",IFERROR(INDEX(세트구성!$C$3:$C$302,MATCH(발주접수!$D74&amp;"|"&amp;10,세트구성!$G$3:$G$302,0)),""),발주접수!$D74))</f>
        <v/>
      </c>
      <c r="N725" s="34" t="str">
        <f>IF($J725=FALSE(),"",IF(발주접수!$F74="세트",발주접수!$G74*IFERROR(INDEX(세트구성!$E$3:$E$302,MATCH(발주접수!$D74&amp;"|"&amp;10,세트구성!$G$3:$G$302,0)),0),발주접수!$G74))</f>
        <v/>
      </c>
      <c r="O725" s="34" t="str">
        <f>IF($J725=FALSE(),"",발주접수!$B74)</f>
        <v/>
      </c>
      <c r="P725" s="34" t="str">
        <f>IF($J725=FALSE(),"",발주접수!$C74)</f>
        <v/>
      </c>
      <c r="Q725" s="34" t="str">
        <f>IF($J725=FALSE(),"",IF(발주접수!$F74="세트",발주접수!$E74&amp;" 전개","직접 발주"))</f>
        <v/>
      </c>
    </row>
    <row r="726" ht="15" customHeight="1" s="30">
      <c r="J726" s="50" t="b">
        <f>IF(발주접수!$D75="",FALSE(),IF(발주접수!$F75="세트",COUNTIF(세트구성!$G$3:$G$302,발주접수!$D75&amp;"|"&amp;1)&gt;0,0=0))</f>
        <v>0</v>
      </c>
      <c r="K726" s="34" t="str">
        <f>IF($J726=FALSE(),"",COUNTIF($J$6:$J726,TRUE()))</f>
        <v/>
      </c>
      <c r="L726" s="34" t="str">
        <f>IF($K726="","","R"&amp;$K726)</f>
        <v/>
      </c>
      <c r="M726" s="34" t="str">
        <f>IF($J726=FALSE(),"",IF(발주접수!$F75="세트",IFERROR(INDEX(세트구성!$C$3:$C$302,MATCH(발주접수!$D75&amp;"|"&amp;1,세트구성!$G$3:$G$302,0)),""),발주접수!$D75))</f>
        <v/>
      </c>
      <c r="N726" s="34" t="str">
        <f>IF($J726=FALSE(),"",IF(발주접수!$F75="세트",발주접수!$G75*IFERROR(INDEX(세트구성!$E$3:$E$302,MATCH(발주접수!$D75&amp;"|"&amp;1,세트구성!$G$3:$G$302,0)),0),발주접수!$G75))</f>
        <v/>
      </c>
      <c r="O726" s="34" t="str">
        <f>IF($J726=FALSE(),"",발주접수!$B75)</f>
        <v/>
      </c>
      <c r="P726" s="34" t="str">
        <f>IF($J726=FALSE(),"",발주접수!$C75)</f>
        <v/>
      </c>
      <c r="Q726" s="34" t="str">
        <f>IF($J726=FALSE(),"",IF(발주접수!$F75="세트",발주접수!$E75&amp;" 전개","직접 발주"))</f>
        <v/>
      </c>
    </row>
    <row r="727" ht="15" customHeight="1" s="30">
      <c r="J727" s="50" t="b">
        <f>IF(발주접수!$D75="",FALSE(),IF(발주접수!$F75="세트",COUNTIF(세트구성!$G$3:$G$302,발주접수!$D75&amp;"|"&amp;2)&gt;0,1=0))</f>
        <v>0</v>
      </c>
      <c r="K727" s="34" t="str">
        <f>IF($J727=FALSE(),"",COUNTIF($J$6:$J727,TRUE()))</f>
        <v/>
      </c>
      <c r="L727" s="34" t="str">
        <f>IF($K727="","","R"&amp;$K727)</f>
        <v/>
      </c>
      <c r="M727" s="34" t="str">
        <f>IF($J727=FALSE(),"",IF(발주접수!$F75="세트",IFERROR(INDEX(세트구성!$C$3:$C$302,MATCH(발주접수!$D75&amp;"|"&amp;2,세트구성!$G$3:$G$302,0)),""),발주접수!$D75))</f>
        <v/>
      </c>
      <c r="N727" s="34" t="str">
        <f>IF($J727=FALSE(),"",IF(발주접수!$F75="세트",발주접수!$G75*IFERROR(INDEX(세트구성!$E$3:$E$302,MATCH(발주접수!$D75&amp;"|"&amp;2,세트구성!$G$3:$G$302,0)),0),발주접수!$G75))</f>
        <v/>
      </c>
      <c r="O727" s="34" t="str">
        <f>IF($J727=FALSE(),"",발주접수!$B75)</f>
        <v/>
      </c>
      <c r="P727" s="34" t="str">
        <f>IF($J727=FALSE(),"",발주접수!$C75)</f>
        <v/>
      </c>
      <c r="Q727" s="34" t="str">
        <f>IF($J727=FALSE(),"",IF(발주접수!$F75="세트",발주접수!$E75&amp;" 전개","직접 발주"))</f>
        <v/>
      </c>
    </row>
    <row r="728" ht="15" customHeight="1" s="30">
      <c r="J728" s="50" t="b">
        <f>IF(발주접수!$D75="",FALSE(),IF(발주접수!$F75="세트",COUNTIF(세트구성!$G$3:$G$302,발주접수!$D75&amp;"|"&amp;3)&gt;0,2=0))</f>
        <v>0</v>
      </c>
      <c r="K728" s="34" t="str">
        <f>IF($J728=FALSE(),"",COUNTIF($J$6:$J728,TRUE()))</f>
        <v/>
      </c>
      <c r="L728" s="34" t="str">
        <f>IF($K728="","","R"&amp;$K728)</f>
        <v/>
      </c>
      <c r="M728" s="34" t="str">
        <f>IF($J728=FALSE(),"",IF(발주접수!$F75="세트",IFERROR(INDEX(세트구성!$C$3:$C$302,MATCH(발주접수!$D75&amp;"|"&amp;3,세트구성!$G$3:$G$302,0)),""),발주접수!$D75))</f>
        <v/>
      </c>
      <c r="N728" s="34" t="str">
        <f>IF($J728=FALSE(),"",IF(발주접수!$F75="세트",발주접수!$G75*IFERROR(INDEX(세트구성!$E$3:$E$302,MATCH(발주접수!$D75&amp;"|"&amp;3,세트구성!$G$3:$G$302,0)),0),발주접수!$G75))</f>
        <v/>
      </c>
      <c r="O728" s="34" t="str">
        <f>IF($J728=FALSE(),"",발주접수!$B75)</f>
        <v/>
      </c>
      <c r="P728" s="34" t="str">
        <f>IF($J728=FALSE(),"",발주접수!$C75)</f>
        <v/>
      </c>
      <c r="Q728" s="34" t="str">
        <f>IF($J728=FALSE(),"",IF(발주접수!$F75="세트",발주접수!$E75&amp;" 전개","직접 발주"))</f>
        <v/>
      </c>
    </row>
    <row r="729" ht="15" customHeight="1" s="30">
      <c r="J729" s="50" t="b">
        <f>IF(발주접수!$D75="",FALSE(),IF(발주접수!$F75="세트",COUNTIF(세트구성!$G$3:$G$302,발주접수!$D75&amp;"|"&amp;4)&gt;0,3=0))</f>
        <v>0</v>
      </c>
      <c r="K729" s="34" t="str">
        <f>IF($J729=FALSE(),"",COUNTIF($J$6:$J729,TRUE()))</f>
        <v/>
      </c>
      <c r="L729" s="34" t="str">
        <f>IF($K729="","","R"&amp;$K729)</f>
        <v/>
      </c>
      <c r="M729" s="34" t="str">
        <f>IF($J729=FALSE(),"",IF(발주접수!$F75="세트",IFERROR(INDEX(세트구성!$C$3:$C$302,MATCH(발주접수!$D75&amp;"|"&amp;4,세트구성!$G$3:$G$302,0)),""),발주접수!$D75))</f>
        <v/>
      </c>
      <c r="N729" s="34" t="str">
        <f>IF($J729=FALSE(),"",IF(발주접수!$F75="세트",발주접수!$G75*IFERROR(INDEX(세트구성!$E$3:$E$302,MATCH(발주접수!$D75&amp;"|"&amp;4,세트구성!$G$3:$G$302,0)),0),발주접수!$G75))</f>
        <v/>
      </c>
      <c r="O729" s="34" t="str">
        <f>IF($J729=FALSE(),"",발주접수!$B75)</f>
        <v/>
      </c>
      <c r="P729" s="34" t="str">
        <f>IF($J729=FALSE(),"",발주접수!$C75)</f>
        <v/>
      </c>
      <c r="Q729" s="34" t="str">
        <f>IF($J729=FALSE(),"",IF(발주접수!$F75="세트",발주접수!$E75&amp;" 전개","직접 발주"))</f>
        <v/>
      </c>
    </row>
    <row r="730" ht="15" customHeight="1" s="30">
      <c r="J730" s="50" t="b">
        <f>IF(발주접수!$D75="",FALSE(),IF(발주접수!$F75="세트",COUNTIF(세트구성!$G$3:$G$302,발주접수!$D75&amp;"|"&amp;5)&gt;0,4=0))</f>
        <v>0</v>
      </c>
      <c r="K730" s="34" t="str">
        <f>IF($J730=FALSE(),"",COUNTIF($J$6:$J730,TRUE()))</f>
        <v/>
      </c>
      <c r="L730" s="34" t="str">
        <f>IF($K730="","","R"&amp;$K730)</f>
        <v/>
      </c>
      <c r="M730" s="34" t="str">
        <f>IF($J730=FALSE(),"",IF(발주접수!$F75="세트",IFERROR(INDEX(세트구성!$C$3:$C$302,MATCH(발주접수!$D75&amp;"|"&amp;5,세트구성!$G$3:$G$302,0)),""),발주접수!$D75))</f>
        <v/>
      </c>
      <c r="N730" s="34" t="str">
        <f>IF($J730=FALSE(),"",IF(발주접수!$F75="세트",발주접수!$G75*IFERROR(INDEX(세트구성!$E$3:$E$302,MATCH(발주접수!$D75&amp;"|"&amp;5,세트구성!$G$3:$G$302,0)),0),발주접수!$G75))</f>
        <v/>
      </c>
      <c r="O730" s="34" t="str">
        <f>IF($J730=FALSE(),"",발주접수!$B75)</f>
        <v/>
      </c>
      <c r="P730" s="34" t="str">
        <f>IF($J730=FALSE(),"",발주접수!$C75)</f>
        <v/>
      </c>
      <c r="Q730" s="34" t="str">
        <f>IF($J730=FALSE(),"",IF(발주접수!$F75="세트",발주접수!$E75&amp;" 전개","직접 발주"))</f>
        <v/>
      </c>
    </row>
    <row r="731" ht="15" customHeight="1" s="30">
      <c r="J731" s="50" t="b">
        <f>IF(발주접수!$D75="",FALSE(),IF(발주접수!$F75="세트",COUNTIF(세트구성!$G$3:$G$302,발주접수!$D75&amp;"|"&amp;6)&gt;0,5=0))</f>
        <v>0</v>
      </c>
      <c r="K731" s="34" t="str">
        <f>IF($J731=FALSE(),"",COUNTIF($J$6:$J731,TRUE()))</f>
        <v/>
      </c>
      <c r="L731" s="34" t="str">
        <f>IF($K731="","","R"&amp;$K731)</f>
        <v/>
      </c>
      <c r="M731" s="34" t="str">
        <f>IF($J731=FALSE(),"",IF(발주접수!$F75="세트",IFERROR(INDEX(세트구성!$C$3:$C$302,MATCH(발주접수!$D75&amp;"|"&amp;6,세트구성!$G$3:$G$302,0)),""),발주접수!$D75))</f>
        <v/>
      </c>
      <c r="N731" s="34" t="str">
        <f>IF($J731=FALSE(),"",IF(발주접수!$F75="세트",발주접수!$G75*IFERROR(INDEX(세트구성!$E$3:$E$302,MATCH(발주접수!$D75&amp;"|"&amp;6,세트구성!$G$3:$G$302,0)),0),발주접수!$G75))</f>
        <v/>
      </c>
      <c r="O731" s="34" t="str">
        <f>IF($J731=FALSE(),"",발주접수!$B75)</f>
        <v/>
      </c>
      <c r="P731" s="34" t="str">
        <f>IF($J731=FALSE(),"",발주접수!$C75)</f>
        <v/>
      </c>
      <c r="Q731" s="34" t="str">
        <f>IF($J731=FALSE(),"",IF(발주접수!$F75="세트",발주접수!$E75&amp;" 전개","직접 발주"))</f>
        <v/>
      </c>
    </row>
    <row r="732" ht="15" customHeight="1" s="30">
      <c r="J732" s="50" t="b">
        <f>IF(발주접수!$D75="",FALSE(),IF(발주접수!$F75="세트",COUNTIF(세트구성!$G$3:$G$302,발주접수!$D75&amp;"|"&amp;7)&gt;0,6=0))</f>
        <v>0</v>
      </c>
      <c r="K732" s="34" t="str">
        <f>IF($J732=FALSE(),"",COUNTIF($J$6:$J732,TRUE()))</f>
        <v/>
      </c>
      <c r="L732" s="34" t="str">
        <f>IF($K732="","","R"&amp;$K732)</f>
        <v/>
      </c>
      <c r="M732" s="34" t="str">
        <f>IF($J732=FALSE(),"",IF(발주접수!$F75="세트",IFERROR(INDEX(세트구성!$C$3:$C$302,MATCH(발주접수!$D75&amp;"|"&amp;7,세트구성!$G$3:$G$302,0)),""),발주접수!$D75))</f>
        <v/>
      </c>
      <c r="N732" s="34" t="str">
        <f>IF($J732=FALSE(),"",IF(발주접수!$F75="세트",발주접수!$G75*IFERROR(INDEX(세트구성!$E$3:$E$302,MATCH(발주접수!$D75&amp;"|"&amp;7,세트구성!$G$3:$G$302,0)),0),발주접수!$G75))</f>
        <v/>
      </c>
      <c r="O732" s="34" t="str">
        <f>IF($J732=FALSE(),"",발주접수!$B75)</f>
        <v/>
      </c>
      <c r="P732" s="34" t="str">
        <f>IF($J732=FALSE(),"",발주접수!$C75)</f>
        <v/>
      </c>
      <c r="Q732" s="34" t="str">
        <f>IF($J732=FALSE(),"",IF(발주접수!$F75="세트",발주접수!$E75&amp;" 전개","직접 발주"))</f>
        <v/>
      </c>
    </row>
    <row r="733" ht="15" customHeight="1" s="30">
      <c r="J733" s="50" t="b">
        <f>IF(발주접수!$D75="",FALSE(),IF(발주접수!$F75="세트",COUNTIF(세트구성!$G$3:$G$302,발주접수!$D75&amp;"|"&amp;8)&gt;0,7=0))</f>
        <v>0</v>
      </c>
      <c r="K733" s="34" t="str">
        <f>IF($J733=FALSE(),"",COUNTIF($J$6:$J733,TRUE()))</f>
        <v/>
      </c>
      <c r="L733" s="34" t="str">
        <f>IF($K733="","","R"&amp;$K733)</f>
        <v/>
      </c>
      <c r="M733" s="34" t="str">
        <f>IF($J733=FALSE(),"",IF(발주접수!$F75="세트",IFERROR(INDEX(세트구성!$C$3:$C$302,MATCH(발주접수!$D75&amp;"|"&amp;8,세트구성!$G$3:$G$302,0)),""),발주접수!$D75))</f>
        <v/>
      </c>
      <c r="N733" s="34" t="str">
        <f>IF($J733=FALSE(),"",IF(발주접수!$F75="세트",발주접수!$G75*IFERROR(INDEX(세트구성!$E$3:$E$302,MATCH(발주접수!$D75&amp;"|"&amp;8,세트구성!$G$3:$G$302,0)),0),발주접수!$G75))</f>
        <v/>
      </c>
      <c r="O733" s="34" t="str">
        <f>IF($J733=FALSE(),"",발주접수!$B75)</f>
        <v/>
      </c>
      <c r="P733" s="34" t="str">
        <f>IF($J733=FALSE(),"",발주접수!$C75)</f>
        <v/>
      </c>
      <c r="Q733" s="34" t="str">
        <f>IF($J733=FALSE(),"",IF(발주접수!$F75="세트",발주접수!$E75&amp;" 전개","직접 발주"))</f>
        <v/>
      </c>
    </row>
    <row r="734" ht="15" customHeight="1" s="30">
      <c r="J734" s="50" t="b">
        <f>IF(발주접수!$D75="",FALSE(),IF(발주접수!$F75="세트",COUNTIF(세트구성!$G$3:$G$302,발주접수!$D75&amp;"|"&amp;9)&gt;0,8=0))</f>
        <v>0</v>
      </c>
      <c r="K734" s="34" t="str">
        <f>IF($J734=FALSE(),"",COUNTIF($J$6:$J734,TRUE()))</f>
        <v/>
      </c>
      <c r="L734" s="34" t="str">
        <f>IF($K734="","","R"&amp;$K734)</f>
        <v/>
      </c>
      <c r="M734" s="34" t="str">
        <f>IF($J734=FALSE(),"",IF(발주접수!$F75="세트",IFERROR(INDEX(세트구성!$C$3:$C$302,MATCH(발주접수!$D75&amp;"|"&amp;9,세트구성!$G$3:$G$302,0)),""),발주접수!$D75))</f>
        <v/>
      </c>
      <c r="N734" s="34" t="str">
        <f>IF($J734=FALSE(),"",IF(발주접수!$F75="세트",발주접수!$G75*IFERROR(INDEX(세트구성!$E$3:$E$302,MATCH(발주접수!$D75&amp;"|"&amp;9,세트구성!$G$3:$G$302,0)),0),발주접수!$G75))</f>
        <v/>
      </c>
      <c r="O734" s="34" t="str">
        <f>IF($J734=FALSE(),"",발주접수!$B75)</f>
        <v/>
      </c>
      <c r="P734" s="34" t="str">
        <f>IF($J734=FALSE(),"",발주접수!$C75)</f>
        <v/>
      </c>
      <c r="Q734" s="34" t="str">
        <f>IF($J734=FALSE(),"",IF(발주접수!$F75="세트",발주접수!$E75&amp;" 전개","직접 발주"))</f>
        <v/>
      </c>
    </row>
    <row r="735" ht="15" customHeight="1" s="30">
      <c r="J735" s="50" t="b">
        <f>IF(발주접수!$D75="",FALSE(),IF(발주접수!$F75="세트",COUNTIF(세트구성!$G$3:$G$302,발주접수!$D75&amp;"|"&amp;10)&gt;0,9=0))</f>
        <v>0</v>
      </c>
      <c r="K735" s="34" t="str">
        <f>IF($J735=FALSE(),"",COUNTIF($J$6:$J735,TRUE()))</f>
        <v/>
      </c>
      <c r="L735" s="34" t="str">
        <f>IF($K735="","","R"&amp;$K735)</f>
        <v/>
      </c>
      <c r="M735" s="34" t="str">
        <f>IF($J735=FALSE(),"",IF(발주접수!$F75="세트",IFERROR(INDEX(세트구성!$C$3:$C$302,MATCH(발주접수!$D75&amp;"|"&amp;10,세트구성!$G$3:$G$302,0)),""),발주접수!$D75))</f>
        <v/>
      </c>
      <c r="N735" s="34" t="str">
        <f>IF($J735=FALSE(),"",IF(발주접수!$F75="세트",발주접수!$G75*IFERROR(INDEX(세트구성!$E$3:$E$302,MATCH(발주접수!$D75&amp;"|"&amp;10,세트구성!$G$3:$G$302,0)),0),발주접수!$G75))</f>
        <v/>
      </c>
      <c r="O735" s="34" t="str">
        <f>IF($J735=FALSE(),"",발주접수!$B75)</f>
        <v/>
      </c>
      <c r="P735" s="34" t="str">
        <f>IF($J735=FALSE(),"",발주접수!$C75)</f>
        <v/>
      </c>
      <c r="Q735" s="34" t="str">
        <f>IF($J735=FALSE(),"",IF(발주접수!$F75="세트",발주접수!$E75&amp;" 전개","직접 발주"))</f>
        <v/>
      </c>
    </row>
    <row r="736" ht="15" customHeight="1" s="30">
      <c r="J736" s="50" t="b">
        <f>IF(발주접수!$D76="",FALSE(),IF(발주접수!$F76="세트",COUNTIF(세트구성!$G$3:$G$302,발주접수!$D76&amp;"|"&amp;1)&gt;0,0=0))</f>
        <v>0</v>
      </c>
      <c r="K736" s="34" t="str">
        <f>IF($J736=FALSE(),"",COUNTIF($J$6:$J736,TRUE()))</f>
        <v/>
      </c>
      <c r="L736" s="34" t="str">
        <f>IF($K736="","","R"&amp;$K736)</f>
        <v/>
      </c>
      <c r="M736" s="34" t="str">
        <f>IF($J736=FALSE(),"",IF(발주접수!$F76="세트",IFERROR(INDEX(세트구성!$C$3:$C$302,MATCH(발주접수!$D76&amp;"|"&amp;1,세트구성!$G$3:$G$302,0)),""),발주접수!$D76))</f>
        <v/>
      </c>
      <c r="N736" s="34" t="str">
        <f>IF($J736=FALSE(),"",IF(발주접수!$F76="세트",발주접수!$G76*IFERROR(INDEX(세트구성!$E$3:$E$302,MATCH(발주접수!$D76&amp;"|"&amp;1,세트구성!$G$3:$G$302,0)),0),발주접수!$G76))</f>
        <v/>
      </c>
      <c r="O736" s="34" t="str">
        <f>IF($J736=FALSE(),"",발주접수!$B76)</f>
        <v/>
      </c>
      <c r="P736" s="34" t="str">
        <f>IF($J736=FALSE(),"",발주접수!$C76)</f>
        <v/>
      </c>
      <c r="Q736" s="34" t="str">
        <f>IF($J736=FALSE(),"",IF(발주접수!$F76="세트",발주접수!$E76&amp;" 전개","직접 발주"))</f>
        <v/>
      </c>
    </row>
    <row r="737" ht="15" customHeight="1" s="30">
      <c r="J737" s="50" t="b">
        <f>IF(발주접수!$D76="",FALSE(),IF(발주접수!$F76="세트",COUNTIF(세트구성!$G$3:$G$302,발주접수!$D76&amp;"|"&amp;2)&gt;0,1=0))</f>
        <v>0</v>
      </c>
      <c r="K737" s="34" t="str">
        <f>IF($J737=FALSE(),"",COUNTIF($J$6:$J737,TRUE()))</f>
        <v/>
      </c>
      <c r="L737" s="34" t="str">
        <f>IF($K737="","","R"&amp;$K737)</f>
        <v/>
      </c>
      <c r="M737" s="34" t="str">
        <f>IF($J737=FALSE(),"",IF(발주접수!$F76="세트",IFERROR(INDEX(세트구성!$C$3:$C$302,MATCH(발주접수!$D76&amp;"|"&amp;2,세트구성!$G$3:$G$302,0)),""),발주접수!$D76))</f>
        <v/>
      </c>
      <c r="N737" s="34" t="str">
        <f>IF($J737=FALSE(),"",IF(발주접수!$F76="세트",발주접수!$G76*IFERROR(INDEX(세트구성!$E$3:$E$302,MATCH(발주접수!$D76&amp;"|"&amp;2,세트구성!$G$3:$G$302,0)),0),발주접수!$G76))</f>
        <v/>
      </c>
      <c r="O737" s="34" t="str">
        <f>IF($J737=FALSE(),"",발주접수!$B76)</f>
        <v/>
      </c>
      <c r="P737" s="34" t="str">
        <f>IF($J737=FALSE(),"",발주접수!$C76)</f>
        <v/>
      </c>
      <c r="Q737" s="34" t="str">
        <f>IF($J737=FALSE(),"",IF(발주접수!$F76="세트",발주접수!$E76&amp;" 전개","직접 발주"))</f>
        <v/>
      </c>
    </row>
    <row r="738" ht="15" customHeight="1" s="30">
      <c r="J738" s="50" t="b">
        <f>IF(발주접수!$D76="",FALSE(),IF(발주접수!$F76="세트",COUNTIF(세트구성!$G$3:$G$302,발주접수!$D76&amp;"|"&amp;3)&gt;0,2=0))</f>
        <v>0</v>
      </c>
      <c r="K738" s="34" t="str">
        <f>IF($J738=FALSE(),"",COUNTIF($J$6:$J738,TRUE()))</f>
        <v/>
      </c>
      <c r="L738" s="34" t="str">
        <f>IF($K738="","","R"&amp;$K738)</f>
        <v/>
      </c>
      <c r="M738" s="34" t="str">
        <f>IF($J738=FALSE(),"",IF(발주접수!$F76="세트",IFERROR(INDEX(세트구성!$C$3:$C$302,MATCH(발주접수!$D76&amp;"|"&amp;3,세트구성!$G$3:$G$302,0)),""),발주접수!$D76))</f>
        <v/>
      </c>
      <c r="N738" s="34" t="str">
        <f>IF($J738=FALSE(),"",IF(발주접수!$F76="세트",발주접수!$G76*IFERROR(INDEX(세트구성!$E$3:$E$302,MATCH(발주접수!$D76&amp;"|"&amp;3,세트구성!$G$3:$G$302,0)),0),발주접수!$G76))</f>
        <v/>
      </c>
      <c r="O738" s="34" t="str">
        <f>IF($J738=FALSE(),"",발주접수!$B76)</f>
        <v/>
      </c>
      <c r="P738" s="34" t="str">
        <f>IF($J738=FALSE(),"",발주접수!$C76)</f>
        <v/>
      </c>
      <c r="Q738" s="34" t="str">
        <f>IF($J738=FALSE(),"",IF(발주접수!$F76="세트",발주접수!$E76&amp;" 전개","직접 발주"))</f>
        <v/>
      </c>
    </row>
    <row r="739" ht="15" customHeight="1" s="30">
      <c r="J739" s="50" t="b">
        <f>IF(발주접수!$D76="",FALSE(),IF(발주접수!$F76="세트",COUNTIF(세트구성!$G$3:$G$302,발주접수!$D76&amp;"|"&amp;4)&gt;0,3=0))</f>
        <v>0</v>
      </c>
      <c r="K739" s="34" t="str">
        <f>IF($J739=FALSE(),"",COUNTIF($J$6:$J739,TRUE()))</f>
        <v/>
      </c>
      <c r="L739" s="34" t="str">
        <f>IF($K739="","","R"&amp;$K739)</f>
        <v/>
      </c>
      <c r="M739" s="34" t="str">
        <f>IF($J739=FALSE(),"",IF(발주접수!$F76="세트",IFERROR(INDEX(세트구성!$C$3:$C$302,MATCH(발주접수!$D76&amp;"|"&amp;4,세트구성!$G$3:$G$302,0)),""),발주접수!$D76))</f>
        <v/>
      </c>
      <c r="N739" s="34" t="str">
        <f>IF($J739=FALSE(),"",IF(발주접수!$F76="세트",발주접수!$G76*IFERROR(INDEX(세트구성!$E$3:$E$302,MATCH(발주접수!$D76&amp;"|"&amp;4,세트구성!$G$3:$G$302,0)),0),발주접수!$G76))</f>
        <v/>
      </c>
      <c r="O739" s="34" t="str">
        <f>IF($J739=FALSE(),"",발주접수!$B76)</f>
        <v/>
      </c>
      <c r="P739" s="34" t="str">
        <f>IF($J739=FALSE(),"",발주접수!$C76)</f>
        <v/>
      </c>
      <c r="Q739" s="34" t="str">
        <f>IF($J739=FALSE(),"",IF(발주접수!$F76="세트",발주접수!$E76&amp;" 전개","직접 발주"))</f>
        <v/>
      </c>
    </row>
    <row r="740" ht="15" customHeight="1" s="30">
      <c r="J740" s="50" t="b">
        <f>IF(발주접수!$D76="",FALSE(),IF(발주접수!$F76="세트",COUNTIF(세트구성!$G$3:$G$302,발주접수!$D76&amp;"|"&amp;5)&gt;0,4=0))</f>
        <v>0</v>
      </c>
      <c r="K740" s="34" t="str">
        <f>IF($J740=FALSE(),"",COUNTIF($J$6:$J740,TRUE()))</f>
        <v/>
      </c>
      <c r="L740" s="34" t="str">
        <f>IF($K740="","","R"&amp;$K740)</f>
        <v/>
      </c>
      <c r="M740" s="34" t="str">
        <f>IF($J740=FALSE(),"",IF(발주접수!$F76="세트",IFERROR(INDEX(세트구성!$C$3:$C$302,MATCH(발주접수!$D76&amp;"|"&amp;5,세트구성!$G$3:$G$302,0)),""),발주접수!$D76))</f>
        <v/>
      </c>
      <c r="N740" s="34" t="str">
        <f>IF($J740=FALSE(),"",IF(발주접수!$F76="세트",발주접수!$G76*IFERROR(INDEX(세트구성!$E$3:$E$302,MATCH(발주접수!$D76&amp;"|"&amp;5,세트구성!$G$3:$G$302,0)),0),발주접수!$G76))</f>
        <v/>
      </c>
      <c r="O740" s="34" t="str">
        <f>IF($J740=FALSE(),"",발주접수!$B76)</f>
        <v/>
      </c>
      <c r="P740" s="34" t="str">
        <f>IF($J740=FALSE(),"",발주접수!$C76)</f>
        <v/>
      </c>
      <c r="Q740" s="34" t="str">
        <f>IF($J740=FALSE(),"",IF(발주접수!$F76="세트",발주접수!$E76&amp;" 전개","직접 발주"))</f>
        <v/>
      </c>
    </row>
    <row r="741" ht="15" customHeight="1" s="30">
      <c r="J741" s="50" t="b">
        <f>IF(발주접수!$D76="",FALSE(),IF(발주접수!$F76="세트",COUNTIF(세트구성!$G$3:$G$302,발주접수!$D76&amp;"|"&amp;6)&gt;0,5=0))</f>
        <v>0</v>
      </c>
      <c r="K741" s="34" t="str">
        <f>IF($J741=FALSE(),"",COUNTIF($J$6:$J741,TRUE()))</f>
        <v/>
      </c>
      <c r="L741" s="34" t="str">
        <f>IF($K741="","","R"&amp;$K741)</f>
        <v/>
      </c>
      <c r="M741" s="34" t="str">
        <f>IF($J741=FALSE(),"",IF(발주접수!$F76="세트",IFERROR(INDEX(세트구성!$C$3:$C$302,MATCH(발주접수!$D76&amp;"|"&amp;6,세트구성!$G$3:$G$302,0)),""),발주접수!$D76))</f>
        <v/>
      </c>
      <c r="N741" s="34" t="str">
        <f>IF($J741=FALSE(),"",IF(발주접수!$F76="세트",발주접수!$G76*IFERROR(INDEX(세트구성!$E$3:$E$302,MATCH(발주접수!$D76&amp;"|"&amp;6,세트구성!$G$3:$G$302,0)),0),발주접수!$G76))</f>
        <v/>
      </c>
      <c r="O741" s="34" t="str">
        <f>IF($J741=FALSE(),"",발주접수!$B76)</f>
        <v/>
      </c>
      <c r="P741" s="34" t="str">
        <f>IF($J741=FALSE(),"",발주접수!$C76)</f>
        <v/>
      </c>
      <c r="Q741" s="34" t="str">
        <f>IF($J741=FALSE(),"",IF(발주접수!$F76="세트",발주접수!$E76&amp;" 전개","직접 발주"))</f>
        <v/>
      </c>
    </row>
    <row r="742" ht="15" customHeight="1" s="30">
      <c r="J742" s="50" t="b">
        <f>IF(발주접수!$D76="",FALSE(),IF(발주접수!$F76="세트",COUNTIF(세트구성!$G$3:$G$302,발주접수!$D76&amp;"|"&amp;7)&gt;0,6=0))</f>
        <v>0</v>
      </c>
      <c r="K742" s="34" t="str">
        <f>IF($J742=FALSE(),"",COUNTIF($J$6:$J742,TRUE()))</f>
        <v/>
      </c>
      <c r="L742" s="34" t="str">
        <f>IF($K742="","","R"&amp;$K742)</f>
        <v/>
      </c>
      <c r="M742" s="34" t="str">
        <f>IF($J742=FALSE(),"",IF(발주접수!$F76="세트",IFERROR(INDEX(세트구성!$C$3:$C$302,MATCH(발주접수!$D76&amp;"|"&amp;7,세트구성!$G$3:$G$302,0)),""),발주접수!$D76))</f>
        <v/>
      </c>
      <c r="N742" s="34" t="str">
        <f>IF($J742=FALSE(),"",IF(발주접수!$F76="세트",발주접수!$G76*IFERROR(INDEX(세트구성!$E$3:$E$302,MATCH(발주접수!$D76&amp;"|"&amp;7,세트구성!$G$3:$G$302,0)),0),발주접수!$G76))</f>
        <v/>
      </c>
      <c r="O742" s="34" t="str">
        <f>IF($J742=FALSE(),"",발주접수!$B76)</f>
        <v/>
      </c>
      <c r="P742" s="34" t="str">
        <f>IF($J742=FALSE(),"",발주접수!$C76)</f>
        <v/>
      </c>
      <c r="Q742" s="34" t="str">
        <f>IF($J742=FALSE(),"",IF(발주접수!$F76="세트",발주접수!$E76&amp;" 전개","직접 발주"))</f>
        <v/>
      </c>
    </row>
    <row r="743" ht="15" customHeight="1" s="30">
      <c r="J743" s="50" t="b">
        <f>IF(발주접수!$D76="",FALSE(),IF(발주접수!$F76="세트",COUNTIF(세트구성!$G$3:$G$302,발주접수!$D76&amp;"|"&amp;8)&gt;0,7=0))</f>
        <v>0</v>
      </c>
      <c r="K743" s="34" t="str">
        <f>IF($J743=FALSE(),"",COUNTIF($J$6:$J743,TRUE()))</f>
        <v/>
      </c>
      <c r="L743" s="34" t="str">
        <f>IF($K743="","","R"&amp;$K743)</f>
        <v/>
      </c>
      <c r="M743" s="34" t="str">
        <f>IF($J743=FALSE(),"",IF(발주접수!$F76="세트",IFERROR(INDEX(세트구성!$C$3:$C$302,MATCH(발주접수!$D76&amp;"|"&amp;8,세트구성!$G$3:$G$302,0)),""),발주접수!$D76))</f>
        <v/>
      </c>
      <c r="N743" s="34" t="str">
        <f>IF($J743=FALSE(),"",IF(발주접수!$F76="세트",발주접수!$G76*IFERROR(INDEX(세트구성!$E$3:$E$302,MATCH(발주접수!$D76&amp;"|"&amp;8,세트구성!$G$3:$G$302,0)),0),발주접수!$G76))</f>
        <v/>
      </c>
      <c r="O743" s="34" t="str">
        <f>IF($J743=FALSE(),"",발주접수!$B76)</f>
        <v/>
      </c>
      <c r="P743" s="34" t="str">
        <f>IF($J743=FALSE(),"",발주접수!$C76)</f>
        <v/>
      </c>
      <c r="Q743" s="34" t="str">
        <f>IF($J743=FALSE(),"",IF(발주접수!$F76="세트",발주접수!$E76&amp;" 전개","직접 발주"))</f>
        <v/>
      </c>
    </row>
    <row r="744" ht="15" customHeight="1" s="30">
      <c r="J744" s="50" t="b">
        <f>IF(발주접수!$D76="",FALSE(),IF(발주접수!$F76="세트",COUNTIF(세트구성!$G$3:$G$302,발주접수!$D76&amp;"|"&amp;9)&gt;0,8=0))</f>
        <v>0</v>
      </c>
      <c r="K744" s="34" t="str">
        <f>IF($J744=FALSE(),"",COUNTIF($J$6:$J744,TRUE()))</f>
        <v/>
      </c>
      <c r="L744" s="34" t="str">
        <f>IF($K744="","","R"&amp;$K744)</f>
        <v/>
      </c>
      <c r="M744" s="34" t="str">
        <f>IF($J744=FALSE(),"",IF(발주접수!$F76="세트",IFERROR(INDEX(세트구성!$C$3:$C$302,MATCH(발주접수!$D76&amp;"|"&amp;9,세트구성!$G$3:$G$302,0)),""),발주접수!$D76))</f>
        <v/>
      </c>
      <c r="N744" s="34" t="str">
        <f>IF($J744=FALSE(),"",IF(발주접수!$F76="세트",발주접수!$G76*IFERROR(INDEX(세트구성!$E$3:$E$302,MATCH(발주접수!$D76&amp;"|"&amp;9,세트구성!$G$3:$G$302,0)),0),발주접수!$G76))</f>
        <v/>
      </c>
      <c r="O744" s="34" t="str">
        <f>IF($J744=FALSE(),"",발주접수!$B76)</f>
        <v/>
      </c>
      <c r="P744" s="34" t="str">
        <f>IF($J744=FALSE(),"",발주접수!$C76)</f>
        <v/>
      </c>
      <c r="Q744" s="34" t="str">
        <f>IF($J744=FALSE(),"",IF(발주접수!$F76="세트",발주접수!$E76&amp;" 전개","직접 발주"))</f>
        <v/>
      </c>
    </row>
    <row r="745" ht="15" customHeight="1" s="30">
      <c r="J745" s="50" t="b">
        <f>IF(발주접수!$D76="",FALSE(),IF(발주접수!$F76="세트",COUNTIF(세트구성!$G$3:$G$302,발주접수!$D76&amp;"|"&amp;10)&gt;0,9=0))</f>
        <v>0</v>
      </c>
      <c r="K745" s="34" t="str">
        <f>IF($J745=FALSE(),"",COUNTIF($J$6:$J745,TRUE()))</f>
        <v/>
      </c>
      <c r="L745" s="34" t="str">
        <f>IF($K745="","","R"&amp;$K745)</f>
        <v/>
      </c>
      <c r="M745" s="34" t="str">
        <f>IF($J745=FALSE(),"",IF(발주접수!$F76="세트",IFERROR(INDEX(세트구성!$C$3:$C$302,MATCH(발주접수!$D76&amp;"|"&amp;10,세트구성!$G$3:$G$302,0)),""),발주접수!$D76))</f>
        <v/>
      </c>
      <c r="N745" s="34" t="str">
        <f>IF($J745=FALSE(),"",IF(발주접수!$F76="세트",발주접수!$G76*IFERROR(INDEX(세트구성!$E$3:$E$302,MATCH(발주접수!$D76&amp;"|"&amp;10,세트구성!$G$3:$G$302,0)),0),발주접수!$G76))</f>
        <v/>
      </c>
      <c r="O745" s="34" t="str">
        <f>IF($J745=FALSE(),"",발주접수!$B76)</f>
        <v/>
      </c>
      <c r="P745" s="34" t="str">
        <f>IF($J745=FALSE(),"",발주접수!$C76)</f>
        <v/>
      </c>
      <c r="Q745" s="34" t="str">
        <f>IF($J745=FALSE(),"",IF(발주접수!$F76="세트",발주접수!$E76&amp;" 전개","직접 발주"))</f>
        <v/>
      </c>
    </row>
    <row r="746" ht="15" customHeight="1" s="30">
      <c r="J746" s="50" t="b">
        <f>IF(발주접수!$D77="",FALSE(),IF(발주접수!$F77="세트",COUNTIF(세트구성!$G$3:$G$302,발주접수!$D77&amp;"|"&amp;1)&gt;0,0=0))</f>
        <v>0</v>
      </c>
      <c r="K746" s="34" t="str">
        <f>IF($J746=FALSE(),"",COUNTIF($J$6:$J746,TRUE()))</f>
        <v/>
      </c>
      <c r="L746" s="34" t="str">
        <f>IF($K746="","","R"&amp;$K746)</f>
        <v/>
      </c>
      <c r="M746" s="34" t="str">
        <f>IF($J746=FALSE(),"",IF(발주접수!$F77="세트",IFERROR(INDEX(세트구성!$C$3:$C$302,MATCH(발주접수!$D77&amp;"|"&amp;1,세트구성!$G$3:$G$302,0)),""),발주접수!$D77))</f>
        <v/>
      </c>
      <c r="N746" s="34" t="str">
        <f>IF($J746=FALSE(),"",IF(발주접수!$F77="세트",발주접수!$G77*IFERROR(INDEX(세트구성!$E$3:$E$302,MATCH(발주접수!$D77&amp;"|"&amp;1,세트구성!$G$3:$G$302,0)),0),발주접수!$G77))</f>
        <v/>
      </c>
      <c r="O746" s="34" t="str">
        <f>IF($J746=FALSE(),"",발주접수!$B77)</f>
        <v/>
      </c>
      <c r="P746" s="34" t="str">
        <f>IF($J746=FALSE(),"",발주접수!$C77)</f>
        <v/>
      </c>
      <c r="Q746" s="34" t="str">
        <f>IF($J746=FALSE(),"",IF(발주접수!$F77="세트",발주접수!$E77&amp;" 전개","직접 발주"))</f>
        <v/>
      </c>
    </row>
    <row r="747" ht="15" customHeight="1" s="30">
      <c r="J747" s="50" t="b">
        <f>IF(발주접수!$D77="",FALSE(),IF(발주접수!$F77="세트",COUNTIF(세트구성!$G$3:$G$302,발주접수!$D77&amp;"|"&amp;2)&gt;0,1=0))</f>
        <v>0</v>
      </c>
      <c r="K747" s="34" t="str">
        <f>IF($J747=FALSE(),"",COUNTIF($J$6:$J747,TRUE()))</f>
        <v/>
      </c>
      <c r="L747" s="34" t="str">
        <f>IF($K747="","","R"&amp;$K747)</f>
        <v/>
      </c>
      <c r="M747" s="34" t="str">
        <f>IF($J747=FALSE(),"",IF(발주접수!$F77="세트",IFERROR(INDEX(세트구성!$C$3:$C$302,MATCH(발주접수!$D77&amp;"|"&amp;2,세트구성!$G$3:$G$302,0)),""),발주접수!$D77))</f>
        <v/>
      </c>
      <c r="N747" s="34" t="str">
        <f>IF($J747=FALSE(),"",IF(발주접수!$F77="세트",발주접수!$G77*IFERROR(INDEX(세트구성!$E$3:$E$302,MATCH(발주접수!$D77&amp;"|"&amp;2,세트구성!$G$3:$G$302,0)),0),발주접수!$G77))</f>
        <v/>
      </c>
      <c r="O747" s="34" t="str">
        <f>IF($J747=FALSE(),"",발주접수!$B77)</f>
        <v/>
      </c>
      <c r="P747" s="34" t="str">
        <f>IF($J747=FALSE(),"",발주접수!$C77)</f>
        <v/>
      </c>
      <c r="Q747" s="34" t="str">
        <f>IF($J747=FALSE(),"",IF(발주접수!$F77="세트",발주접수!$E77&amp;" 전개","직접 발주"))</f>
        <v/>
      </c>
    </row>
    <row r="748" ht="15" customHeight="1" s="30">
      <c r="J748" s="50" t="b">
        <f>IF(발주접수!$D77="",FALSE(),IF(발주접수!$F77="세트",COUNTIF(세트구성!$G$3:$G$302,발주접수!$D77&amp;"|"&amp;3)&gt;0,2=0))</f>
        <v>0</v>
      </c>
      <c r="K748" s="34" t="str">
        <f>IF($J748=FALSE(),"",COUNTIF($J$6:$J748,TRUE()))</f>
        <v/>
      </c>
      <c r="L748" s="34" t="str">
        <f>IF($K748="","","R"&amp;$K748)</f>
        <v/>
      </c>
      <c r="M748" s="34" t="str">
        <f>IF($J748=FALSE(),"",IF(발주접수!$F77="세트",IFERROR(INDEX(세트구성!$C$3:$C$302,MATCH(발주접수!$D77&amp;"|"&amp;3,세트구성!$G$3:$G$302,0)),""),발주접수!$D77))</f>
        <v/>
      </c>
      <c r="N748" s="34" t="str">
        <f>IF($J748=FALSE(),"",IF(발주접수!$F77="세트",발주접수!$G77*IFERROR(INDEX(세트구성!$E$3:$E$302,MATCH(발주접수!$D77&amp;"|"&amp;3,세트구성!$G$3:$G$302,0)),0),발주접수!$G77))</f>
        <v/>
      </c>
      <c r="O748" s="34" t="str">
        <f>IF($J748=FALSE(),"",발주접수!$B77)</f>
        <v/>
      </c>
      <c r="P748" s="34" t="str">
        <f>IF($J748=FALSE(),"",발주접수!$C77)</f>
        <v/>
      </c>
      <c r="Q748" s="34" t="str">
        <f>IF($J748=FALSE(),"",IF(발주접수!$F77="세트",발주접수!$E77&amp;" 전개","직접 발주"))</f>
        <v/>
      </c>
    </row>
    <row r="749" ht="15" customHeight="1" s="30">
      <c r="J749" s="50" t="b">
        <f>IF(발주접수!$D77="",FALSE(),IF(발주접수!$F77="세트",COUNTIF(세트구성!$G$3:$G$302,발주접수!$D77&amp;"|"&amp;4)&gt;0,3=0))</f>
        <v>0</v>
      </c>
      <c r="K749" s="34" t="str">
        <f>IF($J749=FALSE(),"",COUNTIF($J$6:$J749,TRUE()))</f>
        <v/>
      </c>
      <c r="L749" s="34" t="str">
        <f>IF($K749="","","R"&amp;$K749)</f>
        <v/>
      </c>
      <c r="M749" s="34" t="str">
        <f>IF($J749=FALSE(),"",IF(발주접수!$F77="세트",IFERROR(INDEX(세트구성!$C$3:$C$302,MATCH(발주접수!$D77&amp;"|"&amp;4,세트구성!$G$3:$G$302,0)),""),발주접수!$D77))</f>
        <v/>
      </c>
      <c r="N749" s="34" t="str">
        <f>IF($J749=FALSE(),"",IF(발주접수!$F77="세트",발주접수!$G77*IFERROR(INDEX(세트구성!$E$3:$E$302,MATCH(발주접수!$D77&amp;"|"&amp;4,세트구성!$G$3:$G$302,0)),0),발주접수!$G77))</f>
        <v/>
      </c>
      <c r="O749" s="34" t="str">
        <f>IF($J749=FALSE(),"",발주접수!$B77)</f>
        <v/>
      </c>
      <c r="P749" s="34" t="str">
        <f>IF($J749=FALSE(),"",발주접수!$C77)</f>
        <v/>
      </c>
      <c r="Q749" s="34" t="str">
        <f>IF($J749=FALSE(),"",IF(발주접수!$F77="세트",발주접수!$E77&amp;" 전개","직접 발주"))</f>
        <v/>
      </c>
    </row>
    <row r="750" ht="15" customHeight="1" s="30">
      <c r="J750" s="50" t="b">
        <f>IF(발주접수!$D77="",FALSE(),IF(발주접수!$F77="세트",COUNTIF(세트구성!$G$3:$G$302,발주접수!$D77&amp;"|"&amp;5)&gt;0,4=0))</f>
        <v>0</v>
      </c>
      <c r="K750" s="34" t="str">
        <f>IF($J750=FALSE(),"",COUNTIF($J$6:$J750,TRUE()))</f>
        <v/>
      </c>
      <c r="L750" s="34" t="str">
        <f>IF($K750="","","R"&amp;$K750)</f>
        <v/>
      </c>
      <c r="M750" s="34" t="str">
        <f>IF($J750=FALSE(),"",IF(발주접수!$F77="세트",IFERROR(INDEX(세트구성!$C$3:$C$302,MATCH(발주접수!$D77&amp;"|"&amp;5,세트구성!$G$3:$G$302,0)),""),발주접수!$D77))</f>
        <v/>
      </c>
      <c r="N750" s="34" t="str">
        <f>IF($J750=FALSE(),"",IF(발주접수!$F77="세트",발주접수!$G77*IFERROR(INDEX(세트구성!$E$3:$E$302,MATCH(발주접수!$D77&amp;"|"&amp;5,세트구성!$G$3:$G$302,0)),0),발주접수!$G77))</f>
        <v/>
      </c>
      <c r="O750" s="34" t="str">
        <f>IF($J750=FALSE(),"",발주접수!$B77)</f>
        <v/>
      </c>
      <c r="P750" s="34" t="str">
        <f>IF($J750=FALSE(),"",발주접수!$C77)</f>
        <v/>
      </c>
      <c r="Q750" s="34" t="str">
        <f>IF($J750=FALSE(),"",IF(발주접수!$F77="세트",발주접수!$E77&amp;" 전개","직접 발주"))</f>
        <v/>
      </c>
    </row>
    <row r="751" ht="15" customHeight="1" s="30">
      <c r="J751" s="50" t="b">
        <f>IF(발주접수!$D77="",FALSE(),IF(발주접수!$F77="세트",COUNTIF(세트구성!$G$3:$G$302,발주접수!$D77&amp;"|"&amp;6)&gt;0,5=0))</f>
        <v>0</v>
      </c>
      <c r="K751" s="34" t="str">
        <f>IF($J751=FALSE(),"",COUNTIF($J$6:$J751,TRUE()))</f>
        <v/>
      </c>
      <c r="L751" s="34" t="str">
        <f>IF($K751="","","R"&amp;$K751)</f>
        <v/>
      </c>
      <c r="M751" s="34" t="str">
        <f>IF($J751=FALSE(),"",IF(발주접수!$F77="세트",IFERROR(INDEX(세트구성!$C$3:$C$302,MATCH(발주접수!$D77&amp;"|"&amp;6,세트구성!$G$3:$G$302,0)),""),발주접수!$D77))</f>
        <v/>
      </c>
      <c r="N751" s="34" t="str">
        <f>IF($J751=FALSE(),"",IF(발주접수!$F77="세트",발주접수!$G77*IFERROR(INDEX(세트구성!$E$3:$E$302,MATCH(발주접수!$D77&amp;"|"&amp;6,세트구성!$G$3:$G$302,0)),0),발주접수!$G77))</f>
        <v/>
      </c>
      <c r="O751" s="34" t="str">
        <f>IF($J751=FALSE(),"",발주접수!$B77)</f>
        <v/>
      </c>
      <c r="P751" s="34" t="str">
        <f>IF($J751=FALSE(),"",발주접수!$C77)</f>
        <v/>
      </c>
      <c r="Q751" s="34" t="str">
        <f>IF($J751=FALSE(),"",IF(발주접수!$F77="세트",발주접수!$E77&amp;" 전개","직접 발주"))</f>
        <v/>
      </c>
    </row>
    <row r="752" ht="15" customHeight="1" s="30">
      <c r="J752" s="50" t="b">
        <f>IF(발주접수!$D77="",FALSE(),IF(발주접수!$F77="세트",COUNTIF(세트구성!$G$3:$G$302,발주접수!$D77&amp;"|"&amp;7)&gt;0,6=0))</f>
        <v>0</v>
      </c>
      <c r="K752" s="34" t="str">
        <f>IF($J752=FALSE(),"",COUNTIF($J$6:$J752,TRUE()))</f>
        <v/>
      </c>
      <c r="L752" s="34" t="str">
        <f>IF($K752="","","R"&amp;$K752)</f>
        <v/>
      </c>
      <c r="M752" s="34" t="str">
        <f>IF($J752=FALSE(),"",IF(발주접수!$F77="세트",IFERROR(INDEX(세트구성!$C$3:$C$302,MATCH(발주접수!$D77&amp;"|"&amp;7,세트구성!$G$3:$G$302,0)),""),발주접수!$D77))</f>
        <v/>
      </c>
      <c r="N752" s="34" t="str">
        <f>IF($J752=FALSE(),"",IF(발주접수!$F77="세트",발주접수!$G77*IFERROR(INDEX(세트구성!$E$3:$E$302,MATCH(발주접수!$D77&amp;"|"&amp;7,세트구성!$G$3:$G$302,0)),0),발주접수!$G77))</f>
        <v/>
      </c>
      <c r="O752" s="34" t="str">
        <f>IF($J752=FALSE(),"",발주접수!$B77)</f>
        <v/>
      </c>
      <c r="P752" s="34" t="str">
        <f>IF($J752=FALSE(),"",발주접수!$C77)</f>
        <v/>
      </c>
      <c r="Q752" s="34" t="str">
        <f>IF($J752=FALSE(),"",IF(발주접수!$F77="세트",발주접수!$E77&amp;" 전개","직접 발주"))</f>
        <v/>
      </c>
    </row>
    <row r="753" ht="15" customHeight="1" s="30">
      <c r="J753" s="50" t="b">
        <f>IF(발주접수!$D77="",FALSE(),IF(발주접수!$F77="세트",COUNTIF(세트구성!$G$3:$G$302,발주접수!$D77&amp;"|"&amp;8)&gt;0,7=0))</f>
        <v>0</v>
      </c>
      <c r="K753" s="34" t="str">
        <f>IF($J753=FALSE(),"",COUNTIF($J$6:$J753,TRUE()))</f>
        <v/>
      </c>
      <c r="L753" s="34" t="str">
        <f>IF($K753="","","R"&amp;$K753)</f>
        <v/>
      </c>
      <c r="M753" s="34" t="str">
        <f>IF($J753=FALSE(),"",IF(발주접수!$F77="세트",IFERROR(INDEX(세트구성!$C$3:$C$302,MATCH(발주접수!$D77&amp;"|"&amp;8,세트구성!$G$3:$G$302,0)),""),발주접수!$D77))</f>
        <v/>
      </c>
      <c r="N753" s="34" t="str">
        <f>IF($J753=FALSE(),"",IF(발주접수!$F77="세트",발주접수!$G77*IFERROR(INDEX(세트구성!$E$3:$E$302,MATCH(발주접수!$D77&amp;"|"&amp;8,세트구성!$G$3:$G$302,0)),0),발주접수!$G77))</f>
        <v/>
      </c>
      <c r="O753" s="34" t="str">
        <f>IF($J753=FALSE(),"",발주접수!$B77)</f>
        <v/>
      </c>
      <c r="P753" s="34" t="str">
        <f>IF($J753=FALSE(),"",발주접수!$C77)</f>
        <v/>
      </c>
      <c r="Q753" s="34" t="str">
        <f>IF($J753=FALSE(),"",IF(발주접수!$F77="세트",발주접수!$E77&amp;" 전개","직접 발주"))</f>
        <v/>
      </c>
    </row>
    <row r="754" ht="15" customHeight="1" s="30">
      <c r="J754" s="50" t="b">
        <f>IF(발주접수!$D77="",FALSE(),IF(발주접수!$F77="세트",COUNTIF(세트구성!$G$3:$G$302,발주접수!$D77&amp;"|"&amp;9)&gt;0,8=0))</f>
        <v>0</v>
      </c>
      <c r="K754" s="34" t="str">
        <f>IF($J754=FALSE(),"",COUNTIF($J$6:$J754,TRUE()))</f>
        <v/>
      </c>
      <c r="L754" s="34" t="str">
        <f>IF($K754="","","R"&amp;$K754)</f>
        <v/>
      </c>
      <c r="M754" s="34" t="str">
        <f>IF($J754=FALSE(),"",IF(발주접수!$F77="세트",IFERROR(INDEX(세트구성!$C$3:$C$302,MATCH(발주접수!$D77&amp;"|"&amp;9,세트구성!$G$3:$G$302,0)),""),발주접수!$D77))</f>
        <v/>
      </c>
      <c r="N754" s="34" t="str">
        <f>IF($J754=FALSE(),"",IF(발주접수!$F77="세트",발주접수!$G77*IFERROR(INDEX(세트구성!$E$3:$E$302,MATCH(발주접수!$D77&amp;"|"&amp;9,세트구성!$G$3:$G$302,0)),0),발주접수!$G77))</f>
        <v/>
      </c>
      <c r="O754" s="34" t="str">
        <f>IF($J754=FALSE(),"",발주접수!$B77)</f>
        <v/>
      </c>
      <c r="P754" s="34" t="str">
        <f>IF($J754=FALSE(),"",발주접수!$C77)</f>
        <v/>
      </c>
      <c r="Q754" s="34" t="str">
        <f>IF($J754=FALSE(),"",IF(발주접수!$F77="세트",발주접수!$E77&amp;" 전개","직접 발주"))</f>
        <v/>
      </c>
    </row>
    <row r="755" ht="15" customHeight="1" s="30">
      <c r="J755" s="50" t="b">
        <f>IF(발주접수!$D77="",FALSE(),IF(발주접수!$F77="세트",COUNTIF(세트구성!$G$3:$G$302,발주접수!$D77&amp;"|"&amp;10)&gt;0,9=0))</f>
        <v>0</v>
      </c>
      <c r="K755" s="34" t="str">
        <f>IF($J755=FALSE(),"",COUNTIF($J$6:$J755,TRUE()))</f>
        <v/>
      </c>
      <c r="L755" s="34" t="str">
        <f>IF($K755="","","R"&amp;$K755)</f>
        <v/>
      </c>
      <c r="M755" s="34" t="str">
        <f>IF($J755=FALSE(),"",IF(발주접수!$F77="세트",IFERROR(INDEX(세트구성!$C$3:$C$302,MATCH(발주접수!$D77&amp;"|"&amp;10,세트구성!$G$3:$G$302,0)),""),발주접수!$D77))</f>
        <v/>
      </c>
      <c r="N755" s="34" t="str">
        <f>IF($J755=FALSE(),"",IF(발주접수!$F77="세트",발주접수!$G77*IFERROR(INDEX(세트구성!$E$3:$E$302,MATCH(발주접수!$D77&amp;"|"&amp;10,세트구성!$G$3:$G$302,0)),0),발주접수!$G77))</f>
        <v/>
      </c>
      <c r="O755" s="34" t="str">
        <f>IF($J755=FALSE(),"",발주접수!$B77)</f>
        <v/>
      </c>
      <c r="P755" s="34" t="str">
        <f>IF($J755=FALSE(),"",발주접수!$C77)</f>
        <v/>
      </c>
      <c r="Q755" s="34" t="str">
        <f>IF($J755=FALSE(),"",IF(발주접수!$F77="세트",발주접수!$E77&amp;" 전개","직접 발주"))</f>
        <v/>
      </c>
    </row>
    <row r="756" ht="15" customHeight="1" s="30">
      <c r="J756" s="50" t="b">
        <f>IF(발주접수!$D78="",FALSE(),IF(발주접수!$F78="세트",COUNTIF(세트구성!$G$3:$G$302,발주접수!$D78&amp;"|"&amp;1)&gt;0,0=0))</f>
        <v>0</v>
      </c>
      <c r="K756" s="34" t="str">
        <f>IF($J756=FALSE(),"",COUNTIF($J$6:$J756,TRUE()))</f>
        <v/>
      </c>
      <c r="L756" s="34" t="str">
        <f>IF($K756="","","R"&amp;$K756)</f>
        <v/>
      </c>
      <c r="M756" s="34" t="str">
        <f>IF($J756=FALSE(),"",IF(발주접수!$F78="세트",IFERROR(INDEX(세트구성!$C$3:$C$302,MATCH(발주접수!$D78&amp;"|"&amp;1,세트구성!$G$3:$G$302,0)),""),발주접수!$D78))</f>
        <v/>
      </c>
      <c r="N756" s="34" t="str">
        <f>IF($J756=FALSE(),"",IF(발주접수!$F78="세트",발주접수!$G78*IFERROR(INDEX(세트구성!$E$3:$E$302,MATCH(발주접수!$D78&amp;"|"&amp;1,세트구성!$G$3:$G$302,0)),0),발주접수!$G78))</f>
        <v/>
      </c>
      <c r="O756" s="34" t="str">
        <f>IF($J756=FALSE(),"",발주접수!$B78)</f>
        <v/>
      </c>
      <c r="P756" s="34" t="str">
        <f>IF($J756=FALSE(),"",발주접수!$C78)</f>
        <v/>
      </c>
      <c r="Q756" s="34" t="str">
        <f>IF($J756=FALSE(),"",IF(발주접수!$F78="세트",발주접수!$E78&amp;" 전개","직접 발주"))</f>
        <v/>
      </c>
    </row>
    <row r="757" ht="15" customHeight="1" s="30">
      <c r="J757" s="50" t="b">
        <f>IF(발주접수!$D78="",FALSE(),IF(발주접수!$F78="세트",COUNTIF(세트구성!$G$3:$G$302,발주접수!$D78&amp;"|"&amp;2)&gt;0,1=0))</f>
        <v>0</v>
      </c>
      <c r="K757" s="34" t="str">
        <f>IF($J757=FALSE(),"",COUNTIF($J$6:$J757,TRUE()))</f>
        <v/>
      </c>
      <c r="L757" s="34" t="str">
        <f>IF($K757="","","R"&amp;$K757)</f>
        <v/>
      </c>
      <c r="M757" s="34" t="str">
        <f>IF($J757=FALSE(),"",IF(발주접수!$F78="세트",IFERROR(INDEX(세트구성!$C$3:$C$302,MATCH(발주접수!$D78&amp;"|"&amp;2,세트구성!$G$3:$G$302,0)),""),발주접수!$D78))</f>
        <v/>
      </c>
      <c r="N757" s="34" t="str">
        <f>IF($J757=FALSE(),"",IF(발주접수!$F78="세트",발주접수!$G78*IFERROR(INDEX(세트구성!$E$3:$E$302,MATCH(발주접수!$D78&amp;"|"&amp;2,세트구성!$G$3:$G$302,0)),0),발주접수!$G78))</f>
        <v/>
      </c>
      <c r="O757" s="34" t="str">
        <f>IF($J757=FALSE(),"",발주접수!$B78)</f>
        <v/>
      </c>
      <c r="P757" s="34" t="str">
        <f>IF($J757=FALSE(),"",발주접수!$C78)</f>
        <v/>
      </c>
      <c r="Q757" s="34" t="str">
        <f>IF($J757=FALSE(),"",IF(발주접수!$F78="세트",발주접수!$E78&amp;" 전개","직접 발주"))</f>
        <v/>
      </c>
    </row>
    <row r="758" ht="15" customHeight="1" s="30">
      <c r="J758" s="50" t="b">
        <f>IF(발주접수!$D78="",FALSE(),IF(발주접수!$F78="세트",COUNTIF(세트구성!$G$3:$G$302,발주접수!$D78&amp;"|"&amp;3)&gt;0,2=0))</f>
        <v>0</v>
      </c>
      <c r="K758" s="34" t="str">
        <f>IF($J758=FALSE(),"",COUNTIF($J$6:$J758,TRUE()))</f>
        <v/>
      </c>
      <c r="L758" s="34" t="str">
        <f>IF($K758="","","R"&amp;$K758)</f>
        <v/>
      </c>
      <c r="M758" s="34" t="str">
        <f>IF($J758=FALSE(),"",IF(발주접수!$F78="세트",IFERROR(INDEX(세트구성!$C$3:$C$302,MATCH(발주접수!$D78&amp;"|"&amp;3,세트구성!$G$3:$G$302,0)),""),발주접수!$D78))</f>
        <v/>
      </c>
      <c r="N758" s="34" t="str">
        <f>IF($J758=FALSE(),"",IF(발주접수!$F78="세트",발주접수!$G78*IFERROR(INDEX(세트구성!$E$3:$E$302,MATCH(발주접수!$D78&amp;"|"&amp;3,세트구성!$G$3:$G$302,0)),0),발주접수!$G78))</f>
        <v/>
      </c>
      <c r="O758" s="34" t="str">
        <f>IF($J758=FALSE(),"",발주접수!$B78)</f>
        <v/>
      </c>
      <c r="P758" s="34" t="str">
        <f>IF($J758=FALSE(),"",발주접수!$C78)</f>
        <v/>
      </c>
      <c r="Q758" s="34" t="str">
        <f>IF($J758=FALSE(),"",IF(발주접수!$F78="세트",발주접수!$E78&amp;" 전개","직접 발주"))</f>
        <v/>
      </c>
    </row>
    <row r="759" ht="15" customHeight="1" s="30">
      <c r="J759" s="50" t="b">
        <f>IF(발주접수!$D78="",FALSE(),IF(발주접수!$F78="세트",COUNTIF(세트구성!$G$3:$G$302,발주접수!$D78&amp;"|"&amp;4)&gt;0,3=0))</f>
        <v>0</v>
      </c>
      <c r="K759" s="34" t="str">
        <f>IF($J759=FALSE(),"",COUNTIF($J$6:$J759,TRUE()))</f>
        <v/>
      </c>
      <c r="L759" s="34" t="str">
        <f>IF($K759="","","R"&amp;$K759)</f>
        <v/>
      </c>
      <c r="M759" s="34" t="str">
        <f>IF($J759=FALSE(),"",IF(발주접수!$F78="세트",IFERROR(INDEX(세트구성!$C$3:$C$302,MATCH(발주접수!$D78&amp;"|"&amp;4,세트구성!$G$3:$G$302,0)),""),발주접수!$D78))</f>
        <v/>
      </c>
      <c r="N759" s="34" t="str">
        <f>IF($J759=FALSE(),"",IF(발주접수!$F78="세트",발주접수!$G78*IFERROR(INDEX(세트구성!$E$3:$E$302,MATCH(발주접수!$D78&amp;"|"&amp;4,세트구성!$G$3:$G$302,0)),0),발주접수!$G78))</f>
        <v/>
      </c>
      <c r="O759" s="34" t="str">
        <f>IF($J759=FALSE(),"",발주접수!$B78)</f>
        <v/>
      </c>
      <c r="P759" s="34" t="str">
        <f>IF($J759=FALSE(),"",발주접수!$C78)</f>
        <v/>
      </c>
      <c r="Q759" s="34" t="str">
        <f>IF($J759=FALSE(),"",IF(발주접수!$F78="세트",발주접수!$E78&amp;" 전개","직접 발주"))</f>
        <v/>
      </c>
    </row>
    <row r="760" ht="15" customHeight="1" s="30">
      <c r="J760" s="50" t="b">
        <f>IF(발주접수!$D78="",FALSE(),IF(발주접수!$F78="세트",COUNTIF(세트구성!$G$3:$G$302,발주접수!$D78&amp;"|"&amp;5)&gt;0,4=0))</f>
        <v>0</v>
      </c>
      <c r="K760" s="34" t="str">
        <f>IF($J760=FALSE(),"",COUNTIF($J$6:$J760,TRUE()))</f>
        <v/>
      </c>
      <c r="L760" s="34" t="str">
        <f>IF($K760="","","R"&amp;$K760)</f>
        <v/>
      </c>
      <c r="M760" s="34" t="str">
        <f>IF($J760=FALSE(),"",IF(발주접수!$F78="세트",IFERROR(INDEX(세트구성!$C$3:$C$302,MATCH(발주접수!$D78&amp;"|"&amp;5,세트구성!$G$3:$G$302,0)),""),발주접수!$D78))</f>
        <v/>
      </c>
      <c r="N760" s="34" t="str">
        <f>IF($J760=FALSE(),"",IF(발주접수!$F78="세트",발주접수!$G78*IFERROR(INDEX(세트구성!$E$3:$E$302,MATCH(발주접수!$D78&amp;"|"&amp;5,세트구성!$G$3:$G$302,0)),0),발주접수!$G78))</f>
        <v/>
      </c>
      <c r="O760" s="34" t="str">
        <f>IF($J760=FALSE(),"",발주접수!$B78)</f>
        <v/>
      </c>
      <c r="P760" s="34" t="str">
        <f>IF($J760=FALSE(),"",발주접수!$C78)</f>
        <v/>
      </c>
      <c r="Q760" s="34" t="str">
        <f>IF($J760=FALSE(),"",IF(발주접수!$F78="세트",발주접수!$E78&amp;" 전개","직접 발주"))</f>
        <v/>
      </c>
    </row>
    <row r="761" ht="15" customHeight="1" s="30">
      <c r="J761" s="50" t="b">
        <f>IF(발주접수!$D78="",FALSE(),IF(발주접수!$F78="세트",COUNTIF(세트구성!$G$3:$G$302,발주접수!$D78&amp;"|"&amp;6)&gt;0,5=0))</f>
        <v>0</v>
      </c>
      <c r="K761" s="34" t="str">
        <f>IF($J761=FALSE(),"",COUNTIF($J$6:$J761,TRUE()))</f>
        <v/>
      </c>
      <c r="L761" s="34" t="str">
        <f>IF($K761="","","R"&amp;$K761)</f>
        <v/>
      </c>
      <c r="M761" s="34" t="str">
        <f>IF($J761=FALSE(),"",IF(발주접수!$F78="세트",IFERROR(INDEX(세트구성!$C$3:$C$302,MATCH(발주접수!$D78&amp;"|"&amp;6,세트구성!$G$3:$G$302,0)),""),발주접수!$D78))</f>
        <v/>
      </c>
      <c r="N761" s="34" t="str">
        <f>IF($J761=FALSE(),"",IF(발주접수!$F78="세트",발주접수!$G78*IFERROR(INDEX(세트구성!$E$3:$E$302,MATCH(발주접수!$D78&amp;"|"&amp;6,세트구성!$G$3:$G$302,0)),0),발주접수!$G78))</f>
        <v/>
      </c>
      <c r="O761" s="34" t="str">
        <f>IF($J761=FALSE(),"",발주접수!$B78)</f>
        <v/>
      </c>
      <c r="P761" s="34" t="str">
        <f>IF($J761=FALSE(),"",발주접수!$C78)</f>
        <v/>
      </c>
      <c r="Q761" s="34" t="str">
        <f>IF($J761=FALSE(),"",IF(발주접수!$F78="세트",발주접수!$E78&amp;" 전개","직접 발주"))</f>
        <v/>
      </c>
    </row>
    <row r="762" ht="15" customHeight="1" s="30">
      <c r="J762" s="50" t="b">
        <f>IF(발주접수!$D78="",FALSE(),IF(발주접수!$F78="세트",COUNTIF(세트구성!$G$3:$G$302,발주접수!$D78&amp;"|"&amp;7)&gt;0,6=0))</f>
        <v>0</v>
      </c>
      <c r="K762" s="34" t="str">
        <f>IF($J762=FALSE(),"",COUNTIF($J$6:$J762,TRUE()))</f>
        <v/>
      </c>
      <c r="L762" s="34" t="str">
        <f>IF($K762="","","R"&amp;$K762)</f>
        <v/>
      </c>
      <c r="M762" s="34" t="str">
        <f>IF($J762=FALSE(),"",IF(발주접수!$F78="세트",IFERROR(INDEX(세트구성!$C$3:$C$302,MATCH(발주접수!$D78&amp;"|"&amp;7,세트구성!$G$3:$G$302,0)),""),발주접수!$D78))</f>
        <v/>
      </c>
      <c r="N762" s="34" t="str">
        <f>IF($J762=FALSE(),"",IF(발주접수!$F78="세트",발주접수!$G78*IFERROR(INDEX(세트구성!$E$3:$E$302,MATCH(발주접수!$D78&amp;"|"&amp;7,세트구성!$G$3:$G$302,0)),0),발주접수!$G78))</f>
        <v/>
      </c>
      <c r="O762" s="34" t="str">
        <f>IF($J762=FALSE(),"",발주접수!$B78)</f>
        <v/>
      </c>
      <c r="P762" s="34" t="str">
        <f>IF($J762=FALSE(),"",발주접수!$C78)</f>
        <v/>
      </c>
      <c r="Q762" s="34" t="str">
        <f>IF($J762=FALSE(),"",IF(발주접수!$F78="세트",발주접수!$E78&amp;" 전개","직접 발주"))</f>
        <v/>
      </c>
    </row>
    <row r="763" ht="15" customHeight="1" s="30">
      <c r="J763" s="50" t="b">
        <f>IF(발주접수!$D78="",FALSE(),IF(발주접수!$F78="세트",COUNTIF(세트구성!$G$3:$G$302,발주접수!$D78&amp;"|"&amp;8)&gt;0,7=0))</f>
        <v>0</v>
      </c>
      <c r="K763" s="34" t="str">
        <f>IF($J763=FALSE(),"",COUNTIF($J$6:$J763,TRUE()))</f>
        <v/>
      </c>
      <c r="L763" s="34" t="str">
        <f>IF($K763="","","R"&amp;$K763)</f>
        <v/>
      </c>
      <c r="M763" s="34" t="str">
        <f>IF($J763=FALSE(),"",IF(발주접수!$F78="세트",IFERROR(INDEX(세트구성!$C$3:$C$302,MATCH(발주접수!$D78&amp;"|"&amp;8,세트구성!$G$3:$G$302,0)),""),발주접수!$D78))</f>
        <v/>
      </c>
      <c r="N763" s="34" t="str">
        <f>IF($J763=FALSE(),"",IF(발주접수!$F78="세트",발주접수!$G78*IFERROR(INDEX(세트구성!$E$3:$E$302,MATCH(발주접수!$D78&amp;"|"&amp;8,세트구성!$G$3:$G$302,0)),0),발주접수!$G78))</f>
        <v/>
      </c>
      <c r="O763" s="34" t="str">
        <f>IF($J763=FALSE(),"",발주접수!$B78)</f>
        <v/>
      </c>
      <c r="P763" s="34" t="str">
        <f>IF($J763=FALSE(),"",발주접수!$C78)</f>
        <v/>
      </c>
      <c r="Q763" s="34" t="str">
        <f>IF($J763=FALSE(),"",IF(발주접수!$F78="세트",발주접수!$E78&amp;" 전개","직접 발주"))</f>
        <v/>
      </c>
    </row>
    <row r="764" ht="15" customHeight="1" s="30">
      <c r="J764" s="50" t="b">
        <f>IF(발주접수!$D78="",FALSE(),IF(발주접수!$F78="세트",COUNTIF(세트구성!$G$3:$G$302,발주접수!$D78&amp;"|"&amp;9)&gt;0,8=0))</f>
        <v>0</v>
      </c>
      <c r="K764" s="34" t="str">
        <f>IF($J764=FALSE(),"",COUNTIF($J$6:$J764,TRUE()))</f>
        <v/>
      </c>
      <c r="L764" s="34" t="str">
        <f>IF($K764="","","R"&amp;$K764)</f>
        <v/>
      </c>
      <c r="M764" s="34" t="str">
        <f>IF($J764=FALSE(),"",IF(발주접수!$F78="세트",IFERROR(INDEX(세트구성!$C$3:$C$302,MATCH(발주접수!$D78&amp;"|"&amp;9,세트구성!$G$3:$G$302,0)),""),발주접수!$D78))</f>
        <v/>
      </c>
      <c r="N764" s="34" t="str">
        <f>IF($J764=FALSE(),"",IF(발주접수!$F78="세트",발주접수!$G78*IFERROR(INDEX(세트구성!$E$3:$E$302,MATCH(발주접수!$D78&amp;"|"&amp;9,세트구성!$G$3:$G$302,0)),0),발주접수!$G78))</f>
        <v/>
      </c>
      <c r="O764" s="34" t="str">
        <f>IF($J764=FALSE(),"",발주접수!$B78)</f>
        <v/>
      </c>
      <c r="P764" s="34" t="str">
        <f>IF($J764=FALSE(),"",발주접수!$C78)</f>
        <v/>
      </c>
      <c r="Q764" s="34" t="str">
        <f>IF($J764=FALSE(),"",IF(발주접수!$F78="세트",발주접수!$E78&amp;" 전개","직접 발주"))</f>
        <v/>
      </c>
    </row>
    <row r="765" ht="15" customHeight="1" s="30">
      <c r="J765" s="50" t="b">
        <f>IF(발주접수!$D78="",FALSE(),IF(발주접수!$F78="세트",COUNTIF(세트구성!$G$3:$G$302,발주접수!$D78&amp;"|"&amp;10)&gt;0,9=0))</f>
        <v>0</v>
      </c>
      <c r="K765" s="34" t="str">
        <f>IF($J765=FALSE(),"",COUNTIF($J$6:$J765,TRUE()))</f>
        <v/>
      </c>
      <c r="L765" s="34" t="str">
        <f>IF($K765="","","R"&amp;$K765)</f>
        <v/>
      </c>
      <c r="M765" s="34" t="str">
        <f>IF($J765=FALSE(),"",IF(발주접수!$F78="세트",IFERROR(INDEX(세트구성!$C$3:$C$302,MATCH(발주접수!$D78&amp;"|"&amp;10,세트구성!$G$3:$G$302,0)),""),발주접수!$D78))</f>
        <v/>
      </c>
      <c r="N765" s="34" t="str">
        <f>IF($J765=FALSE(),"",IF(발주접수!$F78="세트",발주접수!$G78*IFERROR(INDEX(세트구성!$E$3:$E$302,MATCH(발주접수!$D78&amp;"|"&amp;10,세트구성!$G$3:$G$302,0)),0),발주접수!$G78))</f>
        <v/>
      </c>
      <c r="O765" s="34" t="str">
        <f>IF($J765=FALSE(),"",발주접수!$B78)</f>
        <v/>
      </c>
      <c r="P765" s="34" t="str">
        <f>IF($J765=FALSE(),"",발주접수!$C78)</f>
        <v/>
      </c>
      <c r="Q765" s="34" t="str">
        <f>IF($J765=FALSE(),"",IF(발주접수!$F78="세트",발주접수!$E78&amp;" 전개","직접 발주"))</f>
        <v/>
      </c>
    </row>
    <row r="766" ht="15" customHeight="1" s="30">
      <c r="J766" s="50" t="b">
        <f>IF(발주접수!$D79="",FALSE(),IF(발주접수!$F79="세트",COUNTIF(세트구성!$G$3:$G$302,발주접수!$D79&amp;"|"&amp;1)&gt;0,0=0))</f>
        <v>0</v>
      </c>
      <c r="K766" s="34" t="str">
        <f>IF($J766=FALSE(),"",COUNTIF($J$6:$J766,TRUE()))</f>
        <v/>
      </c>
      <c r="L766" s="34" t="str">
        <f>IF($K766="","","R"&amp;$K766)</f>
        <v/>
      </c>
      <c r="M766" s="34" t="str">
        <f>IF($J766=FALSE(),"",IF(발주접수!$F79="세트",IFERROR(INDEX(세트구성!$C$3:$C$302,MATCH(발주접수!$D79&amp;"|"&amp;1,세트구성!$G$3:$G$302,0)),""),발주접수!$D79))</f>
        <v/>
      </c>
      <c r="N766" s="34" t="str">
        <f>IF($J766=FALSE(),"",IF(발주접수!$F79="세트",발주접수!$G79*IFERROR(INDEX(세트구성!$E$3:$E$302,MATCH(발주접수!$D79&amp;"|"&amp;1,세트구성!$G$3:$G$302,0)),0),발주접수!$G79))</f>
        <v/>
      </c>
      <c r="O766" s="34" t="str">
        <f>IF($J766=FALSE(),"",발주접수!$B79)</f>
        <v/>
      </c>
      <c r="P766" s="34" t="str">
        <f>IF($J766=FALSE(),"",발주접수!$C79)</f>
        <v/>
      </c>
      <c r="Q766" s="34" t="str">
        <f>IF($J766=FALSE(),"",IF(발주접수!$F79="세트",발주접수!$E79&amp;" 전개","직접 발주"))</f>
        <v/>
      </c>
    </row>
    <row r="767" ht="15" customHeight="1" s="30">
      <c r="J767" s="50" t="b">
        <f>IF(발주접수!$D79="",FALSE(),IF(발주접수!$F79="세트",COUNTIF(세트구성!$G$3:$G$302,발주접수!$D79&amp;"|"&amp;2)&gt;0,1=0))</f>
        <v>0</v>
      </c>
      <c r="K767" s="34" t="str">
        <f>IF($J767=FALSE(),"",COUNTIF($J$6:$J767,TRUE()))</f>
        <v/>
      </c>
      <c r="L767" s="34" t="str">
        <f>IF($K767="","","R"&amp;$K767)</f>
        <v/>
      </c>
      <c r="M767" s="34" t="str">
        <f>IF($J767=FALSE(),"",IF(발주접수!$F79="세트",IFERROR(INDEX(세트구성!$C$3:$C$302,MATCH(발주접수!$D79&amp;"|"&amp;2,세트구성!$G$3:$G$302,0)),""),발주접수!$D79))</f>
        <v/>
      </c>
      <c r="N767" s="34" t="str">
        <f>IF($J767=FALSE(),"",IF(발주접수!$F79="세트",발주접수!$G79*IFERROR(INDEX(세트구성!$E$3:$E$302,MATCH(발주접수!$D79&amp;"|"&amp;2,세트구성!$G$3:$G$302,0)),0),발주접수!$G79))</f>
        <v/>
      </c>
      <c r="O767" s="34" t="str">
        <f>IF($J767=FALSE(),"",발주접수!$B79)</f>
        <v/>
      </c>
      <c r="P767" s="34" t="str">
        <f>IF($J767=FALSE(),"",발주접수!$C79)</f>
        <v/>
      </c>
      <c r="Q767" s="34" t="str">
        <f>IF($J767=FALSE(),"",IF(발주접수!$F79="세트",발주접수!$E79&amp;" 전개","직접 발주"))</f>
        <v/>
      </c>
    </row>
    <row r="768" ht="15" customHeight="1" s="30">
      <c r="J768" s="50" t="b">
        <f>IF(발주접수!$D79="",FALSE(),IF(발주접수!$F79="세트",COUNTIF(세트구성!$G$3:$G$302,발주접수!$D79&amp;"|"&amp;3)&gt;0,2=0))</f>
        <v>0</v>
      </c>
      <c r="K768" s="34" t="str">
        <f>IF($J768=FALSE(),"",COUNTIF($J$6:$J768,TRUE()))</f>
        <v/>
      </c>
      <c r="L768" s="34" t="str">
        <f>IF($K768="","","R"&amp;$K768)</f>
        <v/>
      </c>
      <c r="M768" s="34" t="str">
        <f>IF($J768=FALSE(),"",IF(발주접수!$F79="세트",IFERROR(INDEX(세트구성!$C$3:$C$302,MATCH(발주접수!$D79&amp;"|"&amp;3,세트구성!$G$3:$G$302,0)),""),발주접수!$D79))</f>
        <v/>
      </c>
      <c r="N768" s="34" t="str">
        <f>IF($J768=FALSE(),"",IF(발주접수!$F79="세트",발주접수!$G79*IFERROR(INDEX(세트구성!$E$3:$E$302,MATCH(발주접수!$D79&amp;"|"&amp;3,세트구성!$G$3:$G$302,0)),0),발주접수!$G79))</f>
        <v/>
      </c>
      <c r="O768" s="34" t="str">
        <f>IF($J768=FALSE(),"",발주접수!$B79)</f>
        <v/>
      </c>
      <c r="P768" s="34" t="str">
        <f>IF($J768=FALSE(),"",발주접수!$C79)</f>
        <v/>
      </c>
      <c r="Q768" s="34" t="str">
        <f>IF($J768=FALSE(),"",IF(발주접수!$F79="세트",발주접수!$E79&amp;" 전개","직접 발주"))</f>
        <v/>
      </c>
    </row>
    <row r="769" ht="15" customHeight="1" s="30">
      <c r="J769" s="50" t="b">
        <f>IF(발주접수!$D79="",FALSE(),IF(발주접수!$F79="세트",COUNTIF(세트구성!$G$3:$G$302,발주접수!$D79&amp;"|"&amp;4)&gt;0,3=0))</f>
        <v>0</v>
      </c>
      <c r="K769" s="34" t="str">
        <f>IF($J769=FALSE(),"",COUNTIF($J$6:$J769,TRUE()))</f>
        <v/>
      </c>
      <c r="L769" s="34" t="str">
        <f>IF($K769="","","R"&amp;$K769)</f>
        <v/>
      </c>
      <c r="M769" s="34" t="str">
        <f>IF($J769=FALSE(),"",IF(발주접수!$F79="세트",IFERROR(INDEX(세트구성!$C$3:$C$302,MATCH(발주접수!$D79&amp;"|"&amp;4,세트구성!$G$3:$G$302,0)),""),발주접수!$D79))</f>
        <v/>
      </c>
      <c r="N769" s="34" t="str">
        <f>IF($J769=FALSE(),"",IF(발주접수!$F79="세트",발주접수!$G79*IFERROR(INDEX(세트구성!$E$3:$E$302,MATCH(발주접수!$D79&amp;"|"&amp;4,세트구성!$G$3:$G$302,0)),0),발주접수!$G79))</f>
        <v/>
      </c>
      <c r="O769" s="34" t="str">
        <f>IF($J769=FALSE(),"",발주접수!$B79)</f>
        <v/>
      </c>
      <c r="P769" s="34" t="str">
        <f>IF($J769=FALSE(),"",발주접수!$C79)</f>
        <v/>
      </c>
      <c r="Q769" s="34" t="str">
        <f>IF($J769=FALSE(),"",IF(발주접수!$F79="세트",발주접수!$E79&amp;" 전개","직접 발주"))</f>
        <v/>
      </c>
    </row>
    <row r="770" ht="15" customHeight="1" s="30">
      <c r="J770" s="50" t="b">
        <f>IF(발주접수!$D79="",FALSE(),IF(발주접수!$F79="세트",COUNTIF(세트구성!$G$3:$G$302,발주접수!$D79&amp;"|"&amp;5)&gt;0,4=0))</f>
        <v>0</v>
      </c>
      <c r="K770" s="34" t="str">
        <f>IF($J770=FALSE(),"",COUNTIF($J$6:$J770,TRUE()))</f>
        <v/>
      </c>
      <c r="L770" s="34" t="str">
        <f>IF($K770="","","R"&amp;$K770)</f>
        <v/>
      </c>
      <c r="M770" s="34" t="str">
        <f>IF($J770=FALSE(),"",IF(발주접수!$F79="세트",IFERROR(INDEX(세트구성!$C$3:$C$302,MATCH(발주접수!$D79&amp;"|"&amp;5,세트구성!$G$3:$G$302,0)),""),발주접수!$D79))</f>
        <v/>
      </c>
      <c r="N770" s="34" t="str">
        <f>IF($J770=FALSE(),"",IF(발주접수!$F79="세트",발주접수!$G79*IFERROR(INDEX(세트구성!$E$3:$E$302,MATCH(발주접수!$D79&amp;"|"&amp;5,세트구성!$G$3:$G$302,0)),0),발주접수!$G79))</f>
        <v/>
      </c>
      <c r="O770" s="34" t="str">
        <f>IF($J770=FALSE(),"",발주접수!$B79)</f>
        <v/>
      </c>
      <c r="P770" s="34" t="str">
        <f>IF($J770=FALSE(),"",발주접수!$C79)</f>
        <v/>
      </c>
      <c r="Q770" s="34" t="str">
        <f>IF($J770=FALSE(),"",IF(발주접수!$F79="세트",발주접수!$E79&amp;" 전개","직접 발주"))</f>
        <v/>
      </c>
    </row>
    <row r="771" ht="15" customHeight="1" s="30">
      <c r="J771" s="50" t="b">
        <f>IF(발주접수!$D79="",FALSE(),IF(발주접수!$F79="세트",COUNTIF(세트구성!$G$3:$G$302,발주접수!$D79&amp;"|"&amp;6)&gt;0,5=0))</f>
        <v>0</v>
      </c>
      <c r="K771" s="34" t="str">
        <f>IF($J771=FALSE(),"",COUNTIF($J$6:$J771,TRUE()))</f>
        <v/>
      </c>
      <c r="L771" s="34" t="str">
        <f>IF($K771="","","R"&amp;$K771)</f>
        <v/>
      </c>
      <c r="M771" s="34" t="str">
        <f>IF($J771=FALSE(),"",IF(발주접수!$F79="세트",IFERROR(INDEX(세트구성!$C$3:$C$302,MATCH(발주접수!$D79&amp;"|"&amp;6,세트구성!$G$3:$G$302,0)),""),발주접수!$D79))</f>
        <v/>
      </c>
      <c r="N771" s="34" t="str">
        <f>IF($J771=FALSE(),"",IF(발주접수!$F79="세트",발주접수!$G79*IFERROR(INDEX(세트구성!$E$3:$E$302,MATCH(발주접수!$D79&amp;"|"&amp;6,세트구성!$G$3:$G$302,0)),0),발주접수!$G79))</f>
        <v/>
      </c>
      <c r="O771" s="34" t="str">
        <f>IF($J771=FALSE(),"",발주접수!$B79)</f>
        <v/>
      </c>
      <c r="P771" s="34" t="str">
        <f>IF($J771=FALSE(),"",발주접수!$C79)</f>
        <v/>
      </c>
      <c r="Q771" s="34" t="str">
        <f>IF($J771=FALSE(),"",IF(발주접수!$F79="세트",발주접수!$E79&amp;" 전개","직접 발주"))</f>
        <v/>
      </c>
    </row>
    <row r="772" ht="15" customHeight="1" s="30">
      <c r="J772" s="50" t="b">
        <f>IF(발주접수!$D79="",FALSE(),IF(발주접수!$F79="세트",COUNTIF(세트구성!$G$3:$G$302,발주접수!$D79&amp;"|"&amp;7)&gt;0,6=0))</f>
        <v>0</v>
      </c>
      <c r="K772" s="34" t="str">
        <f>IF($J772=FALSE(),"",COUNTIF($J$6:$J772,TRUE()))</f>
        <v/>
      </c>
      <c r="L772" s="34" t="str">
        <f>IF($K772="","","R"&amp;$K772)</f>
        <v/>
      </c>
      <c r="M772" s="34" t="str">
        <f>IF($J772=FALSE(),"",IF(발주접수!$F79="세트",IFERROR(INDEX(세트구성!$C$3:$C$302,MATCH(발주접수!$D79&amp;"|"&amp;7,세트구성!$G$3:$G$302,0)),""),발주접수!$D79))</f>
        <v/>
      </c>
      <c r="N772" s="34" t="str">
        <f>IF($J772=FALSE(),"",IF(발주접수!$F79="세트",발주접수!$G79*IFERROR(INDEX(세트구성!$E$3:$E$302,MATCH(발주접수!$D79&amp;"|"&amp;7,세트구성!$G$3:$G$302,0)),0),발주접수!$G79))</f>
        <v/>
      </c>
      <c r="O772" s="34" t="str">
        <f>IF($J772=FALSE(),"",발주접수!$B79)</f>
        <v/>
      </c>
      <c r="P772" s="34" t="str">
        <f>IF($J772=FALSE(),"",발주접수!$C79)</f>
        <v/>
      </c>
      <c r="Q772" s="34" t="str">
        <f>IF($J772=FALSE(),"",IF(발주접수!$F79="세트",발주접수!$E79&amp;" 전개","직접 발주"))</f>
        <v/>
      </c>
    </row>
    <row r="773" ht="15" customHeight="1" s="30">
      <c r="J773" s="50" t="b">
        <f>IF(발주접수!$D79="",FALSE(),IF(발주접수!$F79="세트",COUNTIF(세트구성!$G$3:$G$302,발주접수!$D79&amp;"|"&amp;8)&gt;0,7=0))</f>
        <v>0</v>
      </c>
      <c r="K773" s="34" t="str">
        <f>IF($J773=FALSE(),"",COUNTIF($J$6:$J773,TRUE()))</f>
        <v/>
      </c>
      <c r="L773" s="34" t="str">
        <f>IF($K773="","","R"&amp;$K773)</f>
        <v/>
      </c>
      <c r="M773" s="34" t="str">
        <f>IF($J773=FALSE(),"",IF(발주접수!$F79="세트",IFERROR(INDEX(세트구성!$C$3:$C$302,MATCH(발주접수!$D79&amp;"|"&amp;8,세트구성!$G$3:$G$302,0)),""),발주접수!$D79))</f>
        <v/>
      </c>
      <c r="N773" s="34" t="str">
        <f>IF($J773=FALSE(),"",IF(발주접수!$F79="세트",발주접수!$G79*IFERROR(INDEX(세트구성!$E$3:$E$302,MATCH(발주접수!$D79&amp;"|"&amp;8,세트구성!$G$3:$G$302,0)),0),발주접수!$G79))</f>
        <v/>
      </c>
      <c r="O773" s="34" t="str">
        <f>IF($J773=FALSE(),"",발주접수!$B79)</f>
        <v/>
      </c>
      <c r="P773" s="34" t="str">
        <f>IF($J773=FALSE(),"",발주접수!$C79)</f>
        <v/>
      </c>
      <c r="Q773" s="34" t="str">
        <f>IF($J773=FALSE(),"",IF(발주접수!$F79="세트",발주접수!$E79&amp;" 전개","직접 발주"))</f>
        <v/>
      </c>
    </row>
    <row r="774" ht="15" customHeight="1" s="30">
      <c r="J774" s="50" t="b">
        <f>IF(발주접수!$D79="",FALSE(),IF(발주접수!$F79="세트",COUNTIF(세트구성!$G$3:$G$302,발주접수!$D79&amp;"|"&amp;9)&gt;0,8=0))</f>
        <v>0</v>
      </c>
      <c r="K774" s="34" t="str">
        <f>IF($J774=FALSE(),"",COUNTIF($J$6:$J774,TRUE()))</f>
        <v/>
      </c>
      <c r="L774" s="34" t="str">
        <f>IF($K774="","","R"&amp;$K774)</f>
        <v/>
      </c>
      <c r="M774" s="34" t="str">
        <f>IF($J774=FALSE(),"",IF(발주접수!$F79="세트",IFERROR(INDEX(세트구성!$C$3:$C$302,MATCH(발주접수!$D79&amp;"|"&amp;9,세트구성!$G$3:$G$302,0)),""),발주접수!$D79))</f>
        <v/>
      </c>
      <c r="N774" s="34" t="str">
        <f>IF($J774=FALSE(),"",IF(발주접수!$F79="세트",발주접수!$G79*IFERROR(INDEX(세트구성!$E$3:$E$302,MATCH(발주접수!$D79&amp;"|"&amp;9,세트구성!$G$3:$G$302,0)),0),발주접수!$G79))</f>
        <v/>
      </c>
      <c r="O774" s="34" t="str">
        <f>IF($J774=FALSE(),"",발주접수!$B79)</f>
        <v/>
      </c>
      <c r="P774" s="34" t="str">
        <f>IF($J774=FALSE(),"",발주접수!$C79)</f>
        <v/>
      </c>
      <c r="Q774" s="34" t="str">
        <f>IF($J774=FALSE(),"",IF(발주접수!$F79="세트",발주접수!$E79&amp;" 전개","직접 발주"))</f>
        <v/>
      </c>
    </row>
    <row r="775" ht="15" customHeight="1" s="30">
      <c r="J775" s="50" t="b">
        <f>IF(발주접수!$D79="",FALSE(),IF(발주접수!$F79="세트",COUNTIF(세트구성!$G$3:$G$302,발주접수!$D79&amp;"|"&amp;10)&gt;0,9=0))</f>
        <v>0</v>
      </c>
      <c r="K775" s="34" t="str">
        <f>IF($J775=FALSE(),"",COUNTIF($J$6:$J775,TRUE()))</f>
        <v/>
      </c>
      <c r="L775" s="34" t="str">
        <f>IF($K775="","","R"&amp;$K775)</f>
        <v/>
      </c>
      <c r="M775" s="34" t="str">
        <f>IF($J775=FALSE(),"",IF(발주접수!$F79="세트",IFERROR(INDEX(세트구성!$C$3:$C$302,MATCH(발주접수!$D79&amp;"|"&amp;10,세트구성!$G$3:$G$302,0)),""),발주접수!$D79))</f>
        <v/>
      </c>
      <c r="N775" s="34" t="str">
        <f>IF($J775=FALSE(),"",IF(발주접수!$F79="세트",발주접수!$G79*IFERROR(INDEX(세트구성!$E$3:$E$302,MATCH(발주접수!$D79&amp;"|"&amp;10,세트구성!$G$3:$G$302,0)),0),발주접수!$G79))</f>
        <v/>
      </c>
      <c r="O775" s="34" t="str">
        <f>IF($J775=FALSE(),"",발주접수!$B79)</f>
        <v/>
      </c>
      <c r="P775" s="34" t="str">
        <f>IF($J775=FALSE(),"",발주접수!$C79)</f>
        <v/>
      </c>
      <c r="Q775" s="34" t="str">
        <f>IF($J775=FALSE(),"",IF(발주접수!$F79="세트",발주접수!$E79&amp;" 전개","직접 발주"))</f>
        <v/>
      </c>
    </row>
    <row r="776" ht="15" customHeight="1" s="30">
      <c r="J776" s="50" t="b">
        <f>IF(발주접수!$D80="",FALSE(),IF(발주접수!$F80="세트",COUNTIF(세트구성!$G$3:$G$302,발주접수!$D80&amp;"|"&amp;1)&gt;0,0=0))</f>
        <v>0</v>
      </c>
      <c r="K776" s="34" t="str">
        <f>IF($J776=FALSE(),"",COUNTIF($J$6:$J776,TRUE()))</f>
        <v/>
      </c>
      <c r="L776" s="34" t="str">
        <f>IF($K776="","","R"&amp;$K776)</f>
        <v/>
      </c>
      <c r="M776" s="34" t="str">
        <f>IF($J776=FALSE(),"",IF(발주접수!$F80="세트",IFERROR(INDEX(세트구성!$C$3:$C$302,MATCH(발주접수!$D80&amp;"|"&amp;1,세트구성!$G$3:$G$302,0)),""),발주접수!$D80))</f>
        <v/>
      </c>
      <c r="N776" s="34" t="str">
        <f>IF($J776=FALSE(),"",IF(발주접수!$F80="세트",발주접수!$G80*IFERROR(INDEX(세트구성!$E$3:$E$302,MATCH(발주접수!$D80&amp;"|"&amp;1,세트구성!$G$3:$G$302,0)),0),발주접수!$G80))</f>
        <v/>
      </c>
      <c r="O776" s="34" t="str">
        <f>IF($J776=FALSE(),"",발주접수!$B80)</f>
        <v/>
      </c>
      <c r="P776" s="34" t="str">
        <f>IF($J776=FALSE(),"",발주접수!$C80)</f>
        <v/>
      </c>
      <c r="Q776" s="34" t="str">
        <f>IF($J776=FALSE(),"",IF(발주접수!$F80="세트",발주접수!$E80&amp;" 전개","직접 발주"))</f>
        <v/>
      </c>
    </row>
    <row r="777" ht="15" customHeight="1" s="30">
      <c r="J777" s="50" t="b">
        <f>IF(발주접수!$D80="",FALSE(),IF(발주접수!$F80="세트",COUNTIF(세트구성!$G$3:$G$302,발주접수!$D80&amp;"|"&amp;2)&gt;0,1=0))</f>
        <v>0</v>
      </c>
      <c r="K777" s="34" t="str">
        <f>IF($J777=FALSE(),"",COUNTIF($J$6:$J777,TRUE()))</f>
        <v/>
      </c>
      <c r="L777" s="34" t="str">
        <f>IF($K777="","","R"&amp;$K777)</f>
        <v/>
      </c>
      <c r="M777" s="34" t="str">
        <f>IF($J777=FALSE(),"",IF(발주접수!$F80="세트",IFERROR(INDEX(세트구성!$C$3:$C$302,MATCH(발주접수!$D80&amp;"|"&amp;2,세트구성!$G$3:$G$302,0)),""),발주접수!$D80))</f>
        <v/>
      </c>
      <c r="N777" s="34" t="str">
        <f>IF($J777=FALSE(),"",IF(발주접수!$F80="세트",발주접수!$G80*IFERROR(INDEX(세트구성!$E$3:$E$302,MATCH(발주접수!$D80&amp;"|"&amp;2,세트구성!$G$3:$G$302,0)),0),발주접수!$G80))</f>
        <v/>
      </c>
      <c r="O777" s="34" t="str">
        <f>IF($J777=FALSE(),"",발주접수!$B80)</f>
        <v/>
      </c>
      <c r="P777" s="34" t="str">
        <f>IF($J777=FALSE(),"",발주접수!$C80)</f>
        <v/>
      </c>
      <c r="Q777" s="34" t="str">
        <f>IF($J777=FALSE(),"",IF(발주접수!$F80="세트",발주접수!$E80&amp;" 전개","직접 발주"))</f>
        <v/>
      </c>
    </row>
    <row r="778" ht="15" customHeight="1" s="30">
      <c r="J778" s="50" t="b">
        <f>IF(발주접수!$D80="",FALSE(),IF(발주접수!$F80="세트",COUNTIF(세트구성!$G$3:$G$302,발주접수!$D80&amp;"|"&amp;3)&gt;0,2=0))</f>
        <v>0</v>
      </c>
      <c r="K778" s="34" t="str">
        <f>IF($J778=FALSE(),"",COUNTIF($J$6:$J778,TRUE()))</f>
        <v/>
      </c>
      <c r="L778" s="34" t="str">
        <f>IF($K778="","","R"&amp;$K778)</f>
        <v/>
      </c>
      <c r="M778" s="34" t="str">
        <f>IF($J778=FALSE(),"",IF(발주접수!$F80="세트",IFERROR(INDEX(세트구성!$C$3:$C$302,MATCH(발주접수!$D80&amp;"|"&amp;3,세트구성!$G$3:$G$302,0)),""),발주접수!$D80))</f>
        <v/>
      </c>
      <c r="N778" s="34" t="str">
        <f>IF($J778=FALSE(),"",IF(발주접수!$F80="세트",발주접수!$G80*IFERROR(INDEX(세트구성!$E$3:$E$302,MATCH(발주접수!$D80&amp;"|"&amp;3,세트구성!$G$3:$G$302,0)),0),발주접수!$G80))</f>
        <v/>
      </c>
      <c r="O778" s="34" t="str">
        <f>IF($J778=FALSE(),"",발주접수!$B80)</f>
        <v/>
      </c>
      <c r="P778" s="34" t="str">
        <f>IF($J778=FALSE(),"",발주접수!$C80)</f>
        <v/>
      </c>
      <c r="Q778" s="34" t="str">
        <f>IF($J778=FALSE(),"",IF(발주접수!$F80="세트",발주접수!$E80&amp;" 전개","직접 발주"))</f>
        <v/>
      </c>
    </row>
    <row r="779" ht="15" customHeight="1" s="30">
      <c r="J779" s="50" t="b">
        <f>IF(발주접수!$D80="",FALSE(),IF(발주접수!$F80="세트",COUNTIF(세트구성!$G$3:$G$302,발주접수!$D80&amp;"|"&amp;4)&gt;0,3=0))</f>
        <v>0</v>
      </c>
      <c r="K779" s="34" t="str">
        <f>IF($J779=FALSE(),"",COUNTIF($J$6:$J779,TRUE()))</f>
        <v/>
      </c>
      <c r="L779" s="34" t="str">
        <f>IF($K779="","","R"&amp;$K779)</f>
        <v/>
      </c>
      <c r="M779" s="34" t="str">
        <f>IF($J779=FALSE(),"",IF(발주접수!$F80="세트",IFERROR(INDEX(세트구성!$C$3:$C$302,MATCH(발주접수!$D80&amp;"|"&amp;4,세트구성!$G$3:$G$302,0)),""),발주접수!$D80))</f>
        <v/>
      </c>
      <c r="N779" s="34" t="str">
        <f>IF($J779=FALSE(),"",IF(발주접수!$F80="세트",발주접수!$G80*IFERROR(INDEX(세트구성!$E$3:$E$302,MATCH(발주접수!$D80&amp;"|"&amp;4,세트구성!$G$3:$G$302,0)),0),발주접수!$G80))</f>
        <v/>
      </c>
      <c r="O779" s="34" t="str">
        <f>IF($J779=FALSE(),"",발주접수!$B80)</f>
        <v/>
      </c>
      <c r="P779" s="34" t="str">
        <f>IF($J779=FALSE(),"",발주접수!$C80)</f>
        <v/>
      </c>
      <c r="Q779" s="34" t="str">
        <f>IF($J779=FALSE(),"",IF(발주접수!$F80="세트",발주접수!$E80&amp;" 전개","직접 발주"))</f>
        <v/>
      </c>
    </row>
    <row r="780" ht="15" customHeight="1" s="30">
      <c r="J780" s="50" t="b">
        <f>IF(발주접수!$D80="",FALSE(),IF(발주접수!$F80="세트",COUNTIF(세트구성!$G$3:$G$302,발주접수!$D80&amp;"|"&amp;5)&gt;0,4=0))</f>
        <v>0</v>
      </c>
      <c r="K780" s="34" t="str">
        <f>IF($J780=FALSE(),"",COUNTIF($J$6:$J780,TRUE()))</f>
        <v/>
      </c>
      <c r="L780" s="34" t="str">
        <f>IF($K780="","","R"&amp;$K780)</f>
        <v/>
      </c>
      <c r="M780" s="34" t="str">
        <f>IF($J780=FALSE(),"",IF(발주접수!$F80="세트",IFERROR(INDEX(세트구성!$C$3:$C$302,MATCH(발주접수!$D80&amp;"|"&amp;5,세트구성!$G$3:$G$302,0)),""),발주접수!$D80))</f>
        <v/>
      </c>
      <c r="N780" s="34" t="str">
        <f>IF($J780=FALSE(),"",IF(발주접수!$F80="세트",발주접수!$G80*IFERROR(INDEX(세트구성!$E$3:$E$302,MATCH(발주접수!$D80&amp;"|"&amp;5,세트구성!$G$3:$G$302,0)),0),발주접수!$G80))</f>
        <v/>
      </c>
      <c r="O780" s="34" t="str">
        <f>IF($J780=FALSE(),"",발주접수!$B80)</f>
        <v/>
      </c>
      <c r="P780" s="34" t="str">
        <f>IF($J780=FALSE(),"",발주접수!$C80)</f>
        <v/>
      </c>
      <c r="Q780" s="34" t="str">
        <f>IF($J780=FALSE(),"",IF(발주접수!$F80="세트",발주접수!$E80&amp;" 전개","직접 발주"))</f>
        <v/>
      </c>
    </row>
    <row r="781" ht="15" customHeight="1" s="30">
      <c r="J781" s="50" t="b">
        <f>IF(발주접수!$D80="",FALSE(),IF(발주접수!$F80="세트",COUNTIF(세트구성!$G$3:$G$302,발주접수!$D80&amp;"|"&amp;6)&gt;0,5=0))</f>
        <v>0</v>
      </c>
      <c r="K781" s="34" t="str">
        <f>IF($J781=FALSE(),"",COUNTIF($J$6:$J781,TRUE()))</f>
        <v/>
      </c>
      <c r="L781" s="34" t="str">
        <f>IF($K781="","","R"&amp;$K781)</f>
        <v/>
      </c>
      <c r="M781" s="34" t="str">
        <f>IF($J781=FALSE(),"",IF(발주접수!$F80="세트",IFERROR(INDEX(세트구성!$C$3:$C$302,MATCH(발주접수!$D80&amp;"|"&amp;6,세트구성!$G$3:$G$302,0)),""),발주접수!$D80))</f>
        <v/>
      </c>
      <c r="N781" s="34" t="str">
        <f>IF($J781=FALSE(),"",IF(발주접수!$F80="세트",발주접수!$G80*IFERROR(INDEX(세트구성!$E$3:$E$302,MATCH(발주접수!$D80&amp;"|"&amp;6,세트구성!$G$3:$G$302,0)),0),발주접수!$G80))</f>
        <v/>
      </c>
      <c r="O781" s="34" t="str">
        <f>IF($J781=FALSE(),"",발주접수!$B80)</f>
        <v/>
      </c>
      <c r="P781" s="34" t="str">
        <f>IF($J781=FALSE(),"",발주접수!$C80)</f>
        <v/>
      </c>
      <c r="Q781" s="34" t="str">
        <f>IF($J781=FALSE(),"",IF(발주접수!$F80="세트",발주접수!$E80&amp;" 전개","직접 발주"))</f>
        <v/>
      </c>
    </row>
    <row r="782" ht="15" customHeight="1" s="30">
      <c r="J782" s="50" t="b">
        <f>IF(발주접수!$D80="",FALSE(),IF(발주접수!$F80="세트",COUNTIF(세트구성!$G$3:$G$302,발주접수!$D80&amp;"|"&amp;7)&gt;0,6=0))</f>
        <v>0</v>
      </c>
      <c r="K782" s="34" t="str">
        <f>IF($J782=FALSE(),"",COUNTIF($J$6:$J782,TRUE()))</f>
        <v/>
      </c>
      <c r="L782" s="34" t="str">
        <f>IF($K782="","","R"&amp;$K782)</f>
        <v/>
      </c>
      <c r="M782" s="34" t="str">
        <f>IF($J782=FALSE(),"",IF(발주접수!$F80="세트",IFERROR(INDEX(세트구성!$C$3:$C$302,MATCH(발주접수!$D80&amp;"|"&amp;7,세트구성!$G$3:$G$302,0)),""),발주접수!$D80))</f>
        <v/>
      </c>
      <c r="N782" s="34" t="str">
        <f>IF($J782=FALSE(),"",IF(발주접수!$F80="세트",발주접수!$G80*IFERROR(INDEX(세트구성!$E$3:$E$302,MATCH(발주접수!$D80&amp;"|"&amp;7,세트구성!$G$3:$G$302,0)),0),발주접수!$G80))</f>
        <v/>
      </c>
      <c r="O782" s="34" t="str">
        <f>IF($J782=FALSE(),"",발주접수!$B80)</f>
        <v/>
      </c>
      <c r="P782" s="34" t="str">
        <f>IF($J782=FALSE(),"",발주접수!$C80)</f>
        <v/>
      </c>
      <c r="Q782" s="34" t="str">
        <f>IF($J782=FALSE(),"",IF(발주접수!$F80="세트",발주접수!$E80&amp;" 전개","직접 발주"))</f>
        <v/>
      </c>
    </row>
    <row r="783" ht="15" customHeight="1" s="30">
      <c r="J783" s="50" t="b">
        <f>IF(발주접수!$D80="",FALSE(),IF(발주접수!$F80="세트",COUNTIF(세트구성!$G$3:$G$302,발주접수!$D80&amp;"|"&amp;8)&gt;0,7=0))</f>
        <v>0</v>
      </c>
      <c r="K783" s="34" t="str">
        <f>IF($J783=FALSE(),"",COUNTIF($J$6:$J783,TRUE()))</f>
        <v/>
      </c>
      <c r="L783" s="34" t="str">
        <f>IF($K783="","","R"&amp;$K783)</f>
        <v/>
      </c>
      <c r="M783" s="34" t="str">
        <f>IF($J783=FALSE(),"",IF(발주접수!$F80="세트",IFERROR(INDEX(세트구성!$C$3:$C$302,MATCH(발주접수!$D80&amp;"|"&amp;8,세트구성!$G$3:$G$302,0)),""),발주접수!$D80))</f>
        <v/>
      </c>
      <c r="N783" s="34" t="str">
        <f>IF($J783=FALSE(),"",IF(발주접수!$F80="세트",발주접수!$G80*IFERROR(INDEX(세트구성!$E$3:$E$302,MATCH(발주접수!$D80&amp;"|"&amp;8,세트구성!$G$3:$G$302,0)),0),발주접수!$G80))</f>
        <v/>
      </c>
      <c r="O783" s="34" t="str">
        <f>IF($J783=FALSE(),"",발주접수!$B80)</f>
        <v/>
      </c>
      <c r="P783" s="34" t="str">
        <f>IF($J783=FALSE(),"",발주접수!$C80)</f>
        <v/>
      </c>
      <c r="Q783" s="34" t="str">
        <f>IF($J783=FALSE(),"",IF(발주접수!$F80="세트",발주접수!$E80&amp;" 전개","직접 발주"))</f>
        <v/>
      </c>
    </row>
    <row r="784" ht="15" customHeight="1" s="30">
      <c r="J784" s="50" t="b">
        <f>IF(발주접수!$D80="",FALSE(),IF(발주접수!$F80="세트",COUNTIF(세트구성!$G$3:$G$302,발주접수!$D80&amp;"|"&amp;9)&gt;0,8=0))</f>
        <v>0</v>
      </c>
      <c r="K784" s="34" t="str">
        <f>IF($J784=FALSE(),"",COUNTIF($J$6:$J784,TRUE()))</f>
        <v/>
      </c>
      <c r="L784" s="34" t="str">
        <f>IF($K784="","","R"&amp;$K784)</f>
        <v/>
      </c>
      <c r="M784" s="34" t="str">
        <f>IF($J784=FALSE(),"",IF(발주접수!$F80="세트",IFERROR(INDEX(세트구성!$C$3:$C$302,MATCH(발주접수!$D80&amp;"|"&amp;9,세트구성!$G$3:$G$302,0)),""),발주접수!$D80))</f>
        <v/>
      </c>
      <c r="N784" s="34" t="str">
        <f>IF($J784=FALSE(),"",IF(발주접수!$F80="세트",발주접수!$G80*IFERROR(INDEX(세트구성!$E$3:$E$302,MATCH(발주접수!$D80&amp;"|"&amp;9,세트구성!$G$3:$G$302,0)),0),발주접수!$G80))</f>
        <v/>
      </c>
      <c r="O784" s="34" t="str">
        <f>IF($J784=FALSE(),"",발주접수!$B80)</f>
        <v/>
      </c>
      <c r="P784" s="34" t="str">
        <f>IF($J784=FALSE(),"",발주접수!$C80)</f>
        <v/>
      </c>
      <c r="Q784" s="34" t="str">
        <f>IF($J784=FALSE(),"",IF(발주접수!$F80="세트",발주접수!$E80&amp;" 전개","직접 발주"))</f>
        <v/>
      </c>
    </row>
    <row r="785" ht="15" customHeight="1" s="30">
      <c r="J785" s="50" t="b">
        <f>IF(발주접수!$D80="",FALSE(),IF(발주접수!$F80="세트",COUNTIF(세트구성!$G$3:$G$302,발주접수!$D80&amp;"|"&amp;10)&gt;0,9=0))</f>
        <v>0</v>
      </c>
      <c r="K785" s="34" t="str">
        <f>IF($J785=FALSE(),"",COUNTIF($J$6:$J785,TRUE()))</f>
        <v/>
      </c>
      <c r="L785" s="34" t="str">
        <f>IF($K785="","","R"&amp;$K785)</f>
        <v/>
      </c>
      <c r="M785" s="34" t="str">
        <f>IF($J785=FALSE(),"",IF(발주접수!$F80="세트",IFERROR(INDEX(세트구성!$C$3:$C$302,MATCH(발주접수!$D80&amp;"|"&amp;10,세트구성!$G$3:$G$302,0)),""),발주접수!$D80))</f>
        <v/>
      </c>
      <c r="N785" s="34" t="str">
        <f>IF($J785=FALSE(),"",IF(발주접수!$F80="세트",발주접수!$G80*IFERROR(INDEX(세트구성!$E$3:$E$302,MATCH(발주접수!$D80&amp;"|"&amp;10,세트구성!$G$3:$G$302,0)),0),발주접수!$G80))</f>
        <v/>
      </c>
      <c r="O785" s="34" t="str">
        <f>IF($J785=FALSE(),"",발주접수!$B80)</f>
        <v/>
      </c>
      <c r="P785" s="34" t="str">
        <f>IF($J785=FALSE(),"",발주접수!$C80)</f>
        <v/>
      </c>
      <c r="Q785" s="34" t="str">
        <f>IF($J785=FALSE(),"",IF(발주접수!$F80="세트",발주접수!$E80&amp;" 전개","직접 발주"))</f>
        <v/>
      </c>
    </row>
    <row r="786" ht="15" customHeight="1" s="30">
      <c r="J786" s="50" t="b">
        <f>IF(발주접수!$D81="",FALSE(),IF(발주접수!$F81="세트",COUNTIF(세트구성!$G$3:$G$302,발주접수!$D81&amp;"|"&amp;1)&gt;0,0=0))</f>
        <v>0</v>
      </c>
      <c r="K786" s="34" t="str">
        <f>IF($J786=FALSE(),"",COUNTIF($J$6:$J786,TRUE()))</f>
        <v/>
      </c>
      <c r="L786" s="34" t="str">
        <f>IF($K786="","","R"&amp;$K786)</f>
        <v/>
      </c>
      <c r="M786" s="34" t="str">
        <f>IF($J786=FALSE(),"",IF(발주접수!$F81="세트",IFERROR(INDEX(세트구성!$C$3:$C$302,MATCH(발주접수!$D81&amp;"|"&amp;1,세트구성!$G$3:$G$302,0)),""),발주접수!$D81))</f>
        <v/>
      </c>
      <c r="N786" s="34" t="str">
        <f>IF($J786=FALSE(),"",IF(발주접수!$F81="세트",발주접수!$G81*IFERROR(INDEX(세트구성!$E$3:$E$302,MATCH(발주접수!$D81&amp;"|"&amp;1,세트구성!$G$3:$G$302,0)),0),발주접수!$G81))</f>
        <v/>
      </c>
      <c r="O786" s="34" t="str">
        <f>IF($J786=FALSE(),"",발주접수!$B81)</f>
        <v/>
      </c>
      <c r="P786" s="34" t="str">
        <f>IF($J786=FALSE(),"",발주접수!$C81)</f>
        <v/>
      </c>
      <c r="Q786" s="34" t="str">
        <f>IF($J786=FALSE(),"",IF(발주접수!$F81="세트",발주접수!$E81&amp;" 전개","직접 발주"))</f>
        <v/>
      </c>
    </row>
    <row r="787" ht="15" customHeight="1" s="30">
      <c r="J787" s="50" t="b">
        <f>IF(발주접수!$D81="",FALSE(),IF(발주접수!$F81="세트",COUNTIF(세트구성!$G$3:$G$302,발주접수!$D81&amp;"|"&amp;2)&gt;0,1=0))</f>
        <v>0</v>
      </c>
      <c r="K787" s="34" t="str">
        <f>IF($J787=FALSE(),"",COUNTIF($J$6:$J787,TRUE()))</f>
        <v/>
      </c>
      <c r="L787" s="34" t="str">
        <f>IF($K787="","","R"&amp;$K787)</f>
        <v/>
      </c>
      <c r="M787" s="34" t="str">
        <f>IF($J787=FALSE(),"",IF(발주접수!$F81="세트",IFERROR(INDEX(세트구성!$C$3:$C$302,MATCH(발주접수!$D81&amp;"|"&amp;2,세트구성!$G$3:$G$302,0)),""),발주접수!$D81))</f>
        <v/>
      </c>
      <c r="N787" s="34" t="str">
        <f>IF($J787=FALSE(),"",IF(발주접수!$F81="세트",발주접수!$G81*IFERROR(INDEX(세트구성!$E$3:$E$302,MATCH(발주접수!$D81&amp;"|"&amp;2,세트구성!$G$3:$G$302,0)),0),발주접수!$G81))</f>
        <v/>
      </c>
      <c r="O787" s="34" t="str">
        <f>IF($J787=FALSE(),"",발주접수!$B81)</f>
        <v/>
      </c>
      <c r="P787" s="34" t="str">
        <f>IF($J787=FALSE(),"",발주접수!$C81)</f>
        <v/>
      </c>
      <c r="Q787" s="34" t="str">
        <f>IF($J787=FALSE(),"",IF(발주접수!$F81="세트",발주접수!$E81&amp;" 전개","직접 발주"))</f>
        <v/>
      </c>
    </row>
    <row r="788" ht="15" customHeight="1" s="30">
      <c r="J788" s="50" t="b">
        <f>IF(발주접수!$D81="",FALSE(),IF(발주접수!$F81="세트",COUNTIF(세트구성!$G$3:$G$302,발주접수!$D81&amp;"|"&amp;3)&gt;0,2=0))</f>
        <v>0</v>
      </c>
      <c r="K788" s="34" t="str">
        <f>IF($J788=FALSE(),"",COUNTIF($J$6:$J788,TRUE()))</f>
        <v/>
      </c>
      <c r="L788" s="34" t="str">
        <f>IF($K788="","","R"&amp;$K788)</f>
        <v/>
      </c>
      <c r="M788" s="34" t="str">
        <f>IF($J788=FALSE(),"",IF(발주접수!$F81="세트",IFERROR(INDEX(세트구성!$C$3:$C$302,MATCH(발주접수!$D81&amp;"|"&amp;3,세트구성!$G$3:$G$302,0)),""),발주접수!$D81))</f>
        <v/>
      </c>
      <c r="N788" s="34" t="str">
        <f>IF($J788=FALSE(),"",IF(발주접수!$F81="세트",발주접수!$G81*IFERROR(INDEX(세트구성!$E$3:$E$302,MATCH(발주접수!$D81&amp;"|"&amp;3,세트구성!$G$3:$G$302,0)),0),발주접수!$G81))</f>
        <v/>
      </c>
      <c r="O788" s="34" t="str">
        <f>IF($J788=FALSE(),"",발주접수!$B81)</f>
        <v/>
      </c>
      <c r="P788" s="34" t="str">
        <f>IF($J788=FALSE(),"",발주접수!$C81)</f>
        <v/>
      </c>
      <c r="Q788" s="34" t="str">
        <f>IF($J788=FALSE(),"",IF(발주접수!$F81="세트",발주접수!$E81&amp;" 전개","직접 발주"))</f>
        <v/>
      </c>
    </row>
    <row r="789" ht="15" customHeight="1" s="30">
      <c r="J789" s="50" t="b">
        <f>IF(발주접수!$D81="",FALSE(),IF(발주접수!$F81="세트",COUNTIF(세트구성!$G$3:$G$302,발주접수!$D81&amp;"|"&amp;4)&gt;0,3=0))</f>
        <v>0</v>
      </c>
      <c r="K789" s="34" t="str">
        <f>IF($J789=FALSE(),"",COUNTIF($J$6:$J789,TRUE()))</f>
        <v/>
      </c>
      <c r="L789" s="34" t="str">
        <f>IF($K789="","","R"&amp;$K789)</f>
        <v/>
      </c>
      <c r="M789" s="34" t="str">
        <f>IF($J789=FALSE(),"",IF(발주접수!$F81="세트",IFERROR(INDEX(세트구성!$C$3:$C$302,MATCH(발주접수!$D81&amp;"|"&amp;4,세트구성!$G$3:$G$302,0)),""),발주접수!$D81))</f>
        <v/>
      </c>
      <c r="N789" s="34" t="str">
        <f>IF($J789=FALSE(),"",IF(발주접수!$F81="세트",발주접수!$G81*IFERROR(INDEX(세트구성!$E$3:$E$302,MATCH(발주접수!$D81&amp;"|"&amp;4,세트구성!$G$3:$G$302,0)),0),발주접수!$G81))</f>
        <v/>
      </c>
      <c r="O789" s="34" t="str">
        <f>IF($J789=FALSE(),"",발주접수!$B81)</f>
        <v/>
      </c>
      <c r="P789" s="34" t="str">
        <f>IF($J789=FALSE(),"",발주접수!$C81)</f>
        <v/>
      </c>
      <c r="Q789" s="34" t="str">
        <f>IF($J789=FALSE(),"",IF(발주접수!$F81="세트",발주접수!$E81&amp;" 전개","직접 발주"))</f>
        <v/>
      </c>
    </row>
    <row r="790" ht="15" customHeight="1" s="30">
      <c r="J790" s="50" t="b">
        <f>IF(발주접수!$D81="",FALSE(),IF(발주접수!$F81="세트",COUNTIF(세트구성!$G$3:$G$302,발주접수!$D81&amp;"|"&amp;5)&gt;0,4=0))</f>
        <v>0</v>
      </c>
      <c r="K790" s="34" t="str">
        <f>IF($J790=FALSE(),"",COUNTIF($J$6:$J790,TRUE()))</f>
        <v/>
      </c>
      <c r="L790" s="34" t="str">
        <f>IF($K790="","","R"&amp;$K790)</f>
        <v/>
      </c>
      <c r="M790" s="34" t="str">
        <f>IF($J790=FALSE(),"",IF(발주접수!$F81="세트",IFERROR(INDEX(세트구성!$C$3:$C$302,MATCH(발주접수!$D81&amp;"|"&amp;5,세트구성!$G$3:$G$302,0)),""),발주접수!$D81))</f>
        <v/>
      </c>
      <c r="N790" s="34" t="str">
        <f>IF($J790=FALSE(),"",IF(발주접수!$F81="세트",발주접수!$G81*IFERROR(INDEX(세트구성!$E$3:$E$302,MATCH(발주접수!$D81&amp;"|"&amp;5,세트구성!$G$3:$G$302,0)),0),발주접수!$G81))</f>
        <v/>
      </c>
      <c r="O790" s="34" t="str">
        <f>IF($J790=FALSE(),"",발주접수!$B81)</f>
        <v/>
      </c>
      <c r="P790" s="34" t="str">
        <f>IF($J790=FALSE(),"",발주접수!$C81)</f>
        <v/>
      </c>
      <c r="Q790" s="34" t="str">
        <f>IF($J790=FALSE(),"",IF(발주접수!$F81="세트",발주접수!$E81&amp;" 전개","직접 발주"))</f>
        <v/>
      </c>
    </row>
    <row r="791" ht="15" customHeight="1" s="30">
      <c r="J791" s="50" t="b">
        <f>IF(발주접수!$D81="",FALSE(),IF(발주접수!$F81="세트",COUNTIF(세트구성!$G$3:$G$302,발주접수!$D81&amp;"|"&amp;6)&gt;0,5=0))</f>
        <v>0</v>
      </c>
      <c r="K791" s="34" t="str">
        <f>IF($J791=FALSE(),"",COUNTIF($J$6:$J791,TRUE()))</f>
        <v/>
      </c>
      <c r="L791" s="34" t="str">
        <f>IF($K791="","","R"&amp;$K791)</f>
        <v/>
      </c>
      <c r="M791" s="34" t="str">
        <f>IF($J791=FALSE(),"",IF(발주접수!$F81="세트",IFERROR(INDEX(세트구성!$C$3:$C$302,MATCH(발주접수!$D81&amp;"|"&amp;6,세트구성!$G$3:$G$302,0)),""),발주접수!$D81))</f>
        <v/>
      </c>
      <c r="N791" s="34" t="str">
        <f>IF($J791=FALSE(),"",IF(발주접수!$F81="세트",발주접수!$G81*IFERROR(INDEX(세트구성!$E$3:$E$302,MATCH(발주접수!$D81&amp;"|"&amp;6,세트구성!$G$3:$G$302,0)),0),발주접수!$G81))</f>
        <v/>
      </c>
      <c r="O791" s="34" t="str">
        <f>IF($J791=FALSE(),"",발주접수!$B81)</f>
        <v/>
      </c>
      <c r="P791" s="34" t="str">
        <f>IF($J791=FALSE(),"",발주접수!$C81)</f>
        <v/>
      </c>
      <c r="Q791" s="34" t="str">
        <f>IF($J791=FALSE(),"",IF(발주접수!$F81="세트",발주접수!$E81&amp;" 전개","직접 발주"))</f>
        <v/>
      </c>
    </row>
    <row r="792" ht="15" customHeight="1" s="30">
      <c r="J792" s="50" t="b">
        <f>IF(발주접수!$D81="",FALSE(),IF(발주접수!$F81="세트",COUNTIF(세트구성!$G$3:$G$302,발주접수!$D81&amp;"|"&amp;7)&gt;0,6=0))</f>
        <v>0</v>
      </c>
      <c r="K792" s="34" t="str">
        <f>IF($J792=FALSE(),"",COUNTIF($J$6:$J792,TRUE()))</f>
        <v/>
      </c>
      <c r="L792" s="34" t="str">
        <f>IF($K792="","","R"&amp;$K792)</f>
        <v/>
      </c>
      <c r="M792" s="34" t="str">
        <f>IF($J792=FALSE(),"",IF(발주접수!$F81="세트",IFERROR(INDEX(세트구성!$C$3:$C$302,MATCH(발주접수!$D81&amp;"|"&amp;7,세트구성!$G$3:$G$302,0)),""),발주접수!$D81))</f>
        <v/>
      </c>
      <c r="N792" s="34" t="str">
        <f>IF($J792=FALSE(),"",IF(발주접수!$F81="세트",발주접수!$G81*IFERROR(INDEX(세트구성!$E$3:$E$302,MATCH(발주접수!$D81&amp;"|"&amp;7,세트구성!$G$3:$G$302,0)),0),발주접수!$G81))</f>
        <v/>
      </c>
      <c r="O792" s="34" t="str">
        <f>IF($J792=FALSE(),"",발주접수!$B81)</f>
        <v/>
      </c>
      <c r="P792" s="34" t="str">
        <f>IF($J792=FALSE(),"",발주접수!$C81)</f>
        <v/>
      </c>
      <c r="Q792" s="34" t="str">
        <f>IF($J792=FALSE(),"",IF(발주접수!$F81="세트",발주접수!$E81&amp;" 전개","직접 발주"))</f>
        <v/>
      </c>
    </row>
    <row r="793" ht="15" customHeight="1" s="30">
      <c r="J793" s="50" t="b">
        <f>IF(발주접수!$D81="",FALSE(),IF(발주접수!$F81="세트",COUNTIF(세트구성!$G$3:$G$302,발주접수!$D81&amp;"|"&amp;8)&gt;0,7=0))</f>
        <v>0</v>
      </c>
      <c r="K793" s="34" t="str">
        <f>IF($J793=FALSE(),"",COUNTIF($J$6:$J793,TRUE()))</f>
        <v/>
      </c>
      <c r="L793" s="34" t="str">
        <f>IF($K793="","","R"&amp;$K793)</f>
        <v/>
      </c>
      <c r="M793" s="34" t="str">
        <f>IF($J793=FALSE(),"",IF(발주접수!$F81="세트",IFERROR(INDEX(세트구성!$C$3:$C$302,MATCH(발주접수!$D81&amp;"|"&amp;8,세트구성!$G$3:$G$302,0)),""),발주접수!$D81))</f>
        <v/>
      </c>
      <c r="N793" s="34" t="str">
        <f>IF($J793=FALSE(),"",IF(발주접수!$F81="세트",발주접수!$G81*IFERROR(INDEX(세트구성!$E$3:$E$302,MATCH(발주접수!$D81&amp;"|"&amp;8,세트구성!$G$3:$G$302,0)),0),발주접수!$G81))</f>
        <v/>
      </c>
      <c r="O793" s="34" t="str">
        <f>IF($J793=FALSE(),"",발주접수!$B81)</f>
        <v/>
      </c>
      <c r="P793" s="34" t="str">
        <f>IF($J793=FALSE(),"",발주접수!$C81)</f>
        <v/>
      </c>
      <c r="Q793" s="34" t="str">
        <f>IF($J793=FALSE(),"",IF(발주접수!$F81="세트",발주접수!$E81&amp;" 전개","직접 발주"))</f>
        <v/>
      </c>
    </row>
    <row r="794" ht="15" customHeight="1" s="30">
      <c r="J794" s="50" t="b">
        <f>IF(발주접수!$D81="",FALSE(),IF(발주접수!$F81="세트",COUNTIF(세트구성!$G$3:$G$302,발주접수!$D81&amp;"|"&amp;9)&gt;0,8=0))</f>
        <v>0</v>
      </c>
      <c r="K794" s="34" t="str">
        <f>IF($J794=FALSE(),"",COUNTIF($J$6:$J794,TRUE()))</f>
        <v/>
      </c>
      <c r="L794" s="34" t="str">
        <f>IF($K794="","","R"&amp;$K794)</f>
        <v/>
      </c>
      <c r="M794" s="34" t="str">
        <f>IF($J794=FALSE(),"",IF(발주접수!$F81="세트",IFERROR(INDEX(세트구성!$C$3:$C$302,MATCH(발주접수!$D81&amp;"|"&amp;9,세트구성!$G$3:$G$302,0)),""),발주접수!$D81))</f>
        <v/>
      </c>
      <c r="N794" s="34" t="str">
        <f>IF($J794=FALSE(),"",IF(발주접수!$F81="세트",발주접수!$G81*IFERROR(INDEX(세트구성!$E$3:$E$302,MATCH(발주접수!$D81&amp;"|"&amp;9,세트구성!$G$3:$G$302,0)),0),발주접수!$G81))</f>
        <v/>
      </c>
      <c r="O794" s="34" t="str">
        <f>IF($J794=FALSE(),"",발주접수!$B81)</f>
        <v/>
      </c>
      <c r="P794" s="34" t="str">
        <f>IF($J794=FALSE(),"",발주접수!$C81)</f>
        <v/>
      </c>
      <c r="Q794" s="34" t="str">
        <f>IF($J794=FALSE(),"",IF(발주접수!$F81="세트",발주접수!$E81&amp;" 전개","직접 발주"))</f>
        <v/>
      </c>
    </row>
    <row r="795" ht="15" customHeight="1" s="30">
      <c r="J795" s="50" t="b">
        <f>IF(발주접수!$D81="",FALSE(),IF(발주접수!$F81="세트",COUNTIF(세트구성!$G$3:$G$302,발주접수!$D81&amp;"|"&amp;10)&gt;0,9=0))</f>
        <v>0</v>
      </c>
      <c r="K795" s="34" t="str">
        <f>IF($J795=FALSE(),"",COUNTIF($J$6:$J795,TRUE()))</f>
        <v/>
      </c>
      <c r="L795" s="34" t="str">
        <f>IF($K795="","","R"&amp;$K795)</f>
        <v/>
      </c>
      <c r="M795" s="34" t="str">
        <f>IF($J795=FALSE(),"",IF(발주접수!$F81="세트",IFERROR(INDEX(세트구성!$C$3:$C$302,MATCH(발주접수!$D81&amp;"|"&amp;10,세트구성!$G$3:$G$302,0)),""),발주접수!$D81))</f>
        <v/>
      </c>
      <c r="N795" s="34" t="str">
        <f>IF($J795=FALSE(),"",IF(발주접수!$F81="세트",발주접수!$G81*IFERROR(INDEX(세트구성!$E$3:$E$302,MATCH(발주접수!$D81&amp;"|"&amp;10,세트구성!$G$3:$G$302,0)),0),발주접수!$G81))</f>
        <v/>
      </c>
      <c r="O795" s="34" t="str">
        <f>IF($J795=FALSE(),"",발주접수!$B81)</f>
        <v/>
      </c>
      <c r="P795" s="34" t="str">
        <f>IF($J795=FALSE(),"",발주접수!$C81)</f>
        <v/>
      </c>
      <c r="Q795" s="34" t="str">
        <f>IF($J795=FALSE(),"",IF(발주접수!$F81="세트",발주접수!$E81&amp;" 전개","직접 발주"))</f>
        <v/>
      </c>
    </row>
    <row r="796" ht="15" customHeight="1" s="30">
      <c r="J796" s="50" t="b">
        <f>IF(발주접수!$D82="",FALSE(),IF(발주접수!$F82="세트",COUNTIF(세트구성!$G$3:$G$302,발주접수!$D82&amp;"|"&amp;1)&gt;0,0=0))</f>
        <v>0</v>
      </c>
      <c r="K796" s="34" t="str">
        <f>IF($J796=FALSE(),"",COUNTIF($J$6:$J796,TRUE()))</f>
        <v/>
      </c>
      <c r="L796" s="34" t="str">
        <f>IF($K796="","","R"&amp;$K796)</f>
        <v/>
      </c>
      <c r="M796" s="34" t="str">
        <f>IF($J796=FALSE(),"",IF(발주접수!$F82="세트",IFERROR(INDEX(세트구성!$C$3:$C$302,MATCH(발주접수!$D82&amp;"|"&amp;1,세트구성!$G$3:$G$302,0)),""),발주접수!$D82))</f>
        <v/>
      </c>
      <c r="N796" s="34" t="str">
        <f>IF($J796=FALSE(),"",IF(발주접수!$F82="세트",발주접수!$G82*IFERROR(INDEX(세트구성!$E$3:$E$302,MATCH(발주접수!$D82&amp;"|"&amp;1,세트구성!$G$3:$G$302,0)),0),발주접수!$G82))</f>
        <v/>
      </c>
      <c r="O796" s="34" t="str">
        <f>IF($J796=FALSE(),"",발주접수!$B82)</f>
        <v/>
      </c>
      <c r="P796" s="34" t="str">
        <f>IF($J796=FALSE(),"",발주접수!$C82)</f>
        <v/>
      </c>
      <c r="Q796" s="34" t="str">
        <f>IF($J796=FALSE(),"",IF(발주접수!$F82="세트",발주접수!$E82&amp;" 전개","직접 발주"))</f>
        <v/>
      </c>
    </row>
    <row r="797" ht="15" customHeight="1" s="30">
      <c r="J797" s="50" t="b">
        <f>IF(발주접수!$D82="",FALSE(),IF(발주접수!$F82="세트",COUNTIF(세트구성!$G$3:$G$302,발주접수!$D82&amp;"|"&amp;2)&gt;0,1=0))</f>
        <v>0</v>
      </c>
      <c r="K797" s="34" t="str">
        <f>IF($J797=FALSE(),"",COUNTIF($J$6:$J797,TRUE()))</f>
        <v/>
      </c>
      <c r="L797" s="34" t="str">
        <f>IF($K797="","","R"&amp;$K797)</f>
        <v/>
      </c>
      <c r="M797" s="34" t="str">
        <f>IF($J797=FALSE(),"",IF(발주접수!$F82="세트",IFERROR(INDEX(세트구성!$C$3:$C$302,MATCH(발주접수!$D82&amp;"|"&amp;2,세트구성!$G$3:$G$302,0)),""),발주접수!$D82))</f>
        <v/>
      </c>
      <c r="N797" s="34" t="str">
        <f>IF($J797=FALSE(),"",IF(발주접수!$F82="세트",발주접수!$G82*IFERROR(INDEX(세트구성!$E$3:$E$302,MATCH(발주접수!$D82&amp;"|"&amp;2,세트구성!$G$3:$G$302,0)),0),발주접수!$G82))</f>
        <v/>
      </c>
      <c r="O797" s="34" t="str">
        <f>IF($J797=FALSE(),"",발주접수!$B82)</f>
        <v/>
      </c>
      <c r="P797" s="34" t="str">
        <f>IF($J797=FALSE(),"",발주접수!$C82)</f>
        <v/>
      </c>
      <c r="Q797" s="34" t="str">
        <f>IF($J797=FALSE(),"",IF(발주접수!$F82="세트",발주접수!$E82&amp;" 전개","직접 발주"))</f>
        <v/>
      </c>
    </row>
    <row r="798" ht="15" customHeight="1" s="30">
      <c r="J798" s="50" t="b">
        <f>IF(발주접수!$D82="",FALSE(),IF(발주접수!$F82="세트",COUNTIF(세트구성!$G$3:$G$302,발주접수!$D82&amp;"|"&amp;3)&gt;0,2=0))</f>
        <v>0</v>
      </c>
      <c r="K798" s="34" t="str">
        <f>IF($J798=FALSE(),"",COUNTIF($J$6:$J798,TRUE()))</f>
        <v/>
      </c>
      <c r="L798" s="34" t="str">
        <f>IF($K798="","","R"&amp;$K798)</f>
        <v/>
      </c>
      <c r="M798" s="34" t="str">
        <f>IF($J798=FALSE(),"",IF(발주접수!$F82="세트",IFERROR(INDEX(세트구성!$C$3:$C$302,MATCH(발주접수!$D82&amp;"|"&amp;3,세트구성!$G$3:$G$302,0)),""),발주접수!$D82))</f>
        <v/>
      </c>
      <c r="N798" s="34" t="str">
        <f>IF($J798=FALSE(),"",IF(발주접수!$F82="세트",발주접수!$G82*IFERROR(INDEX(세트구성!$E$3:$E$302,MATCH(발주접수!$D82&amp;"|"&amp;3,세트구성!$G$3:$G$302,0)),0),발주접수!$G82))</f>
        <v/>
      </c>
      <c r="O798" s="34" t="str">
        <f>IF($J798=FALSE(),"",발주접수!$B82)</f>
        <v/>
      </c>
      <c r="P798" s="34" t="str">
        <f>IF($J798=FALSE(),"",발주접수!$C82)</f>
        <v/>
      </c>
      <c r="Q798" s="34" t="str">
        <f>IF($J798=FALSE(),"",IF(발주접수!$F82="세트",발주접수!$E82&amp;" 전개","직접 발주"))</f>
        <v/>
      </c>
    </row>
    <row r="799" ht="15" customHeight="1" s="30">
      <c r="J799" s="50" t="b">
        <f>IF(발주접수!$D82="",FALSE(),IF(발주접수!$F82="세트",COUNTIF(세트구성!$G$3:$G$302,발주접수!$D82&amp;"|"&amp;4)&gt;0,3=0))</f>
        <v>0</v>
      </c>
      <c r="K799" s="34" t="str">
        <f>IF($J799=FALSE(),"",COUNTIF($J$6:$J799,TRUE()))</f>
        <v/>
      </c>
      <c r="L799" s="34" t="str">
        <f>IF($K799="","","R"&amp;$K799)</f>
        <v/>
      </c>
      <c r="M799" s="34" t="str">
        <f>IF($J799=FALSE(),"",IF(발주접수!$F82="세트",IFERROR(INDEX(세트구성!$C$3:$C$302,MATCH(발주접수!$D82&amp;"|"&amp;4,세트구성!$G$3:$G$302,0)),""),발주접수!$D82))</f>
        <v/>
      </c>
      <c r="N799" s="34" t="str">
        <f>IF($J799=FALSE(),"",IF(발주접수!$F82="세트",발주접수!$G82*IFERROR(INDEX(세트구성!$E$3:$E$302,MATCH(발주접수!$D82&amp;"|"&amp;4,세트구성!$G$3:$G$302,0)),0),발주접수!$G82))</f>
        <v/>
      </c>
      <c r="O799" s="34" t="str">
        <f>IF($J799=FALSE(),"",발주접수!$B82)</f>
        <v/>
      </c>
      <c r="P799" s="34" t="str">
        <f>IF($J799=FALSE(),"",발주접수!$C82)</f>
        <v/>
      </c>
      <c r="Q799" s="34" t="str">
        <f>IF($J799=FALSE(),"",IF(발주접수!$F82="세트",발주접수!$E82&amp;" 전개","직접 발주"))</f>
        <v/>
      </c>
    </row>
    <row r="800" ht="15" customHeight="1" s="30">
      <c r="J800" s="50" t="b">
        <f>IF(발주접수!$D82="",FALSE(),IF(발주접수!$F82="세트",COUNTIF(세트구성!$G$3:$G$302,발주접수!$D82&amp;"|"&amp;5)&gt;0,4=0))</f>
        <v>0</v>
      </c>
      <c r="K800" s="34" t="str">
        <f>IF($J800=FALSE(),"",COUNTIF($J$6:$J800,TRUE()))</f>
        <v/>
      </c>
      <c r="L800" s="34" t="str">
        <f>IF($K800="","","R"&amp;$K800)</f>
        <v/>
      </c>
      <c r="M800" s="34" t="str">
        <f>IF($J800=FALSE(),"",IF(발주접수!$F82="세트",IFERROR(INDEX(세트구성!$C$3:$C$302,MATCH(발주접수!$D82&amp;"|"&amp;5,세트구성!$G$3:$G$302,0)),""),발주접수!$D82))</f>
        <v/>
      </c>
      <c r="N800" s="34" t="str">
        <f>IF($J800=FALSE(),"",IF(발주접수!$F82="세트",발주접수!$G82*IFERROR(INDEX(세트구성!$E$3:$E$302,MATCH(발주접수!$D82&amp;"|"&amp;5,세트구성!$G$3:$G$302,0)),0),발주접수!$G82))</f>
        <v/>
      </c>
      <c r="O800" s="34" t="str">
        <f>IF($J800=FALSE(),"",발주접수!$B82)</f>
        <v/>
      </c>
      <c r="P800" s="34" t="str">
        <f>IF($J800=FALSE(),"",발주접수!$C82)</f>
        <v/>
      </c>
      <c r="Q800" s="34" t="str">
        <f>IF($J800=FALSE(),"",IF(발주접수!$F82="세트",발주접수!$E82&amp;" 전개","직접 발주"))</f>
        <v/>
      </c>
    </row>
    <row r="801" ht="15" customHeight="1" s="30">
      <c r="J801" s="50" t="b">
        <f>IF(발주접수!$D82="",FALSE(),IF(발주접수!$F82="세트",COUNTIF(세트구성!$G$3:$G$302,발주접수!$D82&amp;"|"&amp;6)&gt;0,5=0))</f>
        <v>0</v>
      </c>
      <c r="K801" s="34" t="str">
        <f>IF($J801=FALSE(),"",COUNTIF($J$6:$J801,TRUE()))</f>
        <v/>
      </c>
      <c r="L801" s="34" t="str">
        <f>IF($K801="","","R"&amp;$K801)</f>
        <v/>
      </c>
      <c r="M801" s="34" t="str">
        <f>IF($J801=FALSE(),"",IF(발주접수!$F82="세트",IFERROR(INDEX(세트구성!$C$3:$C$302,MATCH(발주접수!$D82&amp;"|"&amp;6,세트구성!$G$3:$G$302,0)),""),발주접수!$D82))</f>
        <v/>
      </c>
      <c r="N801" s="34" t="str">
        <f>IF($J801=FALSE(),"",IF(발주접수!$F82="세트",발주접수!$G82*IFERROR(INDEX(세트구성!$E$3:$E$302,MATCH(발주접수!$D82&amp;"|"&amp;6,세트구성!$G$3:$G$302,0)),0),발주접수!$G82))</f>
        <v/>
      </c>
      <c r="O801" s="34" t="str">
        <f>IF($J801=FALSE(),"",발주접수!$B82)</f>
        <v/>
      </c>
      <c r="P801" s="34" t="str">
        <f>IF($J801=FALSE(),"",발주접수!$C82)</f>
        <v/>
      </c>
      <c r="Q801" s="34" t="str">
        <f>IF($J801=FALSE(),"",IF(발주접수!$F82="세트",발주접수!$E82&amp;" 전개","직접 발주"))</f>
        <v/>
      </c>
    </row>
    <row r="802" ht="15" customHeight="1" s="30">
      <c r="J802" s="50" t="b">
        <f>IF(발주접수!$D82="",FALSE(),IF(발주접수!$F82="세트",COUNTIF(세트구성!$G$3:$G$302,발주접수!$D82&amp;"|"&amp;7)&gt;0,6=0))</f>
        <v>0</v>
      </c>
      <c r="K802" s="34" t="str">
        <f>IF($J802=FALSE(),"",COUNTIF($J$6:$J802,TRUE()))</f>
        <v/>
      </c>
      <c r="L802" s="34" t="str">
        <f>IF($K802="","","R"&amp;$K802)</f>
        <v/>
      </c>
      <c r="M802" s="34" t="str">
        <f>IF($J802=FALSE(),"",IF(발주접수!$F82="세트",IFERROR(INDEX(세트구성!$C$3:$C$302,MATCH(발주접수!$D82&amp;"|"&amp;7,세트구성!$G$3:$G$302,0)),""),발주접수!$D82))</f>
        <v/>
      </c>
      <c r="N802" s="34" t="str">
        <f>IF($J802=FALSE(),"",IF(발주접수!$F82="세트",발주접수!$G82*IFERROR(INDEX(세트구성!$E$3:$E$302,MATCH(발주접수!$D82&amp;"|"&amp;7,세트구성!$G$3:$G$302,0)),0),발주접수!$G82))</f>
        <v/>
      </c>
      <c r="O802" s="34" t="str">
        <f>IF($J802=FALSE(),"",발주접수!$B82)</f>
        <v/>
      </c>
      <c r="P802" s="34" t="str">
        <f>IF($J802=FALSE(),"",발주접수!$C82)</f>
        <v/>
      </c>
      <c r="Q802" s="34" t="str">
        <f>IF($J802=FALSE(),"",IF(발주접수!$F82="세트",발주접수!$E82&amp;" 전개","직접 발주"))</f>
        <v/>
      </c>
    </row>
    <row r="803" ht="15" customHeight="1" s="30">
      <c r="J803" s="50" t="b">
        <f>IF(발주접수!$D82="",FALSE(),IF(발주접수!$F82="세트",COUNTIF(세트구성!$G$3:$G$302,발주접수!$D82&amp;"|"&amp;8)&gt;0,7=0))</f>
        <v>0</v>
      </c>
      <c r="K803" s="34" t="str">
        <f>IF($J803=FALSE(),"",COUNTIF($J$6:$J803,TRUE()))</f>
        <v/>
      </c>
      <c r="L803" s="34" t="str">
        <f>IF($K803="","","R"&amp;$K803)</f>
        <v/>
      </c>
      <c r="M803" s="34" t="str">
        <f>IF($J803=FALSE(),"",IF(발주접수!$F82="세트",IFERROR(INDEX(세트구성!$C$3:$C$302,MATCH(발주접수!$D82&amp;"|"&amp;8,세트구성!$G$3:$G$302,0)),""),발주접수!$D82))</f>
        <v/>
      </c>
      <c r="N803" s="34" t="str">
        <f>IF($J803=FALSE(),"",IF(발주접수!$F82="세트",발주접수!$G82*IFERROR(INDEX(세트구성!$E$3:$E$302,MATCH(발주접수!$D82&amp;"|"&amp;8,세트구성!$G$3:$G$302,0)),0),발주접수!$G82))</f>
        <v/>
      </c>
      <c r="O803" s="34" t="str">
        <f>IF($J803=FALSE(),"",발주접수!$B82)</f>
        <v/>
      </c>
      <c r="P803" s="34" t="str">
        <f>IF($J803=FALSE(),"",발주접수!$C82)</f>
        <v/>
      </c>
      <c r="Q803" s="34" t="str">
        <f>IF($J803=FALSE(),"",IF(발주접수!$F82="세트",발주접수!$E82&amp;" 전개","직접 발주"))</f>
        <v/>
      </c>
    </row>
    <row r="804" ht="15" customHeight="1" s="30">
      <c r="J804" s="50" t="b">
        <f>IF(발주접수!$D82="",FALSE(),IF(발주접수!$F82="세트",COUNTIF(세트구성!$G$3:$G$302,발주접수!$D82&amp;"|"&amp;9)&gt;0,8=0))</f>
        <v>0</v>
      </c>
      <c r="K804" s="34" t="str">
        <f>IF($J804=FALSE(),"",COUNTIF($J$6:$J804,TRUE()))</f>
        <v/>
      </c>
      <c r="L804" s="34" t="str">
        <f>IF($K804="","","R"&amp;$K804)</f>
        <v/>
      </c>
      <c r="M804" s="34" t="str">
        <f>IF($J804=FALSE(),"",IF(발주접수!$F82="세트",IFERROR(INDEX(세트구성!$C$3:$C$302,MATCH(발주접수!$D82&amp;"|"&amp;9,세트구성!$G$3:$G$302,0)),""),발주접수!$D82))</f>
        <v/>
      </c>
      <c r="N804" s="34" t="str">
        <f>IF($J804=FALSE(),"",IF(발주접수!$F82="세트",발주접수!$G82*IFERROR(INDEX(세트구성!$E$3:$E$302,MATCH(발주접수!$D82&amp;"|"&amp;9,세트구성!$G$3:$G$302,0)),0),발주접수!$G82))</f>
        <v/>
      </c>
      <c r="O804" s="34" t="str">
        <f>IF($J804=FALSE(),"",발주접수!$B82)</f>
        <v/>
      </c>
      <c r="P804" s="34" t="str">
        <f>IF($J804=FALSE(),"",발주접수!$C82)</f>
        <v/>
      </c>
      <c r="Q804" s="34" t="str">
        <f>IF($J804=FALSE(),"",IF(발주접수!$F82="세트",발주접수!$E82&amp;" 전개","직접 발주"))</f>
        <v/>
      </c>
    </row>
    <row r="805" ht="15" customHeight="1" s="30">
      <c r="J805" s="50" t="b">
        <f>IF(발주접수!$D82="",FALSE(),IF(발주접수!$F82="세트",COUNTIF(세트구성!$G$3:$G$302,발주접수!$D82&amp;"|"&amp;10)&gt;0,9=0))</f>
        <v>0</v>
      </c>
      <c r="K805" s="34" t="str">
        <f>IF($J805=FALSE(),"",COUNTIF($J$6:$J805,TRUE()))</f>
        <v/>
      </c>
      <c r="L805" s="34" t="str">
        <f>IF($K805="","","R"&amp;$K805)</f>
        <v/>
      </c>
      <c r="M805" s="34" t="str">
        <f>IF($J805=FALSE(),"",IF(발주접수!$F82="세트",IFERROR(INDEX(세트구성!$C$3:$C$302,MATCH(발주접수!$D82&amp;"|"&amp;10,세트구성!$G$3:$G$302,0)),""),발주접수!$D82))</f>
        <v/>
      </c>
      <c r="N805" s="34" t="str">
        <f>IF($J805=FALSE(),"",IF(발주접수!$F82="세트",발주접수!$G82*IFERROR(INDEX(세트구성!$E$3:$E$302,MATCH(발주접수!$D82&amp;"|"&amp;10,세트구성!$G$3:$G$302,0)),0),발주접수!$G82))</f>
        <v/>
      </c>
      <c r="O805" s="34" t="str">
        <f>IF($J805=FALSE(),"",발주접수!$B82)</f>
        <v/>
      </c>
      <c r="P805" s="34" t="str">
        <f>IF($J805=FALSE(),"",발주접수!$C82)</f>
        <v/>
      </c>
      <c r="Q805" s="34" t="str">
        <f>IF($J805=FALSE(),"",IF(발주접수!$F82="세트",발주접수!$E82&amp;" 전개","직접 발주"))</f>
        <v/>
      </c>
    </row>
    <row r="806" ht="15" customHeight="1" s="30">
      <c r="J806" s="50" t="b">
        <f>IF(발주접수!$D83="",FALSE(),IF(발주접수!$F83="세트",COUNTIF(세트구성!$G$3:$G$302,발주접수!$D83&amp;"|"&amp;1)&gt;0,0=0))</f>
        <v>0</v>
      </c>
      <c r="K806" s="34" t="str">
        <f>IF($J806=FALSE(),"",COUNTIF($J$6:$J806,TRUE()))</f>
        <v/>
      </c>
      <c r="L806" s="34" t="str">
        <f>IF($K806="","","R"&amp;$K806)</f>
        <v/>
      </c>
      <c r="M806" s="34" t="str">
        <f>IF($J806=FALSE(),"",IF(발주접수!$F83="세트",IFERROR(INDEX(세트구성!$C$3:$C$302,MATCH(발주접수!$D83&amp;"|"&amp;1,세트구성!$G$3:$G$302,0)),""),발주접수!$D83))</f>
        <v/>
      </c>
      <c r="N806" s="34" t="str">
        <f>IF($J806=FALSE(),"",IF(발주접수!$F83="세트",발주접수!$G83*IFERROR(INDEX(세트구성!$E$3:$E$302,MATCH(발주접수!$D83&amp;"|"&amp;1,세트구성!$G$3:$G$302,0)),0),발주접수!$G83))</f>
        <v/>
      </c>
      <c r="O806" s="34" t="str">
        <f>IF($J806=FALSE(),"",발주접수!$B83)</f>
        <v/>
      </c>
      <c r="P806" s="34" t="str">
        <f>IF($J806=FALSE(),"",발주접수!$C83)</f>
        <v/>
      </c>
      <c r="Q806" s="34" t="str">
        <f>IF($J806=FALSE(),"",IF(발주접수!$F83="세트",발주접수!$E83&amp;" 전개","직접 발주"))</f>
        <v/>
      </c>
    </row>
    <row r="807" ht="15" customHeight="1" s="30">
      <c r="J807" s="50" t="b">
        <f>IF(발주접수!$D83="",FALSE(),IF(발주접수!$F83="세트",COUNTIF(세트구성!$G$3:$G$302,발주접수!$D83&amp;"|"&amp;2)&gt;0,1=0))</f>
        <v>0</v>
      </c>
      <c r="K807" s="34" t="str">
        <f>IF($J807=FALSE(),"",COUNTIF($J$6:$J807,TRUE()))</f>
        <v/>
      </c>
      <c r="L807" s="34" t="str">
        <f>IF($K807="","","R"&amp;$K807)</f>
        <v/>
      </c>
      <c r="M807" s="34" t="str">
        <f>IF($J807=FALSE(),"",IF(발주접수!$F83="세트",IFERROR(INDEX(세트구성!$C$3:$C$302,MATCH(발주접수!$D83&amp;"|"&amp;2,세트구성!$G$3:$G$302,0)),""),발주접수!$D83))</f>
        <v/>
      </c>
      <c r="N807" s="34" t="str">
        <f>IF($J807=FALSE(),"",IF(발주접수!$F83="세트",발주접수!$G83*IFERROR(INDEX(세트구성!$E$3:$E$302,MATCH(발주접수!$D83&amp;"|"&amp;2,세트구성!$G$3:$G$302,0)),0),발주접수!$G83))</f>
        <v/>
      </c>
      <c r="O807" s="34" t="str">
        <f>IF($J807=FALSE(),"",발주접수!$B83)</f>
        <v/>
      </c>
      <c r="P807" s="34" t="str">
        <f>IF($J807=FALSE(),"",발주접수!$C83)</f>
        <v/>
      </c>
      <c r="Q807" s="34" t="str">
        <f>IF($J807=FALSE(),"",IF(발주접수!$F83="세트",발주접수!$E83&amp;" 전개","직접 발주"))</f>
        <v/>
      </c>
    </row>
    <row r="808" ht="15" customHeight="1" s="30">
      <c r="J808" s="50" t="b">
        <f>IF(발주접수!$D83="",FALSE(),IF(발주접수!$F83="세트",COUNTIF(세트구성!$G$3:$G$302,발주접수!$D83&amp;"|"&amp;3)&gt;0,2=0))</f>
        <v>0</v>
      </c>
      <c r="K808" s="34" t="str">
        <f>IF($J808=FALSE(),"",COUNTIF($J$6:$J808,TRUE()))</f>
        <v/>
      </c>
      <c r="L808" s="34" t="str">
        <f>IF($K808="","","R"&amp;$K808)</f>
        <v/>
      </c>
      <c r="M808" s="34" t="str">
        <f>IF($J808=FALSE(),"",IF(발주접수!$F83="세트",IFERROR(INDEX(세트구성!$C$3:$C$302,MATCH(발주접수!$D83&amp;"|"&amp;3,세트구성!$G$3:$G$302,0)),""),발주접수!$D83))</f>
        <v/>
      </c>
      <c r="N808" s="34" t="str">
        <f>IF($J808=FALSE(),"",IF(발주접수!$F83="세트",발주접수!$G83*IFERROR(INDEX(세트구성!$E$3:$E$302,MATCH(발주접수!$D83&amp;"|"&amp;3,세트구성!$G$3:$G$302,0)),0),발주접수!$G83))</f>
        <v/>
      </c>
      <c r="O808" s="34" t="str">
        <f>IF($J808=FALSE(),"",발주접수!$B83)</f>
        <v/>
      </c>
      <c r="P808" s="34" t="str">
        <f>IF($J808=FALSE(),"",발주접수!$C83)</f>
        <v/>
      </c>
      <c r="Q808" s="34" t="str">
        <f>IF($J808=FALSE(),"",IF(발주접수!$F83="세트",발주접수!$E83&amp;" 전개","직접 발주"))</f>
        <v/>
      </c>
    </row>
    <row r="809" ht="15" customHeight="1" s="30">
      <c r="J809" s="50" t="b">
        <f>IF(발주접수!$D83="",FALSE(),IF(발주접수!$F83="세트",COUNTIF(세트구성!$G$3:$G$302,발주접수!$D83&amp;"|"&amp;4)&gt;0,3=0))</f>
        <v>0</v>
      </c>
      <c r="K809" s="34" t="str">
        <f>IF($J809=FALSE(),"",COUNTIF($J$6:$J809,TRUE()))</f>
        <v/>
      </c>
      <c r="L809" s="34" t="str">
        <f>IF($K809="","","R"&amp;$K809)</f>
        <v/>
      </c>
      <c r="M809" s="34" t="str">
        <f>IF($J809=FALSE(),"",IF(발주접수!$F83="세트",IFERROR(INDEX(세트구성!$C$3:$C$302,MATCH(발주접수!$D83&amp;"|"&amp;4,세트구성!$G$3:$G$302,0)),""),발주접수!$D83))</f>
        <v/>
      </c>
      <c r="N809" s="34" t="str">
        <f>IF($J809=FALSE(),"",IF(발주접수!$F83="세트",발주접수!$G83*IFERROR(INDEX(세트구성!$E$3:$E$302,MATCH(발주접수!$D83&amp;"|"&amp;4,세트구성!$G$3:$G$302,0)),0),발주접수!$G83))</f>
        <v/>
      </c>
      <c r="O809" s="34" t="str">
        <f>IF($J809=FALSE(),"",발주접수!$B83)</f>
        <v/>
      </c>
      <c r="P809" s="34" t="str">
        <f>IF($J809=FALSE(),"",발주접수!$C83)</f>
        <v/>
      </c>
      <c r="Q809" s="34" t="str">
        <f>IF($J809=FALSE(),"",IF(발주접수!$F83="세트",발주접수!$E83&amp;" 전개","직접 발주"))</f>
        <v/>
      </c>
    </row>
    <row r="810" ht="15" customHeight="1" s="30">
      <c r="J810" s="50" t="b">
        <f>IF(발주접수!$D83="",FALSE(),IF(발주접수!$F83="세트",COUNTIF(세트구성!$G$3:$G$302,발주접수!$D83&amp;"|"&amp;5)&gt;0,4=0))</f>
        <v>0</v>
      </c>
      <c r="K810" s="34" t="str">
        <f>IF($J810=FALSE(),"",COUNTIF($J$6:$J810,TRUE()))</f>
        <v/>
      </c>
      <c r="L810" s="34" t="str">
        <f>IF($K810="","","R"&amp;$K810)</f>
        <v/>
      </c>
      <c r="M810" s="34" t="str">
        <f>IF($J810=FALSE(),"",IF(발주접수!$F83="세트",IFERROR(INDEX(세트구성!$C$3:$C$302,MATCH(발주접수!$D83&amp;"|"&amp;5,세트구성!$G$3:$G$302,0)),""),발주접수!$D83))</f>
        <v/>
      </c>
      <c r="N810" s="34" t="str">
        <f>IF($J810=FALSE(),"",IF(발주접수!$F83="세트",발주접수!$G83*IFERROR(INDEX(세트구성!$E$3:$E$302,MATCH(발주접수!$D83&amp;"|"&amp;5,세트구성!$G$3:$G$302,0)),0),발주접수!$G83))</f>
        <v/>
      </c>
      <c r="O810" s="34" t="str">
        <f>IF($J810=FALSE(),"",발주접수!$B83)</f>
        <v/>
      </c>
      <c r="P810" s="34" t="str">
        <f>IF($J810=FALSE(),"",발주접수!$C83)</f>
        <v/>
      </c>
      <c r="Q810" s="34" t="str">
        <f>IF($J810=FALSE(),"",IF(발주접수!$F83="세트",발주접수!$E83&amp;" 전개","직접 발주"))</f>
        <v/>
      </c>
    </row>
    <row r="811" ht="15" customHeight="1" s="30">
      <c r="J811" s="50" t="b">
        <f>IF(발주접수!$D83="",FALSE(),IF(발주접수!$F83="세트",COUNTIF(세트구성!$G$3:$G$302,발주접수!$D83&amp;"|"&amp;6)&gt;0,5=0))</f>
        <v>0</v>
      </c>
      <c r="K811" s="34" t="str">
        <f>IF($J811=FALSE(),"",COUNTIF($J$6:$J811,TRUE()))</f>
        <v/>
      </c>
      <c r="L811" s="34" t="str">
        <f>IF($K811="","","R"&amp;$K811)</f>
        <v/>
      </c>
      <c r="M811" s="34" t="str">
        <f>IF($J811=FALSE(),"",IF(발주접수!$F83="세트",IFERROR(INDEX(세트구성!$C$3:$C$302,MATCH(발주접수!$D83&amp;"|"&amp;6,세트구성!$G$3:$G$302,0)),""),발주접수!$D83))</f>
        <v/>
      </c>
      <c r="N811" s="34" t="str">
        <f>IF($J811=FALSE(),"",IF(발주접수!$F83="세트",발주접수!$G83*IFERROR(INDEX(세트구성!$E$3:$E$302,MATCH(발주접수!$D83&amp;"|"&amp;6,세트구성!$G$3:$G$302,0)),0),발주접수!$G83))</f>
        <v/>
      </c>
      <c r="O811" s="34" t="str">
        <f>IF($J811=FALSE(),"",발주접수!$B83)</f>
        <v/>
      </c>
      <c r="P811" s="34" t="str">
        <f>IF($J811=FALSE(),"",발주접수!$C83)</f>
        <v/>
      </c>
      <c r="Q811" s="34" t="str">
        <f>IF($J811=FALSE(),"",IF(발주접수!$F83="세트",발주접수!$E83&amp;" 전개","직접 발주"))</f>
        <v/>
      </c>
    </row>
    <row r="812" ht="15" customHeight="1" s="30">
      <c r="J812" s="50" t="b">
        <f>IF(발주접수!$D83="",FALSE(),IF(발주접수!$F83="세트",COUNTIF(세트구성!$G$3:$G$302,발주접수!$D83&amp;"|"&amp;7)&gt;0,6=0))</f>
        <v>0</v>
      </c>
      <c r="K812" s="34" t="str">
        <f>IF($J812=FALSE(),"",COUNTIF($J$6:$J812,TRUE()))</f>
        <v/>
      </c>
      <c r="L812" s="34" t="str">
        <f>IF($K812="","","R"&amp;$K812)</f>
        <v/>
      </c>
      <c r="M812" s="34" t="str">
        <f>IF($J812=FALSE(),"",IF(발주접수!$F83="세트",IFERROR(INDEX(세트구성!$C$3:$C$302,MATCH(발주접수!$D83&amp;"|"&amp;7,세트구성!$G$3:$G$302,0)),""),발주접수!$D83))</f>
        <v/>
      </c>
      <c r="N812" s="34" t="str">
        <f>IF($J812=FALSE(),"",IF(발주접수!$F83="세트",발주접수!$G83*IFERROR(INDEX(세트구성!$E$3:$E$302,MATCH(발주접수!$D83&amp;"|"&amp;7,세트구성!$G$3:$G$302,0)),0),발주접수!$G83))</f>
        <v/>
      </c>
      <c r="O812" s="34" t="str">
        <f>IF($J812=FALSE(),"",발주접수!$B83)</f>
        <v/>
      </c>
      <c r="P812" s="34" t="str">
        <f>IF($J812=FALSE(),"",발주접수!$C83)</f>
        <v/>
      </c>
      <c r="Q812" s="34" t="str">
        <f>IF($J812=FALSE(),"",IF(발주접수!$F83="세트",발주접수!$E83&amp;" 전개","직접 발주"))</f>
        <v/>
      </c>
    </row>
    <row r="813" ht="15" customHeight="1" s="30">
      <c r="J813" s="50" t="b">
        <f>IF(발주접수!$D83="",FALSE(),IF(발주접수!$F83="세트",COUNTIF(세트구성!$G$3:$G$302,발주접수!$D83&amp;"|"&amp;8)&gt;0,7=0))</f>
        <v>0</v>
      </c>
      <c r="K813" s="34" t="str">
        <f>IF($J813=FALSE(),"",COUNTIF($J$6:$J813,TRUE()))</f>
        <v/>
      </c>
      <c r="L813" s="34" t="str">
        <f>IF($K813="","","R"&amp;$K813)</f>
        <v/>
      </c>
      <c r="M813" s="34" t="str">
        <f>IF($J813=FALSE(),"",IF(발주접수!$F83="세트",IFERROR(INDEX(세트구성!$C$3:$C$302,MATCH(발주접수!$D83&amp;"|"&amp;8,세트구성!$G$3:$G$302,0)),""),발주접수!$D83))</f>
        <v/>
      </c>
      <c r="N813" s="34" t="str">
        <f>IF($J813=FALSE(),"",IF(발주접수!$F83="세트",발주접수!$G83*IFERROR(INDEX(세트구성!$E$3:$E$302,MATCH(발주접수!$D83&amp;"|"&amp;8,세트구성!$G$3:$G$302,0)),0),발주접수!$G83))</f>
        <v/>
      </c>
      <c r="O813" s="34" t="str">
        <f>IF($J813=FALSE(),"",발주접수!$B83)</f>
        <v/>
      </c>
      <c r="P813" s="34" t="str">
        <f>IF($J813=FALSE(),"",발주접수!$C83)</f>
        <v/>
      </c>
      <c r="Q813" s="34" t="str">
        <f>IF($J813=FALSE(),"",IF(발주접수!$F83="세트",발주접수!$E83&amp;" 전개","직접 발주"))</f>
        <v/>
      </c>
    </row>
    <row r="814" ht="15" customHeight="1" s="30">
      <c r="J814" s="50" t="b">
        <f>IF(발주접수!$D83="",FALSE(),IF(발주접수!$F83="세트",COUNTIF(세트구성!$G$3:$G$302,발주접수!$D83&amp;"|"&amp;9)&gt;0,8=0))</f>
        <v>0</v>
      </c>
      <c r="K814" s="34" t="str">
        <f>IF($J814=FALSE(),"",COUNTIF($J$6:$J814,TRUE()))</f>
        <v/>
      </c>
      <c r="L814" s="34" t="str">
        <f>IF($K814="","","R"&amp;$K814)</f>
        <v/>
      </c>
      <c r="M814" s="34" t="str">
        <f>IF($J814=FALSE(),"",IF(발주접수!$F83="세트",IFERROR(INDEX(세트구성!$C$3:$C$302,MATCH(발주접수!$D83&amp;"|"&amp;9,세트구성!$G$3:$G$302,0)),""),발주접수!$D83))</f>
        <v/>
      </c>
      <c r="N814" s="34" t="str">
        <f>IF($J814=FALSE(),"",IF(발주접수!$F83="세트",발주접수!$G83*IFERROR(INDEX(세트구성!$E$3:$E$302,MATCH(발주접수!$D83&amp;"|"&amp;9,세트구성!$G$3:$G$302,0)),0),발주접수!$G83))</f>
        <v/>
      </c>
      <c r="O814" s="34" t="str">
        <f>IF($J814=FALSE(),"",발주접수!$B83)</f>
        <v/>
      </c>
      <c r="P814" s="34" t="str">
        <f>IF($J814=FALSE(),"",발주접수!$C83)</f>
        <v/>
      </c>
      <c r="Q814" s="34" t="str">
        <f>IF($J814=FALSE(),"",IF(발주접수!$F83="세트",발주접수!$E83&amp;" 전개","직접 발주"))</f>
        <v/>
      </c>
    </row>
    <row r="815" ht="15" customHeight="1" s="30">
      <c r="J815" s="50" t="b">
        <f>IF(발주접수!$D83="",FALSE(),IF(발주접수!$F83="세트",COUNTIF(세트구성!$G$3:$G$302,발주접수!$D83&amp;"|"&amp;10)&gt;0,9=0))</f>
        <v>0</v>
      </c>
      <c r="K815" s="34" t="str">
        <f>IF($J815=FALSE(),"",COUNTIF($J$6:$J815,TRUE()))</f>
        <v/>
      </c>
      <c r="L815" s="34" t="str">
        <f>IF($K815="","","R"&amp;$K815)</f>
        <v/>
      </c>
      <c r="M815" s="34" t="str">
        <f>IF($J815=FALSE(),"",IF(발주접수!$F83="세트",IFERROR(INDEX(세트구성!$C$3:$C$302,MATCH(발주접수!$D83&amp;"|"&amp;10,세트구성!$G$3:$G$302,0)),""),발주접수!$D83))</f>
        <v/>
      </c>
      <c r="N815" s="34" t="str">
        <f>IF($J815=FALSE(),"",IF(발주접수!$F83="세트",발주접수!$G83*IFERROR(INDEX(세트구성!$E$3:$E$302,MATCH(발주접수!$D83&amp;"|"&amp;10,세트구성!$G$3:$G$302,0)),0),발주접수!$G83))</f>
        <v/>
      </c>
      <c r="O815" s="34" t="str">
        <f>IF($J815=FALSE(),"",발주접수!$B83)</f>
        <v/>
      </c>
      <c r="P815" s="34" t="str">
        <f>IF($J815=FALSE(),"",발주접수!$C83)</f>
        <v/>
      </c>
      <c r="Q815" s="34" t="str">
        <f>IF($J815=FALSE(),"",IF(발주접수!$F83="세트",발주접수!$E83&amp;" 전개","직접 발주"))</f>
        <v/>
      </c>
    </row>
    <row r="816" ht="15" customHeight="1" s="30">
      <c r="J816" s="50" t="b">
        <f>IF(발주접수!$D84="",FALSE(),IF(발주접수!$F84="세트",COUNTIF(세트구성!$G$3:$G$302,발주접수!$D84&amp;"|"&amp;1)&gt;0,0=0))</f>
        <v>0</v>
      </c>
      <c r="K816" s="34" t="str">
        <f>IF($J816=FALSE(),"",COUNTIF($J$6:$J816,TRUE()))</f>
        <v/>
      </c>
      <c r="L816" s="34" t="str">
        <f>IF($K816="","","R"&amp;$K816)</f>
        <v/>
      </c>
      <c r="M816" s="34" t="str">
        <f>IF($J816=FALSE(),"",IF(발주접수!$F84="세트",IFERROR(INDEX(세트구성!$C$3:$C$302,MATCH(발주접수!$D84&amp;"|"&amp;1,세트구성!$G$3:$G$302,0)),""),발주접수!$D84))</f>
        <v/>
      </c>
      <c r="N816" s="34" t="str">
        <f>IF($J816=FALSE(),"",IF(발주접수!$F84="세트",발주접수!$G84*IFERROR(INDEX(세트구성!$E$3:$E$302,MATCH(발주접수!$D84&amp;"|"&amp;1,세트구성!$G$3:$G$302,0)),0),발주접수!$G84))</f>
        <v/>
      </c>
      <c r="O816" s="34" t="str">
        <f>IF($J816=FALSE(),"",발주접수!$B84)</f>
        <v/>
      </c>
      <c r="P816" s="34" t="str">
        <f>IF($J816=FALSE(),"",발주접수!$C84)</f>
        <v/>
      </c>
      <c r="Q816" s="34" t="str">
        <f>IF($J816=FALSE(),"",IF(발주접수!$F84="세트",발주접수!$E84&amp;" 전개","직접 발주"))</f>
        <v/>
      </c>
    </row>
    <row r="817" ht="15" customHeight="1" s="30">
      <c r="J817" s="50" t="b">
        <f>IF(발주접수!$D84="",FALSE(),IF(발주접수!$F84="세트",COUNTIF(세트구성!$G$3:$G$302,발주접수!$D84&amp;"|"&amp;2)&gt;0,1=0))</f>
        <v>0</v>
      </c>
      <c r="K817" s="34" t="str">
        <f>IF($J817=FALSE(),"",COUNTIF($J$6:$J817,TRUE()))</f>
        <v/>
      </c>
      <c r="L817" s="34" t="str">
        <f>IF($K817="","","R"&amp;$K817)</f>
        <v/>
      </c>
      <c r="M817" s="34" t="str">
        <f>IF($J817=FALSE(),"",IF(발주접수!$F84="세트",IFERROR(INDEX(세트구성!$C$3:$C$302,MATCH(발주접수!$D84&amp;"|"&amp;2,세트구성!$G$3:$G$302,0)),""),발주접수!$D84))</f>
        <v/>
      </c>
      <c r="N817" s="34" t="str">
        <f>IF($J817=FALSE(),"",IF(발주접수!$F84="세트",발주접수!$G84*IFERROR(INDEX(세트구성!$E$3:$E$302,MATCH(발주접수!$D84&amp;"|"&amp;2,세트구성!$G$3:$G$302,0)),0),발주접수!$G84))</f>
        <v/>
      </c>
      <c r="O817" s="34" t="str">
        <f>IF($J817=FALSE(),"",발주접수!$B84)</f>
        <v/>
      </c>
      <c r="P817" s="34" t="str">
        <f>IF($J817=FALSE(),"",발주접수!$C84)</f>
        <v/>
      </c>
      <c r="Q817" s="34" t="str">
        <f>IF($J817=FALSE(),"",IF(발주접수!$F84="세트",발주접수!$E84&amp;" 전개","직접 발주"))</f>
        <v/>
      </c>
    </row>
    <row r="818" ht="15" customHeight="1" s="30">
      <c r="J818" s="50" t="b">
        <f>IF(발주접수!$D84="",FALSE(),IF(발주접수!$F84="세트",COUNTIF(세트구성!$G$3:$G$302,발주접수!$D84&amp;"|"&amp;3)&gt;0,2=0))</f>
        <v>0</v>
      </c>
      <c r="K818" s="34" t="str">
        <f>IF($J818=FALSE(),"",COUNTIF($J$6:$J818,TRUE()))</f>
        <v/>
      </c>
      <c r="L818" s="34" t="str">
        <f>IF($K818="","","R"&amp;$K818)</f>
        <v/>
      </c>
      <c r="M818" s="34" t="str">
        <f>IF($J818=FALSE(),"",IF(발주접수!$F84="세트",IFERROR(INDEX(세트구성!$C$3:$C$302,MATCH(발주접수!$D84&amp;"|"&amp;3,세트구성!$G$3:$G$302,0)),""),발주접수!$D84))</f>
        <v/>
      </c>
      <c r="N818" s="34" t="str">
        <f>IF($J818=FALSE(),"",IF(발주접수!$F84="세트",발주접수!$G84*IFERROR(INDEX(세트구성!$E$3:$E$302,MATCH(발주접수!$D84&amp;"|"&amp;3,세트구성!$G$3:$G$302,0)),0),발주접수!$G84))</f>
        <v/>
      </c>
      <c r="O818" s="34" t="str">
        <f>IF($J818=FALSE(),"",발주접수!$B84)</f>
        <v/>
      </c>
      <c r="P818" s="34" t="str">
        <f>IF($J818=FALSE(),"",발주접수!$C84)</f>
        <v/>
      </c>
      <c r="Q818" s="34" t="str">
        <f>IF($J818=FALSE(),"",IF(발주접수!$F84="세트",발주접수!$E84&amp;" 전개","직접 발주"))</f>
        <v/>
      </c>
    </row>
    <row r="819" ht="15" customHeight="1" s="30">
      <c r="J819" s="50" t="b">
        <f>IF(발주접수!$D84="",FALSE(),IF(발주접수!$F84="세트",COUNTIF(세트구성!$G$3:$G$302,발주접수!$D84&amp;"|"&amp;4)&gt;0,3=0))</f>
        <v>0</v>
      </c>
      <c r="K819" s="34" t="str">
        <f>IF($J819=FALSE(),"",COUNTIF($J$6:$J819,TRUE()))</f>
        <v/>
      </c>
      <c r="L819" s="34" t="str">
        <f>IF($K819="","","R"&amp;$K819)</f>
        <v/>
      </c>
      <c r="M819" s="34" t="str">
        <f>IF($J819=FALSE(),"",IF(발주접수!$F84="세트",IFERROR(INDEX(세트구성!$C$3:$C$302,MATCH(발주접수!$D84&amp;"|"&amp;4,세트구성!$G$3:$G$302,0)),""),발주접수!$D84))</f>
        <v/>
      </c>
      <c r="N819" s="34" t="str">
        <f>IF($J819=FALSE(),"",IF(발주접수!$F84="세트",발주접수!$G84*IFERROR(INDEX(세트구성!$E$3:$E$302,MATCH(발주접수!$D84&amp;"|"&amp;4,세트구성!$G$3:$G$302,0)),0),발주접수!$G84))</f>
        <v/>
      </c>
      <c r="O819" s="34" t="str">
        <f>IF($J819=FALSE(),"",발주접수!$B84)</f>
        <v/>
      </c>
      <c r="P819" s="34" t="str">
        <f>IF($J819=FALSE(),"",발주접수!$C84)</f>
        <v/>
      </c>
      <c r="Q819" s="34" t="str">
        <f>IF($J819=FALSE(),"",IF(발주접수!$F84="세트",발주접수!$E84&amp;" 전개","직접 발주"))</f>
        <v/>
      </c>
    </row>
    <row r="820" ht="15" customHeight="1" s="30">
      <c r="J820" s="50" t="b">
        <f>IF(발주접수!$D84="",FALSE(),IF(발주접수!$F84="세트",COUNTIF(세트구성!$G$3:$G$302,발주접수!$D84&amp;"|"&amp;5)&gt;0,4=0))</f>
        <v>0</v>
      </c>
      <c r="K820" s="34" t="str">
        <f>IF($J820=FALSE(),"",COUNTIF($J$6:$J820,TRUE()))</f>
        <v/>
      </c>
      <c r="L820" s="34" t="str">
        <f>IF($K820="","","R"&amp;$K820)</f>
        <v/>
      </c>
      <c r="M820" s="34" t="str">
        <f>IF($J820=FALSE(),"",IF(발주접수!$F84="세트",IFERROR(INDEX(세트구성!$C$3:$C$302,MATCH(발주접수!$D84&amp;"|"&amp;5,세트구성!$G$3:$G$302,0)),""),발주접수!$D84))</f>
        <v/>
      </c>
      <c r="N820" s="34" t="str">
        <f>IF($J820=FALSE(),"",IF(발주접수!$F84="세트",발주접수!$G84*IFERROR(INDEX(세트구성!$E$3:$E$302,MATCH(발주접수!$D84&amp;"|"&amp;5,세트구성!$G$3:$G$302,0)),0),발주접수!$G84))</f>
        <v/>
      </c>
      <c r="O820" s="34" t="str">
        <f>IF($J820=FALSE(),"",발주접수!$B84)</f>
        <v/>
      </c>
      <c r="P820" s="34" t="str">
        <f>IF($J820=FALSE(),"",발주접수!$C84)</f>
        <v/>
      </c>
      <c r="Q820" s="34" t="str">
        <f>IF($J820=FALSE(),"",IF(발주접수!$F84="세트",발주접수!$E84&amp;" 전개","직접 발주"))</f>
        <v/>
      </c>
    </row>
    <row r="821" ht="15" customHeight="1" s="30">
      <c r="J821" s="50" t="b">
        <f>IF(발주접수!$D84="",FALSE(),IF(발주접수!$F84="세트",COUNTIF(세트구성!$G$3:$G$302,발주접수!$D84&amp;"|"&amp;6)&gt;0,5=0))</f>
        <v>0</v>
      </c>
      <c r="K821" s="34" t="str">
        <f>IF($J821=FALSE(),"",COUNTIF($J$6:$J821,TRUE()))</f>
        <v/>
      </c>
      <c r="L821" s="34" t="str">
        <f>IF($K821="","","R"&amp;$K821)</f>
        <v/>
      </c>
      <c r="M821" s="34" t="str">
        <f>IF($J821=FALSE(),"",IF(발주접수!$F84="세트",IFERROR(INDEX(세트구성!$C$3:$C$302,MATCH(발주접수!$D84&amp;"|"&amp;6,세트구성!$G$3:$G$302,0)),""),발주접수!$D84))</f>
        <v/>
      </c>
      <c r="N821" s="34" t="str">
        <f>IF($J821=FALSE(),"",IF(발주접수!$F84="세트",발주접수!$G84*IFERROR(INDEX(세트구성!$E$3:$E$302,MATCH(발주접수!$D84&amp;"|"&amp;6,세트구성!$G$3:$G$302,0)),0),발주접수!$G84))</f>
        <v/>
      </c>
      <c r="O821" s="34" t="str">
        <f>IF($J821=FALSE(),"",발주접수!$B84)</f>
        <v/>
      </c>
      <c r="P821" s="34" t="str">
        <f>IF($J821=FALSE(),"",발주접수!$C84)</f>
        <v/>
      </c>
      <c r="Q821" s="34" t="str">
        <f>IF($J821=FALSE(),"",IF(발주접수!$F84="세트",발주접수!$E84&amp;" 전개","직접 발주"))</f>
        <v/>
      </c>
    </row>
    <row r="822" ht="15" customHeight="1" s="30">
      <c r="J822" s="50" t="b">
        <f>IF(발주접수!$D84="",FALSE(),IF(발주접수!$F84="세트",COUNTIF(세트구성!$G$3:$G$302,발주접수!$D84&amp;"|"&amp;7)&gt;0,6=0))</f>
        <v>0</v>
      </c>
      <c r="K822" s="34" t="str">
        <f>IF($J822=FALSE(),"",COUNTIF($J$6:$J822,TRUE()))</f>
        <v/>
      </c>
      <c r="L822" s="34" t="str">
        <f>IF($K822="","","R"&amp;$K822)</f>
        <v/>
      </c>
      <c r="M822" s="34" t="str">
        <f>IF($J822=FALSE(),"",IF(발주접수!$F84="세트",IFERROR(INDEX(세트구성!$C$3:$C$302,MATCH(발주접수!$D84&amp;"|"&amp;7,세트구성!$G$3:$G$302,0)),""),발주접수!$D84))</f>
        <v/>
      </c>
      <c r="N822" s="34" t="str">
        <f>IF($J822=FALSE(),"",IF(발주접수!$F84="세트",발주접수!$G84*IFERROR(INDEX(세트구성!$E$3:$E$302,MATCH(발주접수!$D84&amp;"|"&amp;7,세트구성!$G$3:$G$302,0)),0),발주접수!$G84))</f>
        <v/>
      </c>
      <c r="O822" s="34" t="str">
        <f>IF($J822=FALSE(),"",발주접수!$B84)</f>
        <v/>
      </c>
      <c r="P822" s="34" t="str">
        <f>IF($J822=FALSE(),"",발주접수!$C84)</f>
        <v/>
      </c>
      <c r="Q822" s="34" t="str">
        <f>IF($J822=FALSE(),"",IF(발주접수!$F84="세트",발주접수!$E84&amp;" 전개","직접 발주"))</f>
        <v/>
      </c>
    </row>
    <row r="823" ht="15" customHeight="1" s="30">
      <c r="J823" s="50" t="b">
        <f>IF(발주접수!$D84="",FALSE(),IF(발주접수!$F84="세트",COUNTIF(세트구성!$G$3:$G$302,발주접수!$D84&amp;"|"&amp;8)&gt;0,7=0))</f>
        <v>0</v>
      </c>
      <c r="K823" s="34" t="str">
        <f>IF($J823=FALSE(),"",COUNTIF($J$6:$J823,TRUE()))</f>
        <v/>
      </c>
      <c r="L823" s="34" t="str">
        <f>IF($K823="","","R"&amp;$K823)</f>
        <v/>
      </c>
      <c r="M823" s="34" t="str">
        <f>IF($J823=FALSE(),"",IF(발주접수!$F84="세트",IFERROR(INDEX(세트구성!$C$3:$C$302,MATCH(발주접수!$D84&amp;"|"&amp;8,세트구성!$G$3:$G$302,0)),""),발주접수!$D84))</f>
        <v/>
      </c>
      <c r="N823" s="34" t="str">
        <f>IF($J823=FALSE(),"",IF(발주접수!$F84="세트",발주접수!$G84*IFERROR(INDEX(세트구성!$E$3:$E$302,MATCH(발주접수!$D84&amp;"|"&amp;8,세트구성!$G$3:$G$302,0)),0),발주접수!$G84))</f>
        <v/>
      </c>
      <c r="O823" s="34" t="str">
        <f>IF($J823=FALSE(),"",발주접수!$B84)</f>
        <v/>
      </c>
      <c r="P823" s="34" t="str">
        <f>IF($J823=FALSE(),"",발주접수!$C84)</f>
        <v/>
      </c>
      <c r="Q823" s="34" t="str">
        <f>IF($J823=FALSE(),"",IF(발주접수!$F84="세트",발주접수!$E84&amp;" 전개","직접 발주"))</f>
        <v/>
      </c>
    </row>
    <row r="824" ht="15" customHeight="1" s="30">
      <c r="J824" s="50" t="b">
        <f>IF(발주접수!$D84="",FALSE(),IF(발주접수!$F84="세트",COUNTIF(세트구성!$G$3:$G$302,발주접수!$D84&amp;"|"&amp;9)&gt;0,8=0))</f>
        <v>0</v>
      </c>
      <c r="K824" s="34" t="str">
        <f>IF($J824=FALSE(),"",COUNTIF($J$6:$J824,TRUE()))</f>
        <v/>
      </c>
      <c r="L824" s="34" t="str">
        <f>IF($K824="","","R"&amp;$K824)</f>
        <v/>
      </c>
      <c r="M824" s="34" t="str">
        <f>IF($J824=FALSE(),"",IF(발주접수!$F84="세트",IFERROR(INDEX(세트구성!$C$3:$C$302,MATCH(발주접수!$D84&amp;"|"&amp;9,세트구성!$G$3:$G$302,0)),""),발주접수!$D84))</f>
        <v/>
      </c>
      <c r="N824" s="34" t="str">
        <f>IF($J824=FALSE(),"",IF(발주접수!$F84="세트",발주접수!$G84*IFERROR(INDEX(세트구성!$E$3:$E$302,MATCH(발주접수!$D84&amp;"|"&amp;9,세트구성!$G$3:$G$302,0)),0),발주접수!$G84))</f>
        <v/>
      </c>
      <c r="O824" s="34" t="str">
        <f>IF($J824=FALSE(),"",발주접수!$B84)</f>
        <v/>
      </c>
      <c r="P824" s="34" t="str">
        <f>IF($J824=FALSE(),"",발주접수!$C84)</f>
        <v/>
      </c>
      <c r="Q824" s="34" t="str">
        <f>IF($J824=FALSE(),"",IF(발주접수!$F84="세트",발주접수!$E84&amp;" 전개","직접 발주"))</f>
        <v/>
      </c>
    </row>
    <row r="825" ht="15" customHeight="1" s="30">
      <c r="J825" s="50" t="b">
        <f>IF(발주접수!$D84="",FALSE(),IF(발주접수!$F84="세트",COUNTIF(세트구성!$G$3:$G$302,발주접수!$D84&amp;"|"&amp;10)&gt;0,9=0))</f>
        <v>0</v>
      </c>
      <c r="K825" s="34" t="str">
        <f>IF($J825=FALSE(),"",COUNTIF($J$6:$J825,TRUE()))</f>
        <v/>
      </c>
      <c r="L825" s="34" t="str">
        <f>IF($K825="","","R"&amp;$K825)</f>
        <v/>
      </c>
      <c r="M825" s="34" t="str">
        <f>IF($J825=FALSE(),"",IF(발주접수!$F84="세트",IFERROR(INDEX(세트구성!$C$3:$C$302,MATCH(발주접수!$D84&amp;"|"&amp;10,세트구성!$G$3:$G$302,0)),""),발주접수!$D84))</f>
        <v/>
      </c>
      <c r="N825" s="34" t="str">
        <f>IF($J825=FALSE(),"",IF(발주접수!$F84="세트",발주접수!$G84*IFERROR(INDEX(세트구성!$E$3:$E$302,MATCH(발주접수!$D84&amp;"|"&amp;10,세트구성!$G$3:$G$302,0)),0),발주접수!$G84))</f>
        <v/>
      </c>
      <c r="O825" s="34" t="str">
        <f>IF($J825=FALSE(),"",발주접수!$B84)</f>
        <v/>
      </c>
      <c r="P825" s="34" t="str">
        <f>IF($J825=FALSE(),"",발주접수!$C84)</f>
        <v/>
      </c>
      <c r="Q825" s="34" t="str">
        <f>IF($J825=FALSE(),"",IF(발주접수!$F84="세트",발주접수!$E84&amp;" 전개","직접 발주"))</f>
        <v/>
      </c>
    </row>
    <row r="826" ht="15" customHeight="1" s="30">
      <c r="J826" s="50" t="b">
        <f>IF(발주접수!$D85="",FALSE(),IF(발주접수!$F85="세트",COUNTIF(세트구성!$G$3:$G$302,발주접수!$D85&amp;"|"&amp;1)&gt;0,0=0))</f>
        <v>0</v>
      </c>
      <c r="K826" s="34" t="str">
        <f>IF($J826=FALSE(),"",COUNTIF($J$6:$J826,TRUE()))</f>
        <v/>
      </c>
      <c r="L826" s="34" t="str">
        <f>IF($K826="","","R"&amp;$K826)</f>
        <v/>
      </c>
      <c r="M826" s="34" t="str">
        <f>IF($J826=FALSE(),"",IF(발주접수!$F85="세트",IFERROR(INDEX(세트구성!$C$3:$C$302,MATCH(발주접수!$D85&amp;"|"&amp;1,세트구성!$G$3:$G$302,0)),""),발주접수!$D85))</f>
        <v/>
      </c>
      <c r="N826" s="34" t="str">
        <f>IF($J826=FALSE(),"",IF(발주접수!$F85="세트",발주접수!$G85*IFERROR(INDEX(세트구성!$E$3:$E$302,MATCH(발주접수!$D85&amp;"|"&amp;1,세트구성!$G$3:$G$302,0)),0),발주접수!$G85))</f>
        <v/>
      </c>
      <c r="O826" s="34" t="str">
        <f>IF($J826=FALSE(),"",발주접수!$B85)</f>
        <v/>
      </c>
      <c r="P826" s="34" t="str">
        <f>IF($J826=FALSE(),"",발주접수!$C85)</f>
        <v/>
      </c>
      <c r="Q826" s="34" t="str">
        <f>IF($J826=FALSE(),"",IF(발주접수!$F85="세트",발주접수!$E85&amp;" 전개","직접 발주"))</f>
        <v/>
      </c>
    </row>
    <row r="827" ht="15" customHeight="1" s="30">
      <c r="J827" s="50" t="b">
        <f>IF(발주접수!$D85="",FALSE(),IF(발주접수!$F85="세트",COUNTIF(세트구성!$G$3:$G$302,발주접수!$D85&amp;"|"&amp;2)&gt;0,1=0))</f>
        <v>0</v>
      </c>
      <c r="K827" s="34" t="str">
        <f>IF($J827=FALSE(),"",COUNTIF($J$6:$J827,TRUE()))</f>
        <v/>
      </c>
      <c r="L827" s="34" t="str">
        <f>IF($K827="","","R"&amp;$K827)</f>
        <v/>
      </c>
      <c r="M827" s="34" t="str">
        <f>IF($J827=FALSE(),"",IF(발주접수!$F85="세트",IFERROR(INDEX(세트구성!$C$3:$C$302,MATCH(발주접수!$D85&amp;"|"&amp;2,세트구성!$G$3:$G$302,0)),""),발주접수!$D85))</f>
        <v/>
      </c>
      <c r="N827" s="34" t="str">
        <f>IF($J827=FALSE(),"",IF(발주접수!$F85="세트",발주접수!$G85*IFERROR(INDEX(세트구성!$E$3:$E$302,MATCH(발주접수!$D85&amp;"|"&amp;2,세트구성!$G$3:$G$302,0)),0),발주접수!$G85))</f>
        <v/>
      </c>
      <c r="O827" s="34" t="str">
        <f>IF($J827=FALSE(),"",발주접수!$B85)</f>
        <v/>
      </c>
      <c r="P827" s="34" t="str">
        <f>IF($J827=FALSE(),"",발주접수!$C85)</f>
        <v/>
      </c>
      <c r="Q827" s="34" t="str">
        <f>IF($J827=FALSE(),"",IF(발주접수!$F85="세트",발주접수!$E85&amp;" 전개","직접 발주"))</f>
        <v/>
      </c>
    </row>
    <row r="828" ht="15" customHeight="1" s="30">
      <c r="J828" s="50" t="b">
        <f>IF(발주접수!$D85="",FALSE(),IF(발주접수!$F85="세트",COUNTIF(세트구성!$G$3:$G$302,발주접수!$D85&amp;"|"&amp;3)&gt;0,2=0))</f>
        <v>0</v>
      </c>
      <c r="K828" s="34" t="str">
        <f>IF($J828=FALSE(),"",COUNTIF($J$6:$J828,TRUE()))</f>
        <v/>
      </c>
      <c r="L828" s="34" t="str">
        <f>IF($K828="","","R"&amp;$K828)</f>
        <v/>
      </c>
      <c r="M828" s="34" t="str">
        <f>IF($J828=FALSE(),"",IF(발주접수!$F85="세트",IFERROR(INDEX(세트구성!$C$3:$C$302,MATCH(발주접수!$D85&amp;"|"&amp;3,세트구성!$G$3:$G$302,0)),""),발주접수!$D85))</f>
        <v/>
      </c>
      <c r="N828" s="34" t="str">
        <f>IF($J828=FALSE(),"",IF(발주접수!$F85="세트",발주접수!$G85*IFERROR(INDEX(세트구성!$E$3:$E$302,MATCH(발주접수!$D85&amp;"|"&amp;3,세트구성!$G$3:$G$302,0)),0),발주접수!$G85))</f>
        <v/>
      </c>
      <c r="O828" s="34" t="str">
        <f>IF($J828=FALSE(),"",발주접수!$B85)</f>
        <v/>
      </c>
      <c r="P828" s="34" t="str">
        <f>IF($J828=FALSE(),"",발주접수!$C85)</f>
        <v/>
      </c>
      <c r="Q828" s="34" t="str">
        <f>IF($J828=FALSE(),"",IF(발주접수!$F85="세트",발주접수!$E85&amp;" 전개","직접 발주"))</f>
        <v/>
      </c>
    </row>
    <row r="829" ht="15" customHeight="1" s="30">
      <c r="J829" s="50" t="b">
        <f>IF(발주접수!$D85="",FALSE(),IF(발주접수!$F85="세트",COUNTIF(세트구성!$G$3:$G$302,발주접수!$D85&amp;"|"&amp;4)&gt;0,3=0))</f>
        <v>0</v>
      </c>
      <c r="K829" s="34" t="str">
        <f>IF($J829=FALSE(),"",COUNTIF($J$6:$J829,TRUE()))</f>
        <v/>
      </c>
      <c r="L829" s="34" t="str">
        <f>IF($K829="","","R"&amp;$K829)</f>
        <v/>
      </c>
      <c r="M829" s="34" t="str">
        <f>IF($J829=FALSE(),"",IF(발주접수!$F85="세트",IFERROR(INDEX(세트구성!$C$3:$C$302,MATCH(발주접수!$D85&amp;"|"&amp;4,세트구성!$G$3:$G$302,0)),""),발주접수!$D85))</f>
        <v/>
      </c>
      <c r="N829" s="34" t="str">
        <f>IF($J829=FALSE(),"",IF(발주접수!$F85="세트",발주접수!$G85*IFERROR(INDEX(세트구성!$E$3:$E$302,MATCH(발주접수!$D85&amp;"|"&amp;4,세트구성!$G$3:$G$302,0)),0),발주접수!$G85))</f>
        <v/>
      </c>
      <c r="O829" s="34" t="str">
        <f>IF($J829=FALSE(),"",발주접수!$B85)</f>
        <v/>
      </c>
      <c r="P829" s="34" t="str">
        <f>IF($J829=FALSE(),"",발주접수!$C85)</f>
        <v/>
      </c>
      <c r="Q829" s="34" t="str">
        <f>IF($J829=FALSE(),"",IF(발주접수!$F85="세트",발주접수!$E85&amp;" 전개","직접 발주"))</f>
        <v/>
      </c>
    </row>
    <row r="830" ht="15" customHeight="1" s="30">
      <c r="J830" s="50" t="b">
        <f>IF(발주접수!$D85="",FALSE(),IF(발주접수!$F85="세트",COUNTIF(세트구성!$G$3:$G$302,발주접수!$D85&amp;"|"&amp;5)&gt;0,4=0))</f>
        <v>0</v>
      </c>
      <c r="K830" s="34" t="str">
        <f>IF($J830=FALSE(),"",COUNTIF($J$6:$J830,TRUE()))</f>
        <v/>
      </c>
      <c r="L830" s="34" t="str">
        <f>IF($K830="","","R"&amp;$K830)</f>
        <v/>
      </c>
      <c r="M830" s="34" t="str">
        <f>IF($J830=FALSE(),"",IF(발주접수!$F85="세트",IFERROR(INDEX(세트구성!$C$3:$C$302,MATCH(발주접수!$D85&amp;"|"&amp;5,세트구성!$G$3:$G$302,0)),""),발주접수!$D85))</f>
        <v/>
      </c>
      <c r="N830" s="34" t="str">
        <f>IF($J830=FALSE(),"",IF(발주접수!$F85="세트",발주접수!$G85*IFERROR(INDEX(세트구성!$E$3:$E$302,MATCH(발주접수!$D85&amp;"|"&amp;5,세트구성!$G$3:$G$302,0)),0),발주접수!$G85))</f>
        <v/>
      </c>
      <c r="O830" s="34" t="str">
        <f>IF($J830=FALSE(),"",발주접수!$B85)</f>
        <v/>
      </c>
      <c r="P830" s="34" t="str">
        <f>IF($J830=FALSE(),"",발주접수!$C85)</f>
        <v/>
      </c>
      <c r="Q830" s="34" t="str">
        <f>IF($J830=FALSE(),"",IF(발주접수!$F85="세트",발주접수!$E85&amp;" 전개","직접 발주"))</f>
        <v/>
      </c>
    </row>
    <row r="831" ht="15" customHeight="1" s="30">
      <c r="J831" s="50" t="b">
        <f>IF(발주접수!$D85="",FALSE(),IF(발주접수!$F85="세트",COUNTIF(세트구성!$G$3:$G$302,발주접수!$D85&amp;"|"&amp;6)&gt;0,5=0))</f>
        <v>0</v>
      </c>
      <c r="K831" s="34" t="str">
        <f>IF($J831=FALSE(),"",COUNTIF($J$6:$J831,TRUE()))</f>
        <v/>
      </c>
      <c r="L831" s="34" t="str">
        <f>IF($K831="","","R"&amp;$K831)</f>
        <v/>
      </c>
      <c r="M831" s="34" t="str">
        <f>IF($J831=FALSE(),"",IF(발주접수!$F85="세트",IFERROR(INDEX(세트구성!$C$3:$C$302,MATCH(발주접수!$D85&amp;"|"&amp;6,세트구성!$G$3:$G$302,0)),""),발주접수!$D85))</f>
        <v/>
      </c>
      <c r="N831" s="34" t="str">
        <f>IF($J831=FALSE(),"",IF(발주접수!$F85="세트",발주접수!$G85*IFERROR(INDEX(세트구성!$E$3:$E$302,MATCH(발주접수!$D85&amp;"|"&amp;6,세트구성!$G$3:$G$302,0)),0),발주접수!$G85))</f>
        <v/>
      </c>
      <c r="O831" s="34" t="str">
        <f>IF($J831=FALSE(),"",발주접수!$B85)</f>
        <v/>
      </c>
      <c r="P831" s="34" t="str">
        <f>IF($J831=FALSE(),"",발주접수!$C85)</f>
        <v/>
      </c>
      <c r="Q831" s="34" t="str">
        <f>IF($J831=FALSE(),"",IF(발주접수!$F85="세트",발주접수!$E85&amp;" 전개","직접 발주"))</f>
        <v/>
      </c>
    </row>
    <row r="832" ht="15" customHeight="1" s="30">
      <c r="J832" s="50" t="b">
        <f>IF(발주접수!$D85="",FALSE(),IF(발주접수!$F85="세트",COUNTIF(세트구성!$G$3:$G$302,발주접수!$D85&amp;"|"&amp;7)&gt;0,6=0))</f>
        <v>0</v>
      </c>
      <c r="K832" s="34" t="str">
        <f>IF($J832=FALSE(),"",COUNTIF($J$6:$J832,TRUE()))</f>
        <v/>
      </c>
      <c r="L832" s="34" t="str">
        <f>IF($K832="","","R"&amp;$K832)</f>
        <v/>
      </c>
      <c r="M832" s="34" t="str">
        <f>IF($J832=FALSE(),"",IF(발주접수!$F85="세트",IFERROR(INDEX(세트구성!$C$3:$C$302,MATCH(발주접수!$D85&amp;"|"&amp;7,세트구성!$G$3:$G$302,0)),""),발주접수!$D85))</f>
        <v/>
      </c>
      <c r="N832" s="34" t="str">
        <f>IF($J832=FALSE(),"",IF(발주접수!$F85="세트",발주접수!$G85*IFERROR(INDEX(세트구성!$E$3:$E$302,MATCH(발주접수!$D85&amp;"|"&amp;7,세트구성!$G$3:$G$302,0)),0),발주접수!$G85))</f>
        <v/>
      </c>
      <c r="O832" s="34" t="str">
        <f>IF($J832=FALSE(),"",발주접수!$B85)</f>
        <v/>
      </c>
      <c r="P832" s="34" t="str">
        <f>IF($J832=FALSE(),"",발주접수!$C85)</f>
        <v/>
      </c>
      <c r="Q832" s="34" t="str">
        <f>IF($J832=FALSE(),"",IF(발주접수!$F85="세트",발주접수!$E85&amp;" 전개","직접 발주"))</f>
        <v/>
      </c>
    </row>
    <row r="833" ht="15" customHeight="1" s="30">
      <c r="J833" s="50" t="b">
        <f>IF(발주접수!$D85="",FALSE(),IF(발주접수!$F85="세트",COUNTIF(세트구성!$G$3:$G$302,발주접수!$D85&amp;"|"&amp;8)&gt;0,7=0))</f>
        <v>0</v>
      </c>
      <c r="K833" s="34" t="str">
        <f>IF($J833=FALSE(),"",COUNTIF($J$6:$J833,TRUE()))</f>
        <v/>
      </c>
      <c r="L833" s="34" t="str">
        <f>IF($K833="","","R"&amp;$K833)</f>
        <v/>
      </c>
      <c r="M833" s="34" t="str">
        <f>IF($J833=FALSE(),"",IF(발주접수!$F85="세트",IFERROR(INDEX(세트구성!$C$3:$C$302,MATCH(발주접수!$D85&amp;"|"&amp;8,세트구성!$G$3:$G$302,0)),""),발주접수!$D85))</f>
        <v/>
      </c>
      <c r="N833" s="34" t="str">
        <f>IF($J833=FALSE(),"",IF(발주접수!$F85="세트",발주접수!$G85*IFERROR(INDEX(세트구성!$E$3:$E$302,MATCH(발주접수!$D85&amp;"|"&amp;8,세트구성!$G$3:$G$302,0)),0),발주접수!$G85))</f>
        <v/>
      </c>
      <c r="O833" s="34" t="str">
        <f>IF($J833=FALSE(),"",발주접수!$B85)</f>
        <v/>
      </c>
      <c r="P833" s="34" t="str">
        <f>IF($J833=FALSE(),"",발주접수!$C85)</f>
        <v/>
      </c>
      <c r="Q833" s="34" t="str">
        <f>IF($J833=FALSE(),"",IF(발주접수!$F85="세트",발주접수!$E85&amp;" 전개","직접 발주"))</f>
        <v/>
      </c>
    </row>
    <row r="834" ht="15" customHeight="1" s="30">
      <c r="J834" s="50" t="b">
        <f>IF(발주접수!$D85="",FALSE(),IF(발주접수!$F85="세트",COUNTIF(세트구성!$G$3:$G$302,발주접수!$D85&amp;"|"&amp;9)&gt;0,8=0))</f>
        <v>0</v>
      </c>
      <c r="K834" s="34" t="str">
        <f>IF($J834=FALSE(),"",COUNTIF($J$6:$J834,TRUE()))</f>
        <v/>
      </c>
      <c r="L834" s="34" t="str">
        <f>IF($K834="","","R"&amp;$K834)</f>
        <v/>
      </c>
      <c r="M834" s="34" t="str">
        <f>IF($J834=FALSE(),"",IF(발주접수!$F85="세트",IFERROR(INDEX(세트구성!$C$3:$C$302,MATCH(발주접수!$D85&amp;"|"&amp;9,세트구성!$G$3:$G$302,0)),""),발주접수!$D85))</f>
        <v/>
      </c>
      <c r="N834" s="34" t="str">
        <f>IF($J834=FALSE(),"",IF(발주접수!$F85="세트",발주접수!$G85*IFERROR(INDEX(세트구성!$E$3:$E$302,MATCH(발주접수!$D85&amp;"|"&amp;9,세트구성!$G$3:$G$302,0)),0),발주접수!$G85))</f>
        <v/>
      </c>
      <c r="O834" s="34" t="str">
        <f>IF($J834=FALSE(),"",발주접수!$B85)</f>
        <v/>
      </c>
      <c r="P834" s="34" t="str">
        <f>IF($J834=FALSE(),"",발주접수!$C85)</f>
        <v/>
      </c>
      <c r="Q834" s="34" t="str">
        <f>IF($J834=FALSE(),"",IF(발주접수!$F85="세트",발주접수!$E85&amp;" 전개","직접 발주"))</f>
        <v/>
      </c>
    </row>
    <row r="835" ht="15" customHeight="1" s="30">
      <c r="J835" s="50" t="b">
        <f>IF(발주접수!$D85="",FALSE(),IF(발주접수!$F85="세트",COUNTIF(세트구성!$G$3:$G$302,발주접수!$D85&amp;"|"&amp;10)&gt;0,9=0))</f>
        <v>0</v>
      </c>
      <c r="K835" s="34" t="str">
        <f>IF($J835=FALSE(),"",COUNTIF($J$6:$J835,TRUE()))</f>
        <v/>
      </c>
      <c r="L835" s="34" t="str">
        <f>IF($K835="","","R"&amp;$K835)</f>
        <v/>
      </c>
      <c r="M835" s="34" t="str">
        <f>IF($J835=FALSE(),"",IF(발주접수!$F85="세트",IFERROR(INDEX(세트구성!$C$3:$C$302,MATCH(발주접수!$D85&amp;"|"&amp;10,세트구성!$G$3:$G$302,0)),""),발주접수!$D85))</f>
        <v/>
      </c>
      <c r="N835" s="34" t="str">
        <f>IF($J835=FALSE(),"",IF(발주접수!$F85="세트",발주접수!$G85*IFERROR(INDEX(세트구성!$E$3:$E$302,MATCH(발주접수!$D85&amp;"|"&amp;10,세트구성!$G$3:$G$302,0)),0),발주접수!$G85))</f>
        <v/>
      </c>
      <c r="O835" s="34" t="str">
        <f>IF($J835=FALSE(),"",발주접수!$B85)</f>
        <v/>
      </c>
      <c r="P835" s="34" t="str">
        <f>IF($J835=FALSE(),"",발주접수!$C85)</f>
        <v/>
      </c>
      <c r="Q835" s="34" t="str">
        <f>IF($J835=FALSE(),"",IF(발주접수!$F85="세트",발주접수!$E85&amp;" 전개","직접 발주"))</f>
        <v/>
      </c>
    </row>
    <row r="836" ht="15" customHeight="1" s="30">
      <c r="J836" s="50" t="b">
        <f>IF(발주접수!$D86="",FALSE(),IF(발주접수!$F86="세트",COUNTIF(세트구성!$G$3:$G$302,발주접수!$D86&amp;"|"&amp;1)&gt;0,0=0))</f>
        <v>0</v>
      </c>
      <c r="K836" s="34" t="str">
        <f>IF($J836=FALSE(),"",COUNTIF($J$6:$J836,TRUE()))</f>
        <v/>
      </c>
      <c r="L836" s="34" t="str">
        <f>IF($K836="","","R"&amp;$K836)</f>
        <v/>
      </c>
      <c r="M836" s="34" t="str">
        <f>IF($J836=FALSE(),"",IF(발주접수!$F86="세트",IFERROR(INDEX(세트구성!$C$3:$C$302,MATCH(발주접수!$D86&amp;"|"&amp;1,세트구성!$G$3:$G$302,0)),""),발주접수!$D86))</f>
        <v/>
      </c>
      <c r="N836" s="34" t="str">
        <f>IF($J836=FALSE(),"",IF(발주접수!$F86="세트",발주접수!$G86*IFERROR(INDEX(세트구성!$E$3:$E$302,MATCH(발주접수!$D86&amp;"|"&amp;1,세트구성!$G$3:$G$302,0)),0),발주접수!$G86))</f>
        <v/>
      </c>
      <c r="O836" s="34" t="str">
        <f>IF($J836=FALSE(),"",발주접수!$B86)</f>
        <v/>
      </c>
      <c r="P836" s="34" t="str">
        <f>IF($J836=FALSE(),"",발주접수!$C86)</f>
        <v/>
      </c>
      <c r="Q836" s="34" t="str">
        <f>IF($J836=FALSE(),"",IF(발주접수!$F86="세트",발주접수!$E86&amp;" 전개","직접 발주"))</f>
        <v/>
      </c>
    </row>
    <row r="837" ht="15" customHeight="1" s="30">
      <c r="J837" s="50" t="b">
        <f>IF(발주접수!$D86="",FALSE(),IF(발주접수!$F86="세트",COUNTIF(세트구성!$G$3:$G$302,발주접수!$D86&amp;"|"&amp;2)&gt;0,1=0))</f>
        <v>0</v>
      </c>
      <c r="K837" s="34" t="str">
        <f>IF($J837=FALSE(),"",COUNTIF($J$6:$J837,TRUE()))</f>
        <v/>
      </c>
      <c r="L837" s="34" t="str">
        <f>IF($K837="","","R"&amp;$K837)</f>
        <v/>
      </c>
      <c r="M837" s="34" t="str">
        <f>IF($J837=FALSE(),"",IF(발주접수!$F86="세트",IFERROR(INDEX(세트구성!$C$3:$C$302,MATCH(발주접수!$D86&amp;"|"&amp;2,세트구성!$G$3:$G$302,0)),""),발주접수!$D86))</f>
        <v/>
      </c>
      <c r="N837" s="34" t="str">
        <f>IF($J837=FALSE(),"",IF(발주접수!$F86="세트",발주접수!$G86*IFERROR(INDEX(세트구성!$E$3:$E$302,MATCH(발주접수!$D86&amp;"|"&amp;2,세트구성!$G$3:$G$302,0)),0),발주접수!$G86))</f>
        <v/>
      </c>
      <c r="O837" s="34" t="str">
        <f>IF($J837=FALSE(),"",발주접수!$B86)</f>
        <v/>
      </c>
      <c r="P837" s="34" t="str">
        <f>IF($J837=FALSE(),"",발주접수!$C86)</f>
        <v/>
      </c>
      <c r="Q837" s="34" t="str">
        <f>IF($J837=FALSE(),"",IF(발주접수!$F86="세트",발주접수!$E86&amp;" 전개","직접 발주"))</f>
        <v/>
      </c>
    </row>
    <row r="838" ht="15" customHeight="1" s="30">
      <c r="J838" s="50" t="b">
        <f>IF(발주접수!$D86="",FALSE(),IF(발주접수!$F86="세트",COUNTIF(세트구성!$G$3:$G$302,발주접수!$D86&amp;"|"&amp;3)&gt;0,2=0))</f>
        <v>0</v>
      </c>
      <c r="K838" s="34" t="str">
        <f>IF($J838=FALSE(),"",COUNTIF($J$6:$J838,TRUE()))</f>
        <v/>
      </c>
      <c r="L838" s="34" t="str">
        <f>IF($K838="","","R"&amp;$K838)</f>
        <v/>
      </c>
      <c r="M838" s="34" t="str">
        <f>IF($J838=FALSE(),"",IF(발주접수!$F86="세트",IFERROR(INDEX(세트구성!$C$3:$C$302,MATCH(발주접수!$D86&amp;"|"&amp;3,세트구성!$G$3:$G$302,0)),""),발주접수!$D86))</f>
        <v/>
      </c>
      <c r="N838" s="34" t="str">
        <f>IF($J838=FALSE(),"",IF(발주접수!$F86="세트",발주접수!$G86*IFERROR(INDEX(세트구성!$E$3:$E$302,MATCH(발주접수!$D86&amp;"|"&amp;3,세트구성!$G$3:$G$302,0)),0),발주접수!$G86))</f>
        <v/>
      </c>
      <c r="O838" s="34" t="str">
        <f>IF($J838=FALSE(),"",발주접수!$B86)</f>
        <v/>
      </c>
      <c r="P838" s="34" t="str">
        <f>IF($J838=FALSE(),"",발주접수!$C86)</f>
        <v/>
      </c>
      <c r="Q838" s="34" t="str">
        <f>IF($J838=FALSE(),"",IF(발주접수!$F86="세트",발주접수!$E86&amp;" 전개","직접 발주"))</f>
        <v/>
      </c>
    </row>
    <row r="839" ht="15" customHeight="1" s="30">
      <c r="J839" s="50" t="b">
        <f>IF(발주접수!$D86="",FALSE(),IF(발주접수!$F86="세트",COUNTIF(세트구성!$G$3:$G$302,발주접수!$D86&amp;"|"&amp;4)&gt;0,3=0))</f>
        <v>0</v>
      </c>
      <c r="K839" s="34" t="str">
        <f>IF($J839=FALSE(),"",COUNTIF($J$6:$J839,TRUE()))</f>
        <v/>
      </c>
      <c r="L839" s="34" t="str">
        <f>IF($K839="","","R"&amp;$K839)</f>
        <v/>
      </c>
      <c r="M839" s="34" t="str">
        <f>IF($J839=FALSE(),"",IF(발주접수!$F86="세트",IFERROR(INDEX(세트구성!$C$3:$C$302,MATCH(발주접수!$D86&amp;"|"&amp;4,세트구성!$G$3:$G$302,0)),""),발주접수!$D86))</f>
        <v/>
      </c>
      <c r="N839" s="34" t="str">
        <f>IF($J839=FALSE(),"",IF(발주접수!$F86="세트",발주접수!$G86*IFERROR(INDEX(세트구성!$E$3:$E$302,MATCH(발주접수!$D86&amp;"|"&amp;4,세트구성!$G$3:$G$302,0)),0),발주접수!$G86))</f>
        <v/>
      </c>
      <c r="O839" s="34" t="str">
        <f>IF($J839=FALSE(),"",발주접수!$B86)</f>
        <v/>
      </c>
      <c r="P839" s="34" t="str">
        <f>IF($J839=FALSE(),"",발주접수!$C86)</f>
        <v/>
      </c>
      <c r="Q839" s="34" t="str">
        <f>IF($J839=FALSE(),"",IF(발주접수!$F86="세트",발주접수!$E86&amp;" 전개","직접 발주"))</f>
        <v/>
      </c>
    </row>
    <row r="840" ht="15" customHeight="1" s="30">
      <c r="J840" s="50" t="b">
        <f>IF(발주접수!$D86="",FALSE(),IF(발주접수!$F86="세트",COUNTIF(세트구성!$G$3:$G$302,발주접수!$D86&amp;"|"&amp;5)&gt;0,4=0))</f>
        <v>0</v>
      </c>
      <c r="K840" s="34" t="str">
        <f>IF($J840=FALSE(),"",COUNTIF($J$6:$J840,TRUE()))</f>
        <v/>
      </c>
      <c r="L840" s="34" t="str">
        <f>IF($K840="","","R"&amp;$K840)</f>
        <v/>
      </c>
      <c r="M840" s="34" t="str">
        <f>IF($J840=FALSE(),"",IF(발주접수!$F86="세트",IFERROR(INDEX(세트구성!$C$3:$C$302,MATCH(발주접수!$D86&amp;"|"&amp;5,세트구성!$G$3:$G$302,0)),""),발주접수!$D86))</f>
        <v/>
      </c>
      <c r="N840" s="34" t="str">
        <f>IF($J840=FALSE(),"",IF(발주접수!$F86="세트",발주접수!$G86*IFERROR(INDEX(세트구성!$E$3:$E$302,MATCH(발주접수!$D86&amp;"|"&amp;5,세트구성!$G$3:$G$302,0)),0),발주접수!$G86))</f>
        <v/>
      </c>
      <c r="O840" s="34" t="str">
        <f>IF($J840=FALSE(),"",발주접수!$B86)</f>
        <v/>
      </c>
      <c r="P840" s="34" t="str">
        <f>IF($J840=FALSE(),"",발주접수!$C86)</f>
        <v/>
      </c>
      <c r="Q840" s="34" t="str">
        <f>IF($J840=FALSE(),"",IF(발주접수!$F86="세트",발주접수!$E86&amp;" 전개","직접 발주"))</f>
        <v/>
      </c>
    </row>
    <row r="841" ht="15" customHeight="1" s="30">
      <c r="J841" s="50" t="b">
        <f>IF(발주접수!$D86="",FALSE(),IF(발주접수!$F86="세트",COUNTIF(세트구성!$G$3:$G$302,발주접수!$D86&amp;"|"&amp;6)&gt;0,5=0))</f>
        <v>0</v>
      </c>
      <c r="K841" s="34" t="str">
        <f>IF($J841=FALSE(),"",COUNTIF($J$6:$J841,TRUE()))</f>
        <v/>
      </c>
      <c r="L841" s="34" t="str">
        <f>IF($K841="","","R"&amp;$K841)</f>
        <v/>
      </c>
      <c r="M841" s="34" t="str">
        <f>IF($J841=FALSE(),"",IF(발주접수!$F86="세트",IFERROR(INDEX(세트구성!$C$3:$C$302,MATCH(발주접수!$D86&amp;"|"&amp;6,세트구성!$G$3:$G$302,0)),""),발주접수!$D86))</f>
        <v/>
      </c>
      <c r="N841" s="34" t="str">
        <f>IF($J841=FALSE(),"",IF(발주접수!$F86="세트",발주접수!$G86*IFERROR(INDEX(세트구성!$E$3:$E$302,MATCH(발주접수!$D86&amp;"|"&amp;6,세트구성!$G$3:$G$302,0)),0),발주접수!$G86))</f>
        <v/>
      </c>
      <c r="O841" s="34" t="str">
        <f>IF($J841=FALSE(),"",발주접수!$B86)</f>
        <v/>
      </c>
      <c r="P841" s="34" t="str">
        <f>IF($J841=FALSE(),"",발주접수!$C86)</f>
        <v/>
      </c>
      <c r="Q841" s="34" t="str">
        <f>IF($J841=FALSE(),"",IF(발주접수!$F86="세트",발주접수!$E86&amp;" 전개","직접 발주"))</f>
        <v/>
      </c>
    </row>
    <row r="842" ht="15" customHeight="1" s="30">
      <c r="J842" s="50" t="b">
        <f>IF(발주접수!$D86="",FALSE(),IF(발주접수!$F86="세트",COUNTIF(세트구성!$G$3:$G$302,발주접수!$D86&amp;"|"&amp;7)&gt;0,6=0))</f>
        <v>0</v>
      </c>
      <c r="K842" s="34" t="str">
        <f>IF($J842=FALSE(),"",COUNTIF($J$6:$J842,TRUE()))</f>
        <v/>
      </c>
      <c r="L842" s="34" t="str">
        <f>IF($K842="","","R"&amp;$K842)</f>
        <v/>
      </c>
      <c r="M842" s="34" t="str">
        <f>IF($J842=FALSE(),"",IF(발주접수!$F86="세트",IFERROR(INDEX(세트구성!$C$3:$C$302,MATCH(발주접수!$D86&amp;"|"&amp;7,세트구성!$G$3:$G$302,0)),""),발주접수!$D86))</f>
        <v/>
      </c>
      <c r="N842" s="34" t="str">
        <f>IF($J842=FALSE(),"",IF(발주접수!$F86="세트",발주접수!$G86*IFERROR(INDEX(세트구성!$E$3:$E$302,MATCH(발주접수!$D86&amp;"|"&amp;7,세트구성!$G$3:$G$302,0)),0),발주접수!$G86))</f>
        <v/>
      </c>
      <c r="O842" s="34" t="str">
        <f>IF($J842=FALSE(),"",발주접수!$B86)</f>
        <v/>
      </c>
      <c r="P842" s="34" t="str">
        <f>IF($J842=FALSE(),"",발주접수!$C86)</f>
        <v/>
      </c>
      <c r="Q842" s="34" t="str">
        <f>IF($J842=FALSE(),"",IF(발주접수!$F86="세트",발주접수!$E86&amp;" 전개","직접 발주"))</f>
        <v/>
      </c>
    </row>
    <row r="843" ht="15" customHeight="1" s="30">
      <c r="J843" s="50" t="b">
        <f>IF(발주접수!$D86="",FALSE(),IF(발주접수!$F86="세트",COUNTIF(세트구성!$G$3:$G$302,발주접수!$D86&amp;"|"&amp;8)&gt;0,7=0))</f>
        <v>0</v>
      </c>
      <c r="K843" s="34" t="str">
        <f>IF($J843=FALSE(),"",COUNTIF($J$6:$J843,TRUE()))</f>
        <v/>
      </c>
      <c r="L843" s="34" t="str">
        <f>IF($K843="","","R"&amp;$K843)</f>
        <v/>
      </c>
      <c r="M843" s="34" t="str">
        <f>IF($J843=FALSE(),"",IF(발주접수!$F86="세트",IFERROR(INDEX(세트구성!$C$3:$C$302,MATCH(발주접수!$D86&amp;"|"&amp;8,세트구성!$G$3:$G$302,0)),""),발주접수!$D86))</f>
        <v/>
      </c>
      <c r="N843" s="34" t="str">
        <f>IF($J843=FALSE(),"",IF(발주접수!$F86="세트",발주접수!$G86*IFERROR(INDEX(세트구성!$E$3:$E$302,MATCH(발주접수!$D86&amp;"|"&amp;8,세트구성!$G$3:$G$302,0)),0),발주접수!$G86))</f>
        <v/>
      </c>
      <c r="O843" s="34" t="str">
        <f>IF($J843=FALSE(),"",발주접수!$B86)</f>
        <v/>
      </c>
      <c r="P843" s="34" t="str">
        <f>IF($J843=FALSE(),"",발주접수!$C86)</f>
        <v/>
      </c>
      <c r="Q843" s="34" t="str">
        <f>IF($J843=FALSE(),"",IF(발주접수!$F86="세트",발주접수!$E86&amp;" 전개","직접 발주"))</f>
        <v/>
      </c>
    </row>
    <row r="844" ht="15" customHeight="1" s="30">
      <c r="J844" s="50" t="b">
        <f>IF(발주접수!$D86="",FALSE(),IF(발주접수!$F86="세트",COUNTIF(세트구성!$G$3:$G$302,발주접수!$D86&amp;"|"&amp;9)&gt;0,8=0))</f>
        <v>0</v>
      </c>
      <c r="K844" s="34" t="str">
        <f>IF($J844=FALSE(),"",COUNTIF($J$6:$J844,TRUE()))</f>
        <v/>
      </c>
      <c r="L844" s="34" t="str">
        <f>IF($K844="","","R"&amp;$K844)</f>
        <v/>
      </c>
      <c r="M844" s="34" t="str">
        <f>IF($J844=FALSE(),"",IF(발주접수!$F86="세트",IFERROR(INDEX(세트구성!$C$3:$C$302,MATCH(발주접수!$D86&amp;"|"&amp;9,세트구성!$G$3:$G$302,0)),""),발주접수!$D86))</f>
        <v/>
      </c>
      <c r="N844" s="34" t="str">
        <f>IF($J844=FALSE(),"",IF(발주접수!$F86="세트",발주접수!$G86*IFERROR(INDEX(세트구성!$E$3:$E$302,MATCH(발주접수!$D86&amp;"|"&amp;9,세트구성!$G$3:$G$302,0)),0),발주접수!$G86))</f>
        <v/>
      </c>
      <c r="O844" s="34" t="str">
        <f>IF($J844=FALSE(),"",발주접수!$B86)</f>
        <v/>
      </c>
      <c r="P844" s="34" t="str">
        <f>IF($J844=FALSE(),"",발주접수!$C86)</f>
        <v/>
      </c>
      <c r="Q844" s="34" t="str">
        <f>IF($J844=FALSE(),"",IF(발주접수!$F86="세트",발주접수!$E86&amp;" 전개","직접 발주"))</f>
        <v/>
      </c>
    </row>
    <row r="845" ht="15" customHeight="1" s="30">
      <c r="J845" s="50" t="b">
        <f>IF(발주접수!$D86="",FALSE(),IF(발주접수!$F86="세트",COUNTIF(세트구성!$G$3:$G$302,발주접수!$D86&amp;"|"&amp;10)&gt;0,9=0))</f>
        <v>0</v>
      </c>
      <c r="K845" s="34" t="str">
        <f>IF($J845=FALSE(),"",COUNTIF($J$6:$J845,TRUE()))</f>
        <v/>
      </c>
      <c r="L845" s="34" t="str">
        <f>IF($K845="","","R"&amp;$K845)</f>
        <v/>
      </c>
      <c r="M845" s="34" t="str">
        <f>IF($J845=FALSE(),"",IF(발주접수!$F86="세트",IFERROR(INDEX(세트구성!$C$3:$C$302,MATCH(발주접수!$D86&amp;"|"&amp;10,세트구성!$G$3:$G$302,0)),""),발주접수!$D86))</f>
        <v/>
      </c>
      <c r="N845" s="34" t="str">
        <f>IF($J845=FALSE(),"",IF(발주접수!$F86="세트",발주접수!$G86*IFERROR(INDEX(세트구성!$E$3:$E$302,MATCH(발주접수!$D86&amp;"|"&amp;10,세트구성!$G$3:$G$302,0)),0),발주접수!$G86))</f>
        <v/>
      </c>
      <c r="O845" s="34" t="str">
        <f>IF($J845=FALSE(),"",발주접수!$B86)</f>
        <v/>
      </c>
      <c r="P845" s="34" t="str">
        <f>IF($J845=FALSE(),"",발주접수!$C86)</f>
        <v/>
      </c>
      <c r="Q845" s="34" t="str">
        <f>IF($J845=FALSE(),"",IF(발주접수!$F86="세트",발주접수!$E86&amp;" 전개","직접 발주"))</f>
        <v/>
      </c>
    </row>
    <row r="846" ht="15" customHeight="1" s="30">
      <c r="J846" s="50" t="b">
        <f>IF(발주접수!$D87="",FALSE(),IF(발주접수!$F87="세트",COUNTIF(세트구성!$G$3:$G$302,발주접수!$D87&amp;"|"&amp;1)&gt;0,0=0))</f>
        <v>0</v>
      </c>
      <c r="K846" s="34" t="str">
        <f>IF($J846=FALSE(),"",COUNTIF($J$6:$J846,TRUE()))</f>
        <v/>
      </c>
      <c r="L846" s="34" t="str">
        <f>IF($K846="","","R"&amp;$K846)</f>
        <v/>
      </c>
      <c r="M846" s="34" t="str">
        <f>IF($J846=FALSE(),"",IF(발주접수!$F87="세트",IFERROR(INDEX(세트구성!$C$3:$C$302,MATCH(발주접수!$D87&amp;"|"&amp;1,세트구성!$G$3:$G$302,0)),""),발주접수!$D87))</f>
        <v/>
      </c>
      <c r="N846" s="34" t="str">
        <f>IF($J846=FALSE(),"",IF(발주접수!$F87="세트",발주접수!$G87*IFERROR(INDEX(세트구성!$E$3:$E$302,MATCH(발주접수!$D87&amp;"|"&amp;1,세트구성!$G$3:$G$302,0)),0),발주접수!$G87))</f>
        <v/>
      </c>
      <c r="O846" s="34" t="str">
        <f>IF($J846=FALSE(),"",발주접수!$B87)</f>
        <v/>
      </c>
      <c r="P846" s="34" t="str">
        <f>IF($J846=FALSE(),"",발주접수!$C87)</f>
        <v/>
      </c>
      <c r="Q846" s="34" t="str">
        <f>IF($J846=FALSE(),"",IF(발주접수!$F87="세트",발주접수!$E87&amp;" 전개","직접 발주"))</f>
        <v/>
      </c>
    </row>
    <row r="847" ht="15" customHeight="1" s="30">
      <c r="J847" s="50" t="b">
        <f>IF(발주접수!$D87="",FALSE(),IF(발주접수!$F87="세트",COUNTIF(세트구성!$G$3:$G$302,발주접수!$D87&amp;"|"&amp;2)&gt;0,1=0))</f>
        <v>0</v>
      </c>
      <c r="K847" s="34" t="str">
        <f>IF($J847=FALSE(),"",COUNTIF($J$6:$J847,TRUE()))</f>
        <v/>
      </c>
      <c r="L847" s="34" t="str">
        <f>IF($K847="","","R"&amp;$K847)</f>
        <v/>
      </c>
      <c r="M847" s="34" t="str">
        <f>IF($J847=FALSE(),"",IF(발주접수!$F87="세트",IFERROR(INDEX(세트구성!$C$3:$C$302,MATCH(발주접수!$D87&amp;"|"&amp;2,세트구성!$G$3:$G$302,0)),""),발주접수!$D87))</f>
        <v/>
      </c>
      <c r="N847" s="34" t="str">
        <f>IF($J847=FALSE(),"",IF(발주접수!$F87="세트",발주접수!$G87*IFERROR(INDEX(세트구성!$E$3:$E$302,MATCH(발주접수!$D87&amp;"|"&amp;2,세트구성!$G$3:$G$302,0)),0),발주접수!$G87))</f>
        <v/>
      </c>
      <c r="O847" s="34" t="str">
        <f>IF($J847=FALSE(),"",발주접수!$B87)</f>
        <v/>
      </c>
      <c r="P847" s="34" t="str">
        <f>IF($J847=FALSE(),"",발주접수!$C87)</f>
        <v/>
      </c>
      <c r="Q847" s="34" t="str">
        <f>IF($J847=FALSE(),"",IF(발주접수!$F87="세트",발주접수!$E87&amp;" 전개","직접 발주"))</f>
        <v/>
      </c>
    </row>
    <row r="848" ht="15" customHeight="1" s="30">
      <c r="J848" s="50" t="b">
        <f>IF(발주접수!$D87="",FALSE(),IF(발주접수!$F87="세트",COUNTIF(세트구성!$G$3:$G$302,발주접수!$D87&amp;"|"&amp;3)&gt;0,2=0))</f>
        <v>0</v>
      </c>
      <c r="K848" s="34" t="str">
        <f>IF($J848=FALSE(),"",COUNTIF($J$6:$J848,TRUE()))</f>
        <v/>
      </c>
      <c r="L848" s="34" t="str">
        <f>IF($K848="","","R"&amp;$K848)</f>
        <v/>
      </c>
      <c r="M848" s="34" t="str">
        <f>IF($J848=FALSE(),"",IF(발주접수!$F87="세트",IFERROR(INDEX(세트구성!$C$3:$C$302,MATCH(발주접수!$D87&amp;"|"&amp;3,세트구성!$G$3:$G$302,0)),""),발주접수!$D87))</f>
        <v/>
      </c>
      <c r="N848" s="34" t="str">
        <f>IF($J848=FALSE(),"",IF(발주접수!$F87="세트",발주접수!$G87*IFERROR(INDEX(세트구성!$E$3:$E$302,MATCH(발주접수!$D87&amp;"|"&amp;3,세트구성!$G$3:$G$302,0)),0),발주접수!$G87))</f>
        <v/>
      </c>
      <c r="O848" s="34" t="str">
        <f>IF($J848=FALSE(),"",발주접수!$B87)</f>
        <v/>
      </c>
      <c r="P848" s="34" t="str">
        <f>IF($J848=FALSE(),"",발주접수!$C87)</f>
        <v/>
      </c>
      <c r="Q848" s="34" t="str">
        <f>IF($J848=FALSE(),"",IF(발주접수!$F87="세트",발주접수!$E87&amp;" 전개","직접 발주"))</f>
        <v/>
      </c>
    </row>
    <row r="849" ht="15" customHeight="1" s="30">
      <c r="J849" s="50" t="b">
        <f>IF(발주접수!$D87="",FALSE(),IF(발주접수!$F87="세트",COUNTIF(세트구성!$G$3:$G$302,발주접수!$D87&amp;"|"&amp;4)&gt;0,3=0))</f>
        <v>0</v>
      </c>
      <c r="K849" s="34" t="str">
        <f>IF($J849=FALSE(),"",COUNTIF($J$6:$J849,TRUE()))</f>
        <v/>
      </c>
      <c r="L849" s="34" t="str">
        <f>IF($K849="","","R"&amp;$K849)</f>
        <v/>
      </c>
      <c r="M849" s="34" t="str">
        <f>IF($J849=FALSE(),"",IF(발주접수!$F87="세트",IFERROR(INDEX(세트구성!$C$3:$C$302,MATCH(발주접수!$D87&amp;"|"&amp;4,세트구성!$G$3:$G$302,0)),""),발주접수!$D87))</f>
        <v/>
      </c>
      <c r="N849" s="34" t="str">
        <f>IF($J849=FALSE(),"",IF(발주접수!$F87="세트",발주접수!$G87*IFERROR(INDEX(세트구성!$E$3:$E$302,MATCH(발주접수!$D87&amp;"|"&amp;4,세트구성!$G$3:$G$302,0)),0),발주접수!$G87))</f>
        <v/>
      </c>
      <c r="O849" s="34" t="str">
        <f>IF($J849=FALSE(),"",발주접수!$B87)</f>
        <v/>
      </c>
      <c r="P849" s="34" t="str">
        <f>IF($J849=FALSE(),"",발주접수!$C87)</f>
        <v/>
      </c>
      <c r="Q849" s="34" t="str">
        <f>IF($J849=FALSE(),"",IF(발주접수!$F87="세트",발주접수!$E87&amp;" 전개","직접 발주"))</f>
        <v/>
      </c>
    </row>
    <row r="850" ht="15" customHeight="1" s="30">
      <c r="J850" s="50" t="b">
        <f>IF(발주접수!$D87="",FALSE(),IF(발주접수!$F87="세트",COUNTIF(세트구성!$G$3:$G$302,발주접수!$D87&amp;"|"&amp;5)&gt;0,4=0))</f>
        <v>0</v>
      </c>
      <c r="K850" s="34" t="str">
        <f>IF($J850=FALSE(),"",COUNTIF($J$6:$J850,TRUE()))</f>
        <v/>
      </c>
      <c r="L850" s="34" t="str">
        <f>IF($K850="","","R"&amp;$K850)</f>
        <v/>
      </c>
      <c r="M850" s="34" t="str">
        <f>IF($J850=FALSE(),"",IF(발주접수!$F87="세트",IFERROR(INDEX(세트구성!$C$3:$C$302,MATCH(발주접수!$D87&amp;"|"&amp;5,세트구성!$G$3:$G$302,0)),""),발주접수!$D87))</f>
        <v/>
      </c>
      <c r="N850" s="34" t="str">
        <f>IF($J850=FALSE(),"",IF(발주접수!$F87="세트",발주접수!$G87*IFERROR(INDEX(세트구성!$E$3:$E$302,MATCH(발주접수!$D87&amp;"|"&amp;5,세트구성!$G$3:$G$302,0)),0),발주접수!$G87))</f>
        <v/>
      </c>
      <c r="O850" s="34" t="str">
        <f>IF($J850=FALSE(),"",발주접수!$B87)</f>
        <v/>
      </c>
      <c r="P850" s="34" t="str">
        <f>IF($J850=FALSE(),"",발주접수!$C87)</f>
        <v/>
      </c>
      <c r="Q850" s="34" t="str">
        <f>IF($J850=FALSE(),"",IF(발주접수!$F87="세트",발주접수!$E87&amp;" 전개","직접 발주"))</f>
        <v/>
      </c>
    </row>
    <row r="851" ht="15" customHeight="1" s="30">
      <c r="J851" s="50" t="b">
        <f>IF(발주접수!$D87="",FALSE(),IF(발주접수!$F87="세트",COUNTIF(세트구성!$G$3:$G$302,발주접수!$D87&amp;"|"&amp;6)&gt;0,5=0))</f>
        <v>0</v>
      </c>
      <c r="K851" s="34" t="str">
        <f>IF($J851=FALSE(),"",COUNTIF($J$6:$J851,TRUE()))</f>
        <v/>
      </c>
      <c r="L851" s="34" t="str">
        <f>IF($K851="","","R"&amp;$K851)</f>
        <v/>
      </c>
      <c r="M851" s="34" t="str">
        <f>IF($J851=FALSE(),"",IF(발주접수!$F87="세트",IFERROR(INDEX(세트구성!$C$3:$C$302,MATCH(발주접수!$D87&amp;"|"&amp;6,세트구성!$G$3:$G$302,0)),""),발주접수!$D87))</f>
        <v/>
      </c>
      <c r="N851" s="34" t="str">
        <f>IF($J851=FALSE(),"",IF(발주접수!$F87="세트",발주접수!$G87*IFERROR(INDEX(세트구성!$E$3:$E$302,MATCH(발주접수!$D87&amp;"|"&amp;6,세트구성!$G$3:$G$302,0)),0),발주접수!$G87))</f>
        <v/>
      </c>
      <c r="O851" s="34" t="str">
        <f>IF($J851=FALSE(),"",발주접수!$B87)</f>
        <v/>
      </c>
      <c r="P851" s="34" t="str">
        <f>IF($J851=FALSE(),"",발주접수!$C87)</f>
        <v/>
      </c>
      <c r="Q851" s="34" t="str">
        <f>IF($J851=FALSE(),"",IF(발주접수!$F87="세트",발주접수!$E87&amp;" 전개","직접 발주"))</f>
        <v/>
      </c>
    </row>
    <row r="852" ht="15" customHeight="1" s="30">
      <c r="J852" s="50" t="b">
        <f>IF(발주접수!$D87="",FALSE(),IF(발주접수!$F87="세트",COUNTIF(세트구성!$G$3:$G$302,발주접수!$D87&amp;"|"&amp;7)&gt;0,6=0))</f>
        <v>0</v>
      </c>
      <c r="K852" s="34" t="str">
        <f>IF($J852=FALSE(),"",COUNTIF($J$6:$J852,TRUE()))</f>
        <v/>
      </c>
      <c r="L852" s="34" t="str">
        <f>IF($K852="","","R"&amp;$K852)</f>
        <v/>
      </c>
      <c r="M852" s="34" t="str">
        <f>IF($J852=FALSE(),"",IF(발주접수!$F87="세트",IFERROR(INDEX(세트구성!$C$3:$C$302,MATCH(발주접수!$D87&amp;"|"&amp;7,세트구성!$G$3:$G$302,0)),""),발주접수!$D87))</f>
        <v/>
      </c>
      <c r="N852" s="34" t="str">
        <f>IF($J852=FALSE(),"",IF(발주접수!$F87="세트",발주접수!$G87*IFERROR(INDEX(세트구성!$E$3:$E$302,MATCH(발주접수!$D87&amp;"|"&amp;7,세트구성!$G$3:$G$302,0)),0),발주접수!$G87))</f>
        <v/>
      </c>
      <c r="O852" s="34" t="str">
        <f>IF($J852=FALSE(),"",발주접수!$B87)</f>
        <v/>
      </c>
      <c r="P852" s="34" t="str">
        <f>IF($J852=FALSE(),"",발주접수!$C87)</f>
        <v/>
      </c>
      <c r="Q852" s="34" t="str">
        <f>IF($J852=FALSE(),"",IF(발주접수!$F87="세트",발주접수!$E87&amp;" 전개","직접 발주"))</f>
        <v/>
      </c>
    </row>
    <row r="853" ht="15" customHeight="1" s="30">
      <c r="J853" s="50" t="b">
        <f>IF(발주접수!$D87="",FALSE(),IF(발주접수!$F87="세트",COUNTIF(세트구성!$G$3:$G$302,발주접수!$D87&amp;"|"&amp;8)&gt;0,7=0))</f>
        <v>0</v>
      </c>
      <c r="K853" s="34" t="str">
        <f>IF($J853=FALSE(),"",COUNTIF($J$6:$J853,TRUE()))</f>
        <v/>
      </c>
      <c r="L853" s="34" t="str">
        <f>IF($K853="","","R"&amp;$K853)</f>
        <v/>
      </c>
      <c r="M853" s="34" t="str">
        <f>IF($J853=FALSE(),"",IF(발주접수!$F87="세트",IFERROR(INDEX(세트구성!$C$3:$C$302,MATCH(발주접수!$D87&amp;"|"&amp;8,세트구성!$G$3:$G$302,0)),""),발주접수!$D87))</f>
        <v/>
      </c>
      <c r="N853" s="34" t="str">
        <f>IF($J853=FALSE(),"",IF(발주접수!$F87="세트",발주접수!$G87*IFERROR(INDEX(세트구성!$E$3:$E$302,MATCH(발주접수!$D87&amp;"|"&amp;8,세트구성!$G$3:$G$302,0)),0),발주접수!$G87))</f>
        <v/>
      </c>
      <c r="O853" s="34" t="str">
        <f>IF($J853=FALSE(),"",발주접수!$B87)</f>
        <v/>
      </c>
      <c r="P853" s="34" t="str">
        <f>IF($J853=FALSE(),"",발주접수!$C87)</f>
        <v/>
      </c>
      <c r="Q853" s="34" t="str">
        <f>IF($J853=FALSE(),"",IF(발주접수!$F87="세트",발주접수!$E87&amp;" 전개","직접 발주"))</f>
        <v/>
      </c>
    </row>
    <row r="854" ht="15" customHeight="1" s="30">
      <c r="J854" s="50" t="b">
        <f>IF(발주접수!$D87="",FALSE(),IF(발주접수!$F87="세트",COUNTIF(세트구성!$G$3:$G$302,발주접수!$D87&amp;"|"&amp;9)&gt;0,8=0))</f>
        <v>0</v>
      </c>
      <c r="K854" s="34" t="str">
        <f>IF($J854=FALSE(),"",COUNTIF($J$6:$J854,TRUE()))</f>
        <v/>
      </c>
      <c r="L854" s="34" t="str">
        <f>IF($K854="","","R"&amp;$K854)</f>
        <v/>
      </c>
      <c r="M854" s="34" t="str">
        <f>IF($J854=FALSE(),"",IF(발주접수!$F87="세트",IFERROR(INDEX(세트구성!$C$3:$C$302,MATCH(발주접수!$D87&amp;"|"&amp;9,세트구성!$G$3:$G$302,0)),""),발주접수!$D87))</f>
        <v/>
      </c>
      <c r="N854" s="34" t="str">
        <f>IF($J854=FALSE(),"",IF(발주접수!$F87="세트",발주접수!$G87*IFERROR(INDEX(세트구성!$E$3:$E$302,MATCH(발주접수!$D87&amp;"|"&amp;9,세트구성!$G$3:$G$302,0)),0),발주접수!$G87))</f>
        <v/>
      </c>
      <c r="O854" s="34" t="str">
        <f>IF($J854=FALSE(),"",발주접수!$B87)</f>
        <v/>
      </c>
      <c r="P854" s="34" t="str">
        <f>IF($J854=FALSE(),"",발주접수!$C87)</f>
        <v/>
      </c>
      <c r="Q854" s="34" t="str">
        <f>IF($J854=FALSE(),"",IF(발주접수!$F87="세트",발주접수!$E87&amp;" 전개","직접 발주"))</f>
        <v/>
      </c>
    </row>
    <row r="855" ht="15" customHeight="1" s="30">
      <c r="J855" s="50" t="b">
        <f>IF(발주접수!$D87="",FALSE(),IF(발주접수!$F87="세트",COUNTIF(세트구성!$G$3:$G$302,발주접수!$D87&amp;"|"&amp;10)&gt;0,9=0))</f>
        <v>0</v>
      </c>
      <c r="K855" s="34" t="str">
        <f>IF($J855=FALSE(),"",COUNTIF($J$6:$J855,TRUE()))</f>
        <v/>
      </c>
      <c r="L855" s="34" t="str">
        <f>IF($K855="","","R"&amp;$K855)</f>
        <v/>
      </c>
      <c r="M855" s="34" t="str">
        <f>IF($J855=FALSE(),"",IF(발주접수!$F87="세트",IFERROR(INDEX(세트구성!$C$3:$C$302,MATCH(발주접수!$D87&amp;"|"&amp;10,세트구성!$G$3:$G$302,0)),""),발주접수!$D87))</f>
        <v/>
      </c>
      <c r="N855" s="34" t="str">
        <f>IF($J855=FALSE(),"",IF(발주접수!$F87="세트",발주접수!$G87*IFERROR(INDEX(세트구성!$E$3:$E$302,MATCH(발주접수!$D87&amp;"|"&amp;10,세트구성!$G$3:$G$302,0)),0),발주접수!$G87))</f>
        <v/>
      </c>
      <c r="O855" s="34" t="str">
        <f>IF($J855=FALSE(),"",발주접수!$B87)</f>
        <v/>
      </c>
      <c r="P855" s="34" t="str">
        <f>IF($J855=FALSE(),"",발주접수!$C87)</f>
        <v/>
      </c>
      <c r="Q855" s="34" t="str">
        <f>IF($J855=FALSE(),"",IF(발주접수!$F87="세트",발주접수!$E87&amp;" 전개","직접 발주"))</f>
        <v/>
      </c>
    </row>
    <row r="856" ht="15" customHeight="1" s="30">
      <c r="J856" s="50" t="b">
        <f>IF(발주접수!$D88="",FALSE(),IF(발주접수!$F88="세트",COUNTIF(세트구성!$G$3:$G$302,발주접수!$D88&amp;"|"&amp;1)&gt;0,0=0))</f>
        <v>0</v>
      </c>
      <c r="K856" s="34" t="str">
        <f>IF($J856=FALSE(),"",COUNTIF($J$6:$J856,TRUE()))</f>
        <v/>
      </c>
      <c r="L856" s="34" t="str">
        <f>IF($K856="","","R"&amp;$K856)</f>
        <v/>
      </c>
      <c r="M856" s="34" t="str">
        <f>IF($J856=FALSE(),"",IF(발주접수!$F88="세트",IFERROR(INDEX(세트구성!$C$3:$C$302,MATCH(발주접수!$D88&amp;"|"&amp;1,세트구성!$G$3:$G$302,0)),""),발주접수!$D88))</f>
        <v/>
      </c>
      <c r="N856" s="34" t="str">
        <f>IF($J856=FALSE(),"",IF(발주접수!$F88="세트",발주접수!$G88*IFERROR(INDEX(세트구성!$E$3:$E$302,MATCH(발주접수!$D88&amp;"|"&amp;1,세트구성!$G$3:$G$302,0)),0),발주접수!$G88))</f>
        <v/>
      </c>
      <c r="O856" s="34" t="str">
        <f>IF($J856=FALSE(),"",발주접수!$B88)</f>
        <v/>
      </c>
      <c r="P856" s="34" t="str">
        <f>IF($J856=FALSE(),"",발주접수!$C88)</f>
        <v/>
      </c>
      <c r="Q856" s="34" t="str">
        <f>IF($J856=FALSE(),"",IF(발주접수!$F88="세트",발주접수!$E88&amp;" 전개","직접 발주"))</f>
        <v/>
      </c>
    </row>
    <row r="857" ht="15" customHeight="1" s="30">
      <c r="J857" s="50" t="b">
        <f>IF(발주접수!$D88="",FALSE(),IF(발주접수!$F88="세트",COUNTIF(세트구성!$G$3:$G$302,발주접수!$D88&amp;"|"&amp;2)&gt;0,1=0))</f>
        <v>0</v>
      </c>
      <c r="K857" s="34" t="str">
        <f>IF($J857=FALSE(),"",COUNTIF($J$6:$J857,TRUE()))</f>
        <v/>
      </c>
      <c r="L857" s="34" t="str">
        <f>IF($K857="","","R"&amp;$K857)</f>
        <v/>
      </c>
      <c r="M857" s="34" t="str">
        <f>IF($J857=FALSE(),"",IF(발주접수!$F88="세트",IFERROR(INDEX(세트구성!$C$3:$C$302,MATCH(발주접수!$D88&amp;"|"&amp;2,세트구성!$G$3:$G$302,0)),""),발주접수!$D88))</f>
        <v/>
      </c>
      <c r="N857" s="34" t="str">
        <f>IF($J857=FALSE(),"",IF(발주접수!$F88="세트",발주접수!$G88*IFERROR(INDEX(세트구성!$E$3:$E$302,MATCH(발주접수!$D88&amp;"|"&amp;2,세트구성!$G$3:$G$302,0)),0),발주접수!$G88))</f>
        <v/>
      </c>
      <c r="O857" s="34" t="str">
        <f>IF($J857=FALSE(),"",발주접수!$B88)</f>
        <v/>
      </c>
      <c r="P857" s="34" t="str">
        <f>IF($J857=FALSE(),"",발주접수!$C88)</f>
        <v/>
      </c>
      <c r="Q857" s="34" t="str">
        <f>IF($J857=FALSE(),"",IF(발주접수!$F88="세트",발주접수!$E88&amp;" 전개","직접 발주"))</f>
        <v/>
      </c>
    </row>
    <row r="858" ht="15" customHeight="1" s="30">
      <c r="J858" s="50" t="b">
        <f>IF(발주접수!$D88="",FALSE(),IF(발주접수!$F88="세트",COUNTIF(세트구성!$G$3:$G$302,발주접수!$D88&amp;"|"&amp;3)&gt;0,2=0))</f>
        <v>0</v>
      </c>
      <c r="K858" s="34" t="str">
        <f>IF($J858=FALSE(),"",COUNTIF($J$6:$J858,TRUE()))</f>
        <v/>
      </c>
      <c r="L858" s="34" t="str">
        <f>IF($K858="","","R"&amp;$K858)</f>
        <v/>
      </c>
      <c r="M858" s="34" t="str">
        <f>IF($J858=FALSE(),"",IF(발주접수!$F88="세트",IFERROR(INDEX(세트구성!$C$3:$C$302,MATCH(발주접수!$D88&amp;"|"&amp;3,세트구성!$G$3:$G$302,0)),""),발주접수!$D88))</f>
        <v/>
      </c>
      <c r="N858" s="34" t="str">
        <f>IF($J858=FALSE(),"",IF(발주접수!$F88="세트",발주접수!$G88*IFERROR(INDEX(세트구성!$E$3:$E$302,MATCH(발주접수!$D88&amp;"|"&amp;3,세트구성!$G$3:$G$302,0)),0),발주접수!$G88))</f>
        <v/>
      </c>
      <c r="O858" s="34" t="str">
        <f>IF($J858=FALSE(),"",발주접수!$B88)</f>
        <v/>
      </c>
      <c r="P858" s="34" t="str">
        <f>IF($J858=FALSE(),"",발주접수!$C88)</f>
        <v/>
      </c>
      <c r="Q858" s="34" t="str">
        <f>IF($J858=FALSE(),"",IF(발주접수!$F88="세트",발주접수!$E88&amp;" 전개","직접 발주"))</f>
        <v/>
      </c>
    </row>
    <row r="859" ht="15" customHeight="1" s="30">
      <c r="J859" s="50" t="b">
        <f>IF(발주접수!$D88="",FALSE(),IF(발주접수!$F88="세트",COUNTIF(세트구성!$G$3:$G$302,발주접수!$D88&amp;"|"&amp;4)&gt;0,3=0))</f>
        <v>0</v>
      </c>
      <c r="K859" s="34" t="str">
        <f>IF($J859=FALSE(),"",COUNTIF($J$6:$J859,TRUE()))</f>
        <v/>
      </c>
      <c r="L859" s="34" t="str">
        <f>IF($K859="","","R"&amp;$K859)</f>
        <v/>
      </c>
      <c r="M859" s="34" t="str">
        <f>IF($J859=FALSE(),"",IF(발주접수!$F88="세트",IFERROR(INDEX(세트구성!$C$3:$C$302,MATCH(발주접수!$D88&amp;"|"&amp;4,세트구성!$G$3:$G$302,0)),""),발주접수!$D88))</f>
        <v/>
      </c>
      <c r="N859" s="34" t="str">
        <f>IF($J859=FALSE(),"",IF(발주접수!$F88="세트",발주접수!$G88*IFERROR(INDEX(세트구성!$E$3:$E$302,MATCH(발주접수!$D88&amp;"|"&amp;4,세트구성!$G$3:$G$302,0)),0),발주접수!$G88))</f>
        <v/>
      </c>
      <c r="O859" s="34" t="str">
        <f>IF($J859=FALSE(),"",발주접수!$B88)</f>
        <v/>
      </c>
      <c r="P859" s="34" t="str">
        <f>IF($J859=FALSE(),"",발주접수!$C88)</f>
        <v/>
      </c>
      <c r="Q859" s="34" t="str">
        <f>IF($J859=FALSE(),"",IF(발주접수!$F88="세트",발주접수!$E88&amp;" 전개","직접 발주"))</f>
        <v/>
      </c>
    </row>
    <row r="860" ht="15" customHeight="1" s="30">
      <c r="J860" s="50" t="b">
        <f>IF(발주접수!$D88="",FALSE(),IF(발주접수!$F88="세트",COUNTIF(세트구성!$G$3:$G$302,발주접수!$D88&amp;"|"&amp;5)&gt;0,4=0))</f>
        <v>0</v>
      </c>
      <c r="K860" s="34" t="str">
        <f>IF($J860=FALSE(),"",COUNTIF($J$6:$J860,TRUE()))</f>
        <v/>
      </c>
      <c r="L860" s="34" t="str">
        <f>IF($K860="","","R"&amp;$K860)</f>
        <v/>
      </c>
      <c r="M860" s="34" t="str">
        <f>IF($J860=FALSE(),"",IF(발주접수!$F88="세트",IFERROR(INDEX(세트구성!$C$3:$C$302,MATCH(발주접수!$D88&amp;"|"&amp;5,세트구성!$G$3:$G$302,0)),""),발주접수!$D88))</f>
        <v/>
      </c>
      <c r="N860" s="34" t="str">
        <f>IF($J860=FALSE(),"",IF(발주접수!$F88="세트",발주접수!$G88*IFERROR(INDEX(세트구성!$E$3:$E$302,MATCH(발주접수!$D88&amp;"|"&amp;5,세트구성!$G$3:$G$302,0)),0),발주접수!$G88))</f>
        <v/>
      </c>
      <c r="O860" s="34" t="str">
        <f>IF($J860=FALSE(),"",발주접수!$B88)</f>
        <v/>
      </c>
      <c r="P860" s="34" t="str">
        <f>IF($J860=FALSE(),"",발주접수!$C88)</f>
        <v/>
      </c>
      <c r="Q860" s="34" t="str">
        <f>IF($J860=FALSE(),"",IF(발주접수!$F88="세트",발주접수!$E88&amp;" 전개","직접 발주"))</f>
        <v/>
      </c>
    </row>
    <row r="861" ht="15" customHeight="1" s="30">
      <c r="J861" s="50" t="b">
        <f>IF(발주접수!$D88="",FALSE(),IF(발주접수!$F88="세트",COUNTIF(세트구성!$G$3:$G$302,발주접수!$D88&amp;"|"&amp;6)&gt;0,5=0))</f>
        <v>0</v>
      </c>
      <c r="K861" s="34" t="str">
        <f>IF($J861=FALSE(),"",COUNTIF($J$6:$J861,TRUE()))</f>
        <v/>
      </c>
      <c r="L861" s="34" t="str">
        <f>IF($K861="","","R"&amp;$K861)</f>
        <v/>
      </c>
      <c r="M861" s="34" t="str">
        <f>IF($J861=FALSE(),"",IF(발주접수!$F88="세트",IFERROR(INDEX(세트구성!$C$3:$C$302,MATCH(발주접수!$D88&amp;"|"&amp;6,세트구성!$G$3:$G$302,0)),""),발주접수!$D88))</f>
        <v/>
      </c>
      <c r="N861" s="34" t="str">
        <f>IF($J861=FALSE(),"",IF(발주접수!$F88="세트",발주접수!$G88*IFERROR(INDEX(세트구성!$E$3:$E$302,MATCH(발주접수!$D88&amp;"|"&amp;6,세트구성!$G$3:$G$302,0)),0),발주접수!$G88))</f>
        <v/>
      </c>
      <c r="O861" s="34" t="str">
        <f>IF($J861=FALSE(),"",발주접수!$B88)</f>
        <v/>
      </c>
      <c r="P861" s="34" t="str">
        <f>IF($J861=FALSE(),"",발주접수!$C88)</f>
        <v/>
      </c>
      <c r="Q861" s="34" t="str">
        <f>IF($J861=FALSE(),"",IF(발주접수!$F88="세트",발주접수!$E88&amp;" 전개","직접 발주"))</f>
        <v/>
      </c>
    </row>
    <row r="862" ht="15" customHeight="1" s="30">
      <c r="J862" s="50" t="b">
        <f>IF(발주접수!$D88="",FALSE(),IF(발주접수!$F88="세트",COUNTIF(세트구성!$G$3:$G$302,발주접수!$D88&amp;"|"&amp;7)&gt;0,6=0))</f>
        <v>0</v>
      </c>
      <c r="K862" s="34" t="str">
        <f>IF($J862=FALSE(),"",COUNTIF($J$6:$J862,TRUE()))</f>
        <v/>
      </c>
      <c r="L862" s="34" t="str">
        <f>IF($K862="","","R"&amp;$K862)</f>
        <v/>
      </c>
      <c r="M862" s="34" t="str">
        <f>IF($J862=FALSE(),"",IF(발주접수!$F88="세트",IFERROR(INDEX(세트구성!$C$3:$C$302,MATCH(발주접수!$D88&amp;"|"&amp;7,세트구성!$G$3:$G$302,0)),""),발주접수!$D88))</f>
        <v/>
      </c>
      <c r="N862" s="34" t="str">
        <f>IF($J862=FALSE(),"",IF(발주접수!$F88="세트",발주접수!$G88*IFERROR(INDEX(세트구성!$E$3:$E$302,MATCH(발주접수!$D88&amp;"|"&amp;7,세트구성!$G$3:$G$302,0)),0),발주접수!$G88))</f>
        <v/>
      </c>
      <c r="O862" s="34" t="str">
        <f>IF($J862=FALSE(),"",발주접수!$B88)</f>
        <v/>
      </c>
      <c r="P862" s="34" t="str">
        <f>IF($J862=FALSE(),"",발주접수!$C88)</f>
        <v/>
      </c>
      <c r="Q862" s="34" t="str">
        <f>IF($J862=FALSE(),"",IF(발주접수!$F88="세트",발주접수!$E88&amp;" 전개","직접 발주"))</f>
        <v/>
      </c>
    </row>
    <row r="863" ht="15" customHeight="1" s="30">
      <c r="J863" s="50" t="b">
        <f>IF(발주접수!$D88="",FALSE(),IF(발주접수!$F88="세트",COUNTIF(세트구성!$G$3:$G$302,발주접수!$D88&amp;"|"&amp;8)&gt;0,7=0))</f>
        <v>0</v>
      </c>
      <c r="K863" s="34" t="str">
        <f>IF($J863=FALSE(),"",COUNTIF($J$6:$J863,TRUE()))</f>
        <v/>
      </c>
      <c r="L863" s="34" t="str">
        <f>IF($K863="","","R"&amp;$K863)</f>
        <v/>
      </c>
      <c r="M863" s="34" t="str">
        <f>IF($J863=FALSE(),"",IF(발주접수!$F88="세트",IFERROR(INDEX(세트구성!$C$3:$C$302,MATCH(발주접수!$D88&amp;"|"&amp;8,세트구성!$G$3:$G$302,0)),""),발주접수!$D88))</f>
        <v/>
      </c>
      <c r="N863" s="34" t="str">
        <f>IF($J863=FALSE(),"",IF(발주접수!$F88="세트",발주접수!$G88*IFERROR(INDEX(세트구성!$E$3:$E$302,MATCH(발주접수!$D88&amp;"|"&amp;8,세트구성!$G$3:$G$302,0)),0),발주접수!$G88))</f>
        <v/>
      </c>
      <c r="O863" s="34" t="str">
        <f>IF($J863=FALSE(),"",발주접수!$B88)</f>
        <v/>
      </c>
      <c r="P863" s="34" t="str">
        <f>IF($J863=FALSE(),"",발주접수!$C88)</f>
        <v/>
      </c>
      <c r="Q863" s="34" t="str">
        <f>IF($J863=FALSE(),"",IF(발주접수!$F88="세트",발주접수!$E88&amp;" 전개","직접 발주"))</f>
        <v/>
      </c>
    </row>
    <row r="864" ht="15" customHeight="1" s="30">
      <c r="J864" s="50" t="b">
        <f>IF(발주접수!$D88="",FALSE(),IF(발주접수!$F88="세트",COUNTIF(세트구성!$G$3:$G$302,발주접수!$D88&amp;"|"&amp;9)&gt;0,8=0))</f>
        <v>0</v>
      </c>
      <c r="K864" s="34" t="str">
        <f>IF($J864=FALSE(),"",COUNTIF($J$6:$J864,TRUE()))</f>
        <v/>
      </c>
      <c r="L864" s="34" t="str">
        <f>IF($K864="","","R"&amp;$K864)</f>
        <v/>
      </c>
      <c r="M864" s="34" t="str">
        <f>IF($J864=FALSE(),"",IF(발주접수!$F88="세트",IFERROR(INDEX(세트구성!$C$3:$C$302,MATCH(발주접수!$D88&amp;"|"&amp;9,세트구성!$G$3:$G$302,0)),""),발주접수!$D88))</f>
        <v/>
      </c>
      <c r="N864" s="34" t="str">
        <f>IF($J864=FALSE(),"",IF(발주접수!$F88="세트",발주접수!$G88*IFERROR(INDEX(세트구성!$E$3:$E$302,MATCH(발주접수!$D88&amp;"|"&amp;9,세트구성!$G$3:$G$302,0)),0),발주접수!$G88))</f>
        <v/>
      </c>
      <c r="O864" s="34" t="str">
        <f>IF($J864=FALSE(),"",발주접수!$B88)</f>
        <v/>
      </c>
      <c r="P864" s="34" t="str">
        <f>IF($J864=FALSE(),"",발주접수!$C88)</f>
        <v/>
      </c>
      <c r="Q864" s="34" t="str">
        <f>IF($J864=FALSE(),"",IF(발주접수!$F88="세트",발주접수!$E88&amp;" 전개","직접 발주"))</f>
        <v/>
      </c>
    </row>
    <row r="865" ht="15" customHeight="1" s="30">
      <c r="J865" s="50" t="b">
        <f>IF(발주접수!$D88="",FALSE(),IF(발주접수!$F88="세트",COUNTIF(세트구성!$G$3:$G$302,발주접수!$D88&amp;"|"&amp;10)&gt;0,9=0))</f>
        <v>0</v>
      </c>
      <c r="K865" s="34" t="str">
        <f>IF($J865=FALSE(),"",COUNTIF($J$6:$J865,TRUE()))</f>
        <v/>
      </c>
      <c r="L865" s="34" t="str">
        <f>IF($K865="","","R"&amp;$K865)</f>
        <v/>
      </c>
      <c r="M865" s="34" t="str">
        <f>IF($J865=FALSE(),"",IF(발주접수!$F88="세트",IFERROR(INDEX(세트구성!$C$3:$C$302,MATCH(발주접수!$D88&amp;"|"&amp;10,세트구성!$G$3:$G$302,0)),""),발주접수!$D88))</f>
        <v/>
      </c>
      <c r="N865" s="34" t="str">
        <f>IF($J865=FALSE(),"",IF(발주접수!$F88="세트",발주접수!$G88*IFERROR(INDEX(세트구성!$E$3:$E$302,MATCH(발주접수!$D88&amp;"|"&amp;10,세트구성!$G$3:$G$302,0)),0),발주접수!$G88))</f>
        <v/>
      </c>
      <c r="O865" s="34" t="str">
        <f>IF($J865=FALSE(),"",발주접수!$B88)</f>
        <v/>
      </c>
      <c r="P865" s="34" t="str">
        <f>IF($J865=FALSE(),"",발주접수!$C88)</f>
        <v/>
      </c>
      <c r="Q865" s="34" t="str">
        <f>IF($J865=FALSE(),"",IF(발주접수!$F88="세트",발주접수!$E88&amp;" 전개","직접 발주"))</f>
        <v/>
      </c>
    </row>
    <row r="866" ht="15" customHeight="1" s="30">
      <c r="J866" s="50" t="b">
        <f>IF(발주접수!$D89="",FALSE(),IF(발주접수!$F89="세트",COUNTIF(세트구성!$G$3:$G$302,발주접수!$D89&amp;"|"&amp;1)&gt;0,0=0))</f>
        <v>0</v>
      </c>
      <c r="K866" s="34" t="str">
        <f>IF($J866=FALSE(),"",COUNTIF($J$6:$J866,TRUE()))</f>
        <v/>
      </c>
      <c r="L866" s="34" t="str">
        <f>IF($K866="","","R"&amp;$K866)</f>
        <v/>
      </c>
      <c r="M866" s="34" t="str">
        <f>IF($J866=FALSE(),"",IF(발주접수!$F89="세트",IFERROR(INDEX(세트구성!$C$3:$C$302,MATCH(발주접수!$D89&amp;"|"&amp;1,세트구성!$G$3:$G$302,0)),""),발주접수!$D89))</f>
        <v/>
      </c>
      <c r="N866" s="34" t="str">
        <f>IF($J866=FALSE(),"",IF(발주접수!$F89="세트",발주접수!$G89*IFERROR(INDEX(세트구성!$E$3:$E$302,MATCH(발주접수!$D89&amp;"|"&amp;1,세트구성!$G$3:$G$302,0)),0),발주접수!$G89))</f>
        <v/>
      </c>
      <c r="O866" s="34" t="str">
        <f>IF($J866=FALSE(),"",발주접수!$B89)</f>
        <v/>
      </c>
      <c r="P866" s="34" t="str">
        <f>IF($J866=FALSE(),"",발주접수!$C89)</f>
        <v/>
      </c>
      <c r="Q866" s="34" t="str">
        <f>IF($J866=FALSE(),"",IF(발주접수!$F89="세트",발주접수!$E89&amp;" 전개","직접 발주"))</f>
        <v/>
      </c>
    </row>
    <row r="867" ht="15" customHeight="1" s="30">
      <c r="J867" s="50" t="b">
        <f>IF(발주접수!$D89="",FALSE(),IF(발주접수!$F89="세트",COUNTIF(세트구성!$G$3:$G$302,발주접수!$D89&amp;"|"&amp;2)&gt;0,1=0))</f>
        <v>0</v>
      </c>
      <c r="K867" s="34" t="str">
        <f>IF($J867=FALSE(),"",COUNTIF($J$6:$J867,TRUE()))</f>
        <v/>
      </c>
      <c r="L867" s="34" t="str">
        <f>IF($K867="","","R"&amp;$K867)</f>
        <v/>
      </c>
      <c r="M867" s="34" t="str">
        <f>IF($J867=FALSE(),"",IF(발주접수!$F89="세트",IFERROR(INDEX(세트구성!$C$3:$C$302,MATCH(발주접수!$D89&amp;"|"&amp;2,세트구성!$G$3:$G$302,0)),""),발주접수!$D89))</f>
        <v/>
      </c>
      <c r="N867" s="34" t="str">
        <f>IF($J867=FALSE(),"",IF(발주접수!$F89="세트",발주접수!$G89*IFERROR(INDEX(세트구성!$E$3:$E$302,MATCH(발주접수!$D89&amp;"|"&amp;2,세트구성!$G$3:$G$302,0)),0),발주접수!$G89))</f>
        <v/>
      </c>
      <c r="O867" s="34" t="str">
        <f>IF($J867=FALSE(),"",발주접수!$B89)</f>
        <v/>
      </c>
      <c r="P867" s="34" t="str">
        <f>IF($J867=FALSE(),"",발주접수!$C89)</f>
        <v/>
      </c>
      <c r="Q867" s="34" t="str">
        <f>IF($J867=FALSE(),"",IF(발주접수!$F89="세트",발주접수!$E89&amp;" 전개","직접 발주"))</f>
        <v/>
      </c>
    </row>
    <row r="868" ht="15" customHeight="1" s="30">
      <c r="J868" s="50" t="b">
        <f>IF(발주접수!$D89="",FALSE(),IF(발주접수!$F89="세트",COUNTIF(세트구성!$G$3:$G$302,발주접수!$D89&amp;"|"&amp;3)&gt;0,2=0))</f>
        <v>0</v>
      </c>
      <c r="K868" s="34" t="str">
        <f>IF($J868=FALSE(),"",COUNTIF($J$6:$J868,TRUE()))</f>
        <v/>
      </c>
      <c r="L868" s="34" t="str">
        <f>IF($K868="","","R"&amp;$K868)</f>
        <v/>
      </c>
      <c r="M868" s="34" t="str">
        <f>IF($J868=FALSE(),"",IF(발주접수!$F89="세트",IFERROR(INDEX(세트구성!$C$3:$C$302,MATCH(발주접수!$D89&amp;"|"&amp;3,세트구성!$G$3:$G$302,0)),""),발주접수!$D89))</f>
        <v/>
      </c>
      <c r="N868" s="34" t="str">
        <f>IF($J868=FALSE(),"",IF(발주접수!$F89="세트",발주접수!$G89*IFERROR(INDEX(세트구성!$E$3:$E$302,MATCH(발주접수!$D89&amp;"|"&amp;3,세트구성!$G$3:$G$302,0)),0),발주접수!$G89))</f>
        <v/>
      </c>
      <c r="O868" s="34" t="str">
        <f>IF($J868=FALSE(),"",발주접수!$B89)</f>
        <v/>
      </c>
      <c r="P868" s="34" t="str">
        <f>IF($J868=FALSE(),"",발주접수!$C89)</f>
        <v/>
      </c>
      <c r="Q868" s="34" t="str">
        <f>IF($J868=FALSE(),"",IF(발주접수!$F89="세트",발주접수!$E89&amp;" 전개","직접 발주"))</f>
        <v/>
      </c>
    </row>
    <row r="869" ht="15" customHeight="1" s="30">
      <c r="J869" s="50" t="b">
        <f>IF(발주접수!$D89="",FALSE(),IF(발주접수!$F89="세트",COUNTIF(세트구성!$G$3:$G$302,발주접수!$D89&amp;"|"&amp;4)&gt;0,3=0))</f>
        <v>0</v>
      </c>
      <c r="K869" s="34" t="str">
        <f>IF($J869=FALSE(),"",COUNTIF($J$6:$J869,TRUE()))</f>
        <v/>
      </c>
      <c r="L869" s="34" t="str">
        <f>IF($K869="","","R"&amp;$K869)</f>
        <v/>
      </c>
      <c r="M869" s="34" t="str">
        <f>IF($J869=FALSE(),"",IF(발주접수!$F89="세트",IFERROR(INDEX(세트구성!$C$3:$C$302,MATCH(발주접수!$D89&amp;"|"&amp;4,세트구성!$G$3:$G$302,0)),""),발주접수!$D89))</f>
        <v/>
      </c>
      <c r="N869" s="34" t="str">
        <f>IF($J869=FALSE(),"",IF(발주접수!$F89="세트",발주접수!$G89*IFERROR(INDEX(세트구성!$E$3:$E$302,MATCH(발주접수!$D89&amp;"|"&amp;4,세트구성!$G$3:$G$302,0)),0),발주접수!$G89))</f>
        <v/>
      </c>
      <c r="O869" s="34" t="str">
        <f>IF($J869=FALSE(),"",발주접수!$B89)</f>
        <v/>
      </c>
      <c r="P869" s="34" t="str">
        <f>IF($J869=FALSE(),"",발주접수!$C89)</f>
        <v/>
      </c>
      <c r="Q869" s="34" t="str">
        <f>IF($J869=FALSE(),"",IF(발주접수!$F89="세트",발주접수!$E89&amp;" 전개","직접 발주"))</f>
        <v/>
      </c>
    </row>
    <row r="870" ht="15" customHeight="1" s="30">
      <c r="J870" s="50" t="b">
        <f>IF(발주접수!$D89="",FALSE(),IF(발주접수!$F89="세트",COUNTIF(세트구성!$G$3:$G$302,발주접수!$D89&amp;"|"&amp;5)&gt;0,4=0))</f>
        <v>0</v>
      </c>
      <c r="K870" s="34" t="str">
        <f>IF($J870=FALSE(),"",COUNTIF($J$6:$J870,TRUE()))</f>
        <v/>
      </c>
      <c r="L870" s="34" t="str">
        <f>IF($K870="","","R"&amp;$K870)</f>
        <v/>
      </c>
      <c r="M870" s="34" t="str">
        <f>IF($J870=FALSE(),"",IF(발주접수!$F89="세트",IFERROR(INDEX(세트구성!$C$3:$C$302,MATCH(발주접수!$D89&amp;"|"&amp;5,세트구성!$G$3:$G$302,0)),""),발주접수!$D89))</f>
        <v/>
      </c>
      <c r="N870" s="34" t="str">
        <f>IF($J870=FALSE(),"",IF(발주접수!$F89="세트",발주접수!$G89*IFERROR(INDEX(세트구성!$E$3:$E$302,MATCH(발주접수!$D89&amp;"|"&amp;5,세트구성!$G$3:$G$302,0)),0),발주접수!$G89))</f>
        <v/>
      </c>
      <c r="O870" s="34" t="str">
        <f>IF($J870=FALSE(),"",발주접수!$B89)</f>
        <v/>
      </c>
      <c r="P870" s="34" t="str">
        <f>IF($J870=FALSE(),"",발주접수!$C89)</f>
        <v/>
      </c>
      <c r="Q870" s="34" t="str">
        <f>IF($J870=FALSE(),"",IF(발주접수!$F89="세트",발주접수!$E89&amp;" 전개","직접 발주"))</f>
        <v/>
      </c>
    </row>
    <row r="871" ht="15" customHeight="1" s="30">
      <c r="J871" s="50" t="b">
        <f>IF(발주접수!$D89="",FALSE(),IF(발주접수!$F89="세트",COUNTIF(세트구성!$G$3:$G$302,발주접수!$D89&amp;"|"&amp;6)&gt;0,5=0))</f>
        <v>0</v>
      </c>
      <c r="K871" s="34" t="str">
        <f>IF($J871=FALSE(),"",COUNTIF($J$6:$J871,TRUE()))</f>
        <v/>
      </c>
      <c r="L871" s="34" t="str">
        <f>IF($K871="","","R"&amp;$K871)</f>
        <v/>
      </c>
      <c r="M871" s="34" t="str">
        <f>IF($J871=FALSE(),"",IF(발주접수!$F89="세트",IFERROR(INDEX(세트구성!$C$3:$C$302,MATCH(발주접수!$D89&amp;"|"&amp;6,세트구성!$G$3:$G$302,0)),""),발주접수!$D89))</f>
        <v/>
      </c>
      <c r="N871" s="34" t="str">
        <f>IF($J871=FALSE(),"",IF(발주접수!$F89="세트",발주접수!$G89*IFERROR(INDEX(세트구성!$E$3:$E$302,MATCH(발주접수!$D89&amp;"|"&amp;6,세트구성!$G$3:$G$302,0)),0),발주접수!$G89))</f>
        <v/>
      </c>
      <c r="O871" s="34" t="str">
        <f>IF($J871=FALSE(),"",발주접수!$B89)</f>
        <v/>
      </c>
      <c r="P871" s="34" t="str">
        <f>IF($J871=FALSE(),"",발주접수!$C89)</f>
        <v/>
      </c>
      <c r="Q871" s="34" t="str">
        <f>IF($J871=FALSE(),"",IF(발주접수!$F89="세트",발주접수!$E89&amp;" 전개","직접 발주"))</f>
        <v/>
      </c>
    </row>
    <row r="872" ht="15" customHeight="1" s="30">
      <c r="J872" s="50" t="b">
        <f>IF(발주접수!$D89="",FALSE(),IF(발주접수!$F89="세트",COUNTIF(세트구성!$G$3:$G$302,발주접수!$D89&amp;"|"&amp;7)&gt;0,6=0))</f>
        <v>0</v>
      </c>
      <c r="K872" s="34" t="str">
        <f>IF($J872=FALSE(),"",COUNTIF($J$6:$J872,TRUE()))</f>
        <v/>
      </c>
      <c r="L872" s="34" t="str">
        <f>IF($K872="","","R"&amp;$K872)</f>
        <v/>
      </c>
      <c r="M872" s="34" t="str">
        <f>IF($J872=FALSE(),"",IF(발주접수!$F89="세트",IFERROR(INDEX(세트구성!$C$3:$C$302,MATCH(발주접수!$D89&amp;"|"&amp;7,세트구성!$G$3:$G$302,0)),""),발주접수!$D89))</f>
        <v/>
      </c>
      <c r="N872" s="34" t="str">
        <f>IF($J872=FALSE(),"",IF(발주접수!$F89="세트",발주접수!$G89*IFERROR(INDEX(세트구성!$E$3:$E$302,MATCH(발주접수!$D89&amp;"|"&amp;7,세트구성!$G$3:$G$302,0)),0),발주접수!$G89))</f>
        <v/>
      </c>
      <c r="O872" s="34" t="str">
        <f>IF($J872=FALSE(),"",발주접수!$B89)</f>
        <v/>
      </c>
      <c r="P872" s="34" t="str">
        <f>IF($J872=FALSE(),"",발주접수!$C89)</f>
        <v/>
      </c>
      <c r="Q872" s="34" t="str">
        <f>IF($J872=FALSE(),"",IF(발주접수!$F89="세트",발주접수!$E89&amp;" 전개","직접 발주"))</f>
        <v/>
      </c>
    </row>
    <row r="873" ht="15" customHeight="1" s="30">
      <c r="J873" s="50" t="b">
        <f>IF(발주접수!$D89="",FALSE(),IF(발주접수!$F89="세트",COUNTIF(세트구성!$G$3:$G$302,발주접수!$D89&amp;"|"&amp;8)&gt;0,7=0))</f>
        <v>0</v>
      </c>
      <c r="K873" s="34" t="str">
        <f>IF($J873=FALSE(),"",COUNTIF($J$6:$J873,TRUE()))</f>
        <v/>
      </c>
      <c r="L873" s="34" t="str">
        <f>IF($K873="","","R"&amp;$K873)</f>
        <v/>
      </c>
      <c r="M873" s="34" t="str">
        <f>IF($J873=FALSE(),"",IF(발주접수!$F89="세트",IFERROR(INDEX(세트구성!$C$3:$C$302,MATCH(발주접수!$D89&amp;"|"&amp;8,세트구성!$G$3:$G$302,0)),""),발주접수!$D89))</f>
        <v/>
      </c>
      <c r="N873" s="34" t="str">
        <f>IF($J873=FALSE(),"",IF(발주접수!$F89="세트",발주접수!$G89*IFERROR(INDEX(세트구성!$E$3:$E$302,MATCH(발주접수!$D89&amp;"|"&amp;8,세트구성!$G$3:$G$302,0)),0),발주접수!$G89))</f>
        <v/>
      </c>
      <c r="O873" s="34" t="str">
        <f>IF($J873=FALSE(),"",발주접수!$B89)</f>
        <v/>
      </c>
      <c r="P873" s="34" t="str">
        <f>IF($J873=FALSE(),"",발주접수!$C89)</f>
        <v/>
      </c>
      <c r="Q873" s="34" t="str">
        <f>IF($J873=FALSE(),"",IF(발주접수!$F89="세트",발주접수!$E89&amp;" 전개","직접 발주"))</f>
        <v/>
      </c>
    </row>
    <row r="874" ht="15" customHeight="1" s="30">
      <c r="J874" s="50" t="b">
        <f>IF(발주접수!$D89="",FALSE(),IF(발주접수!$F89="세트",COUNTIF(세트구성!$G$3:$G$302,발주접수!$D89&amp;"|"&amp;9)&gt;0,8=0))</f>
        <v>0</v>
      </c>
      <c r="K874" s="34" t="str">
        <f>IF($J874=FALSE(),"",COUNTIF($J$6:$J874,TRUE()))</f>
        <v/>
      </c>
      <c r="L874" s="34" t="str">
        <f>IF($K874="","","R"&amp;$K874)</f>
        <v/>
      </c>
      <c r="M874" s="34" t="str">
        <f>IF($J874=FALSE(),"",IF(발주접수!$F89="세트",IFERROR(INDEX(세트구성!$C$3:$C$302,MATCH(발주접수!$D89&amp;"|"&amp;9,세트구성!$G$3:$G$302,0)),""),발주접수!$D89))</f>
        <v/>
      </c>
      <c r="N874" s="34" t="str">
        <f>IF($J874=FALSE(),"",IF(발주접수!$F89="세트",발주접수!$G89*IFERROR(INDEX(세트구성!$E$3:$E$302,MATCH(발주접수!$D89&amp;"|"&amp;9,세트구성!$G$3:$G$302,0)),0),발주접수!$G89))</f>
        <v/>
      </c>
      <c r="O874" s="34" t="str">
        <f>IF($J874=FALSE(),"",발주접수!$B89)</f>
        <v/>
      </c>
      <c r="P874" s="34" t="str">
        <f>IF($J874=FALSE(),"",발주접수!$C89)</f>
        <v/>
      </c>
      <c r="Q874" s="34" t="str">
        <f>IF($J874=FALSE(),"",IF(발주접수!$F89="세트",발주접수!$E89&amp;" 전개","직접 발주"))</f>
        <v/>
      </c>
    </row>
    <row r="875" ht="15" customHeight="1" s="30">
      <c r="J875" s="50" t="b">
        <f>IF(발주접수!$D89="",FALSE(),IF(발주접수!$F89="세트",COUNTIF(세트구성!$G$3:$G$302,발주접수!$D89&amp;"|"&amp;10)&gt;0,9=0))</f>
        <v>0</v>
      </c>
      <c r="K875" s="34" t="str">
        <f>IF($J875=FALSE(),"",COUNTIF($J$6:$J875,TRUE()))</f>
        <v/>
      </c>
      <c r="L875" s="34" t="str">
        <f>IF($K875="","","R"&amp;$K875)</f>
        <v/>
      </c>
      <c r="M875" s="34" t="str">
        <f>IF($J875=FALSE(),"",IF(발주접수!$F89="세트",IFERROR(INDEX(세트구성!$C$3:$C$302,MATCH(발주접수!$D89&amp;"|"&amp;10,세트구성!$G$3:$G$302,0)),""),발주접수!$D89))</f>
        <v/>
      </c>
      <c r="N875" s="34" t="str">
        <f>IF($J875=FALSE(),"",IF(발주접수!$F89="세트",발주접수!$G89*IFERROR(INDEX(세트구성!$E$3:$E$302,MATCH(발주접수!$D89&amp;"|"&amp;10,세트구성!$G$3:$G$302,0)),0),발주접수!$G89))</f>
        <v/>
      </c>
      <c r="O875" s="34" t="str">
        <f>IF($J875=FALSE(),"",발주접수!$B89)</f>
        <v/>
      </c>
      <c r="P875" s="34" t="str">
        <f>IF($J875=FALSE(),"",발주접수!$C89)</f>
        <v/>
      </c>
      <c r="Q875" s="34" t="str">
        <f>IF($J875=FALSE(),"",IF(발주접수!$F89="세트",발주접수!$E89&amp;" 전개","직접 발주"))</f>
        <v/>
      </c>
    </row>
    <row r="876" ht="15" customHeight="1" s="30">
      <c r="J876" s="50" t="b">
        <f>IF(발주접수!$D90="",FALSE(),IF(발주접수!$F90="세트",COUNTIF(세트구성!$G$3:$G$302,발주접수!$D90&amp;"|"&amp;1)&gt;0,0=0))</f>
        <v>0</v>
      </c>
      <c r="K876" s="34" t="str">
        <f>IF($J876=FALSE(),"",COUNTIF($J$6:$J876,TRUE()))</f>
        <v/>
      </c>
      <c r="L876" s="34" t="str">
        <f>IF($K876="","","R"&amp;$K876)</f>
        <v/>
      </c>
      <c r="M876" s="34" t="str">
        <f>IF($J876=FALSE(),"",IF(발주접수!$F90="세트",IFERROR(INDEX(세트구성!$C$3:$C$302,MATCH(발주접수!$D90&amp;"|"&amp;1,세트구성!$G$3:$G$302,0)),""),발주접수!$D90))</f>
        <v/>
      </c>
      <c r="N876" s="34" t="str">
        <f>IF($J876=FALSE(),"",IF(발주접수!$F90="세트",발주접수!$G90*IFERROR(INDEX(세트구성!$E$3:$E$302,MATCH(발주접수!$D90&amp;"|"&amp;1,세트구성!$G$3:$G$302,0)),0),발주접수!$G90))</f>
        <v/>
      </c>
      <c r="O876" s="34" t="str">
        <f>IF($J876=FALSE(),"",발주접수!$B90)</f>
        <v/>
      </c>
      <c r="P876" s="34" t="str">
        <f>IF($J876=FALSE(),"",발주접수!$C90)</f>
        <v/>
      </c>
      <c r="Q876" s="34" t="str">
        <f>IF($J876=FALSE(),"",IF(발주접수!$F90="세트",발주접수!$E90&amp;" 전개","직접 발주"))</f>
        <v/>
      </c>
    </row>
    <row r="877" ht="15" customHeight="1" s="30">
      <c r="J877" s="50" t="b">
        <f>IF(발주접수!$D90="",FALSE(),IF(발주접수!$F90="세트",COUNTIF(세트구성!$G$3:$G$302,발주접수!$D90&amp;"|"&amp;2)&gt;0,1=0))</f>
        <v>0</v>
      </c>
      <c r="K877" s="34" t="str">
        <f>IF($J877=FALSE(),"",COUNTIF($J$6:$J877,TRUE()))</f>
        <v/>
      </c>
      <c r="L877" s="34" t="str">
        <f>IF($K877="","","R"&amp;$K877)</f>
        <v/>
      </c>
      <c r="M877" s="34" t="str">
        <f>IF($J877=FALSE(),"",IF(발주접수!$F90="세트",IFERROR(INDEX(세트구성!$C$3:$C$302,MATCH(발주접수!$D90&amp;"|"&amp;2,세트구성!$G$3:$G$302,0)),""),발주접수!$D90))</f>
        <v/>
      </c>
      <c r="N877" s="34" t="str">
        <f>IF($J877=FALSE(),"",IF(발주접수!$F90="세트",발주접수!$G90*IFERROR(INDEX(세트구성!$E$3:$E$302,MATCH(발주접수!$D90&amp;"|"&amp;2,세트구성!$G$3:$G$302,0)),0),발주접수!$G90))</f>
        <v/>
      </c>
      <c r="O877" s="34" t="str">
        <f>IF($J877=FALSE(),"",발주접수!$B90)</f>
        <v/>
      </c>
      <c r="P877" s="34" t="str">
        <f>IF($J877=FALSE(),"",발주접수!$C90)</f>
        <v/>
      </c>
      <c r="Q877" s="34" t="str">
        <f>IF($J877=FALSE(),"",IF(발주접수!$F90="세트",발주접수!$E90&amp;" 전개","직접 발주"))</f>
        <v/>
      </c>
    </row>
    <row r="878" ht="15" customHeight="1" s="30">
      <c r="J878" s="50" t="b">
        <f>IF(발주접수!$D90="",FALSE(),IF(발주접수!$F90="세트",COUNTIF(세트구성!$G$3:$G$302,발주접수!$D90&amp;"|"&amp;3)&gt;0,2=0))</f>
        <v>0</v>
      </c>
      <c r="K878" s="34" t="str">
        <f>IF($J878=FALSE(),"",COUNTIF($J$6:$J878,TRUE()))</f>
        <v/>
      </c>
      <c r="L878" s="34" t="str">
        <f>IF($K878="","","R"&amp;$K878)</f>
        <v/>
      </c>
      <c r="M878" s="34" t="str">
        <f>IF($J878=FALSE(),"",IF(발주접수!$F90="세트",IFERROR(INDEX(세트구성!$C$3:$C$302,MATCH(발주접수!$D90&amp;"|"&amp;3,세트구성!$G$3:$G$302,0)),""),발주접수!$D90))</f>
        <v/>
      </c>
      <c r="N878" s="34" t="str">
        <f>IF($J878=FALSE(),"",IF(발주접수!$F90="세트",발주접수!$G90*IFERROR(INDEX(세트구성!$E$3:$E$302,MATCH(발주접수!$D90&amp;"|"&amp;3,세트구성!$G$3:$G$302,0)),0),발주접수!$G90))</f>
        <v/>
      </c>
      <c r="O878" s="34" t="str">
        <f>IF($J878=FALSE(),"",발주접수!$B90)</f>
        <v/>
      </c>
      <c r="P878" s="34" t="str">
        <f>IF($J878=FALSE(),"",발주접수!$C90)</f>
        <v/>
      </c>
      <c r="Q878" s="34" t="str">
        <f>IF($J878=FALSE(),"",IF(발주접수!$F90="세트",발주접수!$E90&amp;" 전개","직접 발주"))</f>
        <v/>
      </c>
    </row>
    <row r="879" ht="15" customHeight="1" s="30">
      <c r="J879" s="50" t="b">
        <f>IF(발주접수!$D90="",FALSE(),IF(발주접수!$F90="세트",COUNTIF(세트구성!$G$3:$G$302,발주접수!$D90&amp;"|"&amp;4)&gt;0,3=0))</f>
        <v>0</v>
      </c>
      <c r="K879" s="34" t="str">
        <f>IF($J879=FALSE(),"",COUNTIF($J$6:$J879,TRUE()))</f>
        <v/>
      </c>
      <c r="L879" s="34" t="str">
        <f>IF($K879="","","R"&amp;$K879)</f>
        <v/>
      </c>
      <c r="M879" s="34" t="str">
        <f>IF($J879=FALSE(),"",IF(발주접수!$F90="세트",IFERROR(INDEX(세트구성!$C$3:$C$302,MATCH(발주접수!$D90&amp;"|"&amp;4,세트구성!$G$3:$G$302,0)),""),발주접수!$D90))</f>
        <v/>
      </c>
      <c r="N879" s="34" t="str">
        <f>IF($J879=FALSE(),"",IF(발주접수!$F90="세트",발주접수!$G90*IFERROR(INDEX(세트구성!$E$3:$E$302,MATCH(발주접수!$D90&amp;"|"&amp;4,세트구성!$G$3:$G$302,0)),0),발주접수!$G90))</f>
        <v/>
      </c>
      <c r="O879" s="34" t="str">
        <f>IF($J879=FALSE(),"",발주접수!$B90)</f>
        <v/>
      </c>
      <c r="P879" s="34" t="str">
        <f>IF($J879=FALSE(),"",발주접수!$C90)</f>
        <v/>
      </c>
      <c r="Q879" s="34" t="str">
        <f>IF($J879=FALSE(),"",IF(발주접수!$F90="세트",발주접수!$E90&amp;" 전개","직접 발주"))</f>
        <v/>
      </c>
    </row>
    <row r="880" ht="15" customHeight="1" s="30">
      <c r="J880" s="50" t="b">
        <f>IF(발주접수!$D90="",FALSE(),IF(발주접수!$F90="세트",COUNTIF(세트구성!$G$3:$G$302,발주접수!$D90&amp;"|"&amp;5)&gt;0,4=0))</f>
        <v>0</v>
      </c>
      <c r="K880" s="34" t="str">
        <f>IF($J880=FALSE(),"",COUNTIF($J$6:$J880,TRUE()))</f>
        <v/>
      </c>
      <c r="L880" s="34" t="str">
        <f>IF($K880="","","R"&amp;$K880)</f>
        <v/>
      </c>
      <c r="M880" s="34" t="str">
        <f>IF($J880=FALSE(),"",IF(발주접수!$F90="세트",IFERROR(INDEX(세트구성!$C$3:$C$302,MATCH(발주접수!$D90&amp;"|"&amp;5,세트구성!$G$3:$G$302,0)),""),발주접수!$D90))</f>
        <v/>
      </c>
      <c r="N880" s="34" t="str">
        <f>IF($J880=FALSE(),"",IF(발주접수!$F90="세트",발주접수!$G90*IFERROR(INDEX(세트구성!$E$3:$E$302,MATCH(발주접수!$D90&amp;"|"&amp;5,세트구성!$G$3:$G$302,0)),0),발주접수!$G90))</f>
        <v/>
      </c>
      <c r="O880" s="34" t="str">
        <f>IF($J880=FALSE(),"",발주접수!$B90)</f>
        <v/>
      </c>
      <c r="P880" s="34" t="str">
        <f>IF($J880=FALSE(),"",발주접수!$C90)</f>
        <v/>
      </c>
      <c r="Q880" s="34" t="str">
        <f>IF($J880=FALSE(),"",IF(발주접수!$F90="세트",발주접수!$E90&amp;" 전개","직접 발주"))</f>
        <v/>
      </c>
    </row>
    <row r="881" ht="15" customHeight="1" s="30">
      <c r="J881" s="50" t="b">
        <f>IF(발주접수!$D90="",FALSE(),IF(발주접수!$F90="세트",COUNTIF(세트구성!$G$3:$G$302,발주접수!$D90&amp;"|"&amp;6)&gt;0,5=0))</f>
        <v>0</v>
      </c>
      <c r="K881" s="34" t="str">
        <f>IF($J881=FALSE(),"",COUNTIF($J$6:$J881,TRUE()))</f>
        <v/>
      </c>
      <c r="L881" s="34" t="str">
        <f>IF($K881="","","R"&amp;$K881)</f>
        <v/>
      </c>
      <c r="M881" s="34" t="str">
        <f>IF($J881=FALSE(),"",IF(발주접수!$F90="세트",IFERROR(INDEX(세트구성!$C$3:$C$302,MATCH(발주접수!$D90&amp;"|"&amp;6,세트구성!$G$3:$G$302,0)),""),발주접수!$D90))</f>
        <v/>
      </c>
      <c r="N881" s="34" t="str">
        <f>IF($J881=FALSE(),"",IF(발주접수!$F90="세트",발주접수!$G90*IFERROR(INDEX(세트구성!$E$3:$E$302,MATCH(발주접수!$D90&amp;"|"&amp;6,세트구성!$G$3:$G$302,0)),0),발주접수!$G90))</f>
        <v/>
      </c>
      <c r="O881" s="34" t="str">
        <f>IF($J881=FALSE(),"",발주접수!$B90)</f>
        <v/>
      </c>
      <c r="P881" s="34" t="str">
        <f>IF($J881=FALSE(),"",발주접수!$C90)</f>
        <v/>
      </c>
      <c r="Q881" s="34" t="str">
        <f>IF($J881=FALSE(),"",IF(발주접수!$F90="세트",발주접수!$E90&amp;" 전개","직접 발주"))</f>
        <v/>
      </c>
    </row>
    <row r="882" ht="15" customHeight="1" s="30">
      <c r="J882" s="50" t="b">
        <f>IF(발주접수!$D90="",FALSE(),IF(발주접수!$F90="세트",COUNTIF(세트구성!$G$3:$G$302,발주접수!$D90&amp;"|"&amp;7)&gt;0,6=0))</f>
        <v>0</v>
      </c>
      <c r="K882" s="34" t="str">
        <f>IF($J882=FALSE(),"",COUNTIF($J$6:$J882,TRUE()))</f>
        <v/>
      </c>
      <c r="L882" s="34" t="str">
        <f>IF($K882="","","R"&amp;$K882)</f>
        <v/>
      </c>
      <c r="M882" s="34" t="str">
        <f>IF($J882=FALSE(),"",IF(발주접수!$F90="세트",IFERROR(INDEX(세트구성!$C$3:$C$302,MATCH(발주접수!$D90&amp;"|"&amp;7,세트구성!$G$3:$G$302,0)),""),발주접수!$D90))</f>
        <v/>
      </c>
      <c r="N882" s="34" t="str">
        <f>IF($J882=FALSE(),"",IF(발주접수!$F90="세트",발주접수!$G90*IFERROR(INDEX(세트구성!$E$3:$E$302,MATCH(발주접수!$D90&amp;"|"&amp;7,세트구성!$G$3:$G$302,0)),0),발주접수!$G90))</f>
        <v/>
      </c>
      <c r="O882" s="34" t="str">
        <f>IF($J882=FALSE(),"",발주접수!$B90)</f>
        <v/>
      </c>
      <c r="P882" s="34" t="str">
        <f>IF($J882=FALSE(),"",발주접수!$C90)</f>
        <v/>
      </c>
      <c r="Q882" s="34" t="str">
        <f>IF($J882=FALSE(),"",IF(발주접수!$F90="세트",발주접수!$E90&amp;" 전개","직접 발주"))</f>
        <v/>
      </c>
    </row>
    <row r="883" ht="15" customHeight="1" s="30">
      <c r="J883" s="50" t="b">
        <f>IF(발주접수!$D90="",FALSE(),IF(발주접수!$F90="세트",COUNTIF(세트구성!$G$3:$G$302,발주접수!$D90&amp;"|"&amp;8)&gt;0,7=0))</f>
        <v>0</v>
      </c>
      <c r="K883" s="34" t="str">
        <f>IF($J883=FALSE(),"",COUNTIF($J$6:$J883,TRUE()))</f>
        <v/>
      </c>
      <c r="L883" s="34" t="str">
        <f>IF($K883="","","R"&amp;$K883)</f>
        <v/>
      </c>
      <c r="M883" s="34" t="str">
        <f>IF($J883=FALSE(),"",IF(발주접수!$F90="세트",IFERROR(INDEX(세트구성!$C$3:$C$302,MATCH(발주접수!$D90&amp;"|"&amp;8,세트구성!$G$3:$G$302,0)),""),발주접수!$D90))</f>
        <v/>
      </c>
      <c r="N883" s="34" t="str">
        <f>IF($J883=FALSE(),"",IF(발주접수!$F90="세트",발주접수!$G90*IFERROR(INDEX(세트구성!$E$3:$E$302,MATCH(발주접수!$D90&amp;"|"&amp;8,세트구성!$G$3:$G$302,0)),0),발주접수!$G90))</f>
        <v/>
      </c>
      <c r="O883" s="34" t="str">
        <f>IF($J883=FALSE(),"",발주접수!$B90)</f>
        <v/>
      </c>
      <c r="P883" s="34" t="str">
        <f>IF($J883=FALSE(),"",발주접수!$C90)</f>
        <v/>
      </c>
      <c r="Q883" s="34" t="str">
        <f>IF($J883=FALSE(),"",IF(발주접수!$F90="세트",발주접수!$E90&amp;" 전개","직접 발주"))</f>
        <v/>
      </c>
    </row>
    <row r="884" ht="15" customHeight="1" s="30">
      <c r="J884" s="50" t="b">
        <f>IF(발주접수!$D90="",FALSE(),IF(발주접수!$F90="세트",COUNTIF(세트구성!$G$3:$G$302,발주접수!$D90&amp;"|"&amp;9)&gt;0,8=0))</f>
        <v>0</v>
      </c>
      <c r="K884" s="34" t="str">
        <f>IF($J884=FALSE(),"",COUNTIF($J$6:$J884,TRUE()))</f>
        <v/>
      </c>
      <c r="L884" s="34" t="str">
        <f>IF($K884="","","R"&amp;$K884)</f>
        <v/>
      </c>
      <c r="M884" s="34" t="str">
        <f>IF($J884=FALSE(),"",IF(발주접수!$F90="세트",IFERROR(INDEX(세트구성!$C$3:$C$302,MATCH(발주접수!$D90&amp;"|"&amp;9,세트구성!$G$3:$G$302,0)),""),발주접수!$D90))</f>
        <v/>
      </c>
      <c r="N884" s="34" t="str">
        <f>IF($J884=FALSE(),"",IF(발주접수!$F90="세트",발주접수!$G90*IFERROR(INDEX(세트구성!$E$3:$E$302,MATCH(발주접수!$D90&amp;"|"&amp;9,세트구성!$G$3:$G$302,0)),0),발주접수!$G90))</f>
        <v/>
      </c>
      <c r="O884" s="34" t="str">
        <f>IF($J884=FALSE(),"",발주접수!$B90)</f>
        <v/>
      </c>
      <c r="P884" s="34" t="str">
        <f>IF($J884=FALSE(),"",발주접수!$C90)</f>
        <v/>
      </c>
      <c r="Q884" s="34" t="str">
        <f>IF($J884=FALSE(),"",IF(발주접수!$F90="세트",발주접수!$E90&amp;" 전개","직접 발주"))</f>
        <v/>
      </c>
    </row>
    <row r="885" ht="15" customHeight="1" s="30">
      <c r="J885" s="50" t="b">
        <f>IF(발주접수!$D90="",FALSE(),IF(발주접수!$F90="세트",COUNTIF(세트구성!$G$3:$G$302,발주접수!$D90&amp;"|"&amp;10)&gt;0,9=0))</f>
        <v>0</v>
      </c>
      <c r="K885" s="34" t="str">
        <f>IF($J885=FALSE(),"",COUNTIF($J$6:$J885,TRUE()))</f>
        <v/>
      </c>
      <c r="L885" s="34" t="str">
        <f>IF($K885="","","R"&amp;$K885)</f>
        <v/>
      </c>
      <c r="M885" s="34" t="str">
        <f>IF($J885=FALSE(),"",IF(발주접수!$F90="세트",IFERROR(INDEX(세트구성!$C$3:$C$302,MATCH(발주접수!$D90&amp;"|"&amp;10,세트구성!$G$3:$G$302,0)),""),발주접수!$D90))</f>
        <v/>
      </c>
      <c r="N885" s="34" t="str">
        <f>IF($J885=FALSE(),"",IF(발주접수!$F90="세트",발주접수!$G90*IFERROR(INDEX(세트구성!$E$3:$E$302,MATCH(발주접수!$D90&amp;"|"&amp;10,세트구성!$G$3:$G$302,0)),0),발주접수!$G90))</f>
        <v/>
      </c>
      <c r="O885" s="34" t="str">
        <f>IF($J885=FALSE(),"",발주접수!$B90)</f>
        <v/>
      </c>
      <c r="P885" s="34" t="str">
        <f>IF($J885=FALSE(),"",발주접수!$C90)</f>
        <v/>
      </c>
      <c r="Q885" s="34" t="str">
        <f>IF($J885=FALSE(),"",IF(발주접수!$F90="세트",발주접수!$E90&amp;" 전개","직접 발주"))</f>
        <v/>
      </c>
    </row>
    <row r="886" ht="15" customHeight="1" s="30">
      <c r="J886" s="50" t="b">
        <f>IF(발주접수!$D91="",FALSE(),IF(발주접수!$F91="세트",COUNTIF(세트구성!$G$3:$G$302,발주접수!$D91&amp;"|"&amp;1)&gt;0,0=0))</f>
        <v>0</v>
      </c>
      <c r="K886" s="34" t="str">
        <f>IF($J886=FALSE(),"",COUNTIF($J$6:$J886,TRUE()))</f>
        <v/>
      </c>
      <c r="L886" s="34" t="str">
        <f>IF($K886="","","R"&amp;$K886)</f>
        <v/>
      </c>
      <c r="M886" s="34" t="str">
        <f>IF($J886=FALSE(),"",IF(발주접수!$F91="세트",IFERROR(INDEX(세트구성!$C$3:$C$302,MATCH(발주접수!$D91&amp;"|"&amp;1,세트구성!$G$3:$G$302,0)),""),발주접수!$D91))</f>
        <v/>
      </c>
      <c r="N886" s="34" t="str">
        <f>IF($J886=FALSE(),"",IF(발주접수!$F91="세트",발주접수!$G91*IFERROR(INDEX(세트구성!$E$3:$E$302,MATCH(발주접수!$D91&amp;"|"&amp;1,세트구성!$G$3:$G$302,0)),0),발주접수!$G91))</f>
        <v/>
      </c>
      <c r="O886" s="34" t="str">
        <f>IF($J886=FALSE(),"",발주접수!$B91)</f>
        <v/>
      </c>
      <c r="P886" s="34" t="str">
        <f>IF($J886=FALSE(),"",발주접수!$C91)</f>
        <v/>
      </c>
      <c r="Q886" s="34" t="str">
        <f>IF($J886=FALSE(),"",IF(발주접수!$F91="세트",발주접수!$E91&amp;" 전개","직접 발주"))</f>
        <v/>
      </c>
    </row>
    <row r="887" ht="15" customHeight="1" s="30">
      <c r="J887" s="50" t="b">
        <f>IF(발주접수!$D91="",FALSE(),IF(발주접수!$F91="세트",COUNTIF(세트구성!$G$3:$G$302,발주접수!$D91&amp;"|"&amp;2)&gt;0,1=0))</f>
        <v>0</v>
      </c>
      <c r="K887" s="34" t="str">
        <f>IF($J887=FALSE(),"",COUNTIF($J$6:$J887,TRUE()))</f>
        <v/>
      </c>
      <c r="L887" s="34" t="str">
        <f>IF($K887="","","R"&amp;$K887)</f>
        <v/>
      </c>
      <c r="M887" s="34" t="str">
        <f>IF($J887=FALSE(),"",IF(발주접수!$F91="세트",IFERROR(INDEX(세트구성!$C$3:$C$302,MATCH(발주접수!$D91&amp;"|"&amp;2,세트구성!$G$3:$G$302,0)),""),발주접수!$D91))</f>
        <v/>
      </c>
      <c r="N887" s="34" t="str">
        <f>IF($J887=FALSE(),"",IF(발주접수!$F91="세트",발주접수!$G91*IFERROR(INDEX(세트구성!$E$3:$E$302,MATCH(발주접수!$D91&amp;"|"&amp;2,세트구성!$G$3:$G$302,0)),0),발주접수!$G91))</f>
        <v/>
      </c>
      <c r="O887" s="34" t="str">
        <f>IF($J887=FALSE(),"",발주접수!$B91)</f>
        <v/>
      </c>
      <c r="P887" s="34" t="str">
        <f>IF($J887=FALSE(),"",발주접수!$C91)</f>
        <v/>
      </c>
      <c r="Q887" s="34" t="str">
        <f>IF($J887=FALSE(),"",IF(발주접수!$F91="세트",발주접수!$E91&amp;" 전개","직접 발주"))</f>
        <v/>
      </c>
    </row>
    <row r="888" ht="15" customHeight="1" s="30">
      <c r="J888" s="50" t="b">
        <f>IF(발주접수!$D91="",FALSE(),IF(발주접수!$F91="세트",COUNTIF(세트구성!$G$3:$G$302,발주접수!$D91&amp;"|"&amp;3)&gt;0,2=0))</f>
        <v>0</v>
      </c>
      <c r="K888" s="34" t="str">
        <f>IF($J888=FALSE(),"",COUNTIF($J$6:$J888,TRUE()))</f>
        <v/>
      </c>
      <c r="L888" s="34" t="str">
        <f>IF($K888="","","R"&amp;$K888)</f>
        <v/>
      </c>
      <c r="M888" s="34" t="str">
        <f>IF($J888=FALSE(),"",IF(발주접수!$F91="세트",IFERROR(INDEX(세트구성!$C$3:$C$302,MATCH(발주접수!$D91&amp;"|"&amp;3,세트구성!$G$3:$G$302,0)),""),발주접수!$D91))</f>
        <v/>
      </c>
      <c r="N888" s="34" t="str">
        <f>IF($J888=FALSE(),"",IF(발주접수!$F91="세트",발주접수!$G91*IFERROR(INDEX(세트구성!$E$3:$E$302,MATCH(발주접수!$D91&amp;"|"&amp;3,세트구성!$G$3:$G$302,0)),0),발주접수!$G91))</f>
        <v/>
      </c>
      <c r="O888" s="34" t="str">
        <f>IF($J888=FALSE(),"",발주접수!$B91)</f>
        <v/>
      </c>
      <c r="P888" s="34" t="str">
        <f>IF($J888=FALSE(),"",발주접수!$C91)</f>
        <v/>
      </c>
      <c r="Q888" s="34" t="str">
        <f>IF($J888=FALSE(),"",IF(발주접수!$F91="세트",발주접수!$E91&amp;" 전개","직접 발주"))</f>
        <v/>
      </c>
    </row>
    <row r="889" ht="15" customHeight="1" s="30">
      <c r="J889" s="50" t="b">
        <f>IF(발주접수!$D91="",FALSE(),IF(발주접수!$F91="세트",COUNTIF(세트구성!$G$3:$G$302,발주접수!$D91&amp;"|"&amp;4)&gt;0,3=0))</f>
        <v>0</v>
      </c>
      <c r="K889" s="34" t="str">
        <f>IF($J889=FALSE(),"",COUNTIF($J$6:$J889,TRUE()))</f>
        <v/>
      </c>
      <c r="L889" s="34" t="str">
        <f>IF($K889="","","R"&amp;$K889)</f>
        <v/>
      </c>
      <c r="M889" s="34" t="str">
        <f>IF($J889=FALSE(),"",IF(발주접수!$F91="세트",IFERROR(INDEX(세트구성!$C$3:$C$302,MATCH(발주접수!$D91&amp;"|"&amp;4,세트구성!$G$3:$G$302,0)),""),발주접수!$D91))</f>
        <v/>
      </c>
      <c r="N889" s="34" t="str">
        <f>IF($J889=FALSE(),"",IF(발주접수!$F91="세트",발주접수!$G91*IFERROR(INDEX(세트구성!$E$3:$E$302,MATCH(발주접수!$D91&amp;"|"&amp;4,세트구성!$G$3:$G$302,0)),0),발주접수!$G91))</f>
        <v/>
      </c>
      <c r="O889" s="34" t="str">
        <f>IF($J889=FALSE(),"",발주접수!$B91)</f>
        <v/>
      </c>
      <c r="P889" s="34" t="str">
        <f>IF($J889=FALSE(),"",발주접수!$C91)</f>
        <v/>
      </c>
      <c r="Q889" s="34" t="str">
        <f>IF($J889=FALSE(),"",IF(발주접수!$F91="세트",발주접수!$E91&amp;" 전개","직접 발주"))</f>
        <v/>
      </c>
    </row>
    <row r="890" ht="15" customHeight="1" s="30">
      <c r="J890" s="50" t="b">
        <f>IF(발주접수!$D91="",FALSE(),IF(발주접수!$F91="세트",COUNTIF(세트구성!$G$3:$G$302,발주접수!$D91&amp;"|"&amp;5)&gt;0,4=0))</f>
        <v>0</v>
      </c>
      <c r="K890" s="34" t="str">
        <f>IF($J890=FALSE(),"",COUNTIF($J$6:$J890,TRUE()))</f>
        <v/>
      </c>
      <c r="L890" s="34" t="str">
        <f>IF($K890="","","R"&amp;$K890)</f>
        <v/>
      </c>
      <c r="M890" s="34" t="str">
        <f>IF($J890=FALSE(),"",IF(발주접수!$F91="세트",IFERROR(INDEX(세트구성!$C$3:$C$302,MATCH(발주접수!$D91&amp;"|"&amp;5,세트구성!$G$3:$G$302,0)),""),발주접수!$D91))</f>
        <v/>
      </c>
      <c r="N890" s="34" t="str">
        <f>IF($J890=FALSE(),"",IF(발주접수!$F91="세트",발주접수!$G91*IFERROR(INDEX(세트구성!$E$3:$E$302,MATCH(발주접수!$D91&amp;"|"&amp;5,세트구성!$G$3:$G$302,0)),0),발주접수!$G91))</f>
        <v/>
      </c>
      <c r="O890" s="34" t="str">
        <f>IF($J890=FALSE(),"",발주접수!$B91)</f>
        <v/>
      </c>
      <c r="P890" s="34" t="str">
        <f>IF($J890=FALSE(),"",발주접수!$C91)</f>
        <v/>
      </c>
      <c r="Q890" s="34" t="str">
        <f>IF($J890=FALSE(),"",IF(발주접수!$F91="세트",발주접수!$E91&amp;" 전개","직접 발주"))</f>
        <v/>
      </c>
    </row>
    <row r="891" ht="15" customHeight="1" s="30">
      <c r="J891" s="50" t="b">
        <f>IF(발주접수!$D91="",FALSE(),IF(발주접수!$F91="세트",COUNTIF(세트구성!$G$3:$G$302,발주접수!$D91&amp;"|"&amp;6)&gt;0,5=0))</f>
        <v>0</v>
      </c>
      <c r="K891" s="34" t="str">
        <f>IF($J891=FALSE(),"",COUNTIF($J$6:$J891,TRUE()))</f>
        <v/>
      </c>
      <c r="L891" s="34" t="str">
        <f>IF($K891="","","R"&amp;$K891)</f>
        <v/>
      </c>
      <c r="M891" s="34" t="str">
        <f>IF($J891=FALSE(),"",IF(발주접수!$F91="세트",IFERROR(INDEX(세트구성!$C$3:$C$302,MATCH(발주접수!$D91&amp;"|"&amp;6,세트구성!$G$3:$G$302,0)),""),발주접수!$D91))</f>
        <v/>
      </c>
      <c r="N891" s="34" t="str">
        <f>IF($J891=FALSE(),"",IF(발주접수!$F91="세트",발주접수!$G91*IFERROR(INDEX(세트구성!$E$3:$E$302,MATCH(발주접수!$D91&amp;"|"&amp;6,세트구성!$G$3:$G$302,0)),0),발주접수!$G91))</f>
        <v/>
      </c>
      <c r="O891" s="34" t="str">
        <f>IF($J891=FALSE(),"",발주접수!$B91)</f>
        <v/>
      </c>
      <c r="P891" s="34" t="str">
        <f>IF($J891=FALSE(),"",발주접수!$C91)</f>
        <v/>
      </c>
      <c r="Q891" s="34" t="str">
        <f>IF($J891=FALSE(),"",IF(발주접수!$F91="세트",발주접수!$E91&amp;" 전개","직접 발주"))</f>
        <v/>
      </c>
    </row>
    <row r="892" ht="15" customHeight="1" s="30">
      <c r="J892" s="50" t="b">
        <f>IF(발주접수!$D91="",FALSE(),IF(발주접수!$F91="세트",COUNTIF(세트구성!$G$3:$G$302,발주접수!$D91&amp;"|"&amp;7)&gt;0,6=0))</f>
        <v>0</v>
      </c>
      <c r="K892" s="34" t="str">
        <f>IF($J892=FALSE(),"",COUNTIF($J$6:$J892,TRUE()))</f>
        <v/>
      </c>
      <c r="L892" s="34" t="str">
        <f>IF($K892="","","R"&amp;$K892)</f>
        <v/>
      </c>
      <c r="M892" s="34" t="str">
        <f>IF($J892=FALSE(),"",IF(발주접수!$F91="세트",IFERROR(INDEX(세트구성!$C$3:$C$302,MATCH(발주접수!$D91&amp;"|"&amp;7,세트구성!$G$3:$G$302,0)),""),발주접수!$D91))</f>
        <v/>
      </c>
      <c r="N892" s="34" t="str">
        <f>IF($J892=FALSE(),"",IF(발주접수!$F91="세트",발주접수!$G91*IFERROR(INDEX(세트구성!$E$3:$E$302,MATCH(발주접수!$D91&amp;"|"&amp;7,세트구성!$G$3:$G$302,0)),0),발주접수!$G91))</f>
        <v/>
      </c>
      <c r="O892" s="34" t="str">
        <f>IF($J892=FALSE(),"",발주접수!$B91)</f>
        <v/>
      </c>
      <c r="P892" s="34" t="str">
        <f>IF($J892=FALSE(),"",발주접수!$C91)</f>
        <v/>
      </c>
      <c r="Q892" s="34" t="str">
        <f>IF($J892=FALSE(),"",IF(발주접수!$F91="세트",발주접수!$E91&amp;" 전개","직접 발주"))</f>
        <v/>
      </c>
    </row>
    <row r="893" ht="15" customHeight="1" s="30">
      <c r="J893" s="50" t="b">
        <f>IF(발주접수!$D91="",FALSE(),IF(발주접수!$F91="세트",COUNTIF(세트구성!$G$3:$G$302,발주접수!$D91&amp;"|"&amp;8)&gt;0,7=0))</f>
        <v>0</v>
      </c>
      <c r="K893" s="34" t="str">
        <f>IF($J893=FALSE(),"",COUNTIF($J$6:$J893,TRUE()))</f>
        <v/>
      </c>
      <c r="L893" s="34" t="str">
        <f>IF($K893="","","R"&amp;$K893)</f>
        <v/>
      </c>
      <c r="M893" s="34" t="str">
        <f>IF($J893=FALSE(),"",IF(발주접수!$F91="세트",IFERROR(INDEX(세트구성!$C$3:$C$302,MATCH(발주접수!$D91&amp;"|"&amp;8,세트구성!$G$3:$G$302,0)),""),발주접수!$D91))</f>
        <v/>
      </c>
      <c r="N893" s="34" t="str">
        <f>IF($J893=FALSE(),"",IF(발주접수!$F91="세트",발주접수!$G91*IFERROR(INDEX(세트구성!$E$3:$E$302,MATCH(발주접수!$D91&amp;"|"&amp;8,세트구성!$G$3:$G$302,0)),0),발주접수!$G91))</f>
        <v/>
      </c>
      <c r="O893" s="34" t="str">
        <f>IF($J893=FALSE(),"",발주접수!$B91)</f>
        <v/>
      </c>
      <c r="P893" s="34" t="str">
        <f>IF($J893=FALSE(),"",발주접수!$C91)</f>
        <v/>
      </c>
      <c r="Q893" s="34" t="str">
        <f>IF($J893=FALSE(),"",IF(발주접수!$F91="세트",발주접수!$E91&amp;" 전개","직접 발주"))</f>
        <v/>
      </c>
    </row>
    <row r="894" ht="15" customHeight="1" s="30">
      <c r="J894" s="50" t="b">
        <f>IF(발주접수!$D91="",FALSE(),IF(발주접수!$F91="세트",COUNTIF(세트구성!$G$3:$G$302,발주접수!$D91&amp;"|"&amp;9)&gt;0,8=0))</f>
        <v>0</v>
      </c>
      <c r="K894" s="34" t="str">
        <f>IF($J894=FALSE(),"",COUNTIF($J$6:$J894,TRUE()))</f>
        <v/>
      </c>
      <c r="L894" s="34" t="str">
        <f>IF($K894="","","R"&amp;$K894)</f>
        <v/>
      </c>
      <c r="M894" s="34" t="str">
        <f>IF($J894=FALSE(),"",IF(발주접수!$F91="세트",IFERROR(INDEX(세트구성!$C$3:$C$302,MATCH(발주접수!$D91&amp;"|"&amp;9,세트구성!$G$3:$G$302,0)),""),발주접수!$D91))</f>
        <v/>
      </c>
      <c r="N894" s="34" t="str">
        <f>IF($J894=FALSE(),"",IF(발주접수!$F91="세트",발주접수!$G91*IFERROR(INDEX(세트구성!$E$3:$E$302,MATCH(발주접수!$D91&amp;"|"&amp;9,세트구성!$G$3:$G$302,0)),0),발주접수!$G91))</f>
        <v/>
      </c>
      <c r="O894" s="34" t="str">
        <f>IF($J894=FALSE(),"",발주접수!$B91)</f>
        <v/>
      </c>
      <c r="P894" s="34" t="str">
        <f>IF($J894=FALSE(),"",발주접수!$C91)</f>
        <v/>
      </c>
      <c r="Q894" s="34" t="str">
        <f>IF($J894=FALSE(),"",IF(발주접수!$F91="세트",발주접수!$E91&amp;" 전개","직접 발주"))</f>
        <v/>
      </c>
    </row>
    <row r="895" ht="15" customHeight="1" s="30">
      <c r="J895" s="50" t="b">
        <f>IF(발주접수!$D91="",FALSE(),IF(발주접수!$F91="세트",COUNTIF(세트구성!$G$3:$G$302,발주접수!$D91&amp;"|"&amp;10)&gt;0,9=0))</f>
        <v>0</v>
      </c>
      <c r="K895" s="34" t="str">
        <f>IF($J895=FALSE(),"",COUNTIF($J$6:$J895,TRUE()))</f>
        <v/>
      </c>
      <c r="L895" s="34" t="str">
        <f>IF($K895="","","R"&amp;$K895)</f>
        <v/>
      </c>
      <c r="M895" s="34" t="str">
        <f>IF($J895=FALSE(),"",IF(발주접수!$F91="세트",IFERROR(INDEX(세트구성!$C$3:$C$302,MATCH(발주접수!$D91&amp;"|"&amp;10,세트구성!$G$3:$G$302,0)),""),발주접수!$D91))</f>
        <v/>
      </c>
      <c r="N895" s="34" t="str">
        <f>IF($J895=FALSE(),"",IF(발주접수!$F91="세트",발주접수!$G91*IFERROR(INDEX(세트구성!$E$3:$E$302,MATCH(발주접수!$D91&amp;"|"&amp;10,세트구성!$G$3:$G$302,0)),0),발주접수!$G91))</f>
        <v/>
      </c>
      <c r="O895" s="34" t="str">
        <f>IF($J895=FALSE(),"",발주접수!$B91)</f>
        <v/>
      </c>
      <c r="P895" s="34" t="str">
        <f>IF($J895=FALSE(),"",발주접수!$C91)</f>
        <v/>
      </c>
      <c r="Q895" s="34" t="str">
        <f>IF($J895=FALSE(),"",IF(발주접수!$F91="세트",발주접수!$E91&amp;" 전개","직접 발주"))</f>
        <v/>
      </c>
    </row>
    <row r="896" ht="15" customHeight="1" s="30">
      <c r="J896" s="50" t="b">
        <f>IF(발주접수!$D92="",FALSE(),IF(발주접수!$F92="세트",COUNTIF(세트구성!$G$3:$G$302,발주접수!$D92&amp;"|"&amp;1)&gt;0,0=0))</f>
        <v>0</v>
      </c>
      <c r="K896" s="34" t="str">
        <f>IF($J896=FALSE(),"",COUNTIF($J$6:$J896,TRUE()))</f>
        <v/>
      </c>
      <c r="L896" s="34" t="str">
        <f>IF($K896="","","R"&amp;$K896)</f>
        <v/>
      </c>
      <c r="M896" s="34" t="str">
        <f>IF($J896=FALSE(),"",IF(발주접수!$F92="세트",IFERROR(INDEX(세트구성!$C$3:$C$302,MATCH(발주접수!$D92&amp;"|"&amp;1,세트구성!$G$3:$G$302,0)),""),발주접수!$D92))</f>
        <v/>
      </c>
      <c r="N896" s="34" t="str">
        <f>IF($J896=FALSE(),"",IF(발주접수!$F92="세트",발주접수!$G92*IFERROR(INDEX(세트구성!$E$3:$E$302,MATCH(발주접수!$D92&amp;"|"&amp;1,세트구성!$G$3:$G$302,0)),0),발주접수!$G92))</f>
        <v/>
      </c>
      <c r="O896" s="34" t="str">
        <f>IF($J896=FALSE(),"",발주접수!$B92)</f>
        <v/>
      </c>
      <c r="P896" s="34" t="str">
        <f>IF($J896=FALSE(),"",발주접수!$C92)</f>
        <v/>
      </c>
      <c r="Q896" s="34" t="str">
        <f>IF($J896=FALSE(),"",IF(발주접수!$F92="세트",발주접수!$E92&amp;" 전개","직접 발주"))</f>
        <v/>
      </c>
    </row>
    <row r="897" ht="15" customHeight="1" s="30">
      <c r="J897" s="50" t="b">
        <f>IF(발주접수!$D92="",FALSE(),IF(발주접수!$F92="세트",COUNTIF(세트구성!$G$3:$G$302,발주접수!$D92&amp;"|"&amp;2)&gt;0,1=0))</f>
        <v>0</v>
      </c>
      <c r="K897" s="34" t="str">
        <f>IF($J897=FALSE(),"",COUNTIF($J$6:$J897,TRUE()))</f>
        <v/>
      </c>
      <c r="L897" s="34" t="str">
        <f>IF($K897="","","R"&amp;$K897)</f>
        <v/>
      </c>
      <c r="M897" s="34" t="str">
        <f>IF($J897=FALSE(),"",IF(발주접수!$F92="세트",IFERROR(INDEX(세트구성!$C$3:$C$302,MATCH(발주접수!$D92&amp;"|"&amp;2,세트구성!$G$3:$G$302,0)),""),발주접수!$D92))</f>
        <v/>
      </c>
      <c r="N897" s="34" t="str">
        <f>IF($J897=FALSE(),"",IF(발주접수!$F92="세트",발주접수!$G92*IFERROR(INDEX(세트구성!$E$3:$E$302,MATCH(발주접수!$D92&amp;"|"&amp;2,세트구성!$G$3:$G$302,0)),0),발주접수!$G92))</f>
        <v/>
      </c>
      <c r="O897" s="34" t="str">
        <f>IF($J897=FALSE(),"",발주접수!$B92)</f>
        <v/>
      </c>
      <c r="P897" s="34" t="str">
        <f>IF($J897=FALSE(),"",발주접수!$C92)</f>
        <v/>
      </c>
      <c r="Q897" s="34" t="str">
        <f>IF($J897=FALSE(),"",IF(발주접수!$F92="세트",발주접수!$E92&amp;" 전개","직접 발주"))</f>
        <v/>
      </c>
    </row>
    <row r="898" ht="15" customHeight="1" s="30">
      <c r="J898" s="50" t="b">
        <f>IF(발주접수!$D92="",FALSE(),IF(발주접수!$F92="세트",COUNTIF(세트구성!$G$3:$G$302,발주접수!$D92&amp;"|"&amp;3)&gt;0,2=0))</f>
        <v>0</v>
      </c>
      <c r="K898" s="34" t="str">
        <f>IF($J898=FALSE(),"",COUNTIF($J$6:$J898,TRUE()))</f>
        <v/>
      </c>
      <c r="L898" s="34" t="str">
        <f>IF($K898="","","R"&amp;$K898)</f>
        <v/>
      </c>
      <c r="M898" s="34" t="str">
        <f>IF($J898=FALSE(),"",IF(발주접수!$F92="세트",IFERROR(INDEX(세트구성!$C$3:$C$302,MATCH(발주접수!$D92&amp;"|"&amp;3,세트구성!$G$3:$G$302,0)),""),발주접수!$D92))</f>
        <v/>
      </c>
      <c r="N898" s="34" t="str">
        <f>IF($J898=FALSE(),"",IF(발주접수!$F92="세트",발주접수!$G92*IFERROR(INDEX(세트구성!$E$3:$E$302,MATCH(발주접수!$D92&amp;"|"&amp;3,세트구성!$G$3:$G$302,0)),0),발주접수!$G92))</f>
        <v/>
      </c>
      <c r="O898" s="34" t="str">
        <f>IF($J898=FALSE(),"",발주접수!$B92)</f>
        <v/>
      </c>
      <c r="P898" s="34" t="str">
        <f>IF($J898=FALSE(),"",발주접수!$C92)</f>
        <v/>
      </c>
      <c r="Q898" s="34" t="str">
        <f>IF($J898=FALSE(),"",IF(발주접수!$F92="세트",발주접수!$E92&amp;" 전개","직접 발주"))</f>
        <v/>
      </c>
    </row>
    <row r="899" ht="15" customHeight="1" s="30">
      <c r="J899" s="50" t="b">
        <f>IF(발주접수!$D92="",FALSE(),IF(발주접수!$F92="세트",COUNTIF(세트구성!$G$3:$G$302,발주접수!$D92&amp;"|"&amp;4)&gt;0,3=0))</f>
        <v>0</v>
      </c>
      <c r="K899" s="34" t="str">
        <f>IF($J899=FALSE(),"",COUNTIF($J$6:$J899,TRUE()))</f>
        <v/>
      </c>
      <c r="L899" s="34" t="str">
        <f>IF($K899="","","R"&amp;$K899)</f>
        <v/>
      </c>
      <c r="M899" s="34" t="str">
        <f>IF($J899=FALSE(),"",IF(발주접수!$F92="세트",IFERROR(INDEX(세트구성!$C$3:$C$302,MATCH(발주접수!$D92&amp;"|"&amp;4,세트구성!$G$3:$G$302,0)),""),발주접수!$D92))</f>
        <v/>
      </c>
      <c r="N899" s="34" t="str">
        <f>IF($J899=FALSE(),"",IF(발주접수!$F92="세트",발주접수!$G92*IFERROR(INDEX(세트구성!$E$3:$E$302,MATCH(발주접수!$D92&amp;"|"&amp;4,세트구성!$G$3:$G$302,0)),0),발주접수!$G92))</f>
        <v/>
      </c>
      <c r="O899" s="34" t="str">
        <f>IF($J899=FALSE(),"",발주접수!$B92)</f>
        <v/>
      </c>
      <c r="P899" s="34" t="str">
        <f>IF($J899=FALSE(),"",발주접수!$C92)</f>
        <v/>
      </c>
      <c r="Q899" s="34" t="str">
        <f>IF($J899=FALSE(),"",IF(발주접수!$F92="세트",발주접수!$E92&amp;" 전개","직접 발주"))</f>
        <v/>
      </c>
    </row>
    <row r="900" ht="15" customHeight="1" s="30">
      <c r="J900" s="50" t="b">
        <f>IF(발주접수!$D92="",FALSE(),IF(발주접수!$F92="세트",COUNTIF(세트구성!$G$3:$G$302,발주접수!$D92&amp;"|"&amp;5)&gt;0,4=0))</f>
        <v>0</v>
      </c>
      <c r="K900" s="34" t="str">
        <f>IF($J900=FALSE(),"",COUNTIF($J$6:$J900,TRUE()))</f>
        <v/>
      </c>
      <c r="L900" s="34" t="str">
        <f>IF($K900="","","R"&amp;$K900)</f>
        <v/>
      </c>
      <c r="M900" s="34" t="str">
        <f>IF($J900=FALSE(),"",IF(발주접수!$F92="세트",IFERROR(INDEX(세트구성!$C$3:$C$302,MATCH(발주접수!$D92&amp;"|"&amp;5,세트구성!$G$3:$G$302,0)),""),발주접수!$D92))</f>
        <v/>
      </c>
      <c r="N900" s="34" t="str">
        <f>IF($J900=FALSE(),"",IF(발주접수!$F92="세트",발주접수!$G92*IFERROR(INDEX(세트구성!$E$3:$E$302,MATCH(발주접수!$D92&amp;"|"&amp;5,세트구성!$G$3:$G$302,0)),0),발주접수!$G92))</f>
        <v/>
      </c>
      <c r="O900" s="34" t="str">
        <f>IF($J900=FALSE(),"",발주접수!$B92)</f>
        <v/>
      </c>
      <c r="P900" s="34" t="str">
        <f>IF($J900=FALSE(),"",발주접수!$C92)</f>
        <v/>
      </c>
      <c r="Q900" s="34" t="str">
        <f>IF($J900=FALSE(),"",IF(발주접수!$F92="세트",발주접수!$E92&amp;" 전개","직접 발주"))</f>
        <v/>
      </c>
    </row>
    <row r="901" ht="15" customHeight="1" s="30">
      <c r="J901" s="50" t="b">
        <f>IF(발주접수!$D92="",FALSE(),IF(발주접수!$F92="세트",COUNTIF(세트구성!$G$3:$G$302,발주접수!$D92&amp;"|"&amp;6)&gt;0,5=0))</f>
        <v>0</v>
      </c>
      <c r="K901" s="34" t="str">
        <f>IF($J901=FALSE(),"",COUNTIF($J$6:$J901,TRUE()))</f>
        <v/>
      </c>
      <c r="L901" s="34" t="str">
        <f>IF($K901="","","R"&amp;$K901)</f>
        <v/>
      </c>
      <c r="M901" s="34" t="str">
        <f>IF($J901=FALSE(),"",IF(발주접수!$F92="세트",IFERROR(INDEX(세트구성!$C$3:$C$302,MATCH(발주접수!$D92&amp;"|"&amp;6,세트구성!$G$3:$G$302,0)),""),발주접수!$D92))</f>
        <v/>
      </c>
      <c r="N901" s="34" t="str">
        <f>IF($J901=FALSE(),"",IF(발주접수!$F92="세트",발주접수!$G92*IFERROR(INDEX(세트구성!$E$3:$E$302,MATCH(발주접수!$D92&amp;"|"&amp;6,세트구성!$G$3:$G$302,0)),0),발주접수!$G92))</f>
        <v/>
      </c>
      <c r="O901" s="34" t="str">
        <f>IF($J901=FALSE(),"",발주접수!$B92)</f>
        <v/>
      </c>
      <c r="P901" s="34" t="str">
        <f>IF($J901=FALSE(),"",발주접수!$C92)</f>
        <v/>
      </c>
      <c r="Q901" s="34" t="str">
        <f>IF($J901=FALSE(),"",IF(발주접수!$F92="세트",발주접수!$E92&amp;" 전개","직접 발주"))</f>
        <v/>
      </c>
    </row>
    <row r="902" ht="15" customHeight="1" s="30">
      <c r="J902" s="50" t="b">
        <f>IF(발주접수!$D92="",FALSE(),IF(발주접수!$F92="세트",COUNTIF(세트구성!$G$3:$G$302,발주접수!$D92&amp;"|"&amp;7)&gt;0,6=0))</f>
        <v>0</v>
      </c>
      <c r="K902" s="34" t="str">
        <f>IF($J902=FALSE(),"",COUNTIF($J$6:$J902,TRUE()))</f>
        <v/>
      </c>
      <c r="L902" s="34" t="str">
        <f>IF($K902="","","R"&amp;$K902)</f>
        <v/>
      </c>
      <c r="M902" s="34" t="str">
        <f>IF($J902=FALSE(),"",IF(발주접수!$F92="세트",IFERROR(INDEX(세트구성!$C$3:$C$302,MATCH(발주접수!$D92&amp;"|"&amp;7,세트구성!$G$3:$G$302,0)),""),발주접수!$D92))</f>
        <v/>
      </c>
      <c r="N902" s="34" t="str">
        <f>IF($J902=FALSE(),"",IF(발주접수!$F92="세트",발주접수!$G92*IFERROR(INDEX(세트구성!$E$3:$E$302,MATCH(발주접수!$D92&amp;"|"&amp;7,세트구성!$G$3:$G$302,0)),0),발주접수!$G92))</f>
        <v/>
      </c>
      <c r="O902" s="34" t="str">
        <f>IF($J902=FALSE(),"",발주접수!$B92)</f>
        <v/>
      </c>
      <c r="P902" s="34" t="str">
        <f>IF($J902=FALSE(),"",발주접수!$C92)</f>
        <v/>
      </c>
      <c r="Q902" s="34" t="str">
        <f>IF($J902=FALSE(),"",IF(발주접수!$F92="세트",발주접수!$E92&amp;" 전개","직접 발주"))</f>
        <v/>
      </c>
    </row>
    <row r="903" ht="15" customHeight="1" s="30">
      <c r="J903" s="50" t="b">
        <f>IF(발주접수!$D92="",FALSE(),IF(발주접수!$F92="세트",COUNTIF(세트구성!$G$3:$G$302,발주접수!$D92&amp;"|"&amp;8)&gt;0,7=0))</f>
        <v>0</v>
      </c>
      <c r="K903" s="34" t="str">
        <f>IF($J903=FALSE(),"",COUNTIF($J$6:$J903,TRUE()))</f>
        <v/>
      </c>
      <c r="L903" s="34" t="str">
        <f>IF($K903="","","R"&amp;$K903)</f>
        <v/>
      </c>
      <c r="M903" s="34" t="str">
        <f>IF($J903=FALSE(),"",IF(발주접수!$F92="세트",IFERROR(INDEX(세트구성!$C$3:$C$302,MATCH(발주접수!$D92&amp;"|"&amp;8,세트구성!$G$3:$G$302,0)),""),발주접수!$D92))</f>
        <v/>
      </c>
      <c r="N903" s="34" t="str">
        <f>IF($J903=FALSE(),"",IF(발주접수!$F92="세트",발주접수!$G92*IFERROR(INDEX(세트구성!$E$3:$E$302,MATCH(발주접수!$D92&amp;"|"&amp;8,세트구성!$G$3:$G$302,0)),0),발주접수!$G92))</f>
        <v/>
      </c>
      <c r="O903" s="34" t="str">
        <f>IF($J903=FALSE(),"",발주접수!$B92)</f>
        <v/>
      </c>
      <c r="P903" s="34" t="str">
        <f>IF($J903=FALSE(),"",발주접수!$C92)</f>
        <v/>
      </c>
      <c r="Q903" s="34" t="str">
        <f>IF($J903=FALSE(),"",IF(발주접수!$F92="세트",발주접수!$E92&amp;" 전개","직접 발주"))</f>
        <v/>
      </c>
    </row>
    <row r="904" ht="15" customHeight="1" s="30">
      <c r="J904" s="50" t="b">
        <f>IF(발주접수!$D92="",FALSE(),IF(발주접수!$F92="세트",COUNTIF(세트구성!$G$3:$G$302,발주접수!$D92&amp;"|"&amp;9)&gt;0,8=0))</f>
        <v>0</v>
      </c>
      <c r="K904" s="34" t="str">
        <f>IF($J904=FALSE(),"",COUNTIF($J$6:$J904,TRUE()))</f>
        <v/>
      </c>
      <c r="L904" s="34" t="str">
        <f>IF($K904="","","R"&amp;$K904)</f>
        <v/>
      </c>
      <c r="M904" s="34" t="str">
        <f>IF($J904=FALSE(),"",IF(발주접수!$F92="세트",IFERROR(INDEX(세트구성!$C$3:$C$302,MATCH(발주접수!$D92&amp;"|"&amp;9,세트구성!$G$3:$G$302,0)),""),발주접수!$D92))</f>
        <v/>
      </c>
      <c r="N904" s="34" t="str">
        <f>IF($J904=FALSE(),"",IF(발주접수!$F92="세트",발주접수!$G92*IFERROR(INDEX(세트구성!$E$3:$E$302,MATCH(발주접수!$D92&amp;"|"&amp;9,세트구성!$G$3:$G$302,0)),0),발주접수!$G92))</f>
        <v/>
      </c>
      <c r="O904" s="34" t="str">
        <f>IF($J904=FALSE(),"",발주접수!$B92)</f>
        <v/>
      </c>
      <c r="P904" s="34" t="str">
        <f>IF($J904=FALSE(),"",발주접수!$C92)</f>
        <v/>
      </c>
      <c r="Q904" s="34" t="str">
        <f>IF($J904=FALSE(),"",IF(발주접수!$F92="세트",발주접수!$E92&amp;" 전개","직접 발주"))</f>
        <v/>
      </c>
    </row>
    <row r="905" ht="15" customHeight="1" s="30">
      <c r="J905" s="50" t="b">
        <f>IF(발주접수!$D92="",FALSE(),IF(발주접수!$F92="세트",COUNTIF(세트구성!$G$3:$G$302,발주접수!$D92&amp;"|"&amp;10)&gt;0,9=0))</f>
        <v>0</v>
      </c>
      <c r="K905" s="34" t="str">
        <f>IF($J905=FALSE(),"",COUNTIF($J$6:$J905,TRUE()))</f>
        <v/>
      </c>
      <c r="L905" s="34" t="str">
        <f>IF($K905="","","R"&amp;$K905)</f>
        <v/>
      </c>
      <c r="M905" s="34" t="str">
        <f>IF($J905=FALSE(),"",IF(발주접수!$F92="세트",IFERROR(INDEX(세트구성!$C$3:$C$302,MATCH(발주접수!$D92&amp;"|"&amp;10,세트구성!$G$3:$G$302,0)),""),발주접수!$D92))</f>
        <v/>
      </c>
      <c r="N905" s="34" t="str">
        <f>IF($J905=FALSE(),"",IF(발주접수!$F92="세트",발주접수!$G92*IFERROR(INDEX(세트구성!$E$3:$E$302,MATCH(발주접수!$D92&amp;"|"&amp;10,세트구성!$G$3:$G$302,0)),0),발주접수!$G92))</f>
        <v/>
      </c>
      <c r="O905" s="34" t="str">
        <f>IF($J905=FALSE(),"",발주접수!$B92)</f>
        <v/>
      </c>
      <c r="P905" s="34" t="str">
        <f>IF($J905=FALSE(),"",발주접수!$C92)</f>
        <v/>
      </c>
      <c r="Q905" s="34" t="str">
        <f>IF($J905=FALSE(),"",IF(발주접수!$F92="세트",발주접수!$E92&amp;" 전개","직접 발주"))</f>
        <v/>
      </c>
    </row>
    <row r="906" ht="15" customHeight="1" s="30">
      <c r="J906" s="50" t="b">
        <f>IF(발주접수!$D93="",FALSE(),IF(발주접수!$F93="세트",COUNTIF(세트구성!$G$3:$G$302,발주접수!$D93&amp;"|"&amp;1)&gt;0,0=0))</f>
        <v>0</v>
      </c>
      <c r="K906" s="34" t="str">
        <f>IF($J906=FALSE(),"",COUNTIF($J$6:$J906,TRUE()))</f>
        <v/>
      </c>
      <c r="L906" s="34" t="str">
        <f>IF($K906="","","R"&amp;$K906)</f>
        <v/>
      </c>
      <c r="M906" s="34" t="str">
        <f>IF($J906=FALSE(),"",IF(발주접수!$F93="세트",IFERROR(INDEX(세트구성!$C$3:$C$302,MATCH(발주접수!$D93&amp;"|"&amp;1,세트구성!$G$3:$G$302,0)),""),발주접수!$D93))</f>
        <v/>
      </c>
      <c r="N906" s="34" t="str">
        <f>IF($J906=FALSE(),"",IF(발주접수!$F93="세트",발주접수!$G93*IFERROR(INDEX(세트구성!$E$3:$E$302,MATCH(발주접수!$D93&amp;"|"&amp;1,세트구성!$G$3:$G$302,0)),0),발주접수!$G93))</f>
        <v/>
      </c>
      <c r="O906" s="34" t="str">
        <f>IF($J906=FALSE(),"",발주접수!$B93)</f>
        <v/>
      </c>
      <c r="P906" s="34" t="str">
        <f>IF($J906=FALSE(),"",발주접수!$C93)</f>
        <v/>
      </c>
      <c r="Q906" s="34" t="str">
        <f>IF($J906=FALSE(),"",IF(발주접수!$F93="세트",발주접수!$E93&amp;" 전개","직접 발주"))</f>
        <v/>
      </c>
    </row>
    <row r="907" ht="15" customHeight="1" s="30">
      <c r="J907" s="50" t="b">
        <f>IF(발주접수!$D93="",FALSE(),IF(발주접수!$F93="세트",COUNTIF(세트구성!$G$3:$G$302,발주접수!$D93&amp;"|"&amp;2)&gt;0,1=0))</f>
        <v>0</v>
      </c>
      <c r="K907" s="34" t="str">
        <f>IF($J907=FALSE(),"",COUNTIF($J$6:$J907,TRUE()))</f>
        <v/>
      </c>
      <c r="L907" s="34" t="str">
        <f>IF($K907="","","R"&amp;$K907)</f>
        <v/>
      </c>
      <c r="M907" s="34" t="str">
        <f>IF($J907=FALSE(),"",IF(발주접수!$F93="세트",IFERROR(INDEX(세트구성!$C$3:$C$302,MATCH(발주접수!$D93&amp;"|"&amp;2,세트구성!$G$3:$G$302,0)),""),발주접수!$D93))</f>
        <v/>
      </c>
      <c r="N907" s="34" t="str">
        <f>IF($J907=FALSE(),"",IF(발주접수!$F93="세트",발주접수!$G93*IFERROR(INDEX(세트구성!$E$3:$E$302,MATCH(발주접수!$D93&amp;"|"&amp;2,세트구성!$G$3:$G$302,0)),0),발주접수!$G93))</f>
        <v/>
      </c>
      <c r="O907" s="34" t="str">
        <f>IF($J907=FALSE(),"",발주접수!$B93)</f>
        <v/>
      </c>
      <c r="P907" s="34" t="str">
        <f>IF($J907=FALSE(),"",발주접수!$C93)</f>
        <v/>
      </c>
      <c r="Q907" s="34" t="str">
        <f>IF($J907=FALSE(),"",IF(발주접수!$F93="세트",발주접수!$E93&amp;" 전개","직접 발주"))</f>
        <v/>
      </c>
    </row>
    <row r="908" ht="15" customHeight="1" s="30">
      <c r="J908" s="50" t="b">
        <f>IF(발주접수!$D93="",FALSE(),IF(발주접수!$F93="세트",COUNTIF(세트구성!$G$3:$G$302,발주접수!$D93&amp;"|"&amp;3)&gt;0,2=0))</f>
        <v>0</v>
      </c>
      <c r="K908" s="34" t="str">
        <f>IF($J908=FALSE(),"",COUNTIF($J$6:$J908,TRUE()))</f>
        <v/>
      </c>
      <c r="L908" s="34" t="str">
        <f>IF($K908="","","R"&amp;$K908)</f>
        <v/>
      </c>
      <c r="M908" s="34" t="str">
        <f>IF($J908=FALSE(),"",IF(발주접수!$F93="세트",IFERROR(INDEX(세트구성!$C$3:$C$302,MATCH(발주접수!$D93&amp;"|"&amp;3,세트구성!$G$3:$G$302,0)),""),발주접수!$D93))</f>
        <v/>
      </c>
      <c r="N908" s="34" t="str">
        <f>IF($J908=FALSE(),"",IF(발주접수!$F93="세트",발주접수!$G93*IFERROR(INDEX(세트구성!$E$3:$E$302,MATCH(발주접수!$D93&amp;"|"&amp;3,세트구성!$G$3:$G$302,0)),0),발주접수!$G93))</f>
        <v/>
      </c>
      <c r="O908" s="34" t="str">
        <f>IF($J908=FALSE(),"",발주접수!$B93)</f>
        <v/>
      </c>
      <c r="P908" s="34" t="str">
        <f>IF($J908=FALSE(),"",발주접수!$C93)</f>
        <v/>
      </c>
      <c r="Q908" s="34" t="str">
        <f>IF($J908=FALSE(),"",IF(발주접수!$F93="세트",발주접수!$E93&amp;" 전개","직접 발주"))</f>
        <v/>
      </c>
    </row>
    <row r="909" ht="15" customHeight="1" s="30">
      <c r="J909" s="50" t="b">
        <f>IF(발주접수!$D93="",FALSE(),IF(발주접수!$F93="세트",COUNTIF(세트구성!$G$3:$G$302,발주접수!$D93&amp;"|"&amp;4)&gt;0,3=0))</f>
        <v>0</v>
      </c>
      <c r="K909" s="34" t="str">
        <f>IF($J909=FALSE(),"",COUNTIF($J$6:$J909,TRUE()))</f>
        <v/>
      </c>
      <c r="L909" s="34" t="str">
        <f>IF($K909="","","R"&amp;$K909)</f>
        <v/>
      </c>
      <c r="M909" s="34" t="str">
        <f>IF($J909=FALSE(),"",IF(발주접수!$F93="세트",IFERROR(INDEX(세트구성!$C$3:$C$302,MATCH(발주접수!$D93&amp;"|"&amp;4,세트구성!$G$3:$G$302,0)),""),발주접수!$D93))</f>
        <v/>
      </c>
      <c r="N909" s="34" t="str">
        <f>IF($J909=FALSE(),"",IF(발주접수!$F93="세트",발주접수!$G93*IFERROR(INDEX(세트구성!$E$3:$E$302,MATCH(발주접수!$D93&amp;"|"&amp;4,세트구성!$G$3:$G$302,0)),0),발주접수!$G93))</f>
        <v/>
      </c>
      <c r="O909" s="34" t="str">
        <f>IF($J909=FALSE(),"",발주접수!$B93)</f>
        <v/>
      </c>
      <c r="P909" s="34" t="str">
        <f>IF($J909=FALSE(),"",발주접수!$C93)</f>
        <v/>
      </c>
      <c r="Q909" s="34" t="str">
        <f>IF($J909=FALSE(),"",IF(발주접수!$F93="세트",발주접수!$E93&amp;" 전개","직접 발주"))</f>
        <v/>
      </c>
    </row>
    <row r="910" ht="15" customHeight="1" s="30">
      <c r="J910" s="50" t="b">
        <f>IF(발주접수!$D93="",FALSE(),IF(발주접수!$F93="세트",COUNTIF(세트구성!$G$3:$G$302,발주접수!$D93&amp;"|"&amp;5)&gt;0,4=0))</f>
        <v>0</v>
      </c>
      <c r="K910" s="34" t="str">
        <f>IF($J910=FALSE(),"",COUNTIF($J$6:$J910,TRUE()))</f>
        <v/>
      </c>
      <c r="L910" s="34" t="str">
        <f>IF($K910="","","R"&amp;$K910)</f>
        <v/>
      </c>
      <c r="M910" s="34" t="str">
        <f>IF($J910=FALSE(),"",IF(발주접수!$F93="세트",IFERROR(INDEX(세트구성!$C$3:$C$302,MATCH(발주접수!$D93&amp;"|"&amp;5,세트구성!$G$3:$G$302,0)),""),발주접수!$D93))</f>
        <v/>
      </c>
      <c r="N910" s="34" t="str">
        <f>IF($J910=FALSE(),"",IF(발주접수!$F93="세트",발주접수!$G93*IFERROR(INDEX(세트구성!$E$3:$E$302,MATCH(발주접수!$D93&amp;"|"&amp;5,세트구성!$G$3:$G$302,0)),0),발주접수!$G93))</f>
        <v/>
      </c>
      <c r="O910" s="34" t="str">
        <f>IF($J910=FALSE(),"",발주접수!$B93)</f>
        <v/>
      </c>
      <c r="P910" s="34" t="str">
        <f>IF($J910=FALSE(),"",발주접수!$C93)</f>
        <v/>
      </c>
      <c r="Q910" s="34" t="str">
        <f>IF($J910=FALSE(),"",IF(발주접수!$F93="세트",발주접수!$E93&amp;" 전개","직접 발주"))</f>
        <v/>
      </c>
    </row>
    <row r="911" ht="15" customHeight="1" s="30">
      <c r="J911" s="50" t="b">
        <f>IF(발주접수!$D93="",FALSE(),IF(발주접수!$F93="세트",COUNTIF(세트구성!$G$3:$G$302,발주접수!$D93&amp;"|"&amp;6)&gt;0,5=0))</f>
        <v>0</v>
      </c>
      <c r="K911" s="34" t="str">
        <f>IF($J911=FALSE(),"",COUNTIF($J$6:$J911,TRUE()))</f>
        <v/>
      </c>
      <c r="L911" s="34" t="str">
        <f>IF($K911="","","R"&amp;$K911)</f>
        <v/>
      </c>
      <c r="M911" s="34" t="str">
        <f>IF($J911=FALSE(),"",IF(발주접수!$F93="세트",IFERROR(INDEX(세트구성!$C$3:$C$302,MATCH(발주접수!$D93&amp;"|"&amp;6,세트구성!$G$3:$G$302,0)),""),발주접수!$D93))</f>
        <v/>
      </c>
      <c r="N911" s="34" t="str">
        <f>IF($J911=FALSE(),"",IF(발주접수!$F93="세트",발주접수!$G93*IFERROR(INDEX(세트구성!$E$3:$E$302,MATCH(발주접수!$D93&amp;"|"&amp;6,세트구성!$G$3:$G$302,0)),0),발주접수!$G93))</f>
        <v/>
      </c>
      <c r="O911" s="34" t="str">
        <f>IF($J911=FALSE(),"",발주접수!$B93)</f>
        <v/>
      </c>
      <c r="P911" s="34" t="str">
        <f>IF($J911=FALSE(),"",발주접수!$C93)</f>
        <v/>
      </c>
      <c r="Q911" s="34" t="str">
        <f>IF($J911=FALSE(),"",IF(발주접수!$F93="세트",발주접수!$E93&amp;" 전개","직접 발주"))</f>
        <v/>
      </c>
    </row>
    <row r="912" ht="15" customHeight="1" s="30">
      <c r="J912" s="50" t="b">
        <f>IF(발주접수!$D93="",FALSE(),IF(발주접수!$F93="세트",COUNTIF(세트구성!$G$3:$G$302,발주접수!$D93&amp;"|"&amp;7)&gt;0,6=0))</f>
        <v>0</v>
      </c>
      <c r="K912" s="34" t="str">
        <f>IF($J912=FALSE(),"",COUNTIF($J$6:$J912,TRUE()))</f>
        <v/>
      </c>
      <c r="L912" s="34" t="str">
        <f>IF($K912="","","R"&amp;$K912)</f>
        <v/>
      </c>
      <c r="M912" s="34" t="str">
        <f>IF($J912=FALSE(),"",IF(발주접수!$F93="세트",IFERROR(INDEX(세트구성!$C$3:$C$302,MATCH(발주접수!$D93&amp;"|"&amp;7,세트구성!$G$3:$G$302,0)),""),발주접수!$D93))</f>
        <v/>
      </c>
      <c r="N912" s="34" t="str">
        <f>IF($J912=FALSE(),"",IF(발주접수!$F93="세트",발주접수!$G93*IFERROR(INDEX(세트구성!$E$3:$E$302,MATCH(발주접수!$D93&amp;"|"&amp;7,세트구성!$G$3:$G$302,0)),0),발주접수!$G93))</f>
        <v/>
      </c>
      <c r="O912" s="34" t="str">
        <f>IF($J912=FALSE(),"",발주접수!$B93)</f>
        <v/>
      </c>
      <c r="P912" s="34" t="str">
        <f>IF($J912=FALSE(),"",발주접수!$C93)</f>
        <v/>
      </c>
      <c r="Q912" s="34" t="str">
        <f>IF($J912=FALSE(),"",IF(발주접수!$F93="세트",발주접수!$E93&amp;" 전개","직접 발주"))</f>
        <v/>
      </c>
    </row>
    <row r="913" ht="15" customHeight="1" s="30">
      <c r="J913" s="50" t="b">
        <f>IF(발주접수!$D93="",FALSE(),IF(발주접수!$F93="세트",COUNTIF(세트구성!$G$3:$G$302,발주접수!$D93&amp;"|"&amp;8)&gt;0,7=0))</f>
        <v>0</v>
      </c>
      <c r="K913" s="34" t="str">
        <f>IF($J913=FALSE(),"",COUNTIF($J$6:$J913,TRUE()))</f>
        <v/>
      </c>
      <c r="L913" s="34" t="str">
        <f>IF($K913="","","R"&amp;$K913)</f>
        <v/>
      </c>
      <c r="M913" s="34" t="str">
        <f>IF($J913=FALSE(),"",IF(발주접수!$F93="세트",IFERROR(INDEX(세트구성!$C$3:$C$302,MATCH(발주접수!$D93&amp;"|"&amp;8,세트구성!$G$3:$G$302,0)),""),발주접수!$D93))</f>
        <v/>
      </c>
      <c r="N913" s="34" t="str">
        <f>IF($J913=FALSE(),"",IF(발주접수!$F93="세트",발주접수!$G93*IFERROR(INDEX(세트구성!$E$3:$E$302,MATCH(발주접수!$D93&amp;"|"&amp;8,세트구성!$G$3:$G$302,0)),0),발주접수!$G93))</f>
        <v/>
      </c>
      <c r="O913" s="34" t="str">
        <f>IF($J913=FALSE(),"",발주접수!$B93)</f>
        <v/>
      </c>
      <c r="P913" s="34" t="str">
        <f>IF($J913=FALSE(),"",발주접수!$C93)</f>
        <v/>
      </c>
      <c r="Q913" s="34" t="str">
        <f>IF($J913=FALSE(),"",IF(발주접수!$F93="세트",발주접수!$E93&amp;" 전개","직접 발주"))</f>
        <v/>
      </c>
    </row>
    <row r="914" ht="15" customHeight="1" s="30">
      <c r="J914" s="50" t="b">
        <f>IF(발주접수!$D93="",FALSE(),IF(발주접수!$F93="세트",COUNTIF(세트구성!$G$3:$G$302,발주접수!$D93&amp;"|"&amp;9)&gt;0,8=0))</f>
        <v>0</v>
      </c>
      <c r="K914" s="34" t="str">
        <f>IF($J914=FALSE(),"",COUNTIF($J$6:$J914,TRUE()))</f>
        <v/>
      </c>
      <c r="L914" s="34" t="str">
        <f>IF($K914="","","R"&amp;$K914)</f>
        <v/>
      </c>
      <c r="M914" s="34" t="str">
        <f>IF($J914=FALSE(),"",IF(발주접수!$F93="세트",IFERROR(INDEX(세트구성!$C$3:$C$302,MATCH(발주접수!$D93&amp;"|"&amp;9,세트구성!$G$3:$G$302,0)),""),발주접수!$D93))</f>
        <v/>
      </c>
      <c r="N914" s="34" t="str">
        <f>IF($J914=FALSE(),"",IF(발주접수!$F93="세트",발주접수!$G93*IFERROR(INDEX(세트구성!$E$3:$E$302,MATCH(발주접수!$D93&amp;"|"&amp;9,세트구성!$G$3:$G$302,0)),0),발주접수!$G93))</f>
        <v/>
      </c>
      <c r="O914" s="34" t="str">
        <f>IF($J914=FALSE(),"",발주접수!$B93)</f>
        <v/>
      </c>
      <c r="P914" s="34" t="str">
        <f>IF($J914=FALSE(),"",발주접수!$C93)</f>
        <v/>
      </c>
      <c r="Q914" s="34" t="str">
        <f>IF($J914=FALSE(),"",IF(발주접수!$F93="세트",발주접수!$E93&amp;" 전개","직접 발주"))</f>
        <v/>
      </c>
    </row>
    <row r="915" ht="15" customHeight="1" s="30">
      <c r="J915" s="50" t="b">
        <f>IF(발주접수!$D93="",FALSE(),IF(발주접수!$F93="세트",COUNTIF(세트구성!$G$3:$G$302,발주접수!$D93&amp;"|"&amp;10)&gt;0,9=0))</f>
        <v>0</v>
      </c>
      <c r="K915" s="34" t="str">
        <f>IF($J915=FALSE(),"",COUNTIF($J$6:$J915,TRUE()))</f>
        <v/>
      </c>
      <c r="L915" s="34" t="str">
        <f>IF($K915="","","R"&amp;$K915)</f>
        <v/>
      </c>
      <c r="M915" s="34" t="str">
        <f>IF($J915=FALSE(),"",IF(발주접수!$F93="세트",IFERROR(INDEX(세트구성!$C$3:$C$302,MATCH(발주접수!$D93&amp;"|"&amp;10,세트구성!$G$3:$G$302,0)),""),발주접수!$D93))</f>
        <v/>
      </c>
      <c r="N915" s="34" t="str">
        <f>IF($J915=FALSE(),"",IF(발주접수!$F93="세트",발주접수!$G93*IFERROR(INDEX(세트구성!$E$3:$E$302,MATCH(발주접수!$D93&amp;"|"&amp;10,세트구성!$G$3:$G$302,0)),0),발주접수!$G93))</f>
        <v/>
      </c>
      <c r="O915" s="34" t="str">
        <f>IF($J915=FALSE(),"",발주접수!$B93)</f>
        <v/>
      </c>
      <c r="P915" s="34" t="str">
        <f>IF($J915=FALSE(),"",발주접수!$C93)</f>
        <v/>
      </c>
      <c r="Q915" s="34" t="str">
        <f>IF($J915=FALSE(),"",IF(발주접수!$F93="세트",발주접수!$E93&amp;" 전개","직접 발주"))</f>
        <v/>
      </c>
    </row>
    <row r="916" ht="15" customHeight="1" s="30">
      <c r="J916" s="50" t="b">
        <f>IF(발주접수!$D94="",FALSE(),IF(발주접수!$F94="세트",COUNTIF(세트구성!$G$3:$G$302,발주접수!$D94&amp;"|"&amp;1)&gt;0,0=0))</f>
        <v>0</v>
      </c>
      <c r="K916" s="34" t="str">
        <f>IF($J916=FALSE(),"",COUNTIF($J$6:$J916,TRUE()))</f>
        <v/>
      </c>
      <c r="L916" s="34" t="str">
        <f>IF($K916="","","R"&amp;$K916)</f>
        <v/>
      </c>
      <c r="M916" s="34" t="str">
        <f>IF($J916=FALSE(),"",IF(발주접수!$F94="세트",IFERROR(INDEX(세트구성!$C$3:$C$302,MATCH(발주접수!$D94&amp;"|"&amp;1,세트구성!$G$3:$G$302,0)),""),발주접수!$D94))</f>
        <v/>
      </c>
      <c r="N916" s="34" t="str">
        <f>IF($J916=FALSE(),"",IF(발주접수!$F94="세트",발주접수!$G94*IFERROR(INDEX(세트구성!$E$3:$E$302,MATCH(발주접수!$D94&amp;"|"&amp;1,세트구성!$G$3:$G$302,0)),0),발주접수!$G94))</f>
        <v/>
      </c>
      <c r="O916" s="34" t="str">
        <f>IF($J916=FALSE(),"",발주접수!$B94)</f>
        <v/>
      </c>
      <c r="P916" s="34" t="str">
        <f>IF($J916=FALSE(),"",발주접수!$C94)</f>
        <v/>
      </c>
      <c r="Q916" s="34" t="str">
        <f>IF($J916=FALSE(),"",IF(발주접수!$F94="세트",발주접수!$E94&amp;" 전개","직접 발주"))</f>
        <v/>
      </c>
    </row>
    <row r="917" ht="15" customHeight="1" s="30">
      <c r="J917" s="50" t="b">
        <f>IF(발주접수!$D94="",FALSE(),IF(발주접수!$F94="세트",COUNTIF(세트구성!$G$3:$G$302,발주접수!$D94&amp;"|"&amp;2)&gt;0,1=0))</f>
        <v>0</v>
      </c>
      <c r="K917" s="34" t="str">
        <f>IF($J917=FALSE(),"",COUNTIF($J$6:$J917,TRUE()))</f>
        <v/>
      </c>
      <c r="L917" s="34" t="str">
        <f>IF($K917="","","R"&amp;$K917)</f>
        <v/>
      </c>
      <c r="M917" s="34" t="str">
        <f>IF($J917=FALSE(),"",IF(발주접수!$F94="세트",IFERROR(INDEX(세트구성!$C$3:$C$302,MATCH(발주접수!$D94&amp;"|"&amp;2,세트구성!$G$3:$G$302,0)),""),발주접수!$D94))</f>
        <v/>
      </c>
      <c r="N917" s="34" t="str">
        <f>IF($J917=FALSE(),"",IF(발주접수!$F94="세트",발주접수!$G94*IFERROR(INDEX(세트구성!$E$3:$E$302,MATCH(발주접수!$D94&amp;"|"&amp;2,세트구성!$G$3:$G$302,0)),0),발주접수!$G94))</f>
        <v/>
      </c>
      <c r="O917" s="34" t="str">
        <f>IF($J917=FALSE(),"",발주접수!$B94)</f>
        <v/>
      </c>
      <c r="P917" s="34" t="str">
        <f>IF($J917=FALSE(),"",발주접수!$C94)</f>
        <v/>
      </c>
      <c r="Q917" s="34" t="str">
        <f>IF($J917=FALSE(),"",IF(발주접수!$F94="세트",발주접수!$E94&amp;" 전개","직접 발주"))</f>
        <v/>
      </c>
    </row>
    <row r="918" ht="15" customHeight="1" s="30">
      <c r="J918" s="50" t="b">
        <f>IF(발주접수!$D94="",FALSE(),IF(발주접수!$F94="세트",COUNTIF(세트구성!$G$3:$G$302,발주접수!$D94&amp;"|"&amp;3)&gt;0,2=0))</f>
        <v>0</v>
      </c>
      <c r="K918" s="34" t="str">
        <f>IF($J918=FALSE(),"",COUNTIF($J$6:$J918,TRUE()))</f>
        <v/>
      </c>
      <c r="L918" s="34" t="str">
        <f>IF($K918="","","R"&amp;$K918)</f>
        <v/>
      </c>
      <c r="M918" s="34" t="str">
        <f>IF($J918=FALSE(),"",IF(발주접수!$F94="세트",IFERROR(INDEX(세트구성!$C$3:$C$302,MATCH(발주접수!$D94&amp;"|"&amp;3,세트구성!$G$3:$G$302,0)),""),발주접수!$D94))</f>
        <v/>
      </c>
      <c r="N918" s="34" t="str">
        <f>IF($J918=FALSE(),"",IF(발주접수!$F94="세트",발주접수!$G94*IFERROR(INDEX(세트구성!$E$3:$E$302,MATCH(발주접수!$D94&amp;"|"&amp;3,세트구성!$G$3:$G$302,0)),0),발주접수!$G94))</f>
        <v/>
      </c>
      <c r="O918" s="34" t="str">
        <f>IF($J918=FALSE(),"",발주접수!$B94)</f>
        <v/>
      </c>
      <c r="P918" s="34" t="str">
        <f>IF($J918=FALSE(),"",발주접수!$C94)</f>
        <v/>
      </c>
      <c r="Q918" s="34" t="str">
        <f>IF($J918=FALSE(),"",IF(발주접수!$F94="세트",발주접수!$E94&amp;" 전개","직접 발주"))</f>
        <v/>
      </c>
    </row>
    <row r="919" ht="15" customHeight="1" s="30">
      <c r="J919" s="50" t="b">
        <f>IF(발주접수!$D94="",FALSE(),IF(발주접수!$F94="세트",COUNTIF(세트구성!$G$3:$G$302,발주접수!$D94&amp;"|"&amp;4)&gt;0,3=0))</f>
        <v>0</v>
      </c>
      <c r="K919" s="34" t="str">
        <f>IF($J919=FALSE(),"",COUNTIF($J$6:$J919,TRUE()))</f>
        <v/>
      </c>
      <c r="L919" s="34" t="str">
        <f>IF($K919="","","R"&amp;$K919)</f>
        <v/>
      </c>
      <c r="M919" s="34" t="str">
        <f>IF($J919=FALSE(),"",IF(발주접수!$F94="세트",IFERROR(INDEX(세트구성!$C$3:$C$302,MATCH(발주접수!$D94&amp;"|"&amp;4,세트구성!$G$3:$G$302,0)),""),발주접수!$D94))</f>
        <v/>
      </c>
      <c r="N919" s="34" t="str">
        <f>IF($J919=FALSE(),"",IF(발주접수!$F94="세트",발주접수!$G94*IFERROR(INDEX(세트구성!$E$3:$E$302,MATCH(발주접수!$D94&amp;"|"&amp;4,세트구성!$G$3:$G$302,0)),0),발주접수!$G94))</f>
        <v/>
      </c>
      <c r="O919" s="34" t="str">
        <f>IF($J919=FALSE(),"",발주접수!$B94)</f>
        <v/>
      </c>
      <c r="P919" s="34" t="str">
        <f>IF($J919=FALSE(),"",발주접수!$C94)</f>
        <v/>
      </c>
      <c r="Q919" s="34" t="str">
        <f>IF($J919=FALSE(),"",IF(발주접수!$F94="세트",발주접수!$E94&amp;" 전개","직접 발주"))</f>
        <v/>
      </c>
    </row>
    <row r="920" ht="15" customHeight="1" s="30">
      <c r="J920" s="50" t="b">
        <f>IF(발주접수!$D94="",FALSE(),IF(발주접수!$F94="세트",COUNTIF(세트구성!$G$3:$G$302,발주접수!$D94&amp;"|"&amp;5)&gt;0,4=0))</f>
        <v>0</v>
      </c>
      <c r="K920" s="34" t="str">
        <f>IF($J920=FALSE(),"",COUNTIF($J$6:$J920,TRUE()))</f>
        <v/>
      </c>
      <c r="L920" s="34" t="str">
        <f>IF($K920="","","R"&amp;$K920)</f>
        <v/>
      </c>
      <c r="M920" s="34" t="str">
        <f>IF($J920=FALSE(),"",IF(발주접수!$F94="세트",IFERROR(INDEX(세트구성!$C$3:$C$302,MATCH(발주접수!$D94&amp;"|"&amp;5,세트구성!$G$3:$G$302,0)),""),발주접수!$D94))</f>
        <v/>
      </c>
      <c r="N920" s="34" t="str">
        <f>IF($J920=FALSE(),"",IF(발주접수!$F94="세트",발주접수!$G94*IFERROR(INDEX(세트구성!$E$3:$E$302,MATCH(발주접수!$D94&amp;"|"&amp;5,세트구성!$G$3:$G$302,0)),0),발주접수!$G94))</f>
        <v/>
      </c>
      <c r="O920" s="34" t="str">
        <f>IF($J920=FALSE(),"",발주접수!$B94)</f>
        <v/>
      </c>
      <c r="P920" s="34" t="str">
        <f>IF($J920=FALSE(),"",발주접수!$C94)</f>
        <v/>
      </c>
      <c r="Q920" s="34" t="str">
        <f>IF($J920=FALSE(),"",IF(발주접수!$F94="세트",발주접수!$E94&amp;" 전개","직접 발주"))</f>
        <v/>
      </c>
    </row>
    <row r="921" ht="15" customHeight="1" s="30">
      <c r="J921" s="50" t="b">
        <f>IF(발주접수!$D94="",FALSE(),IF(발주접수!$F94="세트",COUNTIF(세트구성!$G$3:$G$302,발주접수!$D94&amp;"|"&amp;6)&gt;0,5=0))</f>
        <v>0</v>
      </c>
      <c r="K921" s="34" t="str">
        <f>IF($J921=FALSE(),"",COUNTIF($J$6:$J921,TRUE()))</f>
        <v/>
      </c>
      <c r="L921" s="34" t="str">
        <f>IF($K921="","","R"&amp;$K921)</f>
        <v/>
      </c>
      <c r="M921" s="34" t="str">
        <f>IF($J921=FALSE(),"",IF(발주접수!$F94="세트",IFERROR(INDEX(세트구성!$C$3:$C$302,MATCH(발주접수!$D94&amp;"|"&amp;6,세트구성!$G$3:$G$302,0)),""),발주접수!$D94))</f>
        <v/>
      </c>
      <c r="N921" s="34" t="str">
        <f>IF($J921=FALSE(),"",IF(발주접수!$F94="세트",발주접수!$G94*IFERROR(INDEX(세트구성!$E$3:$E$302,MATCH(발주접수!$D94&amp;"|"&amp;6,세트구성!$G$3:$G$302,0)),0),발주접수!$G94))</f>
        <v/>
      </c>
      <c r="O921" s="34" t="str">
        <f>IF($J921=FALSE(),"",발주접수!$B94)</f>
        <v/>
      </c>
      <c r="P921" s="34" t="str">
        <f>IF($J921=FALSE(),"",발주접수!$C94)</f>
        <v/>
      </c>
      <c r="Q921" s="34" t="str">
        <f>IF($J921=FALSE(),"",IF(발주접수!$F94="세트",발주접수!$E94&amp;" 전개","직접 발주"))</f>
        <v/>
      </c>
    </row>
    <row r="922" ht="15" customHeight="1" s="30">
      <c r="J922" s="50" t="b">
        <f>IF(발주접수!$D94="",FALSE(),IF(발주접수!$F94="세트",COUNTIF(세트구성!$G$3:$G$302,발주접수!$D94&amp;"|"&amp;7)&gt;0,6=0))</f>
        <v>0</v>
      </c>
      <c r="K922" s="34" t="str">
        <f>IF($J922=FALSE(),"",COUNTIF($J$6:$J922,TRUE()))</f>
        <v/>
      </c>
      <c r="L922" s="34" t="str">
        <f>IF($K922="","","R"&amp;$K922)</f>
        <v/>
      </c>
      <c r="M922" s="34" t="str">
        <f>IF($J922=FALSE(),"",IF(발주접수!$F94="세트",IFERROR(INDEX(세트구성!$C$3:$C$302,MATCH(발주접수!$D94&amp;"|"&amp;7,세트구성!$G$3:$G$302,0)),""),발주접수!$D94))</f>
        <v/>
      </c>
      <c r="N922" s="34" t="str">
        <f>IF($J922=FALSE(),"",IF(발주접수!$F94="세트",발주접수!$G94*IFERROR(INDEX(세트구성!$E$3:$E$302,MATCH(발주접수!$D94&amp;"|"&amp;7,세트구성!$G$3:$G$302,0)),0),발주접수!$G94))</f>
        <v/>
      </c>
      <c r="O922" s="34" t="str">
        <f>IF($J922=FALSE(),"",발주접수!$B94)</f>
        <v/>
      </c>
      <c r="P922" s="34" t="str">
        <f>IF($J922=FALSE(),"",발주접수!$C94)</f>
        <v/>
      </c>
      <c r="Q922" s="34" t="str">
        <f>IF($J922=FALSE(),"",IF(발주접수!$F94="세트",발주접수!$E94&amp;" 전개","직접 발주"))</f>
        <v/>
      </c>
    </row>
    <row r="923" ht="15" customHeight="1" s="30">
      <c r="J923" s="50" t="b">
        <f>IF(발주접수!$D94="",FALSE(),IF(발주접수!$F94="세트",COUNTIF(세트구성!$G$3:$G$302,발주접수!$D94&amp;"|"&amp;8)&gt;0,7=0))</f>
        <v>0</v>
      </c>
      <c r="K923" s="34" t="str">
        <f>IF($J923=FALSE(),"",COUNTIF($J$6:$J923,TRUE()))</f>
        <v/>
      </c>
      <c r="L923" s="34" t="str">
        <f>IF($K923="","","R"&amp;$K923)</f>
        <v/>
      </c>
      <c r="M923" s="34" t="str">
        <f>IF($J923=FALSE(),"",IF(발주접수!$F94="세트",IFERROR(INDEX(세트구성!$C$3:$C$302,MATCH(발주접수!$D94&amp;"|"&amp;8,세트구성!$G$3:$G$302,0)),""),발주접수!$D94))</f>
        <v/>
      </c>
      <c r="N923" s="34" t="str">
        <f>IF($J923=FALSE(),"",IF(발주접수!$F94="세트",발주접수!$G94*IFERROR(INDEX(세트구성!$E$3:$E$302,MATCH(발주접수!$D94&amp;"|"&amp;8,세트구성!$G$3:$G$302,0)),0),발주접수!$G94))</f>
        <v/>
      </c>
      <c r="O923" s="34" t="str">
        <f>IF($J923=FALSE(),"",발주접수!$B94)</f>
        <v/>
      </c>
      <c r="P923" s="34" t="str">
        <f>IF($J923=FALSE(),"",발주접수!$C94)</f>
        <v/>
      </c>
      <c r="Q923" s="34" t="str">
        <f>IF($J923=FALSE(),"",IF(발주접수!$F94="세트",발주접수!$E94&amp;" 전개","직접 발주"))</f>
        <v/>
      </c>
    </row>
    <row r="924" ht="15" customHeight="1" s="30">
      <c r="J924" s="50" t="b">
        <f>IF(발주접수!$D94="",FALSE(),IF(발주접수!$F94="세트",COUNTIF(세트구성!$G$3:$G$302,발주접수!$D94&amp;"|"&amp;9)&gt;0,8=0))</f>
        <v>0</v>
      </c>
      <c r="K924" s="34" t="str">
        <f>IF($J924=FALSE(),"",COUNTIF($J$6:$J924,TRUE()))</f>
        <v/>
      </c>
      <c r="L924" s="34" t="str">
        <f>IF($K924="","","R"&amp;$K924)</f>
        <v/>
      </c>
      <c r="M924" s="34" t="str">
        <f>IF($J924=FALSE(),"",IF(발주접수!$F94="세트",IFERROR(INDEX(세트구성!$C$3:$C$302,MATCH(발주접수!$D94&amp;"|"&amp;9,세트구성!$G$3:$G$302,0)),""),발주접수!$D94))</f>
        <v/>
      </c>
      <c r="N924" s="34" t="str">
        <f>IF($J924=FALSE(),"",IF(발주접수!$F94="세트",발주접수!$G94*IFERROR(INDEX(세트구성!$E$3:$E$302,MATCH(발주접수!$D94&amp;"|"&amp;9,세트구성!$G$3:$G$302,0)),0),발주접수!$G94))</f>
        <v/>
      </c>
      <c r="O924" s="34" t="str">
        <f>IF($J924=FALSE(),"",발주접수!$B94)</f>
        <v/>
      </c>
      <c r="P924" s="34" t="str">
        <f>IF($J924=FALSE(),"",발주접수!$C94)</f>
        <v/>
      </c>
      <c r="Q924" s="34" t="str">
        <f>IF($J924=FALSE(),"",IF(발주접수!$F94="세트",발주접수!$E94&amp;" 전개","직접 발주"))</f>
        <v/>
      </c>
    </row>
    <row r="925" ht="15" customHeight="1" s="30">
      <c r="J925" s="50" t="b">
        <f>IF(발주접수!$D94="",FALSE(),IF(발주접수!$F94="세트",COUNTIF(세트구성!$G$3:$G$302,발주접수!$D94&amp;"|"&amp;10)&gt;0,9=0))</f>
        <v>0</v>
      </c>
      <c r="K925" s="34" t="str">
        <f>IF($J925=FALSE(),"",COUNTIF($J$6:$J925,TRUE()))</f>
        <v/>
      </c>
      <c r="L925" s="34" t="str">
        <f>IF($K925="","","R"&amp;$K925)</f>
        <v/>
      </c>
      <c r="M925" s="34" t="str">
        <f>IF($J925=FALSE(),"",IF(발주접수!$F94="세트",IFERROR(INDEX(세트구성!$C$3:$C$302,MATCH(발주접수!$D94&amp;"|"&amp;10,세트구성!$G$3:$G$302,0)),""),발주접수!$D94))</f>
        <v/>
      </c>
      <c r="N925" s="34" t="str">
        <f>IF($J925=FALSE(),"",IF(발주접수!$F94="세트",발주접수!$G94*IFERROR(INDEX(세트구성!$E$3:$E$302,MATCH(발주접수!$D94&amp;"|"&amp;10,세트구성!$G$3:$G$302,0)),0),발주접수!$G94))</f>
        <v/>
      </c>
      <c r="O925" s="34" t="str">
        <f>IF($J925=FALSE(),"",발주접수!$B94)</f>
        <v/>
      </c>
      <c r="P925" s="34" t="str">
        <f>IF($J925=FALSE(),"",발주접수!$C94)</f>
        <v/>
      </c>
      <c r="Q925" s="34" t="str">
        <f>IF($J925=FALSE(),"",IF(발주접수!$F94="세트",발주접수!$E94&amp;" 전개","직접 발주"))</f>
        <v/>
      </c>
    </row>
    <row r="926" ht="15" customHeight="1" s="30">
      <c r="J926" s="50" t="b">
        <f>IF(발주접수!$D95="",FALSE(),IF(발주접수!$F95="세트",COUNTIF(세트구성!$G$3:$G$302,발주접수!$D95&amp;"|"&amp;1)&gt;0,0=0))</f>
        <v>0</v>
      </c>
      <c r="K926" s="34" t="str">
        <f>IF($J926=FALSE(),"",COUNTIF($J$6:$J926,TRUE()))</f>
        <v/>
      </c>
      <c r="L926" s="34" t="str">
        <f>IF($K926="","","R"&amp;$K926)</f>
        <v/>
      </c>
      <c r="M926" s="34" t="str">
        <f>IF($J926=FALSE(),"",IF(발주접수!$F95="세트",IFERROR(INDEX(세트구성!$C$3:$C$302,MATCH(발주접수!$D95&amp;"|"&amp;1,세트구성!$G$3:$G$302,0)),""),발주접수!$D95))</f>
        <v/>
      </c>
      <c r="N926" s="34" t="str">
        <f>IF($J926=FALSE(),"",IF(발주접수!$F95="세트",발주접수!$G95*IFERROR(INDEX(세트구성!$E$3:$E$302,MATCH(발주접수!$D95&amp;"|"&amp;1,세트구성!$G$3:$G$302,0)),0),발주접수!$G95))</f>
        <v/>
      </c>
      <c r="O926" s="34" t="str">
        <f>IF($J926=FALSE(),"",발주접수!$B95)</f>
        <v/>
      </c>
      <c r="P926" s="34" t="str">
        <f>IF($J926=FALSE(),"",발주접수!$C95)</f>
        <v/>
      </c>
      <c r="Q926" s="34" t="str">
        <f>IF($J926=FALSE(),"",IF(발주접수!$F95="세트",발주접수!$E95&amp;" 전개","직접 발주"))</f>
        <v/>
      </c>
    </row>
    <row r="927" ht="15" customHeight="1" s="30">
      <c r="J927" s="50" t="b">
        <f>IF(발주접수!$D95="",FALSE(),IF(발주접수!$F95="세트",COUNTIF(세트구성!$G$3:$G$302,발주접수!$D95&amp;"|"&amp;2)&gt;0,1=0))</f>
        <v>0</v>
      </c>
      <c r="K927" s="34" t="str">
        <f>IF($J927=FALSE(),"",COUNTIF($J$6:$J927,TRUE()))</f>
        <v/>
      </c>
      <c r="L927" s="34" t="str">
        <f>IF($K927="","","R"&amp;$K927)</f>
        <v/>
      </c>
      <c r="M927" s="34" t="str">
        <f>IF($J927=FALSE(),"",IF(발주접수!$F95="세트",IFERROR(INDEX(세트구성!$C$3:$C$302,MATCH(발주접수!$D95&amp;"|"&amp;2,세트구성!$G$3:$G$302,0)),""),발주접수!$D95))</f>
        <v/>
      </c>
      <c r="N927" s="34" t="str">
        <f>IF($J927=FALSE(),"",IF(발주접수!$F95="세트",발주접수!$G95*IFERROR(INDEX(세트구성!$E$3:$E$302,MATCH(발주접수!$D95&amp;"|"&amp;2,세트구성!$G$3:$G$302,0)),0),발주접수!$G95))</f>
        <v/>
      </c>
      <c r="O927" s="34" t="str">
        <f>IF($J927=FALSE(),"",발주접수!$B95)</f>
        <v/>
      </c>
      <c r="P927" s="34" t="str">
        <f>IF($J927=FALSE(),"",발주접수!$C95)</f>
        <v/>
      </c>
      <c r="Q927" s="34" t="str">
        <f>IF($J927=FALSE(),"",IF(발주접수!$F95="세트",발주접수!$E95&amp;" 전개","직접 발주"))</f>
        <v/>
      </c>
    </row>
    <row r="928" ht="15" customHeight="1" s="30">
      <c r="J928" s="50" t="b">
        <f>IF(발주접수!$D95="",FALSE(),IF(발주접수!$F95="세트",COUNTIF(세트구성!$G$3:$G$302,발주접수!$D95&amp;"|"&amp;3)&gt;0,2=0))</f>
        <v>0</v>
      </c>
      <c r="K928" s="34" t="str">
        <f>IF($J928=FALSE(),"",COUNTIF($J$6:$J928,TRUE()))</f>
        <v/>
      </c>
      <c r="L928" s="34" t="str">
        <f>IF($K928="","","R"&amp;$K928)</f>
        <v/>
      </c>
      <c r="M928" s="34" t="str">
        <f>IF($J928=FALSE(),"",IF(발주접수!$F95="세트",IFERROR(INDEX(세트구성!$C$3:$C$302,MATCH(발주접수!$D95&amp;"|"&amp;3,세트구성!$G$3:$G$302,0)),""),발주접수!$D95))</f>
        <v/>
      </c>
      <c r="N928" s="34" t="str">
        <f>IF($J928=FALSE(),"",IF(발주접수!$F95="세트",발주접수!$G95*IFERROR(INDEX(세트구성!$E$3:$E$302,MATCH(발주접수!$D95&amp;"|"&amp;3,세트구성!$G$3:$G$302,0)),0),발주접수!$G95))</f>
        <v/>
      </c>
      <c r="O928" s="34" t="str">
        <f>IF($J928=FALSE(),"",발주접수!$B95)</f>
        <v/>
      </c>
      <c r="P928" s="34" t="str">
        <f>IF($J928=FALSE(),"",발주접수!$C95)</f>
        <v/>
      </c>
      <c r="Q928" s="34" t="str">
        <f>IF($J928=FALSE(),"",IF(발주접수!$F95="세트",발주접수!$E95&amp;" 전개","직접 발주"))</f>
        <v/>
      </c>
    </row>
    <row r="929" ht="15" customHeight="1" s="30">
      <c r="J929" s="50" t="b">
        <f>IF(발주접수!$D95="",FALSE(),IF(발주접수!$F95="세트",COUNTIF(세트구성!$G$3:$G$302,발주접수!$D95&amp;"|"&amp;4)&gt;0,3=0))</f>
        <v>0</v>
      </c>
      <c r="K929" s="34" t="str">
        <f>IF($J929=FALSE(),"",COUNTIF($J$6:$J929,TRUE()))</f>
        <v/>
      </c>
      <c r="L929" s="34" t="str">
        <f>IF($K929="","","R"&amp;$K929)</f>
        <v/>
      </c>
      <c r="M929" s="34" t="str">
        <f>IF($J929=FALSE(),"",IF(발주접수!$F95="세트",IFERROR(INDEX(세트구성!$C$3:$C$302,MATCH(발주접수!$D95&amp;"|"&amp;4,세트구성!$G$3:$G$302,0)),""),발주접수!$D95))</f>
        <v/>
      </c>
      <c r="N929" s="34" t="str">
        <f>IF($J929=FALSE(),"",IF(발주접수!$F95="세트",발주접수!$G95*IFERROR(INDEX(세트구성!$E$3:$E$302,MATCH(발주접수!$D95&amp;"|"&amp;4,세트구성!$G$3:$G$302,0)),0),발주접수!$G95))</f>
        <v/>
      </c>
      <c r="O929" s="34" t="str">
        <f>IF($J929=FALSE(),"",발주접수!$B95)</f>
        <v/>
      </c>
      <c r="P929" s="34" t="str">
        <f>IF($J929=FALSE(),"",발주접수!$C95)</f>
        <v/>
      </c>
      <c r="Q929" s="34" t="str">
        <f>IF($J929=FALSE(),"",IF(발주접수!$F95="세트",발주접수!$E95&amp;" 전개","직접 발주"))</f>
        <v/>
      </c>
    </row>
    <row r="930" ht="15" customHeight="1" s="30">
      <c r="J930" s="50" t="b">
        <f>IF(발주접수!$D95="",FALSE(),IF(발주접수!$F95="세트",COUNTIF(세트구성!$G$3:$G$302,발주접수!$D95&amp;"|"&amp;5)&gt;0,4=0))</f>
        <v>0</v>
      </c>
      <c r="K930" s="34" t="str">
        <f>IF($J930=FALSE(),"",COUNTIF($J$6:$J930,TRUE()))</f>
        <v/>
      </c>
      <c r="L930" s="34" t="str">
        <f>IF($K930="","","R"&amp;$K930)</f>
        <v/>
      </c>
      <c r="M930" s="34" t="str">
        <f>IF($J930=FALSE(),"",IF(발주접수!$F95="세트",IFERROR(INDEX(세트구성!$C$3:$C$302,MATCH(발주접수!$D95&amp;"|"&amp;5,세트구성!$G$3:$G$302,0)),""),발주접수!$D95))</f>
        <v/>
      </c>
      <c r="N930" s="34" t="str">
        <f>IF($J930=FALSE(),"",IF(발주접수!$F95="세트",발주접수!$G95*IFERROR(INDEX(세트구성!$E$3:$E$302,MATCH(발주접수!$D95&amp;"|"&amp;5,세트구성!$G$3:$G$302,0)),0),발주접수!$G95))</f>
        <v/>
      </c>
      <c r="O930" s="34" t="str">
        <f>IF($J930=FALSE(),"",발주접수!$B95)</f>
        <v/>
      </c>
      <c r="P930" s="34" t="str">
        <f>IF($J930=FALSE(),"",발주접수!$C95)</f>
        <v/>
      </c>
      <c r="Q930" s="34" t="str">
        <f>IF($J930=FALSE(),"",IF(발주접수!$F95="세트",발주접수!$E95&amp;" 전개","직접 발주"))</f>
        <v/>
      </c>
    </row>
    <row r="931" ht="15" customHeight="1" s="30">
      <c r="J931" s="50" t="b">
        <f>IF(발주접수!$D95="",FALSE(),IF(발주접수!$F95="세트",COUNTIF(세트구성!$G$3:$G$302,발주접수!$D95&amp;"|"&amp;6)&gt;0,5=0))</f>
        <v>0</v>
      </c>
      <c r="K931" s="34" t="str">
        <f>IF($J931=FALSE(),"",COUNTIF($J$6:$J931,TRUE()))</f>
        <v/>
      </c>
      <c r="L931" s="34" t="str">
        <f>IF($K931="","","R"&amp;$K931)</f>
        <v/>
      </c>
      <c r="M931" s="34" t="str">
        <f>IF($J931=FALSE(),"",IF(발주접수!$F95="세트",IFERROR(INDEX(세트구성!$C$3:$C$302,MATCH(발주접수!$D95&amp;"|"&amp;6,세트구성!$G$3:$G$302,0)),""),발주접수!$D95))</f>
        <v/>
      </c>
      <c r="N931" s="34" t="str">
        <f>IF($J931=FALSE(),"",IF(발주접수!$F95="세트",발주접수!$G95*IFERROR(INDEX(세트구성!$E$3:$E$302,MATCH(발주접수!$D95&amp;"|"&amp;6,세트구성!$G$3:$G$302,0)),0),발주접수!$G95))</f>
        <v/>
      </c>
      <c r="O931" s="34" t="str">
        <f>IF($J931=FALSE(),"",발주접수!$B95)</f>
        <v/>
      </c>
      <c r="P931" s="34" t="str">
        <f>IF($J931=FALSE(),"",발주접수!$C95)</f>
        <v/>
      </c>
      <c r="Q931" s="34" t="str">
        <f>IF($J931=FALSE(),"",IF(발주접수!$F95="세트",발주접수!$E95&amp;" 전개","직접 발주"))</f>
        <v/>
      </c>
    </row>
    <row r="932" ht="15" customHeight="1" s="30">
      <c r="J932" s="50" t="b">
        <f>IF(발주접수!$D95="",FALSE(),IF(발주접수!$F95="세트",COUNTIF(세트구성!$G$3:$G$302,발주접수!$D95&amp;"|"&amp;7)&gt;0,6=0))</f>
        <v>0</v>
      </c>
      <c r="K932" s="34" t="str">
        <f>IF($J932=FALSE(),"",COUNTIF($J$6:$J932,TRUE()))</f>
        <v/>
      </c>
      <c r="L932" s="34" t="str">
        <f>IF($K932="","","R"&amp;$K932)</f>
        <v/>
      </c>
      <c r="M932" s="34" t="str">
        <f>IF($J932=FALSE(),"",IF(발주접수!$F95="세트",IFERROR(INDEX(세트구성!$C$3:$C$302,MATCH(발주접수!$D95&amp;"|"&amp;7,세트구성!$G$3:$G$302,0)),""),발주접수!$D95))</f>
        <v/>
      </c>
      <c r="N932" s="34" t="str">
        <f>IF($J932=FALSE(),"",IF(발주접수!$F95="세트",발주접수!$G95*IFERROR(INDEX(세트구성!$E$3:$E$302,MATCH(발주접수!$D95&amp;"|"&amp;7,세트구성!$G$3:$G$302,0)),0),발주접수!$G95))</f>
        <v/>
      </c>
      <c r="O932" s="34" t="str">
        <f>IF($J932=FALSE(),"",발주접수!$B95)</f>
        <v/>
      </c>
      <c r="P932" s="34" t="str">
        <f>IF($J932=FALSE(),"",발주접수!$C95)</f>
        <v/>
      </c>
      <c r="Q932" s="34" t="str">
        <f>IF($J932=FALSE(),"",IF(발주접수!$F95="세트",발주접수!$E95&amp;" 전개","직접 발주"))</f>
        <v/>
      </c>
    </row>
    <row r="933" ht="15" customHeight="1" s="30">
      <c r="J933" s="50" t="b">
        <f>IF(발주접수!$D95="",FALSE(),IF(발주접수!$F95="세트",COUNTIF(세트구성!$G$3:$G$302,발주접수!$D95&amp;"|"&amp;8)&gt;0,7=0))</f>
        <v>0</v>
      </c>
      <c r="K933" s="34" t="str">
        <f>IF($J933=FALSE(),"",COUNTIF($J$6:$J933,TRUE()))</f>
        <v/>
      </c>
      <c r="L933" s="34" t="str">
        <f>IF($K933="","","R"&amp;$K933)</f>
        <v/>
      </c>
      <c r="M933" s="34" t="str">
        <f>IF($J933=FALSE(),"",IF(발주접수!$F95="세트",IFERROR(INDEX(세트구성!$C$3:$C$302,MATCH(발주접수!$D95&amp;"|"&amp;8,세트구성!$G$3:$G$302,0)),""),발주접수!$D95))</f>
        <v/>
      </c>
      <c r="N933" s="34" t="str">
        <f>IF($J933=FALSE(),"",IF(발주접수!$F95="세트",발주접수!$G95*IFERROR(INDEX(세트구성!$E$3:$E$302,MATCH(발주접수!$D95&amp;"|"&amp;8,세트구성!$G$3:$G$302,0)),0),발주접수!$G95))</f>
        <v/>
      </c>
      <c r="O933" s="34" t="str">
        <f>IF($J933=FALSE(),"",발주접수!$B95)</f>
        <v/>
      </c>
      <c r="P933" s="34" t="str">
        <f>IF($J933=FALSE(),"",발주접수!$C95)</f>
        <v/>
      </c>
      <c r="Q933" s="34" t="str">
        <f>IF($J933=FALSE(),"",IF(발주접수!$F95="세트",발주접수!$E95&amp;" 전개","직접 발주"))</f>
        <v/>
      </c>
    </row>
    <row r="934" ht="15" customHeight="1" s="30">
      <c r="J934" s="50" t="b">
        <f>IF(발주접수!$D95="",FALSE(),IF(발주접수!$F95="세트",COUNTIF(세트구성!$G$3:$G$302,발주접수!$D95&amp;"|"&amp;9)&gt;0,8=0))</f>
        <v>0</v>
      </c>
      <c r="K934" s="34" t="str">
        <f>IF($J934=FALSE(),"",COUNTIF($J$6:$J934,TRUE()))</f>
        <v/>
      </c>
      <c r="L934" s="34" t="str">
        <f>IF($K934="","","R"&amp;$K934)</f>
        <v/>
      </c>
      <c r="M934" s="34" t="str">
        <f>IF($J934=FALSE(),"",IF(발주접수!$F95="세트",IFERROR(INDEX(세트구성!$C$3:$C$302,MATCH(발주접수!$D95&amp;"|"&amp;9,세트구성!$G$3:$G$302,0)),""),발주접수!$D95))</f>
        <v/>
      </c>
      <c r="N934" s="34" t="str">
        <f>IF($J934=FALSE(),"",IF(발주접수!$F95="세트",발주접수!$G95*IFERROR(INDEX(세트구성!$E$3:$E$302,MATCH(발주접수!$D95&amp;"|"&amp;9,세트구성!$G$3:$G$302,0)),0),발주접수!$G95))</f>
        <v/>
      </c>
      <c r="O934" s="34" t="str">
        <f>IF($J934=FALSE(),"",발주접수!$B95)</f>
        <v/>
      </c>
      <c r="P934" s="34" t="str">
        <f>IF($J934=FALSE(),"",발주접수!$C95)</f>
        <v/>
      </c>
      <c r="Q934" s="34" t="str">
        <f>IF($J934=FALSE(),"",IF(발주접수!$F95="세트",발주접수!$E95&amp;" 전개","직접 발주"))</f>
        <v/>
      </c>
    </row>
    <row r="935" ht="15" customHeight="1" s="30">
      <c r="J935" s="50" t="b">
        <f>IF(발주접수!$D95="",FALSE(),IF(발주접수!$F95="세트",COUNTIF(세트구성!$G$3:$G$302,발주접수!$D95&amp;"|"&amp;10)&gt;0,9=0))</f>
        <v>0</v>
      </c>
      <c r="K935" s="34" t="str">
        <f>IF($J935=FALSE(),"",COUNTIF($J$6:$J935,TRUE()))</f>
        <v/>
      </c>
      <c r="L935" s="34" t="str">
        <f>IF($K935="","","R"&amp;$K935)</f>
        <v/>
      </c>
      <c r="M935" s="34" t="str">
        <f>IF($J935=FALSE(),"",IF(발주접수!$F95="세트",IFERROR(INDEX(세트구성!$C$3:$C$302,MATCH(발주접수!$D95&amp;"|"&amp;10,세트구성!$G$3:$G$302,0)),""),발주접수!$D95))</f>
        <v/>
      </c>
      <c r="N935" s="34" t="str">
        <f>IF($J935=FALSE(),"",IF(발주접수!$F95="세트",발주접수!$G95*IFERROR(INDEX(세트구성!$E$3:$E$302,MATCH(발주접수!$D95&amp;"|"&amp;10,세트구성!$G$3:$G$302,0)),0),발주접수!$G95))</f>
        <v/>
      </c>
      <c r="O935" s="34" t="str">
        <f>IF($J935=FALSE(),"",발주접수!$B95)</f>
        <v/>
      </c>
      <c r="P935" s="34" t="str">
        <f>IF($J935=FALSE(),"",발주접수!$C95)</f>
        <v/>
      </c>
      <c r="Q935" s="34" t="str">
        <f>IF($J935=FALSE(),"",IF(발주접수!$F95="세트",발주접수!$E95&amp;" 전개","직접 발주"))</f>
        <v/>
      </c>
    </row>
    <row r="936" ht="15" customHeight="1" s="30">
      <c r="J936" s="50" t="b">
        <f>IF(발주접수!$D96="",FALSE(),IF(발주접수!$F96="세트",COUNTIF(세트구성!$G$3:$G$302,발주접수!$D96&amp;"|"&amp;1)&gt;0,0=0))</f>
        <v>0</v>
      </c>
      <c r="K936" s="34" t="str">
        <f>IF($J936=FALSE(),"",COUNTIF($J$6:$J936,TRUE()))</f>
        <v/>
      </c>
      <c r="L936" s="34" t="str">
        <f>IF($K936="","","R"&amp;$K936)</f>
        <v/>
      </c>
      <c r="M936" s="34" t="str">
        <f>IF($J936=FALSE(),"",IF(발주접수!$F96="세트",IFERROR(INDEX(세트구성!$C$3:$C$302,MATCH(발주접수!$D96&amp;"|"&amp;1,세트구성!$G$3:$G$302,0)),""),발주접수!$D96))</f>
        <v/>
      </c>
      <c r="N936" s="34" t="str">
        <f>IF($J936=FALSE(),"",IF(발주접수!$F96="세트",발주접수!$G96*IFERROR(INDEX(세트구성!$E$3:$E$302,MATCH(발주접수!$D96&amp;"|"&amp;1,세트구성!$G$3:$G$302,0)),0),발주접수!$G96))</f>
        <v/>
      </c>
      <c r="O936" s="34" t="str">
        <f>IF($J936=FALSE(),"",발주접수!$B96)</f>
        <v/>
      </c>
      <c r="P936" s="34" t="str">
        <f>IF($J936=FALSE(),"",발주접수!$C96)</f>
        <v/>
      </c>
      <c r="Q936" s="34" t="str">
        <f>IF($J936=FALSE(),"",IF(발주접수!$F96="세트",발주접수!$E96&amp;" 전개","직접 발주"))</f>
        <v/>
      </c>
    </row>
    <row r="937" ht="15" customHeight="1" s="30">
      <c r="J937" s="50" t="b">
        <f>IF(발주접수!$D96="",FALSE(),IF(발주접수!$F96="세트",COUNTIF(세트구성!$G$3:$G$302,발주접수!$D96&amp;"|"&amp;2)&gt;0,1=0))</f>
        <v>0</v>
      </c>
      <c r="K937" s="34" t="str">
        <f>IF($J937=FALSE(),"",COUNTIF($J$6:$J937,TRUE()))</f>
        <v/>
      </c>
      <c r="L937" s="34" t="str">
        <f>IF($K937="","","R"&amp;$K937)</f>
        <v/>
      </c>
      <c r="M937" s="34" t="str">
        <f>IF($J937=FALSE(),"",IF(발주접수!$F96="세트",IFERROR(INDEX(세트구성!$C$3:$C$302,MATCH(발주접수!$D96&amp;"|"&amp;2,세트구성!$G$3:$G$302,0)),""),발주접수!$D96))</f>
        <v/>
      </c>
      <c r="N937" s="34" t="str">
        <f>IF($J937=FALSE(),"",IF(발주접수!$F96="세트",발주접수!$G96*IFERROR(INDEX(세트구성!$E$3:$E$302,MATCH(발주접수!$D96&amp;"|"&amp;2,세트구성!$G$3:$G$302,0)),0),발주접수!$G96))</f>
        <v/>
      </c>
      <c r="O937" s="34" t="str">
        <f>IF($J937=FALSE(),"",발주접수!$B96)</f>
        <v/>
      </c>
      <c r="P937" s="34" t="str">
        <f>IF($J937=FALSE(),"",발주접수!$C96)</f>
        <v/>
      </c>
      <c r="Q937" s="34" t="str">
        <f>IF($J937=FALSE(),"",IF(발주접수!$F96="세트",발주접수!$E96&amp;" 전개","직접 발주"))</f>
        <v/>
      </c>
    </row>
    <row r="938" ht="15" customHeight="1" s="30">
      <c r="J938" s="50" t="b">
        <f>IF(발주접수!$D96="",FALSE(),IF(발주접수!$F96="세트",COUNTIF(세트구성!$G$3:$G$302,발주접수!$D96&amp;"|"&amp;3)&gt;0,2=0))</f>
        <v>0</v>
      </c>
      <c r="K938" s="34" t="str">
        <f>IF($J938=FALSE(),"",COUNTIF($J$6:$J938,TRUE()))</f>
        <v/>
      </c>
      <c r="L938" s="34" t="str">
        <f>IF($K938="","","R"&amp;$K938)</f>
        <v/>
      </c>
      <c r="M938" s="34" t="str">
        <f>IF($J938=FALSE(),"",IF(발주접수!$F96="세트",IFERROR(INDEX(세트구성!$C$3:$C$302,MATCH(발주접수!$D96&amp;"|"&amp;3,세트구성!$G$3:$G$302,0)),""),발주접수!$D96))</f>
        <v/>
      </c>
      <c r="N938" s="34" t="str">
        <f>IF($J938=FALSE(),"",IF(발주접수!$F96="세트",발주접수!$G96*IFERROR(INDEX(세트구성!$E$3:$E$302,MATCH(발주접수!$D96&amp;"|"&amp;3,세트구성!$G$3:$G$302,0)),0),발주접수!$G96))</f>
        <v/>
      </c>
      <c r="O938" s="34" t="str">
        <f>IF($J938=FALSE(),"",발주접수!$B96)</f>
        <v/>
      </c>
      <c r="P938" s="34" t="str">
        <f>IF($J938=FALSE(),"",발주접수!$C96)</f>
        <v/>
      </c>
      <c r="Q938" s="34" t="str">
        <f>IF($J938=FALSE(),"",IF(발주접수!$F96="세트",발주접수!$E96&amp;" 전개","직접 발주"))</f>
        <v/>
      </c>
    </row>
    <row r="939" ht="15" customHeight="1" s="30">
      <c r="J939" s="50" t="b">
        <f>IF(발주접수!$D96="",FALSE(),IF(발주접수!$F96="세트",COUNTIF(세트구성!$G$3:$G$302,발주접수!$D96&amp;"|"&amp;4)&gt;0,3=0))</f>
        <v>0</v>
      </c>
      <c r="K939" s="34" t="str">
        <f>IF($J939=FALSE(),"",COUNTIF($J$6:$J939,TRUE()))</f>
        <v/>
      </c>
      <c r="L939" s="34" t="str">
        <f>IF($K939="","","R"&amp;$K939)</f>
        <v/>
      </c>
      <c r="M939" s="34" t="str">
        <f>IF($J939=FALSE(),"",IF(발주접수!$F96="세트",IFERROR(INDEX(세트구성!$C$3:$C$302,MATCH(발주접수!$D96&amp;"|"&amp;4,세트구성!$G$3:$G$302,0)),""),발주접수!$D96))</f>
        <v/>
      </c>
      <c r="N939" s="34" t="str">
        <f>IF($J939=FALSE(),"",IF(발주접수!$F96="세트",발주접수!$G96*IFERROR(INDEX(세트구성!$E$3:$E$302,MATCH(발주접수!$D96&amp;"|"&amp;4,세트구성!$G$3:$G$302,0)),0),발주접수!$G96))</f>
        <v/>
      </c>
      <c r="O939" s="34" t="str">
        <f>IF($J939=FALSE(),"",발주접수!$B96)</f>
        <v/>
      </c>
      <c r="P939" s="34" t="str">
        <f>IF($J939=FALSE(),"",발주접수!$C96)</f>
        <v/>
      </c>
      <c r="Q939" s="34" t="str">
        <f>IF($J939=FALSE(),"",IF(발주접수!$F96="세트",발주접수!$E96&amp;" 전개","직접 발주"))</f>
        <v/>
      </c>
    </row>
    <row r="940" ht="15" customHeight="1" s="30">
      <c r="J940" s="50" t="b">
        <f>IF(발주접수!$D96="",FALSE(),IF(발주접수!$F96="세트",COUNTIF(세트구성!$G$3:$G$302,발주접수!$D96&amp;"|"&amp;5)&gt;0,4=0))</f>
        <v>0</v>
      </c>
      <c r="K940" s="34" t="str">
        <f>IF($J940=FALSE(),"",COUNTIF($J$6:$J940,TRUE()))</f>
        <v/>
      </c>
      <c r="L940" s="34" t="str">
        <f>IF($K940="","","R"&amp;$K940)</f>
        <v/>
      </c>
      <c r="M940" s="34" t="str">
        <f>IF($J940=FALSE(),"",IF(발주접수!$F96="세트",IFERROR(INDEX(세트구성!$C$3:$C$302,MATCH(발주접수!$D96&amp;"|"&amp;5,세트구성!$G$3:$G$302,0)),""),발주접수!$D96))</f>
        <v/>
      </c>
      <c r="N940" s="34" t="str">
        <f>IF($J940=FALSE(),"",IF(발주접수!$F96="세트",발주접수!$G96*IFERROR(INDEX(세트구성!$E$3:$E$302,MATCH(발주접수!$D96&amp;"|"&amp;5,세트구성!$G$3:$G$302,0)),0),발주접수!$G96))</f>
        <v/>
      </c>
      <c r="O940" s="34" t="str">
        <f>IF($J940=FALSE(),"",발주접수!$B96)</f>
        <v/>
      </c>
      <c r="P940" s="34" t="str">
        <f>IF($J940=FALSE(),"",발주접수!$C96)</f>
        <v/>
      </c>
      <c r="Q940" s="34" t="str">
        <f>IF($J940=FALSE(),"",IF(발주접수!$F96="세트",발주접수!$E96&amp;" 전개","직접 발주"))</f>
        <v/>
      </c>
    </row>
    <row r="941" ht="15" customHeight="1" s="30">
      <c r="J941" s="50" t="b">
        <f>IF(발주접수!$D96="",FALSE(),IF(발주접수!$F96="세트",COUNTIF(세트구성!$G$3:$G$302,발주접수!$D96&amp;"|"&amp;6)&gt;0,5=0))</f>
        <v>0</v>
      </c>
      <c r="K941" s="34" t="str">
        <f>IF($J941=FALSE(),"",COUNTIF($J$6:$J941,TRUE()))</f>
        <v/>
      </c>
      <c r="L941" s="34" t="str">
        <f>IF($K941="","","R"&amp;$K941)</f>
        <v/>
      </c>
      <c r="M941" s="34" t="str">
        <f>IF($J941=FALSE(),"",IF(발주접수!$F96="세트",IFERROR(INDEX(세트구성!$C$3:$C$302,MATCH(발주접수!$D96&amp;"|"&amp;6,세트구성!$G$3:$G$302,0)),""),발주접수!$D96))</f>
        <v/>
      </c>
      <c r="N941" s="34" t="str">
        <f>IF($J941=FALSE(),"",IF(발주접수!$F96="세트",발주접수!$G96*IFERROR(INDEX(세트구성!$E$3:$E$302,MATCH(발주접수!$D96&amp;"|"&amp;6,세트구성!$G$3:$G$302,0)),0),발주접수!$G96))</f>
        <v/>
      </c>
      <c r="O941" s="34" t="str">
        <f>IF($J941=FALSE(),"",발주접수!$B96)</f>
        <v/>
      </c>
      <c r="P941" s="34" t="str">
        <f>IF($J941=FALSE(),"",발주접수!$C96)</f>
        <v/>
      </c>
      <c r="Q941" s="34" t="str">
        <f>IF($J941=FALSE(),"",IF(발주접수!$F96="세트",발주접수!$E96&amp;" 전개","직접 발주"))</f>
        <v/>
      </c>
    </row>
    <row r="942" ht="15" customHeight="1" s="30">
      <c r="J942" s="50" t="b">
        <f>IF(발주접수!$D96="",FALSE(),IF(발주접수!$F96="세트",COUNTIF(세트구성!$G$3:$G$302,발주접수!$D96&amp;"|"&amp;7)&gt;0,6=0))</f>
        <v>0</v>
      </c>
      <c r="K942" s="34" t="str">
        <f>IF($J942=FALSE(),"",COUNTIF($J$6:$J942,TRUE()))</f>
        <v/>
      </c>
      <c r="L942" s="34" t="str">
        <f>IF($K942="","","R"&amp;$K942)</f>
        <v/>
      </c>
      <c r="M942" s="34" t="str">
        <f>IF($J942=FALSE(),"",IF(발주접수!$F96="세트",IFERROR(INDEX(세트구성!$C$3:$C$302,MATCH(발주접수!$D96&amp;"|"&amp;7,세트구성!$G$3:$G$302,0)),""),발주접수!$D96))</f>
        <v/>
      </c>
      <c r="N942" s="34" t="str">
        <f>IF($J942=FALSE(),"",IF(발주접수!$F96="세트",발주접수!$G96*IFERROR(INDEX(세트구성!$E$3:$E$302,MATCH(발주접수!$D96&amp;"|"&amp;7,세트구성!$G$3:$G$302,0)),0),발주접수!$G96))</f>
        <v/>
      </c>
      <c r="O942" s="34" t="str">
        <f>IF($J942=FALSE(),"",발주접수!$B96)</f>
        <v/>
      </c>
      <c r="P942" s="34" t="str">
        <f>IF($J942=FALSE(),"",발주접수!$C96)</f>
        <v/>
      </c>
      <c r="Q942" s="34" t="str">
        <f>IF($J942=FALSE(),"",IF(발주접수!$F96="세트",발주접수!$E96&amp;" 전개","직접 발주"))</f>
        <v/>
      </c>
    </row>
    <row r="943" ht="15" customHeight="1" s="30">
      <c r="J943" s="50" t="b">
        <f>IF(발주접수!$D96="",FALSE(),IF(발주접수!$F96="세트",COUNTIF(세트구성!$G$3:$G$302,발주접수!$D96&amp;"|"&amp;8)&gt;0,7=0))</f>
        <v>0</v>
      </c>
      <c r="K943" s="34" t="str">
        <f>IF($J943=FALSE(),"",COUNTIF($J$6:$J943,TRUE()))</f>
        <v/>
      </c>
      <c r="L943" s="34" t="str">
        <f>IF($K943="","","R"&amp;$K943)</f>
        <v/>
      </c>
      <c r="M943" s="34" t="str">
        <f>IF($J943=FALSE(),"",IF(발주접수!$F96="세트",IFERROR(INDEX(세트구성!$C$3:$C$302,MATCH(발주접수!$D96&amp;"|"&amp;8,세트구성!$G$3:$G$302,0)),""),발주접수!$D96))</f>
        <v/>
      </c>
      <c r="N943" s="34" t="str">
        <f>IF($J943=FALSE(),"",IF(발주접수!$F96="세트",발주접수!$G96*IFERROR(INDEX(세트구성!$E$3:$E$302,MATCH(발주접수!$D96&amp;"|"&amp;8,세트구성!$G$3:$G$302,0)),0),발주접수!$G96))</f>
        <v/>
      </c>
      <c r="O943" s="34" t="str">
        <f>IF($J943=FALSE(),"",발주접수!$B96)</f>
        <v/>
      </c>
      <c r="P943" s="34" t="str">
        <f>IF($J943=FALSE(),"",발주접수!$C96)</f>
        <v/>
      </c>
      <c r="Q943" s="34" t="str">
        <f>IF($J943=FALSE(),"",IF(발주접수!$F96="세트",발주접수!$E96&amp;" 전개","직접 발주"))</f>
        <v/>
      </c>
    </row>
    <row r="944" ht="15" customHeight="1" s="30">
      <c r="J944" s="50" t="b">
        <f>IF(발주접수!$D96="",FALSE(),IF(발주접수!$F96="세트",COUNTIF(세트구성!$G$3:$G$302,발주접수!$D96&amp;"|"&amp;9)&gt;0,8=0))</f>
        <v>0</v>
      </c>
      <c r="K944" s="34" t="str">
        <f>IF($J944=FALSE(),"",COUNTIF($J$6:$J944,TRUE()))</f>
        <v/>
      </c>
      <c r="L944" s="34" t="str">
        <f>IF($K944="","","R"&amp;$K944)</f>
        <v/>
      </c>
      <c r="M944" s="34" t="str">
        <f>IF($J944=FALSE(),"",IF(발주접수!$F96="세트",IFERROR(INDEX(세트구성!$C$3:$C$302,MATCH(발주접수!$D96&amp;"|"&amp;9,세트구성!$G$3:$G$302,0)),""),발주접수!$D96))</f>
        <v/>
      </c>
      <c r="N944" s="34" t="str">
        <f>IF($J944=FALSE(),"",IF(발주접수!$F96="세트",발주접수!$G96*IFERROR(INDEX(세트구성!$E$3:$E$302,MATCH(발주접수!$D96&amp;"|"&amp;9,세트구성!$G$3:$G$302,0)),0),발주접수!$G96))</f>
        <v/>
      </c>
      <c r="O944" s="34" t="str">
        <f>IF($J944=FALSE(),"",발주접수!$B96)</f>
        <v/>
      </c>
      <c r="P944" s="34" t="str">
        <f>IF($J944=FALSE(),"",발주접수!$C96)</f>
        <v/>
      </c>
      <c r="Q944" s="34" t="str">
        <f>IF($J944=FALSE(),"",IF(발주접수!$F96="세트",발주접수!$E96&amp;" 전개","직접 발주"))</f>
        <v/>
      </c>
    </row>
    <row r="945" ht="15" customHeight="1" s="30">
      <c r="J945" s="50" t="b">
        <f>IF(발주접수!$D96="",FALSE(),IF(발주접수!$F96="세트",COUNTIF(세트구성!$G$3:$G$302,발주접수!$D96&amp;"|"&amp;10)&gt;0,9=0))</f>
        <v>0</v>
      </c>
      <c r="K945" s="34" t="str">
        <f>IF($J945=FALSE(),"",COUNTIF($J$6:$J945,TRUE()))</f>
        <v/>
      </c>
      <c r="L945" s="34" t="str">
        <f>IF($K945="","","R"&amp;$K945)</f>
        <v/>
      </c>
      <c r="M945" s="34" t="str">
        <f>IF($J945=FALSE(),"",IF(발주접수!$F96="세트",IFERROR(INDEX(세트구성!$C$3:$C$302,MATCH(발주접수!$D96&amp;"|"&amp;10,세트구성!$G$3:$G$302,0)),""),발주접수!$D96))</f>
        <v/>
      </c>
      <c r="N945" s="34" t="str">
        <f>IF($J945=FALSE(),"",IF(발주접수!$F96="세트",발주접수!$G96*IFERROR(INDEX(세트구성!$E$3:$E$302,MATCH(발주접수!$D96&amp;"|"&amp;10,세트구성!$G$3:$G$302,0)),0),발주접수!$G96))</f>
        <v/>
      </c>
      <c r="O945" s="34" t="str">
        <f>IF($J945=FALSE(),"",발주접수!$B96)</f>
        <v/>
      </c>
      <c r="P945" s="34" t="str">
        <f>IF($J945=FALSE(),"",발주접수!$C96)</f>
        <v/>
      </c>
      <c r="Q945" s="34" t="str">
        <f>IF($J945=FALSE(),"",IF(발주접수!$F96="세트",발주접수!$E96&amp;" 전개","직접 발주"))</f>
        <v/>
      </c>
    </row>
    <row r="946" ht="15" customHeight="1" s="30">
      <c r="J946" s="50" t="b">
        <f>IF(발주접수!$D97="",FALSE(),IF(발주접수!$F97="세트",COUNTIF(세트구성!$G$3:$G$302,발주접수!$D97&amp;"|"&amp;1)&gt;0,0=0))</f>
        <v>0</v>
      </c>
      <c r="K946" s="34" t="str">
        <f>IF($J946=FALSE(),"",COUNTIF($J$6:$J946,TRUE()))</f>
        <v/>
      </c>
      <c r="L946" s="34" t="str">
        <f>IF($K946="","","R"&amp;$K946)</f>
        <v/>
      </c>
      <c r="M946" s="34" t="str">
        <f>IF($J946=FALSE(),"",IF(발주접수!$F97="세트",IFERROR(INDEX(세트구성!$C$3:$C$302,MATCH(발주접수!$D97&amp;"|"&amp;1,세트구성!$G$3:$G$302,0)),""),발주접수!$D97))</f>
        <v/>
      </c>
      <c r="N946" s="34" t="str">
        <f>IF($J946=FALSE(),"",IF(발주접수!$F97="세트",발주접수!$G97*IFERROR(INDEX(세트구성!$E$3:$E$302,MATCH(발주접수!$D97&amp;"|"&amp;1,세트구성!$G$3:$G$302,0)),0),발주접수!$G97))</f>
        <v/>
      </c>
      <c r="O946" s="34" t="str">
        <f>IF($J946=FALSE(),"",발주접수!$B97)</f>
        <v/>
      </c>
      <c r="P946" s="34" t="str">
        <f>IF($J946=FALSE(),"",발주접수!$C97)</f>
        <v/>
      </c>
      <c r="Q946" s="34" t="str">
        <f>IF($J946=FALSE(),"",IF(발주접수!$F97="세트",발주접수!$E97&amp;" 전개","직접 발주"))</f>
        <v/>
      </c>
    </row>
    <row r="947" ht="15" customHeight="1" s="30">
      <c r="J947" s="50" t="b">
        <f>IF(발주접수!$D97="",FALSE(),IF(발주접수!$F97="세트",COUNTIF(세트구성!$G$3:$G$302,발주접수!$D97&amp;"|"&amp;2)&gt;0,1=0))</f>
        <v>0</v>
      </c>
      <c r="K947" s="34" t="str">
        <f>IF($J947=FALSE(),"",COUNTIF($J$6:$J947,TRUE()))</f>
        <v/>
      </c>
      <c r="L947" s="34" t="str">
        <f>IF($K947="","","R"&amp;$K947)</f>
        <v/>
      </c>
      <c r="M947" s="34" t="str">
        <f>IF($J947=FALSE(),"",IF(발주접수!$F97="세트",IFERROR(INDEX(세트구성!$C$3:$C$302,MATCH(발주접수!$D97&amp;"|"&amp;2,세트구성!$G$3:$G$302,0)),""),발주접수!$D97))</f>
        <v/>
      </c>
      <c r="N947" s="34" t="str">
        <f>IF($J947=FALSE(),"",IF(발주접수!$F97="세트",발주접수!$G97*IFERROR(INDEX(세트구성!$E$3:$E$302,MATCH(발주접수!$D97&amp;"|"&amp;2,세트구성!$G$3:$G$302,0)),0),발주접수!$G97))</f>
        <v/>
      </c>
      <c r="O947" s="34" t="str">
        <f>IF($J947=FALSE(),"",발주접수!$B97)</f>
        <v/>
      </c>
      <c r="P947" s="34" t="str">
        <f>IF($J947=FALSE(),"",발주접수!$C97)</f>
        <v/>
      </c>
      <c r="Q947" s="34" t="str">
        <f>IF($J947=FALSE(),"",IF(발주접수!$F97="세트",발주접수!$E97&amp;" 전개","직접 발주"))</f>
        <v/>
      </c>
    </row>
    <row r="948" ht="15" customHeight="1" s="30">
      <c r="J948" s="50" t="b">
        <f>IF(발주접수!$D97="",FALSE(),IF(발주접수!$F97="세트",COUNTIF(세트구성!$G$3:$G$302,발주접수!$D97&amp;"|"&amp;3)&gt;0,2=0))</f>
        <v>0</v>
      </c>
      <c r="K948" s="34" t="str">
        <f>IF($J948=FALSE(),"",COUNTIF($J$6:$J948,TRUE()))</f>
        <v/>
      </c>
      <c r="L948" s="34" t="str">
        <f>IF($K948="","","R"&amp;$K948)</f>
        <v/>
      </c>
      <c r="M948" s="34" t="str">
        <f>IF($J948=FALSE(),"",IF(발주접수!$F97="세트",IFERROR(INDEX(세트구성!$C$3:$C$302,MATCH(발주접수!$D97&amp;"|"&amp;3,세트구성!$G$3:$G$302,0)),""),발주접수!$D97))</f>
        <v/>
      </c>
      <c r="N948" s="34" t="str">
        <f>IF($J948=FALSE(),"",IF(발주접수!$F97="세트",발주접수!$G97*IFERROR(INDEX(세트구성!$E$3:$E$302,MATCH(발주접수!$D97&amp;"|"&amp;3,세트구성!$G$3:$G$302,0)),0),발주접수!$G97))</f>
        <v/>
      </c>
      <c r="O948" s="34" t="str">
        <f>IF($J948=FALSE(),"",발주접수!$B97)</f>
        <v/>
      </c>
      <c r="P948" s="34" t="str">
        <f>IF($J948=FALSE(),"",발주접수!$C97)</f>
        <v/>
      </c>
      <c r="Q948" s="34" t="str">
        <f>IF($J948=FALSE(),"",IF(발주접수!$F97="세트",발주접수!$E97&amp;" 전개","직접 발주"))</f>
        <v/>
      </c>
    </row>
    <row r="949" ht="15" customHeight="1" s="30">
      <c r="J949" s="50" t="b">
        <f>IF(발주접수!$D97="",FALSE(),IF(발주접수!$F97="세트",COUNTIF(세트구성!$G$3:$G$302,발주접수!$D97&amp;"|"&amp;4)&gt;0,3=0))</f>
        <v>0</v>
      </c>
      <c r="K949" s="34" t="str">
        <f>IF($J949=FALSE(),"",COUNTIF($J$6:$J949,TRUE()))</f>
        <v/>
      </c>
      <c r="L949" s="34" t="str">
        <f>IF($K949="","","R"&amp;$K949)</f>
        <v/>
      </c>
      <c r="M949" s="34" t="str">
        <f>IF($J949=FALSE(),"",IF(발주접수!$F97="세트",IFERROR(INDEX(세트구성!$C$3:$C$302,MATCH(발주접수!$D97&amp;"|"&amp;4,세트구성!$G$3:$G$302,0)),""),발주접수!$D97))</f>
        <v/>
      </c>
      <c r="N949" s="34" t="str">
        <f>IF($J949=FALSE(),"",IF(발주접수!$F97="세트",발주접수!$G97*IFERROR(INDEX(세트구성!$E$3:$E$302,MATCH(발주접수!$D97&amp;"|"&amp;4,세트구성!$G$3:$G$302,0)),0),발주접수!$G97))</f>
        <v/>
      </c>
      <c r="O949" s="34" t="str">
        <f>IF($J949=FALSE(),"",발주접수!$B97)</f>
        <v/>
      </c>
      <c r="P949" s="34" t="str">
        <f>IF($J949=FALSE(),"",발주접수!$C97)</f>
        <v/>
      </c>
      <c r="Q949" s="34" t="str">
        <f>IF($J949=FALSE(),"",IF(발주접수!$F97="세트",발주접수!$E97&amp;" 전개","직접 발주"))</f>
        <v/>
      </c>
    </row>
    <row r="950" ht="15" customHeight="1" s="30">
      <c r="J950" s="50" t="b">
        <f>IF(발주접수!$D97="",FALSE(),IF(발주접수!$F97="세트",COUNTIF(세트구성!$G$3:$G$302,발주접수!$D97&amp;"|"&amp;5)&gt;0,4=0))</f>
        <v>0</v>
      </c>
      <c r="K950" s="34" t="str">
        <f>IF($J950=FALSE(),"",COUNTIF($J$6:$J950,TRUE()))</f>
        <v/>
      </c>
      <c r="L950" s="34" t="str">
        <f>IF($K950="","","R"&amp;$K950)</f>
        <v/>
      </c>
      <c r="M950" s="34" t="str">
        <f>IF($J950=FALSE(),"",IF(발주접수!$F97="세트",IFERROR(INDEX(세트구성!$C$3:$C$302,MATCH(발주접수!$D97&amp;"|"&amp;5,세트구성!$G$3:$G$302,0)),""),발주접수!$D97))</f>
        <v/>
      </c>
      <c r="N950" s="34" t="str">
        <f>IF($J950=FALSE(),"",IF(발주접수!$F97="세트",발주접수!$G97*IFERROR(INDEX(세트구성!$E$3:$E$302,MATCH(발주접수!$D97&amp;"|"&amp;5,세트구성!$G$3:$G$302,0)),0),발주접수!$G97))</f>
        <v/>
      </c>
      <c r="O950" s="34" t="str">
        <f>IF($J950=FALSE(),"",발주접수!$B97)</f>
        <v/>
      </c>
      <c r="P950" s="34" t="str">
        <f>IF($J950=FALSE(),"",발주접수!$C97)</f>
        <v/>
      </c>
      <c r="Q950" s="34" t="str">
        <f>IF($J950=FALSE(),"",IF(발주접수!$F97="세트",발주접수!$E97&amp;" 전개","직접 발주"))</f>
        <v/>
      </c>
    </row>
    <row r="951" ht="15" customHeight="1" s="30">
      <c r="J951" s="50" t="b">
        <f>IF(발주접수!$D97="",FALSE(),IF(발주접수!$F97="세트",COUNTIF(세트구성!$G$3:$G$302,발주접수!$D97&amp;"|"&amp;6)&gt;0,5=0))</f>
        <v>0</v>
      </c>
      <c r="K951" s="34" t="str">
        <f>IF($J951=FALSE(),"",COUNTIF($J$6:$J951,TRUE()))</f>
        <v/>
      </c>
      <c r="L951" s="34" t="str">
        <f>IF($K951="","","R"&amp;$K951)</f>
        <v/>
      </c>
      <c r="M951" s="34" t="str">
        <f>IF($J951=FALSE(),"",IF(발주접수!$F97="세트",IFERROR(INDEX(세트구성!$C$3:$C$302,MATCH(발주접수!$D97&amp;"|"&amp;6,세트구성!$G$3:$G$302,0)),""),발주접수!$D97))</f>
        <v/>
      </c>
      <c r="N951" s="34" t="str">
        <f>IF($J951=FALSE(),"",IF(발주접수!$F97="세트",발주접수!$G97*IFERROR(INDEX(세트구성!$E$3:$E$302,MATCH(발주접수!$D97&amp;"|"&amp;6,세트구성!$G$3:$G$302,0)),0),발주접수!$G97))</f>
        <v/>
      </c>
      <c r="O951" s="34" t="str">
        <f>IF($J951=FALSE(),"",발주접수!$B97)</f>
        <v/>
      </c>
      <c r="P951" s="34" t="str">
        <f>IF($J951=FALSE(),"",발주접수!$C97)</f>
        <v/>
      </c>
      <c r="Q951" s="34" t="str">
        <f>IF($J951=FALSE(),"",IF(발주접수!$F97="세트",발주접수!$E97&amp;" 전개","직접 발주"))</f>
        <v/>
      </c>
    </row>
    <row r="952" ht="15" customHeight="1" s="30">
      <c r="J952" s="50" t="b">
        <f>IF(발주접수!$D97="",FALSE(),IF(발주접수!$F97="세트",COUNTIF(세트구성!$G$3:$G$302,발주접수!$D97&amp;"|"&amp;7)&gt;0,6=0))</f>
        <v>0</v>
      </c>
      <c r="K952" s="34" t="str">
        <f>IF($J952=FALSE(),"",COUNTIF($J$6:$J952,TRUE()))</f>
        <v/>
      </c>
      <c r="L952" s="34" t="str">
        <f>IF($K952="","","R"&amp;$K952)</f>
        <v/>
      </c>
      <c r="M952" s="34" t="str">
        <f>IF($J952=FALSE(),"",IF(발주접수!$F97="세트",IFERROR(INDEX(세트구성!$C$3:$C$302,MATCH(발주접수!$D97&amp;"|"&amp;7,세트구성!$G$3:$G$302,0)),""),발주접수!$D97))</f>
        <v/>
      </c>
      <c r="N952" s="34" t="str">
        <f>IF($J952=FALSE(),"",IF(발주접수!$F97="세트",발주접수!$G97*IFERROR(INDEX(세트구성!$E$3:$E$302,MATCH(발주접수!$D97&amp;"|"&amp;7,세트구성!$G$3:$G$302,0)),0),발주접수!$G97))</f>
        <v/>
      </c>
      <c r="O952" s="34" t="str">
        <f>IF($J952=FALSE(),"",발주접수!$B97)</f>
        <v/>
      </c>
      <c r="P952" s="34" t="str">
        <f>IF($J952=FALSE(),"",발주접수!$C97)</f>
        <v/>
      </c>
      <c r="Q952" s="34" t="str">
        <f>IF($J952=FALSE(),"",IF(발주접수!$F97="세트",발주접수!$E97&amp;" 전개","직접 발주"))</f>
        <v/>
      </c>
    </row>
    <row r="953" ht="15" customHeight="1" s="30">
      <c r="J953" s="50" t="b">
        <f>IF(발주접수!$D97="",FALSE(),IF(발주접수!$F97="세트",COUNTIF(세트구성!$G$3:$G$302,발주접수!$D97&amp;"|"&amp;8)&gt;0,7=0))</f>
        <v>0</v>
      </c>
      <c r="K953" s="34" t="str">
        <f>IF($J953=FALSE(),"",COUNTIF($J$6:$J953,TRUE()))</f>
        <v/>
      </c>
      <c r="L953" s="34" t="str">
        <f>IF($K953="","","R"&amp;$K953)</f>
        <v/>
      </c>
      <c r="M953" s="34" t="str">
        <f>IF($J953=FALSE(),"",IF(발주접수!$F97="세트",IFERROR(INDEX(세트구성!$C$3:$C$302,MATCH(발주접수!$D97&amp;"|"&amp;8,세트구성!$G$3:$G$302,0)),""),발주접수!$D97))</f>
        <v/>
      </c>
      <c r="N953" s="34" t="str">
        <f>IF($J953=FALSE(),"",IF(발주접수!$F97="세트",발주접수!$G97*IFERROR(INDEX(세트구성!$E$3:$E$302,MATCH(발주접수!$D97&amp;"|"&amp;8,세트구성!$G$3:$G$302,0)),0),발주접수!$G97))</f>
        <v/>
      </c>
      <c r="O953" s="34" t="str">
        <f>IF($J953=FALSE(),"",발주접수!$B97)</f>
        <v/>
      </c>
      <c r="P953" s="34" t="str">
        <f>IF($J953=FALSE(),"",발주접수!$C97)</f>
        <v/>
      </c>
      <c r="Q953" s="34" t="str">
        <f>IF($J953=FALSE(),"",IF(발주접수!$F97="세트",발주접수!$E97&amp;" 전개","직접 발주"))</f>
        <v/>
      </c>
    </row>
    <row r="954" ht="15" customHeight="1" s="30">
      <c r="J954" s="50" t="b">
        <f>IF(발주접수!$D97="",FALSE(),IF(발주접수!$F97="세트",COUNTIF(세트구성!$G$3:$G$302,발주접수!$D97&amp;"|"&amp;9)&gt;0,8=0))</f>
        <v>0</v>
      </c>
      <c r="K954" s="34" t="str">
        <f>IF($J954=FALSE(),"",COUNTIF($J$6:$J954,TRUE()))</f>
        <v/>
      </c>
      <c r="L954" s="34" t="str">
        <f>IF($K954="","","R"&amp;$K954)</f>
        <v/>
      </c>
      <c r="M954" s="34" t="str">
        <f>IF($J954=FALSE(),"",IF(발주접수!$F97="세트",IFERROR(INDEX(세트구성!$C$3:$C$302,MATCH(발주접수!$D97&amp;"|"&amp;9,세트구성!$G$3:$G$302,0)),""),발주접수!$D97))</f>
        <v/>
      </c>
      <c r="N954" s="34" t="str">
        <f>IF($J954=FALSE(),"",IF(발주접수!$F97="세트",발주접수!$G97*IFERROR(INDEX(세트구성!$E$3:$E$302,MATCH(발주접수!$D97&amp;"|"&amp;9,세트구성!$G$3:$G$302,0)),0),발주접수!$G97))</f>
        <v/>
      </c>
      <c r="O954" s="34" t="str">
        <f>IF($J954=FALSE(),"",발주접수!$B97)</f>
        <v/>
      </c>
      <c r="P954" s="34" t="str">
        <f>IF($J954=FALSE(),"",발주접수!$C97)</f>
        <v/>
      </c>
      <c r="Q954" s="34" t="str">
        <f>IF($J954=FALSE(),"",IF(발주접수!$F97="세트",발주접수!$E97&amp;" 전개","직접 발주"))</f>
        <v/>
      </c>
    </row>
    <row r="955" ht="15" customHeight="1" s="30">
      <c r="J955" s="50" t="b">
        <f>IF(발주접수!$D97="",FALSE(),IF(발주접수!$F97="세트",COUNTIF(세트구성!$G$3:$G$302,발주접수!$D97&amp;"|"&amp;10)&gt;0,9=0))</f>
        <v>0</v>
      </c>
      <c r="K955" s="34" t="str">
        <f>IF($J955=FALSE(),"",COUNTIF($J$6:$J955,TRUE()))</f>
        <v/>
      </c>
      <c r="L955" s="34" t="str">
        <f>IF($K955="","","R"&amp;$K955)</f>
        <v/>
      </c>
      <c r="M955" s="34" t="str">
        <f>IF($J955=FALSE(),"",IF(발주접수!$F97="세트",IFERROR(INDEX(세트구성!$C$3:$C$302,MATCH(발주접수!$D97&amp;"|"&amp;10,세트구성!$G$3:$G$302,0)),""),발주접수!$D97))</f>
        <v/>
      </c>
      <c r="N955" s="34" t="str">
        <f>IF($J955=FALSE(),"",IF(발주접수!$F97="세트",발주접수!$G97*IFERROR(INDEX(세트구성!$E$3:$E$302,MATCH(발주접수!$D97&amp;"|"&amp;10,세트구성!$G$3:$G$302,0)),0),발주접수!$G97))</f>
        <v/>
      </c>
      <c r="O955" s="34" t="str">
        <f>IF($J955=FALSE(),"",발주접수!$B97)</f>
        <v/>
      </c>
      <c r="P955" s="34" t="str">
        <f>IF($J955=FALSE(),"",발주접수!$C97)</f>
        <v/>
      </c>
      <c r="Q955" s="34" t="str">
        <f>IF($J955=FALSE(),"",IF(발주접수!$F97="세트",발주접수!$E97&amp;" 전개","직접 발주"))</f>
        <v/>
      </c>
    </row>
    <row r="956" ht="15" customHeight="1" s="30">
      <c r="J956" s="50" t="b">
        <f>IF(발주접수!$D98="",FALSE(),IF(발주접수!$F98="세트",COUNTIF(세트구성!$G$3:$G$302,발주접수!$D98&amp;"|"&amp;1)&gt;0,0=0))</f>
        <v>0</v>
      </c>
      <c r="K956" s="34" t="str">
        <f>IF($J956=FALSE(),"",COUNTIF($J$6:$J956,TRUE()))</f>
        <v/>
      </c>
      <c r="L956" s="34" t="str">
        <f>IF($K956="","","R"&amp;$K956)</f>
        <v/>
      </c>
      <c r="M956" s="34" t="str">
        <f>IF($J956=FALSE(),"",IF(발주접수!$F98="세트",IFERROR(INDEX(세트구성!$C$3:$C$302,MATCH(발주접수!$D98&amp;"|"&amp;1,세트구성!$G$3:$G$302,0)),""),발주접수!$D98))</f>
        <v/>
      </c>
      <c r="N956" s="34" t="str">
        <f>IF($J956=FALSE(),"",IF(발주접수!$F98="세트",발주접수!$G98*IFERROR(INDEX(세트구성!$E$3:$E$302,MATCH(발주접수!$D98&amp;"|"&amp;1,세트구성!$G$3:$G$302,0)),0),발주접수!$G98))</f>
        <v/>
      </c>
      <c r="O956" s="34" t="str">
        <f>IF($J956=FALSE(),"",발주접수!$B98)</f>
        <v/>
      </c>
      <c r="P956" s="34" t="str">
        <f>IF($J956=FALSE(),"",발주접수!$C98)</f>
        <v/>
      </c>
      <c r="Q956" s="34" t="str">
        <f>IF($J956=FALSE(),"",IF(발주접수!$F98="세트",발주접수!$E98&amp;" 전개","직접 발주"))</f>
        <v/>
      </c>
    </row>
    <row r="957" ht="15" customHeight="1" s="30">
      <c r="J957" s="50" t="b">
        <f>IF(발주접수!$D98="",FALSE(),IF(발주접수!$F98="세트",COUNTIF(세트구성!$G$3:$G$302,발주접수!$D98&amp;"|"&amp;2)&gt;0,1=0))</f>
        <v>0</v>
      </c>
      <c r="K957" s="34" t="str">
        <f>IF($J957=FALSE(),"",COUNTIF($J$6:$J957,TRUE()))</f>
        <v/>
      </c>
      <c r="L957" s="34" t="str">
        <f>IF($K957="","","R"&amp;$K957)</f>
        <v/>
      </c>
      <c r="M957" s="34" t="str">
        <f>IF($J957=FALSE(),"",IF(발주접수!$F98="세트",IFERROR(INDEX(세트구성!$C$3:$C$302,MATCH(발주접수!$D98&amp;"|"&amp;2,세트구성!$G$3:$G$302,0)),""),발주접수!$D98))</f>
        <v/>
      </c>
      <c r="N957" s="34" t="str">
        <f>IF($J957=FALSE(),"",IF(발주접수!$F98="세트",발주접수!$G98*IFERROR(INDEX(세트구성!$E$3:$E$302,MATCH(발주접수!$D98&amp;"|"&amp;2,세트구성!$G$3:$G$302,0)),0),발주접수!$G98))</f>
        <v/>
      </c>
      <c r="O957" s="34" t="str">
        <f>IF($J957=FALSE(),"",발주접수!$B98)</f>
        <v/>
      </c>
      <c r="P957" s="34" t="str">
        <f>IF($J957=FALSE(),"",발주접수!$C98)</f>
        <v/>
      </c>
      <c r="Q957" s="34" t="str">
        <f>IF($J957=FALSE(),"",IF(발주접수!$F98="세트",발주접수!$E98&amp;" 전개","직접 발주"))</f>
        <v/>
      </c>
    </row>
    <row r="958" ht="15" customHeight="1" s="30">
      <c r="J958" s="50" t="b">
        <f>IF(발주접수!$D98="",FALSE(),IF(발주접수!$F98="세트",COUNTIF(세트구성!$G$3:$G$302,발주접수!$D98&amp;"|"&amp;3)&gt;0,2=0))</f>
        <v>0</v>
      </c>
      <c r="K958" s="34" t="str">
        <f>IF($J958=FALSE(),"",COUNTIF($J$6:$J958,TRUE()))</f>
        <v/>
      </c>
      <c r="L958" s="34" t="str">
        <f>IF($K958="","","R"&amp;$K958)</f>
        <v/>
      </c>
      <c r="M958" s="34" t="str">
        <f>IF($J958=FALSE(),"",IF(발주접수!$F98="세트",IFERROR(INDEX(세트구성!$C$3:$C$302,MATCH(발주접수!$D98&amp;"|"&amp;3,세트구성!$G$3:$G$302,0)),""),발주접수!$D98))</f>
        <v/>
      </c>
      <c r="N958" s="34" t="str">
        <f>IF($J958=FALSE(),"",IF(발주접수!$F98="세트",발주접수!$G98*IFERROR(INDEX(세트구성!$E$3:$E$302,MATCH(발주접수!$D98&amp;"|"&amp;3,세트구성!$G$3:$G$302,0)),0),발주접수!$G98))</f>
        <v/>
      </c>
      <c r="O958" s="34" t="str">
        <f>IF($J958=FALSE(),"",발주접수!$B98)</f>
        <v/>
      </c>
      <c r="P958" s="34" t="str">
        <f>IF($J958=FALSE(),"",발주접수!$C98)</f>
        <v/>
      </c>
      <c r="Q958" s="34" t="str">
        <f>IF($J958=FALSE(),"",IF(발주접수!$F98="세트",발주접수!$E98&amp;" 전개","직접 발주"))</f>
        <v/>
      </c>
    </row>
    <row r="959" ht="15" customHeight="1" s="30">
      <c r="J959" s="50" t="b">
        <f>IF(발주접수!$D98="",FALSE(),IF(발주접수!$F98="세트",COUNTIF(세트구성!$G$3:$G$302,발주접수!$D98&amp;"|"&amp;4)&gt;0,3=0))</f>
        <v>0</v>
      </c>
      <c r="K959" s="34" t="str">
        <f>IF($J959=FALSE(),"",COUNTIF($J$6:$J959,TRUE()))</f>
        <v/>
      </c>
      <c r="L959" s="34" t="str">
        <f>IF($K959="","","R"&amp;$K959)</f>
        <v/>
      </c>
      <c r="M959" s="34" t="str">
        <f>IF($J959=FALSE(),"",IF(발주접수!$F98="세트",IFERROR(INDEX(세트구성!$C$3:$C$302,MATCH(발주접수!$D98&amp;"|"&amp;4,세트구성!$G$3:$G$302,0)),""),발주접수!$D98))</f>
        <v/>
      </c>
      <c r="N959" s="34" t="str">
        <f>IF($J959=FALSE(),"",IF(발주접수!$F98="세트",발주접수!$G98*IFERROR(INDEX(세트구성!$E$3:$E$302,MATCH(발주접수!$D98&amp;"|"&amp;4,세트구성!$G$3:$G$302,0)),0),발주접수!$G98))</f>
        <v/>
      </c>
      <c r="O959" s="34" t="str">
        <f>IF($J959=FALSE(),"",발주접수!$B98)</f>
        <v/>
      </c>
      <c r="P959" s="34" t="str">
        <f>IF($J959=FALSE(),"",발주접수!$C98)</f>
        <v/>
      </c>
      <c r="Q959" s="34" t="str">
        <f>IF($J959=FALSE(),"",IF(발주접수!$F98="세트",발주접수!$E98&amp;" 전개","직접 발주"))</f>
        <v/>
      </c>
    </row>
    <row r="960" ht="15" customHeight="1" s="30">
      <c r="J960" s="50" t="b">
        <f>IF(발주접수!$D98="",FALSE(),IF(발주접수!$F98="세트",COUNTIF(세트구성!$G$3:$G$302,발주접수!$D98&amp;"|"&amp;5)&gt;0,4=0))</f>
        <v>0</v>
      </c>
      <c r="K960" s="34" t="str">
        <f>IF($J960=FALSE(),"",COUNTIF($J$6:$J960,TRUE()))</f>
        <v/>
      </c>
      <c r="L960" s="34" t="str">
        <f>IF($K960="","","R"&amp;$K960)</f>
        <v/>
      </c>
      <c r="M960" s="34" t="str">
        <f>IF($J960=FALSE(),"",IF(발주접수!$F98="세트",IFERROR(INDEX(세트구성!$C$3:$C$302,MATCH(발주접수!$D98&amp;"|"&amp;5,세트구성!$G$3:$G$302,0)),""),발주접수!$D98))</f>
        <v/>
      </c>
      <c r="N960" s="34" t="str">
        <f>IF($J960=FALSE(),"",IF(발주접수!$F98="세트",발주접수!$G98*IFERROR(INDEX(세트구성!$E$3:$E$302,MATCH(발주접수!$D98&amp;"|"&amp;5,세트구성!$G$3:$G$302,0)),0),발주접수!$G98))</f>
        <v/>
      </c>
      <c r="O960" s="34" t="str">
        <f>IF($J960=FALSE(),"",발주접수!$B98)</f>
        <v/>
      </c>
      <c r="P960" s="34" t="str">
        <f>IF($J960=FALSE(),"",발주접수!$C98)</f>
        <v/>
      </c>
      <c r="Q960" s="34" t="str">
        <f>IF($J960=FALSE(),"",IF(발주접수!$F98="세트",발주접수!$E98&amp;" 전개","직접 발주"))</f>
        <v/>
      </c>
    </row>
    <row r="961" ht="15" customHeight="1" s="30">
      <c r="J961" s="50" t="b">
        <f>IF(발주접수!$D98="",FALSE(),IF(발주접수!$F98="세트",COUNTIF(세트구성!$G$3:$G$302,발주접수!$D98&amp;"|"&amp;6)&gt;0,5=0))</f>
        <v>0</v>
      </c>
      <c r="K961" s="34" t="str">
        <f>IF($J961=FALSE(),"",COUNTIF($J$6:$J961,TRUE()))</f>
        <v/>
      </c>
      <c r="L961" s="34" t="str">
        <f>IF($K961="","","R"&amp;$K961)</f>
        <v/>
      </c>
      <c r="M961" s="34" t="str">
        <f>IF($J961=FALSE(),"",IF(발주접수!$F98="세트",IFERROR(INDEX(세트구성!$C$3:$C$302,MATCH(발주접수!$D98&amp;"|"&amp;6,세트구성!$G$3:$G$302,0)),""),발주접수!$D98))</f>
        <v/>
      </c>
      <c r="N961" s="34" t="str">
        <f>IF($J961=FALSE(),"",IF(발주접수!$F98="세트",발주접수!$G98*IFERROR(INDEX(세트구성!$E$3:$E$302,MATCH(발주접수!$D98&amp;"|"&amp;6,세트구성!$G$3:$G$302,0)),0),발주접수!$G98))</f>
        <v/>
      </c>
      <c r="O961" s="34" t="str">
        <f>IF($J961=FALSE(),"",발주접수!$B98)</f>
        <v/>
      </c>
      <c r="P961" s="34" t="str">
        <f>IF($J961=FALSE(),"",발주접수!$C98)</f>
        <v/>
      </c>
      <c r="Q961" s="34" t="str">
        <f>IF($J961=FALSE(),"",IF(발주접수!$F98="세트",발주접수!$E98&amp;" 전개","직접 발주"))</f>
        <v/>
      </c>
    </row>
    <row r="962" ht="15" customHeight="1" s="30">
      <c r="J962" s="50" t="b">
        <f>IF(발주접수!$D98="",FALSE(),IF(발주접수!$F98="세트",COUNTIF(세트구성!$G$3:$G$302,발주접수!$D98&amp;"|"&amp;7)&gt;0,6=0))</f>
        <v>0</v>
      </c>
      <c r="K962" s="34" t="str">
        <f>IF($J962=FALSE(),"",COUNTIF($J$6:$J962,TRUE()))</f>
        <v/>
      </c>
      <c r="L962" s="34" t="str">
        <f>IF($K962="","","R"&amp;$K962)</f>
        <v/>
      </c>
      <c r="M962" s="34" t="str">
        <f>IF($J962=FALSE(),"",IF(발주접수!$F98="세트",IFERROR(INDEX(세트구성!$C$3:$C$302,MATCH(발주접수!$D98&amp;"|"&amp;7,세트구성!$G$3:$G$302,0)),""),발주접수!$D98))</f>
        <v/>
      </c>
      <c r="N962" s="34" t="str">
        <f>IF($J962=FALSE(),"",IF(발주접수!$F98="세트",발주접수!$G98*IFERROR(INDEX(세트구성!$E$3:$E$302,MATCH(발주접수!$D98&amp;"|"&amp;7,세트구성!$G$3:$G$302,0)),0),발주접수!$G98))</f>
        <v/>
      </c>
      <c r="O962" s="34" t="str">
        <f>IF($J962=FALSE(),"",발주접수!$B98)</f>
        <v/>
      </c>
      <c r="P962" s="34" t="str">
        <f>IF($J962=FALSE(),"",발주접수!$C98)</f>
        <v/>
      </c>
      <c r="Q962" s="34" t="str">
        <f>IF($J962=FALSE(),"",IF(발주접수!$F98="세트",발주접수!$E98&amp;" 전개","직접 발주"))</f>
        <v/>
      </c>
    </row>
    <row r="963" ht="15" customHeight="1" s="30">
      <c r="J963" s="50" t="b">
        <f>IF(발주접수!$D98="",FALSE(),IF(발주접수!$F98="세트",COUNTIF(세트구성!$G$3:$G$302,발주접수!$D98&amp;"|"&amp;8)&gt;0,7=0))</f>
        <v>0</v>
      </c>
      <c r="K963" s="34" t="str">
        <f>IF($J963=FALSE(),"",COUNTIF($J$6:$J963,TRUE()))</f>
        <v/>
      </c>
      <c r="L963" s="34" t="str">
        <f>IF($K963="","","R"&amp;$K963)</f>
        <v/>
      </c>
      <c r="M963" s="34" t="str">
        <f>IF($J963=FALSE(),"",IF(발주접수!$F98="세트",IFERROR(INDEX(세트구성!$C$3:$C$302,MATCH(발주접수!$D98&amp;"|"&amp;8,세트구성!$G$3:$G$302,0)),""),발주접수!$D98))</f>
        <v/>
      </c>
      <c r="N963" s="34" t="str">
        <f>IF($J963=FALSE(),"",IF(발주접수!$F98="세트",발주접수!$G98*IFERROR(INDEX(세트구성!$E$3:$E$302,MATCH(발주접수!$D98&amp;"|"&amp;8,세트구성!$G$3:$G$302,0)),0),발주접수!$G98))</f>
        <v/>
      </c>
      <c r="O963" s="34" t="str">
        <f>IF($J963=FALSE(),"",발주접수!$B98)</f>
        <v/>
      </c>
      <c r="P963" s="34" t="str">
        <f>IF($J963=FALSE(),"",발주접수!$C98)</f>
        <v/>
      </c>
      <c r="Q963" s="34" t="str">
        <f>IF($J963=FALSE(),"",IF(발주접수!$F98="세트",발주접수!$E98&amp;" 전개","직접 발주"))</f>
        <v/>
      </c>
    </row>
    <row r="964" ht="15" customHeight="1" s="30">
      <c r="J964" s="50" t="b">
        <f>IF(발주접수!$D98="",FALSE(),IF(발주접수!$F98="세트",COUNTIF(세트구성!$G$3:$G$302,발주접수!$D98&amp;"|"&amp;9)&gt;0,8=0))</f>
        <v>0</v>
      </c>
      <c r="K964" s="34" t="str">
        <f>IF($J964=FALSE(),"",COUNTIF($J$6:$J964,TRUE()))</f>
        <v/>
      </c>
      <c r="L964" s="34" t="str">
        <f>IF($K964="","","R"&amp;$K964)</f>
        <v/>
      </c>
      <c r="M964" s="34" t="str">
        <f>IF($J964=FALSE(),"",IF(발주접수!$F98="세트",IFERROR(INDEX(세트구성!$C$3:$C$302,MATCH(발주접수!$D98&amp;"|"&amp;9,세트구성!$G$3:$G$302,0)),""),발주접수!$D98))</f>
        <v/>
      </c>
      <c r="N964" s="34" t="str">
        <f>IF($J964=FALSE(),"",IF(발주접수!$F98="세트",발주접수!$G98*IFERROR(INDEX(세트구성!$E$3:$E$302,MATCH(발주접수!$D98&amp;"|"&amp;9,세트구성!$G$3:$G$302,0)),0),발주접수!$G98))</f>
        <v/>
      </c>
      <c r="O964" s="34" t="str">
        <f>IF($J964=FALSE(),"",발주접수!$B98)</f>
        <v/>
      </c>
      <c r="P964" s="34" t="str">
        <f>IF($J964=FALSE(),"",발주접수!$C98)</f>
        <v/>
      </c>
      <c r="Q964" s="34" t="str">
        <f>IF($J964=FALSE(),"",IF(발주접수!$F98="세트",발주접수!$E98&amp;" 전개","직접 발주"))</f>
        <v/>
      </c>
    </row>
    <row r="965" ht="15" customHeight="1" s="30">
      <c r="J965" s="50" t="b">
        <f>IF(발주접수!$D98="",FALSE(),IF(발주접수!$F98="세트",COUNTIF(세트구성!$G$3:$G$302,발주접수!$D98&amp;"|"&amp;10)&gt;0,9=0))</f>
        <v>0</v>
      </c>
      <c r="K965" s="34" t="str">
        <f>IF($J965=FALSE(),"",COUNTIF($J$6:$J965,TRUE()))</f>
        <v/>
      </c>
      <c r="L965" s="34" t="str">
        <f>IF($K965="","","R"&amp;$K965)</f>
        <v/>
      </c>
      <c r="M965" s="34" t="str">
        <f>IF($J965=FALSE(),"",IF(발주접수!$F98="세트",IFERROR(INDEX(세트구성!$C$3:$C$302,MATCH(발주접수!$D98&amp;"|"&amp;10,세트구성!$G$3:$G$302,0)),""),발주접수!$D98))</f>
        <v/>
      </c>
      <c r="N965" s="34" t="str">
        <f>IF($J965=FALSE(),"",IF(발주접수!$F98="세트",발주접수!$G98*IFERROR(INDEX(세트구성!$E$3:$E$302,MATCH(발주접수!$D98&amp;"|"&amp;10,세트구성!$G$3:$G$302,0)),0),발주접수!$G98))</f>
        <v/>
      </c>
      <c r="O965" s="34" t="str">
        <f>IF($J965=FALSE(),"",발주접수!$B98)</f>
        <v/>
      </c>
      <c r="P965" s="34" t="str">
        <f>IF($J965=FALSE(),"",발주접수!$C98)</f>
        <v/>
      </c>
      <c r="Q965" s="34" t="str">
        <f>IF($J965=FALSE(),"",IF(발주접수!$F98="세트",발주접수!$E98&amp;" 전개","직접 발주"))</f>
        <v/>
      </c>
    </row>
    <row r="966" ht="15" customHeight="1" s="30">
      <c r="J966" s="50" t="b">
        <f>IF(발주접수!$D99="",FALSE(),IF(발주접수!$F99="세트",COUNTIF(세트구성!$G$3:$G$302,발주접수!$D99&amp;"|"&amp;1)&gt;0,0=0))</f>
        <v>0</v>
      </c>
      <c r="K966" s="34" t="str">
        <f>IF($J966=FALSE(),"",COUNTIF($J$6:$J966,TRUE()))</f>
        <v/>
      </c>
      <c r="L966" s="34" t="str">
        <f>IF($K966="","","R"&amp;$K966)</f>
        <v/>
      </c>
      <c r="M966" s="34" t="str">
        <f>IF($J966=FALSE(),"",IF(발주접수!$F99="세트",IFERROR(INDEX(세트구성!$C$3:$C$302,MATCH(발주접수!$D99&amp;"|"&amp;1,세트구성!$G$3:$G$302,0)),""),발주접수!$D99))</f>
        <v/>
      </c>
      <c r="N966" s="34" t="str">
        <f>IF($J966=FALSE(),"",IF(발주접수!$F99="세트",발주접수!$G99*IFERROR(INDEX(세트구성!$E$3:$E$302,MATCH(발주접수!$D99&amp;"|"&amp;1,세트구성!$G$3:$G$302,0)),0),발주접수!$G99))</f>
        <v/>
      </c>
      <c r="O966" s="34" t="str">
        <f>IF($J966=FALSE(),"",발주접수!$B99)</f>
        <v/>
      </c>
      <c r="P966" s="34" t="str">
        <f>IF($J966=FALSE(),"",발주접수!$C99)</f>
        <v/>
      </c>
      <c r="Q966" s="34" t="str">
        <f>IF($J966=FALSE(),"",IF(발주접수!$F99="세트",발주접수!$E99&amp;" 전개","직접 발주"))</f>
        <v/>
      </c>
    </row>
    <row r="967" ht="15" customHeight="1" s="30">
      <c r="J967" s="50" t="b">
        <f>IF(발주접수!$D99="",FALSE(),IF(발주접수!$F99="세트",COUNTIF(세트구성!$G$3:$G$302,발주접수!$D99&amp;"|"&amp;2)&gt;0,1=0))</f>
        <v>0</v>
      </c>
      <c r="K967" s="34" t="str">
        <f>IF($J967=FALSE(),"",COUNTIF($J$6:$J967,TRUE()))</f>
        <v/>
      </c>
      <c r="L967" s="34" t="str">
        <f>IF($K967="","","R"&amp;$K967)</f>
        <v/>
      </c>
      <c r="M967" s="34" t="str">
        <f>IF($J967=FALSE(),"",IF(발주접수!$F99="세트",IFERROR(INDEX(세트구성!$C$3:$C$302,MATCH(발주접수!$D99&amp;"|"&amp;2,세트구성!$G$3:$G$302,0)),""),발주접수!$D99))</f>
        <v/>
      </c>
      <c r="N967" s="34" t="str">
        <f>IF($J967=FALSE(),"",IF(발주접수!$F99="세트",발주접수!$G99*IFERROR(INDEX(세트구성!$E$3:$E$302,MATCH(발주접수!$D99&amp;"|"&amp;2,세트구성!$G$3:$G$302,0)),0),발주접수!$G99))</f>
        <v/>
      </c>
      <c r="O967" s="34" t="str">
        <f>IF($J967=FALSE(),"",발주접수!$B99)</f>
        <v/>
      </c>
      <c r="P967" s="34" t="str">
        <f>IF($J967=FALSE(),"",발주접수!$C99)</f>
        <v/>
      </c>
      <c r="Q967" s="34" t="str">
        <f>IF($J967=FALSE(),"",IF(발주접수!$F99="세트",발주접수!$E99&amp;" 전개","직접 발주"))</f>
        <v/>
      </c>
    </row>
    <row r="968" ht="15" customHeight="1" s="30">
      <c r="J968" s="50" t="b">
        <f>IF(발주접수!$D99="",FALSE(),IF(발주접수!$F99="세트",COUNTIF(세트구성!$G$3:$G$302,발주접수!$D99&amp;"|"&amp;3)&gt;0,2=0))</f>
        <v>0</v>
      </c>
      <c r="K968" s="34" t="str">
        <f>IF($J968=FALSE(),"",COUNTIF($J$6:$J968,TRUE()))</f>
        <v/>
      </c>
      <c r="L968" s="34" t="str">
        <f>IF($K968="","","R"&amp;$K968)</f>
        <v/>
      </c>
      <c r="M968" s="34" t="str">
        <f>IF($J968=FALSE(),"",IF(발주접수!$F99="세트",IFERROR(INDEX(세트구성!$C$3:$C$302,MATCH(발주접수!$D99&amp;"|"&amp;3,세트구성!$G$3:$G$302,0)),""),발주접수!$D99))</f>
        <v/>
      </c>
      <c r="N968" s="34" t="str">
        <f>IF($J968=FALSE(),"",IF(발주접수!$F99="세트",발주접수!$G99*IFERROR(INDEX(세트구성!$E$3:$E$302,MATCH(발주접수!$D99&amp;"|"&amp;3,세트구성!$G$3:$G$302,0)),0),발주접수!$G99))</f>
        <v/>
      </c>
      <c r="O968" s="34" t="str">
        <f>IF($J968=FALSE(),"",발주접수!$B99)</f>
        <v/>
      </c>
      <c r="P968" s="34" t="str">
        <f>IF($J968=FALSE(),"",발주접수!$C99)</f>
        <v/>
      </c>
      <c r="Q968" s="34" t="str">
        <f>IF($J968=FALSE(),"",IF(발주접수!$F99="세트",발주접수!$E99&amp;" 전개","직접 발주"))</f>
        <v/>
      </c>
    </row>
    <row r="969" ht="15" customHeight="1" s="30">
      <c r="J969" s="50" t="b">
        <f>IF(발주접수!$D99="",FALSE(),IF(발주접수!$F99="세트",COUNTIF(세트구성!$G$3:$G$302,발주접수!$D99&amp;"|"&amp;4)&gt;0,3=0))</f>
        <v>0</v>
      </c>
      <c r="K969" s="34" t="str">
        <f>IF($J969=FALSE(),"",COUNTIF($J$6:$J969,TRUE()))</f>
        <v/>
      </c>
      <c r="L969" s="34" t="str">
        <f>IF($K969="","","R"&amp;$K969)</f>
        <v/>
      </c>
      <c r="M969" s="34" t="str">
        <f>IF($J969=FALSE(),"",IF(발주접수!$F99="세트",IFERROR(INDEX(세트구성!$C$3:$C$302,MATCH(발주접수!$D99&amp;"|"&amp;4,세트구성!$G$3:$G$302,0)),""),발주접수!$D99))</f>
        <v/>
      </c>
      <c r="N969" s="34" t="str">
        <f>IF($J969=FALSE(),"",IF(발주접수!$F99="세트",발주접수!$G99*IFERROR(INDEX(세트구성!$E$3:$E$302,MATCH(발주접수!$D99&amp;"|"&amp;4,세트구성!$G$3:$G$302,0)),0),발주접수!$G99))</f>
        <v/>
      </c>
      <c r="O969" s="34" t="str">
        <f>IF($J969=FALSE(),"",발주접수!$B99)</f>
        <v/>
      </c>
      <c r="P969" s="34" t="str">
        <f>IF($J969=FALSE(),"",발주접수!$C99)</f>
        <v/>
      </c>
      <c r="Q969" s="34" t="str">
        <f>IF($J969=FALSE(),"",IF(발주접수!$F99="세트",발주접수!$E99&amp;" 전개","직접 발주"))</f>
        <v/>
      </c>
    </row>
    <row r="970" ht="15" customHeight="1" s="30">
      <c r="J970" s="50" t="b">
        <f>IF(발주접수!$D99="",FALSE(),IF(발주접수!$F99="세트",COUNTIF(세트구성!$G$3:$G$302,발주접수!$D99&amp;"|"&amp;5)&gt;0,4=0))</f>
        <v>0</v>
      </c>
      <c r="K970" s="34" t="str">
        <f>IF($J970=FALSE(),"",COUNTIF($J$6:$J970,TRUE()))</f>
        <v/>
      </c>
      <c r="L970" s="34" t="str">
        <f>IF($K970="","","R"&amp;$K970)</f>
        <v/>
      </c>
      <c r="M970" s="34" t="str">
        <f>IF($J970=FALSE(),"",IF(발주접수!$F99="세트",IFERROR(INDEX(세트구성!$C$3:$C$302,MATCH(발주접수!$D99&amp;"|"&amp;5,세트구성!$G$3:$G$302,0)),""),발주접수!$D99))</f>
        <v/>
      </c>
      <c r="N970" s="34" t="str">
        <f>IF($J970=FALSE(),"",IF(발주접수!$F99="세트",발주접수!$G99*IFERROR(INDEX(세트구성!$E$3:$E$302,MATCH(발주접수!$D99&amp;"|"&amp;5,세트구성!$G$3:$G$302,0)),0),발주접수!$G99))</f>
        <v/>
      </c>
      <c r="O970" s="34" t="str">
        <f>IF($J970=FALSE(),"",발주접수!$B99)</f>
        <v/>
      </c>
      <c r="P970" s="34" t="str">
        <f>IF($J970=FALSE(),"",발주접수!$C99)</f>
        <v/>
      </c>
      <c r="Q970" s="34" t="str">
        <f>IF($J970=FALSE(),"",IF(발주접수!$F99="세트",발주접수!$E99&amp;" 전개","직접 발주"))</f>
        <v/>
      </c>
    </row>
    <row r="971" ht="15" customHeight="1" s="30">
      <c r="J971" s="50" t="b">
        <f>IF(발주접수!$D99="",FALSE(),IF(발주접수!$F99="세트",COUNTIF(세트구성!$G$3:$G$302,발주접수!$D99&amp;"|"&amp;6)&gt;0,5=0))</f>
        <v>0</v>
      </c>
      <c r="K971" s="34" t="str">
        <f>IF($J971=FALSE(),"",COUNTIF($J$6:$J971,TRUE()))</f>
        <v/>
      </c>
      <c r="L971" s="34" t="str">
        <f>IF($K971="","","R"&amp;$K971)</f>
        <v/>
      </c>
      <c r="M971" s="34" t="str">
        <f>IF($J971=FALSE(),"",IF(발주접수!$F99="세트",IFERROR(INDEX(세트구성!$C$3:$C$302,MATCH(발주접수!$D99&amp;"|"&amp;6,세트구성!$G$3:$G$302,0)),""),발주접수!$D99))</f>
        <v/>
      </c>
      <c r="N971" s="34" t="str">
        <f>IF($J971=FALSE(),"",IF(발주접수!$F99="세트",발주접수!$G99*IFERROR(INDEX(세트구성!$E$3:$E$302,MATCH(발주접수!$D99&amp;"|"&amp;6,세트구성!$G$3:$G$302,0)),0),발주접수!$G99))</f>
        <v/>
      </c>
      <c r="O971" s="34" t="str">
        <f>IF($J971=FALSE(),"",발주접수!$B99)</f>
        <v/>
      </c>
      <c r="P971" s="34" t="str">
        <f>IF($J971=FALSE(),"",발주접수!$C99)</f>
        <v/>
      </c>
      <c r="Q971" s="34" t="str">
        <f>IF($J971=FALSE(),"",IF(발주접수!$F99="세트",발주접수!$E99&amp;" 전개","직접 발주"))</f>
        <v/>
      </c>
    </row>
    <row r="972" ht="15" customHeight="1" s="30">
      <c r="J972" s="50" t="b">
        <f>IF(발주접수!$D99="",FALSE(),IF(발주접수!$F99="세트",COUNTIF(세트구성!$G$3:$G$302,발주접수!$D99&amp;"|"&amp;7)&gt;0,6=0))</f>
        <v>0</v>
      </c>
      <c r="K972" s="34" t="str">
        <f>IF($J972=FALSE(),"",COUNTIF($J$6:$J972,TRUE()))</f>
        <v/>
      </c>
      <c r="L972" s="34" t="str">
        <f>IF($K972="","","R"&amp;$K972)</f>
        <v/>
      </c>
      <c r="M972" s="34" t="str">
        <f>IF($J972=FALSE(),"",IF(발주접수!$F99="세트",IFERROR(INDEX(세트구성!$C$3:$C$302,MATCH(발주접수!$D99&amp;"|"&amp;7,세트구성!$G$3:$G$302,0)),""),발주접수!$D99))</f>
        <v/>
      </c>
      <c r="N972" s="34" t="str">
        <f>IF($J972=FALSE(),"",IF(발주접수!$F99="세트",발주접수!$G99*IFERROR(INDEX(세트구성!$E$3:$E$302,MATCH(발주접수!$D99&amp;"|"&amp;7,세트구성!$G$3:$G$302,0)),0),발주접수!$G99))</f>
        <v/>
      </c>
      <c r="O972" s="34" t="str">
        <f>IF($J972=FALSE(),"",발주접수!$B99)</f>
        <v/>
      </c>
      <c r="P972" s="34" t="str">
        <f>IF($J972=FALSE(),"",발주접수!$C99)</f>
        <v/>
      </c>
      <c r="Q972" s="34" t="str">
        <f>IF($J972=FALSE(),"",IF(발주접수!$F99="세트",발주접수!$E99&amp;" 전개","직접 발주"))</f>
        <v/>
      </c>
    </row>
    <row r="973" ht="15" customHeight="1" s="30">
      <c r="J973" s="50" t="b">
        <f>IF(발주접수!$D99="",FALSE(),IF(발주접수!$F99="세트",COUNTIF(세트구성!$G$3:$G$302,발주접수!$D99&amp;"|"&amp;8)&gt;0,7=0))</f>
        <v>0</v>
      </c>
      <c r="K973" s="34" t="str">
        <f>IF($J973=FALSE(),"",COUNTIF($J$6:$J973,TRUE()))</f>
        <v/>
      </c>
      <c r="L973" s="34" t="str">
        <f>IF($K973="","","R"&amp;$K973)</f>
        <v/>
      </c>
      <c r="M973" s="34" t="str">
        <f>IF($J973=FALSE(),"",IF(발주접수!$F99="세트",IFERROR(INDEX(세트구성!$C$3:$C$302,MATCH(발주접수!$D99&amp;"|"&amp;8,세트구성!$G$3:$G$302,0)),""),발주접수!$D99))</f>
        <v/>
      </c>
      <c r="N973" s="34" t="str">
        <f>IF($J973=FALSE(),"",IF(발주접수!$F99="세트",발주접수!$G99*IFERROR(INDEX(세트구성!$E$3:$E$302,MATCH(발주접수!$D99&amp;"|"&amp;8,세트구성!$G$3:$G$302,0)),0),발주접수!$G99))</f>
        <v/>
      </c>
      <c r="O973" s="34" t="str">
        <f>IF($J973=FALSE(),"",발주접수!$B99)</f>
        <v/>
      </c>
      <c r="P973" s="34" t="str">
        <f>IF($J973=FALSE(),"",발주접수!$C99)</f>
        <v/>
      </c>
      <c r="Q973" s="34" t="str">
        <f>IF($J973=FALSE(),"",IF(발주접수!$F99="세트",발주접수!$E99&amp;" 전개","직접 발주"))</f>
        <v/>
      </c>
    </row>
    <row r="974" ht="15" customHeight="1" s="30">
      <c r="J974" s="50" t="b">
        <f>IF(발주접수!$D99="",FALSE(),IF(발주접수!$F99="세트",COUNTIF(세트구성!$G$3:$G$302,발주접수!$D99&amp;"|"&amp;9)&gt;0,8=0))</f>
        <v>0</v>
      </c>
      <c r="K974" s="34" t="str">
        <f>IF($J974=FALSE(),"",COUNTIF($J$6:$J974,TRUE()))</f>
        <v/>
      </c>
      <c r="L974" s="34" t="str">
        <f>IF($K974="","","R"&amp;$K974)</f>
        <v/>
      </c>
      <c r="M974" s="34" t="str">
        <f>IF($J974=FALSE(),"",IF(발주접수!$F99="세트",IFERROR(INDEX(세트구성!$C$3:$C$302,MATCH(발주접수!$D99&amp;"|"&amp;9,세트구성!$G$3:$G$302,0)),""),발주접수!$D99))</f>
        <v/>
      </c>
      <c r="N974" s="34" t="str">
        <f>IF($J974=FALSE(),"",IF(발주접수!$F99="세트",발주접수!$G99*IFERROR(INDEX(세트구성!$E$3:$E$302,MATCH(발주접수!$D99&amp;"|"&amp;9,세트구성!$G$3:$G$302,0)),0),발주접수!$G99))</f>
        <v/>
      </c>
      <c r="O974" s="34" t="str">
        <f>IF($J974=FALSE(),"",발주접수!$B99)</f>
        <v/>
      </c>
      <c r="P974" s="34" t="str">
        <f>IF($J974=FALSE(),"",발주접수!$C99)</f>
        <v/>
      </c>
      <c r="Q974" s="34" t="str">
        <f>IF($J974=FALSE(),"",IF(발주접수!$F99="세트",발주접수!$E99&amp;" 전개","직접 발주"))</f>
        <v/>
      </c>
    </row>
    <row r="975" ht="15" customHeight="1" s="30">
      <c r="J975" s="50" t="b">
        <f>IF(발주접수!$D99="",FALSE(),IF(발주접수!$F99="세트",COUNTIF(세트구성!$G$3:$G$302,발주접수!$D99&amp;"|"&amp;10)&gt;0,9=0))</f>
        <v>0</v>
      </c>
      <c r="K975" s="34" t="str">
        <f>IF($J975=FALSE(),"",COUNTIF($J$6:$J975,TRUE()))</f>
        <v/>
      </c>
      <c r="L975" s="34" t="str">
        <f>IF($K975="","","R"&amp;$K975)</f>
        <v/>
      </c>
      <c r="M975" s="34" t="str">
        <f>IF($J975=FALSE(),"",IF(발주접수!$F99="세트",IFERROR(INDEX(세트구성!$C$3:$C$302,MATCH(발주접수!$D99&amp;"|"&amp;10,세트구성!$G$3:$G$302,0)),""),발주접수!$D99))</f>
        <v/>
      </c>
      <c r="N975" s="34" t="str">
        <f>IF($J975=FALSE(),"",IF(발주접수!$F99="세트",발주접수!$G99*IFERROR(INDEX(세트구성!$E$3:$E$302,MATCH(발주접수!$D99&amp;"|"&amp;10,세트구성!$G$3:$G$302,0)),0),발주접수!$G99))</f>
        <v/>
      </c>
      <c r="O975" s="34" t="str">
        <f>IF($J975=FALSE(),"",발주접수!$B99)</f>
        <v/>
      </c>
      <c r="P975" s="34" t="str">
        <f>IF($J975=FALSE(),"",발주접수!$C99)</f>
        <v/>
      </c>
      <c r="Q975" s="34" t="str">
        <f>IF($J975=FALSE(),"",IF(발주접수!$F99="세트",발주접수!$E99&amp;" 전개","직접 발주"))</f>
        <v/>
      </c>
    </row>
    <row r="976" ht="15" customHeight="1" s="30">
      <c r="J976" s="50" t="b">
        <f>IF(발주접수!$D100="",FALSE(),IF(발주접수!$F100="세트",COUNTIF(세트구성!$G$3:$G$302,발주접수!$D100&amp;"|"&amp;1)&gt;0,0=0))</f>
        <v>0</v>
      </c>
      <c r="K976" s="34" t="str">
        <f>IF($J976=FALSE(),"",COUNTIF($J$6:$J976,TRUE()))</f>
        <v/>
      </c>
      <c r="L976" s="34" t="str">
        <f>IF($K976="","","R"&amp;$K976)</f>
        <v/>
      </c>
      <c r="M976" s="34" t="str">
        <f>IF($J976=FALSE(),"",IF(발주접수!$F100="세트",IFERROR(INDEX(세트구성!$C$3:$C$302,MATCH(발주접수!$D100&amp;"|"&amp;1,세트구성!$G$3:$G$302,0)),""),발주접수!$D100))</f>
        <v/>
      </c>
      <c r="N976" s="34" t="str">
        <f>IF($J976=FALSE(),"",IF(발주접수!$F100="세트",발주접수!$G100*IFERROR(INDEX(세트구성!$E$3:$E$302,MATCH(발주접수!$D100&amp;"|"&amp;1,세트구성!$G$3:$G$302,0)),0),발주접수!$G100))</f>
        <v/>
      </c>
      <c r="O976" s="34" t="str">
        <f>IF($J976=FALSE(),"",발주접수!$B100)</f>
        <v/>
      </c>
      <c r="P976" s="34" t="str">
        <f>IF($J976=FALSE(),"",발주접수!$C100)</f>
        <v/>
      </c>
      <c r="Q976" s="34" t="str">
        <f>IF($J976=FALSE(),"",IF(발주접수!$F100="세트",발주접수!$E100&amp;" 전개","직접 발주"))</f>
        <v/>
      </c>
    </row>
    <row r="977" ht="15" customHeight="1" s="30">
      <c r="J977" s="50" t="b">
        <f>IF(발주접수!$D100="",FALSE(),IF(발주접수!$F100="세트",COUNTIF(세트구성!$G$3:$G$302,발주접수!$D100&amp;"|"&amp;2)&gt;0,1=0))</f>
        <v>0</v>
      </c>
      <c r="K977" s="34" t="str">
        <f>IF($J977=FALSE(),"",COUNTIF($J$6:$J977,TRUE()))</f>
        <v/>
      </c>
      <c r="L977" s="34" t="str">
        <f>IF($K977="","","R"&amp;$K977)</f>
        <v/>
      </c>
      <c r="M977" s="34" t="str">
        <f>IF($J977=FALSE(),"",IF(발주접수!$F100="세트",IFERROR(INDEX(세트구성!$C$3:$C$302,MATCH(발주접수!$D100&amp;"|"&amp;2,세트구성!$G$3:$G$302,0)),""),발주접수!$D100))</f>
        <v/>
      </c>
      <c r="N977" s="34" t="str">
        <f>IF($J977=FALSE(),"",IF(발주접수!$F100="세트",발주접수!$G100*IFERROR(INDEX(세트구성!$E$3:$E$302,MATCH(발주접수!$D100&amp;"|"&amp;2,세트구성!$G$3:$G$302,0)),0),발주접수!$G100))</f>
        <v/>
      </c>
      <c r="O977" s="34" t="str">
        <f>IF($J977=FALSE(),"",발주접수!$B100)</f>
        <v/>
      </c>
      <c r="P977" s="34" t="str">
        <f>IF($J977=FALSE(),"",발주접수!$C100)</f>
        <v/>
      </c>
      <c r="Q977" s="34" t="str">
        <f>IF($J977=FALSE(),"",IF(발주접수!$F100="세트",발주접수!$E100&amp;" 전개","직접 발주"))</f>
        <v/>
      </c>
    </row>
    <row r="978" ht="15" customHeight="1" s="30">
      <c r="J978" s="50" t="b">
        <f>IF(발주접수!$D100="",FALSE(),IF(발주접수!$F100="세트",COUNTIF(세트구성!$G$3:$G$302,발주접수!$D100&amp;"|"&amp;3)&gt;0,2=0))</f>
        <v>0</v>
      </c>
      <c r="K978" s="34" t="str">
        <f>IF($J978=FALSE(),"",COUNTIF($J$6:$J978,TRUE()))</f>
        <v/>
      </c>
      <c r="L978" s="34" t="str">
        <f>IF($K978="","","R"&amp;$K978)</f>
        <v/>
      </c>
      <c r="M978" s="34" t="str">
        <f>IF($J978=FALSE(),"",IF(발주접수!$F100="세트",IFERROR(INDEX(세트구성!$C$3:$C$302,MATCH(발주접수!$D100&amp;"|"&amp;3,세트구성!$G$3:$G$302,0)),""),발주접수!$D100))</f>
        <v/>
      </c>
      <c r="N978" s="34" t="str">
        <f>IF($J978=FALSE(),"",IF(발주접수!$F100="세트",발주접수!$G100*IFERROR(INDEX(세트구성!$E$3:$E$302,MATCH(발주접수!$D100&amp;"|"&amp;3,세트구성!$G$3:$G$302,0)),0),발주접수!$G100))</f>
        <v/>
      </c>
      <c r="O978" s="34" t="str">
        <f>IF($J978=FALSE(),"",발주접수!$B100)</f>
        <v/>
      </c>
      <c r="P978" s="34" t="str">
        <f>IF($J978=FALSE(),"",발주접수!$C100)</f>
        <v/>
      </c>
      <c r="Q978" s="34" t="str">
        <f>IF($J978=FALSE(),"",IF(발주접수!$F100="세트",발주접수!$E100&amp;" 전개","직접 발주"))</f>
        <v/>
      </c>
    </row>
    <row r="979" ht="15" customHeight="1" s="30">
      <c r="J979" s="50" t="b">
        <f>IF(발주접수!$D100="",FALSE(),IF(발주접수!$F100="세트",COUNTIF(세트구성!$G$3:$G$302,발주접수!$D100&amp;"|"&amp;4)&gt;0,3=0))</f>
        <v>0</v>
      </c>
      <c r="K979" s="34" t="str">
        <f>IF($J979=FALSE(),"",COUNTIF($J$6:$J979,TRUE()))</f>
        <v/>
      </c>
      <c r="L979" s="34" t="str">
        <f>IF($K979="","","R"&amp;$K979)</f>
        <v/>
      </c>
      <c r="M979" s="34" t="str">
        <f>IF($J979=FALSE(),"",IF(발주접수!$F100="세트",IFERROR(INDEX(세트구성!$C$3:$C$302,MATCH(발주접수!$D100&amp;"|"&amp;4,세트구성!$G$3:$G$302,0)),""),발주접수!$D100))</f>
        <v/>
      </c>
      <c r="N979" s="34" t="str">
        <f>IF($J979=FALSE(),"",IF(발주접수!$F100="세트",발주접수!$G100*IFERROR(INDEX(세트구성!$E$3:$E$302,MATCH(발주접수!$D100&amp;"|"&amp;4,세트구성!$G$3:$G$302,0)),0),발주접수!$G100))</f>
        <v/>
      </c>
      <c r="O979" s="34" t="str">
        <f>IF($J979=FALSE(),"",발주접수!$B100)</f>
        <v/>
      </c>
      <c r="P979" s="34" t="str">
        <f>IF($J979=FALSE(),"",발주접수!$C100)</f>
        <v/>
      </c>
      <c r="Q979" s="34" t="str">
        <f>IF($J979=FALSE(),"",IF(발주접수!$F100="세트",발주접수!$E100&amp;" 전개","직접 발주"))</f>
        <v/>
      </c>
    </row>
    <row r="980" ht="15" customHeight="1" s="30">
      <c r="J980" s="50" t="b">
        <f>IF(발주접수!$D100="",FALSE(),IF(발주접수!$F100="세트",COUNTIF(세트구성!$G$3:$G$302,발주접수!$D100&amp;"|"&amp;5)&gt;0,4=0))</f>
        <v>0</v>
      </c>
      <c r="K980" s="34" t="str">
        <f>IF($J980=FALSE(),"",COUNTIF($J$6:$J980,TRUE()))</f>
        <v/>
      </c>
      <c r="L980" s="34" t="str">
        <f>IF($K980="","","R"&amp;$K980)</f>
        <v/>
      </c>
      <c r="M980" s="34" t="str">
        <f>IF($J980=FALSE(),"",IF(발주접수!$F100="세트",IFERROR(INDEX(세트구성!$C$3:$C$302,MATCH(발주접수!$D100&amp;"|"&amp;5,세트구성!$G$3:$G$302,0)),""),발주접수!$D100))</f>
        <v/>
      </c>
      <c r="N980" s="34" t="str">
        <f>IF($J980=FALSE(),"",IF(발주접수!$F100="세트",발주접수!$G100*IFERROR(INDEX(세트구성!$E$3:$E$302,MATCH(발주접수!$D100&amp;"|"&amp;5,세트구성!$G$3:$G$302,0)),0),발주접수!$G100))</f>
        <v/>
      </c>
      <c r="O980" s="34" t="str">
        <f>IF($J980=FALSE(),"",발주접수!$B100)</f>
        <v/>
      </c>
      <c r="P980" s="34" t="str">
        <f>IF($J980=FALSE(),"",발주접수!$C100)</f>
        <v/>
      </c>
      <c r="Q980" s="34" t="str">
        <f>IF($J980=FALSE(),"",IF(발주접수!$F100="세트",발주접수!$E100&amp;" 전개","직접 발주"))</f>
        <v/>
      </c>
    </row>
    <row r="981" ht="15" customHeight="1" s="30">
      <c r="J981" s="50" t="b">
        <f>IF(발주접수!$D100="",FALSE(),IF(발주접수!$F100="세트",COUNTIF(세트구성!$G$3:$G$302,발주접수!$D100&amp;"|"&amp;6)&gt;0,5=0))</f>
        <v>0</v>
      </c>
      <c r="K981" s="34" t="str">
        <f>IF($J981=FALSE(),"",COUNTIF($J$6:$J981,TRUE()))</f>
        <v/>
      </c>
      <c r="L981" s="34" t="str">
        <f>IF($K981="","","R"&amp;$K981)</f>
        <v/>
      </c>
      <c r="M981" s="34" t="str">
        <f>IF($J981=FALSE(),"",IF(발주접수!$F100="세트",IFERROR(INDEX(세트구성!$C$3:$C$302,MATCH(발주접수!$D100&amp;"|"&amp;6,세트구성!$G$3:$G$302,0)),""),발주접수!$D100))</f>
        <v/>
      </c>
      <c r="N981" s="34" t="str">
        <f>IF($J981=FALSE(),"",IF(발주접수!$F100="세트",발주접수!$G100*IFERROR(INDEX(세트구성!$E$3:$E$302,MATCH(발주접수!$D100&amp;"|"&amp;6,세트구성!$G$3:$G$302,0)),0),발주접수!$G100))</f>
        <v/>
      </c>
      <c r="O981" s="34" t="str">
        <f>IF($J981=FALSE(),"",발주접수!$B100)</f>
        <v/>
      </c>
      <c r="P981" s="34" t="str">
        <f>IF($J981=FALSE(),"",발주접수!$C100)</f>
        <v/>
      </c>
      <c r="Q981" s="34" t="str">
        <f>IF($J981=FALSE(),"",IF(발주접수!$F100="세트",발주접수!$E100&amp;" 전개","직접 발주"))</f>
        <v/>
      </c>
    </row>
    <row r="982" ht="15" customHeight="1" s="30">
      <c r="J982" s="50" t="b">
        <f>IF(발주접수!$D100="",FALSE(),IF(발주접수!$F100="세트",COUNTIF(세트구성!$G$3:$G$302,발주접수!$D100&amp;"|"&amp;7)&gt;0,6=0))</f>
        <v>0</v>
      </c>
      <c r="K982" s="34" t="str">
        <f>IF($J982=FALSE(),"",COUNTIF($J$6:$J982,TRUE()))</f>
        <v/>
      </c>
      <c r="L982" s="34" t="str">
        <f>IF($K982="","","R"&amp;$K982)</f>
        <v/>
      </c>
      <c r="M982" s="34" t="str">
        <f>IF($J982=FALSE(),"",IF(발주접수!$F100="세트",IFERROR(INDEX(세트구성!$C$3:$C$302,MATCH(발주접수!$D100&amp;"|"&amp;7,세트구성!$G$3:$G$302,0)),""),발주접수!$D100))</f>
        <v/>
      </c>
      <c r="N982" s="34" t="str">
        <f>IF($J982=FALSE(),"",IF(발주접수!$F100="세트",발주접수!$G100*IFERROR(INDEX(세트구성!$E$3:$E$302,MATCH(발주접수!$D100&amp;"|"&amp;7,세트구성!$G$3:$G$302,0)),0),발주접수!$G100))</f>
        <v/>
      </c>
      <c r="O982" s="34" t="str">
        <f>IF($J982=FALSE(),"",발주접수!$B100)</f>
        <v/>
      </c>
      <c r="P982" s="34" t="str">
        <f>IF($J982=FALSE(),"",발주접수!$C100)</f>
        <v/>
      </c>
      <c r="Q982" s="34" t="str">
        <f>IF($J982=FALSE(),"",IF(발주접수!$F100="세트",발주접수!$E100&amp;" 전개","직접 발주"))</f>
        <v/>
      </c>
    </row>
    <row r="983" ht="15" customHeight="1" s="30">
      <c r="J983" s="50" t="b">
        <f>IF(발주접수!$D100="",FALSE(),IF(발주접수!$F100="세트",COUNTIF(세트구성!$G$3:$G$302,발주접수!$D100&amp;"|"&amp;8)&gt;0,7=0))</f>
        <v>0</v>
      </c>
      <c r="K983" s="34" t="str">
        <f>IF($J983=FALSE(),"",COUNTIF($J$6:$J983,TRUE()))</f>
        <v/>
      </c>
      <c r="L983" s="34" t="str">
        <f>IF($K983="","","R"&amp;$K983)</f>
        <v/>
      </c>
      <c r="M983" s="34" t="str">
        <f>IF($J983=FALSE(),"",IF(발주접수!$F100="세트",IFERROR(INDEX(세트구성!$C$3:$C$302,MATCH(발주접수!$D100&amp;"|"&amp;8,세트구성!$G$3:$G$302,0)),""),발주접수!$D100))</f>
        <v/>
      </c>
      <c r="N983" s="34" t="str">
        <f>IF($J983=FALSE(),"",IF(발주접수!$F100="세트",발주접수!$G100*IFERROR(INDEX(세트구성!$E$3:$E$302,MATCH(발주접수!$D100&amp;"|"&amp;8,세트구성!$G$3:$G$302,0)),0),발주접수!$G100))</f>
        <v/>
      </c>
      <c r="O983" s="34" t="str">
        <f>IF($J983=FALSE(),"",발주접수!$B100)</f>
        <v/>
      </c>
      <c r="P983" s="34" t="str">
        <f>IF($J983=FALSE(),"",발주접수!$C100)</f>
        <v/>
      </c>
      <c r="Q983" s="34" t="str">
        <f>IF($J983=FALSE(),"",IF(발주접수!$F100="세트",발주접수!$E100&amp;" 전개","직접 발주"))</f>
        <v/>
      </c>
    </row>
    <row r="984" ht="15" customHeight="1" s="30">
      <c r="J984" s="50" t="b">
        <f>IF(발주접수!$D100="",FALSE(),IF(발주접수!$F100="세트",COUNTIF(세트구성!$G$3:$G$302,발주접수!$D100&amp;"|"&amp;9)&gt;0,8=0))</f>
        <v>0</v>
      </c>
      <c r="K984" s="34" t="str">
        <f>IF($J984=FALSE(),"",COUNTIF($J$6:$J984,TRUE()))</f>
        <v/>
      </c>
      <c r="L984" s="34" t="str">
        <f>IF($K984="","","R"&amp;$K984)</f>
        <v/>
      </c>
      <c r="M984" s="34" t="str">
        <f>IF($J984=FALSE(),"",IF(발주접수!$F100="세트",IFERROR(INDEX(세트구성!$C$3:$C$302,MATCH(발주접수!$D100&amp;"|"&amp;9,세트구성!$G$3:$G$302,0)),""),발주접수!$D100))</f>
        <v/>
      </c>
      <c r="N984" s="34" t="str">
        <f>IF($J984=FALSE(),"",IF(발주접수!$F100="세트",발주접수!$G100*IFERROR(INDEX(세트구성!$E$3:$E$302,MATCH(발주접수!$D100&amp;"|"&amp;9,세트구성!$G$3:$G$302,0)),0),발주접수!$G100))</f>
        <v/>
      </c>
      <c r="O984" s="34" t="str">
        <f>IF($J984=FALSE(),"",발주접수!$B100)</f>
        <v/>
      </c>
      <c r="P984" s="34" t="str">
        <f>IF($J984=FALSE(),"",발주접수!$C100)</f>
        <v/>
      </c>
      <c r="Q984" s="34" t="str">
        <f>IF($J984=FALSE(),"",IF(발주접수!$F100="세트",발주접수!$E100&amp;" 전개","직접 발주"))</f>
        <v/>
      </c>
    </row>
    <row r="985" ht="15" customHeight="1" s="30">
      <c r="J985" s="50" t="b">
        <f>IF(발주접수!$D100="",FALSE(),IF(발주접수!$F100="세트",COUNTIF(세트구성!$G$3:$G$302,발주접수!$D100&amp;"|"&amp;10)&gt;0,9=0))</f>
        <v>0</v>
      </c>
      <c r="K985" s="34" t="str">
        <f>IF($J985=FALSE(),"",COUNTIF($J$6:$J985,TRUE()))</f>
        <v/>
      </c>
      <c r="L985" s="34" t="str">
        <f>IF($K985="","","R"&amp;$K985)</f>
        <v/>
      </c>
      <c r="M985" s="34" t="str">
        <f>IF($J985=FALSE(),"",IF(발주접수!$F100="세트",IFERROR(INDEX(세트구성!$C$3:$C$302,MATCH(발주접수!$D100&amp;"|"&amp;10,세트구성!$G$3:$G$302,0)),""),발주접수!$D100))</f>
        <v/>
      </c>
      <c r="N985" s="34" t="str">
        <f>IF($J985=FALSE(),"",IF(발주접수!$F100="세트",발주접수!$G100*IFERROR(INDEX(세트구성!$E$3:$E$302,MATCH(발주접수!$D100&amp;"|"&amp;10,세트구성!$G$3:$G$302,0)),0),발주접수!$G100))</f>
        <v/>
      </c>
      <c r="O985" s="34" t="str">
        <f>IF($J985=FALSE(),"",발주접수!$B100)</f>
        <v/>
      </c>
      <c r="P985" s="34" t="str">
        <f>IF($J985=FALSE(),"",발주접수!$C100)</f>
        <v/>
      </c>
      <c r="Q985" s="34" t="str">
        <f>IF($J985=FALSE(),"",IF(발주접수!$F100="세트",발주접수!$E100&amp;" 전개","직접 발주"))</f>
        <v/>
      </c>
    </row>
    <row r="986" ht="15" customHeight="1" s="30">
      <c r="J986" s="50" t="b">
        <f>IF(발주접수!$D101="",FALSE(),IF(발주접수!$F101="세트",COUNTIF(세트구성!$G$3:$G$302,발주접수!$D101&amp;"|"&amp;1)&gt;0,0=0))</f>
        <v>0</v>
      </c>
      <c r="K986" s="34" t="str">
        <f>IF($J986=FALSE(),"",COUNTIF($J$6:$J986,TRUE()))</f>
        <v/>
      </c>
      <c r="L986" s="34" t="str">
        <f>IF($K986="","","R"&amp;$K986)</f>
        <v/>
      </c>
      <c r="M986" s="34" t="str">
        <f>IF($J986=FALSE(),"",IF(발주접수!$F101="세트",IFERROR(INDEX(세트구성!$C$3:$C$302,MATCH(발주접수!$D101&amp;"|"&amp;1,세트구성!$G$3:$G$302,0)),""),발주접수!$D101))</f>
        <v/>
      </c>
      <c r="N986" s="34" t="str">
        <f>IF($J986=FALSE(),"",IF(발주접수!$F101="세트",발주접수!$G101*IFERROR(INDEX(세트구성!$E$3:$E$302,MATCH(발주접수!$D101&amp;"|"&amp;1,세트구성!$G$3:$G$302,0)),0),발주접수!$G101))</f>
        <v/>
      </c>
      <c r="O986" s="34" t="str">
        <f>IF($J986=FALSE(),"",발주접수!$B101)</f>
        <v/>
      </c>
      <c r="P986" s="34" t="str">
        <f>IF($J986=FALSE(),"",발주접수!$C101)</f>
        <v/>
      </c>
      <c r="Q986" s="34" t="str">
        <f>IF($J986=FALSE(),"",IF(발주접수!$F101="세트",발주접수!$E101&amp;" 전개","직접 발주"))</f>
        <v/>
      </c>
    </row>
    <row r="987" ht="15" customHeight="1" s="30">
      <c r="J987" s="50" t="b">
        <f>IF(발주접수!$D101="",FALSE(),IF(발주접수!$F101="세트",COUNTIF(세트구성!$G$3:$G$302,발주접수!$D101&amp;"|"&amp;2)&gt;0,1=0))</f>
        <v>0</v>
      </c>
      <c r="K987" s="34" t="str">
        <f>IF($J987=FALSE(),"",COUNTIF($J$6:$J987,TRUE()))</f>
        <v/>
      </c>
      <c r="L987" s="34" t="str">
        <f>IF($K987="","","R"&amp;$K987)</f>
        <v/>
      </c>
      <c r="M987" s="34" t="str">
        <f>IF($J987=FALSE(),"",IF(발주접수!$F101="세트",IFERROR(INDEX(세트구성!$C$3:$C$302,MATCH(발주접수!$D101&amp;"|"&amp;2,세트구성!$G$3:$G$302,0)),""),발주접수!$D101))</f>
        <v/>
      </c>
      <c r="N987" s="34" t="str">
        <f>IF($J987=FALSE(),"",IF(발주접수!$F101="세트",발주접수!$G101*IFERROR(INDEX(세트구성!$E$3:$E$302,MATCH(발주접수!$D101&amp;"|"&amp;2,세트구성!$G$3:$G$302,0)),0),발주접수!$G101))</f>
        <v/>
      </c>
      <c r="O987" s="34" t="str">
        <f>IF($J987=FALSE(),"",발주접수!$B101)</f>
        <v/>
      </c>
      <c r="P987" s="34" t="str">
        <f>IF($J987=FALSE(),"",발주접수!$C101)</f>
        <v/>
      </c>
      <c r="Q987" s="34" t="str">
        <f>IF($J987=FALSE(),"",IF(발주접수!$F101="세트",발주접수!$E101&amp;" 전개","직접 발주"))</f>
        <v/>
      </c>
    </row>
    <row r="988" ht="15" customHeight="1" s="30">
      <c r="J988" s="50" t="b">
        <f>IF(발주접수!$D101="",FALSE(),IF(발주접수!$F101="세트",COUNTIF(세트구성!$G$3:$G$302,발주접수!$D101&amp;"|"&amp;3)&gt;0,2=0))</f>
        <v>0</v>
      </c>
      <c r="K988" s="34" t="str">
        <f>IF($J988=FALSE(),"",COUNTIF($J$6:$J988,TRUE()))</f>
        <v/>
      </c>
      <c r="L988" s="34" t="str">
        <f>IF($K988="","","R"&amp;$K988)</f>
        <v/>
      </c>
      <c r="M988" s="34" t="str">
        <f>IF($J988=FALSE(),"",IF(발주접수!$F101="세트",IFERROR(INDEX(세트구성!$C$3:$C$302,MATCH(발주접수!$D101&amp;"|"&amp;3,세트구성!$G$3:$G$302,0)),""),발주접수!$D101))</f>
        <v/>
      </c>
      <c r="N988" s="34" t="str">
        <f>IF($J988=FALSE(),"",IF(발주접수!$F101="세트",발주접수!$G101*IFERROR(INDEX(세트구성!$E$3:$E$302,MATCH(발주접수!$D101&amp;"|"&amp;3,세트구성!$G$3:$G$302,0)),0),발주접수!$G101))</f>
        <v/>
      </c>
      <c r="O988" s="34" t="str">
        <f>IF($J988=FALSE(),"",발주접수!$B101)</f>
        <v/>
      </c>
      <c r="P988" s="34" t="str">
        <f>IF($J988=FALSE(),"",발주접수!$C101)</f>
        <v/>
      </c>
      <c r="Q988" s="34" t="str">
        <f>IF($J988=FALSE(),"",IF(발주접수!$F101="세트",발주접수!$E101&amp;" 전개","직접 발주"))</f>
        <v/>
      </c>
    </row>
    <row r="989" ht="15" customHeight="1" s="30">
      <c r="J989" s="50" t="b">
        <f>IF(발주접수!$D101="",FALSE(),IF(발주접수!$F101="세트",COUNTIF(세트구성!$G$3:$G$302,발주접수!$D101&amp;"|"&amp;4)&gt;0,3=0))</f>
        <v>0</v>
      </c>
      <c r="K989" s="34" t="str">
        <f>IF($J989=FALSE(),"",COUNTIF($J$6:$J989,TRUE()))</f>
        <v/>
      </c>
      <c r="L989" s="34" t="str">
        <f>IF($K989="","","R"&amp;$K989)</f>
        <v/>
      </c>
      <c r="M989" s="34" t="str">
        <f>IF($J989=FALSE(),"",IF(발주접수!$F101="세트",IFERROR(INDEX(세트구성!$C$3:$C$302,MATCH(발주접수!$D101&amp;"|"&amp;4,세트구성!$G$3:$G$302,0)),""),발주접수!$D101))</f>
        <v/>
      </c>
      <c r="N989" s="34" t="str">
        <f>IF($J989=FALSE(),"",IF(발주접수!$F101="세트",발주접수!$G101*IFERROR(INDEX(세트구성!$E$3:$E$302,MATCH(발주접수!$D101&amp;"|"&amp;4,세트구성!$G$3:$G$302,0)),0),발주접수!$G101))</f>
        <v/>
      </c>
      <c r="O989" s="34" t="str">
        <f>IF($J989=FALSE(),"",발주접수!$B101)</f>
        <v/>
      </c>
      <c r="P989" s="34" t="str">
        <f>IF($J989=FALSE(),"",발주접수!$C101)</f>
        <v/>
      </c>
      <c r="Q989" s="34" t="str">
        <f>IF($J989=FALSE(),"",IF(발주접수!$F101="세트",발주접수!$E101&amp;" 전개","직접 발주"))</f>
        <v/>
      </c>
    </row>
    <row r="990" ht="15" customHeight="1" s="30">
      <c r="J990" s="50" t="b">
        <f>IF(발주접수!$D101="",FALSE(),IF(발주접수!$F101="세트",COUNTIF(세트구성!$G$3:$G$302,발주접수!$D101&amp;"|"&amp;5)&gt;0,4=0))</f>
        <v>0</v>
      </c>
      <c r="K990" s="34" t="str">
        <f>IF($J990=FALSE(),"",COUNTIF($J$6:$J990,TRUE()))</f>
        <v/>
      </c>
      <c r="L990" s="34" t="str">
        <f>IF($K990="","","R"&amp;$K990)</f>
        <v/>
      </c>
      <c r="M990" s="34" t="str">
        <f>IF($J990=FALSE(),"",IF(발주접수!$F101="세트",IFERROR(INDEX(세트구성!$C$3:$C$302,MATCH(발주접수!$D101&amp;"|"&amp;5,세트구성!$G$3:$G$302,0)),""),발주접수!$D101))</f>
        <v/>
      </c>
      <c r="N990" s="34" t="str">
        <f>IF($J990=FALSE(),"",IF(발주접수!$F101="세트",발주접수!$G101*IFERROR(INDEX(세트구성!$E$3:$E$302,MATCH(발주접수!$D101&amp;"|"&amp;5,세트구성!$G$3:$G$302,0)),0),발주접수!$G101))</f>
        <v/>
      </c>
      <c r="O990" s="34" t="str">
        <f>IF($J990=FALSE(),"",발주접수!$B101)</f>
        <v/>
      </c>
      <c r="P990" s="34" t="str">
        <f>IF($J990=FALSE(),"",발주접수!$C101)</f>
        <v/>
      </c>
      <c r="Q990" s="34" t="str">
        <f>IF($J990=FALSE(),"",IF(발주접수!$F101="세트",발주접수!$E101&amp;" 전개","직접 발주"))</f>
        <v/>
      </c>
    </row>
    <row r="991" ht="15" customHeight="1" s="30">
      <c r="J991" s="50" t="b">
        <f>IF(발주접수!$D101="",FALSE(),IF(발주접수!$F101="세트",COUNTIF(세트구성!$G$3:$G$302,발주접수!$D101&amp;"|"&amp;6)&gt;0,5=0))</f>
        <v>0</v>
      </c>
      <c r="K991" s="34" t="str">
        <f>IF($J991=FALSE(),"",COUNTIF($J$6:$J991,TRUE()))</f>
        <v/>
      </c>
      <c r="L991" s="34" t="str">
        <f>IF($K991="","","R"&amp;$K991)</f>
        <v/>
      </c>
      <c r="M991" s="34" t="str">
        <f>IF($J991=FALSE(),"",IF(발주접수!$F101="세트",IFERROR(INDEX(세트구성!$C$3:$C$302,MATCH(발주접수!$D101&amp;"|"&amp;6,세트구성!$G$3:$G$302,0)),""),발주접수!$D101))</f>
        <v/>
      </c>
      <c r="N991" s="34" t="str">
        <f>IF($J991=FALSE(),"",IF(발주접수!$F101="세트",발주접수!$G101*IFERROR(INDEX(세트구성!$E$3:$E$302,MATCH(발주접수!$D101&amp;"|"&amp;6,세트구성!$G$3:$G$302,0)),0),발주접수!$G101))</f>
        <v/>
      </c>
      <c r="O991" s="34" t="str">
        <f>IF($J991=FALSE(),"",발주접수!$B101)</f>
        <v/>
      </c>
      <c r="P991" s="34" t="str">
        <f>IF($J991=FALSE(),"",발주접수!$C101)</f>
        <v/>
      </c>
      <c r="Q991" s="34" t="str">
        <f>IF($J991=FALSE(),"",IF(발주접수!$F101="세트",발주접수!$E101&amp;" 전개","직접 발주"))</f>
        <v/>
      </c>
    </row>
    <row r="992" ht="15" customHeight="1" s="30">
      <c r="J992" s="50" t="b">
        <f>IF(발주접수!$D101="",FALSE(),IF(발주접수!$F101="세트",COUNTIF(세트구성!$G$3:$G$302,발주접수!$D101&amp;"|"&amp;7)&gt;0,6=0))</f>
        <v>0</v>
      </c>
      <c r="K992" s="34" t="str">
        <f>IF($J992=FALSE(),"",COUNTIF($J$6:$J992,TRUE()))</f>
        <v/>
      </c>
      <c r="L992" s="34" t="str">
        <f>IF($K992="","","R"&amp;$K992)</f>
        <v/>
      </c>
      <c r="M992" s="34" t="str">
        <f>IF($J992=FALSE(),"",IF(발주접수!$F101="세트",IFERROR(INDEX(세트구성!$C$3:$C$302,MATCH(발주접수!$D101&amp;"|"&amp;7,세트구성!$G$3:$G$302,0)),""),발주접수!$D101))</f>
        <v/>
      </c>
      <c r="N992" s="34" t="str">
        <f>IF($J992=FALSE(),"",IF(발주접수!$F101="세트",발주접수!$G101*IFERROR(INDEX(세트구성!$E$3:$E$302,MATCH(발주접수!$D101&amp;"|"&amp;7,세트구성!$G$3:$G$302,0)),0),발주접수!$G101))</f>
        <v/>
      </c>
      <c r="O992" s="34" t="str">
        <f>IF($J992=FALSE(),"",발주접수!$B101)</f>
        <v/>
      </c>
      <c r="P992" s="34" t="str">
        <f>IF($J992=FALSE(),"",발주접수!$C101)</f>
        <v/>
      </c>
      <c r="Q992" s="34" t="str">
        <f>IF($J992=FALSE(),"",IF(발주접수!$F101="세트",발주접수!$E101&amp;" 전개","직접 발주"))</f>
        <v/>
      </c>
    </row>
    <row r="993" ht="15" customHeight="1" s="30">
      <c r="J993" s="50" t="b">
        <f>IF(발주접수!$D101="",FALSE(),IF(발주접수!$F101="세트",COUNTIF(세트구성!$G$3:$G$302,발주접수!$D101&amp;"|"&amp;8)&gt;0,7=0))</f>
        <v>0</v>
      </c>
      <c r="K993" s="34" t="str">
        <f>IF($J993=FALSE(),"",COUNTIF($J$6:$J993,TRUE()))</f>
        <v/>
      </c>
      <c r="L993" s="34" t="str">
        <f>IF($K993="","","R"&amp;$K993)</f>
        <v/>
      </c>
      <c r="M993" s="34" t="str">
        <f>IF($J993=FALSE(),"",IF(발주접수!$F101="세트",IFERROR(INDEX(세트구성!$C$3:$C$302,MATCH(발주접수!$D101&amp;"|"&amp;8,세트구성!$G$3:$G$302,0)),""),발주접수!$D101))</f>
        <v/>
      </c>
      <c r="N993" s="34" t="str">
        <f>IF($J993=FALSE(),"",IF(발주접수!$F101="세트",발주접수!$G101*IFERROR(INDEX(세트구성!$E$3:$E$302,MATCH(발주접수!$D101&amp;"|"&amp;8,세트구성!$G$3:$G$302,0)),0),발주접수!$G101))</f>
        <v/>
      </c>
      <c r="O993" s="34" t="str">
        <f>IF($J993=FALSE(),"",발주접수!$B101)</f>
        <v/>
      </c>
      <c r="P993" s="34" t="str">
        <f>IF($J993=FALSE(),"",발주접수!$C101)</f>
        <v/>
      </c>
      <c r="Q993" s="34" t="str">
        <f>IF($J993=FALSE(),"",IF(발주접수!$F101="세트",발주접수!$E101&amp;" 전개","직접 발주"))</f>
        <v/>
      </c>
    </row>
    <row r="994" ht="15" customHeight="1" s="30">
      <c r="J994" s="50" t="b">
        <f>IF(발주접수!$D101="",FALSE(),IF(발주접수!$F101="세트",COUNTIF(세트구성!$G$3:$G$302,발주접수!$D101&amp;"|"&amp;9)&gt;0,8=0))</f>
        <v>0</v>
      </c>
      <c r="K994" s="34" t="str">
        <f>IF($J994=FALSE(),"",COUNTIF($J$6:$J994,TRUE()))</f>
        <v/>
      </c>
      <c r="L994" s="34" t="str">
        <f>IF($K994="","","R"&amp;$K994)</f>
        <v/>
      </c>
      <c r="M994" s="34" t="str">
        <f>IF($J994=FALSE(),"",IF(발주접수!$F101="세트",IFERROR(INDEX(세트구성!$C$3:$C$302,MATCH(발주접수!$D101&amp;"|"&amp;9,세트구성!$G$3:$G$302,0)),""),발주접수!$D101))</f>
        <v/>
      </c>
      <c r="N994" s="34" t="str">
        <f>IF($J994=FALSE(),"",IF(발주접수!$F101="세트",발주접수!$G101*IFERROR(INDEX(세트구성!$E$3:$E$302,MATCH(발주접수!$D101&amp;"|"&amp;9,세트구성!$G$3:$G$302,0)),0),발주접수!$G101))</f>
        <v/>
      </c>
      <c r="O994" s="34" t="str">
        <f>IF($J994=FALSE(),"",발주접수!$B101)</f>
        <v/>
      </c>
      <c r="P994" s="34" t="str">
        <f>IF($J994=FALSE(),"",발주접수!$C101)</f>
        <v/>
      </c>
      <c r="Q994" s="34" t="str">
        <f>IF($J994=FALSE(),"",IF(발주접수!$F101="세트",발주접수!$E101&amp;" 전개","직접 발주"))</f>
        <v/>
      </c>
    </row>
    <row r="995" ht="15" customHeight="1" s="30">
      <c r="J995" s="50" t="b">
        <f>IF(발주접수!$D101="",FALSE(),IF(발주접수!$F101="세트",COUNTIF(세트구성!$G$3:$G$302,발주접수!$D101&amp;"|"&amp;10)&gt;0,9=0))</f>
        <v>0</v>
      </c>
      <c r="K995" s="34" t="str">
        <f>IF($J995=FALSE(),"",COUNTIF($J$6:$J995,TRUE()))</f>
        <v/>
      </c>
      <c r="L995" s="34" t="str">
        <f>IF($K995="","","R"&amp;$K995)</f>
        <v/>
      </c>
      <c r="M995" s="34" t="str">
        <f>IF($J995=FALSE(),"",IF(발주접수!$F101="세트",IFERROR(INDEX(세트구성!$C$3:$C$302,MATCH(발주접수!$D101&amp;"|"&amp;10,세트구성!$G$3:$G$302,0)),""),발주접수!$D101))</f>
        <v/>
      </c>
      <c r="N995" s="34" t="str">
        <f>IF($J995=FALSE(),"",IF(발주접수!$F101="세트",발주접수!$G101*IFERROR(INDEX(세트구성!$E$3:$E$302,MATCH(발주접수!$D101&amp;"|"&amp;10,세트구성!$G$3:$G$302,0)),0),발주접수!$G101))</f>
        <v/>
      </c>
      <c r="O995" s="34" t="str">
        <f>IF($J995=FALSE(),"",발주접수!$B101)</f>
        <v/>
      </c>
      <c r="P995" s="34" t="str">
        <f>IF($J995=FALSE(),"",발주접수!$C101)</f>
        <v/>
      </c>
      <c r="Q995" s="34" t="str">
        <f>IF($J995=FALSE(),"",IF(발주접수!$F101="세트",발주접수!$E101&amp;" 전개","직접 발주"))</f>
        <v/>
      </c>
    </row>
    <row r="996" ht="15" customHeight="1" s="30">
      <c r="J996" s="50" t="b">
        <f>IF(발주접수!$D102="",FALSE(),IF(발주접수!$F102="세트",COUNTIF(세트구성!$G$3:$G$302,발주접수!$D102&amp;"|"&amp;1)&gt;0,0=0))</f>
        <v>0</v>
      </c>
      <c r="K996" s="34" t="str">
        <f>IF($J996=FALSE(),"",COUNTIF($J$6:$J996,TRUE()))</f>
        <v/>
      </c>
      <c r="L996" s="34" t="str">
        <f>IF($K996="","","R"&amp;$K996)</f>
        <v/>
      </c>
      <c r="M996" s="34" t="str">
        <f>IF($J996=FALSE(),"",IF(발주접수!$F102="세트",IFERROR(INDEX(세트구성!$C$3:$C$302,MATCH(발주접수!$D102&amp;"|"&amp;1,세트구성!$G$3:$G$302,0)),""),발주접수!$D102))</f>
        <v/>
      </c>
      <c r="N996" s="34" t="str">
        <f>IF($J996=FALSE(),"",IF(발주접수!$F102="세트",발주접수!$G102*IFERROR(INDEX(세트구성!$E$3:$E$302,MATCH(발주접수!$D102&amp;"|"&amp;1,세트구성!$G$3:$G$302,0)),0),발주접수!$G102))</f>
        <v/>
      </c>
      <c r="O996" s="34" t="str">
        <f>IF($J996=FALSE(),"",발주접수!$B102)</f>
        <v/>
      </c>
      <c r="P996" s="34" t="str">
        <f>IF($J996=FALSE(),"",발주접수!$C102)</f>
        <v/>
      </c>
      <c r="Q996" s="34" t="str">
        <f>IF($J996=FALSE(),"",IF(발주접수!$F102="세트",발주접수!$E102&amp;" 전개","직접 발주"))</f>
        <v/>
      </c>
    </row>
    <row r="997" ht="15" customHeight="1" s="30">
      <c r="J997" s="50" t="b">
        <f>IF(발주접수!$D102="",FALSE(),IF(발주접수!$F102="세트",COUNTIF(세트구성!$G$3:$G$302,발주접수!$D102&amp;"|"&amp;2)&gt;0,1=0))</f>
        <v>0</v>
      </c>
      <c r="K997" s="34" t="str">
        <f>IF($J997=FALSE(),"",COUNTIF($J$6:$J997,TRUE()))</f>
        <v/>
      </c>
      <c r="L997" s="34" t="str">
        <f>IF($K997="","","R"&amp;$K997)</f>
        <v/>
      </c>
      <c r="M997" s="34" t="str">
        <f>IF($J997=FALSE(),"",IF(발주접수!$F102="세트",IFERROR(INDEX(세트구성!$C$3:$C$302,MATCH(발주접수!$D102&amp;"|"&amp;2,세트구성!$G$3:$G$302,0)),""),발주접수!$D102))</f>
        <v/>
      </c>
      <c r="N997" s="34" t="str">
        <f>IF($J997=FALSE(),"",IF(발주접수!$F102="세트",발주접수!$G102*IFERROR(INDEX(세트구성!$E$3:$E$302,MATCH(발주접수!$D102&amp;"|"&amp;2,세트구성!$G$3:$G$302,0)),0),발주접수!$G102))</f>
        <v/>
      </c>
      <c r="O997" s="34" t="str">
        <f>IF($J997=FALSE(),"",발주접수!$B102)</f>
        <v/>
      </c>
      <c r="P997" s="34" t="str">
        <f>IF($J997=FALSE(),"",발주접수!$C102)</f>
        <v/>
      </c>
      <c r="Q997" s="34" t="str">
        <f>IF($J997=FALSE(),"",IF(발주접수!$F102="세트",발주접수!$E102&amp;" 전개","직접 발주"))</f>
        <v/>
      </c>
    </row>
    <row r="998" ht="15" customHeight="1" s="30">
      <c r="J998" s="50" t="b">
        <f>IF(발주접수!$D102="",FALSE(),IF(발주접수!$F102="세트",COUNTIF(세트구성!$G$3:$G$302,발주접수!$D102&amp;"|"&amp;3)&gt;0,2=0))</f>
        <v>0</v>
      </c>
      <c r="K998" s="34" t="str">
        <f>IF($J998=FALSE(),"",COUNTIF($J$6:$J998,TRUE()))</f>
        <v/>
      </c>
      <c r="L998" s="34" t="str">
        <f>IF($K998="","","R"&amp;$K998)</f>
        <v/>
      </c>
      <c r="M998" s="34" t="str">
        <f>IF($J998=FALSE(),"",IF(발주접수!$F102="세트",IFERROR(INDEX(세트구성!$C$3:$C$302,MATCH(발주접수!$D102&amp;"|"&amp;3,세트구성!$G$3:$G$302,0)),""),발주접수!$D102))</f>
        <v/>
      </c>
      <c r="N998" s="34" t="str">
        <f>IF($J998=FALSE(),"",IF(발주접수!$F102="세트",발주접수!$G102*IFERROR(INDEX(세트구성!$E$3:$E$302,MATCH(발주접수!$D102&amp;"|"&amp;3,세트구성!$G$3:$G$302,0)),0),발주접수!$G102))</f>
        <v/>
      </c>
      <c r="O998" s="34" t="str">
        <f>IF($J998=FALSE(),"",발주접수!$B102)</f>
        <v/>
      </c>
      <c r="P998" s="34" t="str">
        <f>IF($J998=FALSE(),"",발주접수!$C102)</f>
        <v/>
      </c>
      <c r="Q998" s="34" t="str">
        <f>IF($J998=FALSE(),"",IF(발주접수!$F102="세트",발주접수!$E102&amp;" 전개","직접 발주"))</f>
        <v/>
      </c>
    </row>
    <row r="999" ht="15" customHeight="1" s="30">
      <c r="J999" s="50" t="b">
        <f>IF(발주접수!$D102="",FALSE(),IF(발주접수!$F102="세트",COUNTIF(세트구성!$G$3:$G$302,발주접수!$D102&amp;"|"&amp;4)&gt;0,3=0))</f>
        <v>0</v>
      </c>
      <c r="K999" s="34" t="str">
        <f>IF($J999=FALSE(),"",COUNTIF($J$6:$J999,TRUE()))</f>
        <v/>
      </c>
      <c r="L999" s="34" t="str">
        <f>IF($K999="","","R"&amp;$K999)</f>
        <v/>
      </c>
      <c r="M999" s="34" t="str">
        <f>IF($J999=FALSE(),"",IF(발주접수!$F102="세트",IFERROR(INDEX(세트구성!$C$3:$C$302,MATCH(발주접수!$D102&amp;"|"&amp;4,세트구성!$G$3:$G$302,0)),""),발주접수!$D102))</f>
        <v/>
      </c>
      <c r="N999" s="34" t="str">
        <f>IF($J999=FALSE(),"",IF(발주접수!$F102="세트",발주접수!$G102*IFERROR(INDEX(세트구성!$E$3:$E$302,MATCH(발주접수!$D102&amp;"|"&amp;4,세트구성!$G$3:$G$302,0)),0),발주접수!$G102))</f>
        <v/>
      </c>
      <c r="O999" s="34" t="str">
        <f>IF($J999=FALSE(),"",발주접수!$B102)</f>
        <v/>
      </c>
      <c r="P999" s="34" t="str">
        <f>IF($J999=FALSE(),"",발주접수!$C102)</f>
        <v/>
      </c>
      <c r="Q999" s="34" t="str">
        <f>IF($J999=FALSE(),"",IF(발주접수!$F102="세트",발주접수!$E102&amp;" 전개","직접 발주"))</f>
        <v/>
      </c>
    </row>
    <row r="1000" ht="15" customHeight="1" s="30">
      <c r="J1000" s="50" t="b">
        <f>IF(발주접수!$D102="",FALSE(),IF(발주접수!$F102="세트",COUNTIF(세트구성!$G$3:$G$302,발주접수!$D102&amp;"|"&amp;5)&gt;0,4=0))</f>
        <v>0</v>
      </c>
      <c r="K1000" s="34" t="str">
        <f>IF($J1000=FALSE(),"",COUNTIF($J$6:$J1000,TRUE()))</f>
        <v/>
      </c>
      <c r="L1000" s="34" t="str">
        <f>IF($K1000="","","R"&amp;$K1000)</f>
        <v/>
      </c>
      <c r="M1000" s="34" t="str">
        <f>IF($J1000=FALSE(),"",IF(발주접수!$F102="세트",IFERROR(INDEX(세트구성!$C$3:$C$302,MATCH(발주접수!$D102&amp;"|"&amp;5,세트구성!$G$3:$G$302,0)),""),발주접수!$D102))</f>
        <v/>
      </c>
      <c r="N1000" s="34" t="str">
        <f>IF($J1000=FALSE(),"",IF(발주접수!$F102="세트",발주접수!$G102*IFERROR(INDEX(세트구성!$E$3:$E$302,MATCH(발주접수!$D102&amp;"|"&amp;5,세트구성!$G$3:$G$302,0)),0),발주접수!$G102))</f>
        <v/>
      </c>
      <c r="O1000" s="34" t="str">
        <f>IF($J1000=FALSE(),"",발주접수!$B102)</f>
        <v/>
      </c>
      <c r="P1000" s="34" t="str">
        <f>IF($J1000=FALSE(),"",발주접수!$C102)</f>
        <v/>
      </c>
      <c r="Q1000" s="34" t="str">
        <f>IF($J1000=FALSE(),"",IF(발주접수!$F102="세트",발주접수!$E102&amp;" 전개","직접 발주"))</f>
        <v/>
      </c>
    </row>
    <row r="1001" ht="15" customHeight="1" s="30">
      <c r="J1001" s="50" t="b">
        <f>IF(발주접수!$D102="",FALSE(),IF(발주접수!$F102="세트",COUNTIF(세트구성!$G$3:$G$302,발주접수!$D102&amp;"|"&amp;6)&gt;0,5=0))</f>
        <v>0</v>
      </c>
      <c r="K1001" s="34" t="str">
        <f>IF($J1001=FALSE(),"",COUNTIF($J$6:$J1001,TRUE()))</f>
        <v/>
      </c>
      <c r="L1001" s="34" t="str">
        <f>IF($K1001="","","R"&amp;$K1001)</f>
        <v/>
      </c>
      <c r="M1001" s="34" t="str">
        <f>IF($J1001=FALSE(),"",IF(발주접수!$F102="세트",IFERROR(INDEX(세트구성!$C$3:$C$302,MATCH(발주접수!$D102&amp;"|"&amp;6,세트구성!$G$3:$G$302,0)),""),발주접수!$D102))</f>
        <v/>
      </c>
      <c r="N1001" s="34" t="str">
        <f>IF($J1001=FALSE(),"",IF(발주접수!$F102="세트",발주접수!$G102*IFERROR(INDEX(세트구성!$E$3:$E$302,MATCH(발주접수!$D102&amp;"|"&amp;6,세트구성!$G$3:$G$302,0)),0),발주접수!$G102))</f>
        <v/>
      </c>
      <c r="O1001" s="34" t="str">
        <f>IF($J1001=FALSE(),"",발주접수!$B102)</f>
        <v/>
      </c>
      <c r="P1001" s="34" t="str">
        <f>IF($J1001=FALSE(),"",발주접수!$C102)</f>
        <v/>
      </c>
      <c r="Q1001" s="34" t="str">
        <f>IF($J1001=FALSE(),"",IF(발주접수!$F102="세트",발주접수!$E102&amp;" 전개","직접 발주"))</f>
        <v/>
      </c>
    </row>
    <row r="1002" ht="15" customHeight="1" s="30">
      <c r="J1002" s="50" t="b">
        <f>IF(발주접수!$D102="",FALSE(),IF(발주접수!$F102="세트",COUNTIF(세트구성!$G$3:$G$302,발주접수!$D102&amp;"|"&amp;7)&gt;0,6=0))</f>
        <v>0</v>
      </c>
      <c r="K1002" s="34" t="str">
        <f>IF($J1002=FALSE(),"",COUNTIF($J$6:$J1002,TRUE()))</f>
        <v/>
      </c>
      <c r="L1002" s="34" t="str">
        <f>IF($K1002="","","R"&amp;$K1002)</f>
        <v/>
      </c>
      <c r="M1002" s="34" t="str">
        <f>IF($J1002=FALSE(),"",IF(발주접수!$F102="세트",IFERROR(INDEX(세트구성!$C$3:$C$302,MATCH(발주접수!$D102&amp;"|"&amp;7,세트구성!$G$3:$G$302,0)),""),발주접수!$D102))</f>
        <v/>
      </c>
      <c r="N1002" s="34" t="str">
        <f>IF($J1002=FALSE(),"",IF(발주접수!$F102="세트",발주접수!$G102*IFERROR(INDEX(세트구성!$E$3:$E$302,MATCH(발주접수!$D102&amp;"|"&amp;7,세트구성!$G$3:$G$302,0)),0),발주접수!$G102))</f>
        <v/>
      </c>
      <c r="O1002" s="34" t="str">
        <f>IF($J1002=FALSE(),"",발주접수!$B102)</f>
        <v/>
      </c>
      <c r="P1002" s="34" t="str">
        <f>IF($J1002=FALSE(),"",발주접수!$C102)</f>
        <v/>
      </c>
      <c r="Q1002" s="34" t="str">
        <f>IF($J1002=FALSE(),"",IF(발주접수!$F102="세트",발주접수!$E102&amp;" 전개","직접 발주"))</f>
        <v/>
      </c>
    </row>
    <row r="1003" ht="15" customHeight="1" s="30">
      <c r="J1003" s="50" t="b">
        <f>IF(발주접수!$D102="",FALSE(),IF(발주접수!$F102="세트",COUNTIF(세트구성!$G$3:$G$302,발주접수!$D102&amp;"|"&amp;8)&gt;0,7=0))</f>
        <v>0</v>
      </c>
      <c r="K1003" s="34" t="str">
        <f>IF($J1003=FALSE(),"",COUNTIF($J$6:$J1003,TRUE()))</f>
        <v/>
      </c>
      <c r="L1003" s="34" t="str">
        <f>IF($K1003="","","R"&amp;$K1003)</f>
        <v/>
      </c>
      <c r="M1003" s="34" t="str">
        <f>IF($J1003=FALSE(),"",IF(발주접수!$F102="세트",IFERROR(INDEX(세트구성!$C$3:$C$302,MATCH(발주접수!$D102&amp;"|"&amp;8,세트구성!$G$3:$G$302,0)),""),발주접수!$D102))</f>
        <v/>
      </c>
      <c r="N1003" s="34" t="str">
        <f>IF($J1003=FALSE(),"",IF(발주접수!$F102="세트",발주접수!$G102*IFERROR(INDEX(세트구성!$E$3:$E$302,MATCH(발주접수!$D102&amp;"|"&amp;8,세트구성!$G$3:$G$302,0)),0),발주접수!$G102))</f>
        <v/>
      </c>
      <c r="O1003" s="34" t="str">
        <f>IF($J1003=FALSE(),"",발주접수!$B102)</f>
        <v/>
      </c>
      <c r="P1003" s="34" t="str">
        <f>IF($J1003=FALSE(),"",발주접수!$C102)</f>
        <v/>
      </c>
      <c r="Q1003" s="34" t="str">
        <f>IF($J1003=FALSE(),"",IF(발주접수!$F102="세트",발주접수!$E102&amp;" 전개","직접 발주"))</f>
        <v/>
      </c>
    </row>
    <row r="1004" ht="15" customHeight="1" s="30">
      <c r="J1004" s="50" t="b">
        <f>IF(발주접수!$D102="",FALSE(),IF(발주접수!$F102="세트",COUNTIF(세트구성!$G$3:$G$302,발주접수!$D102&amp;"|"&amp;9)&gt;0,8=0))</f>
        <v>0</v>
      </c>
      <c r="K1004" s="34" t="str">
        <f>IF($J1004=FALSE(),"",COUNTIF($J$6:$J1004,TRUE()))</f>
        <v/>
      </c>
      <c r="L1004" s="34" t="str">
        <f>IF($K1004="","","R"&amp;$K1004)</f>
        <v/>
      </c>
      <c r="M1004" s="34" t="str">
        <f>IF($J1004=FALSE(),"",IF(발주접수!$F102="세트",IFERROR(INDEX(세트구성!$C$3:$C$302,MATCH(발주접수!$D102&amp;"|"&amp;9,세트구성!$G$3:$G$302,0)),""),발주접수!$D102))</f>
        <v/>
      </c>
      <c r="N1004" s="34" t="str">
        <f>IF($J1004=FALSE(),"",IF(발주접수!$F102="세트",발주접수!$G102*IFERROR(INDEX(세트구성!$E$3:$E$302,MATCH(발주접수!$D102&amp;"|"&amp;9,세트구성!$G$3:$G$302,0)),0),발주접수!$G102))</f>
        <v/>
      </c>
      <c r="O1004" s="34" t="str">
        <f>IF($J1004=FALSE(),"",발주접수!$B102)</f>
        <v/>
      </c>
      <c r="P1004" s="34" t="str">
        <f>IF($J1004=FALSE(),"",발주접수!$C102)</f>
        <v/>
      </c>
      <c r="Q1004" s="34" t="str">
        <f>IF($J1004=FALSE(),"",IF(발주접수!$F102="세트",발주접수!$E102&amp;" 전개","직접 발주"))</f>
        <v/>
      </c>
    </row>
    <row r="1005" ht="15" customHeight="1" s="30">
      <c r="J1005" s="50" t="b">
        <f>IF(발주접수!$D102="",FALSE(),IF(발주접수!$F102="세트",COUNTIF(세트구성!$G$3:$G$302,발주접수!$D102&amp;"|"&amp;10)&gt;0,9=0))</f>
        <v>0</v>
      </c>
      <c r="K1005" s="34" t="str">
        <f>IF($J1005=FALSE(),"",COUNTIF($J$6:$J1005,TRUE()))</f>
        <v/>
      </c>
      <c r="L1005" s="34" t="str">
        <f>IF($K1005="","","R"&amp;$K1005)</f>
        <v/>
      </c>
      <c r="M1005" s="34" t="str">
        <f>IF($J1005=FALSE(),"",IF(발주접수!$F102="세트",IFERROR(INDEX(세트구성!$C$3:$C$302,MATCH(발주접수!$D102&amp;"|"&amp;10,세트구성!$G$3:$G$302,0)),""),발주접수!$D102))</f>
        <v/>
      </c>
      <c r="N1005" s="34" t="str">
        <f>IF($J1005=FALSE(),"",IF(발주접수!$F102="세트",발주접수!$G102*IFERROR(INDEX(세트구성!$E$3:$E$302,MATCH(발주접수!$D102&amp;"|"&amp;10,세트구성!$G$3:$G$302,0)),0),발주접수!$G102))</f>
        <v/>
      </c>
      <c r="O1005" s="34" t="str">
        <f>IF($J1005=FALSE(),"",발주접수!$B102)</f>
        <v/>
      </c>
      <c r="P1005" s="34" t="str">
        <f>IF($J1005=FALSE(),"",발주접수!$C102)</f>
        <v/>
      </c>
      <c r="Q1005" s="34" t="str">
        <f>IF($J1005=FALSE(),"",IF(발주접수!$F102="세트",발주접수!$E102&amp;" 전개","직접 발주"))</f>
        <v/>
      </c>
    </row>
    <row r="1006" ht="15" customHeight="1" s="30">
      <c r="J1006" s="50" t="b">
        <f>IF(발주접수!$D103="",FALSE(),IF(발주접수!$F103="세트",COUNTIF(세트구성!$G$3:$G$302,발주접수!$D103&amp;"|"&amp;1)&gt;0,0=0))</f>
        <v>0</v>
      </c>
      <c r="K1006" s="34" t="str">
        <f>IF($J1006=FALSE(),"",COUNTIF($J$6:$J1006,TRUE()))</f>
        <v/>
      </c>
      <c r="L1006" s="34" t="str">
        <f>IF($K1006="","","R"&amp;$K1006)</f>
        <v/>
      </c>
      <c r="M1006" s="34" t="str">
        <f>IF($J1006=FALSE(),"",IF(발주접수!$F103="세트",IFERROR(INDEX(세트구성!$C$3:$C$302,MATCH(발주접수!$D103&amp;"|"&amp;1,세트구성!$G$3:$G$302,0)),""),발주접수!$D103))</f>
        <v/>
      </c>
      <c r="N1006" s="34" t="str">
        <f>IF($J1006=FALSE(),"",IF(발주접수!$F103="세트",발주접수!$G103*IFERROR(INDEX(세트구성!$E$3:$E$302,MATCH(발주접수!$D103&amp;"|"&amp;1,세트구성!$G$3:$G$302,0)),0),발주접수!$G103))</f>
        <v/>
      </c>
      <c r="O1006" s="34" t="str">
        <f>IF($J1006=FALSE(),"",발주접수!$B103)</f>
        <v/>
      </c>
      <c r="P1006" s="34" t="str">
        <f>IF($J1006=FALSE(),"",발주접수!$C103)</f>
        <v/>
      </c>
      <c r="Q1006" s="34" t="str">
        <f>IF($J1006=FALSE(),"",IF(발주접수!$F103="세트",발주접수!$E103&amp;" 전개","직접 발주"))</f>
        <v/>
      </c>
    </row>
    <row r="1007" ht="15" customHeight="1" s="30">
      <c r="J1007" s="50" t="b">
        <f>IF(발주접수!$D103="",FALSE(),IF(발주접수!$F103="세트",COUNTIF(세트구성!$G$3:$G$302,발주접수!$D103&amp;"|"&amp;2)&gt;0,1=0))</f>
        <v>0</v>
      </c>
      <c r="K1007" s="34" t="str">
        <f>IF($J1007=FALSE(),"",COUNTIF($J$6:$J1007,TRUE()))</f>
        <v/>
      </c>
      <c r="L1007" s="34" t="str">
        <f>IF($K1007="","","R"&amp;$K1007)</f>
        <v/>
      </c>
      <c r="M1007" s="34" t="str">
        <f>IF($J1007=FALSE(),"",IF(발주접수!$F103="세트",IFERROR(INDEX(세트구성!$C$3:$C$302,MATCH(발주접수!$D103&amp;"|"&amp;2,세트구성!$G$3:$G$302,0)),""),발주접수!$D103))</f>
        <v/>
      </c>
      <c r="N1007" s="34" t="str">
        <f>IF($J1007=FALSE(),"",IF(발주접수!$F103="세트",발주접수!$G103*IFERROR(INDEX(세트구성!$E$3:$E$302,MATCH(발주접수!$D103&amp;"|"&amp;2,세트구성!$G$3:$G$302,0)),0),발주접수!$G103))</f>
        <v/>
      </c>
      <c r="O1007" s="34" t="str">
        <f>IF($J1007=FALSE(),"",발주접수!$B103)</f>
        <v/>
      </c>
      <c r="P1007" s="34" t="str">
        <f>IF($J1007=FALSE(),"",발주접수!$C103)</f>
        <v/>
      </c>
      <c r="Q1007" s="34" t="str">
        <f>IF($J1007=FALSE(),"",IF(발주접수!$F103="세트",발주접수!$E103&amp;" 전개","직접 발주"))</f>
        <v/>
      </c>
    </row>
    <row r="1008" ht="15" customHeight="1" s="30">
      <c r="J1008" s="50" t="b">
        <f>IF(발주접수!$D103="",FALSE(),IF(발주접수!$F103="세트",COUNTIF(세트구성!$G$3:$G$302,발주접수!$D103&amp;"|"&amp;3)&gt;0,2=0))</f>
        <v>0</v>
      </c>
      <c r="K1008" s="34" t="str">
        <f>IF($J1008=FALSE(),"",COUNTIF($J$6:$J1008,TRUE()))</f>
        <v/>
      </c>
      <c r="L1008" s="34" t="str">
        <f>IF($K1008="","","R"&amp;$K1008)</f>
        <v/>
      </c>
      <c r="M1008" s="34" t="str">
        <f>IF($J1008=FALSE(),"",IF(발주접수!$F103="세트",IFERROR(INDEX(세트구성!$C$3:$C$302,MATCH(발주접수!$D103&amp;"|"&amp;3,세트구성!$G$3:$G$302,0)),""),발주접수!$D103))</f>
        <v/>
      </c>
      <c r="N1008" s="34" t="str">
        <f>IF($J1008=FALSE(),"",IF(발주접수!$F103="세트",발주접수!$G103*IFERROR(INDEX(세트구성!$E$3:$E$302,MATCH(발주접수!$D103&amp;"|"&amp;3,세트구성!$G$3:$G$302,0)),0),발주접수!$G103))</f>
        <v/>
      </c>
      <c r="O1008" s="34" t="str">
        <f>IF($J1008=FALSE(),"",발주접수!$B103)</f>
        <v/>
      </c>
      <c r="P1008" s="34" t="str">
        <f>IF($J1008=FALSE(),"",발주접수!$C103)</f>
        <v/>
      </c>
      <c r="Q1008" s="34" t="str">
        <f>IF($J1008=FALSE(),"",IF(발주접수!$F103="세트",발주접수!$E103&amp;" 전개","직접 발주"))</f>
        <v/>
      </c>
    </row>
    <row r="1009" ht="15" customHeight="1" s="30">
      <c r="J1009" s="50" t="b">
        <f>IF(발주접수!$D103="",FALSE(),IF(발주접수!$F103="세트",COUNTIF(세트구성!$G$3:$G$302,발주접수!$D103&amp;"|"&amp;4)&gt;0,3=0))</f>
        <v>0</v>
      </c>
      <c r="K1009" s="34" t="str">
        <f>IF($J1009=FALSE(),"",COUNTIF($J$6:$J1009,TRUE()))</f>
        <v/>
      </c>
      <c r="L1009" s="34" t="str">
        <f>IF($K1009="","","R"&amp;$K1009)</f>
        <v/>
      </c>
      <c r="M1009" s="34" t="str">
        <f>IF($J1009=FALSE(),"",IF(발주접수!$F103="세트",IFERROR(INDEX(세트구성!$C$3:$C$302,MATCH(발주접수!$D103&amp;"|"&amp;4,세트구성!$G$3:$G$302,0)),""),발주접수!$D103))</f>
        <v/>
      </c>
      <c r="N1009" s="34" t="str">
        <f>IF($J1009=FALSE(),"",IF(발주접수!$F103="세트",발주접수!$G103*IFERROR(INDEX(세트구성!$E$3:$E$302,MATCH(발주접수!$D103&amp;"|"&amp;4,세트구성!$G$3:$G$302,0)),0),발주접수!$G103))</f>
        <v/>
      </c>
      <c r="O1009" s="34" t="str">
        <f>IF($J1009=FALSE(),"",발주접수!$B103)</f>
        <v/>
      </c>
      <c r="P1009" s="34" t="str">
        <f>IF($J1009=FALSE(),"",발주접수!$C103)</f>
        <v/>
      </c>
      <c r="Q1009" s="34" t="str">
        <f>IF($J1009=FALSE(),"",IF(발주접수!$F103="세트",발주접수!$E103&amp;" 전개","직접 발주"))</f>
        <v/>
      </c>
    </row>
    <row r="1010" ht="15" customHeight="1" s="30">
      <c r="J1010" s="50" t="b">
        <f>IF(발주접수!$D103="",FALSE(),IF(발주접수!$F103="세트",COUNTIF(세트구성!$G$3:$G$302,발주접수!$D103&amp;"|"&amp;5)&gt;0,4=0))</f>
        <v>0</v>
      </c>
      <c r="K1010" s="34" t="str">
        <f>IF($J1010=FALSE(),"",COUNTIF($J$6:$J1010,TRUE()))</f>
        <v/>
      </c>
      <c r="L1010" s="34" t="str">
        <f>IF($K1010="","","R"&amp;$K1010)</f>
        <v/>
      </c>
      <c r="M1010" s="34" t="str">
        <f>IF($J1010=FALSE(),"",IF(발주접수!$F103="세트",IFERROR(INDEX(세트구성!$C$3:$C$302,MATCH(발주접수!$D103&amp;"|"&amp;5,세트구성!$G$3:$G$302,0)),""),발주접수!$D103))</f>
        <v/>
      </c>
      <c r="N1010" s="34" t="str">
        <f>IF($J1010=FALSE(),"",IF(발주접수!$F103="세트",발주접수!$G103*IFERROR(INDEX(세트구성!$E$3:$E$302,MATCH(발주접수!$D103&amp;"|"&amp;5,세트구성!$G$3:$G$302,0)),0),발주접수!$G103))</f>
        <v/>
      </c>
      <c r="O1010" s="34" t="str">
        <f>IF($J1010=FALSE(),"",발주접수!$B103)</f>
        <v/>
      </c>
      <c r="P1010" s="34" t="str">
        <f>IF($J1010=FALSE(),"",발주접수!$C103)</f>
        <v/>
      </c>
      <c r="Q1010" s="34" t="str">
        <f>IF($J1010=FALSE(),"",IF(발주접수!$F103="세트",발주접수!$E103&amp;" 전개","직접 발주"))</f>
        <v/>
      </c>
    </row>
    <row r="1011" ht="15" customHeight="1" s="30">
      <c r="J1011" s="50" t="b">
        <f>IF(발주접수!$D103="",FALSE(),IF(발주접수!$F103="세트",COUNTIF(세트구성!$G$3:$G$302,발주접수!$D103&amp;"|"&amp;6)&gt;0,5=0))</f>
        <v>0</v>
      </c>
      <c r="K1011" s="34" t="str">
        <f>IF($J1011=FALSE(),"",COUNTIF($J$6:$J1011,TRUE()))</f>
        <v/>
      </c>
      <c r="L1011" s="34" t="str">
        <f>IF($K1011="","","R"&amp;$K1011)</f>
        <v/>
      </c>
      <c r="M1011" s="34" t="str">
        <f>IF($J1011=FALSE(),"",IF(발주접수!$F103="세트",IFERROR(INDEX(세트구성!$C$3:$C$302,MATCH(발주접수!$D103&amp;"|"&amp;6,세트구성!$G$3:$G$302,0)),""),발주접수!$D103))</f>
        <v/>
      </c>
      <c r="N1011" s="34" t="str">
        <f>IF($J1011=FALSE(),"",IF(발주접수!$F103="세트",발주접수!$G103*IFERROR(INDEX(세트구성!$E$3:$E$302,MATCH(발주접수!$D103&amp;"|"&amp;6,세트구성!$G$3:$G$302,0)),0),발주접수!$G103))</f>
        <v/>
      </c>
      <c r="O1011" s="34" t="str">
        <f>IF($J1011=FALSE(),"",발주접수!$B103)</f>
        <v/>
      </c>
      <c r="P1011" s="34" t="str">
        <f>IF($J1011=FALSE(),"",발주접수!$C103)</f>
        <v/>
      </c>
      <c r="Q1011" s="34" t="str">
        <f>IF($J1011=FALSE(),"",IF(발주접수!$F103="세트",발주접수!$E103&amp;" 전개","직접 발주"))</f>
        <v/>
      </c>
    </row>
    <row r="1012" ht="15" customHeight="1" s="30">
      <c r="J1012" s="50" t="b">
        <f>IF(발주접수!$D103="",FALSE(),IF(발주접수!$F103="세트",COUNTIF(세트구성!$G$3:$G$302,발주접수!$D103&amp;"|"&amp;7)&gt;0,6=0))</f>
        <v>0</v>
      </c>
      <c r="K1012" s="34" t="str">
        <f>IF($J1012=FALSE(),"",COUNTIF($J$6:$J1012,TRUE()))</f>
        <v/>
      </c>
      <c r="L1012" s="34" t="str">
        <f>IF($K1012="","","R"&amp;$K1012)</f>
        <v/>
      </c>
      <c r="M1012" s="34" t="str">
        <f>IF($J1012=FALSE(),"",IF(발주접수!$F103="세트",IFERROR(INDEX(세트구성!$C$3:$C$302,MATCH(발주접수!$D103&amp;"|"&amp;7,세트구성!$G$3:$G$302,0)),""),발주접수!$D103))</f>
        <v/>
      </c>
      <c r="N1012" s="34" t="str">
        <f>IF($J1012=FALSE(),"",IF(발주접수!$F103="세트",발주접수!$G103*IFERROR(INDEX(세트구성!$E$3:$E$302,MATCH(발주접수!$D103&amp;"|"&amp;7,세트구성!$G$3:$G$302,0)),0),발주접수!$G103))</f>
        <v/>
      </c>
      <c r="O1012" s="34" t="str">
        <f>IF($J1012=FALSE(),"",발주접수!$B103)</f>
        <v/>
      </c>
      <c r="P1012" s="34" t="str">
        <f>IF($J1012=FALSE(),"",발주접수!$C103)</f>
        <v/>
      </c>
      <c r="Q1012" s="34" t="str">
        <f>IF($J1012=FALSE(),"",IF(발주접수!$F103="세트",발주접수!$E103&amp;" 전개","직접 발주"))</f>
        <v/>
      </c>
    </row>
    <row r="1013" ht="15" customHeight="1" s="30">
      <c r="J1013" s="50" t="b">
        <f>IF(발주접수!$D103="",FALSE(),IF(발주접수!$F103="세트",COUNTIF(세트구성!$G$3:$G$302,발주접수!$D103&amp;"|"&amp;8)&gt;0,7=0))</f>
        <v>0</v>
      </c>
      <c r="K1013" s="34" t="str">
        <f>IF($J1013=FALSE(),"",COUNTIF($J$6:$J1013,TRUE()))</f>
        <v/>
      </c>
      <c r="L1013" s="34" t="str">
        <f>IF($K1013="","","R"&amp;$K1013)</f>
        <v/>
      </c>
      <c r="M1013" s="34" t="str">
        <f>IF($J1013=FALSE(),"",IF(발주접수!$F103="세트",IFERROR(INDEX(세트구성!$C$3:$C$302,MATCH(발주접수!$D103&amp;"|"&amp;8,세트구성!$G$3:$G$302,0)),""),발주접수!$D103))</f>
        <v/>
      </c>
      <c r="N1013" s="34" t="str">
        <f>IF($J1013=FALSE(),"",IF(발주접수!$F103="세트",발주접수!$G103*IFERROR(INDEX(세트구성!$E$3:$E$302,MATCH(발주접수!$D103&amp;"|"&amp;8,세트구성!$G$3:$G$302,0)),0),발주접수!$G103))</f>
        <v/>
      </c>
      <c r="O1013" s="34" t="str">
        <f>IF($J1013=FALSE(),"",발주접수!$B103)</f>
        <v/>
      </c>
      <c r="P1013" s="34" t="str">
        <f>IF($J1013=FALSE(),"",발주접수!$C103)</f>
        <v/>
      </c>
      <c r="Q1013" s="34" t="str">
        <f>IF($J1013=FALSE(),"",IF(발주접수!$F103="세트",발주접수!$E103&amp;" 전개","직접 발주"))</f>
        <v/>
      </c>
    </row>
    <row r="1014" ht="15" customHeight="1" s="30">
      <c r="J1014" s="50" t="b">
        <f>IF(발주접수!$D103="",FALSE(),IF(발주접수!$F103="세트",COUNTIF(세트구성!$G$3:$G$302,발주접수!$D103&amp;"|"&amp;9)&gt;0,8=0))</f>
        <v>0</v>
      </c>
      <c r="K1014" s="34" t="str">
        <f>IF($J1014=FALSE(),"",COUNTIF($J$6:$J1014,TRUE()))</f>
        <v/>
      </c>
      <c r="L1014" s="34" t="str">
        <f>IF($K1014="","","R"&amp;$K1014)</f>
        <v/>
      </c>
      <c r="M1014" s="34" t="str">
        <f>IF($J1014=FALSE(),"",IF(발주접수!$F103="세트",IFERROR(INDEX(세트구성!$C$3:$C$302,MATCH(발주접수!$D103&amp;"|"&amp;9,세트구성!$G$3:$G$302,0)),""),발주접수!$D103))</f>
        <v/>
      </c>
      <c r="N1014" s="34" t="str">
        <f>IF($J1014=FALSE(),"",IF(발주접수!$F103="세트",발주접수!$G103*IFERROR(INDEX(세트구성!$E$3:$E$302,MATCH(발주접수!$D103&amp;"|"&amp;9,세트구성!$G$3:$G$302,0)),0),발주접수!$G103))</f>
        <v/>
      </c>
      <c r="O1014" s="34" t="str">
        <f>IF($J1014=FALSE(),"",발주접수!$B103)</f>
        <v/>
      </c>
      <c r="P1014" s="34" t="str">
        <f>IF($J1014=FALSE(),"",발주접수!$C103)</f>
        <v/>
      </c>
      <c r="Q1014" s="34" t="str">
        <f>IF($J1014=FALSE(),"",IF(발주접수!$F103="세트",발주접수!$E103&amp;" 전개","직접 발주"))</f>
        <v/>
      </c>
    </row>
    <row r="1015" ht="15" customHeight="1" s="30">
      <c r="J1015" s="50" t="b">
        <f>IF(발주접수!$D103="",FALSE(),IF(발주접수!$F103="세트",COUNTIF(세트구성!$G$3:$G$302,발주접수!$D103&amp;"|"&amp;10)&gt;0,9=0))</f>
        <v>0</v>
      </c>
      <c r="K1015" s="34" t="str">
        <f>IF($J1015=FALSE(),"",COUNTIF($J$6:$J1015,TRUE()))</f>
        <v/>
      </c>
      <c r="L1015" s="34" t="str">
        <f>IF($K1015="","","R"&amp;$K1015)</f>
        <v/>
      </c>
      <c r="M1015" s="34" t="str">
        <f>IF($J1015=FALSE(),"",IF(발주접수!$F103="세트",IFERROR(INDEX(세트구성!$C$3:$C$302,MATCH(발주접수!$D103&amp;"|"&amp;10,세트구성!$G$3:$G$302,0)),""),발주접수!$D103))</f>
        <v/>
      </c>
      <c r="N1015" s="34" t="str">
        <f>IF($J1015=FALSE(),"",IF(발주접수!$F103="세트",발주접수!$G103*IFERROR(INDEX(세트구성!$E$3:$E$302,MATCH(발주접수!$D103&amp;"|"&amp;10,세트구성!$G$3:$G$302,0)),0),발주접수!$G103))</f>
        <v/>
      </c>
      <c r="O1015" s="34" t="str">
        <f>IF($J1015=FALSE(),"",발주접수!$B103)</f>
        <v/>
      </c>
      <c r="P1015" s="34" t="str">
        <f>IF($J1015=FALSE(),"",발주접수!$C103)</f>
        <v/>
      </c>
      <c r="Q1015" s="34" t="str">
        <f>IF($J1015=FALSE(),"",IF(발주접수!$F103="세트",발주접수!$E103&amp;" 전개","직접 발주"))</f>
        <v/>
      </c>
    </row>
    <row r="1016" ht="15" customHeight="1" s="30">
      <c r="J1016" s="50" t="b">
        <f>IF(발주접수!$D104="",FALSE(),IF(발주접수!$F104="세트",COUNTIF(세트구성!$G$3:$G$302,발주접수!$D104&amp;"|"&amp;1)&gt;0,0=0))</f>
        <v>0</v>
      </c>
      <c r="K1016" s="34" t="str">
        <f>IF($J1016=FALSE(),"",COUNTIF($J$6:$J1016,TRUE()))</f>
        <v/>
      </c>
      <c r="L1016" s="34" t="str">
        <f>IF($K1016="","","R"&amp;$K1016)</f>
        <v/>
      </c>
      <c r="M1016" s="34" t="str">
        <f>IF($J1016=FALSE(),"",IF(발주접수!$F104="세트",IFERROR(INDEX(세트구성!$C$3:$C$302,MATCH(발주접수!$D104&amp;"|"&amp;1,세트구성!$G$3:$G$302,0)),""),발주접수!$D104))</f>
        <v/>
      </c>
      <c r="N1016" s="34" t="str">
        <f>IF($J1016=FALSE(),"",IF(발주접수!$F104="세트",발주접수!$G104*IFERROR(INDEX(세트구성!$E$3:$E$302,MATCH(발주접수!$D104&amp;"|"&amp;1,세트구성!$G$3:$G$302,0)),0),발주접수!$G104))</f>
        <v/>
      </c>
      <c r="O1016" s="34" t="str">
        <f>IF($J1016=FALSE(),"",발주접수!$B104)</f>
        <v/>
      </c>
      <c r="P1016" s="34" t="str">
        <f>IF($J1016=FALSE(),"",발주접수!$C104)</f>
        <v/>
      </c>
      <c r="Q1016" s="34" t="str">
        <f>IF($J1016=FALSE(),"",IF(발주접수!$F104="세트",발주접수!$E104&amp;" 전개","직접 발주"))</f>
        <v/>
      </c>
    </row>
    <row r="1017" ht="15" customHeight="1" s="30">
      <c r="J1017" s="50" t="b">
        <f>IF(발주접수!$D104="",FALSE(),IF(발주접수!$F104="세트",COUNTIF(세트구성!$G$3:$G$302,발주접수!$D104&amp;"|"&amp;2)&gt;0,1=0))</f>
        <v>0</v>
      </c>
      <c r="K1017" s="34" t="str">
        <f>IF($J1017=FALSE(),"",COUNTIF($J$6:$J1017,TRUE()))</f>
        <v/>
      </c>
      <c r="L1017" s="34" t="str">
        <f>IF($K1017="","","R"&amp;$K1017)</f>
        <v/>
      </c>
      <c r="M1017" s="34" t="str">
        <f>IF($J1017=FALSE(),"",IF(발주접수!$F104="세트",IFERROR(INDEX(세트구성!$C$3:$C$302,MATCH(발주접수!$D104&amp;"|"&amp;2,세트구성!$G$3:$G$302,0)),""),발주접수!$D104))</f>
        <v/>
      </c>
      <c r="N1017" s="34" t="str">
        <f>IF($J1017=FALSE(),"",IF(발주접수!$F104="세트",발주접수!$G104*IFERROR(INDEX(세트구성!$E$3:$E$302,MATCH(발주접수!$D104&amp;"|"&amp;2,세트구성!$G$3:$G$302,0)),0),발주접수!$G104))</f>
        <v/>
      </c>
      <c r="O1017" s="34" t="str">
        <f>IF($J1017=FALSE(),"",발주접수!$B104)</f>
        <v/>
      </c>
      <c r="P1017" s="34" t="str">
        <f>IF($J1017=FALSE(),"",발주접수!$C104)</f>
        <v/>
      </c>
      <c r="Q1017" s="34" t="str">
        <f>IF($J1017=FALSE(),"",IF(발주접수!$F104="세트",발주접수!$E104&amp;" 전개","직접 발주"))</f>
        <v/>
      </c>
    </row>
    <row r="1018" ht="15" customHeight="1" s="30">
      <c r="J1018" s="50" t="b">
        <f>IF(발주접수!$D104="",FALSE(),IF(발주접수!$F104="세트",COUNTIF(세트구성!$G$3:$G$302,발주접수!$D104&amp;"|"&amp;3)&gt;0,2=0))</f>
        <v>0</v>
      </c>
      <c r="K1018" s="34" t="str">
        <f>IF($J1018=FALSE(),"",COUNTIF($J$6:$J1018,TRUE()))</f>
        <v/>
      </c>
      <c r="L1018" s="34" t="str">
        <f>IF($K1018="","","R"&amp;$K1018)</f>
        <v/>
      </c>
      <c r="M1018" s="34" t="str">
        <f>IF($J1018=FALSE(),"",IF(발주접수!$F104="세트",IFERROR(INDEX(세트구성!$C$3:$C$302,MATCH(발주접수!$D104&amp;"|"&amp;3,세트구성!$G$3:$G$302,0)),""),발주접수!$D104))</f>
        <v/>
      </c>
      <c r="N1018" s="34" t="str">
        <f>IF($J1018=FALSE(),"",IF(발주접수!$F104="세트",발주접수!$G104*IFERROR(INDEX(세트구성!$E$3:$E$302,MATCH(발주접수!$D104&amp;"|"&amp;3,세트구성!$G$3:$G$302,0)),0),발주접수!$G104))</f>
        <v/>
      </c>
      <c r="O1018" s="34" t="str">
        <f>IF($J1018=FALSE(),"",발주접수!$B104)</f>
        <v/>
      </c>
      <c r="P1018" s="34" t="str">
        <f>IF($J1018=FALSE(),"",발주접수!$C104)</f>
        <v/>
      </c>
      <c r="Q1018" s="34" t="str">
        <f>IF($J1018=FALSE(),"",IF(발주접수!$F104="세트",발주접수!$E104&amp;" 전개","직접 발주"))</f>
        <v/>
      </c>
    </row>
    <row r="1019" ht="15" customHeight="1" s="30">
      <c r="J1019" s="50" t="b">
        <f>IF(발주접수!$D104="",FALSE(),IF(발주접수!$F104="세트",COUNTIF(세트구성!$G$3:$G$302,발주접수!$D104&amp;"|"&amp;4)&gt;0,3=0))</f>
        <v>0</v>
      </c>
      <c r="K1019" s="34" t="str">
        <f>IF($J1019=FALSE(),"",COUNTIF($J$6:$J1019,TRUE()))</f>
        <v/>
      </c>
      <c r="L1019" s="34" t="str">
        <f>IF($K1019="","","R"&amp;$K1019)</f>
        <v/>
      </c>
      <c r="M1019" s="34" t="str">
        <f>IF($J1019=FALSE(),"",IF(발주접수!$F104="세트",IFERROR(INDEX(세트구성!$C$3:$C$302,MATCH(발주접수!$D104&amp;"|"&amp;4,세트구성!$G$3:$G$302,0)),""),발주접수!$D104))</f>
        <v/>
      </c>
      <c r="N1019" s="34" t="str">
        <f>IF($J1019=FALSE(),"",IF(발주접수!$F104="세트",발주접수!$G104*IFERROR(INDEX(세트구성!$E$3:$E$302,MATCH(발주접수!$D104&amp;"|"&amp;4,세트구성!$G$3:$G$302,0)),0),발주접수!$G104))</f>
        <v/>
      </c>
      <c r="O1019" s="34" t="str">
        <f>IF($J1019=FALSE(),"",발주접수!$B104)</f>
        <v/>
      </c>
      <c r="P1019" s="34" t="str">
        <f>IF($J1019=FALSE(),"",발주접수!$C104)</f>
        <v/>
      </c>
      <c r="Q1019" s="34" t="str">
        <f>IF($J1019=FALSE(),"",IF(발주접수!$F104="세트",발주접수!$E104&amp;" 전개","직접 발주"))</f>
        <v/>
      </c>
    </row>
    <row r="1020" ht="15" customHeight="1" s="30">
      <c r="J1020" s="50" t="b">
        <f>IF(발주접수!$D104="",FALSE(),IF(발주접수!$F104="세트",COUNTIF(세트구성!$G$3:$G$302,발주접수!$D104&amp;"|"&amp;5)&gt;0,4=0))</f>
        <v>0</v>
      </c>
      <c r="K1020" s="34" t="str">
        <f>IF($J1020=FALSE(),"",COUNTIF($J$6:$J1020,TRUE()))</f>
        <v/>
      </c>
      <c r="L1020" s="34" t="str">
        <f>IF($K1020="","","R"&amp;$K1020)</f>
        <v/>
      </c>
      <c r="M1020" s="34" t="str">
        <f>IF($J1020=FALSE(),"",IF(발주접수!$F104="세트",IFERROR(INDEX(세트구성!$C$3:$C$302,MATCH(발주접수!$D104&amp;"|"&amp;5,세트구성!$G$3:$G$302,0)),""),발주접수!$D104))</f>
        <v/>
      </c>
      <c r="N1020" s="34" t="str">
        <f>IF($J1020=FALSE(),"",IF(발주접수!$F104="세트",발주접수!$G104*IFERROR(INDEX(세트구성!$E$3:$E$302,MATCH(발주접수!$D104&amp;"|"&amp;5,세트구성!$G$3:$G$302,0)),0),발주접수!$G104))</f>
        <v/>
      </c>
      <c r="O1020" s="34" t="str">
        <f>IF($J1020=FALSE(),"",발주접수!$B104)</f>
        <v/>
      </c>
      <c r="P1020" s="34" t="str">
        <f>IF($J1020=FALSE(),"",발주접수!$C104)</f>
        <v/>
      </c>
      <c r="Q1020" s="34" t="str">
        <f>IF($J1020=FALSE(),"",IF(발주접수!$F104="세트",발주접수!$E104&amp;" 전개","직접 발주"))</f>
        <v/>
      </c>
    </row>
    <row r="1021" ht="15" customHeight="1" s="30">
      <c r="J1021" s="50" t="b">
        <f>IF(발주접수!$D104="",FALSE(),IF(발주접수!$F104="세트",COUNTIF(세트구성!$G$3:$G$302,발주접수!$D104&amp;"|"&amp;6)&gt;0,5=0))</f>
        <v>0</v>
      </c>
      <c r="K1021" s="34" t="str">
        <f>IF($J1021=FALSE(),"",COUNTIF($J$6:$J1021,TRUE()))</f>
        <v/>
      </c>
      <c r="L1021" s="34" t="str">
        <f>IF($K1021="","","R"&amp;$K1021)</f>
        <v/>
      </c>
      <c r="M1021" s="34" t="str">
        <f>IF($J1021=FALSE(),"",IF(발주접수!$F104="세트",IFERROR(INDEX(세트구성!$C$3:$C$302,MATCH(발주접수!$D104&amp;"|"&amp;6,세트구성!$G$3:$G$302,0)),""),발주접수!$D104))</f>
        <v/>
      </c>
      <c r="N1021" s="34" t="str">
        <f>IF($J1021=FALSE(),"",IF(발주접수!$F104="세트",발주접수!$G104*IFERROR(INDEX(세트구성!$E$3:$E$302,MATCH(발주접수!$D104&amp;"|"&amp;6,세트구성!$G$3:$G$302,0)),0),발주접수!$G104))</f>
        <v/>
      </c>
      <c r="O1021" s="34" t="str">
        <f>IF($J1021=FALSE(),"",발주접수!$B104)</f>
        <v/>
      </c>
      <c r="P1021" s="34" t="str">
        <f>IF($J1021=FALSE(),"",발주접수!$C104)</f>
        <v/>
      </c>
      <c r="Q1021" s="34" t="str">
        <f>IF($J1021=FALSE(),"",IF(발주접수!$F104="세트",발주접수!$E104&amp;" 전개","직접 발주"))</f>
        <v/>
      </c>
    </row>
    <row r="1022" ht="15" customHeight="1" s="30">
      <c r="J1022" s="50" t="b">
        <f>IF(발주접수!$D104="",FALSE(),IF(발주접수!$F104="세트",COUNTIF(세트구성!$G$3:$G$302,발주접수!$D104&amp;"|"&amp;7)&gt;0,6=0))</f>
        <v>0</v>
      </c>
      <c r="K1022" s="34" t="str">
        <f>IF($J1022=FALSE(),"",COUNTIF($J$6:$J1022,TRUE()))</f>
        <v/>
      </c>
      <c r="L1022" s="34" t="str">
        <f>IF($K1022="","","R"&amp;$K1022)</f>
        <v/>
      </c>
      <c r="M1022" s="34" t="str">
        <f>IF($J1022=FALSE(),"",IF(발주접수!$F104="세트",IFERROR(INDEX(세트구성!$C$3:$C$302,MATCH(발주접수!$D104&amp;"|"&amp;7,세트구성!$G$3:$G$302,0)),""),발주접수!$D104))</f>
        <v/>
      </c>
      <c r="N1022" s="34" t="str">
        <f>IF($J1022=FALSE(),"",IF(발주접수!$F104="세트",발주접수!$G104*IFERROR(INDEX(세트구성!$E$3:$E$302,MATCH(발주접수!$D104&amp;"|"&amp;7,세트구성!$G$3:$G$302,0)),0),발주접수!$G104))</f>
        <v/>
      </c>
      <c r="O1022" s="34" t="str">
        <f>IF($J1022=FALSE(),"",발주접수!$B104)</f>
        <v/>
      </c>
      <c r="P1022" s="34" t="str">
        <f>IF($J1022=FALSE(),"",발주접수!$C104)</f>
        <v/>
      </c>
      <c r="Q1022" s="34" t="str">
        <f>IF($J1022=FALSE(),"",IF(발주접수!$F104="세트",발주접수!$E104&amp;" 전개","직접 발주"))</f>
        <v/>
      </c>
    </row>
    <row r="1023" ht="15" customHeight="1" s="30">
      <c r="J1023" s="50" t="b">
        <f>IF(발주접수!$D104="",FALSE(),IF(발주접수!$F104="세트",COUNTIF(세트구성!$G$3:$G$302,발주접수!$D104&amp;"|"&amp;8)&gt;0,7=0))</f>
        <v>0</v>
      </c>
      <c r="K1023" s="34" t="str">
        <f>IF($J1023=FALSE(),"",COUNTIF($J$6:$J1023,TRUE()))</f>
        <v/>
      </c>
      <c r="L1023" s="34" t="str">
        <f>IF($K1023="","","R"&amp;$K1023)</f>
        <v/>
      </c>
      <c r="M1023" s="34" t="str">
        <f>IF($J1023=FALSE(),"",IF(발주접수!$F104="세트",IFERROR(INDEX(세트구성!$C$3:$C$302,MATCH(발주접수!$D104&amp;"|"&amp;8,세트구성!$G$3:$G$302,0)),""),발주접수!$D104))</f>
        <v/>
      </c>
      <c r="N1023" s="34" t="str">
        <f>IF($J1023=FALSE(),"",IF(발주접수!$F104="세트",발주접수!$G104*IFERROR(INDEX(세트구성!$E$3:$E$302,MATCH(발주접수!$D104&amp;"|"&amp;8,세트구성!$G$3:$G$302,0)),0),발주접수!$G104))</f>
        <v/>
      </c>
      <c r="O1023" s="34" t="str">
        <f>IF($J1023=FALSE(),"",발주접수!$B104)</f>
        <v/>
      </c>
      <c r="P1023" s="34" t="str">
        <f>IF($J1023=FALSE(),"",발주접수!$C104)</f>
        <v/>
      </c>
      <c r="Q1023" s="34" t="str">
        <f>IF($J1023=FALSE(),"",IF(발주접수!$F104="세트",발주접수!$E104&amp;" 전개","직접 발주"))</f>
        <v/>
      </c>
    </row>
    <row r="1024" ht="15" customHeight="1" s="30">
      <c r="J1024" s="50" t="b">
        <f>IF(발주접수!$D104="",FALSE(),IF(발주접수!$F104="세트",COUNTIF(세트구성!$G$3:$G$302,발주접수!$D104&amp;"|"&amp;9)&gt;0,8=0))</f>
        <v>0</v>
      </c>
      <c r="K1024" s="34" t="str">
        <f>IF($J1024=FALSE(),"",COUNTIF($J$6:$J1024,TRUE()))</f>
        <v/>
      </c>
      <c r="L1024" s="34" t="str">
        <f>IF($K1024="","","R"&amp;$K1024)</f>
        <v/>
      </c>
      <c r="M1024" s="34" t="str">
        <f>IF($J1024=FALSE(),"",IF(발주접수!$F104="세트",IFERROR(INDEX(세트구성!$C$3:$C$302,MATCH(발주접수!$D104&amp;"|"&amp;9,세트구성!$G$3:$G$302,0)),""),발주접수!$D104))</f>
        <v/>
      </c>
      <c r="N1024" s="34" t="str">
        <f>IF($J1024=FALSE(),"",IF(발주접수!$F104="세트",발주접수!$G104*IFERROR(INDEX(세트구성!$E$3:$E$302,MATCH(발주접수!$D104&amp;"|"&amp;9,세트구성!$G$3:$G$302,0)),0),발주접수!$G104))</f>
        <v/>
      </c>
      <c r="O1024" s="34" t="str">
        <f>IF($J1024=FALSE(),"",발주접수!$B104)</f>
        <v/>
      </c>
      <c r="P1024" s="34" t="str">
        <f>IF($J1024=FALSE(),"",발주접수!$C104)</f>
        <v/>
      </c>
      <c r="Q1024" s="34" t="str">
        <f>IF($J1024=FALSE(),"",IF(발주접수!$F104="세트",발주접수!$E104&amp;" 전개","직접 발주"))</f>
        <v/>
      </c>
    </row>
    <row r="1025" ht="15" customHeight="1" s="30">
      <c r="J1025" s="50" t="b">
        <f>IF(발주접수!$D104="",FALSE(),IF(발주접수!$F104="세트",COUNTIF(세트구성!$G$3:$G$302,발주접수!$D104&amp;"|"&amp;10)&gt;0,9=0))</f>
        <v>0</v>
      </c>
      <c r="K1025" s="34" t="str">
        <f>IF($J1025=FALSE(),"",COUNTIF($J$6:$J1025,TRUE()))</f>
        <v/>
      </c>
      <c r="L1025" s="34" t="str">
        <f>IF($K1025="","","R"&amp;$K1025)</f>
        <v/>
      </c>
      <c r="M1025" s="34" t="str">
        <f>IF($J1025=FALSE(),"",IF(발주접수!$F104="세트",IFERROR(INDEX(세트구성!$C$3:$C$302,MATCH(발주접수!$D104&amp;"|"&amp;10,세트구성!$G$3:$G$302,0)),""),발주접수!$D104))</f>
        <v/>
      </c>
      <c r="N1025" s="34" t="str">
        <f>IF($J1025=FALSE(),"",IF(발주접수!$F104="세트",발주접수!$G104*IFERROR(INDEX(세트구성!$E$3:$E$302,MATCH(발주접수!$D104&amp;"|"&amp;10,세트구성!$G$3:$G$302,0)),0),발주접수!$G104))</f>
        <v/>
      </c>
      <c r="O1025" s="34" t="str">
        <f>IF($J1025=FALSE(),"",발주접수!$B104)</f>
        <v/>
      </c>
      <c r="P1025" s="34" t="str">
        <f>IF($J1025=FALSE(),"",발주접수!$C104)</f>
        <v/>
      </c>
      <c r="Q1025" s="34" t="str">
        <f>IF($J1025=FALSE(),"",IF(발주접수!$F104="세트",발주접수!$E104&amp;" 전개","직접 발주"))</f>
        <v/>
      </c>
    </row>
    <row r="1026" ht="15" customHeight="1" s="30">
      <c r="J1026" s="50" t="b">
        <f>IF(발주접수!$D105="",FALSE(),IF(발주접수!$F105="세트",COUNTIF(세트구성!$G$3:$G$302,발주접수!$D105&amp;"|"&amp;1)&gt;0,0=0))</f>
        <v>0</v>
      </c>
      <c r="K1026" s="34" t="str">
        <f>IF($J1026=FALSE(),"",COUNTIF($J$6:$J1026,TRUE()))</f>
        <v/>
      </c>
      <c r="L1026" s="34" t="str">
        <f>IF($K1026="","","R"&amp;$K1026)</f>
        <v/>
      </c>
      <c r="M1026" s="34" t="str">
        <f>IF($J1026=FALSE(),"",IF(발주접수!$F105="세트",IFERROR(INDEX(세트구성!$C$3:$C$302,MATCH(발주접수!$D105&amp;"|"&amp;1,세트구성!$G$3:$G$302,0)),""),발주접수!$D105))</f>
        <v/>
      </c>
      <c r="N1026" s="34" t="str">
        <f>IF($J1026=FALSE(),"",IF(발주접수!$F105="세트",발주접수!$G105*IFERROR(INDEX(세트구성!$E$3:$E$302,MATCH(발주접수!$D105&amp;"|"&amp;1,세트구성!$G$3:$G$302,0)),0),발주접수!$G105))</f>
        <v/>
      </c>
      <c r="O1026" s="34" t="str">
        <f>IF($J1026=FALSE(),"",발주접수!$B105)</f>
        <v/>
      </c>
      <c r="P1026" s="34" t="str">
        <f>IF($J1026=FALSE(),"",발주접수!$C105)</f>
        <v/>
      </c>
      <c r="Q1026" s="34" t="str">
        <f>IF($J1026=FALSE(),"",IF(발주접수!$F105="세트",발주접수!$E105&amp;" 전개","직접 발주"))</f>
        <v/>
      </c>
    </row>
    <row r="1027" ht="15" customHeight="1" s="30">
      <c r="J1027" s="50" t="b">
        <f>IF(발주접수!$D105="",FALSE(),IF(발주접수!$F105="세트",COUNTIF(세트구성!$G$3:$G$302,발주접수!$D105&amp;"|"&amp;2)&gt;0,1=0))</f>
        <v>0</v>
      </c>
      <c r="K1027" s="34" t="str">
        <f>IF($J1027=FALSE(),"",COUNTIF($J$6:$J1027,TRUE()))</f>
        <v/>
      </c>
      <c r="L1027" s="34" t="str">
        <f>IF($K1027="","","R"&amp;$K1027)</f>
        <v/>
      </c>
      <c r="M1027" s="34" t="str">
        <f>IF($J1027=FALSE(),"",IF(발주접수!$F105="세트",IFERROR(INDEX(세트구성!$C$3:$C$302,MATCH(발주접수!$D105&amp;"|"&amp;2,세트구성!$G$3:$G$302,0)),""),발주접수!$D105))</f>
        <v/>
      </c>
      <c r="N1027" s="34" t="str">
        <f>IF($J1027=FALSE(),"",IF(발주접수!$F105="세트",발주접수!$G105*IFERROR(INDEX(세트구성!$E$3:$E$302,MATCH(발주접수!$D105&amp;"|"&amp;2,세트구성!$G$3:$G$302,0)),0),발주접수!$G105))</f>
        <v/>
      </c>
      <c r="O1027" s="34" t="str">
        <f>IF($J1027=FALSE(),"",발주접수!$B105)</f>
        <v/>
      </c>
      <c r="P1027" s="34" t="str">
        <f>IF($J1027=FALSE(),"",발주접수!$C105)</f>
        <v/>
      </c>
      <c r="Q1027" s="34" t="str">
        <f>IF($J1027=FALSE(),"",IF(발주접수!$F105="세트",발주접수!$E105&amp;" 전개","직접 발주"))</f>
        <v/>
      </c>
    </row>
    <row r="1028" ht="15" customHeight="1" s="30">
      <c r="J1028" s="50" t="b">
        <f>IF(발주접수!$D105="",FALSE(),IF(발주접수!$F105="세트",COUNTIF(세트구성!$G$3:$G$302,발주접수!$D105&amp;"|"&amp;3)&gt;0,2=0))</f>
        <v>0</v>
      </c>
      <c r="K1028" s="34" t="str">
        <f>IF($J1028=FALSE(),"",COUNTIF($J$6:$J1028,TRUE()))</f>
        <v/>
      </c>
      <c r="L1028" s="34" t="str">
        <f>IF($K1028="","","R"&amp;$K1028)</f>
        <v/>
      </c>
      <c r="M1028" s="34" t="str">
        <f>IF($J1028=FALSE(),"",IF(발주접수!$F105="세트",IFERROR(INDEX(세트구성!$C$3:$C$302,MATCH(발주접수!$D105&amp;"|"&amp;3,세트구성!$G$3:$G$302,0)),""),발주접수!$D105))</f>
        <v/>
      </c>
      <c r="N1028" s="34" t="str">
        <f>IF($J1028=FALSE(),"",IF(발주접수!$F105="세트",발주접수!$G105*IFERROR(INDEX(세트구성!$E$3:$E$302,MATCH(발주접수!$D105&amp;"|"&amp;3,세트구성!$G$3:$G$302,0)),0),발주접수!$G105))</f>
        <v/>
      </c>
      <c r="O1028" s="34" t="str">
        <f>IF($J1028=FALSE(),"",발주접수!$B105)</f>
        <v/>
      </c>
      <c r="P1028" s="34" t="str">
        <f>IF($J1028=FALSE(),"",발주접수!$C105)</f>
        <v/>
      </c>
      <c r="Q1028" s="34" t="str">
        <f>IF($J1028=FALSE(),"",IF(발주접수!$F105="세트",발주접수!$E105&amp;" 전개","직접 발주"))</f>
        <v/>
      </c>
    </row>
    <row r="1029" ht="15" customHeight="1" s="30">
      <c r="J1029" s="50" t="b">
        <f>IF(발주접수!$D105="",FALSE(),IF(발주접수!$F105="세트",COUNTIF(세트구성!$G$3:$G$302,발주접수!$D105&amp;"|"&amp;4)&gt;0,3=0))</f>
        <v>0</v>
      </c>
      <c r="K1029" s="34" t="str">
        <f>IF($J1029=FALSE(),"",COUNTIF($J$6:$J1029,TRUE()))</f>
        <v/>
      </c>
      <c r="L1029" s="34" t="str">
        <f>IF($K1029="","","R"&amp;$K1029)</f>
        <v/>
      </c>
      <c r="M1029" s="34" t="str">
        <f>IF($J1029=FALSE(),"",IF(발주접수!$F105="세트",IFERROR(INDEX(세트구성!$C$3:$C$302,MATCH(발주접수!$D105&amp;"|"&amp;4,세트구성!$G$3:$G$302,0)),""),발주접수!$D105))</f>
        <v/>
      </c>
      <c r="N1029" s="34" t="str">
        <f>IF($J1029=FALSE(),"",IF(발주접수!$F105="세트",발주접수!$G105*IFERROR(INDEX(세트구성!$E$3:$E$302,MATCH(발주접수!$D105&amp;"|"&amp;4,세트구성!$G$3:$G$302,0)),0),발주접수!$G105))</f>
        <v/>
      </c>
      <c r="O1029" s="34" t="str">
        <f>IF($J1029=FALSE(),"",발주접수!$B105)</f>
        <v/>
      </c>
      <c r="P1029" s="34" t="str">
        <f>IF($J1029=FALSE(),"",발주접수!$C105)</f>
        <v/>
      </c>
      <c r="Q1029" s="34" t="str">
        <f>IF($J1029=FALSE(),"",IF(발주접수!$F105="세트",발주접수!$E105&amp;" 전개","직접 발주"))</f>
        <v/>
      </c>
    </row>
    <row r="1030" ht="15" customHeight="1" s="30">
      <c r="J1030" s="50" t="b">
        <f>IF(발주접수!$D105="",FALSE(),IF(발주접수!$F105="세트",COUNTIF(세트구성!$G$3:$G$302,발주접수!$D105&amp;"|"&amp;5)&gt;0,4=0))</f>
        <v>0</v>
      </c>
      <c r="K1030" s="34" t="str">
        <f>IF($J1030=FALSE(),"",COUNTIF($J$6:$J1030,TRUE()))</f>
        <v/>
      </c>
      <c r="L1030" s="34" t="str">
        <f>IF($K1030="","","R"&amp;$K1030)</f>
        <v/>
      </c>
      <c r="M1030" s="34" t="str">
        <f>IF($J1030=FALSE(),"",IF(발주접수!$F105="세트",IFERROR(INDEX(세트구성!$C$3:$C$302,MATCH(발주접수!$D105&amp;"|"&amp;5,세트구성!$G$3:$G$302,0)),""),발주접수!$D105))</f>
        <v/>
      </c>
      <c r="N1030" s="34" t="str">
        <f>IF($J1030=FALSE(),"",IF(발주접수!$F105="세트",발주접수!$G105*IFERROR(INDEX(세트구성!$E$3:$E$302,MATCH(발주접수!$D105&amp;"|"&amp;5,세트구성!$G$3:$G$302,0)),0),발주접수!$G105))</f>
        <v/>
      </c>
      <c r="O1030" s="34" t="str">
        <f>IF($J1030=FALSE(),"",발주접수!$B105)</f>
        <v/>
      </c>
      <c r="P1030" s="34" t="str">
        <f>IF($J1030=FALSE(),"",발주접수!$C105)</f>
        <v/>
      </c>
      <c r="Q1030" s="34" t="str">
        <f>IF($J1030=FALSE(),"",IF(발주접수!$F105="세트",발주접수!$E105&amp;" 전개","직접 발주"))</f>
        <v/>
      </c>
    </row>
    <row r="1031" ht="15" customHeight="1" s="30">
      <c r="J1031" s="50" t="b">
        <f>IF(발주접수!$D105="",FALSE(),IF(발주접수!$F105="세트",COUNTIF(세트구성!$G$3:$G$302,발주접수!$D105&amp;"|"&amp;6)&gt;0,5=0))</f>
        <v>0</v>
      </c>
      <c r="K1031" s="34" t="str">
        <f>IF($J1031=FALSE(),"",COUNTIF($J$6:$J1031,TRUE()))</f>
        <v/>
      </c>
      <c r="L1031" s="34" t="str">
        <f>IF($K1031="","","R"&amp;$K1031)</f>
        <v/>
      </c>
      <c r="M1031" s="34" t="str">
        <f>IF($J1031=FALSE(),"",IF(발주접수!$F105="세트",IFERROR(INDEX(세트구성!$C$3:$C$302,MATCH(발주접수!$D105&amp;"|"&amp;6,세트구성!$G$3:$G$302,0)),""),발주접수!$D105))</f>
        <v/>
      </c>
      <c r="N1031" s="34" t="str">
        <f>IF($J1031=FALSE(),"",IF(발주접수!$F105="세트",발주접수!$G105*IFERROR(INDEX(세트구성!$E$3:$E$302,MATCH(발주접수!$D105&amp;"|"&amp;6,세트구성!$G$3:$G$302,0)),0),발주접수!$G105))</f>
        <v/>
      </c>
      <c r="O1031" s="34" t="str">
        <f>IF($J1031=FALSE(),"",발주접수!$B105)</f>
        <v/>
      </c>
      <c r="P1031" s="34" t="str">
        <f>IF($J1031=FALSE(),"",발주접수!$C105)</f>
        <v/>
      </c>
      <c r="Q1031" s="34" t="str">
        <f>IF($J1031=FALSE(),"",IF(발주접수!$F105="세트",발주접수!$E105&amp;" 전개","직접 발주"))</f>
        <v/>
      </c>
    </row>
    <row r="1032" ht="15" customHeight="1" s="30">
      <c r="J1032" s="50" t="b">
        <f>IF(발주접수!$D105="",FALSE(),IF(발주접수!$F105="세트",COUNTIF(세트구성!$G$3:$G$302,발주접수!$D105&amp;"|"&amp;7)&gt;0,6=0))</f>
        <v>0</v>
      </c>
      <c r="K1032" s="34" t="str">
        <f>IF($J1032=FALSE(),"",COUNTIF($J$6:$J1032,TRUE()))</f>
        <v/>
      </c>
      <c r="L1032" s="34" t="str">
        <f>IF($K1032="","","R"&amp;$K1032)</f>
        <v/>
      </c>
      <c r="M1032" s="34" t="str">
        <f>IF($J1032=FALSE(),"",IF(발주접수!$F105="세트",IFERROR(INDEX(세트구성!$C$3:$C$302,MATCH(발주접수!$D105&amp;"|"&amp;7,세트구성!$G$3:$G$302,0)),""),발주접수!$D105))</f>
        <v/>
      </c>
      <c r="N1032" s="34" t="str">
        <f>IF($J1032=FALSE(),"",IF(발주접수!$F105="세트",발주접수!$G105*IFERROR(INDEX(세트구성!$E$3:$E$302,MATCH(발주접수!$D105&amp;"|"&amp;7,세트구성!$G$3:$G$302,0)),0),발주접수!$G105))</f>
        <v/>
      </c>
      <c r="O1032" s="34" t="str">
        <f>IF($J1032=FALSE(),"",발주접수!$B105)</f>
        <v/>
      </c>
      <c r="P1032" s="34" t="str">
        <f>IF($J1032=FALSE(),"",발주접수!$C105)</f>
        <v/>
      </c>
      <c r="Q1032" s="34" t="str">
        <f>IF($J1032=FALSE(),"",IF(발주접수!$F105="세트",발주접수!$E105&amp;" 전개","직접 발주"))</f>
        <v/>
      </c>
    </row>
    <row r="1033" ht="15" customHeight="1" s="30">
      <c r="J1033" s="50" t="b">
        <f>IF(발주접수!$D105="",FALSE(),IF(발주접수!$F105="세트",COUNTIF(세트구성!$G$3:$G$302,발주접수!$D105&amp;"|"&amp;8)&gt;0,7=0))</f>
        <v>0</v>
      </c>
      <c r="K1033" s="34" t="str">
        <f>IF($J1033=FALSE(),"",COUNTIF($J$6:$J1033,TRUE()))</f>
        <v/>
      </c>
      <c r="L1033" s="34" t="str">
        <f>IF($K1033="","","R"&amp;$K1033)</f>
        <v/>
      </c>
      <c r="M1033" s="34" t="str">
        <f>IF($J1033=FALSE(),"",IF(발주접수!$F105="세트",IFERROR(INDEX(세트구성!$C$3:$C$302,MATCH(발주접수!$D105&amp;"|"&amp;8,세트구성!$G$3:$G$302,0)),""),발주접수!$D105))</f>
        <v/>
      </c>
      <c r="N1033" s="34" t="str">
        <f>IF($J1033=FALSE(),"",IF(발주접수!$F105="세트",발주접수!$G105*IFERROR(INDEX(세트구성!$E$3:$E$302,MATCH(발주접수!$D105&amp;"|"&amp;8,세트구성!$G$3:$G$302,0)),0),발주접수!$G105))</f>
        <v/>
      </c>
      <c r="O1033" s="34" t="str">
        <f>IF($J1033=FALSE(),"",발주접수!$B105)</f>
        <v/>
      </c>
      <c r="P1033" s="34" t="str">
        <f>IF($J1033=FALSE(),"",발주접수!$C105)</f>
        <v/>
      </c>
      <c r="Q1033" s="34" t="str">
        <f>IF($J1033=FALSE(),"",IF(발주접수!$F105="세트",발주접수!$E105&amp;" 전개","직접 발주"))</f>
        <v/>
      </c>
    </row>
    <row r="1034" ht="15" customHeight="1" s="30">
      <c r="J1034" s="50" t="b">
        <f>IF(발주접수!$D105="",FALSE(),IF(발주접수!$F105="세트",COUNTIF(세트구성!$G$3:$G$302,발주접수!$D105&amp;"|"&amp;9)&gt;0,8=0))</f>
        <v>0</v>
      </c>
      <c r="K1034" s="34" t="str">
        <f>IF($J1034=FALSE(),"",COUNTIF($J$6:$J1034,TRUE()))</f>
        <v/>
      </c>
      <c r="L1034" s="34" t="str">
        <f>IF($K1034="","","R"&amp;$K1034)</f>
        <v/>
      </c>
      <c r="M1034" s="34" t="str">
        <f>IF($J1034=FALSE(),"",IF(발주접수!$F105="세트",IFERROR(INDEX(세트구성!$C$3:$C$302,MATCH(발주접수!$D105&amp;"|"&amp;9,세트구성!$G$3:$G$302,0)),""),발주접수!$D105))</f>
        <v/>
      </c>
      <c r="N1034" s="34" t="str">
        <f>IF($J1034=FALSE(),"",IF(발주접수!$F105="세트",발주접수!$G105*IFERROR(INDEX(세트구성!$E$3:$E$302,MATCH(발주접수!$D105&amp;"|"&amp;9,세트구성!$G$3:$G$302,0)),0),발주접수!$G105))</f>
        <v/>
      </c>
      <c r="O1034" s="34" t="str">
        <f>IF($J1034=FALSE(),"",발주접수!$B105)</f>
        <v/>
      </c>
      <c r="P1034" s="34" t="str">
        <f>IF($J1034=FALSE(),"",발주접수!$C105)</f>
        <v/>
      </c>
      <c r="Q1034" s="34" t="str">
        <f>IF($J1034=FALSE(),"",IF(발주접수!$F105="세트",발주접수!$E105&amp;" 전개","직접 발주"))</f>
        <v/>
      </c>
    </row>
    <row r="1035" ht="15" customHeight="1" s="30">
      <c r="J1035" s="50" t="b">
        <f>IF(발주접수!$D105="",FALSE(),IF(발주접수!$F105="세트",COUNTIF(세트구성!$G$3:$G$302,발주접수!$D105&amp;"|"&amp;10)&gt;0,9=0))</f>
        <v>0</v>
      </c>
      <c r="K1035" s="34" t="str">
        <f>IF($J1035=FALSE(),"",COUNTIF($J$6:$J1035,TRUE()))</f>
        <v/>
      </c>
      <c r="L1035" s="34" t="str">
        <f>IF($K1035="","","R"&amp;$K1035)</f>
        <v/>
      </c>
      <c r="M1035" s="34" t="str">
        <f>IF($J1035=FALSE(),"",IF(발주접수!$F105="세트",IFERROR(INDEX(세트구성!$C$3:$C$302,MATCH(발주접수!$D105&amp;"|"&amp;10,세트구성!$G$3:$G$302,0)),""),발주접수!$D105))</f>
        <v/>
      </c>
      <c r="N1035" s="34" t="str">
        <f>IF($J1035=FALSE(),"",IF(발주접수!$F105="세트",발주접수!$G105*IFERROR(INDEX(세트구성!$E$3:$E$302,MATCH(발주접수!$D105&amp;"|"&amp;10,세트구성!$G$3:$G$302,0)),0),발주접수!$G105))</f>
        <v/>
      </c>
      <c r="O1035" s="34" t="str">
        <f>IF($J1035=FALSE(),"",발주접수!$B105)</f>
        <v/>
      </c>
      <c r="P1035" s="34" t="str">
        <f>IF($J1035=FALSE(),"",발주접수!$C105)</f>
        <v/>
      </c>
      <c r="Q1035" s="34" t="str">
        <f>IF($J1035=FALSE(),"",IF(발주접수!$F105="세트",발주접수!$E105&amp;" 전개","직접 발주"))</f>
        <v/>
      </c>
    </row>
    <row r="1036" ht="15" customHeight="1" s="30">
      <c r="J1036" s="50" t="b">
        <f>IF(발주접수!$D106="",FALSE(),IF(발주접수!$F106="세트",COUNTIF(세트구성!$G$3:$G$302,발주접수!$D106&amp;"|"&amp;1)&gt;0,0=0))</f>
        <v>0</v>
      </c>
      <c r="K1036" s="34" t="str">
        <f>IF($J1036=FALSE(),"",COUNTIF($J$6:$J1036,TRUE()))</f>
        <v/>
      </c>
      <c r="L1036" s="34" t="str">
        <f>IF($K1036="","","R"&amp;$K1036)</f>
        <v/>
      </c>
      <c r="M1036" s="34" t="str">
        <f>IF($J1036=FALSE(),"",IF(발주접수!$F106="세트",IFERROR(INDEX(세트구성!$C$3:$C$302,MATCH(발주접수!$D106&amp;"|"&amp;1,세트구성!$G$3:$G$302,0)),""),발주접수!$D106))</f>
        <v/>
      </c>
      <c r="N1036" s="34" t="str">
        <f>IF($J1036=FALSE(),"",IF(발주접수!$F106="세트",발주접수!$G106*IFERROR(INDEX(세트구성!$E$3:$E$302,MATCH(발주접수!$D106&amp;"|"&amp;1,세트구성!$G$3:$G$302,0)),0),발주접수!$G106))</f>
        <v/>
      </c>
      <c r="O1036" s="34" t="str">
        <f>IF($J1036=FALSE(),"",발주접수!$B106)</f>
        <v/>
      </c>
      <c r="P1036" s="34" t="str">
        <f>IF($J1036=FALSE(),"",발주접수!$C106)</f>
        <v/>
      </c>
      <c r="Q1036" s="34" t="str">
        <f>IF($J1036=FALSE(),"",IF(발주접수!$F106="세트",발주접수!$E106&amp;" 전개","직접 발주"))</f>
        <v/>
      </c>
    </row>
    <row r="1037" ht="15" customHeight="1" s="30">
      <c r="J1037" s="50" t="b">
        <f>IF(발주접수!$D106="",FALSE(),IF(발주접수!$F106="세트",COUNTIF(세트구성!$G$3:$G$302,발주접수!$D106&amp;"|"&amp;2)&gt;0,1=0))</f>
        <v>0</v>
      </c>
      <c r="K1037" s="34" t="str">
        <f>IF($J1037=FALSE(),"",COUNTIF($J$6:$J1037,TRUE()))</f>
        <v/>
      </c>
      <c r="L1037" s="34" t="str">
        <f>IF($K1037="","","R"&amp;$K1037)</f>
        <v/>
      </c>
      <c r="M1037" s="34" t="str">
        <f>IF($J1037=FALSE(),"",IF(발주접수!$F106="세트",IFERROR(INDEX(세트구성!$C$3:$C$302,MATCH(발주접수!$D106&amp;"|"&amp;2,세트구성!$G$3:$G$302,0)),""),발주접수!$D106))</f>
        <v/>
      </c>
      <c r="N1037" s="34" t="str">
        <f>IF($J1037=FALSE(),"",IF(발주접수!$F106="세트",발주접수!$G106*IFERROR(INDEX(세트구성!$E$3:$E$302,MATCH(발주접수!$D106&amp;"|"&amp;2,세트구성!$G$3:$G$302,0)),0),발주접수!$G106))</f>
        <v/>
      </c>
      <c r="O1037" s="34" t="str">
        <f>IF($J1037=FALSE(),"",발주접수!$B106)</f>
        <v/>
      </c>
      <c r="P1037" s="34" t="str">
        <f>IF($J1037=FALSE(),"",발주접수!$C106)</f>
        <v/>
      </c>
      <c r="Q1037" s="34" t="str">
        <f>IF($J1037=FALSE(),"",IF(발주접수!$F106="세트",발주접수!$E106&amp;" 전개","직접 발주"))</f>
        <v/>
      </c>
    </row>
    <row r="1038" ht="15" customHeight="1" s="30">
      <c r="J1038" s="50" t="b">
        <f>IF(발주접수!$D106="",FALSE(),IF(발주접수!$F106="세트",COUNTIF(세트구성!$G$3:$G$302,발주접수!$D106&amp;"|"&amp;3)&gt;0,2=0))</f>
        <v>0</v>
      </c>
      <c r="K1038" s="34" t="str">
        <f>IF($J1038=FALSE(),"",COUNTIF($J$6:$J1038,TRUE()))</f>
        <v/>
      </c>
      <c r="L1038" s="34" t="str">
        <f>IF($K1038="","","R"&amp;$K1038)</f>
        <v/>
      </c>
      <c r="M1038" s="34" t="str">
        <f>IF($J1038=FALSE(),"",IF(발주접수!$F106="세트",IFERROR(INDEX(세트구성!$C$3:$C$302,MATCH(발주접수!$D106&amp;"|"&amp;3,세트구성!$G$3:$G$302,0)),""),발주접수!$D106))</f>
        <v/>
      </c>
      <c r="N1038" s="34" t="str">
        <f>IF($J1038=FALSE(),"",IF(발주접수!$F106="세트",발주접수!$G106*IFERROR(INDEX(세트구성!$E$3:$E$302,MATCH(발주접수!$D106&amp;"|"&amp;3,세트구성!$G$3:$G$302,0)),0),발주접수!$G106))</f>
        <v/>
      </c>
      <c r="O1038" s="34" t="str">
        <f>IF($J1038=FALSE(),"",발주접수!$B106)</f>
        <v/>
      </c>
      <c r="P1038" s="34" t="str">
        <f>IF($J1038=FALSE(),"",발주접수!$C106)</f>
        <v/>
      </c>
      <c r="Q1038" s="34" t="str">
        <f>IF($J1038=FALSE(),"",IF(발주접수!$F106="세트",발주접수!$E106&amp;" 전개","직접 발주"))</f>
        <v/>
      </c>
    </row>
    <row r="1039" ht="15" customHeight="1" s="30">
      <c r="J1039" s="50" t="b">
        <f>IF(발주접수!$D106="",FALSE(),IF(발주접수!$F106="세트",COUNTIF(세트구성!$G$3:$G$302,발주접수!$D106&amp;"|"&amp;4)&gt;0,3=0))</f>
        <v>0</v>
      </c>
      <c r="K1039" s="34" t="str">
        <f>IF($J1039=FALSE(),"",COUNTIF($J$6:$J1039,TRUE()))</f>
        <v/>
      </c>
      <c r="L1039" s="34" t="str">
        <f>IF($K1039="","","R"&amp;$K1039)</f>
        <v/>
      </c>
      <c r="M1039" s="34" t="str">
        <f>IF($J1039=FALSE(),"",IF(발주접수!$F106="세트",IFERROR(INDEX(세트구성!$C$3:$C$302,MATCH(발주접수!$D106&amp;"|"&amp;4,세트구성!$G$3:$G$302,0)),""),발주접수!$D106))</f>
        <v/>
      </c>
      <c r="N1039" s="34" t="str">
        <f>IF($J1039=FALSE(),"",IF(발주접수!$F106="세트",발주접수!$G106*IFERROR(INDEX(세트구성!$E$3:$E$302,MATCH(발주접수!$D106&amp;"|"&amp;4,세트구성!$G$3:$G$302,0)),0),발주접수!$G106))</f>
        <v/>
      </c>
      <c r="O1039" s="34" t="str">
        <f>IF($J1039=FALSE(),"",발주접수!$B106)</f>
        <v/>
      </c>
      <c r="P1039" s="34" t="str">
        <f>IF($J1039=FALSE(),"",발주접수!$C106)</f>
        <v/>
      </c>
      <c r="Q1039" s="34" t="str">
        <f>IF($J1039=FALSE(),"",IF(발주접수!$F106="세트",발주접수!$E106&amp;" 전개","직접 발주"))</f>
        <v/>
      </c>
    </row>
    <row r="1040" ht="15" customHeight="1" s="30">
      <c r="J1040" s="50" t="b">
        <f>IF(발주접수!$D106="",FALSE(),IF(발주접수!$F106="세트",COUNTIF(세트구성!$G$3:$G$302,발주접수!$D106&amp;"|"&amp;5)&gt;0,4=0))</f>
        <v>0</v>
      </c>
      <c r="K1040" s="34" t="str">
        <f>IF($J1040=FALSE(),"",COUNTIF($J$6:$J1040,TRUE()))</f>
        <v/>
      </c>
      <c r="L1040" s="34" t="str">
        <f>IF($K1040="","","R"&amp;$K1040)</f>
        <v/>
      </c>
      <c r="M1040" s="34" t="str">
        <f>IF($J1040=FALSE(),"",IF(발주접수!$F106="세트",IFERROR(INDEX(세트구성!$C$3:$C$302,MATCH(발주접수!$D106&amp;"|"&amp;5,세트구성!$G$3:$G$302,0)),""),발주접수!$D106))</f>
        <v/>
      </c>
      <c r="N1040" s="34" t="str">
        <f>IF($J1040=FALSE(),"",IF(발주접수!$F106="세트",발주접수!$G106*IFERROR(INDEX(세트구성!$E$3:$E$302,MATCH(발주접수!$D106&amp;"|"&amp;5,세트구성!$G$3:$G$302,0)),0),발주접수!$G106))</f>
        <v/>
      </c>
      <c r="O1040" s="34" t="str">
        <f>IF($J1040=FALSE(),"",발주접수!$B106)</f>
        <v/>
      </c>
      <c r="P1040" s="34" t="str">
        <f>IF($J1040=FALSE(),"",발주접수!$C106)</f>
        <v/>
      </c>
      <c r="Q1040" s="34" t="str">
        <f>IF($J1040=FALSE(),"",IF(발주접수!$F106="세트",발주접수!$E106&amp;" 전개","직접 발주"))</f>
        <v/>
      </c>
    </row>
    <row r="1041" ht="15" customHeight="1" s="30">
      <c r="J1041" s="50" t="b">
        <f>IF(발주접수!$D106="",FALSE(),IF(발주접수!$F106="세트",COUNTIF(세트구성!$G$3:$G$302,발주접수!$D106&amp;"|"&amp;6)&gt;0,5=0))</f>
        <v>0</v>
      </c>
      <c r="K1041" s="34" t="str">
        <f>IF($J1041=FALSE(),"",COUNTIF($J$6:$J1041,TRUE()))</f>
        <v/>
      </c>
      <c r="L1041" s="34" t="str">
        <f>IF($K1041="","","R"&amp;$K1041)</f>
        <v/>
      </c>
      <c r="M1041" s="34" t="str">
        <f>IF($J1041=FALSE(),"",IF(발주접수!$F106="세트",IFERROR(INDEX(세트구성!$C$3:$C$302,MATCH(발주접수!$D106&amp;"|"&amp;6,세트구성!$G$3:$G$302,0)),""),발주접수!$D106))</f>
        <v/>
      </c>
      <c r="N1041" s="34" t="str">
        <f>IF($J1041=FALSE(),"",IF(발주접수!$F106="세트",발주접수!$G106*IFERROR(INDEX(세트구성!$E$3:$E$302,MATCH(발주접수!$D106&amp;"|"&amp;6,세트구성!$G$3:$G$302,0)),0),발주접수!$G106))</f>
        <v/>
      </c>
      <c r="O1041" s="34" t="str">
        <f>IF($J1041=FALSE(),"",발주접수!$B106)</f>
        <v/>
      </c>
      <c r="P1041" s="34" t="str">
        <f>IF($J1041=FALSE(),"",발주접수!$C106)</f>
        <v/>
      </c>
      <c r="Q1041" s="34" t="str">
        <f>IF($J1041=FALSE(),"",IF(발주접수!$F106="세트",발주접수!$E106&amp;" 전개","직접 발주"))</f>
        <v/>
      </c>
    </row>
    <row r="1042" ht="15" customHeight="1" s="30">
      <c r="J1042" s="50" t="b">
        <f>IF(발주접수!$D106="",FALSE(),IF(발주접수!$F106="세트",COUNTIF(세트구성!$G$3:$G$302,발주접수!$D106&amp;"|"&amp;7)&gt;0,6=0))</f>
        <v>0</v>
      </c>
      <c r="K1042" s="34" t="str">
        <f>IF($J1042=FALSE(),"",COUNTIF($J$6:$J1042,TRUE()))</f>
        <v/>
      </c>
      <c r="L1042" s="34" t="str">
        <f>IF($K1042="","","R"&amp;$K1042)</f>
        <v/>
      </c>
      <c r="M1042" s="34" t="str">
        <f>IF($J1042=FALSE(),"",IF(발주접수!$F106="세트",IFERROR(INDEX(세트구성!$C$3:$C$302,MATCH(발주접수!$D106&amp;"|"&amp;7,세트구성!$G$3:$G$302,0)),""),발주접수!$D106))</f>
        <v/>
      </c>
      <c r="N1042" s="34" t="str">
        <f>IF($J1042=FALSE(),"",IF(발주접수!$F106="세트",발주접수!$G106*IFERROR(INDEX(세트구성!$E$3:$E$302,MATCH(발주접수!$D106&amp;"|"&amp;7,세트구성!$G$3:$G$302,0)),0),발주접수!$G106))</f>
        <v/>
      </c>
      <c r="O1042" s="34" t="str">
        <f>IF($J1042=FALSE(),"",발주접수!$B106)</f>
        <v/>
      </c>
      <c r="P1042" s="34" t="str">
        <f>IF($J1042=FALSE(),"",발주접수!$C106)</f>
        <v/>
      </c>
      <c r="Q1042" s="34" t="str">
        <f>IF($J1042=FALSE(),"",IF(발주접수!$F106="세트",발주접수!$E106&amp;" 전개","직접 발주"))</f>
        <v/>
      </c>
    </row>
    <row r="1043" ht="15" customHeight="1" s="30">
      <c r="J1043" s="50" t="b">
        <f>IF(발주접수!$D106="",FALSE(),IF(발주접수!$F106="세트",COUNTIF(세트구성!$G$3:$G$302,발주접수!$D106&amp;"|"&amp;8)&gt;0,7=0))</f>
        <v>0</v>
      </c>
      <c r="K1043" s="34" t="str">
        <f>IF($J1043=FALSE(),"",COUNTIF($J$6:$J1043,TRUE()))</f>
        <v/>
      </c>
      <c r="L1043" s="34" t="str">
        <f>IF($K1043="","","R"&amp;$K1043)</f>
        <v/>
      </c>
      <c r="M1043" s="34" t="str">
        <f>IF($J1043=FALSE(),"",IF(발주접수!$F106="세트",IFERROR(INDEX(세트구성!$C$3:$C$302,MATCH(발주접수!$D106&amp;"|"&amp;8,세트구성!$G$3:$G$302,0)),""),발주접수!$D106))</f>
        <v/>
      </c>
      <c r="N1043" s="34" t="str">
        <f>IF($J1043=FALSE(),"",IF(발주접수!$F106="세트",발주접수!$G106*IFERROR(INDEX(세트구성!$E$3:$E$302,MATCH(발주접수!$D106&amp;"|"&amp;8,세트구성!$G$3:$G$302,0)),0),발주접수!$G106))</f>
        <v/>
      </c>
      <c r="O1043" s="34" t="str">
        <f>IF($J1043=FALSE(),"",발주접수!$B106)</f>
        <v/>
      </c>
      <c r="P1043" s="34" t="str">
        <f>IF($J1043=FALSE(),"",발주접수!$C106)</f>
        <v/>
      </c>
      <c r="Q1043" s="34" t="str">
        <f>IF($J1043=FALSE(),"",IF(발주접수!$F106="세트",발주접수!$E106&amp;" 전개","직접 발주"))</f>
        <v/>
      </c>
    </row>
    <row r="1044" ht="15" customHeight="1" s="30">
      <c r="J1044" s="50" t="b">
        <f>IF(발주접수!$D106="",FALSE(),IF(발주접수!$F106="세트",COUNTIF(세트구성!$G$3:$G$302,발주접수!$D106&amp;"|"&amp;9)&gt;0,8=0))</f>
        <v>0</v>
      </c>
      <c r="K1044" s="34" t="str">
        <f>IF($J1044=FALSE(),"",COUNTIF($J$6:$J1044,TRUE()))</f>
        <v/>
      </c>
      <c r="L1044" s="34" t="str">
        <f>IF($K1044="","","R"&amp;$K1044)</f>
        <v/>
      </c>
      <c r="M1044" s="34" t="str">
        <f>IF($J1044=FALSE(),"",IF(발주접수!$F106="세트",IFERROR(INDEX(세트구성!$C$3:$C$302,MATCH(발주접수!$D106&amp;"|"&amp;9,세트구성!$G$3:$G$302,0)),""),발주접수!$D106))</f>
        <v/>
      </c>
      <c r="N1044" s="34" t="str">
        <f>IF($J1044=FALSE(),"",IF(발주접수!$F106="세트",발주접수!$G106*IFERROR(INDEX(세트구성!$E$3:$E$302,MATCH(발주접수!$D106&amp;"|"&amp;9,세트구성!$G$3:$G$302,0)),0),발주접수!$G106))</f>
        <v/>
      </c>
      <c r="O1044" s="34" t="str">
        <f>IF($J1044=FALSE(),"",발주접수!$B106)</f>
        <v/>
      </c>
      <c r="P1044" s="34" t="str">
        <f>IF($J1044=FALSE(),"",발주접수!$C106)</f>
        <v/>
      </c>
      <c r="Q1044" s="34" t="str">
        <f>IF($J1044=FALSE(),"",IF(발주접수!$F106="세트",발주접수!$E106&amp;" 전개","직접 발주"))</f>
        <v/>
      </c>
    </row>
    <row r="1045" ht="15" customHeight="1" s="30">
      <c r="J1045" s="50" t="b">
        <f>IF(발주접수!$D106="",FALSE(),IF(발주접수!$F106="세트",COUNTIF(세트구성!$G$3:$G$302,발주접수!$D106&amp;"|"&amp;10)&gt;0,9=0))</f>
        <v>0</v>
      </c>
      <c r="K1045" s="34" t="str">
        <f>IF($J1045=FALSE(),"",COUNTIF($J$6:$J1045,TRUE()))</f>
        <v/>
      </c>
      <c r="L1045" s="34" t="str">
        <f>IF($K1045="","","R"&amp;$K1045)</f>
        <v/>
      </c>
      <c r="M1045" s="34" t="str">
        <f>IF($J1045=FALSE(),"",IF(발주접수!$F106="세트",IFERROR(INDEX(세트구성!$C$3:$C$302,MATCH(발주접수!$D106&amp;"|"&amp;10,세트구성!$G$3:$G$302,0)),""),발주접수!$D106))</f>
        <v/>
      </c>
      <c r="N1045" s="34" t="str">
        <f>IF($J1045=FALSE(),"",IF(발주접수!$F106="세트",발주접수!$G106*IFERROR(INDEX(세트구성!$E$3:$E$302,MATCH(발주접수!$D106&amp;"|"&amp;10,세트구성!$G$3:$G$302,0)),0),발주접수!$G106))</f>
        <v/>
      </c>
      <c r="O1045" s="34" t="str">
        <f>IF($J1045=FALSE(),"",발주접수!$B106)</f>
        <v/>
      </c>
      <c r="P1045" s="34" t="str">
        <f>IF($J1045=FALSE(),"",발주접수!$C106)</f>
        <v/>
      </c>
      <c r="Q1045" s="34" t="str">
        <f>IF($J1045=FALSE(),"",IF(발주접수!$F106="세트",발주접수!$E106&amp;" 전개","직접 발주"))</f>
        <v/>
      </c>
    </row>
    <row r="1046" ht="15" customHeight="1" s="30">
      <c r="J1046" s="50" t="b">
        <f>IF(발주접수!$D107="",FALSE(),IF(발주접수!$F107="세트",COUNTIF(세트구성!$G$3:$G$302,발주접수!$D107&amp;"|"&amp;1)&gt;0,0=0))</f>
        <v>0</v>
      </c>
      <c r="K1046" s="34" t="str">
        <f>IF($J1046=FALSE(),"",COUNTIF($J$6:$J1046,TRUE()))</f>
        <v/>
      </c>
      <c r="L1046" s="34" t="str">
        <f>IF($K1046="","","R"&amp;$K1046)</f>
        <v/>
      </c>
      <c r="M1046" s="34" t="str">
        <f>IF($J1046=FALSE(),"",IF(발주접수!$F107="세트",IFERROR(INDEX(세트구성!$C$3:$C$302,MATCH(발주접수!$D107&amp;"|"&amp;1,세트구성!$G$3:$G$302,0)),""),발주접수!$D107))</f>
        <v/>
      </c>
      <c r="N1046" s="34" t="str">
        <f>IF($J1046=FALSE(),"",IF(발주접수!$F107="세트",발주접수!$G107*IFERROR(INDEX(세트구성!$E$3:$E$302,MATCH(발주접수!$D107&amp;"|"&amp;1,세트구성!$G$3:$G$302,0)),0),발주접수!$G107))</f>
        <v/>
      </c>
      <c r="O1046" s="34" t="str">
        <f>IF($J1046=FALSE(),"",발주접수!$B107)</f>
        <v/>
      </c>
      <c r="P1046" s="34" t="str">
        <f>IF($J1046=FALSE(),"",발주접수!$C107)</f>
        <v/>
      </c>
      <c r="Q1046" s="34" t="str">
        <f>IF($J1046=FALSE(),"",IF(발주접수!$F107="세트",발주접수!$E107&amp;" 전개","직접 발주"))</f>
        <v/>
      </c>
    </row>
    <row r="1047" ht="15" customHeight="1" s="30">
      <c r="J1047" s="50" t="b">
        <f>IF(발주접수!$D107="",FALSE(),IF(발주접수!$F107="세트",COUNTIF(세트구성!$G$3:$G$302,발주접수!$D107&amp;"|"&amp;2)&gt;0,1=0))</f>
        <v>0</v>
      </c>
      <c r="K1047" s="34" t="str">
        <f>IF($J1047=FALSE(),"",COUNTIF($J$6:$J1047,TRUE()))</f>
        <v/>
      </c>
      <c r="L1047" s="34" t="str">
        <f>IF($K1047="","","R"&amp;$K1047)</f>
        <v/>
      </c>
      <c r="M1047" s="34" t="str">
        <f>IF($J1047=FALSE(),"",IF(발주접수!$F107="세트",IFERROR(INDEX(세트구성!$C$3:$C$302,MATCH(발주접수!$D107&amp;"|"&amp;2,세트구성!$G$3:$G$302,0)),""),발주접수!$D107))</f>
        <v/>
      </c>
      <c r="N1047" s="34" t="str">
        <f>IF($J1047=FALSE(),"",IF(발주접수!$F107="세트",발주접수!$G107*IFERROR(INDEX(세트구성!$E$3:$E$302,MATCH(발주접수!$D107&amp;"|"&amp;2,세트구성!$G$3:$G$302,0)),0),발주접수!$G107))</f>
        <v/>
      </c>
      <c r="O1047" s="34" t="str">
        <f>IF($J1047=FALSE(),"",발주접수!$B107)</f>
        <v/>
      </c>
      <c r="P1047" s="34" t="str">
        <f>IF($J1047=FALSE(),"",발주접수!$C107)</f>
        <v/>
      </c>
      <c r="Q1047" s="34" t="str">
        <f>IF($J1047=FALSE(),"",IF(발주접수!$F107="세트",발주접수!$E107&amp;" 전개","직접 발주"))</f>
        <v/>
      </c>
    </row>
    <row r="1048" ht="15" customHeight="1" s="30">
      <c r="J1048" s="50" t="b">
        <f>IF(발주접수!$D107="",FALSE(),IF(발주접수!$F107="세트",COUNTIF(세트구성!$G$3:$G$302,발주접수!$D107&amp;"|"&amp;3)&gt;0,2=0))</f>
        <v>0</v>
      </c>
      <c r="K1048" s="34" t="str">
        <f>IF($J1048=FALSE(),"",COUNTIF($J$6:$J1048,TRUE()))</f>
        <v/>
      </c>
      <c r="L1048" s="34" t="str">
        <f>IF($K1048="","","R"&amp;$K1048)</f>
        <v/>
      </c>
      <c r="M1048" s="34" t="str">
        <f>IF($J1048=FALSE(),"",IF(발주접수!$F107="세트",IFERROR(INDEX(세트구성!$C$3:$C$302,MATCH(발주접수!$D107&amp;"|"&amp;3,세트구성!$G$3:$G$302,0)),""),발주접수!$D107))</f>
        <v/>
      </c>
      <c r="N1048" s="34" t="str">
        <f>IF($J1048=FALSE(),"",IF(발주접수!$F107="세트",발주접수!$G107*IFERROR(INDEX(세트구성!$E$3:$E$302,MATCH(발주접수!$D107&amp;"|"&amp;3,세트구성!$G$3:$G$302,0)),0),발주접수!$G107))</f>
        <v/>
      </c>
      <c r="O1048" s="34" t="str">
        <f>IF($J1048=FALSE(),"",발주접수!$B107)</f>
        <v/>
      </c>
      <c r="P1048" s="34" t="str">
        <f>IF($J1048=FALSE(),"",발주접수!$C107)</f>
        <v/>
      </c>
      <c r="Q1048" s="34" t="str">
        <f>IF($J1048=FALSE(),"",IF(발주접수!$F107="세트",발주접수!$E107&amp;" 전개","직접 발주"))</f>
        <v/>
      </c>
    </row>
    <row r="1049" ht="15" customHeight="1" s="30">
      <c r="J1049" s="50" t="b">
        <f>IF(발주접수!$D107="",FALSE(),IF(발주접수!$F107="세트",COUNTIF(세트구성!$G$3:$G$302,발주접수!$D107&amp;"|"&amp;4)&gt;0,3=0))</f>
        <v>0</v>
      </c>
      <c r="K1049" s="34" t="str">
        <f>IF($J1049=FALSE(),"",COUNTIF($J$6:$J1049,TRUE()))</f>
        <v/>
      </c>
      <c r="L1049" s="34" t="str">
        <f>IF($K1049="","","R"&amp;$K1049)</f>
        <v/>
      </c>
      <c r="M1049" s="34" t="str">
        <f>IF($J1049=FALSE(),"",IF(발주접수!$F107="세트",IFERROR(INDEX(세트구성!$C$3:$C$302,MATCH(발주접수!$D107&amp;"|"&amp;4,세트구성!$G$3:$G$302,0)),""),발주접수!$D107))</f>
        <v/>
      </c>
      <c r="N1049" s="34" t="str">
        <f>IF($J1049=FALSE(),"",IF(발주접수!$F107="세트",발주접수!$G107*IFERROR(INDEX(세트구성!$E$3:$E$302,MATCH(발주접수!$D107&amp;"|"&amp;4,세트구성!$G$3:$G$302,0)),0),발주접수!$G107))</f>
        <v/>
      </c>
      <c r="O1049" s="34" t="str">
        <f>IF($J1049=FALSE(),"",발주접수!$B107)</f>
        <v/>
      </c>
      <c r="P1049" s="34" t="str">
        <f>IF($J1049=FALSE(),"",발주접수!$C107)</f>
        <v/>
      </c>
      <c r="Q1049" s="34" t="str">
        <f>IF($J1049=FALSE(),"",IF(발주접수!$F107="세트",발주접수!$E107&amp;" 전개","직접 발주"))</f>
        <v/>
      </c>
    </row>
    <row r="1050" ht="15" customHeight="1" s="30">
      <c r="J1050" s="50" t="b">
        <f>IF(발주접수!$D107="",FALSE(),IF(발주접수!$F107="세트",COUNTIF(세트구성!$G$3:$G$302,발주접수!$D107&amp;"|"&amp;5)&gt;0,4=0))</f>
        <v>0</v>
      </c>
      <c r="K1050" s="34" t="str">
        <f>IF($J1050=FALSE(),"",COUNTIF($J$6:$J1050,TRUE()))</f>
        <v/>
      </c>
      <c r="L1050" s="34" t="str">
        <f>IF($K1050="","","R"&amp;$K1050)</f>
        <v/>
      </c>
      <c r="M1050" s="34" t="str">
        <f>IF($J1050=FALSE(),"",IF(발주접수!$F107="세트",IFERROR(INDEX(세트구성!$C$3:$C$302,MATCH(발주접수!$D107&amp;"|"&amp;5,세트구성!$G$3:$G$302,0)),""),발주접수!$D107))</f>
        <v/>
      </c>
      <c r="N1050" s="34" t="str">
        <f>IF($J1050=FALSE(),"",IF(발주접수!$F107="세트",발주접수!$G107*IFERROR(INDEX(세트구성!$E$3:$E$302,MATCH(발주접수!$D107&amp;"|"&amp;5,세트구성!$G$3:$G$302,0)),0),발주접수!$G107))</f>
        <v/>
      </c>
      <c r="O1050" s="34" t="str">
        <f>IF($J1050=FALSE(),"",발주접수!$B107)</f>
        <v/>
      </c>
      <c r="P1050" s="34" t="str">
        <f>IF($J1050=FALSE(),"",발주접수!$C107)</f>
        <v/>
      </c>
      <c r="Q1050" s="34" t="str">
        <f>IF($J1050=FALSE(),"",IF(발주접수!$F107="세트",발주접수!$E107&amp;" 전개","직접 발주"))</f>
        <v/>
      </c>
    </row>
    <row r="1051" ht="15" customHeight="1" s="30">
      <c r="J1051" s="50" t="b">
        <f>IF(발주접수!$D107="",FALSE(),IF(발주접수!$F107="세트",COUNTIF(세트구성!$G$3:$G$302,발주접수!$D107&amp;"|"&amp;6)&gt;0,5=0))</f>
        <v>0</v>
      </c>
      <c r="K1051" s="34" t="str">
        <f>IF($J1051=FALSE(),"",COUNTIF($J$6:$J1051,TRUE()))</f>
        <v/>
      </c>
      <c r="L1051" s="34" t="str">
        <f>IF($K1051="","","R"&amp;$K1051)</f>
        <v/>
      </c>
      <c r="M1051" s="34" t="str">
        <f>IF($J1051=FALSE(),"",IF(발주접수!$F107="세트",IFERROR(INDEX(세트구성!$C$3:$C$302,MATCH(발주접수!$D107&amp;"|"&amp;6,세트구성!$G$3:$G$302,0)),""),발주접수!$D107))</f>
        <v/>
      </c>
      <c r="N1051" s="34" t="str">
        <f>IF($J1051=FALSE(),"",IF(발주접수!$F107="세트",발주접수!$G107*IFERROR(INDEX(세트구성!$E$3:$E$302,MATCH(발주접수!$D107&amp;"|"&amp;6,세트구성!$G$3:$G$302,0)),0),발주접수!$G107))</f>
        <v/>
      </c>
      <c r="O1051" s="34" t="str">
        <f>IF($J1051=FALSE(),"",발주접수!$B107)</f>
        <v/>
      </c>
      <c r="P1051" s="34" t="str">
        <f>IF($J1051=FALSE(),"",발주접수!$C107)</f>
        <v/>
      </c>
      <c r="Q1051" s="34" t="str">
        <f>IF($J1051=FALSE(),"",IF(발주접수!$F107="세트",발주접수!$E107&amp;" 전개","직접 발주"))</f>
        <v/>
      </c>
    </row>
    <row r="1052" ht="15" customHeight="1" s="30">
      <c r="J1052" s="50" t="b">
        <f>IF(발주접수!$D107="",FALSE(),IF(발주접수!$F107="세트",COUNTIF(세트구성!$G$3:$G$302,발주접수!$D107&amp;"|"&amp;7)&gt;0,6=0))</f>
        <v>0</v>
      </c>
      <c r="K1052" s="34" t="str">
        <f>IF($J1052=FALSE(),"",COUNTIF($J$6:$J1052,TRUE()))</f>
        <v/>
      </c>
      <c r="L1052" s="34" t="str">
        <f>IF($K1052="","","R"&amp;$K1052)</f>
        <v/>
      </c>
      <c r="M1052" s="34" t="str">
        <f>IF($J1052=FALSE(),"",IF(발주접수!$F107="세트",IFERROR(INDEX(세트구성!$C$3:$C$302,MATCH(발주접수!$D107&amp;"|"&amp;7,세트구성!$G$3:$G$302,0)),""),발주접수!$D107))</f>
        <v/>
      </c>
      <c r="N1052" s="34" t="str">
        <f>IF($J1052=FALSE(),"",IF(발주접수!$F107="세트",발주접수!$G107*IFERROR(INDEX(세트구성!$E$3:$E$302,MATCH(발주접수!$D107&amp;"|"&amp;7,세트구성!$G$3:$G$302,0)),0),발주접수!$G107))</f>
        <v/>
      </c>
      <c r="O1052" s="34" t="str">
        <f>IF($J1052=FALSE(),"",발주접수!$B107)</f>
        <v/>
      </c>
      <c r="P1052" s="34" t="str">
        <f>IF($J1052=FALSE(),"",발주접수!$C107)</f>
        <v/>
      </c>
      <c r="Q1052" s="34" t="str">
        <f>IF($J1052=FALSE(),"",IF(발주접수!$F107="세트",발주접수!$E107&amp;" 전개","직접 발주"))</f>
        <v/>
      </c>
    </row>
    <row r="1053" ht="15" customHeight="1" s="30">
      <c r="J1053" s="50" t="b">
        <f>IF(발주접수!$D107="",FALSE(),IF(발주접수!$F107="세트",COUNTIF(세트구성!$G$3:$G$302,발주접수!$D107&amp;"|"&amp;8)&gt;0,7=0))</f>
        <v>0</v>
      </c>
      <c r="K1053" s="34" t="str">
        <f>IF($J1053=FALSE(),"",COUNTIF($J$6:$J1053,TRUE()))</f>
        <v/>
      </c>
      <c r="L1053" s="34" t="str">
        <f>IF($K1053="","","R"&amp;$K1053)</f>
        <v/>
      </c>
      <c r="M1053" s="34" t="str">
        <f>IF($J1053=FALSE(),"",IF(발주접수!$F107="세트",IFERROR(INDEX(세트구성!$C$3:$C$302,MATCH(발주접수!$D107&amp;"|"&amp;8,세트구성!$G$3:$G$302,0)),""),발주접수!$D107))</f>
        <v/>
      </c>
      <c r="N1053" s="34" t="str">
        <f>IF($J1053=FALSE(),"",IF(발주접수!$F107="세트",발주접수!$G107*IFERROR(INDEX(세트구성!$E$3:$E$302,MATCH(발주접수!$D107&amp;"|"&amp;8,세트구성!$G$3:$G$302,0)),0),발주접수!$G107))</f>
        <v/>
      </c>
      <c r="O1053" s="34" t="str">
        <f>IF($J1053=FALSE(),"",발주접수!$B107)</f>
        <v/>
      </c>
      <c r="P1053" s="34" t="str">
        <f>IF($J1053=FALSE(),"",발주접수!$C107)</f>
        <v/>
      </c>
      <c r="Q1053" s="34" t="str">
        <f>IF($J1053=FALSE(),"",IF(발주접수!$F107="세트",발주접수!$E107&amp;" 전개","직접 발주"))</f>
        <v/>
      </c>
    </row>
    <row r="1054" ht="15" customHeight="1" s="30">
      <c r="J1054" s="50" t="b">
        <f>IF(발주접수!$D107="",FALSE(),IF(발주접수!$F107="세트",COUNTIF(세트구성!$G$3:$G$302,발주접수!$D107&amp;"|"&amp;9)&gt;0,8=0))</f>
        <v>0</v>
      </c>
      <c r="K1054" s="34" t="str">
        <f>IF($J1054=FALSE(),"",COUNTIF($J$6:$J1054,TRUE()))</f>
        <v/>
      </c>
      <c r="L1054" s="34" t="str">
        <f>IF($K1054="","","R"&amp;$K1054)</f>
        <v/>
      </c>
      <c r="M1054" s="34" t="str">
        <f>IF($J1054=FALSE(),"",IF(발주접수!$F107="세트",IFERROR(INDEX(세트구성!$C$3:$C$302,MATCH(발주접수!$D107&amp;"|"&amp;9,세트구성!$G$3:$G$302,0)),""),발주접수!$D107))</f>
        <v/>
      </c>
      <c r="N1054" s="34" t="str">
        <f>IF($J1054=FALSE(),"",IF(발주접수!$F107="세트",발주접수!$G107*IFERROR(INDEX(세트구성!$E$3:$E$302,MATCH(발주접수!$D107&amp;"|"&amp;9,세트구성!$G$3:$G$302,0)),0),발주접수!$G107))</f>
        <v/>
      </c>
      <c r="O1054" s="34" t="str">
        <f>IF($J1054=FALSE(),"",발주접수!$B107)</f>
        <v/>
      </c>
      <c r="P1054" s="34" t="str">
        <f>IF($J1054=FALSE(),"",발주접수!$C107)</f>
        <v/>
      </c>
      <c r="Q1054" s="34" t="str">
        <f>IF($J1054=FALSE(),"",IF(발주접수!$F107="세트",발주접수!$E107&amp;" 전개","직접 발주"))</f>
        <v/>
      </c>
    </row>
    <row r="1055" ht="15" customHeight="1" s="30">
      <c r="J1055" s="50" t="b">
        <f>IF(발주접수!$D107="",FALSE(),IF(발주접수!$F107="세트",COUNTIF(세트구성!$G$3:$G$302,발주접수!$D107&amp;"|"&amp;10)&gt;0,9=0))</f>
        <v>0</v>
      </c>
      <c r="K1055" s="34" t="str">
        <f>IF($J1055=FALSE(),"",COUNTIF($J$6:$J1055,TRUE()))</f>
        <v/>
      </c>
      <c r="L1055" s="34" t="str">
        <f>IF($K1055="","","R"&amp;$K1055)</f>
        <v/>
      </c>
      <c r="M1055" s="34" t="str">
        <f>IF($J1055=FALSE(),"",IF(발주접수!$F107="세트",IFERROR(INDEX(세트구성!$C$3:$C$302,MATCH(발주접수!$D107&amp;"|"&amp;10,세트구성!$G$3:$G$302,0)),""),발주접수!$D107))</f>
        <v/>
      </c>
      <c r="N1055" s="34" t="str">
        <f>IF($J1055=FALSE(),"",IF(발주접수!$F107="세트",발주접수!$G107*IFERROR(INDEX(세트구성!$E$3:$E$302,MATCH(발주접수!$D107&amp;"|"&amp;10,세트구성!$G$3:$G$302,0)),0),발주접수!$G107))</f>
        <v/>
      </c>
      <c r="O1055" s="34" t="str">
        <f>IF($J1055=FALSE(),"",발주접수!$B107)</f>
        <v/>
      </c>
      <c r="P1055" s="34" t="str">
        <f>IF($J1055=FALSE(),"",발주접수!$C107)</f>
        <v/>
      </c>
      <c r="Q1055" s="34" t="str">
        <f>IF($J1055=FALSE(),"",IF(발주접수!$F107="세트",발주접수!$E107&amp;" 전개","직접 발주"))</f>
        <v/>
      </c>
    </row>
    <row r="1056" ht="15" customHeight="1" s="30">
      <c r="J1056" s="50" t="b">
        <f>IF(발주접수!$D108="",FALSE(),IF(발주접수!$F108="세트",COUNTIF(세트구성!$G$3:$G$302,발주접수!$D108&amp;"|"&amp;1)&gt;0,0=0))</f>
        <v>0</v>
      </c>
      <c r="K1056" s="34" t="str">
        <f>IF($J1056=FALSE(),"",COUNTIF($J$6:$J1056,TRUE()))</f>
        <v/>
      </c>
      <c r="L1056" s="34" t="str">
        <f>IF($K1056="","","R"&amp;$K1056)</f>
        <v/>
      </c>
      <c r="M1056" s="34" t="str">
        <f>IF($J1056=FALSE(),"",IF(발주접수!$F108="세트",IFERROR(INDEX(세트구성!$C$3:$C$302,MATCH(발주접수!$D108&amp;"|"&amp;1,세트구성!$G$3:$G$302,0)),""),발주접수!$D108))</f>
        <v/>
      </c>
      <c r="N1056" s="34" t="str">
        <f>IF($J1056=FALSE(),"",IF(발주접수!$F108="세트",발주접수!$G108*IFERROR(INDEX(세트구성!$E$3:$E$302,MATCH(발주접수!$D108&amp;"|"&amp;1,세트구성!$G$3:$G$302,0)),0),발주접수!$G108))</f>
        <v/>
      </c>
      <c r="O1056" s="34" t="str">
        <f>IF($J1056=FALSE(),"",발주접수!$B108)</f>
        <v/>
      </c>
      <c r="P1056" s="34" t="str">
        <f>IF($J1056=FALSE(),"",발주접수!$C108)</f>
        <v/>
      </c>
      <c r="Q1056" s="34" t="str">
        <f>IF($J1056=FALSE(),"",IF(발주접수!$F108="세트",발주접수!$E108&amp;" 전개","직접 발주"))</f>
        <v/>
      </c>
    </row>
    <row r="1057" ht="15" customHeight="1" s="30">
      <c r="J1057" s="50" t="b">
        <f>IF(발주접수!$D108="",FALSE(),IF(발주접수!$F108="세트",COUNTIF(세트구성!$G$3:$G$302,발주접수!$D108&amp;"|"&amp;2)&gt;0,1=0))</f>
        <v>0</v>
      </c>
      <c r="K1057" s="34" t="str">
        <f>IF($J1057=FALSE(),"",COUNTIF($J$6:$J1057,TRUE()))</f>
        <v/>
      </c>
      <c r="L1057" s="34" t="str">
        <f>IF($K1057="","","R"&amp;$K1057)</f>
        <v/>
      </c>
      <c r="M1057" s="34" t="str">
        <f>IF($J1057=FALSE(),"",IF(발주접수!$F108="세트",IFERROR(INDEX(세트구성!$C$3:$C$302,MATCH(발주접수!$D108&amp;"|"&amp;2,세트구성!$G$3:$G$302,0)),""),발주접수!$D108))</f>
        <v/>
      </c>
      <c r="N1057" s="34" t="str">
        <f>IF($J1057=FALSE(),"",IF(발주접수!$F108="세트",발주접수!$G108*IFERROR(INDEX(세트구성!$E$3:$E$302,MATCH(발주접수!$D108&amp;"|"&amp;2,세트구성!$G$3:$G$302,0)),0),발주접수!$G108))</f>
        <v/>
      </c>
      <c r="O1057" s="34" t="str">
        <f>IF($J1057=FALSE(),"",발주접수!$B108)</f>
        <v/>
      </c>
      <c r="P1057" s="34" t="str">
        <f>IF($J1057=FALSE(),"",발주접수!$C108)</f>
        <v/>
      </c>
      <c r="Q1057" s="34" t="str">
        <f>IF($J1057=FALSE(),"",IF(발주접수!$F108="세트",발주접수!$E108&amp;" 전개","직접 발주"))</f>
        <v/>
      </c>
    </row>
    <row r="1058" ht="15" customHeight="1" s="30">
      <c r="J1058" s="50" t="b">
        <f>IF(발주접수!$D108="",FALSE(),IF(발주접수!$F108="세트",COUNTIF(세트구성!$G$3:$G$302,발주접수!$D108&amp;"|"&amp;3)&gt;0,2=0))</f>
        <v>0</v>
      </c>
      <c r="K1058" s="34" t="str">
        <f>IF($J1058=FALSE(),"",COUNTIF($J$6:$J1058,TRUE()))</f>
        <v/>
      </c>
      <c r="L1058" s="34" t="str">
        <f>IF($K1058="","","R"&amp;$K1058)</f>
        <v/>
      </c>
      <c r="M1058" s="34" t="str">
        <f>IF($J1058=FALSE(),"",IF(발주접수!$F108="세트",IFERROR(INDEX(세트구성!$C$3:$C$302,MATCH(발주접수!$D108&amp;"|"&amp;3,세트구성!$G$3:$G$302,0)),""),발주접수!$D108))</f>
        <v/>
      </c>
      <c r="N1058" s="34" t="str">
        <f>IF($J1058=FALSE(),"",IF(발주접수!$F108="세트",발주접수!$G108*IFERROR(INDEX(세트구성!$E$3:$E$302,MATCH(발주접수!$D108&amp;"|"&amp;3,세트구성!$G$3:$G$302,0)),0),발주접수!$G108))</f>
        <v/>
      </c>
      <c r="O1058" s="34" t="str">
        <f>IF($J1058=FALSE(),"",발주접수!$B108)</f>
        <v/>
      </c>
      <c r="P1058" s="34" t="str">
        <f>IF($J1058=FALSE(),"",발주접수!$C108)</f>
        <v/>
      </c>
      <c r="Q1058" s="34" t="str">
        <f>IF($J1058=FALSE(),"",IF(발주접수!$F108="세트",발주접수!$E108&amp;" 전개","직접 발주"))</f>
        <v/>
      </c>
    </row>
    <row r="1059" ht="15" customHeight="1" s="30">
      <c r="J1059" s="50" t="b">
        <f>IF(발주접수!$D108="",FALSE(),IF(발주접수!$F108="세트",COUNTIF(세트구성!$G$3:$G$302,발주접수!$D108&amp;"|"&amp;4)&gt;0,3=0))</f>
        <v>0</v>
      </c>
      <c r="K1059" s="34" t="str">
        <f>IF($J1059=FALSE(),"",COUNTIF($J$6:$J1059,TRUE()))</f>
        <v/>
      </c>
      <c r="L1059" s="34" t="str">
        <f>IF($K1059="","","R"&amp;$K1059)</f>
        <v/>
      </c>
      <c r="M1059" s="34" t="str">
        <f>IF($J1059=FALSE(),"",IF(발주접수!$F108="세트",IFERROR(INDEX(세트구성!$C$3:$C$302,MATCH(발주접수!$D108&amp;"|"&amp;4,세트구성!$G$3:$G$302,0)),""),발주접수!$D108))</f>
        <v/>
      </c>
      <c r="N1059" s="34" t="str">
        <f>IF($J1059=FALSE(),"",IF(발주접수!$F108="세트",발주접수!$G108*IFERROR(INDEX(세트구성!$E$3:$E$302,MATCH(발주접수!$D108&amp;"|"&amp;4,세트구성!$G$3:$G$302,0)),0),발주접수!$G108))</f>
        <v/>
      </c>
      <c r="O1059" s="34" t="str">
        <f>IF($J1059=FALSE(),"",발주접수!$B108)</f>
        <v/>
      </c>
      <c r="P1059" s="34" t="str">
        <f>IF($J1059=FALSE(),"",발주접수!$C108)</f>
        <v/>
      </c>
      <c r="Q1059" s="34" t="str">
        <f>IF($J1059=FALSE(),"",IF(발주접수!$F108="세트",발주접수!$E108&amp;" 전개","직접 발주"))</f>
        <v/>
      </c>
    </row>
    <row r="1060" ht="15" customHeight="1" s="30">
      <c r="J1060" s="50" t="b">
        <f>IF(발주접수!$D108="",FALSE(),IF(발주접수!$F108="세트",COUNTIF(세트구성!$G$3:$G$302,발주접수!$D108&amp;"|"&amp;5)&gt;0,4=0))</f>
        <v>0</v>
      </c>
      <c r="K1060" s="34" t="str">
        <f>IF($J1060=FALSE(),"",COUNTIF($J$6:$J1060,TRUE()))</f>
        <v/>
      </c>
      <c r="L1060" s="34" t="str">
        <f>IF($K1060="","","R"&amp;$K1060)</f>
        <v/>
      </c>
      <c r="M1060" s="34" t="str">
        <f>IF($J1060=FALSE(),"",IF(발주접수!$F108="세트",IFERROR(INDEX(세트구성!$C$3:$C$302,MATCH(발주접수!$D108&amp;"|"&amp;5,세트구성!$G$3:$G$302,0)),""),발주접수!$D108))</f>
        <v/>
      </c>
      <c r="N1060" s="34" t="str">
        <f>IF($J1060=FALSE(),"",IF(발주접수!$F108="세트",발주접수!$G108*IFERROR(INDEX(세트구성!$E$3:$E$302,MATCH(발주접수!$D108&amp;"|"&amp;5,세트구성!$G$3:$G$302,0)),0),발주접수!$G108))</f>
        <v/>
      </c>
      <c r="O1060" s="34" t="str">
        <f>IF($J1060=FALSE(),"",발주접수!$B108)</f>
        <v/>
      </c>
      <c r="P1060" s="34" t="str">
        <f>IF($J1060=FALSE(),"",발주접수!$C108)</f>
        <v/>
      </c>
      <c r="Q1060" s="34" t="str">
        <f>IF($J1060=FALSE(),"",IF(발주접수!$F108="세트",발주접수!$E108&amp;" 전개","직접 발주"))</f>
        <v/>
      </c>
    </row>
    <row r="1061" ht="15" customHeight="1" s="30">
      <c r="J1061" s="50" t="b">
        <f>IF(발주접수!$D108="",FALSE(),IF(발주접수!$F108="세트",COUNTIF(세트구성!$G$3:$G$302,발주접수!$D108&amp;"|"&amp;6)&gt;0,5=0))</f>
        <v>0</v>
      </c>
      <c r="K1061" s="34" t="str">
        <f>IF($J1061=FALSE(),"",COUNTIF($J$6:$J1061,TRUE()))</f>
        <v/>
      </c>
      <c r="L1061" s="34" t="str">
        <f>IF($K1061="","","R"&amp;$K1061)</f>
        <v/>
      </c>
      <c r="M1061" s="34" t="str">
        <f>IF($J1061=FALSE(),"",IF(발주접수!$F108="세트",IFERROR(INDEX(세트구성!$C$3:$C$302,MATCH(발주접수!$D108&amp;"|"&amp;6,세트구성!$G$3:$G$302,0)),""),발주접수!$D108))</f>
        <v/>
      </c>
      <c r="N1061" s="34" t="str">
        <f>IF($J1061=FALSE(),"",IF(발주접수!$F108="세트",발주접수!$G108*IFERROR(INDEX(세트구성!$E$3:$E$302,MATCH(발주접수!$D108&amp;"|"&amp;6,세트구성!$G$3:$G$302,0)),0),발주접수!$G108))</f>
        <v/>
      </c>
      <c r="O1061" s="34" t="str">
        <f>IF($J1061=FALSE(),"",발주접수!$B108)</f>
        <v/>
      </c>
      <c r="P1061" s="34" t="str">
        <f>IF($J1061=FALSE(),"",발주접수!$C108)</f>
        <v/>
      </c>
      <c r="Q1061" s="34" t="str">
        <f>IF($J1061=FALSE(),"",IF(발주접수!$F108="세트",발주접수!$E108&amp;" 전개","직접 발주"))</f>
        <v/>
      </c>
    </row>
    <row r="1062" ht="15" customHeight="1" s="30">
      <c r="J1062" s="50" t="b">
        <f>IF(발주접수!$D108="",FALSE(),IF(발주접수!$F108="세트",COUNTIF(세트구성!$G$3:$G$302,발주접수!$D108&amp;"|"&amp;7)&gt;0,6=0))</f>
        <v>0</v>
      </c>
      <c r="K1062" s="34" t="str">
        <f>IF($J1062=FALSE(),"",COUNTIF($J$6:$J1062,TRUE()))</f>
        <v/>
      </c>
      <c r="L1062" s="34" t="str">
        <f>IF($K1062="","","R"&amp;$K1062)</f>
        <v/>
      </c>
      <c r="M1062" s="34" t="str">
        <f>IF($J1062=FALSE(),"",IF(발주접수!$F108="세트",IFERROR(INDEX(세트구성!$C$3:$C$302,MATCH(발주접수!$D108&amp;"|"&amp;7,세트구성!$G$3:$G$302,0)),""),발주접수!$D108))</f>
        <v/>
      </c>
      <c r="N1062" s="34" t="str">
        <f>IF($J1062=FALSE(),"",IF(발주접수!$F108="세트",발주접수!$G108*IFERROR(INDEX(세트구성!$E$3:$E$302,MATCH(발주접수!$D108&amp;"|"&amp;7,세트구성!$G$3:$G$302,0)),0),발주접수!$G108))</f>
        <v/>
      </c>
      <c r="O1062" s="34" t="str">
        <f>IF($J1062=FALSE(),"",발주접수!$B108)</f>
        <v/>
      </c>
      <c r="P1062" s="34" t="str">
        <f>IF($J1062=FALSE(),"",발주접수!$C108)</f>
        <v/>
      </c>
      <c r="Q1062" s="34" t="str">
        <f>IF($J1062=FALSE(),"",IF(발주접수!$F108="세트",발주접수!$E108&amp;" 전개","직접 발주"))</f>
        <v/>
      </c>
    </row>
    <row r="1063" ht="15" customHeight="1" s="30">
      <c r="J1063" s="50" t="b">
        <f>IF(발주접수!$D108="",FALSE(),IF(발주접수!$F108="세트",COUNTIF(세트구성!$G$3:$G$302,발주접수!$D108&amp;"|"&amp;8)&gt;0,7=0))</f>
        <v>0</v>
      </c>
      <c r="K1063" s="34" t="str">
        <f>IF($J1063=FALSE(),"",COUNTIF($J$6:$J1063,TRUE()))</f>
        <v/>
      </c>
      <c r="L1063" s="34" t="str">
        <f>IF($K1063="","","R"&amp;$K1063)</f>
        <v/>
      </c>
      <c r="M1063" s="34" t="str">
        <f>IF($J1063=FALSE(),"",IF(발주접수!$F108="세트",IFERROR(INDEX(세트구성!$C$3:$C$302,MATCH(발주접수!$D108&amp;"|"&amp;8,세트구성!$G$3:$G$302,0)),""),발주접수!$D108))</f>
        <v/>
      </c>
      <c r="N1063" s="34" t="str">
        <f>IF($J1063=FALSE(),"",IF(발주접수!$F108="세트",발주접수!$G108*IFERROR(INDEX(세트구성!$E$3:$E$302,MATCH(발주접수!$D108&amp;"|"&amp;8,세트구성!$G$3:$G$302,0)),0),발주접수!$G108))</f>
        <v/>
      </c>
      <c r="O1063" s="34" t="str">
        <f>IF($J1063=FALSE(),"",발주접수!$B108)</f>
        <v/>
      </c>
      <c r="P1063" s="34" t="str">
        <f>IF($J1063=FALSE(),"",발주접수!$C108)</f>
        <v/>
      </c>
      <c r="Q1063" s="34" t="str">
        <f>IF($J1063=FALSE(),"",IF(발주접수!$F108="세트",발주접수!$E108&amp;" 전개","직접 발주"))</f>
        <v/>
      </c>
    </row>
    <row r="1064" ht="15" customHeight="1" s="30">
      <c r="J1064" s="50" t="b">
        <f>IF(발주접수!$D108="",FALSE(),IF(발주접수!$F108="세트",COUNTIF(세트구성!$G$3:$G$302,발주접수!$D108&amp;"|"&amp;9)&gt;0,8=0))</f>
        <v>0</v>
      </c>
      <c r="K1064" s="34" t="str">
        <f>IF($J1064=FALSE(),"",COUNTIF($J$6:$J1064,TRUE()))</f>
        <v/>
      </c>
      <c r="L1064" s="34" t="str">
        <f>IF($K1064="","","R"&amp;$K1064)</f>
        <v/>
      </c>
      <c r="M1064" s="34" t="str">
        <f>IF($J1064=FALSE(),"",IF(발주접수!$F108="세트",IFERROR(INDEX(세트구성!$C$3:$C$302,MATCH(발주접수!$D108&amp;"|"&amp;9,세트구성!$G$3:$G$302,0)),""),발주접수!$D108))</f>
        <v/>
      </c>
      <c r="N1064" s="34" t="str">
        <f>IF($J1064=FALSE(),"",IF(발주접수!$F108="세트",발주접수!$G108*IFERROR(INDEX(세트구성!$E$3:$E$302,MATCH(발주접수!$D108&amp;"|"&amp;9,세트구성!$G$3:$G$302,0)),0),발주접수!$G108))</f>
        <v/>
      </c>
      <c r="O1064" s="34" t="str">
        <f>IF($J1064=FALSE(),"",발주접수!$B108)</f>
        <v/>
      </c>
      <c r="P1064" s="34" t="str">
        <f>IF($J1064=FALSE(),"",발주접수!$C108)</f>
        <v/>
      </c>
      <c r="Q1064" s="34" t="str">
        <f>IF($J1064=FALSE(),"",IF(발주접수!$F108="세트",발주접수!$E108&amp;" 전개","직접 발주"))</f>
        <v/>
      </c>
    </row>
    <row r="1065" ht="15" customHeight="1" s="30">
      <c r="J1065" s="50" t="b">
        <f>IF(발주접수!$D108="",FALSE(),IF(발주접수!$F108="세트",COUNTIF(세트구성!$G$3:$G$302,발주접수!$D108&amp;"|"&amp;10)&gt;0,9=0))</f>
        <v>0</v>
      </c>
      <c r="K1065" s="34" t="str">
        <f>IF($J1065=FALSE(),"",COUNTIF($J$6:$J1065,TRUE()))</f>
        <v/>
      </c>
      <c r="L1065" s="34" t="str">
        <f>IF($K1065="","","R"&amp;$K1065)</f>
        <v/>
      </c>
      <c r="M1065" s="34" t="str">
        <f>IF($J1065=FALSE(),"",IF(발주접수!$F108="세트",IFERROR(INDEX(세트구성!$C$3:$C$302,MATCH(발주접수!$D108&amp;"|"&amp;10,세트구성!$G$3:$G$302,0)),""),발주접수!$D108))</f>
        <v/>
      </c>
      <c r="N1065" s="34" t="str">
        <f>IF($J1065=FALSE(),"",IF(발주접수!$F108="세트",발주접수!$G108*IFERROR(INDEX(세트구성!$E$3:$E$302,MATCH(발주접수!$D108&amp;"|"&amp;10,세트구성!$G$3:$G$302,0)),0),발주접수!$G108))</f>
        <v/>
      </c>
      <c r="O1065" s="34" t="str">
        <f>IF($J1065=FALSE(),"",발주접수!$B108)</f>
        <v/>
      </c>
      <c r="P1065" s="34" t="str">
        <f>IF($J1065=FALSE(),"",발주접수!$C108)</f>
        <v/>
      </c>
      <c r="Q1065" s="34" t="str">
        <f>IF($J1065=FALSE(),"",IF(발주접수!$F108="세트",발주접수!$E108&amp;" 전개","직접 발주"))</f>
        <v/>
      </c>
    </row>
    <row r="1066" ht="15" customHeight="1" s="30">
      <c r="J1066" s="50" t="b">
        <f>IF(발주접수!$D109="",FALSE(),IF(발주접수!$F109="세트",COUNTIF(세트구성!$G$3:$G$302,발주접수!$D109&amp;"|"&amp;1)&gt;0,0=0))</f>
        <v>0</v>
      </c>
      <c r="K1066" s="34" t="str">
        <f>IF($J1066=FALSE(),"",COUNTIF($J$6:$J1066,TRUE()))</f>
        <v/>
      </c>
      <c r="L1066" s="34" t="str">
        <f>IF($K1066="","","R"&amp;$K1066)</f>
        <v/>
      </c>
      <c r="M1066" s="34" t="str">
        <f>IF($J1066=FALSE(),"",IF(발주접수!$F109="세트",IFERROR(INDEX(세트구성!$C$3:$C$302,MATCH(발주접수!$D109&amp;"|"&amp;1,세트구성!$G$3:$G$302,0)),""),발주접수!$D109))</f>
        <v/>
      </c>
      <c r="N1066" s="34" t="str">
        <f>IF($J1066=FALSE(),"",IF(발주접수!$F109="세트",발주접수!$G109*IFERROR(INDEX(세트구성!$E$3:$E$302,MATCH(발주접수!$D109&amp;"|"&amp;1,세트구성!$G$3:$G$302,0)),0),발주접수!$G109))</f>
        <v/>
      </c>
      <c r="O1066" s="34" t="str">
        <f>IF($J1066=FALSE(),"",발주접수!$B109)</f>
        <v/>
      </c>
      <c r="P1066" s="34" t="str">
        <f>IF($J1066=FALSE(),"",발주접수!$C109)</f>
        <v/>
      </c>
      <c r="Q1066" s="34" t="str">
        <f>IF($J1066=FALSE(),"",IF(발주접수!$F109="세트",발주접수!$E109&amp;" 전개","직접 발주"))</f>
        <v/>
      </c>
    </row>
    <row r="1067" ht="15" customHeight="1" s="30">
      <c r="J1067" s="50" t="b">
        <f>IF(발주접수!$D109="",FALSE(),IF(발주접수!$F109="세트",COUNTIF(세트구성!$G$3:$G$302,발주접수!$D109&amp;"|"&amp;2)&gt;0,1=0))</f>
        <v>0</v>
      </c>
      <c r="K1067" s="34" t="str">
        <f>IF($J1067=FALSE(),"",COUNTIF($J$6:$J1067,TRUE()))</f>
        <v/>
      </c>
      <c r="L1067" s="34" t="str">
        <f>IF($K1067="","","R"&amp;$K1067)</f>
        <v/>
      </c>
      <c r="M1067" s="34" t="str">
        <f>IF($J1067=FALSE(),"",IF(발주접수!$F109="세트",IFERROR(INDEX(세트구성!$C$3:$C$302,MATCH(발주접수!$D109&amp;"|"&amp;2,세트구성!$G$3:$G$302,0)),""),발주접수!$D109))</f>
        <v/>
      </c>
      <c r="N1067" s="34" t="str">
        <f>IF($J1067=FALSE(),"",IF(발주접수!$F109="세트",발주접수!$G109*IFERROR(INDEX(세트구성!$E$3:$E$302,MATCH(발주접수!$D109&amp;"|"&amp;2,세트구성!$G$3:$G$302,0)),0),발주접수!$G109))</f>
        <v/>
      </c>
      <c r="O1067" s="34" t="str">
        <f>IF($J1067=FALSE(),"",발주접수!$B109)</f>
        <v/>
      </c>
      <c r="P1067" s="34" t="str">
        <f>IF($J1067=FALSE(),"",발주접수!$C109)</f>
        <v/>
      </c>
      <c r="Q1067" s="34" t="str">
        <f>IF($J1067=FALSE(),"",IF(발주접수!$F109="세트",발주접수!$E109&amp;" 전개","직접 발주"))</f>
        <v/>
      </c>
    </row>
    <row r="1068" ht="15" customHeight="1" s="30">
      <c r="J1068" s="50" t="b">
        <f>IF(발주접수!$D109="",FALSE(),IF(발주접수!$F109="세트",COUNTIF(세트구성!$G$3:$G$302,발주접수!$D109&amp;"|"&amp;3)&gt;0,2=0))</f>
        <v>0</v>
      </c>
      <c r="K1068" s="34" t="str">
        <f>IF($J1068=FALSE(),"",COUNTIF($J$6:$J1068,TRUE()))</f>
        <v/>
      </c>
      <c r="L1068" s="34" t="str">
        <f>IF($K1068="","","R"&amp;$K1068)</f>
        <v/>
      </c>
      <c r="M1068" s="34" t="str">
        <f>IF($J1068=FALSE(),"",IF(발주접수!$F109="세트",IFERROR(INDEX(세트구성!$C$3:$C$302,MATCH(발주접수!$D109&amp;"|"&amp;3,세트구성!$G$3:$G$302,0)),""),발주접수!$D109))</f>
        <v/>
      </c>
      <c r="N1068" s="34" t="str">
        <f>IF($J1068=FALSE(),"",IF(발주접수!$F109="세트",발주접수!$G109*IFERROR(INDEX(세트구성!$E$3:$E$302,MATCH(발주접수!$D109&amp;"|"&amp;3,세트구성!$G$3:$G$302,0)),0),발주접수!$G109))</f>
        <v/>
      </c>
      <c r="O1068" s="34" t="str">
        <f>IF($J1068=FALSE(),"",발주접수!$B109)</f>
        <v/>
      </c>
      <c r="P1068" s="34" t="str">
        <f>IF($J1068=FALSE(),"",발주접수!$C109)</f>
        <v/>
      </c>
      <c r="Q1068" s="34" t="str">
        <f>IF($J1068=FALSE(),"",IF(발주접수!$F109="세트",발주접수!$E109&amp;" 전개","직접 발주"))</f>
        <v/>
      </c>
    </row>
    <row r="1069" ht="15" customHeight="1" s="30">
      <c r="J1069" s="50" t="b">
        <f>IF(발주접수!$D109="",FALSE(),IF(발주접수!$F109="세트",COUNTIF(세트구성!$G$3:$G$302,발주접수!$D109&amp;"|"&amp;4)&gt;0,3=0))</f>
        <v>0</v>
      </c>
      <c r="K1069" s="34" t="str">
        <f>IF($J1069=FALSE(),"",COUNTIF($J$6:$J1069,TRUE()))</f>
        <v/>
      </c>
      <c r="L1069" s="34" t="str">
        <f>IF($K1069="","","R"&amp;$K1069)</f>
        <v/>
      </c>
      <c r="M1069" s="34" t="str">
        <f>IF($J1069=FALSE(),"",IF(발주접수!$F109="세트",IFERROR(INDEX(세트구성!$C$3:$C$302,MATCH(발주접수!$D109&amp;"|"&amp;4,세트구성!$G$3:$G$302,0)),""),발주접수!$D109))</f>
        <v/>
      </c>
      <c r="N1069" s="34" t="str">
        <f>IF($J1069=FALSE(),"",IF(발주접수!$F109="세트",발주접수!$G109*IFERROR(INDEX(세트구성!$E$3:$E$302,MATCH(발주접수!$D109&amp;"|"&amp;4,세트구성!$G$3:$G$302,0)),0),발주접수!$G109))</f>
        <v/>
      </c>
      <c r="O1069" s="34" t="str">
        <f>IF($J1069=FALSE(),"",발주접수!$B109)</f>
        <v/>
      </c>
      <c r="P1069" s="34" t="str">
        <f>IF($J1069=FALSE(),"",발주접수!$C109)</f>
        <v/>
      </c>
      <c r="Q1069" s="34" t="str">
        <f>IF($J1069=FALSE(),"",IF(발주접수!$F109="세트",발주접수!$E109&amp;" 전개","직접 발주"))</f>
        <v/>
      </c>
    </row>
    <row r="1070" ht="15" customHeight="1" s="30">
      <c r="J1070" s="50" t="b">
        <f>IF(발주접수!$D109="",FALSE(),IF(발주접수!$F109="세트",COUNTIF(세트구성!$G$3:$G$302,발주접수!$D109&amp;"|"&amp;5)&gt;0,4=0))</f>
        <v>0</v>
      </c>
      <c r="K1070" s="34" t="str">
        <f>IF($J1070=FALSE(),"",COUNTIF($J$6:$J1070,TRUE()))</f>
        <v/>
      </c>
      <c r="L1070" s="34" t="str">
        <f>IF($K1070="","","R"&amp;$K1070)</f>
        <v/>
      </c>
      <c r="M1070" s="34" t="str">
        <f>IF($J1070=FALSE(),"",IF(발주접수!$F109="세트",IFERROR(INDEX(세트구성!$C$3:$C$302,MATCH(발주접수!$D109&amp;"|"&amp;5,세트구성!$G$3:$G$302,0)),""),발주접수!$D109))</f>
        <v/>
      </c>
      <c r="N1070" s="34" t="str">
        <f>IF($J1070=FALSE(),"",IF(발주접수!$F109="세트",발주접수!$G109*IFERROR(INDEX(세트구성!$E$3:$E$302,MATCH(발주접수!$D109&amp;"|"&amp;5,세트구성!$G$3:$G$302,0)),0),발주접수!$G109))</f>
        <v/>
      </c>
      <c r="O1070" s="34" t="str">
        <f>IF($J1070=FALSE(),"",발주접수!$B109)</f>
        <v/>
      </c>
      <c r="P1070" s="34" t="str">
        <f>IF($J1070=FALSE(),"",발주접수!$C109)</f>
        <v/>
      </c>
      <c r="Q1070" s="34" t="str">
        <f>IF($J1070=FALSE(),"",IF(발주접수!$F109="세트",발주접수!$E109&amp;" 전개","직접 발주"))</f>
        <v/>
      </c>
    </row>
    <row r="1071" ht="15" customHeight="1" s="30">
      <c r="J1071" s="50" t="b">
        <f>IF(발주접수!$D109="",FALSE(),IF(발주접수!$F109="세트",COUNTIF(세트구성!$G$3:$G$302,발주접수!$D109&amp;"|"&amp;6)&gt;0,5=0))</f>
        <v>0</v>
      </c>
      <c r="K1071" s="34" t="str">
        <f>IF($J1071=FALSE(),"",COUNTIF($J$6:$J1071,TRUE()))</f>
        <v/>
      </c>
      <c r="L1071" s="34" t="str">
        <f>IF($K1071="","","R"&amp;$K1071)</f>
        <v/>
      </c>
      <c r="M1071" s="34" t="str">
        <f>IF($J1071=FALSE(),"",IF(발주접수!$F109="세트",IFERROR(INDEX(세트구성!$C$3:$C$302,MATCH(발주접수!$D109&amp;"|"&amp;6,세트구성!$G$3:$G$302,0)),""),발주접수!$D109))</f>
        <v/>
      </c>
      <c r="N1071" s="34" t="str">
        <f>IF($J1071=FALSE(),"",IF(발주접수!$F109="세트",발주접수!$G109*IFERROR(INDEX(세트구성!$E$3:$E$302,MATCH(발주접수!$D109&amp;"|"&amp;6,세트구성!$G$3:$G$302,0)),0),발주접수!$G109))</f>
        <v/>
      </c>
      <c r="O1071" s="34" t="str">
        <f>IF($J1071=FALSE(),"",발주접수!$B109)</f>
        <v/>
      </c>
      <c r="P1071" s="34" t="str">
        <f>IF($J1071=FALSE(),"",발주접수!$C109)</f>
        <v/>
      </c>
      <c r="Q1071" s="34" t="str">
        <f>IF($J1071=FALSE(),"",IF(발주접수!$F109="세트",발주접수!$E109&amp;" 전개","직접 발주"))</f>
        <v/>
      </c>
    </row>
    <row r="1072" ht="15" customHeight="1" s="30">
      <c r="J1072" s="50" t="b">
        <f>IF(발주접수!$D109="",FALSE(),IF(발주접수!$F109="세트",COUNTIF(세트구성!$G$3:$G$302,발주접수!$D109&amp;"|"&amp;7)&gt;0,6=0))</f>
        <v>0</v>
      </c>
      <c r="K1072" s="34" t="str">
        <f>IF($J1072=FALSE(),"",COUNTIF($J$6:$J1072,TRUE()))</f>
        <v/>
      </c>
      <c r="L1072" s="34" t="str">
        <f>IF($K1072="","","R"&amp;$K1072)</f>
        <v/>
      </c>
      <c r="M1072" s="34" t="str">
        <f>IF($J1072=FALSE(),"",IF(발주접수!$F109="세트",IFERROR(INDEX(세트구성!$C$3:$C$302,MATCH(발주접수!$D109&amp;"|"&amp;7,세트구성!$G$3:$G$302,0)),""),발주접수!$D109))</f>
        <v/>
      </c>
      <c r="N1072" s="34" t="str">
        <f>IF($J1072=FALSE(),"",IF(발주접수!$F109="세트",발주접수!$G109*IFERROR(INDEX(세트구성!$E$3:$E$302,MATCH(발주접수!$D109&amp;"|"&amp;7,세트구성!$G$3:$G$302,0)),0),발주접수!$G109))</f>
        <v/>
      </c>
      <c r="O1072" s="34" t="str">
        <f>IF($J1072=FALSE(),"",발주접수!$B109)</f>
        <v/>
      </c>
      <c r="P1072" s="34" t="str">
        <f>IF($J1072=FALSE(),"",발주접수!$C109)</f>
        <v/>
      </c>
      <c r="Q1072" s="34" t="str">
        <f>IF($J1072=FALSE(),"",IF(발주접수!$F109="세트",발주접수!$E109&amp;" 전개","직접 발주"))</f>
        <v/>
      </c>
    </row>
    <row r="1073" ht="15" customHeight="1" s="30">
      <c r="J1073" s="50" t="b">
        <f>IF(발주접수!$D109="",FALSE(),IF(발주접수!$F109="세트",COUNTIF(세트구성!$G$3:$G$302,발주접수!$D109&amp;"|"&amp;8)&gt;0,7=0))</f>
        <v>0</v>
      </c>
      <c r="K1073" s="34" t="str">
        <f>IF($J1073=FALSE(),"",COUNTIF($J$6:$J1073,TRUE()))</f>
        <v/>
      </c>
      <c r="L1073" s="34" t="str">
        <f>IF($K1073="","","R"&amp;$K1073)</f>
        <v/>
      </c>
      <c r="M1073" s="34" t="str">
        <f>IF($J1073=FALSE(),"",IF(발주접수!$F109="세트",IFERROR(INDEX(세트구성!$C$3:$C$302,MATCH(발주접수!$D109&amp;"|"&amp;8,세트구성!$G$3:$G$302,0)),""),발주접수!$D109))</f>
        <v/>
      </c>
      <c r="N1073" s="34" t="str">
        <f>IF($J1073=FALSE(),"",IF(발주접수!$F109="세트",발주접수!$G109*IFERROR(INDEX(세트구성!$E$3:$E$302,MATCH(발주접수!$D109&amp;"|"&amp;8,세트구성!$G$3:$G$302,0)),0),발주접수!$G109))</f>
        <v/>
      </c>
      <c r="O1073" s="34" t="str">
        <f>IF($J1073=FALSE(),"",발주접수!$B109)</f>
        <v/>
      </c>
      <c r="P1073" s="34" t="str">
        <f>IF($J1073=FALSE(),"",발주접수!$C109)</f>
        <v/>
      </c>
      <c r="Q1073" s="34" t="str">
        <f>IF($J1073=FALSE(),"",IF(발주접수!$F109="세트",발주접수!$E109&amp;" 전개","직접 발주"))</f>
        <v/>
      </c>
    </row>
    <row r="1074" ht="15" customHeight="1" s="30">
      <c r="J1074" s="50" t="b">
        <f>IF(발주접수!$D109="",FALSE(),IF(발주접수!$F109="세트",COUNTIF(세트구성!$G$3:$G$302,발주접수!$D109&amp;"|"&amp;9)&gt;0,8=0))</f>
        <v>0</v>
      </c>
      <c r="K1074" s="34" t="str">
        <f>IF($J1074=FALSE(),"",COUNTIF($J$6:$J1074,TRUE()))</f>
        <v/>
      </c>
      <c r="L1074" s="34" t="str">
        <f>IF($K1074="","","R"&amp;$K1074)</f>
        <v/>
      </c>
      <c r="M1074" s="34" t="str">
        <f>IF($J1074=FALSE(),"",IF(발주접수!$F109="세트",IFERROR(INDEX(세트구성!$C$3:$C$302,MATCH(발주접수!$D109&amp;"|"&amp;9,세트구성!$G$3:$G$302,0)),""),발주접수!$D109))</f>
        <v/>
      </c>
      <c r="N1074" s="34" t="str">
        <f>IF($J1074=FALSE(),"",IF(발주접수!$F109="세트",발주접수!$G109*IFERROR(INDEX(세트구성!$E$3:$E$302,MATCH(발주접수!$D109&amp;"|"&amp;9,세트구성!$G$3:$G$302,0)),0),발주접수!$G109))</f>
        <v/>
      </c>
      <c r="O1074" s="34" t="str">
        <f>IF($J1074=FALSE(),"",발주접수!$B109)</f>
        <v/>
      </c>
      <c r="P1074" s="34" t="str">
        <f>IF($J1074=FALSE(),"",발주접수!$C109)</f>
        <v/>
      </c>
      <c r="Q1074" s="34" t="str">
        <f>IF($J1074=FALSE(),"",IF(발주접수!$F109="세트",발주접수!$E109&amp;" 전개","직접 발주"))</f>
        <v/>
      </c>
    </row>
    <row r="1075" ht="15" customHeight="1" s="30">
      <c r="J1075" s="50" t="b">
        <f>IF(발주접수!$D109="",FALSE(),IF(발주접수!$F109="세트",COUNTIF(세트구성!$G$3:$G$302,발주접수!$D109&amp;"|"&amp;10)&gt;0,9=0))</f>
        <v>0</v>
      </c>
      <c r="K1075" s="34" t="str">
        <f>IF($J1075=FALSE(),"",COUNTIF($J$6:$J1075,TRUE()))</f>
        <v/>
      </c>
      <c r="L1075" s="34" t="str">
        <f>IF($K1075="","","R"&amp;$K1075)</f>
        <v/>
      </c>
      <c r="M1075" s="34" t="str">
        <f>IF($J1075=FALSE(),"",IF(발주접수!$F109="세트",IFERROR(INDEX(세트구성!$C$3:$C$302,MATCH(발주접수!$D109&amp;"|"&amp;10,세트구성!$G$3:$G$302,0)),""),발주접수!$D109))</f>
        <v/>
      </c>
      <c r="N1075" s="34" t="str">
        <f>IF($J1075=FALSE(),"",IF(발주접수!$F109="세트",발주접수!$G109*IFERROR(INDEX(세트구성!$E$3:$E$302,MATCH(발주접수!$D109&amp;"|"&amp;10,세트구성!$G$3:$G$302,0)),0),발주접수!$G109))</f>
        <v/>
      </c>
      <c r="O1075" s="34" t="str">
        <f>IF($J1075=FALSE(),"",발주접수!$B109)</f>
        <v/>
      </c>
      <c r="P1075" s="34" t="str">
        <f>IF($J1075=FALSE(),"",발주접수!$C109)</f>
        <v/>
      </c>
      <c r="Q1075" s="34" t="str">
        <f>IF($J1075=FALSE(),"",IF(발주접수!$F109="세트",발주접수!$E109&amp;" 전개","직접 발주"))</f>
        <v/>
      </c>
    </row>
    <row r="1076" ht="15" customHeight="1" s="30">
      <c r="J1076" s="50" t="b">
        <f>IF(발주접수!$D110="",FALSE(),IF(발주접수!$F110="세트",COUNTIF(세트구성!$G$3:$G$302,발주접수!$D110&amp;"|"&amp;1)&gt;0,0=0))</f>
        <v>0</v>
      </c>
      <c r="K1076" s="34" t="str">
        <f>IF($J1076=FALSE(),"",COUNTIF($J$6:$J1076,TRUE()))</f>
        <v/>
      </c>
      <c r="L1076" s="34" t="str">
        <f>IF($K1076="","","R"&amp;$K1076)</f>
        <v/>
      </c>
      <c r="M1076" s="34" t="str">
        <f>IF($J1076=FALSE(),"",IF(발주접수!$F110="세트",IFERROR(INDEX(세트구성!$C$3:$C$302,MATCH(발주접수!$D110&amp;"|"&amp;1,세트구성!$G$3:$G$302,0)),""),발주접수!$D110))</f>
        <v/>
      </c>
      <c r="N1076" s="34" t="str">
        <f>IF($J1076=FALSE(),"",IF(발주접수!$F110="세트",발주접수!$G110*IFERROR(INDEX(세트구성!$E$3:$E$302,MATCH(발주접수!$D110&amp;"|"&amp;1,세트구성!$G$3:$G$302,0)),0),발주접수!$G110))</f>
        <v/>
      </c>
      <c r="O1076" s="34" t="str">
        <f>IF($J1076=FALSE(),"",발주접수!$B110)</f>
        <v/>
      </c>
      <c r="P1076" s="34" t="str">
        <f>IF($J1076=FALSE(),"",발주접수!$C110)</f>
        <v/>
      </c>
      <c r="Q1076" s="34" t="str">
        <f>IF($J1076=FALSE(),"",IF(발주접수!$F110="세트",발주접수!$E110&amp;" 전개","직접 발주"))</f>
        <v/>
      </c>
    </row>
    <row r="1077" ht="15" customHeight="1" s="30">
      <c r="J1077" s="50" t="b">
        <f>IF(발주접수!$D110="",FALSE(),IF(발주접수!$F110="세트",COUNTIF(세트구성!$G$3:$G$302,발주접수!$D110&amp;"|"&amp;2)&gt;0,1=0))</f>
        <v>0</v>
      </c>
      <c r="K1077" s="34" t="str">
        <f>IF($J1077=FALSE(),"",COUNTIF($J$6:$J1077,TRUE()))</f>
        <v/>
      </c>
      <c r="L1077" s="34" t="str">
        <f>IF($K1077="","","R"&amp;$K1077)</f>
        <v/>
      </c>
      <c r="M1077" s="34" t="str">
        <f>IF($J1077=FALSE(),"",IF(발주접수!$F110="세트",IFERROR(INDEX(세트구성!$C$3:$C$302,MATCH(발주접수!$D110&amp;"|"&amp;2,세트구성!$G$3:$G$302,0)),""),발주접수!$D110))</f>
        <v/>
      </c>
      <c r="N1077" s="34" t="str">
        <f>IF($J1077=FALSE(),"",IF(발주접수!$F110="세트",발주접수!$G110*IFERROR(INDEX(세트구성!$E$3:$E$302,MATCH(발주접수!$D110&amp;"|"&amp;2,세트구성!$G$3:$G$302,0)),0),발주접수!$G110))</f>
        <v/>
      </c>
      <c r="O1077" s="34" t="str">
        <f>IF($J1077=FALSE(),"",발주접수!$B110)</f>
        <v/>
      </c>
      <c r="P1077" s="34" t="str">
        <f>IF($J1077=FALSE(),"",발주접수!$C110)</f>
        <v/>
      </c>
      <c r="Q1077" s="34" t="str">
        <f>IF($J1077=FALSE(),"",IF(발주접수!$F110="세트",발주접수!$E110&amp;" 전개","직접 발주"))</f>
        <v/>
      </c>
    </row>
    <row r="1078" ht="15" customHeight="1" s="30">
      <c r="J1078" s="50" t="b">
        <f>IF(발주접수!$D110="",FALSE(),IF(발주접수!$F110="세트",COUNTIF(세트구성!$G$3:$G$302,발주접수!$D110&amp;"|"&amp;3)&gt;0,2=0))</f>
        <v>0</v>
      </c>
      <c r="K1078" s="34" t="str">
        <f>IF($J1078=FALSE(),"",COUNTIF($J$6:$J1078,TRUE()))</f>
        <v/>
      </c>
      <c r="L1078" s="34" t="str">
        <f>IF($K1078="","","R"&amp;$K1078)</f>
        <v/>
      </c>
      <c r="M1078" s="34" t="str">
        <f>IF($J1078=FALSE(),"",IF(발주접수!$F110="세트",IFERROR(INDEX(세트구성!$C$3:$C$302,MATCH(발주접수!$D110&amp;"|"&amp;3,세트구성!$G$3:$G$302,0)),""),발주접수!$D110))</f>
        <v/>
      </c>
      <c r="N1078" s="34" t="str">
        <f>IF($J1078=FALSE(),"",IF(발주접수!$F110="세트",발주접수!$G110*IFERROR(INDEX(세트구성!$E$3:$E$302,MATCH(발주접수!$D110&amp;"|"&amp;3,세트구성!$G$3:$G$302,0)),0),발주접수!$G110))</f>
        <v/>
      </c>
      <c r="O1078" s="34" t="str">
        <f>IF($J1078=FALSE(),"",발주접수!$B110)</f>
        <v/>
      </c>
      <c r="P1078" s="34" t="str">
        <f>IF($J1078=FALSE(),"",발주접수!$C110)</f>
        <v/>
      </c>
      <c r="Q1078" s="34" t="str">
        <f>IF($J1078=FALSE(),"",IF(발주접수!$F110="세트",발주접수!$E110&amp;" 전개","직접 발주"))</f>
        <v/>
      </c>
    </row>
    <row r="1079" ht="15" customHeight="1" s="30">
      <c r="J1079" s="50" t="b">
        <f>IF(발주접수!$D110="",FALSE(),IF(발주접수!$F110="세트",COUNTIF(세트구성!$G$3:$G$302,발주접수!$D110&amp;"|"&amp;4)&gt;0,3=0))</f>
        <v>0</v>
      </c>
      <c r="K1079" s="34" t="str">
        <f>IF($J1079=FALSE(),"",COUNTIF($J$6:$J1079,TRUE()))</f>
        <v/>
      </c>
      <c r="L1079" s="34" t="str">
        <f>IF($K1079="","","R"&amp;$K1079)</f>
        <v/>
      </c>
      <c r="M1079" s="34" t="str">
        <f>IF($J1079=FALSE(),"",IF(발주접수!$F110="세트",IFERROR(INDEX(세트구성!$C$3:$C$302,MATCH(발주접수!$D110&amp;"|"&amp;4,세트구성!$G$3:$G$302,0)),""),발주접수!$D110))</f>
        <v/>
      </c>
      <c r="N1079" s="34" t="str">
        <f>IF($J1079=FALSE(),"",IF(발주접수!$F110="세트",발주접수!$G110*IFERROR(INDEX(세트구성!$E$3:$E$302,MATCH(발주접수!$D110&amp;"|"&amp;4,세트구성!$G$3:$G$302,0)),0),발주접수!$G110))</f>
        <v/>
      </c>
      <c r="O1079" s="34" t="str">
        <f>IF($J1079=FALSE(),"",발주접수!$B110)</f>
        <v/>
      </c>
      <c r="P1079" s="34" t="str">
        <f>IF($J1079=FALSE(),"",발주접수!$C110)</f>
        <v/>
      </c>
      <c r="Q1079" s="34" t="str">
        <f>IF($J1079=FALSE(),"",IF(발주접수!$F110="세트",발주접수!$E110&amp;" 전개","직접 발주"))</f>
        <v/>
      </c>
    </row>
    <row r="1080" ht="15" customHeight="1" s="30">
      <c r="J1080" s="50" t="b">
        <f>IF(발주접수!$D110="",FALSE(),IF(발주접수!$F110="세트",COUNTIF(세트구성!$G$3:$G$302,발주접수!$D110&amp;"|"&amp;5)&gt;0,4=0))</f>
        <v>0</v>
      </c>
      <c r="K1080" s="34" t="str">
        <f>IF($J1080=FALSE(),"",COUNTIF($J$6:$J1080,TRUE()))</f>
        <v/>
      </c>
      <c r="L1080" s="34" t="str">
        <f>IF($K1080="","","R"&amp;$K1080)</f>
        <v/>
      </c>
      <c r="M1080" s="34" t="str">
        <f>IF($J1080=FALSE(),"",IF(발주접수!$F110="세트",IFERROR(INDEX(세트구성!$C$3:$C$302,MATCH(발주접수!$D110&amp;"|"&amp;5,세트구성!$G$3:$G$302,0)),""),발주접수!$D110))</f>
        <v/>
      </c>
      <c r="N1080" s="34" t="str">
        <f>IF($J1080=FALSE(),"",IF(발주접수!$F110="세트",발주접수!$G110*IFERROR(INDEX(세트구성!$E$3:$E$302,MATCH(발주접수!$D110&amp;"|"&amp;5,세트구성!$G$3:$G$302,0)),0),발주접수!$G110))</f>
        <v/>
      </c>
      <c r="O1080" s="34" t="str">
        <f>IF($J1080=FALSE(),"",발주접수!$B110)</f>
        <v/>
      </c>
      <c r="P1080" s="34" t="str">
        <f>IF($J1080=FALSE(),"",발주접수!$C110)</f>
        <v/>
      </c>
      <c r="Q1080" s="34" t="str">
        <f>IF($J1080=FALSE(),"",IF(발주접수!$F110="세트",발주접수!$E110&amp;" 전개","직접 발주"))</f>
        <v/>
      </c>
    </row>
    <row r="1081" ht="15" customHeight="1" s="30">
      <c r="J1081" s="50" t="b">
        <f>IF(발주접수!$D110="",FALSE(),IF(발주접수!$F110="세트",COUNTIF(세트구성!$G$3:$G$302,발주접수!$D110&amp;"|"&amp;6)&gt;0,5=0))</f>
        <v>0</v>
      </c>
      <c r="K1081" s="34" t="str">
        <f>IF($J1081=FALSE(),"",COUNTIF($J$6:$J1081,TRUE()))</f>
        <v/>
      </c>
      <c r="L1081" s="34" t="str">
        <f>IF($K1081="","","R"&amp;$K1081)</f>
        <v/>
      </c>
      <c r="M1081" s="34" t="str">
        <f>IF($J1081=FALSE(),"",IF(발주접수!$F110="세트",IFERROR(INDEX(세트구성!$C$3:$C$302,MATCH(발주접수!$D110&amp;"|"&amp;6,세트구성!$G$3:$G$302,0)),""),발주접수!$D110))</f>
        <v/>
      </c>
      <c r="N1081" s="34" t="str">
        <f>IF($J1081=FALSE(),"",IF(발주접수!$F110="세트",발주접수!$G110*IFERROR(INDEX(세트구성!$E$3:$E$302,MATCH(발주접수!$D110&amp;"|"&amp;6,세트구성!$G$3:$G$302,0)),0),발주접수!$G110))</f>
        <v/>
      </c>
      <c r="O1081" s="34" t="str">
        <f>IF($J1081=FALSE(),"",발주접수!$B110)</f>
        <v/>
      </c>
      <c r="P1081" s="34" t="str">
        <f>IF($J1081=FALSE(),"",발주접수!$C110)</f>
        <v/>
      </c>
      <c r="Q1081" s="34" t="str">
        <f>IF($J1081=FALSE(),"",IF(발주접수!$F110="세트",발주접수!$E110&amp;" 전개","직접 발주"))</f>
        <v/>
      </c>
    </row>
    <row r="1082" ht="15" customHeight="1" s="30">
      <c r="J1082" s="50" t="b">
        <f>IF(발주접수!$D110="",FALSE(),IF(발주접수!$F110="세트",COUNTIF(세트구성!$G$3:$G$302,발주접수!$D110&amp;"|"&amp;7)&gt;0,6=0))</f>
        <v>0</v>
      </c>
      <c r="K1082" s="34" t="str">
        <f>IF($J1082=FALSE(),"",COUNTIF($J$6:$J1082,TRUE()))</f>
        <v/>
      </c>
      <c r="L1082" s="34" t="str">
        <f>IF($K1082="","","R"&amp;$K1082)</f>
        <v/>
      </c>
      <c r="M1082" s="34" t="str">
        <f>IF($J1082=FALSE(),"",IF(발주접수!$F110="세트",IFERROR(INDEX(세트구성!$C$3:$C$302,MATCH(발주접수!$D110&amp;"|"&amp;7,세트구성!$G$3:$G$302,0)),""),발주접수!$D110))</f>
        <v/>
      </c>
      <c r="N1082" s="34" t="str">
        <f>IF($J1082=FALSE(),"",IF(발주접수!$F110="세트",발주접수!$G110*IFERROR(INDEX(세트구성!$E$3:$E$302,MATCH(발주접수!$D110&amp;"|"&amp;7,세트구성!$G$3:$G$302,0)),0),발주접수!$G110))</f>
        <v/>
      </c>
      <c r="O1082" s="34" t="str">
        <f>IF($J1082=FALSE(),"",발주접수!$B110)</f>
        <v/>
      </c>
      <c r="P1082" s="34" t="str">
        <f>IF($J1082=FALSE(),"",발주접수!$C110)</f>
        <v/>
      </c>
      <c r="Q1082" s="34" t="str">
        <f>IF($J1082=FALSE(),"",IF(발주접수!$F110="세트",발주접수!$E110&amp;" 전개","직접 발주"))</f>
        <v/>
      </c>
    </row>
    <row r="1083" ht="15" customHeight="1" s="30">
      <c r="J1083" s="50" t="b">
        <f>IF(발주접수!$D110="",FALSE(),IF(발주접수!$F110="세트",COUNTIF(세트구성!$G$3:$G$302,발주접수!$D110&amp;"|"&amp;8)&gt;0,7=0))</f>
        <v>0</v>
      </c>
      <c r="K1083" s="34" t="str">
        <f>IF($J1083=FALSE(),"",COUNTIF($J$6:$J1083,TRUE()))</f>
        <v/>
      </c>
      <c r="L1083" s="34" t="str">
        <f>IF($K1083="","","R"&amp;$K1083)</f>
        <v/>
      </c>
      <c r="M1083" s="34" t="str">
        <f>IF($J1083=FALSE(),"",IF(발주접수!$F110="세트",IFERROR(INDEX(세트구성!$C$3:$C$302,MATCH(발주접수!$D110&amp;"|"&amp;8,세트구성!$G$3:$G$302,0)),""),발주접수!$D110))</f>
        <v/>
      </c>
      <c r="N1083" s="34" t="str">
        <f>IF($J1083=FALSE(),"",IF(발주접수!$F110="세트",발주접수!$G110*IFERROR(INDEX(세트구성!$E$3:$E$302,MATCH(발주접수!$D110&amp;"|"&amp;8,세트구성!$G$3:$G$302,0)),0),발주접수!$G110))</f>
        <v/>
      </c>
      <c r="O1083" s="34" t="str">
        <f>IF($J1083=FALSE(),"",발주접수!$B110)</f>
        <v/>
      </c>
      <c r="P1083" s="34" t="str">
        <f>IF($J1083=FALSE(),"",발주접수!$C110)</f>
        <v/>
      </c>
      <c r="Q1083" s="34" t="str">
        <f>IF($J1083=FALSE(),"",IF(발주접수!$F110="세트",발주접수!$E110&amp;" 전개","직접 발주"))</f>
        <v/>
      </c>
    </row>
    <row r="1084" ht="15" customHeight="1" s="30">
      <c r="J1084" s="50" t="b">
        <f>IF(발주접수!$D110="",FALSE(),IF(발주접수!$F110="세트",COUNTIF(세트구성!$G$3:$G$302,발주접수!$D110&amp;"|"&amp;9)&gt;0,8=0))</f>
        <v>0</v>
      </c>
      <c r="K1084" s="34" t="str">
        <f>IF($J1084=FALSE(),"",COUNTIF($J$6:$J1084,TRUE()))</f>
        <v/>
      </c>
      <c r="L1084" s="34" t="str">
        <f>IF($K1084="","","R"&amp;$K1084)</f>
        <v/>
      </c>
      <c r="M1084" s="34" t="str">
        <f>IF($J1084=FALSE(),"",IF(발주접수!$F110="세트",IFERROR(INDEX(세트구성!$C$3:$C$302,MATCH(발주접수!$D110&amp;"|"&amp;9,세트구성!$G$3:$G$302,0)),""),발주접수!$D110))</f>
        <v/>
      </c>
      <c r="N1084" s="34" t="str">
        <f>IF($J1084=FALSE(),"",IF(발주접수!$F110="세트",발주접수!$G110*IFERROR(INDEX(세트구성!$E$3:$E$302,MATCH(발주접수!$D110&amp;"|"&amp;9,세트구성!$G$3:$G$302,0)),0),발주접수!$G110))</f>
        <v/>
      </c>
      <c r="O1084" s="34" t="str">
        <f>IF($J1084=FALSE(),"",발주접수!$B110)</f>
        <v/>
      </c>
      <c r="P1084" s="34" t="str">
        <f>IF($J1084=FALSE(),"",발주접수!$C110)</f>
        <v/>
      </c>
      <c r="Q1084" s="34" t="str">
        <f>IF($J1084=FALSE(),"",IF(발주접수!$F110="세트",발주접수!$E110&amp;" 전개","직접 발주"))</f>
        <v/>
      </c>
    </row>
    <row r="1085" ht="15" customHeight="1" s="30">
      <c r="J1085" s="50" t="b">
        <f>IF(발주접수!$D110="",FALSE(),IF(발주접수!$F110="세트",COUNTIF(세트구성!$G$3:$G$302,발주접수!$D110&amp;"|"&amp;10)&gt;0,9=0))</f>
        <v>0</v>
      </c>
      <c r="K1085" s="34" t="str">
        <f>IF($J1085=FALSE(),"",COUNTIF($J$6:$J1085,TRUE()))</f>
        <v/>
      </c>
      <c r="L1085" s="34" t="str">
        <f>IF($K1085="","","R"&amp;$K1085)</f>
        <v/>
      </c>
      <c r="M1085" s="34" t="str">
        <f>IF($J1085=FALSE(),"",IF(발주접수!$F110="세트",IFERROR(INDEX(세트구성!$C$3:$C$302,MATCH(발주접수!$D110&amp;"|"&amp;10,세트구성!$G$3:$G$302,0)),""),발주접수!$D110))</f>
        <v/>
      </c>
      <c r="N1085" s="34" t="str">
        <f>IF($J1085=FALSE(),"",IF(발주접수!$F110="세트",발주접수!$G110*IFERROR(INDEX(세트구성!$E$3:$E$302,MATCH(발주접수!$D110&amp;"|"&amp;10,세트구성!$G$3:$G$302,0)),0),발주접수!$G110))</f>
        <v/>
      </c>
      <c r="O1085" s="34" t="str">
        <f>IF($J1085=FALSE(),"",발주접수!$B110)</f>
        <v/>
      </c>
      <c r="P1085" s="34" t="str">
        <f>IF($J1085=FALSE(),"",발주접수!$C110)</f>
        <v/>
      </c>
      <c r="Q1085" s="34" t="str">
        <f>IF($J1085=FALSE(),"",IF(발주접수!$F110="세트",발주접수!$E110&amp;" 전개","직접 발주"))</f>
        <v/>
      </c>
    </row>
    <row r="1086" ht="15" customHeight="1" s="30">
      <c r="J1086" s="50" t="b">
        <f>IF(발주접수!$D111="",FALSE(),IF(발주접수!$F111="세트",COUNTIF(세트구성!$G$3:$G$302,발주접수!$D111&amp;"|"&amp;1)&gt;0,0=0))</f>
        <v>0</v>
      </c>
      <c r="K1086" s="34" t="str">
        <f>IF($J1086=FALSE(),"",COUNTIF($J$6:$J1086,TRUE()))</f>
        <v/>
      </c>
      <c r="L1086" s="34" t="str">
        <f>IF($K1086="","","R"&amp;$K1086)</f>
        <v/>
      </c>
      <c r="M1086" s="34" t="str">
        <f>IF($J1086=FALSE(),"",IF(발주접수!$F111="세트",IFERROR(INDEX(세트구성!$C$3:$C$302,MATCH(발주접수!$D111&amp;"|"&amp;1,세트구성!$G$3:$G$302,0)),""),발주접수!$D111))</f>
        <v/>
      </c>
      <c r="N1086" s="34" t="str">
        <f>IF($J1086=FALSE(),"",IF(발주접수!$F111="세트",발주접수!$G111*IFERROR(INDEX(세트구성!$E$3:$E$302,MATCH(발주접수!$D111&amp;"|"&amp;1,세트구성!$G$3:$G$302,0)),0),발주접수!$G111))</f>
        <v/>
      </c>
      <c r="O1086" s="34" t="str">
        <f>IF($J1086=FALSE(),"",발주접수!$B111)</f>
        <v/>
      </c>
      <c r="P1086" s="34" t="str">
        <f>IF($J1086=FALSE(),"",발주접수!$C111)</f>
        <v/>
      </c>
      <c r="Q1086" s="34" t="str">
        <f>IF($J1086=FALSE(),"",IF(발주접수!$F111="세트",발주접수!$E111&amp;" 전개","직접 발주"))</f>
        <v/>
      </c>
    </row>
    <row r="1087" ht="15" customHeight="1" s="30">
      <c r="J1087" s="50" t="b">
        <f>IF(발주접수!$D111="",FALSE(),IF(발주접수!$F111="세트",COUNTIF(세트구성!$G$3:$G$302,발주접수!$D111&amp;"|"&amp;2)&gt;0,1=0))</f>
        <v>0</v>
      </c>
      <c r="K1087" s="34" t="str">
        <f>IF($J1087=FALSE(),"",COUNTIF($J$6:$J1087,TRUE()))</f>
        <v/>
      </c>
      <c r="L1087" s="34" t="str">
        <f>IF($K1087="","","R"&amp;$K1087)</f>
        <v/>
      </c>
      <c r="M1087" s="34" t="str">
        <f>IF($J1087=FALSE(),"",IF(발주접수!$F111="세트",IFERROR(INDEX(세트구성!$C$3:$C$302,MATCH(발주접수!$D111&amp;"|"&amp;2,세트구성!$G$3:$G$302,0)),""),발주접수!$D111))</f>
        <v/>
      </c>
      <c r="N1087" s="34" t="str">
        <f>IF($J1087=FALSE(),"",IF(발주접수!$F111="세트",발주접수!$G111*IFERROR(INDEX(세트구성!$E$3:$E$302,MATCH(발주접수!$D111&amp;"|"&amp;2,세트구성!$G$3:$G$302,0)),0),발주접수!$G111))</f>
        <v/>
      </c>
      <c r="O1087" s="34" t="str">
        <f>IF($J1087=FALSE(),"",발주접수!$B111)</f>
        <v/>
      </c>
      <c r="P1087" s="34" t="str">
        <f>IF($J1087=FALSE(),"",발주접수!$C111)</f>
        <v/>
      </c>
      <c r="Q1087" s="34" t="str">
        <f>IF($J1087=FALSE(),"",IF(발주접수!$F111="세트",발주접수!$E111&amp;" 전개","직접 발주"))</f>
        <v/>
      </c>
    </row>
    <row r="1088" ht="15" customHeight="1" s="30">
      <c r="J1088" s="50" t="b">
        <f>IF(발주접수!$D111="",FALSE(),IF(발주접수!$F111="세트",COUNTIF(세트구성!$G$3:$G$302,발주접수!$D111&amp;"|"&amp;3)&gt;0,2=0))</f>
        <v>0</v>
      </c>
      <c r="K1088" s="34" t="str">
        <f>IF($J1088=FALSE(),"",COUNTIF($J$6:$J1088,TRUE()))</f>
        <v/>
      </c>
      <c r="L1088" s="34" t="str">
        <f>IF($K1088="","","R"&amp;$K1088)</f>
        <v/>
      </c>
      <c r="M1088" s="34" t="str">
        <f>IF($J1088=FALSE(),"",IF(발주접수!$F111="세트",IFERROR(INDEX(세트구성!$C$3:$C$302,MATCH(발주접수!$D111&amp;"|"&amp;3,세트구성!$G$3:$G$302,0)),""),발주접수!$D111))</f>
        <v/>
      </c>
      <c r="N1088" s="34" t="str">
        <f>IF($J1088=FALSE(),"",IF(발주접수!$F111="세트",발주접수!$G111*IFERROR(INDEX(세트구성!$E$3:$E$302,MATCH(발주접수!$D111&amp;"|"&amp;3,세트구성!$G$3:$G$302,0)),0),발주접수!$G111))</f>
        <v/>
      </c>
      <c r="O1088" s="34" t="str">
        <f>IF($J1088=FALSE(),"",발주접수!$B111)</f>
        <v/>
      </c>
      <c r="P1088" s="34" t="str">
        <f>IF($J1088=FALSE(),"",발주접수!$C111)</f>
        <v/>
      </c>
      <c r="Q1088" s="34" t="str">
        <f>IF($J1088=FALSE(),"",IF(발주접수!$F111="세트",발주접수!$E111&amp;" 전개","직접 발주"))</f>
        <v/>
      </c>
    </row>
    <row r="1089" ht="15" customHeight="1" s="30">
      <c r="J1089" s="50" t="b">
        <f>IF(발주접수!$D111="",FALSE(),IF(발주접수!$F111="세트",COUNTIF(세트구성!$G$3:$G$302,발주접수!$D111&amp;"|"&amp;4)&gt;0,3=0))</f>
        <v>0</v>
      </c>
      <c r="K1089" s="34" t="str">
        <f>IF($J1089=FALSE(),"",COUNTIF($J$6:$J1089,TRUE()))</f>
        <v/>
      </c>
      <c r="L1089" s="34" t="str">
        <f>IF($K1089="","","R"&amp;$K1089)</f>
        <v/>
      </c>
      <c r="M1089" s="34" t="str">
        <f>IF($J1089=FALSE(),"",IF(발주접수!$F111="세트",IFERROR(INDEX(세트구성!$C$3:$C$302,MATCH(발주접수!$D111&amp;"|"&amp;4,세트구성!$G$3:$G$302,0)),""),발주접수!$D111))</f>
        <v/>
      </c>
      <c r="N1089" s="34" t="str">
        <f>IF($J1089=FALSE(),"",IF(발주접수!$F111="세트",발주접수!$G111*IFERROR(INDEX(세트구성!$E$3:$E$302,MATCH(발주접수!$D111&amp;"|"&amp;4,세트구성!$G$3:$G$302,0)),0),발주접수!$G111))</f>
        <v/>
      </c>
      <c r="O1089" s="34" t="str">
        <f>IF($J1089=FALSE(),"",발주접수!$B111)</f>
        <v/>
      </c>
      <c r="P1089" s="34" t="str">
        <f>IF($J1089=FALSE(),"",발주접수!$C111)</f>
        <v/>
      </c>
      <c r="Q1089" s="34" t="str">
        <f>IF($J1089=FALSE(),"",IF(발주접수!$F111="세트",발주접수!$E111&amp;" 전개","직접 발주"))</f>
        <v/>
      </c>
    </row>
    <row r="1090" ht="15" customHeight="1" s="30">
      <c r="J1090" s="50" t="b">
        <f>IF(발주접수!$D111="",FALSE(),IF(발주접수!$F111="세트",COUNTIF(세트구성!$G$3:$G$302,발주접수!$D111&amp;"|"&amp;5)&gt;0,4=0))</f>
        <v>0</v>
      </c>
      <c r="K1090" s="34" t="str">
        <f>IF($J1090=FALSE(),"",COUNTIF($J$6:$J1090,TRUE()))</f>
        <v/>
      </c>
      <c r="L1090" s="34" t="str">
        <f>IF($K1090="","","R"&amp;$K1090)</f>
        <v/>
      </c>
      <c r="M1090" s="34" t="str">
        <f>IF($J1090=FALSE(),"",IF(발주접수!$F111="세트",IFERROR(INDEX(세트구성!$C$3:$C$302,MATCH(발주접수!$D111&amp;"|"&amp;5,세트구성!$G$3:$G$302,0)),""),발주접수!$D111))</f>
        <v/>
      </c>
      <c r="N1090" s="34" t="str">
        <f>IF($J1090=FALSE(),"",IF(발주접수!$F111="세트",발주접수!$G111*IFERROR(INDEX(세트구성!$E$3:$E$302,MATCH(발주접수!$D111&amp;"|"&amp;5,세트구성!$G$3:$G$302,0)),0),발주접수!$G111))</f>
        <v/>
      </c>
      <c r="O1090" s="34" t="str">
        <f>IF($J1090=FALSE(),"",발주접수!$B111)</f>
        <v/>
      </c>
      <c r="P1090" s="34" t="str">
        <f>IF($J1090=FALSE(),"",발주접수!$C111)</f>
        <v/>
      </c>
      <c r="Q1090" s="34" t="str">
        <f>IF($J1090=FALSE(),"",IF(발주접수!$F111="세트",발주접수!$E111&amp;" 전개","직접 발주"))</f>
        <v/>
      </c>
    </row>
    <row r="1091" ht="15" customHeight="1" s="30">
      <c r="J1091" s="50" t="b">
        <f>IF(발주접수!$D111="",FALSE(),IF(발주접수!$F111="세트",COUNTIF(세트구성!$G$3:$G$302,발주접수!$D111&amp;"|"&amp;6)&gt;0,5=0))</f>
        <v>0</v>
      </c>
      <c r="K1091" s="34" t="str">
        <f>IF($J1091=FALSE(),"",COUNTIF($J$6:$J1091,TRUE()))</f>
        <v/>
      </c>
      <c r="L1091" s="34" t="str">
        <f>IF($K1091="","","R"&amp;$K1091)</f>
        <v/>
      </c>
      <c r="M1091" s="34" t="str">
        <f>IF($J1091=FALSE(),"",IF(발주접수!$F111="세트",IFERROR(INDEX(세트구성!$C$3:$C$302,MATCH(발주접수!$D111&amp;"|"&amp;6,세트구성!$G$3:$G$302,0)),""),발주접수!$D111))</f>
        <v/>
      </c>
      <c r="N1091" s="34" t="str">
        <f>IF($J1091=FALSE(),"",IF(발주접수!$F111="세트",발주접수!$G111*IFERROR(INDEX(세트구성!$E$3:$E$302,MATCH(발주접수!$D111&amp;"|"&amp;6,세트구성!$G$3:$G$302,0)),0),발주접수!$G111))</f>
        <v/>
      </c>
      <c r="O1091" s="34" t="str">
        <f>IF($J1091=FALSE(),"",발주접수!$B111)</f>
        <v/>
      </c>
      <c r="P1091" s="34" t="str">
        <f>IF($J1091=FALSE(),"",발주접수!$C111)</f>
        <v/>
      </c>
      <c r="Q1091" s="34" t="str">
        <f>IF($J1091=FALSE(),"",IF(발주접수!$F111="세트",발주접수!$E111&amp;" 전개","직접 발주"))</f>
        <v/>
      </c>
    </row>
    <row r="1092" ht="15" customHeight="1" s="30">
      <c r="J1092" s="50" t="b">
        <f>IF(발주접수!$D111="",FALSE(),IF(발주접수!$F111="세트",COUNTIF(세트구성!$G$3:$G$302,발주접수!$D111&amp;"|"&amp;7)&gt;0,6=0))</f>
        <v>0</v>
      </c>
      <c r="K1092" s="34" t="str">
        <f>IF($J1092=FALSE(),"",COUNTIF($J$6:$J1092,TRUE()))</f>
        <v/>
      </c>
      <c r="L1092" s="34" t="str">
        <f>IF($K1092="","","R"&amp;$K1092)</f>
        <v/>
      </c>
      <c r="M1092" s="34" t="str">
        <f>IF($J1092=FALSE(),"",IF(발주접수!$F111="세트",IFERROR(INDEX(세트구성!$C$3:$C$302,MATCH(발주접수!$D111&amp;"|"&amp;7,세트구성!$G$3:$G$302,0)),""),발주접수!$D111))</f>
        <v/>
      </c>
      <c r="N1092" s="34" t="str">
        <f>IF($J1092=FALSE(),"",IF(발주접수!$F111="세트",발주접수!$G111*IFERROR(INDEX(세트구성!$E$3:$E$302,MATCH(발주접수!$D111&amp;"|"&amp;7,세트구성!$G$3:$G$302,0)),0),발주접수!$G111))</f>
        <v/>
      </c>
      <c r="O1092" s="34" t="str">
        <f>IF($J1092=FALSE(),"",발주접수!$B111)</f>
        <v/>
      </c>
      <c r="P1092" s="34" t="str">
        <f>IF($J1092=FALSE(),"",발주접수!$C111)</f>
        <v/>
      </c>
      <c r="Q1092" s="34" t="str">
        <f>IF($J1092=FALSE(),"",IF(발주접수!$F111="세트",발주접수!$E111&amp;" 전개","직접 발주"))</f>
        <v/>
      </c>
    </row>
    <row r="1093" ht="15" customHeight="1" s="30">
      <c r="J1093" s="50" t="b">
        <f>IF(발주접수!$D111="",FALSE(),IF(발주접수!$F111="세트",COUNTIF(세트구성!$G$3:$G$302,발주접수!$D111&amp;"|"&amp;8)&gt;0,7=0))</f>
        <v>0</v>
      </c>
      <c r="K1093" s="34" t="str">
        <f>IF($J1093=FALSE(),"",COUNTIF($J$6:$J1093,TRUE()))</f>
        <v/>
      </c>
      <c r="L1093" s="34" t="str">
        <f>IF($K1093="","","R"&amp;$K1093)</f>
        <v/>
      </c>
      <c r="M1093" s="34" t="str">
        <f>IF($J1093=FALSE(),"",IF(발주접수!$F111="세트",IFERROR(INDEX(세트구성!$C$3:$C$302,MATCH(발주접수!$D111&amp;"|"&amp;8,세트구성!$G$3:$G$302,0)),""),발주접수!$D111))</f>
        <v/>
      </c>
      <c r="N1093" s="34" t="str">
        <f>IF($J1093=FALSE(),"",IF(발주접수!$F111="세트",발주접수!$G111*IFERROR(INDEX(세트구성!$E$3:$E$302,MATCH(발주접수!$D111&amp;"|"&amp;8,세트구성!$G$3:$G$302,0)),0),발주접수!$G111))</f>
        <v/>
      </c>
      <c r="O1093" s="34" t="str">
        <f>IF($J1093=FALSE(),"",발주접수!$B111)</f>
        <v/>
      </c>
      <c r="P1093" s="34" t="str">
        <f>IF($J1093=FALSE(),"",발주접수!$C111)</f>
        <v/>
      </c>
      <c r="Q1093" s="34" t="str">
        <f>IF($J1093=FALSE(),"",IF(발주접수!$F111="세트",발주접수!$E111&amp;" 전개","직접 발주"))</f>
        <v/>
      </c>
    </row>
    <row r="1094" ht="15" customHeight="1" s="30">
      <c r="J1094" s="50" t="b">
        <f>IF(발주접수!$D111="",FALSE(),IF(발주접수!$F111="세트",COUNTIF(세트구성!$G$3:$G$302,발주접수!$D111&amp;"|"&amp;9)&gt;0,8=0))</f>
        <v>0</v>
      </c>
      <c r="K1094" s="34" t="str">
        <f>IF($J1094=FALSE(),"",COUNTIF($J$6:$J1094,TRUE()))</f>
        <v/>
      </c>
      <c r="L1094" s="34" t="str">
        <f>IF($K1094="","","R"&amp;$K1094)</f>
        <v/>
      </c>
      <c r="M1094" s="34" t="str">
        <f>IF($J1094=FALSE(),"",IF(발주접수!$F111="세트",IFERROR(INDEX(세트구성!$C$3:$C$302,MATCH(발주접수!$D111&amp;"|"&amp;9,세트구성!$G$3:$G$302,0)),""),발주접수!$D111))</f>
        <v/>
      </c>
      <c r="N1094" s="34" t="str">
        <f>IF($J1094=FALSE(),"",IF(발주접수!$F111="세트",발주접수!$G111*IFERROR(INDEX(세트구성!$E$3:$E$302,MATCH(발주접수!$D111&amp;"|"&amp;9,세트구성!$G$3:$G$302,0)),0),발주접수!$G111))</f>
        <v/>
      </c>
      <c r="O1094" s="34" t="str">
        <f>IF($J1094=FALSE(),"",발주접수!$B111)</f>
        <v/>
      </c>
      <c r="P1094" s="34" t="str">
        <f>IF($J1094=FALSE(),"",발주접수!$C111)</f>
        <v/>
      </c>
      <c r="Q1094" s="34" t="str">
        <f>IF($J1094=FALSE(),"",IF(발주접수!$F111="세트",발주접수!$E111&amp;" 전개","직접 발주"))</f>
        <v/>
      </c>
    </row>
    <row r="1095" ht="15" customHeight="1" s="30">
      <c r="J1095" s="50" t="b">
        <f>IF(발주접수!$D111="",FALSE(),IF(발주접수!$F111="세트",COUNTIF(세트구성!$G$3:$G$302,발주접수!$D111&amp;"|"&amp;10)&gt;0,9=0))</f>
        <v>0</v>
      </c>
      <c r="K1095" s="34" t="str">
        <f>IF($J1095=FALSE(),"",COUNTIF($J$6:$J1095,TRUE()))</f>
        <v/>
      </c>
      <c r="L1095" s="34" t="str">
        <f>IF($K1095="","","R"&amp;$K1095)</f>
        <v/>
      </c>
      <c r="M1095" s="34" t="str">
        <f>IF($J1095=FALSE(),"",IF(발주접수!$F111="세트",IFERROR(INDEX(세트구성!$C$3:$C$302,MATCH(발주접수!$D111&amp;"|"&amp;10,세트구성!$G$3:$G$302,0)),""),발주접수!$D111))</f>
        <v/>
      </c>
      <c r="N1095" s="34" t="str">
        <f>IF($J1095=FALSE(),"",IF(발주접수!$F111="세트",발주접수!$G111*IFERROR(INDEX(세트구성!$E$3:$E$302,MATCH(발주접수!$D111&amp;"|"&amp;10,세트구성!$G$3:$G$302,0)),0),발주접수!$G111))</f>
        <v/>
      </c>
      <c r="O1095" s="34" t="str">
        <f>IF($J1095=FALSE(),"",발주접수!$B111)</f>
        <v/>
      </c>
      <c r="P1095" s="34" t="str">
        <f>IF($J1095=FALSE(),"",발주접수!$C111)</f>
        <v/>
      </c>
      <c r="Q1095" s="34" t="str">
        <f>IF($J1095=FALSE(),"",IF(발주접수!$F111="세트",발주접수!$E111&amp;" 전개","직접 발주"))</f>
        <v/>
      </c>
    </row>
    <row r="1096" ht="15" customHeight="1" s="30">
      <c r="J1096" s="50" t="b">
        <f>IF(발주접수!$D112="",FALSE(),IF(발주접수!$F112="세트",COUNTIF(세트구성!$G$3:$G$302,발주접수!$D112&amp;"|"&amp;1)&gt;0,0=0))</f>
        <v>0</v>
      </c>
      <c r="K1096" s="34" t="str">
        <f>IF($J1096=FALSE(),"",COUNTIF($J$6:$J1096,TRUE()))</f>
        <v/>
      </c>
      <c r="L1096" s="34" t="str">
        <f>IF($K1096="","","R"&amp;$K1096)</f>
        <v/>
      </c>
      <c r="M1096" s="34" t="str">
        <f>IF($J1096=FALSE(),"",IF(발주접수!$F112="세트",IFERROR(INDEX(세트구성!$C$3:$C$302,MATCH(발주접수!$D112&amp;"|"&amp;1,세트구성!$G$3:$G$302,0)),""),발주접수!$D112))</f>
        <v/>
      </c>
      <c r="N1096" s="34" t="str">
        <f>IF($J1096=FALSE(),"",IF(발주접수!$F112="세트",발주접수!$G112*IFERROR(INDEX(세트구성!$E$3:$E$302,MATCH(발주접수!$D112&amp;"|"&amp;1,세트구성!$G$3:$G$302,0)),0),발주접수!$G112))</f>
        <v/>
      </c>
      <c r="O1096" s="34" t="str">
        <f>IF($J1096=FALSE(),"",발주접수!$B112)</f>
        <v/>
      </c>
      <c r="P1096" s="34" t="str">
        <f>IF($J1096=FALSE(),"",발주접수!$C112)</f>
        <v/>
      </c>
      <c r="Q1096" s="34" t="str">
        <f>IF($J1096=FALSE(),"",IF(발주접수!$F112="세트",발주접수!$E112&amp;" 전개","직접 발주"))</f>
        <v/>
      </c>
    </row>
    <row r="1097" ht="15" customHeight="1" s="30">
      <c r="J1097" s="50" t="b">
        <f>IF(발주접수!$D112="",FALSE(),IF(발주접수!$F112="세트",COUNTIF(세트구성!$G$3:$G$302,발주접수!$D112&amp;"|"&amp;2)&gt;0,1=0))</f>
        <v>0</v>
      </c>
      <c r="K1097" s="34" t="str">
        <f>IF($J1097=FALSE(),"",COUNTIF($J$6:$J1097,TRUE()))</f>
        <v/>
      </c>
      <c r="L1097" s="34" t="str">
        <f>IF($K1097="","","R"&amp;$K1097)</f>
        <v/>
      </c>
      <c r="M1097" s="34" t="str">
        <f>IF($J1097=FALSE(),"",IF(발주접수!$F112="세트",IFERROR(INDEX(세트구성!$C$3:$C$302,MATCH(발주접수!$D112&amp;"|"&amp;2,세트구성!$G$3:$G$302,0)),""),발주접수!$D112))</f>
        <v/>
      </c>
      <c r="N1097" s="34" t="str">
        <f>IF($J1097=FALSE(),"",IF(발주접수!$F112="세트",발주접수!$G112*IFERROR(INDEX(세트구성!$E$3:$E$302,MATCH(발주접수!$D112&amp;"|"&amp;2,세트구성!$G$3:$G$302,0)),0),발주접수!$G112))</f>
        <v/>
      </c>
      <c r="O1097" s="34" t="str">
        <f>IF($J1097=FALSE(),"",발주접수!$B112)</f>
        <v/>
      </c>
      <c r="P1097" s="34" t="str">
        <f>IF($J1097=FALSE(),"",발주접수!$C112)</f>
        <v/>
      </c>
      <c r="Q1097" s="34" t="str">
        <f>IF($J1097=FALSE(),"",IF(발주접수!$F112="세트",발주접수!$E112&amp;" 전개","직접 발주"))</f>
        <v/>
      </c>
    </row>
    <row r="1098" ht="15" customHeight="1" s="30">
      <c r="J1098" s="50" t="b">
        <f>IF(발주접수!$D112="",FALSE(),IF(발주접수!$F112="세트",COUNTIF(세트구성!$G$3:$G$302,발주접수!$D112&amp;"|"&amp;3)&gt;0,2=0))</f>
        <v>0</v>
      </c>
      <c r="K1098" s="34" t="str">
        <f>IF($J1098=FALSE(),"",COUNTIF($J$6:$J1098,TRUE()))</f>
        <v/>
      </c>
      <c r="L1098" s="34" t="str">
        <f>IF($K1098="","","R"&amp;$K1098)</f>
        <v/>
      </c>
      <c r="M1098" s="34" t="str">
        <f>IF($J1098=FALSE(),"",IF(발주접수!$F112="세트",IFERROR(INDEX(세트구성!$C$3:$C$302,MATCH(발주접수!$D112&amp;"|"&amp;3,세트구성!$G$3:$G$302,0)),""),발주접수!$D112))</f>
        <v/>
      </c>
      <c r="N1098" s="34" t="str">
        <f>IF($J1098=FALSE(),"",IF(발주접수!$F112="세트",발주접수!$G112*IFERROR(INDEX(세트구성!$E$3:$E$302,MATCH(발주접수!$D112&amp;"|"&amp;3,세트구성!$G$3:$G$302,0)),0),발주접수!$G112))</f>
        <v/>
      </c>
      <c r="O1098" s="34" t="str">
        <f>IF($J1098=FALSE(),"",발주접수!$B112)</f>
        <v/>
      </c>
      <c r="P1098" s="34" t="str">
        <f>IF($J1098=FALSE(),"",발주접수!$C112)</f>
        <v/>
      </c>
      <c r="Q1098" s="34" t="str">
        <f>IF($J1098=FALSE(),"",IF(발주접수!$F112="세트",발주접수!$E112&amp;" 전개","직접 발주"))</f>
        <v/>
      </c>
    </row>
    <row r="1099" ht="15" customHeight="1" s="30">
      <c r="J1099" s="50" t="b">
        <f>IF(발주접수!$D112="",FALSE(),IF(발주접수!$F112="세트",COUNTIF(세트구성!$G$3:$G$302,발주접수!$D112&amp;"|"&amp;4)&gt;0,3=0))</f>
        <v>0</v>
      </c>
      <c r="K1099" s="34" t="str">
        <f>IF($J1099=FALSE(),"",COUNTIF($J$6:$J1099,TRUE()))</f>
        <v/>
      </c>
      <c r="L1099" s="34" t="str">
        <f>IF($K1099="","","R"&amp;$K1099)</f>
        <v/>
      </c>
      <c r="M1099" s="34" t="str">
        <f>IF($J1099=FALSE(),"",IF(발주접수!$F112="세트",IFERROR(INDEX(세트구성!$C$3:$C$302,MATCH(발주접수!$D112&amp;"|"&amp;4,세트구성!$G$3:$G$302,0)),""),발주접수!$D112))</f>
        <v/>
      </c>
      <c r="N1099" s="34" t="str">
        <f>IF($J1099=FALSE(),"",IF(발주접수!$F112="세트",발주접수!$G112*IFERROR(INDEX(세트구성!$E$3:$E$302,MATCH(발주접수!$D112&amp;"|"&amp;4,세트구성!$G$3:$G$302,0)),0),발주접수!$G112))</f>
        <v/>
      </c>
      <c r="O1099" s="34" t="str">
        <f>IF($J1099=FALSE(),"",발주접수!$B112)</f>
        <v/>
      </c>
      <c r="P1099" s="34" t="str">
        <f>IF($J1099=FALSE(),"",발주접수!$C112)</f>
        <v/>
      </c>
      <c r="Q1099" s="34" t="str">
        <f>IF($J1099=FALSE(),"",IF(발주접수!$F112="세트",발주접수!$E112&amp;" 전개","직접 발주"))</f>
        <v/>
      </c>
    </row>
    <row r="1100" ht="15" customHeight="1" s="30">
      <c r="J1100" s="50" t="b">
        <f>IF(발주접수!$D112="",FALSE(),IF(발주접수!$F112="세트",COUNTIF(세트구성!$G$3:$G$302,발주접수!$D112&amp;"|"&amp;5)&gt;0,4=0))</f>
        <v>0</v>
      </c>
      <c r="K1100" s="34" t="str">
        <f>IF($J1100=FALSE(),"",COUNTIF($J$6:$J1100,TRUE()))</f>
        <v/>
      </c>
      <c r="L1100" s="34" t="str">
        <f>IF($K1100="","","R"&amp;$K1100)</f>
        <v/>
      </c>
      <c r="M1100" s="34" t="str">
        <f>IF($J1100=FALSE(),"",IF(발주접수!$F112="세트",IFERROR(INDEX(세트구성!$C$3:$C$302,MATCH(발주접수!$D112&amp;"|"&amp;5,세트구성!$G$3:$G$302,0)),""),발주접수!$D112))</f>
        <v/>
      </c>
      <c r="N1100" s="34" t="str">
        <f>IF($J1100=FALSE(),"",IF(발주접수!$F112="세트",발주접수!$G112*IFERROR(INDEX(세트구성!$E$3:$E$302,MATCH(발주접수!$D112&amp;"|"&amp;5,세트구성!$G$3:$G$302,0)),0),발주접수!$G112))</f>
        <v/>
      </c>
      <c r="O1100" s="34" t="str">
        <f>IF($J1100=FALSE(),"",발주접수!$B112)</f>
        <v/>
      </c>
      <c r="P1100" s="34" t="str">
        <f>IF($J1100=FALSE(),"",발주접수!$C112)</f>
        <v/>
      </c>
      <c r="Q1100" s="34" t="str">
        <f>IF($J1100=FALSE(),"",IF(발주접수!$F112="세트",발주접수!$E112&amp;" 전개","직접 발주"))</f>
        <v/>
      </c>
    </row>
    <row r="1101" ht="15" customHeight="1" s="30">
      <c r="J1101" s="50" t="b">
        <f>IF(발주접수!$D112="",FALSE(),IF(발주접수!$F112="세트",COUNTIF(세트구성!$G$3:$G$302,발주접수!$D112&amp;"|"&amp;6)&gt;0,5=0))</f>
        <v>0</v>
      </c>
      <c r="K1101" s="34" t="str">
        <f>IF($J1101=FALSE(),"",COUNTIF($J$6:$J1101,TRUE()))</f>
        <v/>
      </c>
      <c r="L1101" s="34" t="str">
        <f>IF($K1101="","","R"&amp;$K1101)</f>
        <v/>
      </c>
      <c r="M1101" s="34" t="str">
        <f>IF($J1101=FALSE(),"",IF(발주접수!$F112="세트",IFERROR(INDEX(세트구성!$C$3:$C$302,MATCH(발주접수!$D112&amp;"|"&amp;6,세트구성!$G$3:$G$302,0)),""),발주접수!$D112))</f>
        <v/>
      </c>
      <c r="N1101" s="34" t="str">
        <f>IF($J1101=FALSE(),"",IF(발주접수!$F112="세트",발주접수!$G112*IFERROR(INDEX(세트구성!$E$3:$E$302,MATCH(발주접수!$D112&amp;"|"&amp;6,세트구성!$G$3:$G$302,0)),0),발주접수!$G112))</f>
        <v/>
      </c>
      <c r="O1101" s="34" t="str">
        <f>IF($J1101=FALSE(),"",발주접수!$B112)</f>
        <v/>
      </c>
      <c r="P1101" s="34" t="str">
        <f>IF($J1101=FALSE(),"",발주접수!$C112)</f>
        <v/>
      </c>
      <c r="Q1101" s="34" t="str">
        <f>IF($J1101=FALSE(),"",IF(발주접수!$F112="세트",발주접수!$E112&amp;" 전개","직접 발주"))</f>
        <v/>
      </c>
    </row>
    <row r="1102" ht="15" customHeight="1" s="30">
      <c r="J1102" s="50" t="b">
        <f>IF(발주접수!$D112="",FALSE(),IF(발주접수!$F112="세트",COUNTIF(세트구성!$G$3:$G$302,발주접수!$D112&amp;"|"&amp;7)&gt;0,6=0))</f>
        <v>0</v>
      </c>
      <c r="K1102" s="34" t="str">
        <f>IF($J1102=FALSE(),"",COUNTIF($J$6:$J1102,TRUE()))</f>
        <v/>
      </c>
      <c r="L1102" s="34" t="str">
        <f>IF($K1102="","","R"&amp;$K1102)</f>
        <v/>
      </c>
      <c r="M1102" s="34" t="str">
        <f>IF($J1102=FALSE(),"",IF(발주접수!$F112="세트",IFERROR(INDEX(세트구성!$C$3:$C$302,MATCH(발주접수!$D112&amp;"|"&amp;7,세트구성!$G$3:$G$302,0)),""),발주접수!$D112))</f>
        <v/>
      </c>
      <c r="N1102" s="34" t="str">
        <f>IF($J1102=FALSE(),"",IF(발주접수!$F112="세트",발주접수!$G112*IFERROR(INDEX(세트구성!$E$3:$E$302,MATCH(발주접수!$D112&amp;"|"&amp;7,세트구성!$G$3:$G$302,0)),0),발주접수!$G112))</f>
        <v/>
      </c>
      <c r="O1102" s="34" t="str">
        <f>IF($J1102=FALSE(),"",발주접수!$B112)</f>
        <v/>
      </c>
      <c r="P1102" s="34" t="str">
        <f>IF($J1102=FALSE(),"",발주접수!$C112)</f>
        <v/>
      </c>
      <c r="Q1102" s="34" t="str">
        <f>IF($J1102=FALSE(),"",IF(발주접수!$F112="세트",발주접수!$E112&amp;" 전개","직접 발주"))</f>
        <v/>
      </c>
    </row>
    <row r="1103" ht="15" customHeight="1" s="30">
      <c r="J1103" s="50" t="b">
        <f>IF(발주접수!$D112="",FALSE(),IF(발주접수!$F112="세트",COUNTIF(세트구성!$G$3:$G$302,발주접수!$D112&amp;"|"&amp;8)&gt;0,7=0))</f>
        <v>0</v>
      </c>
      <c r="K1103" s="34" t="str">
        <f>IF($J1103=FALSE(),"",COUNTIF($J$6:$J1103,TRUE()))</f>
        <v/>
      </c>
      <c r="L1103" s="34" t="str">
        <f>IF($K1103="","","R"&amp;$K1103)</f>
        <v/>
      </c>
      <c r="M1103" s="34" t="str">
        <f>IF($J1103=FALSE(),"",IF(발주접수!$F112="세트",IFERROR(INDEX(세트구성!$C$3:$C$302,MATCH(발주접수!$D112&amp;"|"&amp;8,세트구성!$G$3:$G$302,0)),""),발주접수!$D112))</f>
        <v/>
      </c>
      <c r="N1103" s="34" t="str">
        <f>IF($J1103=FALSE(),"",IF(발주접수!$F112="세트",발주접수!$G112*IFERROR(INDEX(세트구성!$E$3:$E$302,MATCH(발주접수!$D112&amp;"|"&amp;8,세트구성!$G$3:$G$302,0)),0),발주접수!$G112))</f>
        <v/>
      </c>
      <c r="O1103" s="34" t="str">
        <f>IF($J1103=FALSE(),"",발주접수!$B112)</f>
        <v/>
      </c>
      <c r="P1103" s="34" t="str">
        <f>IF($J1103=FALSE(),"",발주접수!$C112)</f>
        <v/>
      </c>
      <c r="Q1103" s="34" t="str">
        <f>IF($J1103=FALSE(),"",IF(발주접수!$F112="세트",발주접수!$E112&amp;" 전개","직접 발주"))</f>
        <v/>
      </c>
    </row>
    <row r="1104" ht="15" customHeight="1" s="30">
      <c r="J1104" s="50" t="b">
        <f>IF(발주접수!$D112="",FALSE(),IF(발주접수!$F112="세트",COUNTIF(세트구성!$G$3:$G$302,발주접수!$D112&amp;"|"&amp;9)&gt;0,8=0))</f>
        <v>0</v>
      </c>
      <c r="K1104" s="34" t="str">
        <f>IF($J1104=FALSE(),"",COUNTIF($J$6:$J1104,TRUE()))</f>
        <v/>
      </c>
      <c r="L1104" s="34" t="str">
        <f>IF($K1104="","","R"&amp;$K1104)</f>
        <v/>
      </c>
      <c r="M1104" s="34" t="str">
        <f>IF($J1104=FALSE(),"",IF(발주접수!$F112="세트",IFERROR(INDEX(세트구성!$C$3:$C$302,MATCH(발주접수!$D112&amp;"|"&amp;9,세트구성!$G$3:$G$302,0)),""),발주접수!$D112))</f>
        <v/>
      </c>
      <c r="N1104" s="34" t="str">
        <f>IF($J1104=FALSE(),"",IF(발주접수!$F112="세트",발주접수!$G112*IFERROR(INDEX(세트구성!$E$3:$E$302,MATCH(발주접수!$D112&amp;"|"&amp;9,세트구성!$G$3:$G$302,0)),0),발주접수!$G112))</f>
        <v/>
      </c>
      <c r="O1104" s="34" t="str">
        <f>IF($J1104=FALSE(),"",발주접수!$B112)</f>
        <v/>
      </c>
      <c r="P1104" s="34" t="str">
        <f>IF($J1104=FALSE(),"",발주접수!$C112)</f>
        <v/>
      </c>
      <c r="Q1104" s="34" t="str">
        <f>IF($J1104=FALSE(),"",IF(발주접수!$F112="세트",발주접수!$E112&amp;" 전개","직접 발주"))</f>
        <v/>
      </c>
    </row>
    <row r="1105" ht="15" customHeight="1" s="30">
      <c r="J1105" s="50" t="b">
        <f>IF(발주접수!$D112="",FALSE(),IF(발주접수!$F112="세트",COUNTIF(세트구성!$G$3:$G$302,발주접수!$D112&amp;"|"&amp;10)&gt;0,9=0))</f>
        <v>0</v>
      </c>
      <c r="K1105" s="34" t="str">
        <f>IF($J1105=FALSE(),"",COUNTIF($J$6:$J1105,TRUE()))</f>
        <v/>
      </c>
      <c r="L1105" s="34" t="str">
        <f>IF($K1105="","","R"&amp;$K1105)</f>
        <v/>
      </c>
      <c r="M1105" s="34" t="str">
        <f>IF($J1105=FALSE(),"",IF(발주접수!$F112="세트",IFERROR(INDEX(세트구성!$C$3:$C$302,MATCH(발주접수!$D112&amp;"|"&amp;10,세트구성!$G$3:$G$302,0)),""),발주접수!$D112))</f>
        <v/>
      </c>
      <c r="N1105" s="34" t="str">
        <f>IF($J1105=FALSE(),"",IF(발주접수!$F112="세트",발주접수!$G112*IFERROR(INDEX(세트구성!$E$3:$E$302,MATCH(발주접수!$D112&amp;"|"&amp;10,세트구성!$G$3:$G$302,0)),0),발주접수!$G112))</f>
        <v/>
      </c>
      <c r="O1105" s="34" t="str">
        <f>IF($J1105=FALSE(),"",발주접수!$B112)</f>
        <v/>
      </c>
      <c r="P1105" s="34" t="str">
        <f>IF($J1105=FALSE(),"",발주접수!$C112)</f>
        <v/>
      </c>
      <c r="Q1105" s="34" t="str">
        <f>IF($J1105=FALSE(),"",IF(발주접수!$F112="세트",발주접수!$E112&amp;" 전개","직접 발주"))</f>
        <v/>
      </c>
    </row>
    <row r="1106" ht="15" customHeight="1" s="30">
      <c r="J1106" s="50" t="b">
        <f>IF(발주접수!$D113="",FALSE(),IF(발주접수!$F113="세트",COUNTIF(세트구성!$G$3:$G$302,발주접수!$D113&amp;"|"&amp;1)&gt;0,0=0))</f>
        <v>0</v>
      </c>
      <c r="K1106" s="34" t="str">
        <f>IF($J1106=FALSE(),"",COUNTIF($J$6:$J1106,TRUE()))</f>
        <v/>
      </c>
      <c r="L1106" s="34" t="str">
        <f>IF($K1106="","","R"&amp;$K1106)</f>
        <v/>
      </c>
      <c r="M1106" s="34" t="str">
        <f>IF($J1106=FALSE(),"",IF(발주접수!$F113="세트",IFERROR(INDEX(세트구성!$C$3:$C$302,MATCH(발주접수!$D113&amp;"|"&amp;1,세트구성!$G$3:$G$302,0)),""),발주접수!$D113))</f>
        <v/>
      </c>
      <c r="N1106" s="34" t="str">
        <f>IF($J1106=FALSE(),"",IF(발주접수!$F113="세트",발주접수!$G113*IFERROR(INDEX(세트구성!$E$3:$E$302,MATCH(발주접수!$D113&amp;"|"&amp;1,세트구성!$G$3:$G$302,0)),0),발주접수!$G113))</f>
        <v/>
      </c>
      <c r="O1106" s="34" t="str">
        <f>IF($J1106=FALSE(),"",발주접수!$B113)</f>
        <v/>
      </c>
      <c r="P1106" s="34" t="str">
        <f>IF($J1106=FALSE(),"",발주접수!$C113)</f>
        <v/>
      </c>
      <c r="Q1106" s="34" t="str">
        <f>IF($J1106=FALSE(),"",IF(발주접수!$F113="세트",발주접수!$E113&amp;" 전개","직접 발주"))</f>
        <v/>
      </c>
    </row>
    <row r="1107" ht="15" customHeight="1" s="30">
      <c r="J1107" s="50" t="b">
        <f>IF(발주접수!$D113="",FALSE(),IF(발주접수!$F113="세트",COUNTIF(세트구성!$G$3:$G$302,발주접수!$D113&amp;"|"&amp;2)&gt;0,1=0))</f>
        <v>0</v>
      </c>
      <c r="K1107" s="34" t="str">
        <f>IF($J1107=FALSE(),"",COUNTIF($J$6:$J1107,TRUE()))</f>
        <v/>
      </c>
      <c r="L1107" s="34" t="str">
        <f>IF($K1107="","","R"&amp;$K1107)</f>
        <v/>
      </c>
      <c r="M1107" s="34" t="str">
        <f>IF($J1107=FALSE(),"",IF(발주접수!$F113="세트",IFERROR(INDEX(세트구성!$C$3:$C$302,MATCH(발주접수!$D113&amp;"|"&amp;2,세트구성!$G$3:$G$302,0)),""),발주접수!$D113))</f>
        <v/>
      </c>
      <c r="N1107" s="34" t="str">
        <f>IF($J1107=FALSE(),"",IF(발주접수!$F113="세트",발주접수!$G113*IFERROR(INDEX(세트구성!$E$3:$E$302,MATCH(발주접수!$D113&amp;"|"&amp;2,세트구성!$G$3:$G$302,0)),0),발주접수!$G113))</f>
        <v/>
      </c>
      <c r="O1107" s="34" t="str">
        <f>IF($J1107=FALSE(),"",발주접수!$B113)</f>
        <v/>
      </c>
      <c r="P1107" s="34" t="str">
        <f>IF($J1107=FALSE(),"",발주접수!$C113)</f>
        <v/>
      </c>
      <c r="Q1107" s="34" t="str">
        <f>IF($J1107=FALSE(),"",IF(발주접수!$F113="세트",발주접수!$E113&amp;" 전개","직접 발주"))</f>
        <v/>
      </c>
    </row>
    <row r="1108" ht="15" customHeight="1" s="30">
      <c r="J1108" s="50" t="b">
        <f>IF(발주접수!$D113="",FALSE(),IF(발주접수!$F113="세트",COUNTIF(세트구성!$G$3:$G$302,발주접수!$D113&amp;"|"&amp;3)&gt;0,2=0))</f>
        <v>0</v>
      </c>
      <c r="K1108" s="34" t="str">
        <f>IF($J1108=FALSE(),"",COUNTIF($J$6:$J1108,TRUE()))</f>
        <v/>
      </c>
      <c r="L1108" s="34" t="str">
        <f>IF($K1108="","","R"&amp;$K1108)</f>
        <v/>
      </c>
      <c r="M1108" s="34" t="str">
        <f>IF($J1108=FALSE(),"",IF(발주접수!$F113="세트",IFERROR(INDEX(세트구성!$C$3:$C$302,MATCH(발주접수!$D113&amp;"|"&amp;3,세트구성!$G$3:$G$302,0)),""),발주접수!$D113))</f>
        <v/>
      </c>
      <c r="N1108" s="34" t="str">
        <f>IF($J1108=FALSE(),"",IF(발주접수!$F113="세트",발주접수!$G113*IFERROR(INDEX(세트구성!$E$3:$E$302,MATCH(발주접수!$D113&amp;"|"&amp;3,세트구성!$G$3:$G$302,0)),0),발주접수!$G113))</f>
        <v/>
      </c>
      <c r="O1108" s="34" t="str">
        <f>IF($J1108=FALSE(),"",발주접수!$B113)</f>
        <v/>
      </c>
      <c r="P1108" s="34" t="str">
        <f>IF($J1108=FALSE(),"",발주접수!$C113)</f>
        <v/>
      </c>
      <c r="Q1108" s="34" t="str">
        <f>IF($J1108=FALSE(),"",IF(발주접수!$F113="세트",발주접수!$E113&amp;" 전개","직접 발주"))</f>
        <v/>
      </c>
    </row>
    <row r="1109" ht="15" customHeight="1" s="30">
      <c r="J1109" s="50" t="b">
        <f>IF(발주접수!$D113="",FALSE(),IF(발주접수!$F113="세트",COUNTIF(세트구성!$G$3:$G$302,발주접수!$D113&amp;"|"&amp;4)&gt;0,3=0))</f>
        <v>0</v>
      </c>
      <c r="K1109" s="34" t="str">
        <f>IF($J1109=FALSE(),"",COUNTIF($J$6:$J1109,TRUE()))</f>
        <v/>
      </c>
      <c r="L1109" s="34" t="str">
        <f>IF($K1109="","","R"&amp;$K1109)</f>
        <v/>
      </c>
      <c r="M1109" s="34" t="str">
        <f>IF($J1109=FALSE(),"",IF(발주접수!$F113="세트",IFERROR(INDEX(세트구성!$C$3:$C$302,MATCH(발주접수!$D113&amp;"|"&amp;4,세트구성!$G$3:$G$302,0)),""),발주접수!$D113))</f>
        <v/>
      </c>
      <c r="N1109" s="34" t="str">
        <f>IF($J1109=FALSE(),"",IF(발주접수!$F113="세트",발주접수!$G113*IFERROR(INDEX(세트구성!$E$3:$E$302,MATCH(발주접수!$D113&amp;"|"&amp;4,세트구성!$G$3:$G$302,0)),0),발주접수!$G113))</f>
        <v/>
      </c>
      <c r="O1109" s="34" t="str">
        <f>IF($J1109=FALSE(),"",발주접수!$B113)</f>
        <v/>
      </c>
      <c r="P1109" s="34" t="str">
        <f>IF($J1109=FALSE(),"",발주접수!$C113)</f>
        <v/>
      </c>
      <c r="Q1109" s="34" t="str">
        <f>IF($J1109=FALSE(),"",IF(발주접수!$F113="세트",발주접수!$E113&amp;" 전개","직접 발주"))</f>
        <v/>
      </c>
    </row>
    <row r="1110" ht="15" customHeight="1" s="30">
      <c r="J1110" s="50" t="b">
        <f>IF(발주접수!$D113="",FALSE(),IF(발주접수!$F113="세트",COUNTIF(세트구성!$G$3:$G$302,발주접수!$D113&amp;"|"&amp;5)&gt;0,4=0))</f>
        <v>0</v>
      </c>
      <c r="K1110" s="34" t="str">
        <f>IF($J1110=FALSE(),"",COUNTIF($J$6:$J1110,TRUE()))</f>
        <v/>
      </c>
      <c r="L1110" s="34" t="str">
        <f>IF($K1110="","","R"&amp;$K1110)</f>
        <v/>
      </c>
      <c r="M1110" s="34" t="str">
        <f>IF($J1110=FALSE(),"",IF(발주접수!$F113="세트",IFERROR(INDEX(세트구성!$C$3:$C$302,MATCH(발주접수!$D113&amp;"|"&amp;5,세트구성!$G$3:$G$302,0)),""),발주접수!$D113))</f>
        <v/>
      </c>
      <c r="N1110" s="34" t="str">
        <f>IF($J1110=FALSE(),"",IF(발주접수!$F113="세트",발주접수!$G113*IFERROR(INDEX(세트구성!$E$3:$E$302,MATCH(발주접수!$D113&amp;"|"&amp;5,세트구성!$G$3:$G$302,0)),0),발주접수!$G113))</f>
        <v/>
      </c>
      <c r="O1110" s="34" t="str">
        <f>IF($J1110=FALSE(),"",발주접수!$B113)</f>
        <v/>
      </c>
      <c r="P1110" s="34" t="str">
        <f>IF($J1110=FALSE(),"",발주접수!$C113)</f>
        <v/>
      </c>
      <c r="Q1110" s="34" t="str">
        <f>IF($J1110=FALSE(),"",IF(발주접수!$F113="세트",발주접수!$E113&amp;" 전개","직접 발주"))</f>
        <v/>
      </c>
    </row>
    <row r="1111" ht="15" customHeight="1" s="30">
      <c r="J1111" s="50" t="b">
        <f>IF(발주접수!$D113="",FALSE(),IF(발주접수!$F113="세트",COUNTIF(세트구성!$G$3:$G$302,발주접수!$D113&amp;"|"&amp;6)&gt;0,5=0))</f>
        <v>0</v>
      </c>
      <c r="K1111" s="34" t="str">
        <f>IF($J1111=FALSE(),"",COUNTIF($J$6:$J1111,TRUE()))</f>
        <v/>
      </c>
      <c r="L1111" s="34" t="str">
        <f>IF($K1111="","","R"&amp;$K1111)</f>
        <v/>
      </c>
      <c r="M1111" s="34" t="str">
        <f>IF($J1111=FALSE(),"",IF(발주접수!$F113="세트",IFERROR(INDEX(세트구성!$C$3:$C$302,MATCH(발주접수!$D113&amp;"|"&amp;6,세트구성!$G$3:$G$302,0)),""),발주접수!$D113))</f>
        <v/>
      </c>
      <c r="N1111" s="34" t="str">
        <f>IF($J1111=FALSE(),"",IF(발주접수!$F113="세트",발주접수!$G113*IFERROR(INDEX(세트구성!$E$3:$E$302,MATCH(발주접수!$D113&amp;"|"&amp;6,세트구성!$G$3:$G$302,0)),0),발주접수!$G113))</f>
        <v/>
      </c>
      <c r="O1111" s="34" t="str">
        <f>IF($J1111=FALSE(),"",발주접수!$B113)</f>
        <v/>
      </c>
      <c r="P1111" s="34" t="str">
        <f>IF($J1111=FALSE(),"",발주접수!$C113)</f>
        <v/>
      </c>
      <c r="Q1111" s="34" t="str">
        <f>IF($J1111=FALSE(),"",IF(발주접수!$F113="세트",발주접수!$E113&amp;" 전개","직접 발주"))</f>
        <v/>
      </c>
    </row>
    <row r="1112" ht="15" customHeight="1" s="30">
      <c r="J1112" s="50" t="b">
        <f>IF(발주접수!$D113="",FALSE(),IF(발주접수!$F113="세트",COUNTIF(세트구성!$G$3:$G$302,발주접수!$D113&amp;"|"&amp;7)&gt;0,6=0))</f>
        <v>0</v>
      </c>
      <c r="K1112" s="34" t="str">
        <f>IF($J1112=FALSE(),"",COUNTIF($J$6:$J1112,TRUE()))</f>
        <v/>
      </c>
      <c r="L1112" s="34" t="str">
        <f>IF($K1112="","","R"&amp;$K1112)</f>
        <v/>
      </c>
      <c r="M1112" s="34" t="str">
        <f>IF($J1112=FALSE(),"",IF(발주접수!$F113="세트",IFERROR(INDEX(세트구성!$C$3:$C$302,MATCH(발주접수!$D113&amp;"|"&amp;7,세트구성!$G$3:$G$302,0)),""),발주접수!$D113))</f>
        <v/>
      </c>
      <c r="N1112" s="34" t="str">
        <f>IF($J1112=FALSE(),"",IF(발주접수!$F113="세트",발주접수!$G113*IFERROR(INDEX(세트구성!$E$3:$E$302,MATCH(발주접수!$D113&amp;"|"&amp;7,세트구성!$G$3:$G$302,0)),0),발주접수!$G113))</f>
        <v/>
      </c>
      <c r="O1112" s="34" t="str">
        <f>IF($J1112=FALSE(),"",발주접수!$B113)</f>
        <v/>
      </c>
      <c r="P1112" s="34" t="str">
        <f>IF($J1112=FALSE(),"",발주접수!$C113)</f>
        <v/>
      </c>
      <c r="Q1112" s="34" t="str">
        <f>IF($J1112=FALSE(),"",IF(발주접수!$F113="세트",발주접수!$E113&amp;" 전개","직접 발주"))</f>
        <v/>
      </c>
    </row>
    <row r="1113" ht="15" customHeight="1" s="30">
      <c r="J1113" s="50" t="b">
        <f>IF(발주접수!$D113="",FALSE(),IF(발주접수!$F113="세트",COUNTIF(세트구성!$G$3:$G$302,발주접수!$D113&amp;"|"&amp;8)&gt;0,7=0))</f>
        <v>0</v>
      </c>
      <c r="K1113" s="34" t="str">
        <f>IF($J1113=FALSE(),"",COUNTIF($J$6:$J1113,TRUE()))</f>
        <v/>
      </c>
      <c r="L1113" s="34" t="str">
        <f>IF($K1113="","","R"&amp;$K1113)</f>
        <v/>
      </c>
      <c r="M1113" s="34" t="str">
        <f>IF($J1113=FALSE(),"",IF(발주접수!$F113="세트",IFERROR(INDEX(세트구성!$C$3:$C$302,MATCH(발주접수!$D113&amp;"|"&amp;8,세트구성!$G$3:$G$302,0)),""),발주접수!$D113))</f>
        <v/>
      </c>
      <c r="N1113" s="34" t="str">
        <f>IF($J1113=FALSE(),"",IF(발주접수!$F113="세트",발주접수!$G113*IFERROR(INDEX(세트구성!$E$3:$E$302,MATCH(발주접수!$D113&amp;"|"&amp;8,세트구성!$G$3:$G$302,0)),0),발주접수!$G113))</f>
        <v/>
      </c>
      <c r="O1113" s="34" t="str">
        <f>IF($J1113=FALSE(),"",발주접수!$B113)</f>
        <v/>
      </c>
      <c r="P1113" s="34" t="str">
        <f>IF($J1113=FALSE(),"",발주접수!$C113)</f>
        <v/>
      </c>
      <c r="Q1113" s="34" t="str">
        <f>IF($J1113=FALSE(),"",IF(발주접수!$F113="세트",발주접수!$E113&amp;" 전개","직접 발주"))</f>
        <v/>
      </c>
    </row>
    <row r="1114" ht="15" customHeight="1" s="30">
      <c r="J1114" s="50" t="b">
        <f>IF(발주접수!$D113="",FALSE(),IF(발주접수!$F113="세트",COUNTIF(세트구성!$G$3:$G$302,발주접수!$D113&amp;"|"&amp;9)&gt;0,8=0))</f>
        <v>0</v>
      </c>
      <c r="K1114" s="34" t="str">
        <f>IF($J1114=FALSE(),"",COUNTIF($J$6:$J1114,TRUE()))</f>
        <v/>
      </c>
      <c r="L1114" s="34" t="str">
        <f>IF($K1114="","","R"&amp;$K1114)</f>
        <v/>
      </c>
      <c r="M1114" s="34" t="str">
        <f>IF($J1114=FALSE(),"",IF(발주접수!$F113="세트",IFERROR(INDEX(세트구성!$C$3:$C$302,MATCH(발주접수!$D113&amp;"|"&amp;9,세트구성!$G$3:$G$302,0)),""),발주접수!$D113))</f>
        <v/>
      </c>
      <c r="N1114" s="34" t="str">
        <f>IF($J1114=FALSE(),"",IF(발주접수!$F113="세트",발주접수!$G113*IFERROR(INDEX(세트구성!$E$3:$E$302,MATCH(발주접수!$D113&amp;"|"&amp;9,세트구성!$G$3:$G$302,0)),0),발주접수!$G113))</f>
        <v/>
      </c>
      <c r="O1114" s="34" t="str">
        <f>IF($J1114=FALSE(),"",발주접수!$B113)</f>
        <v/>
      </c>
      <c r="P1114" s="34" t="str">
        <f>IF($J1114=FALSE(),"",발주접수!$C113)</f>
        <v/>
      </c>
      <c r="Q1114" s="34" t="str">
        <f>IF($J1114=FALSE(),"",IF(발주접수!$F113="세트",발주접수!$E113&amp;" 전개","직접 발주"))</f>
        <v/>
      </c>
    </row>
    <row r="1115" ht="15" customHeight="1" s="30">
      <c r="J1115" s="50" t="b">
        <f>IF(발주접수!$D113="",FALSE(),IF(발주접수!$F113="세트",COUNTIF(세트구성!$G$3:$G$302,발주접수!$D113&amp;"|"&amp;10)&gt;0,9=0))</f>
        <v>0</v>
      </c>
      <c r="K1115" s="34" t="str">
        <f>IF($J1115=FALSE(),"",COUNTIF($J$6:$J1115,TRUE()))</f>
        <v/>
      </c>
      <c r="L1115" s="34" t="str">
        <f>IF($K1115="","","R"&amp;$K1115)</f>
        <v/>
      </c>
      <c r="M1115" s="34" t="str">
        <f>IF($J1115=FALSE(),"",IF(발주접수!$F113="세트",IFERROR(INDEX(세트구성!$C$3:$C$302,MATCH(발주접수!$D113&amp;"|"&amp;10,세트구성!$G$3:$G$302,0)),""),발주접수!$D113))</f>
        <v/>
      </c>
      <c r="N1115" s="34" t="str">
        <f>IF($J1115=FALSE(),"",IF(발주접수!$F113="세트",발주접수!$G113*IFERROR(INDEX(세트구성!$E$3:$E$302,MATCH(발주접수!$D113&amp;"|"&amp;10,세트구성!$G$3:$G$302,0)),0),발주접수!$G113))</f>
        <v/>
      </c>
      <c r="O1115" s="34" t="str">
        <f>IF($J1115=FALSE(),"",발주접수!$B113)</f>
        <v/>
      </c>
      <c r="P1115" s="34" t="str">
        <f>IF($J1115=FALSE(),"",발주접수!$C113)</f>
        <v/>
      </c>
      <c r="Q1115" s="34" t="str">
        <f>IF($J1115=FALSE(),"",IF(발주접수!$F113="세트",발주접수!$E113&amp;" 전개","직접 발주"))</f>
        <v/>
      </c>
    </row>
    <row r="1116" ht="15" customHeight="1" s="30">
      <c r="J1116" s="50" t="b">
        <f>IF(발주접수!$D114="",FALSE(),IF(발주접수!$F114="세트",COUNTIF(세트구성!$G$3:$G$302,발주접수!$D114&amp;"|"&amp;1)&gt;0,0=0))</f>
        <v>0</v>
      </c>
      <c r="K1116" s="34" t="str">
        <f>IF($J1116=FALSE(),"",COUNTIF($J$6:$J1116,TRUE()))</f>
        <v/>
      </c>
      <c r="L1116" s="34" t="str">
        <f>IF($K1116="","","R"&amp;$K1116)</f>
        <v/>
      </c>
      <c r="M1116" s="34" t="str">
        <f>IF($J1116=FALSE(),"",IF(발주접수!$F114="세트",IFERROR(INDEX(세트구성!$C$3:$C$302,MATCH(발주접수!$D114&amp;"|"&amp;1,세트구성!$G$3:$G$302,0)),""),발주접수!$D114))</f>
        <v/>
      </c>
      <c r="N1116" s="34" t="str">
        <f>IF($J1116=FALSE(),"",IF(발주접수!$F114="세트",발주접수!$G114*IFERROR(INDEX(세트구성!$E$3:$E$302,MATCH(발주접수!$D114&amp;"|"&amp;1,세트구성!$G$3:$G$302,0)),0),발주접수!$G114))</f>
        <v/>
      </c>
      <c r="O1116" s="34" t="str">
        <f>IF($J1116=FALSE(),"",발주접수!$B114)</f>
        <v/>
      </c>
      <c r="P1116" s="34" t="str">
        <f>IF($J1116=FALSE(),"",발주접수!$C114)</f>
        <v/>
      </c>
      <c r="Q1116" s="34" t="str">
        <f>IF($J1116=FALSE(),"",IF(발주접수!$F114="세트",발주접수!$E114&amp;" 전개","직접 발주"))</f>
        <v/>
      </c>
    </row>
    <row r="1117" ht="15" customHeight="1" s="30">
      <c r="J1117" s="50" t="b">
        <f>IF(발주접수!$D114="",FALSE(),IF(발주접수!$F114="세트",COUNTIF(세트구성!$G$3:$G$302,발주접수!$D114&amp;"|"&amp;2)&gt;0,1=0))</f>
        <v>0</v>
      </c>
      <c r="K1117" s="34" t="str">
        <f>IF($J1117=FALSE(),"",COUNTIF($J$6:$J1117,TRUE()))</f>
        <v/>
      </c>
      <c r="L1117" s="34" t="str">
        <f>IF($K1117="","","R"&amp;$K1117)</f>
        <v/>
      </c>
      <c r="M1117" s="34" t="str">
        <f>IF($J1117=FALSE(),"",IF(발주접수!$F114="세트",IFERROR(INDEX(세트구성!$C$3:$C$302,MATCH(발주접수!$D114&amp;"|"&amp;2,세트구성!$G$3:$G$302,0)),""),발주접수!$D114))</f>
        <v/>
      </c>
      <c r="N1117" s="34" t="str">
        <f>IF($J1117=FALSE(),"",IF(발주접수!$F114="세트",발주접수!$G114*IFERROR(INDEX(세트구성!$E$3:$E$302,MATCH(발주접수!$D114&amp;"|"&amp;2,세트구성!$G$3:$G$302,0)),0),발주접수!$G114))</f>
        <v/>
      </c>
      <c r="O1117" s="34" t="str">
        <f>IF($J1117=FALSE(),"",발주접수!$B114)</f>
        <v/>
      </c>
      <c r="P1117" s="34" t="str">
        <f>IF($J1117=FALSE(),"",발주접수!$C114)</f>
        <v/>
      </c>
      <c r="Q1117" s="34" t="str">
        <f>IF($J1117=FALSE(),"",IF(발주접수!$F114="세트",발주접수!$E114&amp;" 전개","직접 발주"))</f>
        <v/>
      </c>
    </row>
    <row r="1118" ht="15" customHeight="1" s="30">
      <c r="J1118" s="50" t="b">
        <f>IF(발주접수!$D114="",FALSE(),IF(발주접수!$F114="세트",COUNTIF(세트구성!$G$3:$G$302,발주접수!$D114&amp;"|"&amp;3)&gt;0,2=0))</f>
        <v>0</v>
      </c>
      <c r="K1118" s="34" t="str">
        <f>IF($J1118=FALSE(),"",COUNTIF($J$6:$J1118,TRUE()))</f>
        <v/>
      </c>
      <c r="L1118" s="34" t="str">
        <f>IF($K1118="","","R"&amp;$K1118)</f>
        <v/>
      </c>
      <c r="M1118" s="34" t="str">
        <f>IF($J1118=FALSE(),"",IF(발주접수!$F114="세트",IFERROR(INDEX(세트구성!$C$3:$C$302,MATCH(발주접수!$D114&amp;"|"&amp;3,세트구성!$G$3:$G$302,0)),""),발주접수!$D114))</f>
        <v/>
      </c>
      <c r="N1118" s="34" t="str">
        <f>IF($J1118=FALSE(),"",IF(발주접수!$F114="세트",발주접수!$G114*IFERROR(INDEX(세트구성!$E$3:$E$302,MATCH(발주접수!$D114&amp;"|"&amp;3,세트구성!$G$3:$G$302,0)),0),발주접수!$G114))</f>
        <v/>
      </c>
      <c r="O1118" s="34" t="str">
        <f>IF($J1118=FALSE(),"",발주접수!$B114)</f>
        <v/>
      </c>
      <c r="P1118" s="34" t="str">
        <f>IF($J1118=FALSE(),"",발주접수!$C114)</f>
        <v/>
      </c>
      <c r="Q1118" s="34" t="str">
        <f>IF($J1118=FALSE(),"",IF(발주접수!$F114="세트",발주접수!$E114&amp;" 전개","직접 발주"))</f>
        <v/>
      </c>
    </row>
    <row r="1119" ht="15" customHeight="1" s="30">
      <c r="J1119" s="50" t="b">
        <f>IF(발주접수!$D114="",FALSE(),IF(발주접수!$F114="세트",COUNTIF(세트구성!$G$3:$G$302,발주접수!$D114&amp;"|"&amp;4)&gt;0,3=0))</f>
        <v>0</v>
      </c>
      <c r="K1119" s="34" t="str">
        <f>IF($J1119=FALSE(),"",COUNTIF($J$6:$J1119,TRUE()))</f>
        <v/>
      </c>
      <c r="L1119" s="34" t="str">
        <f>IF($K1119="","","R"&amp;$K1119)</f>
        <v/>
      </c>
      <c r="M1119" s="34" t="str">
        <f>IF($J1119=FALSE(),"",IF(발주접수!$F114="세트",IFERROR(INDEX(세트구성!$C$3:$C$302,MATCH(발주접수!$D114&amp;"|"&amp;4,세트구성!$G$3:$G$302,0)),""),발주접수!$D114))</f>
        <v/>
      </c>
      <c r="N1119" s="34" t="str">
        <f>IF($J1119=FALSE(),"",IF(발주접수!$F114="세트",발주접수!$G114*IFERROR(INDEX(세트구성!$E$3:$E$302,MATCH(발주접수!$D114&amp;"|"&amp;4,세트구성!$G$3:$G$302,0)),0),발주접수!$G114))</f>
        <v/>
      </c>
      <c r="O1119" s="34" t="str">
        <f>IF($J1119=FALSE(),"",발주접수!$B114)</f>
        <v/>
      </c>
      <c r="P1119" s="34" t="str">
        <f>IF($J1119=FALSE(),"",발주접수!$C114)</f>
        <v/>
      </c>
      <c r="Q1119" s="34" t="str">
        <f>IF($J1119=FALSE(),"",IF(발주접수!$F114="세트",발주접수!$E114&amp;" 전개","직접 발주"))</f>
        <v/>
      </c>
    </row>
    <row r="1120" ht="15" customHeight="1" s="30">
      <c r="J1120" s="50" t="b">
        <f>IF(발주접수!$D114="",FALSE(),IF(발주접수!$F114="세트",COUNTIF(세트구성!$G$3:$G$302,발주접수!$D114&amp;"|"&amp;5)&gt;0,4=0))</f>
        <v>0</v>
      </c>
      <c r="K1120" s="34" t="str">
        <f>IF($J1120=FALSE(),"",COUNTIF($J$6:$J1120,TRUE()))</f>
        <v/>
      </c>
      <c r="L1120" s="34" t="str">
        <f>IF($K1120="","","R"&amp;$K1120)</f>
        <v/>
      </c>
      <c r="M1120" s="34" t="str">
        <f>IF($J1120=FALSE(),"",IF(발주접수!$F114="세트",IFERROR(INDEX(세트구성!$C$3:$C$302,MATCH(발주접수!$D114&amp;"|"&amp;5,세트구성!$G$3:$G$302,0)),""),발주접수!$D114))</f>
        <v/>
      </c>
      <c r="N1120" s="34" t="str">
        <f>IF($J1120=FALSE(),"",IF(발주접수!$F114="세트",발주접수!$G114*IFERROR(INDEX(세트구성!$E$3:$E$302,MATCH(발주접수!$D114&amp;"|"&amp;5,세트구성!$G$3:$G$302,0)),0),발주접수!$G114))</f>
        <v/>
      </c>
      <c r="O1120" s="34" t="str">
        <f>IF($J1120=FALSE(),"",발주접수!$B114)</f>
        <v/>
      </c>
      <c r="P1120" s="34" t="str">
        <f>IF($J1120=FALSE(),"",발주접수!$C114)</f>
        <v/>
      </c>
      <c r="Q1120" s="34" t="str">
        <f>IF($J1120=FALSE(),"",IF(발주접수!$F114="세트",발주접수!$E114&amp;" 전개","직접 발주"))</f>
        <v/>
      </c>
    </row>
    <row r="1121" ht="15" customHeight="1" s="30">
      <c r="J1121" s="50" t="b">
        <f>IF(발주접수!$D114="",FALSE(),IF(발주접수!$F114="세트",COUNTIF(세트구성!$G$3:$G$302,발주접수!$D114&amp;"|"&amp;6)&gt;0,5=0))</f>
        <v>0</v>
      </c>
      <c r="K1121" s="34" t="str">
        <f>IF($J1121=FALSE(),"",COUNTIF($J$6:$J1121,TRUE()))</f>
        <v/>
      </c>
      <c r="L1121" s="34" t="str">
        <f>IF($K1121="","","R"&amp;$K1121)</f>
        <v/>
      </c>
      <c r="M1121" s="34" t="str">
        <f>IF($J1121=FALSE(),"",IF(발주접수!$F114="세트",IFERROR(INDEX(세트구성!$C$3:$C$302,MATCH(발주접수!$D114&amp;"|"&amp;6,세트구성!$G$3:$G$302,0)),""),발주접수!$D114))</f>
        <v/>
      </c>
      <c r="N1121" s="34" t="str">
        <f>IF($J1121=FALSE(),"",IF(발주접수!$F114="세트",발주접수!$G114*IFERROR(INDEX(세트구성!$E$3:$E$302,MATCH(발주접수!$D114&amp;"|"&amp;6,세트구성!$G$3:$G$302,0)),0),발주접수!$G114))</f>
        <v/>
      </c>
      <c r="O1121" s="34" t="str">
        <f>IF($J1121=FALSE(),"",발주접수!$B114)</f>
        <v/>
      </c>
      <c r="P1121" s="34" t="str">
        <f>IF($J1121=FALSE(),"",발주접수!$C114)</f>
        <v/>
      </c>
      <c r="Q1121" s="34" t="str">
        <f>IF($J1121=FALSE(),"",IF(발주접수!$F114="세트",발주접수!$E114&amp;" 전개","직접 발주"))</f>
        <v/>
      </c>
    </row>
    <row r="1122" ht="15" customHeight="1" s="30">
      <c r="J1122" s="50" t="b">
        <f>IF(발주접수!$D114="",FALSE(),IF(발주접수!$F114="세트",COUNTIF(세트구성!$G$3:$G$302,발주접수!$D114&amp;"|"&amp;7)&gt;0,6=0))</f>
        <v>0</v>
      </c>
      <c r="K1122" s="34" t="str">
        <f>IF($J1122=FALSE(),"",COUNTIF($J$6:$J1122,TRUE()))</f>
        <v/>
      </c>
      <c r="L1122" s="34" t="str">
        <f>IF($K1122="","","R"&amp;$K1122)</f>
        <v/>
      </c>
      <c r="M1122" s="34" t="str">
        <f>IF($J1122=FALSE(),"",IF(발주접수!$F114="세트",IFERROR(INDEX(세트구성!$C$3:$C$302,MATCH(발주접수!$D114&amp;"|"&amp;7,세트구성!$G$3:$G$302,0)),""),발주접수!$D114))</f>
        <v/>
      </c>
      <c r="N1122" s="34" t="str">
        <f>IF($J1122=FALSE(),"",IF(발주접수!$F114="세트",발주접수!$G114*IFERROR(INDEX(세트구성!$E$3:$E$302,MATCH(발주접수!$D114&amp;"|"&amp;7,세트구성!$G$3:$G$302,0)),0),발주접수!$G114))</f>
        <v/>
      </c>
      <c r="O1122" s="34" t="str">
        <f>IF($J1122=FALSE(),"",발주접수!$B114)</f>
        <v/>
      </c>
      <c r="P1122" s="34" t="str">
        <f>IF($J1122=FALSE(),"",발주접수!$C114)</f>
        <v/>
      </c>
      <c r="Q1122" s="34" t="str">
        <f>IF($J1122=FALSE(),"",IF(발주접수!$F114="세트",발주접수!$E114&amp;" 전개","직접 발주"))</f>
        <v/>
      </c>
    </row>
    <row r="1123" ht="15" customHeight="1" s="30">
      <c r="J1123" s="50" t="b">
        <f>IF(발주접수!$D114="",FALSE(),IF(발주접수!$F114="세트",COUNTIF(세트구성!$G$3:$G$302,발주접수!$D114&amp;"|"&amp;8)&gt;0,7=0))</f>
        <v>0</v>
      </c>
      <c r="K1123" s="34" t="str">
        <f>IF($J1123=FALSE(),"",COUNTIF($J$6:$J1123,TRUE()))</f>
        <v/>
      </c>
      <c r="L1123" s="34" t="str">
        <f>IF($K1123="","","R"&amp;$K1123)</f>
        <v/>
      </c>
      <c r="M1123" s="34" t="str">
        <f>IF($J1123=FALSE(),"",IF(발주접수!$F114="세트",IFERROR(INDEX(세트구성!$C$3:$C$302,MATCH(발주접수!$D114&amp;"|"&amp;8,세트구성!$G$3:$G$302,0)),""),발주접수!$D114))</f>
        <v/>
      </c>
      <c r="N1123" s="34" t="str">
        <f>IF($J1123=FALSE(),"",IF(발주접수!$F114="세트",발주접수!$G114*IFERROR(INDEX(세트구성!$E$3:$E$302,MATCH(발주접수!$D114&amp;"|"&amp;8,세트구성!$G$3:$G$302,0)),0),발주접수!$G114))</f>
        <v/>
      </c>
      <c r="O1123" s="34" t="str">
        <f>IF($J1123=FALSE(),"",발주접수!$B114)</f>
        <v/>
      </c>
      <c r="P1123" s="34" t="str">
        <f>IF($J1123=FALSE(),"",발주접수!$C114)</f>
        <v/>
      </c>
      <c r="Q1123" s="34" t="str">
        <f>IF($J1123=FALSE(),"",IF(발주접수!$F114="세트",발주접수!$E114&amp;" 전개","직접 발주"))</f>
        <v/>
      </c>
    </row>
    <row r="1124" ht="15" customHeight="1" s="30">
      <c r="J1124" s="50" t="b">
        <f>IF(발주접수!$D114="",FALSE(),IF(발주접수!$F114="세트",COUNTIF(세트구성!$G$3:$G$302,발주접수!$D114&amp;"|"&amp;9)&gt;0,8=0))</f>
        <v>0</v>
      </c>
      <c r="K1124" s="34" t="str">
        <f>IF($J1124=FALSE(),"",COUNTIF($J$6:$J1124,TRUE()))</f>
        <v/>
      </c>
      <c r="L1124" s="34" t="str">
        <f>IF($K1124="","","R"&amp;$K1124)</f>
        <v/>
      </c>
      <c r="M1124" s="34" t="str">
        <f>IF($J1124=FALSE(),"",IF(발주접수!$F114="세트",IFERROR(INDEX(세트구성!$C$3:$C$302,MATCH(발주접수!$D114&amp;"|"&amp;9,세트구성!$G$3:$G$302,0)),""),발주접수!$D114))</f>
        <v/>
      </c>
      <c r="N1124" s="34" t="str">
        <f>IF($J1124=FALSE(),"",IF(발주접수!$F114="세트",발주접수!$G114*IFERROR(INDEX(세트구성!$E$3:$E$302,MATCH(발주접수!$D114&amp;"|"&amp;9,세트구성!$G$3:$G$302,0)),0),발주접수!$G114))</f>
        <v/>
      </c>
      <c r="O1124" s="34" t="str">
        <f>IF($J1124=FALSE(),"",발주접수!$B114)</f>
        <v/>
      </c>
      <c r="P1124" s="34" t="str">
        <f>IF($J1124=FALSE(),"",발주접수!$C114)</f>
        <v/>
      </c>
      <c r="Q1124" s="34" t="str">
        <f>IF($J1124=FALSE(),"",IF(발주접수!$F114="세트",발주접수!$E114&amp;" 전개","직접 발주"))</f>
        <v/>
      </c>
    </row>
    <row r="1125" ht="15" customHeight="1" s="30">
      <c r="J1125" s="50" t="b">
        <f>IF(발주접수!$D114="",FALSE(),IF(발주접수!$F114="세트",COUNTIF(세트구성!$G$3:$G$302,발주접수!$D114&amp;"|"&amp;10)&gt;0,9=0))</f>
        <v>0</v>
      </c>
      <c r="K1125" s="34" t="str">
        <f>IF($J1125=FALSE(),"",COUNTIF($J$6:$J1125,TRUE()))</f>
        <v/>
      </c>
      <c r="L1125" s="34" t="str">
        <f>IF($K1125="","","R"&amp;$K1125)</f>
        <v/>
      </c>
      <c r="M1125" s="34" t="str">
        <f>IF($J1125=FALSE(),"",IF(발주접수!$F114="세트",IFERROR(INDEX(세트구성!$C$3:$C$302,MATCH(발주접수!$D114&amp;"|"&amp;10,세트구성!$G$3:$G$302,0)),""),발주접수!$D114))</f>
        <v/>
      </c>
      <c r="N1125" s="34" t="str">
        <f>IF($J1125=FALSE(),"",IF(발주접수!$F114="세트",발주접수!$G114*IFERROR(INDEX(세트구성!$E$3:$E$302,MATCH(발주접수!$D114&amp;"|"&amp;10,세트구성!$G$3:$G$302,0)),0),발주접수!$G114))</f>
        <v/>
      </c>
      <c r="O1125" s="34" t="str">
        <f>IF($J1125=FALSE(),"",발주접수!$B114)</f>
        <v/>
      </c>
      <c r="P1125" s="34" t="str">
        <f>IF($J1125=FALSE(),"",발주접수!$C114)</f>
        <v/>
      </c>
      <c r="Q1125" s="34" t="str">
        <f>IF($J1125=FALSE(),"",IF(발주접수!$F114="세트",발주접수!$E114&amp;" 전개","직접 발주"))</f>
        <v/>
      </c>
    </row>
    <row r="1126" ht="15" customHeight="1" s="30">
      <c r="J1126" s="50" t="b">
        <f>IF(발주접수!$D115="",FALSE(),IF(발주접수!$F115="세트",COUNTIF(세트구성!$G$3:$G$302,발주접수!$D115&amp;"|"&amp;1)&gt;0,0=0))</f>
        <v>0</v>
      </c>
      <c r="K1126" s="34" t="str">
        <f>IF($J1126=FALSE(),"",COUNTIF($J$6:$J1126,TRUE()))</f>
        <v/>
      </c>
      <c r="L1126" s="34" t="str">
        <f>IF($K1126="","","R"&amp;$K1126)</f>
        <v/>
      </c>
      <c r="M1126" s="34" t="str">
        <f>IF($J1126=FALSE(),"",IF(발주접수!$F115="세트",IFERROR(INDEX(세트구성!$C$3:$C$302,MATCH(발주접수!$D115&amp;"|"&amp;1,세트구성!$G$3:$G$302,0)),""),발주접수!$D115))</f>
        <v/>
      </c>
      <c r="N1126" s="34" t="str">
        <f>IF($J1126=FALSE(),"",IF(발주접수!$F115="세트",발주접수!$G115*IFERROR(INDEX(세트구성!$E$3:$E$302,MATCH(발주접수!$D115&amp;"|"&amp;1,세트구성!$G$3:$G$302,0)),0),발주접수!$G115))</f>
        <v/>
      </c>
      <c r="O1126" s="34" t="str">
        <f>IF($J1126=FALSE(),"",발주접수!$B115)</f>
        <v/>
      </c>
      <c r="P1126" s="34" t="str">
        <f>IF($J1126=FALSE(),"",발주접수!$C115)</f>
        <v/>
      </c>
      <c r="Q1126" s="34" t="str">
        <f>IF($J1126=FALSE(),"",IF(발주접수!$F115="세트",발주접수!$E115&amp;" 전개","직접 발주"))</f>
        <v/>
      </c>
    </row>
    <row r="1127" ht="15" customHeight="1" s="30">
      <c r="J1127" s="50" t="b">
        <f>IF(발주접수!$D115="",FALSE(),IF(발주접수!$F115="세트",COUNTIF(세트구성!$G$3:$G$302,발주접수!$D115&amp;"|"&amp;2)&gt;0,1=0))</f>
        <v>0</v>
      </c>
      <c r="K1127" s="34" t="str">
        <f>IF($J1127=FALSE(),"",COUNTIF($J$6:$J1127,TRUE()))</f>
        <v/>
      </c>
      <c r="L1127" s="34" t="str">
        <f>IF($K1127="","","R"&amp;$K1127)</f>
        <v/>
      </c>
      <c r="M1127" s="34" t="str">
        <f>IF($J1127=FALSE(),"",IF(발주접수!$F115="세트",IFERROR(INDEX(세트구성!$C$3:$C$302,MATCH(발주접수!$D115&amp;"|"&amp;2,세트구성!$G$3:$G$302,0)),""),발주접수!$D115))</f>
        <v/>
      </c>
      <c r="N1127" s="34" t="str">
        <f>IF($J1127=FALSE(),"",IF(발주접수!$F115="세트",발주접수!$G115*IFERROR(INDEX(세트구성!$E$3:$E$302,MATCH(발주접수!$D115&amp;"|"&amp;2,세트구성!$G$3:$G$302,0)),0),발주접수!$G115))</f>
        <v/>
      </c>
      <c r="O1127" s="34" t="str">
        <f>IF($J1127=FALSE(),"",발주접수!$B115)</f>
        <v/>
      </c>
      <c r="P1127" s="34" t="str">
        <f>IF($J1127=FALSE(),"",발주접수!$C115)</f>
        <v/>
      </c>
      <c r="Q1127" s="34" t="str">
        <f>IF($J1127=FALSE(),"",IF(발주접수!$F115="세트",발주접수!$E115&amp;" 전개","직접 발주"))</f>
        <v/>
      </c>
    </row>
    <row r="1128" ht="15" customHeight="1" s="30">
      <c r="J1128" s="50" t="b">
        <f>IF(발주접수!$D115="",FALSE(),IF(발주접수!$F115="세트",COUNTIF(세트구성!$G$3:$G$302,발주접수!$D115&amp;"|"&amp;3)&gt;0,2=0))</f>
        <v>0</v>
      </c>
      <c r="K1128" s="34" t="str">
        <f>IF($J1128=FALSE(),"",COUNTIF($J$6:$J1128,TRUE()))</f>
        <v/>
      </c>
      <c r="L1128" s="34" t="str">
        <f>IF($K1128="","","R"&amp;$K1128)</f>
        <v/>
      </c>
      <c r="M1128" s="34" t="str">
        <f>IF($J1128=FALSE(),"",IF(발주접수!$F115="세트",IFERROR(INDEX(세트구성!$C$3:$C$302,MATCH(발주접수!$D115&amp;"|"&amp;3,세트구성!$G$3:$G$302,0)),""),발주접수!$D115))</f>
        <v/>
      </c>
      <c r="N1128" s="34" t="str">
        <f>IF($J1128=FALSE(),"",IF(발주접수!$F115="세트",발주접수!$G115*IFERROR(INDEX(세트구성!$E$3:$E$302,MATCH(발주접수!$D115&amp;"|"&amp;3,세트구성!$G$3:$G$302,0)),0),발주접수!$G115))</f>
        <v/>
      </c>
      <c r="O1128" s="34" t="str">
        <f>IF($J1128=FALSE(),"",발주접수!$B115)</f>
        <v/>
      </c>
      <c r="P1128" s="34" t="str">
        <f>IF($J1128=FALSE(),"",발주접수!$C115)</f>
        <v/>
      </c>
      <c r="Q1128" s="34" t="str">
        <f>IF($J1128=FALSE(),"",IF(발주접수!$F115="세트",발주접수!$E115&amp;" 전개","직접 발주"))</f>
        <v/>
      </c>
    </row>
    <row r="1129" ht="15" customHeight="1" s="30">
      <c r="J1129" s="50" t="b">
        <f>IF(발주접수!$D115="",FALSE(),IF(발주접수!$F115="세트",COUNTIF(세트구성!$G$3:$G$302,발주접수!$D115&amp;"|"&amp;4)&gt;0,3=0))</f>
        <v>0</v>
      </c>
      <c r="K1129" s="34" t="str">
        <f>IF($J1129=FALSE(),"",COUNTIF($J$6:$J1129,TRUE()))</f>
        <v/>
      </c>
      <c r="L1129" s="34" t="str">
        <f>IF($K1129="","","R"&amp;$K1129)</f>
        <v/>
      </c>
      <c r="M1129" s="34" t="str">
        <f>IF($J1129=FALSE(),"",IF(발주접수!$F115="세트",IFERROR(INDEX(세트구성!$C$3:$C$302,MATCH(발주접수!$D115&amp;"|"&amp;4,세트구성!$G$3:$G$302,0)),""),발주접수!$D115))</f>
        <v/>
      </c>
      <c r="N1129" s="34" t="str">
        <f>IF($J1129=FALSE(),"",IF(발주접수!$F115="세트",발주접수!$G115*IFERROR(INDEX(세트구성!$E$3:$E$302,MATCH(발주접수!$D115&amp;"|"&amp;4,세트구성!$G$3:$G$302,0)),0),발주접수!$G115))</f>
        <v/>
      </c>
      <c r="O1129" s="34" t="str">
        <f>IF($J1129=FALSE(),"",발주접수!$B115)</f>
        <v/>
      </c>
      <c r="P1129" s="34" t="str">
        <f>IF($J1129=FALSE(),"",발주접수!$C115)</f>
        <v/>
      </c>
      <c r="Q1129" s="34" t="str">
        <f>IF($J1129=FALSE(),"",IF(발주접수!$F115="세트",발주접수!$E115&amp;" 전개","직접 발주"))</f>
        <v/>
      </c>
    </row>
    <row r="1130" ht="15" customHeight="1" s="30">
      <c r="J1130" s="50" t="b">
        <f>IF(발주접수!$D115="",FALSE(),IF(발주접수!$F115="세트",COUNTIF(세트구성!$G$3:$G$302,발주접수!$D115&amp;"|"&amp;5)&gt;0,4=0))</f>
        <v>0</v>
      </c>
      <c r="K1130" s="34" t="str">
        <f>IF($J1130=FALSE(),"",COUNTIF($J$6:$J1130,TRUE()))</f>
        <v/>
      </c>
      <c r="L1130" s="34" t="str">
        <f>IF($K1130="","","R"&amp;$K1130)</f>
        <v/>
      </c>
      <c r="M1130" s="34" t="str">
        <f>IF($J1130=FALSE(),"",IF(발주접수!$F115="세트",IFERROR(INDEX(세트구성!$C$3:$C$302,MATCH(발주접수!$D115&amp;"|"&amp;5,세트구성!$G$3:$G$302,0)),""),발주접수!$D115))</f>
        <v/>
      </c>
      <c r="N1130" s="34" t="str">
        <f>IF($J1130=FALSE(),"",IF(발주접수!$F115="세트",발주접수!$G115*IFERROR(INDEX(세트구성!$E$3:$E$302,MATCH(발주접수!$D115&amp;"|"&amp;5,세트구성!$G$3:$G$302,0)),0),발주접수!$G115))</f>
        <v/>
      </c>
      <c r="O1130" s="34" t="str">
        <f>IF($J1130=FALSE(),"",발주접수!$B115)</f>
        <v/>
      </c>
      <c r="P1130" s="34" t="str">
        <f>IF($J1130=FALSE(),"",발주접수!$C115)</f>
        <v/>
      </c>
      <c r="Q1130" s="34" t="str">
        <f>IF($J1130=FALSE(),"",IF(발주접수!$F115="세트",발주접수!$E115&amp;" 전개","직접 발주"))</f>
        <v/>
      </c>
    </row>
    <row r="1131" ht="15" customHeight="1" s="30">
      <c r="J1131" s="50" t="b">
        <f>IF(발주접수!$D115="",FALSE(),IF(발주접수!$F115="세트",COUNTIF(세트구성!$G$3:$G$302,발주접수!$D115&amp;"|"&amp;6)&gt;0,5=0))</f>
        <v>0</v>
      </c>
      <c r="K1131" s="34" t="str">
        <f>IF($J1131=FALSE(),"",COUNTIF($J$6:$J1131,TRUE()))</f>
        <v/>
      </c>
      <c r="L1131" s="34" t="str">
        <f>IF($K1131="","","R"&amp;$K1131)</f>
        <v/>
      </c>
      <c r="M1131" s="34" t="str">
        <f>IF($J1131=FALSE(),"",IF(발주접수!$F115="세트",IFERROR(INDEX(세트구성!$C$3:$C$302,MATCH(발주접수!$D115&amp;"|"&amp;6,세트구성!$G$3:$G$302,0)),""),발주접수!$D115))</f>
        <v/>
      </c>
      <c r="N1131" s="34" t="str">
        <f>IF($J1131=FALSE(),"",IF(발주접수!$F115="세트",발주접수!$G115*IFERROR(INDEX(세트구성!$E$3:$E$302,MATCH(발주접수!$D115&amp;"|"&amp;6,세트구성!$G$3:$G$302,0)),0),발주접수!$G115))</f>
        <v/>
      </c>
      <c r="O1131" s="34" t="str">
        <f>IF($J1131=FALSE(),"",발주접수!$B115)</f>
        <v/>
      </c>
      <c r="P1131" s="34" t="str">
        <f>IF($J1131=FALSE(),"",발주접수!$C115)</f>
        <v/>
      </c>
      <c r="Q1131" s="34" t="str">
        <f>IF($J1131=FALSE(),"",IF(발주접수!$F115="세트",발주접수!$E115&amp;" 전개","직접 발주"))</f>
        <v/>
      </c>
    </row>
    <row r="1132" ht="15" customHeight="1" s="30">
      <c r="J1132" s="50" t="b">
        <f>IF(발주접수!$D115="",FALSE(),IF(발주접수!$F115="세트",COUNTIF(세트구성!$G$3:$G$302,발주접수!$D115&amp;"|"&amp;7)&gt;0,6=0))</f>
        <v>0</v>
      </c>
      <c r="K1132" s="34" t="str">
        <f>IF($J1132=FALSE(),"",COUNTIF($J$6:$J1132,TRUE()))</f>
        <v/>
      </c>
      <c r="L1132" s="34" t="str">
        <f>IF($K1132="","","R"&amp;$K1132)</f>
        <v/>
      </c>
      <c r="M1132" s="34" t="str">
        <f>IF($J1132=FALSE(),"",IF(발주접수!$F115="세트",IFERROR(INDEX(세트구성!$C$3:$C$302,MATCH(발주접수!$D115&amp;"|"&amp;7,세트구성!$G$3:$G$302,0)),""),발주접수!$D115))</f>
        <v/>
      </c>
      <c r="N1132" s="34" t="str">
        <f>IF($J1132=FALSE(),"",IF(발주접수!$F115="세트",발주접수!$G115*IFERROR(INDEX(세트구성!$E$3:$E$302,MATCH(발주접수!$D115&amp;"|"&amp;7,세트구성!$G$3:$G$302,0)),0),발주접수!$G115))</f>
        <v/>
      </c>
      <c r="O1132" s="34" t="str">
        <f>IF($J1132=FALSE(),"",발주접수!$B115)</f>
        <v/>
      </c>
      <c r="P1132" s="34" t="str">
        <f>IF($J1132=FALSE(),"",발주접수!$C115)</f>
        <v/>
      </c>
      <c r="Q1132" s="34" t="str">
        <f>IF($J1132=FALSE(),"",IF(발주접수!$F115="세트",발주접수!$E115&amp;" 전개","직접 발주"))</f>
        <v/>
      </c>
    </row>
    <row r="1133" ht="15" customHeight="1" s="30">
      <c r="J1133" s="50" t="b">
        <f>IF(발주접수!$D115="",FALSE(),IF(발주접수!$F115="세트",COUNTIF(세트구성!$G$3:$G$302,발주접수!$D115&amp;"|"&amp;8)&gt;0,7=0))</f>
        <v>0</v>
      </c>
      <c r="K1133" s="34" t="str">
        <f>IF($J1133=FALSE(),"",COUNTIF($J$6:$J1133,TRUE()))</f>
        <v/>
      </c>
      <c r="L1133" s="34" t="str">
        <f>IF($K1133="","","R"&amp;$K1133)</f>
        <v/>
      </c>
      <c r="M1133" s="34" t="str">
        <f>IF($J1133=FALSE(),"",IF(발주접수!$F115="세트",IFERROR(INDEX(세트구성!$C$3:$C$302,MATCH(발주접수!$D115&amp;"|"&amp;8,세트구성!$G$3:$G$302,0)),""),발주접수!$D115))</f>
        <v/>
      </c>
      <c r="N1133" s="34" t="str">
        <f>IF($J1133=FALSE(),"",IF(발주접수!$F115="세트",발주접수!$G115*IFERROR(INDEX(세트구성!$E$3:$E$302,MATCH(발주접수!$D115&amp;"|"&amp;8,세트구성!$G$3:$G$302,0)),0),발주접수!$G115))</f>
        <v/>
      </c>
      <c r="O1133" s="34" t="str">
        <f>IF($J1133=FALSE(),"",발주접수!$B115)</f>
        <v/>
      </c>
      <c r="P1133" s="34" t="str">
        <f>IF($J1133=FALSE(),"",발주접수!$C115)</f>
        <v/>
      </c>
      <c r="Q1133" s="34" t="str">
        <f>IF($J1133=FALSE(),"",IF(발주접수!$F115="세트",발주접수!$E115&amp;" 전개","직접 발주"))</f>
        <v/>
      </c>
    </row>
    <row r="1134" ht="15" customHeight="1" s="30">
      <c r="J1134" s="50" t="b">
        <f>IF(발주접수!$D115="",FALSE(),IF(발주접수!$F115="세트",COUNTIF(세트구성!$G$3:$G$302,발주접수!$D115&amp;"|"&amp;9)&gt;0,8=0))</f>
        <v>0</v>
      </c>
      <c r="K1134" s="34" t="str">
        <f>IF($J1134=FALSE(),"",COUNTIF($J$6:$J1134,TRUE()))</f>
        <v/>
      </c>
      <c r="L1134" s="34" t="str">
        <f>IF($K1134="","","R"&amp;$K1134)</f>
        <v/>
      </c>
      <c r="M1134" s="34" t="str">
        <f>IF($J1134=FALSE(),"",IF(발주접수!$F115="세트",IFERROR(INDEX(세트구성!$C$3:$C$302,MATCH(발주접수!$D115&amp;"|"&amp;9,세트구성!$G$3:$G$302,0)),""),발주접수!$D115))</f>
        <v/>
      </c>
      <c r="N1134" s="34" t="str">
        <f>IF($J1134=FALSE(),"",IF(발주접수!$F115="세트",발주접수!$G115*IFERROR(INDEX(세트구성!$E$3:$E$302,MATCH(발주접수!$D115&amp;"|"&amp;9,세트구성!$G$3:$G$302,0)),0),발주접수!$G115))</f>
        <v/>
      </c>
      <c r="O1134" s="34" t="str">
        <f>IF($J1134=FALSE(),"",발주접수!$B115)</f>
        <v/>
      </c>
      <c r="P1134" s="34" t="str">
        <f>IF($J1134=FALSE(),"",발주접수!$C115)</f>
        <v/>
      </c>
      <c r="Q1134" s="34" t="str">
        <f>IF($J1134=FALSE(),"",IF(발주접수!$F115="세트",발주접수!$E115&amp;" 전개","직접 발주"))</f>
        <v/>
      </c>
    </row>
    <row r="1135" ht="15" customHeight="1" s="30">
      <c r="J1135" s="50" t="b">
        <f>IF(발주접수!$D115="",FALSE(),IF(발주접수!$F115="세트",COUNTIF(세트구성!$G$3:$G$302,발주접수!$D115&amp;"|"&amp;10)&gt;0,9=0))</f>
        <v>0</v>
      </c>
      <c r="K1135" s="34" t="str">
        <f>IF($J1135=FALSE(),"",COUNTIF($J$6:$J1135,TRUE()))</f>
        <v/>
      </c>
      <c r="L1135" s="34" t="str">
        <f>IF($K1135="","","R"&amp;$K1135)</f>
        <v/>
      </c>
      <c r="M1135" s="34" t="str">
        <f>IF($J1135=FALSE(),"",IF(발주접수!$F115="세트",IFERROR(INDEX(세트구성!$C$3:$C$302,MATCH(발주접수!$D115&amp;"|"&amp;10,세트구성!$G$3:$G$302,0)),""),발주접수!$D115))</f>
        <v/>
      </c>
      <c r="N1135" s="34" t="str">
        <f>IF($J1135=FALSE(),"",IF(발주접수!$F115="세트",발주접수!$G115*IFERROR(INDEX(세트구성!$E$3:$E$302,MATCH(발주접수!$D115&amp;"|"&amp;10,세트구성!$G$3:$G$302,0)),0),발주접수!$G115))</f>
        <v/>
      </c>
      <c r="O1135" s="34" t="str">
        <f>IF($J1135=FALSE(),"",발주접수!$B115)</f>
        <v/>
      </c>
      <c r="P1135" s="34" t="str">
        <f>IF($J1135=FALSE(),"",발주접수!$C115)</f>
        <v/>
      </c>
      <c r="Q1135" s="34" t="str">
        <f>IF($J1135=FALSE(),"",IF(발주접수!$F115="세트",발주접수!$E115&amp;" 전개","직접 발주"))</f>
        <v/>
      </c>
    </row>
    <row r="1136" ht="15" customHeight="1" s="30">
      <c r="J1136" s="50" t="b">
        <f>IF(발주접수!$D116="",FALSE(),IF(발주접수!$F116="세트",COUNTIF(세트구성!$G$3:$G$302,발주접수!$D116&amp;"|"&amp;1)&gt;0,0=0))</f>
        <v>0</v>
      </c>
      <c r="K1136" s="34" t="str">
        <f>IF($J1136=FALSE(),"",COUNTIF($J$6:$J1136,TRUE()))</f>
        <v/>
      </c>
      <c r="L1136" s="34" t="str">
        <f>IF($K1136="","","R"&amp;$K1136)</f>
        <v/>
      </c>
      <c r="M1136" s="34" t="str">
        <f>IF($J1136=FALSE(),"",IF(발주접수!$F116="세트",IFERROR(INDEX(세트구성!$C$3:$C$302,MATCH(발주접수!$D116&amp;"|"&amp;1,세트구성!$G$3:$G$302,0)),""),발주접수!$D116))</f>
        <v/>
      </c>
      <c r="N1136" s="34" t="str">
        <f>IF($J1136=FALSE(),"",IF(발주접수!$F116="세트",발주접수!$G116*IFERROR(INDEX(세트구성!$E$3:$E$302,MATCH(발주접수!$D116&amp;"|"&amp;1,세트구성!$G$3:$G$302,0)),0),발주접수!$G116))</f>
        <v/>
      </c>
      <c r="O1136" s="34" t="str">
        <f>IF($J1136=FALSE(),"",발주접수!$B116)</f>
        <v/>
      </c>
      <c r="P1136" s="34" t="str">
        <f>IF($J1136=FALSE(),"",발주접수!$C116)</f>
        <v/>
      </c>
      <c r="Q1136" s="34" t="str">
        <f>IF($J1136=FALSE(),"",IF(발주접수!$F116="세트",발주접수!$E116&amp;" 전개","직접 발주"))</f>
        <v/>
      </c>
    </row>
    <row r="1137" ht="15" customHeight="1" s="30">
      <c r="J1137" s="50" t="b">
        <f>IF(발주접수!$D116="",FALSE(),IF(발주접수!$F116="세트",COUNTIF(세트구성!$G$3:$G$302,발주접수!$D116&amp;"|"&amp;2)&gt;0,1=0))</f>
        <v>0</v>
      </c>
      <c r="K1137" s="34" t="str">
        <f>IF($J1137=FALSE(),"",COUNTIF($J$6:$J1137,TRUE()))</f>
        <v/>
      </c>
      <c r="L1137" s="34" t="str">
        <f>IF($K1137="","","R"&amp;$K1137)</f>
        <v/>
      </c>
      <c r="M1137" s="34" t="str">
        <f>IF($J1137=FALSE(),"",IF(발주접수!$F116="세트",IFERROR(INDEX(세트구성!$C$3:$C$302,MATCH(발주접수!$D116&amp;"|"&amp;2,세트구성!$G$3:$G$302,0)),""),발주접수!$D116))</f>
        <v/>
      </c>
      <c r="N1137" s="34" t="str">
        <f>IF($J1137=FALSE(),"",IF(발주접수!$F116="세트",발주접수!$G116*IFERROR(INDEX(세트구성!$E$3:$E$302,MATCH(발주접수!$D116&amp;"|"&amp;2,세트구성!$G$3:$G$302,0)),0),발주접수!$G116))</f>
        <v/>
      </c>
      <c r="O1137" s="34" t="str">
        <f>IF($J1137=FALSE(),"",발주접수!$B116)</f>
        <v/>
      </c>
      <c r="P1137" s="34" t="str">
        <f>IF($J1137=FALSE(),"",발주접수!$C116)</f>
        <v/>
      </c>
      <c r="Q1137" s="34" t="str">
        <f>IF($J1137=FALSE(),"",IF(발주접수!$F116="세트",발주접수!$E116&amp;" 전개","직접 발주"))</f>
        <v/>
      </c>
    </row>
    <row r="1138" ht="15" customHeight="1" s="30">
      <c r="J1138" s="50" t="b">
        <f>IF(발주접수!$D116="",FALSE(),IF(발주접수!$F116="세트",COUNTIF(세트구성!$G$3:$G$302,발주접수!$D116&amp;"|"&amp;3)&gt;0,2=0))</f>
        <v>0</v>
      </c>
      <c r="K1138" s="34" t="str">
        <f>IF($J1138=FALSE(),"",COUNTIF($J$6:$J1138,TRUE()))</f>
        <v/>
      </c>
      <c r="L1138" s="34" t="str">
        <f>IF($K1138="","","R"&amp;$K1138)</f>
        <v/>
      </c>
      <c r="M1138" s="34" t="str">
        <f>IF($J1138=FALSE(),"",IF(발주접수!$F116="세트",IFERROR(INDEX(세트구성!$C$3:$C$302,MATCH(발주접수!$D116&amp;"|"&amp;3,세트구성!$G$3:$G$302,0)),""),발주접수!$D116))</f>
        <v/>
      </c>
      <c r="N1138" s="34" t="str">
        <f>IF($J1138=FALSE(),"",IF(발주접수!$F116="세트",발주접수!$G116*IFERROR(INDEX(세트구성!$E$3:$E$302,MATCH(발주접수!$D116&amp;"|"&amp;3,세트구성!$G$3:$G$302,0)),0),발주접수!$G116))</f>
        <v/>
      </c>
      <c r="O1138" s="34" t="str">
        <f>IF($J1138=FALSE(),"",발주접수!$B116)</f>
        <v/>
      </c>
      <c r="P1138" s="34" t="str">
        <f>IF($J1138=FALSE(),"",발주접수!$C116)</f>
        <v/>
      </c>
      <c r="Q1138" s="34" t="str">
        <f>IF($J1138=FALSE(),"",IF(발주접수!$F116="세트",발주접수!$E116&amp;" 전개","직접 발주"))</f>
        <v/>
      </c>
    </row>
    <row r="1139" ht="15" customHeight="1" s="30">
      <c r="J1139" s="50" t="b">
        <f>IF(발주접수!$D116="",FALSE(),IF(발주접수!$F116="세트",COUNTIF(세트구성!$G$3:$G$302,발주접수!$D116&amp;"|"&amp;4)&gt;0,3=0))</f>
        <v>0</v>
      </c>
      <c r="K1139" s="34" t="str">
        <f>IF($J1139=FALSE(),"",COUNTIF($J$6:$J1139,TRUE()))</f>
        <v/>
      </c>
      <c r="L1139" s="34" t="str">
        <f>IF($K1139="","","R"&amp;$K1139)</f>
        <v/>
      </c>
      <c r="M1139" s="34" t="str">
        <f>IF($J1139=FALSE(),"",IF(발주접수!$F116="세트",IFERROR(INDEX(세트구성!$C$3:$C$302,MATCH(발주접수!$D116&amp;"|"&amp;4,세트구성!$G$3:$G$302,0)),""),발주접수!$D116))</f>
        <v/>
      </c>
      <c r="N1139" s="34" t="str">
        <f>IF($J1139=FALSE(),"",IF(발주접수!$F116="세트",발주접수!$G116*IFERROR(INDEX(세트구성!$E$3:$E$302,MATCH(발주접수!$D116&amp;"|"&amp;4,세트구성!$G$3:$G$302,0)),0),발주접수!$G116))</f>
        <v/>
      </c>
      <c r="O1139" s="34" t="str">
        <f>IF($J1139=FALSE(),"",발주접수!$B116)</f>
        <v/>
      </c>
      <c r="P1139" s="34" t="str">
        <f>IF($J1139=FALSE(),"",발주접수!$C116)</f>
        <v/>
      </c>
      <c r="Q1139" s="34" t="str">
        <f>IF($J1139=FALSE(),"",IF(발주접수!$F116="세트",발주접수!$E116&amp;" 전개","직접 발주"))</f>
        <v/>
      </c>
    </row>
    <row r="1140" ht="15" customHeight="1" s="30">
      <c r="J1140" s="50" t="b">
        <f>IF(발주접수!$D116="",FALSE(),IF(발주접수!$F116="세트",COUNTIF(세트구성!$G$3:$G$302,발주접수!$D116&amp;"|"&amp;5)&gt;0,4=0))</f>
        <v>0</v>
      </c>
      <c r="K1140" s="34" t="str">
        <f>IF($J1140=FALSE(),"",COUNTIF($J$6:$J1140,TRUE()))</f>
        <v/>
      </c>
      <c r="L1140" s="34" t="str">
        <f>IF($K1140="","","R"&amp;$K1140)</f>
        <v/>
      </c>
      <c r="M1140" s="34" t="str">
        <f>IF($J1140=FALSE(),"",IF(발주접수!$F116="세트",IFERROR(INDEX(세트구성!$C$3:$C$302,MATCH(발주접수!$D116&amp;"|"&amp;5,세트구성!$G$3:$G$302,0)),""),발주접수!$D116))</f>
        <v/>
      </c>
      <c r="N1140" s="34" t="str">
        <f>IF($J1140=FALSE(),"",IF(발주접수!$F116="세트",발주접수!$G116*IFERROR(INDEX(세트구성!$E$3:$E$302,MATCH(발주접수!$D116&amp;"|"&amp;5,세트구성!$G$3:$G$302,0)),0),발주접수!$G116))</f>
        <v/>
      </c>
      <c r="O1140" s="34" t="str">
        <f>IF($J1140=FALSE(),"",발주접수!$B116)</f>
        <v/>
      </c>
      <c r="P1140" s="34" t="str">
        <f>IF($J1140=FALSE(),"",발주접수!$C116)</f>
        <v/>
      </c>
      <c r="Q1140" s="34" t="str">
        <f>IF($J1140=FALSE(),"",IF(발주접수!$F116="세트",발주접수!$E116&amp;" 전개","직접 발주"))</f>
        <v/>
      </c>
    </row>
    <row r="1141" ht="15" customHeight="1" s="30">
      <c r="J1141" s="50" t="b">
        <f>IF(발주접수!$D116="",FALSE(),IF(발주접수!$F116="세트",COUNTIF(세트구성!$G$3:$G$302,발주접수!$D116&amp;"|"&amp;6)&gt;0,5=0))</f>
        <v>0</v>
      </c>
      <c r="K1141" s="34" t="str">
        <f>IF($J1141=FALSE(),"",COUNTIF($J$6:$J1141,TRUE()))</f>
        <v/>
      </c>
      <c r="L1141" s="34" t="str">
        <f>IF($K1141="","","R"&amp;$K1141)</f>
        <v/>
      </c>
      <c r="M1141" s="34" t="str">
        <f>IF($J1141=FALSE(),"",IF(발주접수!$F116="세트",IFERROR(INDEX(세트구성!$C$3:$C$302,MATCH(발주접수!$D116&amp;"|"&amp;6,세트구성!$G$3:$G$302,0)),""),발주접수!$D116))</f>
        <v/>
      </c>
      <c r="N1141" s="34" t="str">
        <f>IF($J1141=FALSE(),"",IF(발주접수!$F116="세트",발주접수!$G116*IFERROR(INDEX(세트구성!$E$3:$E$302,MATCH(발주접수!$D116&amp;"|"&amp;6,세트구성!$G$3:$G$302,0)),0),발주접수!$G116))</f>
        <v/>
      </c>
      <c r="O1141" s="34" t="str">
        <f>IF($J1141=FALSE(),"",발주접수!$B116)</f>
        <v/>
      </c>
      <c r="P1141" s="34" t="str">
        <f>IF($J1141=FALSE(),"",발주접수!$C116)</f>
        <v/>
      </c>
      <c r="Q1141" s="34" t="str">
        <f>IF($J1141=FALSE(),"",IF(발주접수!$F116="세트",발주접수!$E116&amp;" 전개","직접 발주"))</f>
        <v/>
      </c>
    </row>
    <row r="1142" ht="15" customHeight="1" s="30">
      <c r="J1142" s="50" t="b">
        <f>IF(발주접수!$D116="",FALSE(),IF(발주접수!$F116="세트",COUNTIF(세트구성!$G$3:$G$302,발주접수!$D116&amp;"|"&amp;7)&gt;0,6=0))</f>
        <v>0</v>
      </c>
      <c r="K1142" s="34" t="str">
        <f>IF($J1142=FALSE(),"",COUNTIF($J$6:$J1142,TRUE()))</f>
        <v/>
      </c>
      <c r="L1142" s="34" t="str">
        <f>IF($K1142="","","R"&amp;$K1142)</f>
        <v/>
      </c>
      <c r="M1142" s="34" t="str">
        <f>IF($J1142=FALSE(),"",IF(발주접수!$F116="세트",IFERROR(INDEX(세트구성!$C$3:$C$302,MATCH(발주접수!$D116&amp;"|"&amp;7,세트구성!$G$3:$G$302,0)),""),발주접수!$D116))</f>
        <v/>
      </c>
      <c r="N1142" s="34" t="str">
        <f>IF($J1142=FALSE(),"",IF(발주접수!$F116="세트",발주접수!$G116*IFERROR(INDEX(세트구성!$E$3:$E$302,MATCH(발주접수!$D116&amp;"|"&amp;7,세트구성!$G$3:$G$302,0)),0),발주접수!$G116))</f>
        <v/>
      </c>
      <c r="O1142" s="34" t="str">
        <f>IF($J1142=FALSE(),"",발주접수!$B116)</f>
        <v/>
      </c>
      <c r="P1142" s="34" t="str">
        <f>IF($J1142=FALSE(),"",발주접수!$C116)</f>
        <v/>
      </c>
      <c r="Q1142" s="34" t="str">
        <f>IF($J1142=FALSE(),"",IF(발주접수!$F116="세트",발주접수!$E116&amp;" 전개","직접 발주"))</f>
        <v/>
      </c>
    </row>
    <row r="1143" ht="15" customHeight="1" s="30">
      <c r="J1143" s="50" t="b">
        <f>IF(발주접수!$D116="",FALSE(),IF(발주접수!$F116="세트",COUNTIF(세트구성!$G$3:$G$302,발주접수!$D116&amp;"|"&amp;8)&gt;0,7=0))</f>
        <v>0</v>
      </c>
      <c r="K1143" s="34" t="str">
        <f>IF($J1143=FALSE(),"",COUNTIF($J$6:$J1143,TRUE()))</f>
        <v/>
      </c>
      <c r="L1143" s="34" t="str">
        <f>IF($K1143="","","R"&amp;$K1143)</f>
        <v/>
      </c>
      <c r="M1143" s="34" t="str">
        <f>IF($J1143=FALSE(),"",IF(발주접수!$F116="세트",IFERROR(INDEX(세트구성!$C$3:$C$302,MATCH(발주접수!$D116&amp;"|"&amp;8,세트구성!$G$3:$G$302,0)),""),발주접수!$D116))</f>
        <v/>
      </c>
      <c r="N1143" s="34" t="str">
        <f>IF($J1143=FALSE(),"",IF(발주접수!$F116="세트",발주접수!$G116*IFERROR(INDEX(세트구성!$E$3:$E$302,MATCH(발주접수!$D116&amp;"|"&amp;8,세트구성!$G$3:$G$302,0)),0),발주접수!$G116))</f>
        <v/>
      </c>
      <c r="O1143" s="34" t="str">
        <f>IF($J1143=FALSE(),"",발주접수!$B116)</f>
        <v/>
      </c>
      <c r="P1143" s="34" t="str">
        <f>IF($J1143=FALSE(),"",발주접수!$C116)</f>
        <v/>
      </c>
      <c r="Q1143" s="34" t="str">
        <f>IF($J1143=FALSE(),"",IF(발주접수!$F116="세트",발주접수!$E116&amp;" 전개","직접 발주"))</f>
        <v/>
      </c>
    </row>
    <row r="1144" ht="15" customHeight="1" s="30">
      <c r="J1144" s="50" t="b">
        <f>IF(발주접수!$D116="",FALSE(),IF(발주접수!$F116="세트",COUNTIF(세트구성!$G$3:$G$302,발주접수!$D116&amp;"|"&amp;9)&gt;0,8=0))</f>
        <v>0</v>
      </c>
      <c r="K1144" s="34" t="str">
        <f>IF($J1144=FALSE(),"",COUNTIF($J$6:$J1144,TRUE()))</f>
        <v/>
      </c>
      <c r="L1144" s="34" t="str">
        <f>IF($K1144="","","R"&amp;$K1144)</f>
        <v/>
      </c>
      <c r="M1144" s="34" t="str">
        <f>IF($J1144=FALSE(),"",IF(발주접수!$F116="세트",IFERROR(INDEX(세트구성!$C$3:$C$302,MATCH(발주접수!$D116&amp;"|"&amp;9,세트구성!$G$3:$G$302,0)),""),발주접수!$D116))</f>
        <v/>
      </c>
      <c r="N1144" s="34" t="str">
        <f>IF($J1144=FALSE(),"",IF(발주접수!$F116="세트",발주접수!$G116*IFERROR(INDEX(세트구성!$E$3:$E$302,MATCH(발주접수!$D116&amp;"|"&amp;9,세트구성!$G$3:$G$302,0)),0),발주접수!$G116))</f>
        <v/>
      </c>
      <c r="O1144" s="34" t="str">
        <f>IF($J1144=FALSE(),"",발주접수!$B116)</f>
        <v/>
      </c>
      <c r="P1144" s="34" t="str">
        <f>IF($J1144=FALSE(),"",발주접수!$C116)</f>
        <v/>
      </c>
      <c r="Q1144" s="34" t="str">
        <f>IF($J1144=FALSE(),"",IF(발주접수!$F116="세트",발주접수!$E116&amp;" 전개","직접 발주"))</f>
        <v/>
      </c>
    </row>
    <row r="1145" ht="15" customHeight="1" s="30">
      <c r="J1145" s="50" t="b">
        <f>IF(발주접수!$D116="",FALSE(),IF(발주접수!$F116="세트",COUNTIF(세트구성!$G$3:$G$302,발주접수!$D116&amp;"|"&amp;10)&gt;0,9=0))</f>
        <v>0</v>
      </c>
      <c r="K1145" s="34" t="str">
        <f>IF($J1145=FALSE(),"",COUNTIF($J$6:$J1145,TRUE()))</f>
        <v/>
      </c>
      <c r="L1145" s="34" t="str">
        <f>IF($K1145="","","R"&amp;$K1145)</f>
        <v/>
      </c>
      <c r="M1145" s="34" t="str">
        <f>IF($J1145=FALSE(),"",IF(발주접수!$F116="세트",IFERROR(INDEX(세트구성!$C$3:$C$302,MATCH(발주접수!$D116&amp;"|"&amp;10,세트구성!$G$3:$G$302,0)),""),발주접수!$D116))</f>
        <v/>
      </c>
      <c r="N1145" s="34" t="str">
        <f>IF($J1145=FALSE(),"",IF(발주접수!$F116="세트",발주접수!$G116*IFERROR(INDEX(세트구성!$E$3:$E$302,MATCH(발주접수!$D116&amp;"|"&amp;10,세트구성!$G$3:$G$302,0)),0),발주접수!$G116))</f>
        <v/>
      </c>
      <c r="O1145" s="34" t="str">
        <f>IF($J1145=FALSE(),"",발주접수!$B116)</f>
        <v/>
      </c>
      <c r="P1145" s="34" t="str">
        <f>IF($J1145=FALSE(),"",발주접수!$C116)</f>
        <v/>
      </c>
      <c r="Q1145" s="34" t="str">
        <f>IF($J1145=FALSE(),"",IF(발주접수!$F116="세트",발주접수!$E116&amp;" 전개","직접 발주"))</f>
        <v/>
      </c>
    </row>
    <row r="1146" ht="15" customHeight="1" s="30">
      <c r="J1146" s="50" t="b">
        <f>IF(발주접수!$D117="",FALSE(),IF(발주접수!$F117="세트",COUNTIF(세트구성!$G$3:$G$302,발주접수!$D117&amp;"|"&amp;1)&gt;0,0=0))</f>
        <v>0</v>
      </c>
      <c r="K1146" s="34" t="str">
        <f>IF($J1146=FALSE(),"",COUNTIF($J$6:$J1146,TRUE()))</f>
        <v/>
      </c>
      <c r="L1146" s="34" t="str">
        <f>IF($K1146="","","R"&amp;$K1146)</f>
        <v/>
      </c>
      <c r="M1146" s="34" t="str">
        <f>IF($J1146=FALSE(),"",IF(발주접수!$F117="세트",IFERROR(INDEX(세트구성!$C$3:$C$302,MATCH(발주접수!$D117&amp;"|"&amp;1,세트구성!$G$3:$G$302,0)),""),발주접수!$D117))</f>
        <v/>
      </c>
      <c r="N1146" s="34" t="str">
        <f>IF($J1146=FALSE(),"",IF(발주접수!$F117="세트",발주접수!$G117*IFERROR(INDEX(세트구성!$E$3:$E$302,MATCH(발주접수!$D117&amp;"|"&amp;1,세트구성!$G$3:$G$302,0)),0),발주접수!$G117))</f>
        <v/>
      </c>
      <c r="O1146" s="34" t="str">
        <f>IF($J1146=FALSE(),"",발주접수!$B117)</f>
        <v/>
      </c>
      <c r="P1146" s="34" t="str">
        <f>IF($J1146=FALSE(),"",발주접수!$C117)</f>
        <v/>
      </c>
      <c r="Q1146" s="34" t="str">
        <f>IF($J1146=FALSE(),"",IF(발주접수!$F117="세트",발주접수!$E117&amp;" 전개","직접 발주"))</f>
        <v/>
      </c>
    </row>
    <row r="1147" ht="15" customHeight="1" s="30">
      <c r="J1147" s="50" t="b">
        <f>IF(발주접수!$D117="",FALSE(),IF(발주접수!$F117="세트",COUNTIF(세트구성!$G$3:$G$302,발주접수!$D117&amp;"|"&amp;2)&gt;0,1=0))</f>
        <v>0</v>
      </c>
      <c r="K1147" s="34" t="str">
        <f>IF($J1147=FALSE(),"",COUNTIF($J$6:$J1147,TRUE()))</f>
        <v/>
      </c>
      <c r="L1147" s="34" t="str">
        <f>IF($K1147="","","R"&amp;$K1147)</f>
        <v/>
      </c>
      <c r="M1147" s="34" t="str">
        <f>IF($J1147=FALSE(),"",IF(발주접수!$F117="세트",IFERROR(INDEX(세트구성!$C$3:$C$302,MATCH(발주접수!$D117&amp;"|"&amp;2,세트구성!$G$3:$G$302,0)),""),발주접수!$D117))</f>
        <v/>
      </c>
      <c r="N1147" s="34" t="str">
        <f>IF($J1147=FALSE(),"",IF(발주접수!$F117="세트",발주접수!$G117*IFERROR(INDEX(세트구성!$E$3:$E$302,MATCH(발주접수!$D117&amp;"|"&amp;2,세트구성!$G$3:$G$302,0)),0),발주접수!$G117))</f>
        <v/>
      </c>
      <c r="O1147" s="34" t="str">
        <f>IF($J1147=FALSE(),"",발주접수!$B117)</f>
        <v/>
      </c>
      <c r="P1147" s="34" t="str">
        <f>IF($J1147=FALSE(),"",발주접수!$C117)</f>
        <v/>
      </c>
      <c r="Q1147" s="34" t="str">
        <f>IF($J1147=FALSE(),"",IF(발주접수!$F117="세트",발주접수!$E117&amp;" 전개","직접 발주"))</f>
        <v/>
      </c>
    </row>
    <row r="1148" ht="15" customHeight="1" s="30">
      <c r="J1148" s="50" t="b">
        <f>IF(발주접수!$D117="",FALSE(),IF(발주접수!$F117="세트",COUNTIF(세트구성!$G$3:$G$302,발주접수!$D117&amp;"|"&amp;3)&gt;0,2=0))</f>
        <v>0</v>
      </c>
      <c r="K1148" s="34" t="str">
        <f>IF($J1148=FALSE(),"",COUNTIF($J$6:$J1148,TRUE()))</f>
        <v/>
      </c>
      <c r="L1148" s="34" t="str">
        <f>IF($K1148="","","R"&amp;$K1148)</f>
        <v/>
      </c>
      <c r="M1148" s="34" t="str">
        <f>IF($J1148=FALSE(),"",IF(발주접수!$F117="세트",IFERROR(INDEX(세트구성!$C$3:$C$302,MATCH(발주접수!$D117&amp;"|"&amp;3,세트구성!$G$3:$G$302,0)),""),발주접수!$D117))</f>
        <v/>
      </c>
      <c r="N1148" s="34" t="str">
        <f>IF($J1148=FALSE(),"",IF(발주접수!$F117="세트",발주접수!$G117*IFERROR(INDEX(세트구성!$E$3:$E$302,MATCH(발주접수!$D117&amp;"|"&amp;3,세트구성!$G$3:$G$302,0)),0),발주접수!$G117))</f>
        <v/>
      </c>
      <c r="O1148" s="34" t="str">
        <f>IF($J1148=FALSE(),"",발주접수!$B117)</f>
        <v/>
      </c>
      <c r="P1148" s="34" t="str">
        <f>IF($J1148=FALSE(),"",발주접수!$C117)</f>
        <v/>
      </c>
      <c r="Q1148" s="34" t="str">
        <f>IF($J1148=FALSE(),"",IF(발주접수!$F117="세트",발주접수!$E117&amp;" 전개","직접 발주"))</f>
        <v/>
      </c>
    </row>
    <row r="1149" ht="15" customHeight="1" s="30">
      <c r="J1149" s="50" t="b">
        <f>IF(발주접수!$D117="",FALSE(),IF(발주접수!$F117="세트",COUNTIF(세트구성!$G$3:$G$302,발주접수!$D117&amp;"|"&amp;4)&gt;0,3=0))</f>
        <v>0</v>
      </c>
      <c r="K1149" s="34" t="str">
        <f>IF($J1149=FALSE(),"",COUNTIF($J$6:$J1149,TRUE()))</f>
        <v/>
      </c>
      <c r="L1149" s="34" t="str">
        <f>IF($K1149="","","R"&amp;$K1149)</f>
        <v/>
      </c>
      <c r="M1149" s="34" t="str">
        <f>IF($J1149=FALSE(),"",IF(발주접수!$F117="세트",IFERROR(INDEX(세트구성!$C$3:$C$302,MATCH(발주접수!$D117&amp;"|"&amp;4,세트구성!$G$3:$G$302,0)),""),발주접수!$D117))</f>
        <v/>
      </c>
      <c r="N1149" s="34" t="str">
        <f>IF($J1149=FALSE(),"",IF(발주접수!$F117="세트",발주접수!$G117*IFERROR(INDEX(세트구성!$E$3:$E$302,MATCH(발주접수!$D117&amp;"|"&amp;4,세트구성!$G$3:$G$302,0)),0),발주접수!$G117))</f>
        <v/>
      </c>
      <c r="O1149" s="34" t="str">
        <f>IF($J1149=FALSE(),"",발주접수!$B117)</f>
        <v/>
      </c>
      <c r="P1149" s="34" t="str">
        <f>IF($J1149=FALSE(),"",발주접수!$C117)</f>
        <v/>
      </c>
      <c r="Q1149" s="34" t="str">
        <f>IF($J1149=FALSE(),"",IF(발주접수!$F117="세트",발주접수!$E117&amp;" 전개","직접 발주"))</f>
        <v/>
      </c>
    </row>
    <row r="1150" ht="15" customHeight="1" s="30">
      <c r="J1150" s="50" t="b">
        <f>IF(발주접수!$D117="",FALSE(),IF(발주접수!$F117="세트",COUNTIF(세트구성!$G$3:$G$302,발주접수!$D117&amp;"|"&amp;5)&gt;0,4=0))</f>
        <v>0</v>
      </c>
      <c r="K1150" s="34" t="str">
        <f>IF($J1150=FALSE(),"",COUNTIF($J$6:$J1150,TRUE()))</f>
        <v/>
      </c>
      <c r="L1150" s="34" t="str">
        <f>IF($K1150="","","R"&amp;$K1150)</f>
        <v/>
      </c>
      <c r="M1150" s="34" t="str">
        <f>IF($J1150=FALSE(),"",IF(발주접수!$F117="세트",IFERROR(INDEX(세트구성!$C$3:$C$302,MATCH(발주접수!$D117&amp;"|"&amp;5,세트구성!$G$3:$G$302,0)),""),발주접수!$D117))</f>
        <v/>
      </c>
      <c r="N1150" s="34" t="str">
        <f>IF($J1150=FALSE(),"",IF(발주접수!$F117="세트",발주접수!$G117*IFERROR(INDEX(세트구성!$E$3:$E$302,MATCH(발주접수!$D117&amp;"|"&amp;5,세트구성!$G$3:$G$302,0)),0),발주접수!$G117))</f>
        <v/>
      </c>
      <c r="O1150" s="34" t="str">
        <f>IF($J1150=FALSE(),"",발주접수!$B117)</f>
        <v/>
      </c>
      <c r="P1150" s="34" t="str">
        <f>IF($J1150=FALSE(),"",발주접수!$C117)</f>
        <v/>
      </c>
      <c r="Q1150" s="34" t="str">
        <f>IF($J1150=FALSE(),"",IF(발주접수!$F117="세트",발주접수!$E117&amp;" 전개","직접 발주"))</f>
        <v/>
      </c>
    </row>
    <row r="1151" ht="15" customHeight="1" s="30">
      <c r="J1151" s="50" t="b">
        <f>IF(발주접수!$D117="",FALSE(),IF(발주접수!$F117="세트",COUNTIF(세트구성!$G$3:$G$302,발주접수!$D117&amp;"|"&amp;6)&gt;0,5=0))</f>
        <v>0</v>
      </c>
      <c r="K1151" s="34" t="str">
        <f>IF($J1151=FALSE(),"",COUNTIF($J$6:$J1151,TRUE()))</f>
        <v/>
      </c>
      <c r="L1151" s="34" t="str">
        <f>IF($K1151="","","R"&amp;$K1151)</f>
        <v/>
      </c>
      <c r="M1151" s="34" t="str">
        <f>IF($J1151=FALSE(),"",IF(발주접수!$F117="세트",IFERROR(INDEX(세트구성!$C$3:$C$302,MATCH(발주접수!$D117&amp;"|"&amp;6,세트구성!$G$3:$G$302,0)),""),발주접수!$D117))</f>
        <v/>
      </c>
      <c r="N1151" s="34" t="str">
        <f>IF($J1151=FALSE(),"",IF(발주접수!$F117="세트",발주접수!$G117*IFERROR(INDEX(세트구성!$E$3:$E$302,MATCH(발주접수!$D117&amp;"|"&amp;6,세트구성!$G$3:$G$302,0)),0),발주접수!$G117))</f>
        <v/>
      </c>
      <c r="O1151" s="34" t="str">
        <f>IF($J1151=FALSE(),"",발주접수!$B117)</f>
        <v/>
      </c>
      <c r="P1151" s="34" t="str">
        <f>IF($J1151=FALSE(),"",발주접수!$C117)</f>
        <v/>
      </c>
      <c r="Q1151" s="34" t="str">
        <f>IF($J1151=FALSE(),"",IF(발주접수!$F117="세트",발주접수!$E117&amp;" 전개","직접 발주"))</f>
        <v/>
      </c>
    </row>
    <row r="1152" ht="15" customHeight="1" s="30">
      <c r="J1152" s="50" t="b">
        <f>IF(발주접수!$D117="",FALSE(),IF(발주접수!$F117="세트",COUNTIF(세트구성!$G$3:$G$302,발주접수!$D117&amp;"|"&amp;7)&gt;0,6=0))</f>
        <v>0</v>
      </c>
      <c r="K1152" s="34" t="str">
        <f>IF($J1152=FALSE(),"",COUNTIF($J$6:$J1152,TRUE()))</f>
        <v/>
      </c>
      <c r="L1152" s="34" t="str">
        <f>IF($K1152="","","R"&amp;$K1152)</f>
        <v/>
      </c>
      <c r="M1152" s="34" t="str">
        <f>IF($J1152=FALSE(),"",IF(발주접수!$F117="세트",IFERROR(INDEX(세트구성!$C$3:$C$302,MATCH(발주접수!$D117&amp;"|"&amp;7,세트구성!$G$3:$G$302,0)),""),발주접수!$D117))</f>
        <v/>
      </c>
      <c r="N1152" s="34" t="str">
        <f>IF($J1152=FALSE(),"",IF(발주접수!$F117="세트",발주접수!$G117*IFERROR(INDEX(세트구성!$E$3:$E$302,MATCH(발주접수!$D117&amp;"|"&amp;7,세트구성!$G$3:$G$302,0)),0),발주접수!$G117))</f>
        <v/>
      </c>
      <c r="O1152" s="34" t="str">
        <f>IF($J1152=FALSE(),"",발주접수!$B117)</f>
        <v/>
      </c>
      <c r="P1152" s="34" t="str">
        <f>IF($J1152=FALSE(),"",발주접수!$C117)</f>
        <v/>
      </c>
      <c r="Q1152" s="34" t="str">
        <f>IF($J1152=FALSE(),"",IF(발주접수!$F117="세트",발주접수!$E117&amp;" 전개","직접 발주"))</f>
        <v/>
      </c>
    </row>
    <row r="1153" ht="15" customHeight="1" s="30">
      <c r="J1153" s="50" t="b">
        <f>IF(발주접수!$D117="",FALSE(),IF(발주접수!$F117="세트",COUNTIF(세트구성!$G$3:$G$302,발주접수!$D117&amp;"|"&amp;8)&gt;0,7=0))</f>
        <v>0</v>
      </c>
      <c r="K1153" s="34" t="str">
        <f>IF($J1153=FALSE(),"",COUNTIF($J$6:$J1153,TRUE()))</f>
        <v/>
      </c>
      <c r="L1153" s="34" t="str">
        <f>IF($K1153="","","R"&amp;$K1153)</f>
        <v/>
      </c>
      <c r="M1153" s="34" t="str">
        <f>IF($J1153=FALSE(),"",IF(발주접수!$F117="세트",IFERROR(INDEX(세트구성!$C$3:$C$302,MATCH(발주접수!$D117&amp;"|"&amp;8,세트구성!$G$3:$G$302,0)),""),발주접수!$D117))</f>
        <v/>
      </c>
      <c r="N1153" s="34" t="str">
        <f>IF($J1153=FALSE(),"",IF(발주접수!$F117="세트",발주접수!$G117*IFERROR(INDEX(세트구성!$E$3:$E$302,MATCH(발주접수!$D117&amp;"|"&amp;8,세트구성!$G$3:$G$302,0)),0),발주접수!$G117))</f>
        <v/>
      </c>
      <c r="O1153" s="34" t="str">
        <f>IF($J1153=FALSE(),"",발주접수!$B117)</f>
        <v/>
      </c>
      <c r="P1153" s="34" t="str">
        <f>IF($J1153=FALSE(),"",발주접수!$C117)</f>
        <v/>
      </c>
      <c r="Q1153" s="34" t="str">
        <f>IF($J1153=FALSE(),"",IF(발주접수!$F117="세트",발주접수!$E117&amp;" 전개","직접 발주"))</f>
        <v/>
      </c>
    </row>
    <row r="1154" ht="15" customHeight="1" s="30">
      <c r="J1154" s="50" t="b">
        <f>IF(발주접수!$D117="",FALSE(),IF(발주접수!$F117="세트",COUNTIF(세트구성!$G$3:$G$302,발주접수!$D117&amp;"|"&amp;9)&gt;0,8=0))</f>
        <v>0</v>
      </c>
      <c r="K1154" s="34" t="str">
        <f>IF($J1154=FALSE(),"",COUNTIF($J$6:$J1154,TRUE()))</f>
        <v/>
      </c>
      <c r="L1154" s="34" t="str">
        <f>IF($K1154="","","R"&amp;$K1154)</f>
        <v/>
      </c>
      <c r="M1154" s="34" t="str">
        <f>IF($J1154=FALSE(),"",IF(발주접수!$F117="세트",IFERROR(INDEX(세트구성!$C$3:$C$302,MATCH(발주접수!$D117&amp;"|"&amp;9,세트구성!$G$3:$G$302,0)),""),발주접수!$D117))</f>
        <v/>
      </c>
      <c r="N1154" s="34" t="str">
        <f>IF($J1154=FALSE(),"",IF(발주접수!$F117="세트",발주접수!$G117*IFERROR(INDEX(세트구성!$E$3:$E$302,MATCH(발주접수!$D117&amp;"|"&amp;9,세트구성!$G$3:$G$302,0)),0),발주접수!$G117))</f>
        <v/>
      </c>
      <c r="O1154" s="34" t="str">
        <f>IF($J1154=FALSE(),"",발주접수!$B117)</f>
        <v/>
      </c>
      <c r="P1154" s="34" t="str">
        <f>IF($J1154=FALSE(),"",발주접수!$C117)</f>
        <v/>
      </c>
      <c r="Q1154" s="34" t="str">
        <f>IF($J1154=FALSE(),"",IF(발주접수!$F117="세트",발주접수!$E117&amp;" 전개","직접 발주"))</f>
        <v/>
      </c>
    </row>
    <row r="1155" ht="15" customHeight="1" s="30">
      <c r="J1155" s="50" t="b">
        <f>IF(발주접수!$D117="",FALSE(),IF(발주접수!$F117="세트",COUNTIF(세트구성!$G$3:$G$302,발주접수!$D117&amp;"|"&amp;10)&gt;0,9=0))</f>
        <v>0</v>
      </c>
      <c r="K1155" s="34" t="str">
        <f>IF($J1155=FALSE(),"",COUNTIF($J$6:$J1155,TRUE()))</f>
        <v/>
      </c>
      <c r="L1155" s="34" t="str">
        <f>IF($K1155="","","R"&amp;$K1155)</f>
        <v/>
      </c>
      <c r="M1155" s="34" t="str">
        <f>IF($J1155=FALSE(),"",IF(발주접수!$F117="세트",IFERROR(INDEX(세트구성!$C$3:$C$302,MATCH(발주접수!$D117&amp;"|"&amp;10,세트구성!$G$3:$G$302,0)),""),발주접수!$D117))</f>
        <v/>
      </c>
      <c r="N1155" s="34" t="str">
        <f>IF($J1155=FALSE(),"",IF(발주접수!$F117="세트",발주접수!$G117*IFERROR(INDEX(세트구성!$E$3:$E$302,MATCH(발주접수!$D117&amp;"|"&amp;10,세트구성!$G$3:$G$302,0)),0),발주접수!$G117))</f>
        <v/>
      </c>
      <c r="O1155" s="34" t="str">
        <f>IF($J1155=FALSE(),"",발주접수!$B117)</f>
        <v/>
      </c>
      <c r="P1155" s="34" t="str">
        <f>IF($J1155=FALSE(),"",발주접수!$C117)</f>
        <v/>
      </c>
      <c r="Q1155" s="34" t="str">
        <f>IF($J1155=FALSE(),"",IF(발주접수!$F117="세트",발주접수!$E117&amp;" 전개","직접 발주"))</f>
        <v/>
      </c>
    </row>
    <row r="1156" ht="15" customHeight="1" s="30">
      <c r="J1156" s="50" t="b">
        <f>IF(발주접수!$D118="",FALSE(),IF(발주접수!$F118="세트",COUNTIF(세트구성!$G$3:$G$302,발주접수!$D118&amp;"|"&amp;1)&gt;0,0=0))</f>
        <v>0</v>
      </c>
      <c r="K1156" s="34" t="str">
        <f>IF($J1156=FALSE(),"",COUNTIF($J$6:$J1156,TRUE()))</f>
        <v/>
      </c>
      <c r="L1156" s="34" t="str">
        <f>IF($K1156="","","R"&amp;$K1156)</f>
        <v/>
      </c>
      <c r="M1156" s="34" t="str">
        <f>IF($J1156=FALSE(),"",IF(발주접수!$F118="세트",IFERROR(INDEX(세트구성!$C$3:$C$302,MATCH(발주접수!$D118&amp;"|"&amp;1,세트구성!$G$3:$G$302,0)),""),발주접수!$D118))</f>
        <v/>
      </c>
      <c r="N1156" s="34" t="str">
        <f>IF($J1156=FALSE(),"",IF(발주접수!$F118="세트",발주접수!$G118*IFERROR(INDEX(세트구성!$E$3:$E$302,MATCH(발주접수!$D118&amp;"|"&amp;1,세트구성!$G$3:$G$302,0)),0),발주접수!$G118))</f>
        <v/>
      </c>
      <c r="O1156" s="34" t="str">
        <f>IF($J1156=FALSE(),"",발주접수!$B118)</f>
        <v/>
      </c>
      <c r="P1156" s="34" t="str">
        <f>IF($J1156=FALSE(),"",발주접수!$C118)</f>
        <v/>
      </c>
      <c r="Q1156" s="34" t="str">
        <f>IF($J1156=FALSE(),"",IF(발주접수!$F118="세트",발주접수!$E118&amp;" 전개","직접 발주"))</f>
        <v/>
      </c>
    </row>
    <row r="1157" ht="15" customHeight="1" s="30">
      <c r="J1157" s="50" t="b">
        <f>IF(발주접수!$D118="",FALSE(),IF(발주접수!$F118="세트",COUNTIF(세트구성!$G$3:$G$302,발주접수!$D118&amp;"|"&amp;2)&gt;0,1=0))</f>
        <v>0</v>
      </c>
      <c r="K1157" s="34" t="str">
        <f>IF($J1157=FALSE(),"",COUNTIF($J$6:$J1157,TRUE()))</f>
        <v/>
      </c>
      <c r="L1157" s="34" t="str">
        <f>IF($K1157="","","R"&amp;$K1157)</f>
        <v/>
      </c>
      <c r="M1157" s="34" t="str">
        <f>IF($J1157=FALSE(),"",IF(발주접수!$F118="세트",IFERROR(INDEX(세트구성!$C$3:$C$302,MATCH(발주접수!$D118&amp;"|"&amp;2,세트구성!$G$3:$G$302,0)),""),발주접수!$D118))</f>
        <v/>
      </c>
      <c r="N1157" s="34" t="str">
        <f>IF($J1157=FALSE(),"",IF(발주접수!$F118="세트",발주접수!$G118*IFERROR(INDEX(세트구성!$E$3:$E$302,MATCH(발주접수!$D118&amp;"|"&amp;2,세트구성!$G$3:$G$302,0)),0),발주접수!$G118))</f>
        <v/>
      </c>
      <c r="O1157" s="34" t="str">
        <f>IF($J1157=FALSE(),"",발주접수!$B118)</f>
        <v/>
      </c>
      <c r="P1157" s="34" t="str">
        <f>IF($J1157=FALSE(),"",발주접수!$C118)</f>
        <v/>
      </c>
      <c r="Q1157" s="34" t="str">
        <f>IF($J1157=FALSE(),"",IF(발주접수!$F118="세트",발주접수!$E118&amp;" 전개","직접 발주"))</f>
        <v/>
      </c>
    </row>
    <row r="1158" ht="15" customHeight="1" s="30">
      <c r="J1158" s="50" t="b">
        <f>IF(발주접수!$D118="",FALSE(),IF(발주접수!$F118="세트",COUNTIF(세트구성!$G$3:$G$302,발주접수!$D118&amp;"|"&amp;3)&gt;0,2=0))</f>
        <v>0</v>
      </c>
      <c r="K1158" s="34" t="str">
        <f>IF($J1158=FALSE(),"",COUNTIF($J$6:$J1158,TRUE()))</f>
        <v/>
      </c>
      <c r="L1158" s="34" t="str">
        <f>IF($K1158="","","R"&amp;$K1158)</f>
        <v/>
      </c>
      <c r="M1158" s="34" t="str">
        <f>IF($J1158=FALSE(),"",IF(발주접수!$F118="세트",IFERROR(INDEX(세트구성!$C$3:$C$302,MATCH(발주접수!$D118&amp;"|"&amp;3,세트구성!$G$3:$G$302,0)),""),발주접수!$D118))</f>
        <v/>
      </c>
      <c r="N1158" s="34" t="str">
        <f>IF($J1158=FALSE(),"",IF(발주접수!$F118="세트",발주접수!$G118*IFERROR(INDEX(세트구성!$E$3:$E$302,MATCH(발주접수!$D118&amp;"|"&amp;3,세트구성!$G$3:$G$302,0)),0),발주접수!$G118))</f>
        <v/>
      </c>
      <c r="O1158" s="34" t="str">
        <f>IF($J1158=FALSE(),"",발주접수!$B118)</f>
        <v/>
      </c>
      <c r="P1158" s="34" t="str">
        <f>IF($J1158=FALSE(),"",발주접수!$C118)</f>
        <v/>
      </c>
      <c r="Q1158" s="34" t="str">
        <f>IF($J1158=FALSE(),"",IF(발주접수!$F118="세트",발주접수!$E118&amp;" 전개","직접 발주"))</f>
        <v/>
      </c>
    </row>
    <row r="1159" ht="15" customHeight="1" s="30">
      <c r="J1159" s="50" t="b">
        <f>IF(발주접수!$D118="",FALSE(),IF(발주접수!$F118="세트",COUNTIF(세트구성!$G$3:$G$302,발주접수!$D118&amp;"|"&amp;4)&gt;0,3=0))</f>
        <v>0</v>
      </c>
      <c r="K1159" s="34" t="str">
        <f>IF($J1159=FALSE(),"",COUNTIF($J$6:$J1159,TRUE()))</f>
        <v/>
      </c>
      <c r="L1159" s="34" t="str">
        <f>IF($K1159="","","R"&amp;$K1159)</f>
        <v/>
      </c>
      <c r="M1159" s="34" t="str">
        <f>IF($J1159=FALSE(),"",IF(발주접수!$F118="세트",IFERROR(INDEX(세트구성!$C$3:$C$302,MATCH(발주접수!$D118&amp;"|"&amp;4,세트구성!$G$3:$G$302,0)),""),발주접수!$D118))</f>
        <v/>
      </c>
      <c r="N1159" s="34" t="str">
        <f>IF($J1159=FALSE(),"",IF(발주접수!$F118="세트",발주접수!$G118*IFERROR(INDEX(세트구성!$E$3:$E$302,MATCH(발주접수!$D118&amp;"|"&amp;4,세트구성!$G$3:$G$302,0)),0),발주접수!$G118))</f>
        <v/>
      </c>
      <c r="O1159" s="34" t="str">
        <f>IF($J1159=FALSE(),"",발주접수!$B118)</f>
        <v/>
      </c>
      <c r="P1159" s="34" t="str">
        <f>IF($J1159=FALSE(),"",발주접수!$C118)</f>
        <v/>
      </c>
      <c r="Q1159" s="34" t="str">
        <f>IF($J1159=FALSE(),"",IF(발주접수!$F118="세트",발주접수!$E118&amp;" 전개","직접 발주"))</f>
        <v/>
      </c>
    </row>
    <row r="1160" ht="15" customHeight="1" s="30">
      <c r="J1160" s="50" t="b">
        <f>IF(발주접수!$D118="",FALSE(),IF(발주접수!$F118="세트",COUNTIF(세트구성!$G$3:$G$302,발주접수!$D118&amp;"|"&amp;5)&gt;0,4=0))</f>
        <v>0</v>
      </c>
      <c r="K1160" s="34" t="str">
        <f>IF($J1160=FALSE(),"",COUNTIF($J$6:$J1160,TRUE()))</f>
        <v/>
      </c>
      <c r="L1160" s="34" t="str">
        <f>IF($K1160="","","R"&amp;$K1160)</f>
        <v/>
      </c>
      <c r="M1160" s="34" t="str">
        <f>IF($J1160=FALSE(),"",IF(발주접수!$F118="세트",IFERROR(INDEX(세트구성!$C$3:$C$302,MATCH(발주접수!$D118&amp;"|"&amp;5,세트구성!$G$3:$G$302,0)),""),발주접수!$D118))</f>
        <v/>
      </c>
      <c r="N1160" s="34" t="str">
        <f>IF($J1160=FALSE(),"",IF(발주접수!$F118="세트",발주접수!$G118*IFERROR(INDEX(세트구성!$E$3:$E$302,MATCH(발주접수!$D118&amp;"|"&amp;5,세트구성!$G$3:$G$302,0)),0),발주접수!$G118))</f>
        <v/>
      </c>
      <c r="O1160" s="34" t="str">
        <f>IF($J1160=FALSE(),"",발주접수!$B118)</f>
        <v/>
      </c>
      <c r="P1160" s="34" t="str">
        <f>IF($J1160=FALSE(),"",발주접수!$C118)</f>
        <v/>
      </c>
      <c r="Q1160" s="34" t="str">
        <f>IF($J1160=FALSE(),"",IF(발주접수!$F118="세트",발주접수!$E118&amp;" 전개","직접 발주"))</f>
        <v/>
      </c>
    </row>
    <row r="1161" ht="15" customHeight="1" s="30">
      <c r="J1161" s="50" t="b">
        <f>IF(발주접수!$D118="",FALSE(),IF(발주접수!$F118="세트",COUNTIF(세트구성!$G$3:$G$302,발주접수!$D118&amp;"|"&amp;6)&gt;0,5=0))</f>
        <v>0</v>
      </c>
      <c r="K1161" s="34" t="str">
        <f>IF($J1161=FALSE(),"",COUNTIF($J$6:$J1161,TRUE()))</f>
        <v/>
      </c>
      <c r="L1161" s="34" t="str">
        <f>IF($K1161="","","R"&amp;$K1161)</f>
        <v/>
      </c>
      <c r="M1161" s="34" t="str">
        <f>IF($J1161=FALSE(),"",IF(발주접수!$F118="세트",IFERROR(INDEX(세트구성!$C$3:$C$302,MATCH(발주접수!$D118&amp;"|"&amp;6,세트구성!$G$3:$G$302,0)),""),발주접수!$D118))</f>
        <v/>
      </c>
      <c r="N1161" s="34" t="str">
        <f>IF($J1161=FALSE(),"",IF(발주접수!$F118="세트",발주접수!$G118*IFERROR(INDEX(세트구성!$E$3:$E$302,MATCH(발주접수!$D118&amp;"|"&amp;6,세트구성!$G$3:$G$302,0)),0),발주접수!$G118))</f>
        <v/>
      </c>
      <c r="O1161" s="34" t="str">
        <f>IF($J1161=FALSE(),"",발주접수!$B118)</f>
        <v/>
      </c>
      <c r="P1161" s="34" t="str">
        <f>IF($J1161=FALSE(),"",발주접수!$C118)</f>
        <v/>
      </c>
      <c r="Q1161" s="34" t="str">
        <f>IF($J1161=FALSE(),"",IF(발주접수!$F118="세트",발주접수!$E118&amp;" 전개","직접 발주"))</f>
        <v/>
      </c>
    </row>
    <row r="1162" ht="15" customHeight="1" s="30">
      <c r="J1162" s="50" t="b">
        <f>IF(발주접수!$D118="",FALSE(),IF(발주접수!$F118="세트",COUNTIF(세트구성!$G$3:$G$302,발주접수!$D118&amp;"|"&amp;7)&gt;0,6=0))</f>
        <v>0</v>
      </c>
      <c r="K1162" s="34" t="str">
        <f>IF($J1162=FALSE(),"",COUNTIF($J$6:$J1162,TRUE()))</f>
        <v/>
      </c>
      <c r="L1162" s="34" t="str">
        <f>IF($K1162="","","R"&amp;$K1162)</f>
        <v/>
      </c>
      <c r="M1162" s="34" t="str">
        <f>IF($J1162=FALSE(),"",IF(발주접수!$F118="세트",IFERROR(INDEX(세트구성!$C$3:$C$302,MATCH(발주접수!$D118&amp;"|"&amp;7,세트구성!$G$3:$G$302,0)),""),발주접수!$D118))</f>
        <v/>
      </c>
      <c r="N1162" s="34" t="str">
        <f>IF($J1162=FALSE(),"",IF(발주접수!$F118="세트",발주접수!$G118*IFERROR(INDEX(세트구성!$E$3:$E$302,MATCH(발주접수!$D118&amp;"|"&amp;7,세트구성!$G$3:$G$302,0)),0),발주접수!$G118))</f>
        <v/>
      </c>
      <c r="O1162" s="34" t="str">
        <f>IF($J1162=FALSE(),"",발주접수!$B118)</f>
        <v/>
      </c>
      <c r="P1162" s="34" t="str">
        <f>IF($J1162=FALSE(),"",발주접수!$C118)</f>
        <v/>
      </c>
      <c r="Q1162" s="34" t="str">
        <f>IF($J1162=FALSE(),"",IF(발주접수!$F118="세트",발주접수!$E118&amp;" 전개","직접 발주"))</f>
        <v/>
      </c>
    </row>
    <row r="1163" ht="15" customHeight="1" s="30">
      <c r="J1163" s="50" t="b">
        <f>IF(발주접수!$D118="",FALSE(),IF(발주접수!$F118="세트",COUNTIF(세트구성!$G$3:$G$302,발주접수!$D118&amp;"|"&amp;8)&gt;0,7=0))</f>
        <v>0</v>
      </c>
      <c r="K1163" s="34" t="str">
        <f>IF($J1163=FALSE(),"",COUNTIF($J$6:$J1163,TRUE()))</f>
        <v/>
      </c>
      <c r="L1163" s="34" t="str">
        <f>IF($K1163="","","R"&amp;$K1163)</f>
        <v/>
      </c>
      <c r="M1163" s="34" t="str">
        <f>IF($J1163=FALSE(),"",IF(발주접수!$F118="세트",IFERROR(INDEX(세트구성!$C$3:$C$302,MATCH(발주접수!$D118&amp;"|"&amp;8,세트구성!$G$3:$G$302,0)),""),발주접수!$D118))</f>
        <v/>
      </c>
      <c r="N1163" s="34" t="str">
        <f>IF($J1163=FALSE(),"",IF(발주접수!$F118="세트",발주접수!$G118*IFERROR(INDEX(세트구성!$E$3:$E$302,MATCH(발주접수!$D118&amp;"|"&amp;8,세트구성!$G$3:$G$302,0)),0),발주접수!$G118))</f>
        <v/>
      </c>
      <c r="O1163" s="34" t="str">
        <f>IF($J1163=FALSE(),"",발주접수!$B118)</f>
        <v/>
      </c>
      <c r="P1163" s="34" t="str">
        <f>IF($J1163=FALSE(),"",발주접수!$C118)</f>
        <v/>
      </c>
      <c r="Q1163" s="34" t="str">
        <f>IF($J1163=FALSE(),"",IF(발주접수!$F118="세트",발주접수!$E118&amp;" 전개","직접 발주"))</f>
        <v/>
      </c>
    </row>
    <row r="1164" ht="15" customHeight="1" s="30">
      <c r="J1164" s="50" t="b">
        <f>IF(발주접수!$D118="",FALSE(),IF(발주접수!$F118="세트",COUNTIF(세트구성!$G$3:$G$302,발주접수!$D118&amp;"|"&amp;9)&gt;0,8=0))</f>
        <v>0</v>
      </c>
      <c r="K1164" s="34" t="str">
        <f>IF($J1164=FALSE(),"",COUNTIF($J$6:$J1164,TRUE()))</f>
        <v/>
      </c>
      <c r="L1164" s="34" t="str">
        <f>IF($K1164="","","R"&amp;$K1164)</f>
        <v/>
      </c>
      <c r="M1164" s="34" t="str">
        <f>IF($J1164=FALSE(),"",IF(발주접수!$F118="세트",IFERROR(INDEX(세트구성!$C$3:$C$302,MATCH(발주접수!$D118&amp;"|"&amp;9,세트구성!$G$3:$G$302,0)),""),발주접수!$D118))</f>
        <v/>
      </c>
      <c r="N1164" s="34" t="str">
        <f>IF($J1164=FALSE(),"",IF(발주접수!$F118="세트",발주접수!$G118*IFERROR(INDEX(세트구성!$E$3:$E$302,MATCH(발주접수!$D118&amp;"|"&amp;9,세트구성!$G$3:$G$302,0)),0),발주접수!$G118))</f>
        <v/>
      </c>
      <c r="O1164" s="34" t="str">
        <f>IF($J1164=FALSE(),"",발주접수!$B118)</f>
        <v/>
      </c>
      <c r="P1164" s="34" t="str">
        <f>IF($J1164=FALSE(),"",발주접수!$C118)</f>
        <v/>
      </c>
      <c r="Q1164" s="34" t="str">
        <f>IF($J1164=FALSE(),"",IF(발주접수!$F118="세트",발주접수!$E118&amp;" 전개","직접 발주"))</f>
        <v/>
      </c>
    </row>
    <row r="1165" ht="15" customHeight="1" s="30">
      <c r="J1165" s="50" t="b">
        <f>IF(발주접수!$D118="",FALSE(),IF(발주접수!$F118="세트",COUNTIF(세트구성!$G$3:$G$302,발주접수!$D118&amp;"|"&amp;10)&gt;0,9=0))</f>
        <v>0</v>
      </c>
      <c r="K1165" s="34" t="str">
        <f>IF($J1165=FALSE(),"",COUNTIF($J$6:$J1165,TRUE()))</f>
        <v/>
      </c>
      <c r="L1165" s="34" t="str">
        <f>IF($K1165="","","R"&amp;$K1165)</f>
        <v/>
      </c>
      <c r="M1165" s="34" t="str">
        <f>IF($J1165=FALSE(),"",IF(발주접수!$F118="세트",IFERROR(INDEX(세트구성!$C$3:$C$302,MATCH(발주접수!$D118&amp;"|"&amp;10,세트구성!$G$3:$G$302,0)),""),발주접수!$D118))</f>
        <v/>
      </c>
      <c r="N1165" s="34" t="str">
        <f>IF($J1165=FALSE(),"",IF(발주접수!$F118="세트",발주접수!$G118*IFERROR(INDEX(세트구성!$E$3:$E$302,MATCH(발주접수!$D118&amp;"|"&amp;10,세트구성!$G$3:$G$302,0)),0),발주접수!$G118))</f>
        <v/>
      </c>
      <c r="O1165" s="34" t="str">
        <f>IF($J1165=FALSE(),"",발주접수!$B118)</f>
        <v/>
      </c>
      <c r="P1165" s="34" t="str">
        <f>IF($J1165=FALSE(),"",발주접수!$C118)</f>
        <v/>
      </c>
      <c r="Q1165" s="34" t="str">
        <f>IF($J1165=FALSE(),"",IF(발주접수!$F118="세트",발주접수!$E118&amp;" 전개","직접 발주"))</f>
        <v/>
      </c>
    </row>
    <row r="1166" ht="15" customHeight="1" s="30">
      <c r="J1166" s="50" t="b">
        <f>IF(발주접수!$D119="",FALSE(),IF(발주접수!$F119="세트",COUNTIF(세트구성!$G$3:$G$302,발주접수!$D119&amp;"|"&amp;1)&gt;0,0=0))</f>
        <v>0</v>
      </c>
      <c r="K1166" s="34" t="str">
        <f>IF($J1166=FALSE(),"",COUNTIF($J$6:$J1166,TRUE()))</f>
        <v/>
      </c>
      <c r="L1166" s="34" t="str">
        <f>IF($K1166="","","R"&amp;$K1166)</f>
        <v/>
      </c>
      <c r="M1166" s="34" t="str">
        <f>IF($J1166=FALSE(),"",IF(발주접수!$F119="세트",IFERROR(INDEX(세트구성!$C$3:$C$302,MATCH(발주접수!$D119&amp;"|"&amp;1,세트구성!$G$3:$G$302,0)),""),발주접수!$D119))</f>
        <v/>
      </c>
      <c r="N1166" s="34" t="str">
        <f>IF($J1166=FALSE(),"",IF(발주접수!$F119="세트",발주접수!$G119*IFERROR(INDEX(세트구성!$E$3:$E$302,MATCH(발주접수!$D119&amp;"|"&amp;1,세트구성!$G$3:$G$302,0)),0),발주접수!$G119))</f>
        <v/>
      </c>
      <c r="O1166" s="34" t="str">
        <f>IF($J1166=FALSE(),"",발주접수!$B119)</f>
        <v/>
      </c>
      <c r="P1166" s="34" t="str">
        <f>IF($J1166=FALSE(),"",발주접수!$C119)</f>
        <v/>
      </c>
      <c r="Q1166" s="34" t="str">
        <f>IF($J1166=FALSE(),"",IF(발주접수!$F119="세트",발주접수!$E119&amp;" 전개","직접 발주"))</f>
        <v/>
      </c>
    </row>
    <row r="1167" ht="15" customHeight="1" s="30">
      <c r="J1167" s="50" t="b">
        <f>IF(발주접수!$D119="",FALSE(),IF(발주접수!$F119="세트",COUNTIF(세트구성!$G$3:$G$302,발주접수!$D119&amp;"|"&amp;2)&gt;0,1=0))</f>
        <v>0</v>
      </c>
      <c r="K1167" s="34" t="str">
        <f>IF($J1167=FALSE(),"",COUNTIF($J$6:$J1167,TRUE()))</f>
        <v/>
      </c>
      <c r="L1167" s="34" t="str">
        <f>IF($K1167="","","R"&amp;$K1167)</f>
        <v/>
      </c>
      <c r="M1167" s="34" t="str">
        <f>IF($J1167=FALSE(),"",IF(발주접수!$F119="세트",IFERROR(INDEX(세트구성!$C$3:$C$302,MATCH(발주접수!$D119&amp;"|"&amp;2,세트구성!$G$3:$G$302,0)),""),발주접수!$D119))</f>
        <v/>
      </c>
      <c r="N1167" s="34" t="str">
        <f>IF($J1167=FALSE(),"",IF(발주접수!$F119="세트",발주접수!$G119*IFERROR(INDEX(세트구성!$E$3:$E$302,MATCH(발주접수!$D119&amp;"|"&amp;2,세트구성!$G$3:$G$302,0)),0),발주접수!$G119))</f>
        <v/>
      </c>
      <c r="O1167" s="34" t="str">
        <f>IF($J1167=FALSE(),"",발주접수!$B119)</f>
        <v/>
      </c>
      <c r="P1167" s="34" t="str">
        <f>IF($J1167=FALSE(),"",발주접수!$C119)</f>
        <v/>
      </c>
      <c r="Q1167" s="34" t="str">
        <f>IF($J1167=FALSE(),"",IF(발주접수!$F119="세트",발주접수!$E119&amp;" 전개","직접 발주"))</f>
        <v/>
      </c>
    </row>
    <row r="1168" ht="15" customHeight="1" s="30">
      <c r="J1168" s="50" t="b">
        <f>IF(발주접수!$D119="",FALSE(),IF(발주접수!$F119="세트",COUNTIF(세트구성!$G$3:$G$302,발주접수!$D119&amp;"|"&amp;3)&gt;0,2=0))</f>
        <v>0</v>
      </c>
      <c r="K1168" s="34" t="str">
        <f>IF($J1168=FALSE(),"",COUNTIF($J$6:$J1168,TRUE()))</f>
        <v/>
      </c>
      <c r="L1168" s="34" t="str">
        <f>IF($K1168="","","R"&amp;$K1168)</f>
        <v/>
      </c>
      <c r="M1168" s="34" t="str">
        <f>IF($J1168=FALSE(),"",IF(발주접수!$F119="세트",IFERROR(INDEX(세트구성!$C$3:$C$302,MATCH(발주접수!$D119&amp;"|"&amp;3,세트구성!$G$3:$G$302,0)),""),발주접수!$D119))</f>
        <v/>
      </c>
      <c r="N1168" s="34" t="str">
        <f>IF($J1168=FALSE(),"",IF(발주접수!$F119="세트",발주접수!$G119*IFERROR(INDEX(세트구성!$E$3:$E$302,MATCH(발주접수!$D119&amp;"|"&amp;3,세트구성!$G$3:$G$302,0)),0),발주접수!$G119))</f>
        <v/>
      </c>
      <c r="O1168" s="34" t="str">
        <f>IF($J1168=FALSE(),"",발주접수!$B119)</f>
        <v/>
      </c>
      <c r="P1168" s="34" t="str">
        <f>IF($J1168=FALSE(),"",발주접수!$C119)</f>
        <v/>
      </c>
      <c r="Q1168" s="34" t="str">
        <f>IF($J1168=FALSE(),"",IF(발주접수!$F119="세트",발주접수!$E119&amp;" 전개","직접 발주"))</f>
        <v/>
      </c>
    </row>
    <row r="1169" ht="15" customHeight="1" s="30">
      <c r="J1169" s="50" t="b">
        <f>IF(발주접수!$D119="",FALSE(),IF(발주접수!$F119="세트",COUNTIF(세트구성!$G$3:$G$302,발주접수!$D119&amp;"|"&amp;4)&gt;0,3=0))</f>
        <v>0</v>
      </c>
      <c r="K1169" s="34" t="str">
        <f>IF($J1169=FALSE(),"",COUNTIF($J$6:$J1169,TRUE()))</f>
        <v/>
      </c>
      <c r="L1169" s="34" t="str">
        <f>IF($K1169="","","R"&amp;$K1169)</f>
        <v/>
      </c>
      <c r="M1169" s="34" t="str">
        <f>IF($J1169=FALSE(),"",IF(발주접수!$F119="세트",IFERROR(INDEX(세트구성!$C$3:$C$302,MATCH(발주접수!$D119&amp;"|"&amp;4,세트구성!$G$3:$G$302,0)),""),발주접수!$D119))</f>
        <v/>
      </c>
      <c r="N1169" s="34" t="str">
        <f>IF($J1169=FALSE(),"",IF(발주접수!$F119="세트",발주접수!$G119*IFERROR(INDEX(세트구성!$E$3:$E$302,MATCH(발주접수!$D119&amp;"|"&amp;4,세트구성!$G$3:$G$302,0)),0),발주접수!$G119))</f>
        <v/>
      </c>
      <c r="O1169" s="34" t="str">
        <f>IF($J1169=FALSE(),"",발주접수!$B119)</f>
        <v/>
      </c>
      <c r="P1169" s="34" t="str">
        <f>IF($J1169=FALSE(),"",발주접수!$C119)</f>
        <v/>
      </c>
      <c r="Q1169" s="34" t="str">
        <f>IF($J1169=FALSE(),"",IF(발주접수!$F119="세트",발주접수!$E119&amp;" 전개","직접 발주"))</f>
        <v/>
      </c>
    </row>
    <row r="1170" ht="15" customHeight="1" s="30">
      <c r="J1170" s="50" t="b">
        <f>IF(발주접수!$D119="",FALSE(),IF(발주접수!$F119="세트",COUNTIF(세트구성!$G$3:$G$302,발주접수!$D119&amp;"|"&amp;5)&gt;0,4=0))</f>
        <v>0</v>
      </c>
      <c r="K1170" s="34" t="str">
        <f>IF($J1170=FALSE(),"",COUNTIF($J$6:$J1170,TRUE()))</f>
        <v/>
      </c>
      <c r="L1170" s="34" t="str">
        <f>IF($K1170="","","R"&amp;$K1170)</f>
        <v/>
      </c>
      <c r="M1170" s="34" t="str">
        <f>IF($J1170=FALSE(),"",IF(발주접수!$F119="세트",IFERROR(INDEX(세트구성!$C$3:$C$302,MATCH(발주접수!$D119&amp;"|"&amp;5,세트구성!$G$3:$G$302,0)),""),발주접수!$D119))</f>
        <v/>
      </c>
      <c r="N1170" s="34" t="str">
        <f>IF($J1170=FALSE(),"",IF(발주접수!$F119="세트",발주접수!$G119*IFERROR(INDEX(세트구성!$E$3:$E$302,MATCH(발주접수!$D119&amp;"|"&amp;5,세트구성!$G$3:$G$302,0)),0),발주접수!$G119))</f>
        <v/>
      </c>
      <c r="O1170" s="34" t="str">
        <f>IF($J1170=FALSE(),"",발주접수!$B119)</f>
        <v/>
      </c>
      <c r="P1170" s="34" t="str">
        <f>IF($J1170=FALSE(),"",발주접수!$C119)</f>
        <v/>
      </c>
      <c r="Q1170" s="34" t="str">
        <f>IF($J1170=FALSE(),"",IF(발주접수!$F119="세트",발주접수!$E119&amp;" 전개","직접 발주"))</f>
        <v/>
      </c>
    </row>
    <row r="1171" ht="15" customHeight="1" s="30">
      <c r="J1171" s="50" t="b">
        <f>IF(발주접수!$D119="",FALSE(),IF(발주접수!$F119="세트",COUNTIF(세트구성!$G$3:$G$302,발주접수!$D119&amp;"|"&amp;6)&gt;0,5=0))</f>
        <v>0</v>
      </c>
      <c r="K1171" s="34" t="str">
        <f>IF($J1171=FALSE(),"",COUNTIF($J$6:$J1171,TRUE()))</f>
        <v/>
      </c>
      <c r="L1171" s="34" t="str">
        <f>IF($K1171="","","R"&amp;$K1171)</f>
        <v/>
      </c>
      <c r="M1171" s="34" t="str">
        <f>IF($J1171=FALSE(),"",IF(발주접수!$F119="세트",IFERROR(INDEX(세트구성!$C$3:$C$302,MATCH(발주접수!$D119&amp;"|"&amp;6,세트구성!$G$3:$G$302,0)),""),발주접수!$D119))</f>
        <v/>
      </c>
      <c r="N1171" s="34" t="str">
        <f>IF($J1171=FALSE(),"",IF(발주접수!$F119="세트",발주접수!$G119*IFERROR(INDEX(세트구성!$E$3:$E$302,MATCH(발주접수!$D119&amp;"|"&amp;6,세트구성!$G$3:$G$302,0)),0),발주접수!$G119))</f>
        <v/>
      </c>
      <c r="O1171" s="34" t="str">
        <f>IF($J1171=FALSE(),"",발주접수!$B119)</f>
        <v/>
      </c>
      <c r="P1171" s="34" t="str">
        <f>IF($J1171=FALSE(),"",발주접수!$C119)</f>
        <v/>
      </c>
      <c r="Q1171" s="34" t="str">
        <f>IF($J1171=FALSE(),"",IF(발주접수!$F119="세트",발주접수!$E119&amp;" 전개","직접 발주"))</f>
        <v/>
      </c>
    </row>
    <row r="1172" ht="15" customHeight="1" s="30">
      <c r="J1172" s="50" t="b">
        <f>IF(발주접수!$D119="",FALSE(),IF(발주접수!$F119="세트",COUNTIF(세트구성!$G$3:$G$302,발주접수!$D119&amp;"|"&amp;7)&gt;0,6=0))</f>
        <v>0</v>
      </c>
      <c r="K1172" s="34" t="str">
        <f>IF($J1172=FALSE(),"",COUNTIF($J$6:$J1172,TRUE()))</f>
        <v/>
      </c>
      <c r="L1172" s="34" t="str">
        <f>IF($K1172="","","R"&amp;$K1172)</f>
        <v/>
      </c>
      <c r="M1172" s="34" t="str">
        <f>IF($J1172=FALSE(),"",IF(발주접수!$F119="세트",IFERROR(INDEX(세트구성!$C$3:$C$302,MATCH(발주접수!$D119&amp;"|"&amp;7,세트구성!$G$3:$G$302,0)),""),발주접수!$D119))</f>
        <v/>
      </c>
      <c r="N1172" s="34" t="str">
        <f>IF($J1172=FALSE(),"",IF(발주접수!$F119="세트",발주접수!$G119*IFERROR(INDEX(세트구성!$E$3:$E$302,MATCH(발주접수!$D119&amp;"|"&amp;7,세트구성!$G$3:$G$302,0)),0),발주접수!$G119))</f>
        <v/>
      </c>
      <c r="O1172" s="34" t="str">
        <f>IF($J1172=FALSE(),"",발주접수!$B119)</f>
        <v/>
      </c>
      <c r="P1172" s="34" t="str">
        <f>IF($J1172=FALSE(),"",발주접수!$C119)</f>
        <v/>
      </c>
      <c r="Q1172" s="34" t="str">
        <f>IF($J1172=FALSE(),"",IF(발주접수!$F119="세트",발주접수!$E119&amp;" 전개","직접 발주"))</f>
        <v/>
      </c>
    </row>
    <row r="1173" ht="15" customHeight="1" s="30">
      <c r="J1173" s="50" t="b">
        <f>IF(발주접수!$D119="",FALSE(),IF(발주접수!$F119="세트",COUNTIF(세트구성!$G$3:$G$302,발주접수!$D119&amp;"|"&amp;8)&gt;0,7=0))</f>
        <v>0</v>
      </c>
      <c r="K1173" s="34" t="str">
        <f>IF($J1173=FALSE(),"",COUNTIF($J$6:$J1173,TRUE()))</f>
        <v/>
      </c>
      <c r="L1173" s="34" t="str">
        <f>IF($K1173="","","R"&amp;$K1173)</f>
        <v/>
      </c>
      <c r="M1173" s="34" t="str">
        <f>IF($J1173=FALSE(),"",IF(발주접수!$F119="세트",IFERROR(INDEX(세트구성!$C$3:$C$302,MATCH(발주접수!$D119&amp;"|"&amp;8,세트구성!$G$3:$G$302,0)),""),발주접수!$D119))</f>
        <v/>
      </c>
      <c r="N1173" s="34" t="str">
        <f>IF($J1173=FALSE(),"",IF(발주접수!$F119="세트",발주접수!$G119*IFERROR(INDEX(세트구성!$E$3:$E$302,MATCH(발주접수!$D119&amp;"|"&amp;8,세트구성!$G$3:$G$302,0)),0),발주접수!$G119))</f>
        <v/>
      </c>
      <c r="O1173" s="34" t="str">
        <f>IF($J1173=FALSE(),"",발주접수!$B119)</f>
        <v/>
      </c>
      <c r="P1173" s="34" t="str">
        <f>IF($J1173=FALSE(),"",발주접수!$C119)</f>
        <v/>
      </c>
      <c r="Q1173" s="34" t="str">
        <f>IF($J1173=FALSE(),"",IF(발주접수!$F119="세트",발주접수!$E119&amp;" 전개","직접 발주"))</f>
        <v/>
      </c>
    </row>
    <row r="1174" ht="15" customHeight="1" s="30">
      <c r="J1174" s="50" t="b">
        <f>IF(발주접수!$D119="",FALSE(),IF(발주접수!$F119="세트",COUNTIF(세트구성!$G$3:$G$302,발주접수!$D119&amp;"|"&amp;9)&gt;0,8=0))</f>
        <v>0</v>
      </c>
      <c r="K1174" s="34" t="str">
        <f>IF($J1174=FALSE(),"",COUNTIF($J$6:$J1174,TRUE()))</f>
        <v/>
      </c>
      <c r="L1174" s="34" t="str">
        <f>IF($K1174="","","R"&amp;$K1174)</f>
        <v/>
      </c>
      <c r="M1174" s="34" t="str">
        <f>IF($J1174=FALSE(),"",IF(발주접수!$F119="세트",IFERROR(INDEX(세트구성!$C$3:$C$302,MATCH(발주접수!$D119&amp;"|"&amp;9,세트구성!$G$3:$G$302,0)),""),발주접수!$D119))</f>
        <v/>
      </c>
      <c r="N1174" s="34" t="str">
        <f>IF($J1174=FALSE(),"",IF(발주접수!$F119="세트",발주접수!$G119*IFERROR(INDEX(세트구성!$E$3:$E$302,MATCH(발주접수!$D119&amp;"|"&amp;9,세트구성!$G$3:$G$302,0)),0),발주접수!$G119))</f>
        <v/>
      </c>
      <c r="O1174" s="34" t="str">
        <f>IF($J1174=FALSE(),"",발주접수!$B119)</f>
        <v/>
      </c>
      <c r="P1174" s="34" t="str">
        <f>IF($J1174=FALSE(),"",발주접수!$C119)</f>
        <v/>
      </c>
      <c r="Q1174" s="34" t="str">
        <f>IF($J1174=FALSE(),"",IF(발주접수!$F119="세트",발주접수!$E119&amp;" 전개","직접 발주"))</f>
        <v/>
      </c>
    </row>
    <row r="1175" ht="15" customHeight="1" s="30">
      <c r="J1175" s="50" t="b">
        <f>IF(발주접수!$D119="",FALSE(),IF(발주접수!$F119="세트",COUNTIF(세트구성!$G$3:$G$302,발주접수!$D119&amp;"|"&amp;10)&gt;0,9=0))</f>
        <v>0</v>
      </c>
      <c r="K1175" s="34" t="str">
        <f>IF($J1175=FALSE(),"",COUNTIF($J$6:$J1175,TRUE()))</f>
        <v/>
      </c>
      <c r="L1175" s="34" t="str">
        <f>IF($K1175="","","R"&amp;$K1175)</f>
        <v/>
      </c>
      <c r="M1175" s="34" t="str">
        <f>IF($J1175=FALSE(),"",IF(발주접수!$F119="세트",IFERROR(INDEX(세트구성!$C$3:$C$302,MATCH(발주접수!$D119&amp;"|"&amp;10,세트구성!$G$3:$G$302,0)),""),발주접수!$D119))</f>
        <v/>
      </c>
      <c r="N1175" s="34" t="str">
        <f>IF($J1175=FALSE(),"",IF(발주접수!$F119="세트",발주접수!$G119*IFERROR(INDEX(세트구성!$E$3:$E$302,MATCH(발주접수!$D119&amp;"|"&amp;10,세트구성!$G$3:$G$302,0)),0),발주접수!$G119))</f>
        <v/>
      </c>
      <c r="O1175" s="34" t="str">
        <f>IF($J1175=FALSE(),"",발주접수!$B119)</f>
        <v/>
      </c>
      <c r="P1175" s="34" t="str">
        <f>IF($J1175=FALSE(),"",발주접수!$C119)</f>
        <v/>
      </c>
      <c r="Q1175" s="34" t="str">
        <f>IF($J1175=FALSE(),"",IF(발주접수!$F119="세트",발주접수!$E119&amp;" 전개","직접 발주"))</f>
        <v/>
      </c>
    </row>
    <row r="1176" ht="15" customHeight="1" s="30">
      <c r="J1176" s="50" t="b">
        <f>IF(발주접수!$D120="",FALSE(),IF(발주접수!$F120="세트",COUNTIF(세트구성!$G$3:$G$302,발주접수!$D120&amp;"|"&amp;1)&gt;0,0=0))</f>
        <v>0</v>
      </c>
      <c r="K1176" s="34" t="str">
        <f>IF($J1176=FALSE(),"",COUNTIF($J$6:$J1176,TRUE()))</f>
        <v/>
      </c>
      <c r="L1176" s="34" t="str">
        <f>IF($K1176="","","R"&amp;$K1176)</f>
        <v/>
      </c>
      <c r="M1176" s="34" t="str">
        <f>IF($J1176=FALSE(),"",IF(발주접수!$F120="세트",IFERROR(INDEX(세트구성!$C$3:$C$302,MATCH(발주접수!$D120&amp;"|"&amp;1,세트구성!$G$3:$G$302,0)),""),발주접수!$D120))</f>
        <v/>
      </c>
      <c r="N1176" s="34" t="str">
        <f>IF($J1176=FALSE(),"",IF(발주접수!$F120="세트",발주접수!$G120*IFERROR(INDEX(세트구성!$E$3:$E$302,MATCH(발주접수!$D120&amp;"|"&amp;1,세트구성!$G$3:$G$302,0)),0),발주접수!$G120))</f>
        <v/>
      </c>
      <c r="O1176" s="34" t="str">
        <f>IF($J1176=FALSE(),"",발주접수!$B120)</f>
        <v/>
      </c>
      <c r="P1176" s="34" t="str">
        <f>IF($J1176=FALSE(),"",발주접수!$C120)</f>
        <v/>
      </c>
      <c r="Q1176" s="34" t="str">
        <f>IF($J1176=FALSE(),"",IF(발주접수!$F120="세트",발주접수!$E120&amp;" 전개","직접 발주"))</f>
        <v/>
      </c>
    </row>
    <row r="1177" ht="15" customHeight="1" s="30">
      <c r="J1177" s="50" t="b">
        <f>IF(발주접수!$D120="",FALSE(),IF(발주접수!$F120="세트",COUNTIF(세트구성!$G$3:$G$302,발주접수!$D120&amp;"|"&amp;2)&gt;0,1=0))</f>
        <v>0</v>
      </c>
      <c r="K1177" s="34" t="str">
        <f>IF($J1177=FALSE(),"",COUNTIF($J$6:$J1177,TRUE()))</f>
        <v/>
      </c>
      <c r="L1177" s="34" t="str">
        <f>IF($K1177="","","R"&amp;$K1177)</f>
        <v/>
      </c>
      <c r="M1177" s="34" t="str">
        <f>IF($J1177=FALSE(),"",IF(발주접수!$F120="세트",IFERROR(INDEX(세트구성!$C$3:$C$302,MATCH(발주접수!$D120&amp;"|"&amp;2,세트구성!$G$3:$G$302,0)),""),발주접수!$D120))</f>
        <v/>
      </c>
      <c r="N1177" s="34" t="str">
        <f>IF($J1177=FALSE(),"",IF(발주접수!$F120="세트",발주접수!$G120*IFERROR(INDEX(세트구성!$E$3:$E$302,MATCH(발주접수!$D120&amp;"|"&amp;2,세트구성!$G$3:$G$302,0)),0),발주접수!$G120))</f>
        <v/>
      </c>
      <c r="O1177" s="34" t="str">
        <f>IF($J1177=FALSE(),"",발주접수!$B120)</f>
        <v/>
      </c>
      <c r="P1177" s="34" t="str">
        <f>IF($J1177=FALSE(),"",발주접수!$C120)</f>
        <v/>
      </c>
      <c r="Q1177" s="34" t="str">
        <f>IF($J1177=FALSE(),"",IF(발주접수!$F120="세트",발주접수!$E120&amp;" 전개","직접 발주"))</f>
        <v/>
      </c>
    </row>
    <row r="1178" ht="15" customHeight="1" s="30">
      <c r="J1178" s="50" t="b">
        <f>IF(발주접수!$D120="",FALSE(),IF(발주접수!$F120="세트",COUNTIF(세트구성!$G$3:$G$302,발주접수!$D120&amp;"|"&amp;3)&gt;0,2=0))</f>
        <v>0</v>
      </c>
      <c r="K1178" s="34" t="str">
        <f>IF($J1178=FALSE(),"",COUNTIF($J$6:$J1178,TRUE()))</f>
        <v/>
      </c>
      <c r="L1178" s="34" t="str">
        <f>IF($K1178="","","R"&amp;$K1178)</f>
        <v/>
      </c>
      <c r="M1178" s="34" t="str">
        <f>IF($J1178=FALSE(),"",IF(발주접수!$F120="세트",IFERROR(INDEX(세트구성!$C$3:$C$302,MATCH(발주접수!$D120&amp;"|"&amp;3,세트구성!$G$3:$G$302,0)),""),발주접수!$D120))</f>
        <v/>
      </c>
      <c r="N1178" s="34" t="str">
        <f>IF($J1178=FALSE(),"",IF(발주접수!$F120="세트",발주접수!$G120*IFERROR(INDEX(세트구성!$E$3:$E$302,MATCH(발주접수!$D120&amp;"|"&amp;3,세트구성!$G$3:$G$302,0)),0),발주접수!$G120))</f>
        <v/>
      </c>
      <c r="O1178" s="34" t="str">
        <f>IF($J1178=FALSE(),"",발주접수!$B120)</f>
        <v/>
      </c>
      <c r="P1178" s="34" t="str">
        <f>IF($J1178=FALSE(),"",발주접수!$C120)</f>
        <v/>
      </c>
      <c r="Q1178" s="34" t="str">
        <f>IF($J1178=FALSE(),"",IF(발주접수!$F120="세트",발주접수!$E120&amp;" 전개","직접 발주"))</f>
        <v/>
      </c>
    </row>
    <row r="1179" ht="15" customHeight="1" s="30">
      <c r="J1179" s="50" t="b">
        <f>IF(발주접수!$D120="",FALSE(),IF(발주접수!$F120="세트",COUNTIF(세트구성!$G$3:$G$302,발주접수!$D120&amp;"|"&amp;4)&gt;0,3=0))</f>
        <v>0</v>
      </c>
      <c r="K1179" s="34" t="str">
        <f>IF($J1179=FALSE(),"",COUNTIF($J$6:$J1179,TRUE()))</f>
        <v/>
      </c>
      <c r="L1179" s="34" t="str">
        <f>IF($K1179="","","R"&amp;$K1179)</f>
        <v/>
      </c>
      <c r="M1179" s="34" t="str">
        <f>IF($J1179=FALSE(),"",IF(발주접수!$F120="세트",IFERROR(INDEX(세트구성!$C$3:$C$302,MATCH(발주접수!$D120&amp;"|"&amp;4,세트구성!$G$3:$G$302,0)),""),발주접수!$D120))</f>
        <v/>
      </c>
      <c r="N1179" s="34" t="str">
        <f>IF($J1179=FALSE(),"",IF(발주접수!$F120="세트",발주접수!$G120*IFERROR(INDEX(세트구성!$E$3:$E$302,MATCH(발주접수!$D120&amp;"|"&amp;4,세트구성!$G$3:$G$302,0)),0),발주접수!$G120))</f>
        <v/>
      </c>
      <c r="O1179" s="34" t="str">
        <f>IF($J1179=FALSE(),"",발주접수!$B120)</f>
        <v/>
      </c>
      <c r="P1179" s="34" t="str">
        <f>IF($J1179=FALSE(),"",발주접수!$C120)</f>
        <v/>
      </c>
      <c r="Q1179" s="34" t="str">
        <f>IF($J1179=FALSE(),"",IF(발주접수!$F120="세트",발주접수!$E120&amp;" 전개","직접 발주"))</f>
        <v/>
      </c>
    </row>
    <row r="1180" ht="15" customHeight="1" s="30">
      <c r="J1180" s="50" t="b">
        <f>IF(발주접수!$D120="",FALSE(),IF(발주접수!$F120="세트",COUNTIF(세트구성!$G$3:$G$302,발주접수!$D120&amp;"|"&amp;5)&gt;0,4=0))</f>
        <v>0</v>
      </c>
      <c r="K1180" s="34" t="str">
        <f>IF($J1180=FALSE(),"",COUNTIF($J$6:$J1180,TRUE()))</f>
        <v/>
      </c>
      <c r="L1180" s="34" t="str">
        <f>IF($K1180="","","R"&amp;$K1180)</f>
        <v/>
      </c>
      <c r="M1180" s="34" t="str">
        <f>IF($J1180=FALSE(),"",IF(발주접수!$F120="세트",IFERROR(INDEX(세트구성!$C$3:$C$302,MATCH(발주접수!$D120&amp;"|"&amp;5,세트구성!$G$3:$G$302,0)),""),발주접수!$D120))</f>
        <v/>
      </c>
      <c r="N1180" s="34" t="str">
        <f>IF($J1180=FALSE(),"",IF(발주접수!$F120="세트",발주접수!$G120*IFERROR(INDEX(세트구성!$E$3:$E$302,MATCH(발주접수!$D120&amp;"|"&amp;5,세트구성!$G$3:$G$302,0)),0),발주접수!$G120))</f>
        <v/>
      </c>
      <c r="O1180" s="34" t="str">
        <f>IF($J1180=FALSE(),"",발주접수!$B120)</f>
        <v/>
      </c>
      <c r="P1180" s="34" t="str">
        <f>IF($J1180=FALSE(),"",발주접수!$C120)</f>
        <v/>
      </c>
      <c r="Q1180" s="34" t="str">
        <f>IF($J1180=FALSE(),"",IF(발주접수!$F120="세트",발주접수!$E120&amp;" 전개","직접 발주"))</f>
        <v/>
      </c>
    </row>
    <row r="1181" ht="15" customHeight="1" s="30">
      <c r="J1181" s="50" t="b">
        <f>IF(발주접수!$D120="",FALSE(),IF(발주접수!$F120="세트",COUNTIF(세트구성!$G$3:$G$302,발주접수!$D120&amp;"|"&amp;6)&gt;0,5=0))</f>
        <v>0</v>
      </c>
      <c r="K1181" s="34" t="str">
        <f>IF($J1181=FALSE(),"",COUNTIF($J$6:$J1181,TRUE()))</f>
        <v/>
      </c>
      <c r="L1181" s="34" t="str">
        <f>IF($K1181="","","R"&amp;$K1181)</f>
        <v/>
      </c>
      <c r="M1181" s="34" t="str">
        <f>IF($J1181=FALSE(),"",IF(발주접수!$F120="세트",IFERROR(INDEX(세트구성!$C$3:$C$302,MATCH(발주접수!$D120&amp;"|"&amp;6,세트구성!$G$3:$G$302,0)),""),발주접수!$D120))</f>
        <v/>
      </c>
      <c r="N1181" s="34" t="str">
        <f>IF($J1181=FALSE(),"",IF(발주접수!$F120="세트",발주접수!$G120*IFERROR(INDEX(세트구성!$E$3:$E$302,MATCH(발주접수!$D120&amp;"|"&amp;6,세트구성!$G$3:$G$302,0)),0),발주접수!$G120))</f>
        <v/>
      </c>
      <c r="O1181" s="34" t="str">
        <f>IF($J1181=FALSE(),"",발주접수!$B120)</f>
        <v/>
      </c>
      <c r="P1181" s="34" t="str">
        <f>IF($J1181=FALSE(),"",발주접수!$C120)</f>
        <v/>
      </c>
      <c r="Q1181" s="34" t="str">
        <f>IF($J1181=FALSE(),"",IF(발주접수!$F120="세트",발주접수!$E120&amp;" 전개","직접 발주"))</f>
        <v/>
      </c>
    </row>
    <row r="1182" ht="15" customHeight="1" s="30">
      <c r="J1182" s="50" t="b">
        <f>IF(발주접수!$D120="",FALSE(),IF(발주접수!$F120="세트",COUNTIF(세트구성!$G$3:$G$302,발주접수!$D120&amp;"|"&amp;7)&gt;0,6=0))</f>
        <v>0</v>
      </c>
      <c r="K1182" s="34" t="str">
        <f>IF($J1182=FALSE(),"",COUNTIF($J$6:$J1182,TRUE()))</f>
        <v/>
      </c>
      <c r="L1182" s="34" t="str">
        <f>IF($K1182="","","R"&amp;$K1182)</f>
        <v/>
      </c>
      <c r="M1182" s="34" t="str">
        <f>IF($J1182=FALSE(),"",IF(발주접수!$F120="세트",IFERROR(INDEX(세트구성!$C$3:$C$302,MATCH(발주접수!$D120&amp;"|"&amp;7,세트구성!$G$3:$G$302,0)),""),발주접수!$D120))</f>
        <v/>
      </c>
      <c r="N1182" s="34" t="str">
        <f>IF($J1182=FALSE(),"",IF(발주접수!$F120="세트",발주접수!$G120*IFERROR(INDEX(세트구성!$E$3:$E$302,MATCH(발주접수!$D120&amp;"|"&amp;7,세트구성!$G$3:$G$302,0)),0),발주접수!$G120))</f>
        <v/>
      </c>
      <c r="O1182" s="34" t="str">
        <f>IF($J1182=FALSE(),"",발주접수!$B120)</f>
        <v/>
      </c>
      <c r="P1182" s="34" t="str">
        <f>IF($J1182=FALSE(),"",발주접수!$C120)</f>
        <v/>
      </c>
      <c r="Q1182" s="34" t="str">
        <f>IF($J1182=FALSE(),"",IF(발주접수!$F120="세트",발주접수!$E120&amp;" 전개","직접 발주"))</f>
        <v/>
      </c>
    </row>
    <row r="1183" ht="15" customHeight="1" s="30">
      <c r="J1183" s="50" t="b">
        <f>IF(발주접수!$D120="",FALSE(),IF(발주접수!$F120="세트",COUNTIF(세트구성!$G$3:$G$302,발주접수!$D120&amp;"|"&amp;8)&gt;0,7=0))</f>
        <v>0</v>
      </c>
      <c r="K1183" s="34" t="str">
        <f>IF($J1183=FALSE(),"",COUNTIF($J$6:$J1183,TRUE()))</f>
        <v/>
      </c>
      <c r="L1183" s="34" t="str">
        <f>IF($K1183="","","R"&amp;$K1183)</f>
        <v/>
      </c>
      <c r="M1183" s="34" t="str">
        <f>IF($J1183=FALSE(),"",IF(발주접수!$F120="세트",IFERROR(INDEX(세트구성!$C$3:$C$302,MATCH(발주접수!$D120&amp;"|"&amp;8,세트구성!$G$3:$G$302,0)),""),발주접수!$D120))</f>
        <v/>
      </c>
      <c r="N1183" s="34" t="str">
        <f>IF($J1183=FALSE(),"",IF(발주접수!$F120="세트",발주접수!$G120*IFERROR(INDEX(세트구성!$E$3:$E$302,MATCH(발주접수!$D120&amp;"|"&amp;8,세트구성!$G$3:$G$302,0)),0),발주접수!$G120))</f>
        <v/>
      </c>
      <c r="O1183" s="34" t="str">
        <f>IF($J1183=FALSE(),"",발주접수!$B120)</f>
        <v/>
      </c>
      <c r="P1183" s="34" t="str">
        <f>IF($J1183=FALSE(),"",발주접수!$C120)</f>
        <v/>
      </c>
      <c r="Q1183" s="34" t="str">
        <f>IF($J1183=FALSE(),"",IF(발주접수!$F120="세트",발주접수!$E120&amp;" 전개","직접 발주"))</f>
        <v/>
      </c>
    </row>
    <row r="1184" ht="15" customHeight="1" s="30">
      <c r="J1184" s="50" t="b">
        <f>IF(발주접수!$D120="",FALSE(),IF(발주접수!$F120="세트",COUNTIF(세트구성!$G$3:$G$302,발주접수!$D120&amp;"|"&amp;9)&gt;0,8=0))</f>
        <v>0</v>
      </c>
      <c r="K1184" s="34" t="str">
        <f>IF($J1184=FALSE(),"",COUNTIF($J$6:$J1184,TRUE()))</f>
        <v/>
      </c>
      <c r="L1184" s="34" t="str">
        <f>IF($K1184="","","R"&amp;$K1184)</f>
        <v/>
      </c>
      <c r="M1184" s="34" t="str">
        <f>IF($J1184=FALSE(),"",IF(발주접수!$F120="세트",IFERROR(INDEX(세트구성!$C$3:$C$302,MATCH(발주접수!$D120&amp;"|"&amp;9,세트구성!$G$3:$G$302,0)),""),발주접수!$D120))</f>
        <v/>
      </c>
      <c r="N1184" s="34" t="str">
        <f>IF($J1184=FALSE(),"",IF(발주접수!$F120="세트",발주접수!$G120*IFERROR(INDEX(세트구성!$E$3:$E$302,MATCH(발주접수!$D120&amp;"|"&amp;9,세트구성!$G$3:$G$302,0)),0),발주접수!$G120))</f>
        <v/>
      </c>
      <c r="O1184" s="34" t="str">
        <f>IF($J1184=FALSE(),"",발주접수!$B120)</f>
        <v/>
      </c>
      <c r="P1184" s="34" t="str">
        <f>IF($J1184=FALSE(),"",발주접수!$C120)</f>
        <v/>
      </c>
      <c r="Q1184" s="34" t="str">
        <f>IF($J1184=FALSE(),"",IF(발주접수!$F120="세트",발주접수!$E120&amp;" 전개","직접 발주"))</f>
        <v/>
      </c>
    </row>
    <row r="1185" ht="15" customHeight="1" s="30">
      <c r="J1185" s="50" t="b">
        <f>IF(발주접수!$D120="",FALSE(),IF(발주접수!$F120="세트",COUNTIF(세트구성!$G$3:$G$302,발주접수!$D120&amp;"|"&amp;10)&gt;0,9=0))</f>
        <v>0</v>
      </c>
      <c r="K1185" s="34" t="str">
        <f>IF($J1185=FALSE(),"",COUNTIF($J$6:$J1185,TRUE()))</f>
        <v/>
      </c>
      <c r="L1185" s="34" t="str">
        <f>IF($K1185="","","R"&amp;$K1185)</f>
        <v/>
      </c>
      <c r="M1185" s="34" t="str">
        <f>IF($J1185=FALSE(),"",IF(발주접수!$F120="세트",IFERROR(INDEX(세트구성!$C$3:$C$302,MATCH(발주접수!$D120&amp;"|"&amp;10,세트구성!$G$3:$G$302,0)),""),발주접수!$D120))</f>
        <v/>
      </c>
      <c r="N1185" s="34" t="str">
        <f>IF($J1185=FALSE(),"",IF(발주접수!$F120="세트",발주접수!$G120*IFERROR(INDEX(세트구성!$E$3:$E$302,MATCH(발주접수!$D120&amp;"|"&amp;10,세트구성!$G$3:$G$302,0)),0),발주접수!$G120))</f>
        <v/>
      </c>
      <c r="O1185" s="34" t="str">
        <f>IF($J1185=FALSE(),"",발주접수!$B120)</f>
        <v/>
      </c>
      <c r="P1185" s="34" t="str">
        <f>IF($J1185=FALSE(),"",발주접수!$C120)</f>
        <v/>
      </c>
      <c r="Q1185" s="34" t="str">
        <f>IF($J1185=FALSE(),"",IF(발주접수!$F120="세트",발주접수!$E120&amp;" 전개","직접 발주"))</f>
        <v/>
      </c>
    </row>
    <row r="1186" ht="15" customHeight="1" s="30">
      <c r="J1186" s="50" t="b">
        <f>IF(발주접수!$D121="",FALSE(),IF(발주접수!$F121="세트",COUNTIF(세트구성!$G$3:$G$302,발주접수!$D121&amp;"|"&amp;1)&gt;0,0=0))</f>
        <v>0</v>
      </c>
      <c r="K1186" s="34" t="str">
        <f>IF($J1186=FALSE(),"",COUNTIF($J$6:$J1186,TRUE()))</f>
        <v/>
      </c>
      <c r="L1186" s="34" t="str">
        <f>IF($K1186="","","R"&amp;$K1186)</f>
        <v/>
      </c>
      <c r="M1186" s="34" t="str">
        <f>IF($J1186=FALSE(),"",IF(발주접수!$F121="세트",IFERROR(INDEX(세트구성!$C$3:$C$302,MATCH(발주접수!$D121&amp;"|"&amp;1,세트구성!$G$3:$G$302,0)),""),발주접수!$D121))</f>
        <v/>
      </c>
      <c r="N1186" s="34" t="str">
        <f>IF($J1186=FALSE(),"",IF(발주접수!$F121="세트",발주접수!$G121*IFERROR(INDEX(세트구성!$E$3:$E$302,MATCH(발주접수!$D121&amp;"|"&amp;1,세트구성!$G$3:$G$302,0)),0),발주접수!$G121))</f>
        <v/>
      </c>
      <c r="O1186" s="34" t="str">
        <f>IF($J1186=FALSE(),"",발주접수!$B121)</f>
        <v/>
      </c>
      <c r="P1186" s="34" t="str">
        <f>IF($J1186=FALSE(),"",발주접수!$C121)</f>
        <v/>
      </c>
      <c r="Q1186" s="34" t="str">
        <f>IF($J1186=FALSE(),"",IF(발주접수!$F121="세트",발주접수!$E121&amp;" 전개","직접 발주"))</f>
        <v/>
      </c>
    </row>
    <row r="1187" ht="15" customHeight="1" s="30">
      <c r="J1187" s="50" t="b">
        <f>IF(발주접수!$D121="",FALSE(),IF(발주접수!$F121="세트",COUNTIF(세트구성!$G$3:$G$302,발주접수!$D121&amp;"|"&amp;2)&gt;0,1=0))</f>
        <v>0</v>
      </c>
      <c r="K1187" s="34" t="str">
        <f>IF($J1187=FALSE(),"",COUNTIF($J$6:$J1187,TRUE()))</f>
        <v/>
      </c>
      <c r="L1187" s="34" t="str">
        <f>IF($K1187="","","R"&amp;$K1187)</f>
        <v/>
      </c>
      <c r="M1187" s="34" t="str">
        <f>IF($J1187=FALSE(),"",IF(발주접수!$F121="세트",IFERROR(INDEX(세트구성!$C$3:$C$302,MATCH(발주접수!$D121&amp;"|"&amp;2,세트구성!$G$3:$G$302,0)),""),발주접수!$D121))</f>
        <v/>
      </c>
      <c r="N1187" s="34" t="str">
        <f>IF($J1187=FALSE(),"",IF(발주접수!$F121="세트",발주접수!$G121*IFERROR(INDEX(세트구성!$E$3:$E$302,MATCH(발주접수!$D121&amp;"|"&amp;2,세트구성!$G$3:$G$302,0)),0),발주접수!$G121))</f>
        <v/>
      </c>
      <c r="O1187" s="34" t="str">
        <f>IF($J1187=FALSE(),"",발주접수!$B121)</f>
        <v/>
      </c>
      <c r="P1187" s="34" t="str">
        <f>IF($J1187=FALSE(),"",발주접수!$C121)</f>
        <v/>
      </c>
      <c r="Q1187" s="34" t="str">
        <f>IF($J1187=FALSE(),"",IF(발주접수!$F121="세트",발주접수!$E121&amp;" 전개","직접 발주"))</f>
        <v/>
      </c>
    </row>
    <row r="1188" ht="15" customHeight="1" s="30">
      <c r="J1188" s="50" t="b">
        <f>IF(발주접수!$D121="",FALSE(),IF(발주접수!$F121="세트",COUNTIF(세트구성!$G$3:$G$302,발주접수!$D121&amp;"|"&amp;3)&gt;0,2=0))</f>
        <v>0</v>
      </c>
      <c r="K1188" s="34" t="str">
        <f>IF($J1188=FALSE(),"",COUNTIF($J$6:$J1188,TRUE()))</f>
        <v/>
      </c>
      <c r="L1188" s="34" t="str">
        <f>IF($K1188="","","R"&amp;$K1188)</f>
        <v/>
      </c>
      <c r="M1188" s="34" t="str">
        <f>IF($J1188=FALSE(),"",IF(발주접수!$F121="세트",IFERROR(INDEX(세트구성!$C$3:$C$302,MATCH(발주접수!$D121&amp;"|"&amp;3,세트구성!$G$3:$G$302,0)),""),발주접수!$D121))</f>
        <v/>
      </c>
      <c r="N1188" s="34" t="str">
        <f>IF($J1188=FALSE(),"",IF(발주접수!$F121="세트",발주접수!$G121*IFERROR(INDEX(세트구성!$E$3:$E$302,MATCH(발주접수!$D121&amp;"|"&amp;3,세트구성!$G$3:$G$302,0)),0),발주접수!$G121))</f>
        <v/>
      </c>
      <c r="O1188" s="34" t="str">
        <f>IF($J1188=FALSE(),"",발주접수!$B121)</f>
        <v/>
      </c>
      <c r="P1188" s="34" t="str">
        <f>IF($J1188=FALSE(),"",발주접수!$C121)</f>
        <v/>
      </c>
      <c r="Q1188" s="34" t="str">
        <f>IF($J1188=FALSE(),"",IF(발주접수!$F121="세트",발주접수!$E121&amp;" 전개","직접 발주"))</f>
        <v/>
      </c>
    </row>
    <row r="1189" ht="15" customHeight="1" s="30">
      <c r="J1189" s="50" t="b">
        <f>IF(발주접수!$D121="",FALSE(),IF(발주접수!$F121="세트",COUNTIF(세트구성!$G$3:$G$302,발주접수!$D121&amp;"|"&amp;4)&gt;0,3=0))</f>
        <v>0</v>
      </c>
      <c r="K1189" s="34" t="str">
        <f>IF($J1189=FALSE(),"",COUNTIF($J$6:$J1189,TRUE()))</f>
        <v/>
      </c>
      <c r="L1189" s="34" t="str">
        <f>IF($K1189="","","R"&amp;$K1189)</f>
        <v/>
      </c>
      <c r="M1189" s="34" t="str">
        <f>IF($J1189=FALSE(),"",IF(발주접수!$F121="세트",IFERROR(INDEX(세트구성!$C$3:$C$302,MATCH(발주접수!$D121&amp;"|"&amp;4,세트구성!$G$3:$G$302,0)),""),발주접수!$D121))</f>
        <v/>
      </c>
      <c r="N1189" s="34" t="str">
        <f>IF($J1189=FALSE(),"",IF(발주접수!$F121="세트",발주접수!$G121*IFERROR(INDEX(세트구성!$E$3:$E$302,MATCH(발주접수!$D121&amp;"|"&amp;4,세트구성!$G$3:$G$302,0)),0),발주접수!$G121))</f>
        <v/>
      </c>
      <c r="O1189" s="34" t="str">
        <f>IF($J1189=FALSE(),"",발주접수!$B121)</f>
        <v/>
      </c>
      <c r="P1189" s="34" t="str">
        <f>IF($J1189=FALSE(),"",발주접수!$C121)</f>
        <v/>
      </c>
      <c r="Q1189" s="34" t="str">
        <f>IF($J1189=FALSE(),"",IF(발주접수!$F121="세트",발주접수!$E121&amp;" 전개","직접 발주"))</f>
        <v/>
      </c>
    </row>
    <row r="1190" ht="15" customHeight="1" s="30">
      <c r="J1190" s="50" t="b">
        <f>IF(발주접수!$D121="",FALSE(),IF(발주접수!$F121="세트",COUNTIF(세트구성!$G$3:$G$302,발주접수!$D121&amp;"|"&amp;5)&gt;0,4=0))</f>
        <v>0</v>
      </c>
      <c r="K1190" s="34" t="str">
        <f>IF($J1190=FALSE(),"",COUNTIF($J$6:$J1190,TRUE()))</f>
        <v/>
      </c>
      <c r="L1190" s="34" t="str">
        <f>IF($K1190="","","R"&amp;$K1190)</f>
        <v/>
      </c>
      <c r="M1190" s="34" t="str">
        <f>IF($J1190=FALSE(),"",IF(발주접수!$F121="세트",IFERROR(INDEX(세트구성!$C$3:$C$302,MATCH(발주접수!$D121&amp;"|"&amp;5,세트구성!$G$3:$G$302,0)),""),발주접수!$D121))</f>
        <v/>
      </c>
      <c r="N1190" s="34" t="str">
        <f>IF($J1190=FALSE(),"",IF(발주접수!$F121="세트",발주접수!$G121*IFERROR(INDEX(세트구성!$E$3:$E$302,MATCH(발주접수!$D121&amp;"|"&amp;5,세트구성!$G$3:$G$302,0)),0),발주접수!$G121))</f>
        <v/>
      </c>
      <c r="O1190" s="34" t="str">
        <f>IF($J1190=FALSE(),"",발주접수!$B121)</f>
        <v/>
      </c>
      <c r="P1190" s="34" t="str">
        <f>IF($J1190=FALSE(),"",발주접수!$C121)</f>
        <v/>
      </c>
      <c r="Q1190" s="34" t="str">
        <f>IF($J1190=FALSE(),"",IF(발주접수!$F121="세트",발주접수!$E121&amp;" 전개","직접 발주"))</f>
        <v/>
      </c>
    </row>
    <row r="1191" ht="15" customHeight="1" s="30">
      <c r="J1191" s="50" t="b">
        <f>IF(발주접수!$D121="",FALSE(),IF(발주접수!$F121="세트",COUNTIF(세트구성!$G$3:$G$302,발주접수!$D121&amp;"|"&amp;6)&gt;0,5=0))</f>
        <v>0</v>
      </c>
      <c r="K1191" s="34" t="str">
        <f>IF($J1191=FALSE(),"",COUNTIF($J$6:$J1191,TRUE()))</f>
        <v/>
      </c>
      <c r="L1191" s="34" t="str">
        <f>IF($K1191="","","R"&amp;$K1191)</f>
        <v/>
      </c>
      <c r="M1191" s="34" t="str">
        <f>IF($J1191=FALSE(),"",IF(발주접수!$F121="세트",IFERROR(INDEX(세트구성!$C$3:$C$302,MATCH(발주접수!$D121&amp;"|"&amp;6,세트구성!$G$3:$G$302,0)),""),발주접수!$D121))</f>
        <v/>
      </c>
      <c r="N1191" s="34" t="str">
        <f>IF($J1191=FALSE(),"",IF(발주접수!$F121="세트",발주접수!$G121*IFERROR(INDEX(세트구성!$E$3:$E$302,MATCH(발주접수!$D121&amp;"|"&amp;6,세트구성!$G$3:$G$302,0)),0),발주접수!$G121))</f>
        <v/>
      </c>
      <c r="O1191" s="34" t="str">
        <f>IF($J1191=FALSE(),"",발주접수!$B121)</f>
        <v/>
      </c>
      <c r="P1191" s="34" t="str">
        <f>IF($J1191=FALSE(),"",발주접수!$C121)</f>
        <v/>
      </c>
      <c r="Q1191" s="34" t="str">
        <f>IF($J1191=FALSE(),"",IF(발주접수!$F121="세트",발주접수!$E121&amp;" 전개","직접 발주"))</f>
        <v/>
      </c>
    </row>
    <row r="1192" ht="15" customHeight="1" s="30">
      <c r="J1192" s="50" t="b">
        <f>IF(발주접수!$D121="",FALSE(),IF(발주접수!$F121="세트",COUNTIF(세트구성!$G$3:$G$302,발주접수!$D121&amp;"|"&amp;7)&gt;0,6=0))</f>
        <v>0</v>
      </c>
      <c r="K1192" s="34" t="str">
        <f>IF($J1192=FALSE(),"",COUNTIF($J$6:$J1192,TRUE()))</f>
        <v/>
      </c>
      <c r="L1192" s="34" t="str">
        <f>IF($K1192="","","R"&amp;$K1192)</f>
        <v/>
      </c>
      <c r="M1192" s="34" t="str">
        <f>IF($J1192=FALSE(),"",IF(발주접수!$F121="세트",IFERROR(INDEX(세트구성!$C$3:$C$302,MATCH(발주접수!$D121&amp;"|"&amp;7,세트구성!$G$3:$G$302,0)),""),발주접수!$D121))</f>
        <v/>
      </c>
      <c r="N1192" s="34" t="str">
        <f>IF($J1192=FALSE(),"",IF(발주접수!$F121="세트",발주접수!$G121*IFERROR(INDEX(세트구성!$E$3:$E$302,MATCH(발주접수!$D121&amp;"|"&amp;7,세트구성!$G$3:$G$302,0)),0),발주접수!$G121))</f>
        <v/>
      </c>
      <c r="O1192" s="34" t="str">
        <f>IF($J1192=FALSE(),"",발주접수!$B121)</f>
        <v/>
      </c>
      <c r="P1192" s="34" t="str">
        <f>IF($J1192=FALSE(),"",발주접수!$C121)</f>
        <v/>
      </c>
      <c r="Q1192" s="34" t="str">
        <f>IF($J1192=FALSE(),"",IF(발주접수!$F121="세트",발주접수!$E121&amp;" 전개","직접 발주"))</f>
        <v/>
      </c>
    </row>
    <row r="1193" ht="15" customHeight="1" s="30">
      <c r="J1193" s="50" t="b">
        <f>IF(발주접수!$D121="",FALSE(),IF(발주접수!$F121="세트",COUNTIF(세트구성!$G$3:$G$302,발주접수!$D121&amp;"|"&amp;8)&gt;0,7=0))</f>
        <v>0</v>
      </c>
      <c r="K1193" s="34" t="str">
        <f>IF($J1193=FALSE(),"",COUNTIF($J$6:$J1193,TRUE()))</f>
        <v/>
      </c>
      <c r="L1193" s="34" t="str">
        <f>IF($K1193="","","R"&amp;$K1193)</f>
        <v/>
      </c>
      <c r="M1193" s="34" t="str">
        <f>IF($J1193=FALSE(),"",IF(발주접수!$F121="세트",IFERROR(INDEX(세트구성!$C$3:$C$302,MATCH(발주접수!$D121&amp;"|"&amp;8,세트구성!$G$3:$G$302,0)),""),발주접수!$D121))</f>
        <v/>
      </c>
      <c r="N1193" s="34" t="str">
        <f>IF($J1193=FALSE(),"",IF(발주접수!$F121="세트",발주접수!$G121*IFERROR(INDEX(세트구성!$E$3:$E$302,MATCH(발주접수!$D121&amp;"|"&amp;8,세트구성!$G$3:$G$302,0)),0),발주접수!$G121))</f>
        <v/>
      </c>
      <c r="O1193" s="34" t="str">
        <f>IF($J1193=FALSE(),"",발주접수!$B121)</f>
        <v/>
      </c>
      <c r="P1193" s="34" t="str">
        <f>IF($J1193=FALSE(),"",발주접수!$C121)</f>
        <v/>
      </c>
      <c r="Q1193" s="34" t="str">
        <f>IF($J1193=FALSE(),"",IF(발주접수!$F121="세트",발주접수!$E121&amp;" 전개","직접 발주"))</f>
        <v/>
      </c>
    </row>
    <row r="1194" ht="15" customHeight="1" s="30">
      <c r="J1194" s="50" t="b">
        <f>IF(발주접수!$D121="",FALSE(),IF(발주접수!$F121="세트",COUNTIF(세트구성!$G$3:$G$302,발주접수!$D121&amp;"|"&amp;9)&gt;0,8=0))</f>
        <v>0</v>
      </c>
      <c r="K1194" s="34" t="str">
        <f>IF($J1194=FALSE(),"",COUNTIF($J$6:$J1194,TRUE()))</f>
        <v/>
      </c>
      <c r="L1194" s="34" t="str">
        <f>IF($K1194="","","R"&amp;$K1194)</f>
        <v/>
      </c>
      <c r="M1194" s="34" t="str">
        <f>IF($J1194=FALSE(),"",IF(발주접수!$F121="세트",IFERROR(INDEX(세트구성!$C$3:$C$302,MATCH(발주접수!$D121&amp;"|"&amp;9,세트구성!$G$3:$G$302,0)),""),발주접수!$D121))</f>
        <v/>
      </c>
      <c r="N1194" s="34" t="str">
        <f>IF($J1194=FALSE(),"",IF(발주접수!$F121="세트",발주접수!$G121*IFERROR(INDEX(세트구성!$E$3:$E$302,MATCH(발주접수!$D121&amp;"|"&amp;9,세트구성!$G$3:$G$302,0)),0),발주접수!$G121))</f>
        <v/>
      </c>
      <c r="O1194" s="34" t="str">
        <f>IF($J1194=FALSE(),"",발주접수!$B121)</f>
        <v/>
      </c>
      <c r="P1194" s="34" t="str">
        <f>IF($J1194=FALSE(),"",발주접수!$C121)</f>
        <v/>
      </c>
      <c r="Q1194" s="34" t="str">
        <f>IF($J1194=FALSE(),"",IF(발주접수!$F121="세트",발주접수!$E121&amp;" 전개","직접 발주"))</f>
        <v/>
      </c>
    </row>
    <row r="1195" ht="15" customHeight="1" s="30">
      <c r="J1195" s="50" t="b">
        <f>IF(발주접수!$D121="",FALSE(),IF(발주접수!$F121="세트",COUNTIF(세트구성!$G$3:$G$302,발주접수!$D121&amp;"|"&amp;10)&gt;0,9=0))</f>
        <v>0</v>
      </c>
      <c r="K1195" s="34" t="str">
        <f>IF($J1195=FALSE(),"",COUNTIF($J$6:$J1195,TRUE()))</f>
        <v/>
      </c>
      <c r="L1195" s="34" t="str">
        <f>IF($K1195="","","R"&amp;$K1195)</f>
        <v/>
      </c>
      <c r="M1195" s="34" t="str">
        <f>IF($J1195=FALSE(),"",IF(발주접수!$F121="세트",IFERROR(INDEX(세트구성!$C$3:$C$302,MATCH(발주접수!$D121&amp;"|"&amp;10,세트구성!$G$3:$G$302,0)),""),발주접수!$D121))</f>
        <v/>
      </c>
      <c r="N1195" s="34" t="str">
        <f>IF($J1195=FALSE(),"",IF(발주접수!$F121="세트",발주접수!$G121*IFERROR(INDEX(세트구성!$E$3:$E$302,MATCH(발주접수!$D121&amp;"|"&amp;10,세트구성!$G$3:$G$302,0)),0),발주접수!$G121))</f>
        <v/>
      </c>
      <c r="O1195" s="34" t="str">
        <f>IF($J1195=FALSE(),"",발주접수!$B121)</f>
        <v/>
      </c>
      <c r="P1195" s="34" t="str">
        <f>IF($J1195=FALSE(),"",발주접수!$C121)</f>
        <v/>
      </c>
      <c r="Q1195" s="34" t="str">
        <f>IF($J1195=FALSE(),"",IF(발주접수!$F121="세트",발주접수!$E121&amp;" 전개","직접 발주"))</f>
        <v/>
      </c>
    </row>
    <row r="1196" ht="15" customHeight="1" s="30">
      <c r="J1196" s="50" t="b">
        <f>IF(발주접수!$D122="",FALSE(),IF(발주접수!$F122="세트",COUNTIF(세트구성!$G$3:$G$302,발주접수!$D122&amp;"|"&amp;1)&gt;0,0=0))</f>
        <v>0</v>
      </c>
      <c r="K1196" s="34" t="str">
        <f>IF($J1196=FALSE(),"",COUNTIF($J$6:$J1196,TRUE()))</f>
        <v/>
      </c>
      <c r="L1196" s="34" t="str">
        <f>IF($K1196="","","R"&amp;$K1196)</f>
        <v/>
      </c>
      <c r="M1196" s="34" t="str">
        <f>IF($J1196=FALSE(),"",IF(발주접수!$F122="세트",IFERROR(INDEX(세트구성!$C$3:$C$302,MATCH(발주접수!$D122&amp;"|"&amp;1,세트구성!$G$3:$G$302,0)),""),발주접수!$D122))</f>
        <v/>
      </c>
      <c r="N1196" s="34" t="str">
        <f>IF($J1196=FALSE(),"",IF(발주접수!$F122="세트",발주접수!$G122*IFERROR(INDEX(세트구성!$E$3:$E$302,MATCH(발주접수!$D122&amp;"|"&amp;1,세트구성!$G$3:$G$302,0)),0),발주접수!$G122))</f>
        <v/>
      </c>
      <c r="O1196" s="34" t="str">
        <f>IF($J1196=FALSE(),"",발주접수!$B122)</f>
        <v/>
      </c>
      <c r="P1196" s="34" t="str">
        <f>IF($J1196=FALSE(),"",발주접수!$C122)</f>
        <v/>
      </c>
      <c r="Q1196" s="34" t="str">
        <f>IF($J1196=FALSE(),"",IF(발주접수!$F122="세트",발주접수!$E122&amp;" 전개","직접 발주"))</f>
        <v/>
      </c>
    </row>
    <row r="1197" ht="15" customHeight="1" s="30">
      <c r="J1197" s="50" t="b">
        <f>IF(발주접수!$D122="",FALSE(),IF(발주접수!$F122="세트",COUNTIF(세트구성!$G$3:$G$302,발주접수!$D122&amp;"|"&amp;2)&gt;0,1=0))</f>
        <v>0</v>
      </c>
      <c r="K1197" s="34" t="str">
        <f>IF($J1197=FALSE(),"",COUNTIF($J$6:$J1197,TRUE()))</f>
        <v/>
      </c>
      <c r="L1197" s="34" t="str">
        <f>IF($K1197="","","R"&amp;$K1197)</f>
        <v/>
      </c>
      <c r="M1197" s="34" t="str">
        <f>IF($J1197=FALSE(),"",IF(발주접수!$F122="세트",IFERROR(INDEX(세트구성!$C$3:$C$302,MATCH(발주접수!$D122&amp;"|"&amp;2,세트구성!$G$3:$G$302,0)),""),발주접수!$D122))</f>
        <v/>
      </c>
      <c r="N1197" s="34" t="str">
        <f>IF($J1197=FALSE(),"",IF(발주접수!$F122="세트",발주접수!$G122*IFERROR(INDEX(세트구성!$E$3:$E$302,MATCH(발주접수!$D122&amp;"|"&amp;2,세트구성!$G$3:$G$302,0)),0),발주접수!$G122))</f>
        <v/>
      </c>
      <c r="O1197" s="34" t="str">
        <f>IF($J1197=FALSE(),"",발주접수!$B122)</f>
        <v/>
      </c>
      <c r="P1197" s="34" t="str">
        <f>IF($J1197=FALSE(),"",발주접수!$C122)</f>
        <v/>
      </c>
      <c r="Q1197" s="34" t="str">
        <f>IF($J1197=FALSE(),"",IF(발주접수!$F122="세트",발주접수!$E122&amp;" 전개","직접 발주"))</f>
        <v/>
      </c>
    </row>
    <row r="1198" ht="15" customHeight="1" s="30">
      <c r="J1198" s="50" t="b">
        <f>IF(발주접수!$D122="",FALSE(),IF(발주접수!$F122="세트",COUNTIF(세트구성!$G$3:$G$302,발주접수!$D122&amp;"|"&amp;3)&gt;0,2=0))</f>
        <v>0</v>
      </c>
      <c r="K1198" s="34" t="str">
        <f>IF($J1198=FALSE(),"",COUNTIF($J$6:$J1198,TRUE()))</f>
        <v/>
      </c>
      <c r="L1198" s="34" t="str">
        <f>IF($K1198="","","R"&amp;$K1198)</f>
        <v/>
      </c>
      <c r="M1198" s="34" t="str">
        <f>IF($J1198=FALSE(),"",IF(발주접수!$F122="세트",IFERROR(INDEX(세트구성!$C$3:$C$302,MATCH(발주접수!$D122&amp;"|"&amp;3,세트구성!$G$3:$G$302,0)),""),발주접수!$D122))</f>
        <v/>
      </c>
      <c r="N1198" s="34" t="str">
        <f>IF($J1198=FALSE(),"",IF(발주접수!$F122="세트",발주접수!$G122*IFERROR(INDEX(세트구성!$E$3:$E$302,MATCH(발주접수!$D122&amp;"|"&amp;3,세트구성!$G$3:$G$302,0)),0),발주접수!$G122))</f>
        <v/>
      </c>
      <c r="O1198" s="34" t="str">
        <f>IF($J1198=FALSE(),"",발주접수!$B122)</f>
        <v/>
      </c>
      <c r="P1198" s="34" t="str">
        <f>IF($J1198=FALSE(),"",발주접수!$C122)</f>
        <v/>
      </c>
      <c r="Q1198" s="34" t="str">
        <f>IF($J1198=FALSE(),"",IF(발주접수!$F122="세트",발주접수!$E122&amp;" 전개","직접 발주"))</f>
        <v/>
      </c>
    </row>
    <row r="1199" ht="15" customHeight="1" s="30">
      <c r="J1199" s="50" t="b">
        <f>IF(발주접수!$D122="",FALSE(),IF(발주접수!$F122="세트",COUNTIF(세트구성!$G$3:$G$302,발주접수!$D122&amp;"|"&amp;4)&gt;0,3=0))</f>
        <v>0</v>
      </c>
      <c r="K1199" s="34" t="str">
        <f>IF($J1199=FALSE(),"",COUNTIF($J$6:$J1199,TRUE()))</f>
        <v/>
      </c>
      <c r="L1199" s="34" t="str">
        <f>IF($K1199="","","R"&amp;$K1199)</f>
        <v/>
      </c>
      <c r="M1199" s="34" t="str">
        <f>IF($J1199=FALSE(),"",IF(발주접수!$F122="세트",IFERROR(INDEX(세트구성!$C$3:$C$302,MATCH(발주접수!$D122&amp;"|"&amp;4,세트구성!$G$3:$G$302,0)),""),발주접수!$D122))</f>
        <v/>
      </c>
      <c r="N1199" s="34" t="str">
        <f>IF($J1199=FALSE(),"",IF(발주접수!$F122="세트",발주접수!$G122*IFERROR(INDEX(세트구성!$E$3:$E$302,MATCH(발주접수!$D122&amp;"|"&amp;4,세트구성!$G$3:$G$302,0)),0),발주접수!$G122))</f>
        <v/>
      </c>
      <c r="O1199" s="34" t="str">
        <f>IF($J1199=FALSE(),"",발주접수!$B122)</f>
        <v/>
      </c>
      <c r="P1199" s="34" t="str">
        <f>IF($J1199=FALSE(),"",발주접수!$C122)</f>
        <v/>
      </c>
      <c r="Q1199" s="34" t="str">
        <f>IF($J1199=FALSE(),"",IF(발주접수!$F122="세트",발주접수!$E122&amp;" 전개","직접 발주"))</f>
        <v/>
      </c>
    </row>
    <row r="1200" ht="15" customHeight="1" s="30">
      <c r="J1200" s="50" t="b">
        <f>IF(발주접수!$D122="",FALSE(),IF(발주접수!$F122="세트",COUNTIF(세트구성!$G$3:$G$302,발주접수!$D122&amp;"|"&amp;5)&gt;0,4=0))</f>
        <v>0</v>
      </c>
      <c r="K1200" s="34" t="str">
        <f>IF($J1200=FALSE(),"",COUNTIF($J$6:$J1200,TRUE()))</f>
        <v/>
      </c>
      <c r="L1200" s="34" t="str">
        <f>IF($K1200="","","R"&amp;$K1200)</f>
        <v/>
      </c>
      <c r="M1200" s="34" t="str">
        <f>IF($J1200=FALSE(),"",IF(발주접수!$F122="세트",IFERROR(INDEX(세트구성!$C$3:$C$302,MATCH(발주접수!$D122&amp;"|"&amp;5,세트구성!$G$3:$G$302,0)),""),발주접수!$D122))</f>
        <v/>
      </c>
      <c r="N1200" s="34" t="str">
        <f>IF($J1200=FALSE(),"",IF(발주접수!$F122="세트",발주접수!$G122*IFERROR(INDEX(세트구성!$E$3:$E$302,MATCH(발주접수!$D122&amp;"|"&amp;5,세트구성!$G$3:$G$302,0)),0),발주접수!$G122))</f>
        <v/>
      </c>
      <c r="O1200" s="34" t="str">
        <f>IF($J1200=FALSE(),"",발주접수!$B122)</f>
        <v/>
      </c>
      <c r="P1200" s="34" t="str">
        <f>IF($J1200=FALSE(),"",발주접수!$C122)</f>
        <v/>
      </c>
      <c r="Q1200" s="34" t="str">
        <f>IF($J1200=FALSE(),"",IF(발주접수!$F122="세트",발주접수!$E122&amp;" 전개","직접 발주"))</f>
        <v/>
      </c>
    </row>
    <row r="1201" ht="15" customHeight="1" s="30">
      <c r="J1201" s="50" t="b">
        <f>IF(발주접수!$D122="",FALSE(),IF(발주접수!$F122="세트",COUNTIF(세트구성!$G$3:$G$302,발주접수!$D122&amp;"|"&amp;6)&gt;0,5=0))</f>
        <v>0</v>
      </c>
      <c r="K1201" s="34" t="str">
        <f>IF($J1201=FALSE(),"",COUNTIF($J$6:$J1201,TRUE()))</f>
        <v/>
      </c>
      <c r="L1201" s="34" t="str">
        <f>IF($K1201="","","R"&amp;$K1201)</f>
        <v/>
      </c>
      <c r="M1201" s="34" t="str">
        <f>IF($J1201=FALSE(),"",IF(발주접수!$F122="세트",IFERROR(INDEX(세트구성!$C$3:$C$302,MATCH(발주접수!$D122&amp;"|"&amp;6,세트구성!$G$3:$G$302,0)),""),발주접수!$D122))</f>
        <v/>
      </c>
      <c r="N1201" s="34" t="str">
        <f>IF($J1201=FALSE(),"",IF(발주접수!$F122="세트",발주접수!$G122*IFERROR(INDEX(세트구성!$E$3:$E$302,MATCH(발주접수!$D122&amp;"|"&amp;6,세트구성!$G$3:$G$302,0)),0),발주접수!$G122))</f>
        <v/>
      </c>
      <c r="O1201" s="34" t="str">
        <f>IF($J1201=FALSE(),"",발주접수!$B122)</f>
        <v/>
      </c>
      <c r="P1201" s="34" t="str">
        <f>IF($J1201=FALSE(),"",발주접수!$C122)</f>
        <v/>
      </c>
      <c r="Q1201" s="34" t="str">
        <f>IF($J1201=FALSE(),"",IF(발주접수!$F122="세트",발주접수!$E122&amp;" 전개","직접 발주"))</f>
        <v/>
      </c>
    </row>
    <row r="1202" ht="15" customHeight="1" s="30">
      <c r="J1202" s="50" t="b">
        <f>IF(발주접수!$D122="",FALSE(),IF(발주접수!$F122="세트",COUNTIF(세트구성!$G$3:$G$302,발주접수!$D122&amp;"|"&amp;7)&gt;0,6=0))</f>
        <v>0</v>
      </c>
      <c r="K1202" s="34" t="str">
        <f>IF($J1202=FALSE(),"",COUNTIF($J$6:$J1202,TRUE()))</f>
        <v/>
      </c>
      <c r="L1202" s="34" t="str">
        <f>IF($K1202="","","R"&amp;$K1202)</f>
        <v/>
      </c>
      <c r="M1202" s="34" t="str">
        <f>IF($J1202=FALSE(),"",IF(발주접수!$F122="세트",IFERROR(INDEX(세트구성!$C$3:$C$302,MATCH(발주접수!$D122&amp;"|"&amp;7,세트구성!$G$3:$G$302,0)),""),발주접수!$D122))</f>
        <v/>
      </c>
      <c r="N1202" s="34" t="str">
        <f>IF($J1202=FALSE(),"",IF(발주접수!$F122="세트",발주접수!$G122*IFERROR(INDEX(세트구성!$E$3:$E$302,MATCH(발주접수!$D122&amp;"|"&amp;7,세트구성!$G$3:$G$302,0)),0),발주접수!$G122))</f>
        <v/>
      </c>
      <c r="O1202" s="34" t="str">
        <f>IF($J1202=FALSE(),"",발주접수!$B122)</f>
        <v/>
      </c>
      <c r="P1202" s="34" t="str">
        <f>IF($J1202=FALSE(),"",발주접수!$C122)</f>
        <v/>
      </c>
      <c r="Q1202" s="34" t="str">
        <f>IF($J1202=FALSE(),"",IF(발주접수!$F122="세트",발주접수!$E122&amp;" 전개","직접 발주"))</f>
        <v/>
      </c>
    </row>
    <row r="1203" ht="15" customHeight="1" s="30">
      <c r="J1203" s="50" t="b">
        <f>IF(발주접수!$D122="",FALSE(),IF(발주접수!$F122="세트",COUNTIF(세트구성!$G$3:$G$302,발주접수!$D122&amp;"|"&amp;8)&gt;0,7=0))</f>
        <v>0</v>
      </c>
      <c r="K1203" s="34" t="str">
        <f>IF($J1203=FALSE(),"",COUNTIF($J$6:$J1203,TRUE()))</f>
        <v/>
      </c>
      <c r="L1203" s="34" t="str">
        <f>IF($K1203="","","R"&amp;$K1203)</f>
        <v/>
      </c>
      <c r="M1203" s="34" t="str">
        <f>IF($J1203=FALSE(),"",IF(발주접수!$F122="세트",IFERROR(INDEX(세트구성!$C$3:$C$302,MATCH(발주접수!$D122&amp;"|"&amp;8,세트구성!$G$3:$G$302,0)),""),발주접수!$D122))</f>
        <v/>
      </c>
      <c r="N1203" s="34" t="str">
        <f>IF($J1203=FALSE(),"",IF(발주접수!$F122="세트",발주접수!$G122*IFERROR(INDEX(세트구성!$E$3:$E$302,MATCH(발주접수!$D122&amp;"|"&amp;8,세트구성!$G$3:$G$302,0)),0),발주접수!$G122))</f>
        <v/>
      </c>
      <c r="O1203" s="34" t="str">
        <f>IF($J1203=FALSE(),"",발주접수!$B122)</f>
        <v/>
      </c>
      <c r="P1203" s="34" t="str">
        <f>IF($J1203=FALSE(),"",발주접수!$C122)</f>
        <v/>
      </c>
      <c r="Q1203" s="34" t="str">
        <f>IF($J1203=FALSE(),"",IF(발주접수!$F122="세트",발주접수!$E122&amp;" 전개","직접 발주"))</f>
        <v/>
      </c>
    </row>
    <row r="1204" ht="15" customHeight="1" s="30">
      <c r="J1204" s="50" t="b">
        <f>IF(발주접수!$D122="",FALSE(),IF(발주접수!$F122="세트",COUNTIF(세트구성!$G$3:$G$302,발주접수!$D122&amp;"|"&amp;9)&gt;0,8=0))</f>
        <v>0</v>
      </c>
      <c r="K1204" s="34" t="str">
        <f>IF($J1204=FALSE(),"",COUNTIF($J$6:$J1204,TRUE()))</f>
        <v/>
      </c>
      <c r="L1204" s="34" t="str">
        <f>IF($K1204="","","R"&amp;$K1204)</f>
        <v/>
      </c>
      <c r="M1204" s="34" t="str">
        <f>IF($J1204=FALSE(),"",IF(발주접수!$F122="세트",IFERROR(INDEX(세트구성!$C$3:$C$302,MATCH(발주접수!$D122&amp;"|"&amp;9,세트구성!$G$3:$G$302,0)),""),발주접수!$D122))</f>
        <v/>
      </c>
      <c r="N1204" s="34" t="str">
        <f>IF($J1204=FALSE(),"",IF(발주접수!$F122="세트",발주접수!$G122*IFERROR(INDEX(세트구성!$E$3:$E$302,MATCH(발주접수!$D122&amp;"|"&amp;9,세트구성!$G$3:$G$302,0)),0),발주접수!$G122))</f>
        <v/>
      </c>
      <c r="O1204" s="34" t="str">
        <f>IF($J1204=FALSE(),"",발주접수!$B122)</f>
        <v/>
      </c>
      <c r="P1204" s="34" t="str">
        <f>IF($J1204=FALSE(),"",발주접수!$C122)</f>
        <v/>
      </c>
      <c r="Q1204" s="34" t="str">
        <f>IF($J1204=FALSE(),"",IF(발주접수!$F122="세트",발주접수!$E122&amp;" 전개","직접 발주"))</f>
        <v/>
      </c>
    </row>
    <row r="1205" ht="15" customHeight="1" s="30">
      <c r="J1205" s="50" t="b">
        <f>IF(발주접수!$D122="",FALSE(),IF(발주접수!$F122="세트",COUNTIF(세트구성!$G$3:$G$302,발주접수!$D122&amp;"|"&amp;10)&gt;0,9=0))</f>
        <v>0</v>
      </c>
      <c r="K1205" s="34" t="str">
        <f>IF($J1205=FALSE(),"",COUNTIF($J$6:$J1205,TRUE()))</f>
        <v/>
      </c>
      <c r="L1205" s="34" t="str">
        <f>IF($K1205="","","R"&amp;$K1205)</f>
        <v/>
      </c>
      <c r="M1205" s="34" t="str">
        <f>IF($J1205=FALSE(),"",IF(발주접수!$F122="세트",IFERROR(INDEX(세트구성!$C$3:$C$302,MATCH(발주접수!$D122&amp;"|"&amp;10,세트구성!$G$3:$G$302,0)),""),발주접수!$D122))</f>
        <v/>
      </c>
      <c r="N1205" s="34" t="str">
        <f>IF($J1205=FALSE(),"",IF(발주접수!$F122="세트",발주접수!$G122*IFERROR(INDEX(세트구성!$E$3:$E$302,MATCH(발주접수!$D122&amp;"|"&amp;10,세트구성!$G$3:$G$302,0)),0),발주접수!$G122))</f>
        <v/>
      </c>
      <c r="O1205" s="34" t="str">
        <f>IF($J1205=FALSE(),"",발주접수!$B122)</f>
        <v/>
      </c>
      <c r="P1205" s="34" t="str">
        <f>IF($J1205=FALSE(),"",발주접수!$C122)</f>
        <v/>
      </c>
      <c r="Q1205" s="34" t="str">
        <f>IF($J1205=FALSE(),"",IF(발주접수!$F122="세트",발주접수!$E122&amp;" 전개","직접 발주"))</f>
        <v/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30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29" min="1" max="1"/>
    <col width="26" customWidth="1" style="29" min="2" max="2"/>
    <col width="18" customWidth="1" style="29" min="3" max="3"/>
    <col width="11" customWidth="1" style="29" min="4" max="4"/>
    <col width="14" customWidth="1" style="29" min="5" max="5"/>
    <col width="17" customWidth="1" style="29" min="6" max="6"/>
  </cols>
  <sheetData>
    <row r="1" ht="25.5" customHeight="1" s="30">
      <c r="A1" s="31" t="inlineStr">
        <is>
          <t>품목별 소요량  (낱개 기준 총 필요 수량)</t>
        </is>
      </c>
    </row>
    <row r="2"/>
    <row r="3" ht="15" customHeight="1" s="30">
      <c r="A3" s="32" t="inlineStr">
        <is>
          <t>대상 발주일</t>
        </is>
      </c>
      <c r="B3" s="33" t="inlineStr">
        <is>
          <t>전체</t>
        </is>
      </c>
      <c r="C3" s="34" t="inlineStr">
        <is>
          <t>※ 전개결과 전체를 합산합니다.</t>
        </is>
      </c>
    </row>
    <row r="4"/>
    <row r="5" ht="15" customHeight="1" s="30">
      <c r="A5" s="35" t="inlineStr">
        <is>
          <t>품번</t>
        </is>
      </c>
      <c r="B5" s="35" t="inlineStr">
        <is>
          <t>품명</t>
        </is>
      </c>
      <c r="C5" s="35" t="inlineStr">
        <is>
          <t>규격</t>
        </is>
      </c>
      <c r="D5" s="35" t="inlineStr">
        <is>
          <t>단위</t>
        </is>
      </c>
      <c r="E5" s="35" t="inlineStr">
        <is>
          <t>총 소요량</t>
        </is>
      </c>
      <c r="F5" s="35" t="inlineStr">
        <is>
          <t>단가 기준 금액</t>
        </is>
      </c>
    </row>
    <row r="6" ht="15" customHeight="1" s="30">
      <c r="A6" s="40" t="str">
        <f>IF(품목목록!$A3="","",IF(품목목록!$F3="세트","",품목목록!$A3))</f>
        <v>P001</v>
      </c>
      <c r="B6" s="40" t="str">
        <f>IF($A6="","",품목목록!$B3)</f>
        <v>홍삼즙 30포</v>
      </c>
      <c r="C6" s="40" t="str">
        <f>IF($A6="","",품목목록!$C3)</f>
        <v>3g×30</v>
      </c>
      <c r="D6" s="40" t="str">
        <f>IF($A6="","",품목목록!$D3)</f>
        <v>박스</v>
      </c>
      <c r="E6" s="49" t="n">
        <f>IF($A6="","",SUMIFS(전개결과!$N$6:$N$1205,전개결과!$M$6:$M$1205,$A6))</f>
        <v>40</v>
      </c>
      <c r="F6" s="45" t="n">
        <f>IF($A6="","",ROUND($E6*IF(품목목록!$E3="",0,품목목록!$E3),0))</f>
        <v>1120000</v>
      </c>
    </row>
    <row r="7" ht="15" customHeight="1" s="30">
      <c r="A7" s="40" t="str">
        <f>IF(품목목록!$A4="","",IF(품목목록!$F4="세트","",품목목록!$A4))</f>
        <v>P002</v>
      </c>
      <c r="B7" s="40" t="str">
        <f>IF($A7="","",품목목록!$B4)</f>
        <v>홍삼정 240g</v>
      </c>
      <c r="C7" s="40" t="str">
        <f>IF($A7="","",품목목록!$C4)</f>
        <v>240g</v>
      </c>
      <c r="D7" s="40" t="str">
        <f>IF($A7="","",품목목록!$D4)</f>
        <v>EA</v>
      </c>
      <c r="E7" s="49" t="n">
        <f>IF($A7="","",SUMIFS(전개결과!$N$6:$N$1205,전개결과!$M$6:$M$1205,$A7))</f>
        <v>13</v>
      </c>
      <c r="F7" s="45" t="n">
        <f>IF($A7="","",ROUND($E7*IF(품목목록!$E4="",0,품목목록!$E4),0))</f>
        <v>585000</v>
      </c>
    </row>
    <row r="8" ht="15" customHeight="1" s="30">
      <c r="A8" s="40" t="str">
        <f>IF(품목목록!$A5="","",IF(품목목록!$F5="세트","",품목목록!$A5))</f>
        <v>P003</v>
      </c>
      <c r="B8" s="40" t="str">
        <f>IF($A8="","",품목목록!$B5)</f>
        <v>쇼핑백</v>
      </c>
      <c r="C8" s="40" t="str">
        <f>IF($A8="","",품목목록!$C5)</f>
        <v>대</v>
      </c>
      <c r="D8" s="40" t="str">
        <f>IF($A8="","",품목목록!$D5)</f>
        <v>EA</v>
      </c>
      <c r="E8" s="49" t="n">
        <f>IF($A8="","",SUMIFS(전개결과!$N$6:$N$1205,전개결과!$M$6:$M$1205,$A8))</f>
        <v>8</v>
      </c>
      <c r="F8" s="45" t="n">
        <f>IF($A8="","",ROUND($E8*IF(품목목록!$E5="",0,품목목록!$E5),0))</f>
        <v>4000</v>
      </c>
    </row>
    <row r="9" ht="15" customHeight="1" s="30">
      <c r="A9" s="40" t="str">
        <f>IF(품목목록!$A6="","",IF(품목목록!$F6="세트","",품목목록!$A6))</f>
        <v/>
      </c>
      <c r="B9" s="40" t="str">
        <f>IF($A9="","",품목목록!$B6)</f>
        <v/>
      </c>
      <c r="C9" s="40" t="str">
        <f>IF($A9="","",품목목록!$C6)</f>
        <v/>
      </c>
      <c r="D9" s="40" t="str">
        <f>IF($A9="","",품목목록!$D6)</f>
        <v/>
      </c>
      <c r="E9" s="49" t="str">
        <f>IF($A9="","",SUMIFS(전개결과!$N$6:$N$1205,전개결과!$M$6:$M$1205,$A9))</f>
        <v/>
      </c>
      <c r="F9" s="45" t="str">
        <f>IF($A9="","",ROUND($E9*IF(품목목록!$E6="",0,품목목록!$E6),0))</f>
        <v/>
      </c>
    </row>
    <row r="10" ht="15" customHeight="1" s="30">
      <c r="A10" s="40" t="str">
        <f>IF(품목목록!$A7="","",IF(품목목록!$F7="세트","",품목목록!$A7))</f>
        <v/>
      </c>
      <c r="B10" s="40" t="str">
        <f>IF($A10="","",품목목록!$B7)</f>
        <v/>
      </c>
      <c r="C10" s="40" t="str">
        <f>IF($A10="","",품목목록!$C7)</f>
        <v/>
      </c>
      <c r="D10" s="40" t="str">
        <f>IF($A10="","",품목목록!$D7)</f>
        <v/>
      </c>
      <c r="E10" s="49" t="str">
        <f>IF($A10="","",SUMIFS(전개결과!$N$6:$N$1205,전개결과!$M$6:$M$1205,$A10))</f>
        <v/>
      </c>
      <c r="F10" s="45" t="str">
        <f>IF($A10="","",ROUND($E10*IF(품목목록!$E7="",0,품목목록!$E7),0))</f>
        <v/>
      </c>
    </row>
    <row r="11" ht="15" customHeight="1" s="30">
      <c r="A11" s="40" t="str">
        <f>IF(품목목록!$A8="","",IF(품목목록!$F8="세트","",품목목록!$A8))</f>
        <v/>
      </c>
      <c r="B11" s="40" t="str">
        <f>IF($A11="","",품목목록!$B8)</f>
        <v/>
      </c>
      <c r="C11" s="40" t="str">
        <f>IF($A11="","",품목목록!$C8)</f>
        <v/>
      </c>
      <c r="D11" s="40" t="str">
        <f>IF($A11="","",품목목록!$D8)</f>
        <v/>
      </c>
      <c r="E11" s="49" t="str">
        <f>IF($A11="","",SUMIFS(전개결과!$N$6:$N$1205,전개결과!$M$6:$M$1205,$A11))</f>
        <v/>
      </c>
      <c r="F11" s="45" t="str">
        <f>IF($A11="","",ROUND($E11*IF(품목목록!$E8="",0,품목목록!$E8),0))</f>
        <v/>
      </c>
    </row>
    <row r="12" ht="15" customHeight="1" s="30">
      <c r="A12" s="40" t="str">
        <f>IF(품목목록!$A9="","",IF(품목목록!$F9="세트","",품목목록!$A9))</f>
        <v/>
      </c>
      <c r="B12" s="40" t="str">
        <f>IF($A12="","",품목목록!$B9)</f>
        <v/>
      </c>
      <c r="C12" s="40" t="str">
        <f>IF($A12="","",품목목록!$C9)</f>
        <v/>
      </c>
      <c r="D12" s="40" t="str">
        <f>IF($A12="","",품목목록!$D9)</f>
        <v/>
      </c>
      <c r="E12" s="49" t="str">
        <f>IF($A12="","",SUMIFS(전개결과!$N$6:$N$1205,전개결과!$M$6:$M$1205,$A12))</f>
        <v/>
      </c>
      <c r="F12" s="45" t="str">
        <f>IF($A12="","",ROUND($E12*IF(품목목록!$E9="",0,품목목록!$E9),0))</f>
        <v/>
      </c>
    </row>
    <row r="13" ht="15" customHeight="1" s="30">
      <c r="A13" s="40" t="str">
        <f>IF(품목목록!$A10="","",IF(품목목록!$F10="세트","",품목목록!$A10))</f>
        <v/>
      </c>
      <c r="B13" s="40" t="str">
        <f>IF($A13="","",품목목록!$B10)</f>
        <v/>
      </c>
      <c r="C13" s="40" t="str">
        <f>IF($A13="","",품목목록!$C10)</f>
        <v/>
      </c>
      <c r="D13" s="40" t="str">
        <f>IF($A13="","",품목목록!$D10)</f>
        <v/>
      </c>
      <c r="E13" s="49" t="str">
        <f>IF($A13="","",SUMIFS(전개결과!$N$6:$N$1205,전개결과!$M$6:$M$1205,$A13))</f>
        <v/>
      </c>
      <c r="F13" s="45" t="str">
        <f>IF($A13="","",ROUND($E13*IF(품목목록!$E10="",0,품목목록!$E10),0))</f>
        <v/>
      </c>
    </row>
    <row r="14" ht="15" customHeight="1" s="30">
      <c r="A14" s="40" t="str">
        <f>IF(품목목록!$A11="","",IF(품목목록!$F11="세트","",품목목록!$A11))</f>
        <v/>
      </c>
      <c r="B14" s="40" t="str">
        <f>IF($A14="","",품목목록!$B11)</f>
        <v/>
      </c>
      <c r="C14" s="40" t="str">
        <f>IF($A14="","",품목목록!$C11)</f>
        <v/>
      </c>
      <c r="D14" s="40" t="str">
        <f>IF($A14="","",품목목록!$D11)</f>
        <v/>
      </c>
      <c r="E14" s="49" t="str">
        <f>IF($A14="","",SUMIFS(전개결과!$N$6:$N$1205,전개결과!$M$6:$M$1205,$A14))</f>
        <v/>
      </c>
      <c r="F14" s="45" t="str">
        <f>IF($A14="","",ROUND($E14*IF(품목목록!$E11="",0,품목목록!$E11),0))</f>
        <v/>
      </c>
    </row>
    <row r="15" ht="15" customHeight="1" s="30">
      <c r="A15" s="40" t="str">
        <f>IF(품목목록!$A12="","",IF(품목목록!$F12="세트","",품목목록!$A12))</f>
        <v/>
      </c>
      <c r="B15" s="40" t="str">
        <f>IF($A15="","",품목목록!$B12)</f>
        <v/>
      </c>
      <c r="C15" s="40" t="str">
        <f>IF($A15="","",품목목록!$C12)</f>
        <v/>
      </c>
      <c r="D15" s="40" t="str">
        <f>IF($A15="","",품목목록!$D12)</f>
        <v/>
      </c>
      <c r="E15" s="49" t="str">
        <f>IF($A15="","",SUMIFS(전개결과!$N$6:$N$1205,전개결과!$M$6:$M$1205,$A15))</f>
        <v/>
      </c>
      <c r="F15" s="45" t="str">
        <f>IF($A15="","",ROUND($E15*IF(품목목록!$E12="",0,품목목록!$E12),0))</f>
        <v/>
      </c>
    </row>
    <row r="16" ht="15" customHeight="1" s="30">
      <c r="A16" s="40" t="str">
        <f>IF(품목목록!$A13="","",IF(품목목록!$F13="세트","",품목목록!$A13))</f>
        <v/>
      </c>
      <c r="B16" s="40" t="str">
        <f>IF($A16="","",품목목록!$B13)</f>
        <v/>
      </c>
      <c r="C16" s="40" t="str">
        <f>IF($A16="","",품목목록!$C13)</f>
        <v/>
      </c>
      <c r="D16" s="40" t="str">
        <f>IF($A16="","",품목목록!$D13)</f>
        <v/>
      </c>
      <c r="E16" s="49" t="str">
        <f>IF($A16="","",SUMIFS(전개결과!$N$6:$N$1205,전개결과!$M$6:$M$1205,$A16))</f>
        <v/>
      </c>
      <c r="F16" s="45" t="str">
        <f>IF($A16="","",ROUND($E16*IF(품목목록!$E13="",0,품목목록!$E13),0))</f>
        <v/>
      </c>
    </row>
    <row r="17" ht="15" customHeight="1" s="30">
      <c r="A17" s="40" t="str">
        <f>IF(품목목록!$A14="","",IF(품목목록!$F14="세트","",품목목록!$A14))</f>
        <v/>
      </c>
      <c r="B17" s="40" t="str">
        <f>IF($A17="","",품목목록!$B14)</f>
        <v/>
      </c>
      <c r="C17" s="40" t="str">
        <f>IF($A17="","",품목목록!$C14)</f>
        <v/>
      </c>
      <c r="D17" s="40" t="str">
        <f>IF($A17="","",품목목록!$D14)</f>
        <v/>
      </c>
      <c r="E17" s="49" t="str">
        <f>IF($A17="","",SUMIFS(전개결과!$N$6:$N$1205,전개결과!$M$6:$M$1205,$A17))</f>
        <v/>
      </c>
      <c r="F17" s="45" t="str">
        <f>IF($A17="","",ROUND($E17*IF(품목목록!$E14="",0,품목목록!$E14),0))</f>
        <v/>
      </c>
    </row>
    <row r="18" ht="15" customHeight="1" s="30">
      <c r="A18" s="40" t="str">
        <f>IF(품목목록!$A15="","",IF(품목목록!$F15="세트","",품목목록!$A15))</f>
        <v/>
      </c>
      <c r="B18" s="40" t="str">
        <f>IF($A18="","",품목목록!$B15)</f>
        <v/>
      </c>
      <c r="C18" s="40" t="str">
        <f>IF($A18="","",품목목록!$C15)</f>
        <v/>
      </c>
      <c r="D18" s="40" t="str">
        <f>IF($A18="","",품목목록!$D15)</f>
        <v/>
      </c>
      <c r="E18" s="49" t="str">
        <f>IF($A18="","",SUMIFS(전개결과!$N$6:$N$1205,전개결과!$M$6:$M$1205,$A18))</f>
        <v/>
      </c>
      <c r="F18" s="45" t="str">
        <f>IF($A18="","",ROUND($E18*IF(품목목록!$E15="",0,품목목록!$E15),0))</f>
        <v/>
      </c>
    </row>
    <row r="19" ht="15" customHeight="1" s="30">
      <c r="A19" s="40" t="str">
        <f>IF(품목목록!$A16="","",IF(품목목록!$F16="세트","",품목목록!$A16))</f>
        <v/>
      </c>
      <c r="B19" s="40" t="str">
        <f>IF($A19="","",품목목록!$B16)</f>
        <v/>
      </c>
      <c r="C19" s="40" t="str">
        <f>IF($A19="","",품목목록!$C16)</f>
        <v/>
      </c>
      <c r="D19" s="40" t="str">
        <f>IF($A19="","",품목목록!$D16)</f>
        <v/>
      </c>
      <c r="E19" s="49" t="str">
        <f>IF($A19="","",SUMIFS(전개결과!$N$6:$N$1205,전개결과!$M$6:$M$1205,$A19))</f>
        <v/>
      </c>
      <c r="F19" s="45" t="str">
        <f>IF($A19="","",ROUND($E19*IF(품목목록!$E16="",0,품목목록!$E16),0))</f>
        <v/>
      </c>
    </row>
    <row r="20" ht="15" customHeight="1" s="30">
      <c r="A20" s="40" t="str">
        <f>IF(품목목록!$A17="","",IF(품목목록!$F17="세트","",품목목록!$A17))</f>
        <v/>
      </c>
      <c r="B20" s="40" t="str">
        <f>IF($A20="","",품목목록!$B17)</f>
        <v/>
      </c>
      <c r="C20" s="40" t="str">
        <f>IF($A20="","",품목목록!$C17)</f>
        <v/>
      </c>
      <c r="D20" s="40" t="str">
        <f>IF($A20="","",품목목록!$D17)</f>
        <v/>
      </c>
      <c r="E20" s="49" t="str">
        <f>IF($A20="","",SUMIFS(전개결과!$N$6:$N$1205,전개결과!$M$6:$M$1205,$A20))</f>
        <v/>
      </c>
      <c r="F20" s="45" t="str">
        <f>IF($A20="","",ROUND($E20*IF(품목목록!$E17="",0,품목목록!$E17),0))</f>
        <v/>
      </c>
    </row>
    <row r="21" ht="15" customHeight="1" s="30">
      <c r="A21" s="40" t="str">
        <f>IF(품목목록!$A18="","",IF(품목목록!$F18="세트","",품목목록!$A18))</f>
        <v/>
      </c>
      <c r="B21" s="40" t="str">
        <f>IF($A21="","",품목목록!$B18)</f>
        <v/>
      </c>
      <c r="C21" s="40" t="str">
        <f>IF($A21="","",품목목록!$C18)</f>
        <v/>
      </c>
      <c r="D21" s="40" t="str">
        <f>IF($A21="","",품목목록!$D18)</f>
        <v/>
      </c>
      <c r="E21" s="49" t="str">
        <f>IF($A21="","",SUMIFS(전개결과!$N$6:$N$1205,전개결과!$M$6:$M$1205,$A21))</f>
        <v/>
      </c>
      <c r="F21" s="45" t="str">
        <f>IF($A21="","",ROUND($E21*IF(품목목록!$E18="",0,품목목록!$E18),0))</f>
        <v/>
      </c>
    </row>
    <row r="22" ht="15" customHeight="1" s="30">
      <c r="A22" s="40" t="str">
        <f>IF(품목목록!$A19="","",IF(품목목록!$F19="세트","",품목목록!$A19))</f>
        <v/>
      </c>
      <c r="B22" s="40" t="str">
        <f>IF($A22="","",품목목록!$B19)</f>
        <v/>
      </c>
      <c r="C22" s="40" t="str">
        <f>IF($A22="","",품목목록!$C19)</f>
        <v/>
      </c>
      <c r="D22" s="40" t="str">
        <f>IF($A22="","",품목목록!$D19)</f>
        <v/>
      </c>
      <c r="E22" s="49" t="str">
        <f>IF($A22="","",SUMIFS(전개결과!$N$6:$N$1205,전개결과!$M$6:$M$1205,$A22))</f>
        <v/>
      </c>
      <c r="F22" s="45" t="str">
        <f>IF($A22="","",ROUND($E22*IF(품목목록!$E19="",0,품목목록!$E19),0))</f>
        <v/>
      </c>
    </row>
    <row r="23" ht="15" customHeight="1" s="30">
      <c r="A23" s="40" t="str">
        <f>IF(품목목록!$A20="","",IF(품목목록!$F20="세트","",품목목록!$A20))</f>
        <v/>
      </c>
      <c r="B23" s="40" t="str">
        <f>IF($A23="","",품목목록!$B20)</f>
        <v/>
      </c>
      <c r="C23" s="40" t="str">
        <f>IF($A23="","",품목목록!$C20)</f>
        <v/>
      </c>
      <c r="D23" s="40" t="str">
        <f>IF($A23="","",품목목록!$D20)</f>
        <v/>
      </c>
      <c r="E23" s="49" t="str">
        <f>IF($A23="","",SUMIFS(전개결과!$N$6:$N$1205,전개결과!$M$6:$M$1205,$A23))</f>
        <v/>
      </c>
      <c r="F23" s="45" t="str">
        <f>IF($A23="","",ROUND($E23*IF(품목목록!$E20="",0,품목목록!$E20),0))</f>
        <v/>
      </c>
    </row>
    <row r="24" ht="15" customHeight="1" s="30">
      <c r="A24" s="40" t="str">
        <f>IF(품목목록!$A21="","",IF(품목목록!$F21="세트","",품목목록!$A21))</f>
        <v/>
      </c>
      <c r="B24" s="40" t="str">
        <f>IF($A24="","",품목목록!$B21)</f>
        <v/>
      </c>
      <c r="C24" s="40" t="str">
        <f>IF($A24="","",품목목록!$C21)</f>
        <v/>
      </c>
      <c r="D24" s="40" t="str">
        <f>IF($A24="","",품목목록!$D21)</f>
        <v/>
      </c>
      <c r="E24" s="49" t="str">
        <f>IF($A24="","",SUMIFS(전개결과!$N$6:$N$1205,전개결과!$M$6:$M$1205,$A24))</f>
        <v/>
      </c>
      <c r="F24" s="45" t="str">
        <f>IF($A24="","",ROUND($E24*IF(품목목록!$E21="",0,품목목록!$E21),0))</f>
        <v/>
      </c>
    </row>
    <row r="25" ht="15" customHeight="1" s="30">
      <c r="A25" s="40" t="str">
        <f>IF(품목목록!$A22="","",IF(품목목록!$F22="세트","",품목목록!$A22))</f>
        <v/>
      </c>
      <c r="B25" s="40" t="str">
        <f>IF($A25="","",품목목록!$B22)</f>
        <v/>
      </c>
      <c r="C25" s="40" t="str">
        <f>IF($A25="","",품목목록!$C22)</f>
        <v/>
      </c>
      <c r="D25" s="40" t="str">
        <f>IF($A25="","",품목목록!$D22)</f>
        <v/>
      </c>
      <c r="E25" s="49" t="str">
        <f>IF($A25="","",SUMIFS(전개결과!$N$6:$N$1205,전개결과!$M$6:$M$1205,$A25))</f>
        <v/>
      </c>
      <c r="F25" s="45" t="str">
        <f>IF($A25="","",ROUND($E25*IF(품목목록!$E22="",0,품목목록!$E22),0))</f>
        <v/>
      </c>
    </row>
    <row r="26" ht="15" customHeight="1" s="30">
      <c r="A26" s="40" t="str">
        <f>IF(품목목록!$A23="","",IF(품목목록!$F23="세트","",품목목록!$A23))</f>
        <v/>
      </c>
      <c r="B26" s="40" t="str">
        <f>IF($A26="","",품목목록!$B23)</f>
        <v/>
      </c>
      <c r="C26" s="40" t="str">
        <f>IF($A26="","",품목목록!$C23)</f>
        <v/>
      </c>
      <c r="D26" s="40" t="str">
        <f>IF($A26="","",품목목록!$D23)</f>
        <v/>
      </c>
      <c r="E26" s="49" t="str">
        <f>IF($A26="","",SUMIFS(전개결과!$N$6:$N$1205,전개결과!$M$6:$M$1205,$A26))</f>
        <v/>
      </c>
      <c r="F26" s="45" t="str">
        <f>IF($A26="","",ROUND($E26*IF(품목목록!$E23="",0,품목목록!$E23),0))</f>
        <v/>
      </c>
    </row>
    <row r="27" ht="15" customHeight="1" s="30">
      <c r="A27" s="40" t="str">
        <f>IF(품목목록!$A24="","",IF(품목목록!$F24="세트","",품목목록!$A24))</f>
        <v/>
      </c>
      <c r="B27" s="40" t="str">
        <f>IF($A27="","",품목목록!$B24)</f>
        <v/>
      </c>
      <c r="C27" s="40" t="str">
        <f>IF($A27="","",품목목록!$C24)</f>
        <v/>
      </c>
      <c r="D27" s="40" t="str">
        <f>IF($A27="","",품목목록!$D24)</f>
        <v/>
      </c>
      <c r="E27" s="49" t="str">
        <f>IF($A27="","",SUMIFS(전개결과!$N$6:$N$1205,전개결과!$M$6:$M$1205,$A27))</f>
        <v/>
      </c>
      <c r="F27" s="45" t="str">
        <f>IF($A27="","",ROUND($E27*IF(품목목록!$E24="",0,품목목록!$E24),0))</f>
        <v/>
      </c>
    </row>
    <row r="28" ht="15" customHeight="1" s="30">
      <c r="A28" s="40" t="str">
        <f>IF(품목목록!$A25="","",IF(품목목록!$F25="세트","",품목목록!$A25))</f>
        <v/>
      </c>
      <c r="B28" s="40" t="str">
        <f>IF($A28="","",품목목록!$B25)</f>
        <v/>
      </c>
      <c r="C28" s="40" t="str">
        <f>IF($A28="","",품목목록!$C25)</f>
        <v/>
      </c>
      <c r="D28" s="40" t="str">
        <f>IF($A28="","",품목목록!$D25)</f>
        <v/>
      </c>
      <c r="E28" s="49" t="str">
        <f>IF($A28="","",SUMIFS(전개결과!$N$6:$N$1205,전개결과!$M$6:$M$1205,$A28))</f>
        <v/>
      </c>
      <c r="F28" s="45" t="str">
        <f>IF($A28="","",ROUND($E28*IF(품목목록!$E25="",0,품목목록!$E25),0))</f>
        <v/>
      </c>
    </row>
    <row r="29" ht="15" customHeight="1" s="30">
      <c r="A29" s="40" t="str">
        <f>IF(품목목록!$A26="","",IF(품목목록!$F26="세트","",품목목록!$A26))</f>
        <v/>
      </c>
      <c r="B29" s="40" t="str">
        <f>IF($A29="","",품목목록!$B26)</f>
        <v/>
      </c>
      <c r="C29" s="40" t="str">
        <f>IF($A29="","",품목목록!$C26)</f>
        <v/>
      </c>
      <c r="D29" s="40" t="str">
        <f>IF($A29="","",품목목록!$D26)</f>
        <v/>
      </c>
      <c r="E29" s="49" t="str">
        <f>IF($A29="","",SUMIFS(전개결과!$N$6:$N$1205,전개결과!$M$6:$M$1205,$A29))</f>
        <v/>
      </c>
      <c r="F29" s="45" t="str">
        <f>IF($A29="","",ROUND($E29*IF(품목목록!$E26="",0,품목목록!$E26),0))</f>
        <v/>
      </c>
    </row>
    <row r="30" ht="15" customHeight="1" s="30">
      <c r="A30" s="40" t="str">
        <f>IF(품목목록!$A27="","",IF(품목목록!$F27="세트","",품목목록!$A27))</f>
        <v/>
      </c>
      <c r="B30" s="40" t="str">
        <f>IF($A30="","",품목목록!$B27)</f>
        <v/>
      </c>
      <c r="C30" s="40" t="str">
        <f>IF($A30="","",품목목록!$C27)</f>
        <v/>
      </c>
      <c r="D30" s="40" t="str">
        <f>IF($A30="","",품목목록!$D27)</f>
        <v/>
      </c>
      <c r="E30" s="49" t="str">
        <f>IF($A30="","",SUMIFS(전개결과!$N$6:$N$1205,전개결과!$M$6:$M$1205,$A30))</f>
        <v/>
      </c>
      <c r="F30" s="45" t="str">
        <f>IF($A30="","",ROUND($E30*IF(품목목록!$E27="",0,품목목록!$E27),0))</f>
        <v/>
      </c>
    </row>
    <row r="31" ht="15" customHeight="1" s="30">
      <c r="A31" s="40" t="str">
        <f>IF(품목목록!$A28="","",IF(품목목록!$F28="세트","",품목목록!$A28))</f>
        <v/>
      </c>
      <c r="B31" s="40" t="str">
        <f>IF($A31="","",품목목록!$B28)</f>
        <v/>
      </c>
      <c r="C31" s="40" t="str">
        <f>IF($A31="","",품목목록!$C28)</f>
        <v/>
      </c>
      <c r="D31" s="40" t="str">
        <f>IF($A31="","",품목목록!$D28)</f>
        <v/>
      </c>
      <c r="E31" s="49" t="str">
        <f>IF($A31="","",SUMIFS(전개결과!$N$6:$N$1205,전개결과!$M$6:$M$1205,$A31))</f>
        <v/>
      </c>
      <c r="F31" s="45" t="str">
        <f>IF($A31="","",ROUND($E31*IF(품목목록!$E28="",0,품목목록!$E28),0))</f>
        <v/>
      </c>
    </row>
    <row r="32" ht="15" customHeight="1" s="30">
      <c r="A32" s="40" t="str">
        <f>IF(품목목록!$A29="","",IF(품목목록!$F29="세트","",품목목록!$A29))</f>
        <v/>
      </c>
      <c r="B32" s="40" t="str">
        <f>IF($A32="","",품목목록!$B29)</f>
        <v/>
      </c>
      <c r="C32" s="40" t="str">
        <f>IF($A32="","",품목목록!$C29)</f>
        <v/>
      </c>
      <c r="D32" s="40" t="str">
        <f>IF($A32="","",품목목록!$D29)</f>
        <v/>
      </c>
      <c r="E32" s="49" t="str">
        <f>IF($A32="","",SUMIFS(전개결과!$N$6:$N$1205,전개결과!$M$6:$M$1205,$A32))</f>
        <v/>
      </c>
      <c r="F32" s="45" t="str">
        <f>IF($A32="","",ROUND($E32*IF(품목목록!$E29="",0,품목목록!$E29),0))</f>
        <v/>
      </c>
    </row>
    <row r="33" ht="15" customHeight="1" s="30">
      <c r="A33" s="40" t="str">
        <f>IF(품목목록!$A30="","",IF(품목목록!$F30="세트","",품목목록!$A30))</f>
        <v/>
      </c>
      <c r="B33" s="40" t="str">
        <f>IF($A33="","",품목목록!$B30)</f>
        <v/>
      </c>
      <c r="C33" s="40" t="str">
        <f>IF($A33="","",품목목록!$C30)</f>
        <v/>
      </c>
      <c r="D33" s="40" t="str">
        <f>IF($A33="","",품목목록!$D30)</f>
        <v/>
      </c>
      <c r="E33" s="49" t="str">
        <f>IF($A33="","",SUMIFS(전개결과!$N$6:$N$1205,전개결과!$M$6:$M$1205,$A33))</f>
        <v/>
      </c>
      <c r="F33" s="45" t="str">
        <f>IF($A33="","",ROUND($E33*IF(품목목록!$E30="",0,품목목록!$E30),0))</f>
        <v/>
      </c>
    </row>
    <row r="34" ht="15" customHeight="1" s="30">
      <c r="A34" s="40" t="str">
        <f>IF(품목목록!$A31="","",IF(품목목록!$F31="세트","",품목목록!$A31))</f>
        <v/>
      </c>
      <c r="B34" s="40" t="str">
        <f>IF($A34="","",품목목록!$B31)</f>
        <v/>
      </c>
      <c r="C34" s="40" t="str">
        <f>IF($A34="","",품목목록!$C31)</f>
        <v/>
      </c>
      <c r="D34" s="40" t="str">
        <f>IF($A34="","",품목목록!$D31)</f>
        <v/>
      </c>
      <c r="E34" s="49" t="str">
        <f>IF($A34="","",SUMIFS(전개결과!$N$6:$N$1205,전개결과!$M$6:$M$1205,$A34))</f>
        <v/>
      </c>
      <c r="F34" s="45" t="str">
        <f>IF($A34="","",ROUND($E34*IF(품목목록!$E31="",0,품목목록!$E31),0))</f>
        <v/>
      </c>
    </row>
    <row r="35" ht="15" customHeight="1" s="30">
      <c r="A35" s="40" t="str">
        <f>IF(품목목록!$A32="","",IF(품목목록!$F32="세트","",품목목록!$A32))</f>
        <v/>
      </c>
      <c r="B35" s="40" t="str">
        <f>IF($A35="","",품목목록!$B32)</f>
        <v/>
      </c>
      <c r="C35" s="40" t="str">
        <f>IF($A35="","",품목목록!$C32)</f>
        <v/>
      </c>
      <c r="D35" s="40" t="str">
        <f>IF($A35="","",품목목록!$D32)</f>
        <v/>
      </c>
      <c r="E35" s="49" t="str">
        <f>IF($A35="","",SUMIFS(전개결과!$N$6:$N$1205,전개결과!$M$6:$M$1205,$A35))</f>
        <v/>
      </c>
      <c r="F35" s="45" t="str">
        <f>IF($A35="","",ROUND($E35*IF(품목목록!$E32="",0,품목목록!$E32),0))</f>
        <v/>
      </c>
    </row>
    <row r="36" ht="15" customHeight="1" s="30">
      <c r="A36" s="40" t="str">
        <f>IF(품목목록!$A33="","",IF(품목목록!$F33="세트","",품목목록!$A33))</f>
        <v/>
      </c>
      <c r="B36" s="40" t="str">
        <f>IF($A36="","",품목목록!$B33)</f>
        <v/>
      </c>
      <c r="C36" s="40" t="str">
        <f>IF($A36="","",품목목록!$C33)</f>
        <v/>
      </c>
      <c r="D36" s="40" t="str">
        <f>IF($A36="","",품목목록!$D33)</f>
        <v/>
      </c>
      <c r="E36" s="49" t="str">
        <f>IF($A36="","",SUMIFS(전개결과!$N$6:$N$1205,전개결과!$M$6:$M$1205,$A36))</f>
        <v/>
      </c>
      <c r="F36" s="45" t="str">
        <f>IF($A36="","",ROUND($E36*IF(품목목록!$E33="",0,품목목록!$E33),0))</f>
        <v/>
      </c>
    </row>
    <row r="37" ht="15" customHeight="1" s="30">
      <c r="A37" s="40" t="str">
        <f>IF(품목목록!$A34="","",IF(품목목록!$F34="세트","",품목목록!$A34))</f>
        <v/>
      </c>
      <c r="B37" s="40" t="str">
        <f>IF($A37="","",품목목록!$B34)</f>
        <v/>
      </c>
      <c r="C37" s="40" t="str">
        <f>IF($A37="","",품목목록!$C34)</f>
        <v/>
      </c>
      <c r="D37" s="40" t="str">
        <f>IF($A37="","",품목목록!$D34)</f>
        <v/>
      </c>
      <c r="E37" s="49" t="str">
        <f>IF($A37="","",SUMIFS(전개결과!$N$6:$N$1205,전개결과!$M$6:$M$1205,$A37))</f>
        <v/>
      </c>
      <c r="F37" s="45" t="str">
        <f>IF($A37="","",ROUND($E37*IF(품목목록!$E34="",0,품목목록!$E34),0))</f>
        <v/>
      </c>
    </row>
    <row r="38" ht="15" customHeight="1" s="30">
      <c r="A38" s="40" t="str">
        <f>IF(품목목록!$A35="","",IF(품목목록!$F35="세트","",품목목록!$A35))</f>
        <v/>
      </c>
      <c r="B38" s="40" t="str">
        <f>IF($A38="","",품목목록!$B35)</f>
        <v/>
      </c>
      <c r="C38" s="40" t="str">
        <f>IF($A38="","",품목목록!$C35)</f>
        <v/>
      </c>
      <c r="D38" s="40" t="str">
        <f>IF($A38="","",품목목록!$D35)</f>
        <v/>
      </c>
      <c r="E38" s="49" t="str">
        <f>IF($A38="","",SUMIFS(전개결과!$N$6:$N$1205,전개결과!$M$6:$M$1205,$A38))</f>
        <v/>
      </c>
      <c r="F38" s="45" t="str">
        <f>IF($A38="","",ROUND($E38*IF(품목목록!$E35="",0,품목목록!$E35),0))</f>
        <v/>
      </c>
    </row>
    <row r="39" ht="15" customHeight="1" s="30">
      <c r="A39" s="40" t="str">
        <f>IF(품목목록!$A36="","",IF(품목목록!$F36="세트","",품목목록!$A36))</f>
        <v/>
      </c>
      <c r="B39" s="40" t="str">
        <f>IF($A39="","",품목목록!$B36)</f>
        <v/>
      </c>
      <c r="C39" s="40" t="str">
        <f>IF($A39="","",품목목록!$C36)</f>
        <v/>
      </c>
      <c r="D39" s="40" t="str">
        <f>IF($A39="","",품목목록!$D36)</f>
        <v/>
      </c>
      <c r="E39" s="49" t="str">
        <f>IF($A39="","",SUMIFS(전개결과!$N$6:$N$1205,전개결과!$M$6:$M$1205,$A39))</f>
        <v/>
      </c>
      <c r="F39" s="45" t="str">
        <f>IF($A39="","",ROUND($E39*IF(품목목록!$E36="",0,품목목록!$E36),0))</f>
        <v/>
      </c>
    </row>
    <row r="40" ht="15" customHeight="1" s="30">
      <c r="A40" s="40" t="str">
        <f>IF(품목목록!$A37="","",IF(품목목록!$F37="세트","",품목목록!$A37))</f>
        <v/>
      </c>
      <c r="B40" s="40" t="str">
        <f>IF($A40="","",품목목록!$B37)</f>
        <v/>
      </c>
      <c r="C40" s="40" t="str">
        <f>IF($A40="","",품목목록!$C37)</f>
        <v/>
      </c>
      <c r="D40" s="40" t="str">
        <f>IF($A40="","",품목목록!$D37)</f>
        <v/>
      </c>
      <c r="E40" s="49" t="str">
        <f>IF($A40="","",SUMIFS(전개결과!$N$6:$N$1205,전개결과!$M$6:$M$1205,$A40))</f>
        <v/>
      </c>
      <c r="F40" s="45" t="str">
        <f>IF($A40="","",ROUND($E40*IF(품목목록!$E37="",0,품목목록!$E37),0))</f>
        <v/>
      </c>
    </row>
    <row r="41" ht="15" customHeight="1" s="30">
      <c r="A41" s="40" t="str">
        <f>IF(품목목록!$A38="","",IF(품목목록!$F38="세트","",품목목록!$A38))</f>
        <v/>
      </c>
      <c r="B41" s="40" t="str">
        <f>IF($A41="","",품목목록!$B38)</f>
        <v/>
      </c>
      <c r="C41" s="40" t="str">
        <f>IF($A41="","",품목목록!$C38)</f>
        <v/>
      </c>
      <c r="D41" s="40" t="str">
        <f>IF($A41="","",품목목록!$D38)</f>
        <v/>
      </c>
      <c r="E41" s="49" t="str">
        <f>IF($A41="","",SUMIFS(전개결과!$N$6:$N$1205,전개결과!$M$6:$M$1205,$A41))</f>
        <v/>
      </c>
      <c r="F41" s="45" t="str">
        <f>IF($A41="","",ROUND($E41*IF(품목목록!$E38="",0,품목목록!$E38),0))</f>
        <v/>
      </c>
    </row>
    <row r="42" ht="15" customHeight="1" s="30">
      <c r="A42" s="40" t="str">
        <f>IF(품목목록!$A39="","",IF(품목목록!$F39="세트","",품목목록!$A39))</f>
        <v/>
      </c>
      <c r="B42" s="40" t="str">
        <f>IF($A42="","",품목목록!$B39)</f>
        <v/>
      </c>
      <c r="C42" s="40" t="str">
        <f>IF($A42="","",품목목록!$C39)</f>
        <v/>
      </c>
      <c r="D42" s="40" t="str">
        <f>IF($A42="","",품목목록!$D39)</f>
        <v/>
      </c>
      <c r="E42" s="49" t="str">
        <f>IF($A42="","",SUMIFS(전개결과!$N$6:$N$1205,전개결과!$M$6:$M$1205,$A42))</f>
        <v/>
      </c>
      <c r="F42" s="45" t="str">
        <f>IF($A42="","",ROUND($E42*IF(품목목록!$E39="",0,품목목록!$E39),0))</f>
        <v/>
      </c>
    </row>
    <row r="43" ht="15" customHeight="1" s="30">
      <c r="A43" s="40" t="str">
        <f>IF(품목목록!$A40="","",IF(품목목록!$F40="세트","",품목목록!$A40))</f>
        <v/>
      </c>
      <c r="B43" s="40" t="str">
        <f>IF($A43="","",품목목록!$B40)</f>
        <v/>
      </c>
      <c r="C43" s="40" t="str">
        <f>IF($A43="","",품목목록!$C40)</f>
        <v/>
      </c>
      <c r="D43" s="40" t="str">
        <f>IF($A43="","",품목목록!$D40)</f>
        <v/>
      </c>
      <c r="E43" s="49" t="str">
        <f>IF($A43="","",SUMIFS(전개결과!$N$6:$N$1205,전개결과!$M$6:$M$1205,$A43))</f>
        <v/>
      </c>
      <c r="F43" s="45" t="str">
        <f>IF($A43="","",ROUND($E43*IF(품목목록!$E40="",0,품목목록!$E40),0))</f>
        <v/>
      </c>
    </row>
    <row r="44" ht="15" customHeight="1" s="30">
      <c r="A44" s="40" t="str">
        <f>IF(품목목록!$A41="","",IF(품목목록!$F41="세트","",품목목록!$A41))</f>
        <v/>
      </c>
      <c r="B44" s="40" t="str">
        <f>IF($A44="","",품목목록!$B41)</f>
        <v/>
      </c>
      <c r="C44" s="40" t="str">
        <f>IF($A44="","",품목목록!$C41)</f>
        <v/>
      </c>
      <c r="D44" s="40" t="str">
        <f>IF($A44="","",품목목록!$D41)</f>
        <v/>
      </c>
      <c r="E44" s="49" t="str">
        <f>IF($A44="","",SUMIFS(전개결과!$N$6:$N$1205,전개결과!$M$6:$M$1205,$A44))</f>
        <v/>
      </c>
      <c r="F44" s="45" t="str">
        <f>IF($A44="","",ROUND($E44*IF(품목목록!$E41="",0,품목목록!$E41),0))</f>
        <v/>
      </c>
    </row>
    <row r="45" ht="15" customHeight="1" s="30">
      <c r="A45" s="40" t="str">
        <f>IF(품목목록!$A42="","",IF(품목목록!$F42="세트","",품목목록!$A42))</f>
        <v/>
      </c>
      <c r="B45" s="40" t="str">
        <f>IF($A45="","",품목목록!$B42)</f>
        <v/>
      </c>
      <c r="C45" s="40" t="str">
        <f>IF($A45="","",품목목록!$C42)</f>
        <v/>
      </c>
      <c r="D45" s="40" t="str">
        <f>IF($A45="","",품목목록!$D42)</f>
        <v/>
      </c>
      <c r="E45" s="49" t="str">
        <f>IF($A45="","",SUMIFS(전개결과!$N$6:$N$1205,전개결과!$M$6:$M$1205,$A45))</f>
        <v/>
      </c>
      <c r="F45" s="45" t="str">
        <f>IF($A45="","",ROUND($E45*IF(품목목록!$E42="",0,품목목록!$E42),0))</f>
        <v/>
      </c>
    </row>
    <row r="46" ht="15" customHeight="1" s="30">
      <c r="A46" s="40" t="str">
        <f>IF(품목목록!$A43="","",IF(품목목록!$F43="세트","",품목목록!$A43))</f>
        <v/>
      </c>
      <c r="B46" s="40" t="str">
        <f>IF($A46="","",품목목록!$B43)</f>
        <v/>
      </c>
      <c r="C46" s="40" t="str">
        <f>IF($A46="","",품목목록!$C43)</f>
        <v/>
      </c>
      <c r="D46" s="40" t="str">
        <f>IF($A46="","",품목목록!$D43)</f>
        <v/>
      </c>
      <c r="E46" s="49" t="str">
        <f>IF($A46="","",SUMIFS(전개결과!$N$6:$N$1205,전개결과!$M$6:$M$1205,$A46))</f>
        <v/>
      </c>
      <c r="F46" s="45" t="str">
        <f>IF($A46="","",ROUND($E46*IF(품목목록!$E43="",0,품목목록!$E43),0))</f>
        <v/>
      </c>
    </row>
    <row r="47" ht="15" customHeight="1" s="30">
      <c r="A47" s="40" t="str">
        <f>IF(품목목록!$A44="","",IF(품목목록!$F44="세트","",품목목록!$A44))</f>
        <v/>
      </c>
      <c r="B47" s="40" t="str">
        <f>IF($A47="","",품목목록!$B44)</f>
        <v/>
      </c>
      <c r="C47" s="40" t="str">
        <f>IF($A47="","",품목목록!$C44)</f>
        <v/>
      </c>
      <c r="D47" s="40" t="str">
        <f>IF($A47="","",품목목록!$D44)</f>
        <v/>
      </c>
      <c r="E47" s="49" t="str">
        <f>IF($A47="","",SUMIFS(전개결과!$N$6:$N$1205,전개결과!$M$6:$M$1205,$A47))</f>
        <v/>
      </c>
      <c r="F47" s="45" t="str">
        <f>IF($A47="","",ROUND($E47*IF(품목목록!$E44="",0,품목목록!$E44),0))</f>
        <v/>
      </c>
    </row>
    <row r="48" ht="15" customHeight="1" s="30">
      <c r="A48" s="40" t="str">
        <f>IF(품목목록!$A45="","",IF(품목목록!$F45="세트","",품목목록!$A45))</f>
        <v/>
      </c>
      <c r="B48" s="40" t="str">
        <f>IF($A48="","",품목목록!$B45)</f>
        <v/>
      </c>
      <c r="C48" s="40" t="str">
        <f>IF($A48="","",품목목록!$C45)</f>
        <v/>
      </c>
      <c r="D48" s="40" t="str">
        <f>IF($A48="","",품목목록!$D45)</f>
        <v/>
      </c>
      <c r="E48" s="49" t="str">
        <f>IF($A48="","",SUMIFS(전개결과!$N$6:$N$1205,전개결과!$M$6:$M$1205,$A48))</f>
        <v/>
      </c>
      <c r="F48" s="45" t="str">
        <f>IF($A48="","",ROUND($E48*IF(품목목록!$E45="",0,품목목록!$E45),0))</f>
        <v/>
      </c>
    </row>
    <row r="49" ht="15" customHeight="1" s="30">
      <c r="A49" s="40" t="str">
        <f>IF(품목목록!$A46="","",IF(품목목록!$F46="세트","",품목목록!$A46))</f>
        <v/>
      </c>
      <c r="B49" s="40" t="str">
        <f>IF($A49="","",품목목록!$B46)</f>
        <v/>
      </c>
      <c r="C49" s="40" t="str">
        <f>IF($A49="","",품목목록!$C46)</f>
        <v/>
      </c>
      <c r="D49" s="40" t="str">
        <f>IF($A49="","",품목목록!$D46)</f>
        <v/>
      </c>
      <c r="E49" s="49" t="str">
        <f>IF($A49="","",SUMIFS(전개결과!$N$6:$N$1205,전개결과!$M$6:$M$1205,$A49))</f>
        <v/>
      </c>
      <c r="F49" s="45" t="str">
        <f>IF($A49="","",ROUND($E49*IF(품목목록!$E46="",0,품목목록!$E46),0))</f>
        <v/>
      </c>
    </row>
    <row r="50" ht="15" customHeight="1" s="30">
      <c r="A50" s="40" t="str">
        <f>IF(품목목록!$A47="","",IF(품목목록!$F47="세트","",품목목록!$A47))</f>
        <v/>
      </c>
      <c r="B50" s="40" t="str">
        <f>IF($A50="","",품목목록!$B47)</f>
        <v/>
      </c>
      <c r="C50" s="40" t="str">
        <f>IF($A50="","",품목목록!$C47)</f>
        <v/>
      </c>
      <c r="D50" s="40" t="str">
        <f>IF($A50="","",품목목록!$D47)</f>
        <v/>
      </c>
      <c r="E50" s="49" t="str">
        <f>IF($A50="","",SUMIFS(전개결과!$N$6:$N$1205,전개결과!$M$6:$M$1205,$A50))</f>
        <v/>
      </c>
      <c r="F50" s="45" t="str">
        <f>IF($A50="","",ROUND($E50*IF(품목목록!$E47="",0,품목목록!$E47),0))</f>
        <v/>
      </c>
    </row>
    <row r="51" ht="15" customHeight="1" s="30">
      <c r="A51" s="40" t="str">
        <f>IF(품목목록!$A48="","",IF(품목목록!$F48="세트","",품목목록!$A48))</f>
        <v/>
      </c>
      <c r="B51" s="40" t="str">
        <f>IF($A51="","",품목목록!$B48)</f>
        <v/>
      </c>
      <c r="C51" s="40" t="str">
        <f>IF($A51="","",품목목록!$C48)</f>
        <v/>
      </c>
      <c r="D51" s="40" t="str">
        <f>IF($A51="","",품목목록!$D48)</f>
        <v/>
      </c>
      <c r="E51" s="49" t="str">
        <f>IF($A51="","",SUMIFS(전개결과!$N$6:$N$1205,전개결과!$M$6:$M$1205,$A51))</f>
        <v/>
      </c>
      <c r="F51" s="45" t="str">
        <f>IF($A51="","",ROUND($E51*IF(품목목록!$E48="",0,품목목록!$E48),0))</f>
        <v/>
      </c>
    </row>
    <row r="52" ht="15" customHeight="1" s="30">
      <c r="A52" s="40" t="str">
        <f>IF(품목목록!$A49="","",IF(품목목록!$F49="세트","",품목목록!$A49))</f>
        <v/>
      </c>
      <c r="B52" s="40" t="str">
        <f>IF($A52="","",품목목록!$B49)</f>
        <v/>
      </c>
      <c r="C52" s="40" t="str">
        <f>IF($A52="","",품목목록!$C49)</f>
        <v/>
      </c>
      <c r="D52" s="40" t="str">
        <f>IF($A52="","",품목목록!$D49)</f>
        <v/>
      </c>
      <c r="E52" s="49" t="str">
        <f>IF($A52="","",SUMIFS(전개결과!$N$6:$N$1205,전개결과!$M$6:$M$1205,$A52))</f>
        <v/>
      </c>
      <c r="F52" s="45" t="str">
        <f>IF($A52="","",ROUND($E52*IF(품목목록!$E49="",0,품목목록!$E49),0))</f>
        <v/>
      </c>
    </row>
    <row r="53" ht="15" customHeight="1" s="30">
      <c r="A53" s="40" t="str">
        <f>IF(품목목록!$A50="","",IF(품목목록!$F50="세트","",품목목록!$A50))</f>
        <v/>
      </c>
      <c r="B53" s="40" t="str">
        <f>IF($A53="","",품목목록!$B50)</f>
        <v/>
      </c>
      <c r="C53" s="40" t="str">
        <f>IF($A53="","",품목목록!$C50)</f>
        <v/>
      </c>
      <c r="D53" s="40" t="str">
        <f>IF($A53="","",품목목록!$D50)</f>
        <v/>
      </c>
      <c r="E53" s="49" t="str">
        <f>IF($A53="","",SUMIFS(전개결과!$N$6:$N$1205,전개결과!$M$6:$M$1205,$A53))</f>
        <v/>
      </c>
      <c r="F53" s="45" t="str">
        <f>IF($A53="","",ROUND($E53*IF(품목목록!$E50="",0,품목목록!$E50),0))</f>
        <v/>
      </c>
    </row>
    <row r="54" ht="15" customHeight="1" s="30">
      <c r="A54" s="40" t="str">
        <f>IF(품목목록!$A51="","",IF(품목목록!$F51="세트","",품목목록!$A51))</f>
        <v/>
      </c>
      <c r="B54" s="40" t="str">
        <f>IF($A54="","",품목목록!$B51)</f>
        <v/>
      </c>
      <c r="C54" s="40" t="str">
        <f>IF($A54="","",품목목록!$C51)</f>
        <v/>
      </c>
      <c r="D54" s="40" t="str">
        <f>IF($A54="","",품목목록!$D51)</f>
        <v/>
      </c>
      <c r="E54" s="49" t="str">
        <f>IF($A54="","",SUMIFS(전개결과!$N$6:$N$1205,전개결과!$M$6:$M$1205,$A54))</f>
        <v/>
      </c>
      <c r="F54" s="45" t="str">
        <f>IF($A54="","",ROUND($E54*IF(품목목록!$E51="",0,품목목록!$E51),0))</f>
        <v/>
      </c>
    </row>
    <row r="55" ht="15" customHeight="1" s="30">
      <c r="A55" s="40" t="str">
        <f>IF(품목목록!$A52="","",IF(품목목록!$F52="세트","",품목목록!$A52))</f>
        <v/>
      </c>
      <c r="B55" s="40" t="str">
        <f>IF($A55="","",품목목록!$B52)</f>
        <v/>
      </c>
      <c r="C55" s="40" t="str">
        <f>IF($A55="","",품목목록!$C52)</f>
        <v/>
      </c>
      <c r="D55" s="40" t="str">
        <f>IF($A55="","",품목목록!$D52)</f>
        <v/>
      </c>
      <c r="E55" s="49" t="str">
        <f>IF($A55="","",SUMIFS(전개결과!$N$6:$N$1205,전개결과!$M$6:$M$1205,$A55))</f>
        <v/>
      </c>
      <c r="F55" s="45" t="str">
        <f>IF($A55="","",ROUND($E55*IF(품목목록!$E52="",0,품목목록!$E52),0))</f>
        <v/>
      </c>
    </row>
    <row r="56" ht="15" customHeight="1" s="30">
      <c r="A56" s="40" t="str">
        <f>IF(품목목록!$A53="","",IF(품목목록!$F53="세트","",품목목록!$A53))</f>
        <v/>
      </c>
      <c r="B56" s="40" t="str">
        <f>IF($A56="","",품목목록!$B53)</f>
        <v/>
      </c>
      <c r="C56" s="40" t="str">
        <f>IF($A56="","",품목목록!$C53)</f>
        <v/>
      </c>
      <c r="D56" s="40" t="str">
        <f>IF($A56="","",품목목록!$D53)</f>
        <v/>
      </c>
      <c r="E56" s="49" t="str">
        <f>IF($A56="","",SUMIFS(전개결과!$N$6:$N$1205,전개결과!$M$6:$M$1205,$A56))</f>
        <v/>
      </c>
      <c r="F56" s="45" t="str">
        <f>IF($A56="","",ROUND($E56*IF(품목목록!$E53="",0,품목목록!$E53),0))</f>
        <v/>
      </c>
    </row>
    <row r="57" ht="15" customHeight="1" s="30">
      <c r="A57" s="40" t="str">
        <f>IF(품목목록!$A54="","",IF(품목목록!$F54="세트","",품목목록!$A54))</f>
        <v/>
      </c>
      <c r="B57" s="40" t="str">
        <f>IF($A57="","",품목목록!$B54)</f>
        <v/>
      </c>
      <c r="C57" s="40" t="str">
        <f>IF($A57="","",품목목록!$C54)</f>
        <v/>
      </c>
      <c r="D57" s="40" t="str">
        <f>IF($A57="","",품목목록!$D54)</f>
        <v/>
      </c>
      <c r="E57" s="49" t="str">
        <f>IF($A57="","",SUMIFS(전개결과!$N$6:$N$1205,전개결과!$M$6:$M$1205,$A57))</f>
        <v/>
      </c>
      <c r="F57" s="45" t="str">
        <f>IF($A57="","",ROUND($E57*IF(품목목록!$E54="",0,품목목록!$E54),0))</f>
        <v/>
      </c>
    </row>
    <row r="58" ht="15" customHeight="1" s="30">
      <c r="A58" s="40" t="str">
        <f>IF(품목목록!$A55="","",IF(품목목록!$F55="세트","",품목목록!$A55))</f>
        <v/>
      </c>
      <c r="B58" s="40" t="str">
        <f>IF($A58="","",품목목록!$B55)</f>
        <v/>
      </c>
      <c r="C58" s="40" t="str">
        <f>IF($A58="","",품목목록!$C55)</f>
        <v/>
      </c>
      <c r="D58" s="40" t="str">
        <f>IF($A58="","",품목목록!$D55)</f>
        <v/>
      </c>
      <c r="E58" s="49" t="str">
        <f>IF($A58="","",SUMIFS(전개결과!$N$6:$N$1205,전개결과!$M$6:$M$1205,$A58))</f>
        <v/>
      </c>
      <c r="F58" s="45" t="str">
        <f>IF($A58="","",ROUND($E58*IF(품목목록!$E55="",0,품목목록!$E55),0))</f>
        <v/>
      </c>
    </row>
    <row r="59" ht="15" customHeight="1" s="30">
      <c r="A59" s="40" t="str">
        <f>IF(품목목록!$A56="","",IF(품목목록!$F56="세트","",품목목록!$A56))</f>
        <v/>
      </c>
      <c r="B59" s="40" t="str">
        <f>IF($A59="","",품목목록!$B56)</f>
        <v/>
      </c>
      <c r="C59" s="40" t="str">
        <f>IF($A59="","",품목목록!$C56)</f>
        <v/>
      </c>
      <c r="D59" s="40" t="str">
        <f>IF($A59="","",품목목록!$D56)</f>
        <v/>
      </c>
      <c r="E59" s="49" t="str">
        <f>IF($A59="","",SUMIFS(전개결과!$N$6:$N$1205,전개결과!$M$6:$M$1205,$A59))</f>
        <v/>
      </c>
      <c r="F59" s="45" t="str">
        <f>IF($A59="","",ROUND($E59*IF(품목목록!$E56="",0,품목목록!$E56),0))</f>
        <v/>
      </c>
    </row>
    <row r="60" ht="15" customHeight="1" s="30">
      <c r="A60" s="40" t="str">
        <f>IF(품목목록!$A57="","",IF(품목목록!$F57="세트","",품목목록!$A57))</f>
        <v/>
      </c>
      <c r="B60" s="40" t="str">
        <f>IF($A60="","",품목목록!$B57)</f>
        <v/>
      </c>
      <c r="C60" s="40" t="str">
        <f>IF($A60="","",품목목록!$C57)</f>
        <v/>
      </c>
      <c r="D60" s="40" t="str">
        <f>IF($A60="","",품목목록!$D57)</f>
        <v/>
      </c>
      <c r="E60" s="49" t="str">
        <f>IF($A60="","",SUMIFS(전개결과!$N$6:$N$1205,전개결과!$M$6:$M$1205,$A60))</f>
        <v/>
      </c>
      <c r="F60" s="45" t="str">
        <f>IF($A60="","",ROUND($E60*IF(품목목록!$E57="",0,품목목록!$E57),0))</f>
        <v/>
      </c>
    </row>
    <row r="61" ht="15" customHeight="1" s="30">
      <c r="A61" s="40" t="str">
        <f>IF(품목목록!$A58="","",IF(품목목록!$F58="세트","",품목목록!$A58))</f>
        <v/>
      </c>
      <c r="B61" s="40" t="str">
        <f>IF($A61="","",품목목록!$B58)</f>
        <v/>
      </c>
      <c r="C61" s="40" t="str">
        <f>IF($A61="","",품목목록!$C58)</f>
        <v/>
      </c>
      <c r="D61" s="40" t="str">
        <f>IF($A61="","",품목목록!$D58)</f>
        <v/>
      </c>
      <c r="E61" s="49" t="str">
        <f>IF($A61="","",SUMIFS(전개결과!$N$6:$N$1205,전개결과!$M$6:$M$1205,$A61))</f>
        <v/>
      </c>
      <c r="F61" s="45" t="str">
        <f>IF($A61="","",ROUND($E61*IF(품목목록!$E58="",0,품목목록!$E58),0))</f>
        <v/>
      </c>
    </row>
    <row r="62" ht="15" customHeight="1" s="30">
      <c r="A62" s="40" t="str">
        <f>IF(품목목록!$A59="","",IF(품목목록!$F59="세트","",품목목록!$A59))</f>
        <v/>
      </c>
      <c r="B62" s="40" t="str">
        <f>IF($A62="","",품목목록!$B59)</f>
        <v/>
      </c>
      <c r="C62" s="40" t="str">
        <f>IF($A62="","",품목목록!$C59)</f>
        <v/>
      </c>
      <c r="D62" s="40" t="str">
        <f>IF($A62="","",품목목록!$D59)</f>
        <v/>
      </c>
      <c r="E62" s="49" t="str">
        <f>IF($A62="","",SUMIFS(전개결과!$N$6:$N$1205,전개결과!$M$6:$M$1205,$A62))</f>
        <v/>
      </c>
      <c r="F62" s="45" t="str">
        <f>IF($A62="","",ROUND($E62*IF(품목목록!$E59="",0,품목목록!$E59),0))</f>
        <v/>
      </c>
    </row>
    <row r="63" ht="15" customHeight="1" s="30">
      <c r="A63" s="40" t="str">
        <f>IF(품목목록!$A60="","",IF(품목목록!$F60="세트","",품목목록!$A60))</f>
        <v/>
      </c>
      <c r="B63" s="40" t="str">
        <f>IF($A63="","",품목목록!$B60)</f>
        <v/>
      </c>
      <c r="C63" s="40" t="str">
        <f>IF($A63="","",품목목록!$C60)</f>
        <v/>
      </c>
      <c r="D63" s="40" t="str">
        <f>IF($A63="","",품목목록!$D60)</f>
        <v/>
      </c>
      <c r="E63" s="49" t="str">
        <f>IF($A63="","",SUMIFS(전개결과!$N$6:$N$1205,전개결과!$M$6:$M$1205,$A63))</f>
        <v/>
      </c>
      <c r="F63" s="45" t="str">
        <f>IF($A63="","",ROUND($E63*IF(품목목록!$E60="",0,품목목록!$E60),0))</f>
        <v/>
      </c>
    </row>
    <row r="64" ht="15" customHeight="1" s="30">
      <c r="A64" s="40" t="str">
        <f>IF(품목목록!$A61="","",IF(품목목록!$F61="세트","",품목목록!$A61))</f>
        <v/>
      </c>
      <c r="B64" s="40" t="str">
        <f>IF($A64="","",품목목록!$B61)</f>
        <v/>
      </c>
      <c r="C64" s="40" t="str">
        <f>IF($A64="","",품목목록!$C61)</f>
        <v/>
      </c>
      <c r="D64" s="40" t="str">
        <f>IF($A64="","",품목목록!$D61)</f>
        <v/>
      </c>
      <c r="E64" s="49" t="str">
        <f>IF($A64="","",SUMIFS(전개결과!$N$6:$N$1205,전개결과!$M$6:$M$1205,$A64))</f>
        <v/>
      </c>
      <c r="F64" s="45" t="str">
        <f>IF($A64="","",ROUND($E64*IF(품목목록!$E61="",0,품목목록!$E61),0))</f>
        <v/>
      </c>
    </row>
    <row r="65" ht="15" customHeight="1" s="30">
      <c r="A65" s="40" t="str">
        <f>IF(품목목록!$A62="","",IF(품목목록!$F62="세트","",품목목록!$A62))</f>
        <v/>
      </c>
      <c r="B65" s="40" t="str">
        <f>IF($A65="","",품목목록!$B62)</f>
        <v/>
      </c>
      <c r="C65" s="40" t="str">
        <f>IF($A65="","",품목목록!$C62)</f>
        <v/>
      </c>
      <c r="D65" s="40" t="str">
        <f>IF($A65="","",품목목록!$D62)</f>
        <v/>
      </c>
      <c r="E65" s="49" t="str">
        <f>IF($A65="","",SUMIFS(전개결과!$N$6:$N$1205,전개결과!$M$6:$M$1205,$A65))</f>
        <v/>
      </c>
      <c r="F65" s="45" t="str">
        <f>IF($A65="","",ROUND($E65*IF(품목목록!$E62="",0,품목목록!$E62),0))</f>
        <v/>
      </c>
    </row>
    <row r="66" ht="15" customHeight="1" s="30">
      <c r="A66" s="40" t="str">
        <f>IF(품목목록!$A63="","",IF(품목목록!$F63="세트","",품목목록!$A63))</f>
        <v/>
      </c>
      <c r="B66" s="40" t="str">
        <f>IF($A66="","",품목목록!$B63)</f>
        <v/>
      </c>
      <c r="C66" s="40" t="str">
        <f>IF($A66="","",품목목록!$C63)</f>
        <v/>
      </c>
      <c r="D66" s="40" t="str">
        <f>IF($A66="","",품목목록!$D63)</f>
        <v/>
      </c>
      <c r="E66" s="49" t="str">
        <f>IF($A66="","",SUMIFS(전개결과!$N$6:$N$1205,전개결과!$M$6:$M$1205,$A66))</f>
        <v/>
      </c>
      <c r="F66" s="45" t="str">
        <f>IF($A66="","",ROUND($E66*IF(품목목록!$E63="",0,품목목록!$E63),0))</f>
        <v/>
      </c>
    </row>
    <row r="67" ht="15" customHeight="1" s="30">
      <c r="A67" s="40" t="str">
        <f>IF(품목목록!$A64="","",IF(품목목록!$F64="세트","",품목목록!$A64))</f>
        <v/>
      </c>
      <c r="B67" s="40" t="str">
        <f>IF($A67="","",품목목록!$B64)</f>
        <v/>
      </c>
      <c r="C67" s="40" t="str">
        <f>IF($A67="","",품목목록!$C64)</f>
        <v/>
      </c>
      <c r="D67" s="40" t="str">
        <f>IF($A67="","",품목목록!$D64)</f>
        <v/>
      </c>
      <c r="E67" s="49" t="str">
        <f>IF($A67="","",SUMIFS(전개결과!$N$6:$N$1205,전개결과!$M$6:$M$1205,$A67))</f>
        <v/>
      </c>
      <c r="F67" s="45" t="str">
        <f>IF($A67="","",ROUND($E67*IF(품목목록!$E64="",0,품목목록!$E64),0))</f>
        <v/>
      </c>
    </row>
    <row r="68" ht="15" customHeight="1" s="30">
      <c r="A68" s="40" t="str">
        <f>IF(품목목록!$A65="","",IF(품목목록!$F65="세트","",품목목록!$A65))</f>
        <v/>
      </c>
      <c r="B68" s="40" t="str">
        <f>IF($A68="","",품목목록!$B65)</f>
        <v/>
      </c>
      <c r="C68" s="40" t="str">
        <f>IF($A68="","",품목목록!$C65)</f>
        <v/>
      </c>
      <c r="D68" s="40" t="str">
        <f>IF($A68="","",품목목록!$D65)</f>
        <v/>
      </c>
      <c r="E68" s="49" t="str">
        <f>IF($A68="","",SUMIFS(전개결과!$N$6:$N$1205,전개결과!$M$6:$M$1205,$A68))</f>
        <v/>
      </c>
      <c r="F68" s="45" t="str">
        <f>IF($A68="","",ROUND($E68*IF(품목목록!$E65="",0,품목목록!$E65),0))</f>
        <v/>
      </c>
    </row>
    <row r="69" ht="15" customHeight="1" s="30">
      <c r="A69" s="40" t="str">
        <f>IF(품목목록!$A66="","",IF(품목목록!$F66="세트","",품목목록!$A66))</f>
        <v/>
      </c>
      <c r="B69" s="40" t="str">
        <f>IF($A69="","",품목목록!$B66)</f>
        <v/>
      </c>
      <c r="C69" s="40" t="str">
        <f>IF($A69="","",품목목록!$C66)</f>
        <v/>
      </c>
      <c r="D69" s="40" t="str">
        <f>IF($A69="","",품목목록!$D66)</f>
        <v/>
      </c>
      <c r="E69" s="49" t="str">
        <f>IF($A69="","",SUMIFS(전개결과!$N$6:$N$1205,전개결과!$M$6:$M$1205,$A69))</f>
        <v/>
      </c>
      <c r="F69" s="45" t="str">
        <f>IF($A69="","",ROUND($E69*IF(품목목록!$E66="",0,품목목록!$E66),0))</f>
        <v/>
      </c>
    </row>
    <row r="70" ht="15" customHeight="1" s="30">
      <c r="A70" s="40" t="str">
        <f>IF(품목목록!$A67="","",IF(품목목록!$F67="세트","",품목목록!$A67))</f>
        <v/>
      </c>
      <c r="B70" s="40" t="str">
        <f>IF($A70="","",품목목록!$B67)</f>
        <v/>
      </c>
      <c r="C70" s="40" t="str">
        <f>IF($A70="","",품목목록!$C67)</f>
        <v/>
      </c>
      <c r="D70" s="40" t="str">
        <f>IF($A70="","",품목목록!$D67)</f>
        <v/>
      </c>
      <c r="E70" s="49" t="str">
        <f>IF($A70="","",SUMIFS(전개결과!$N$6:$N$1205,전개결과!$M$6:$M$1205,$A70))</f>
        <v/>
      </c>
      <c r="F70" s="45" t="str">
        <f>IF($A70="","",ROUND($E70*IF(품목목록!$E67="",0,품목목록!$E67),0))</f>
        <v/>
      </c>
    </row>
    <row r="71" ht="15" customHeight="1" s="30">
      <c r="A71" s="40" t="str">
        <f>IF(품목목록!$A68="","",IF(품목목록!$F68="세트","",품목목록!$A68))</f>
        <v/>
      </c>
      <c r="B71" s="40" t="str">
        <f>IF($A71="","",품목목록!$B68)</f>
        <v/>
      </c>
      <c r="C71" s="40" t="str">
        <f>IF($A71="","",품목목록!$C68)</f>
        <v/>
      </c>
      <c r="D71" s="40" t="str">
        <f>IF($A71="","",품목목록!$D68)</f>
        <v/>
      </c>
      <c r="E71" s="49" t="str">
        <f>IF($A71="","",SUMIFS(전개결과!$N$6:$N$1205,전개결과!$M$6:$M$1205,$A71))</f>
        <v/>
      </c>
      <c r="F71" s="45" t="str">
        <f>IF($A71="","",ROUND($E71*IF(품목목록!$E68="",0,품목목록!$E68),0))</f>
        <v/>
      </c>
    </row>
    <row r="72" ht="15" customHeight="1" s="30">
      <c r="A72" s="40" t="str">
        <f>IF(품목목록!$A69="","",IF(품목목록!$F69="세트","",품목목록!$A69))</f>
        <v/>
      </c>
      <c r="B72" s="40" t="str">
        <f>IF($A72="","",품목목록!$B69)</f>
        <v/>
      </c>
      <c r="C72" s="40" t="str">
        <f>IF($A72="","",품목목록!$C69)</f>
        <v/>
      </c>
      <c r="D72" s="40" t="str">
        <f>IF($A72="","",품목목록!$D69)</f>
        <v/>
      </c>
      <c r="E72" s="49" t="str">
        <f>IF($A72="","",SUMIFS(전개결과!$N$6:$N$1205,전개결과!$M$6:$M$1205,$A72))</f>
        <v/>
      </c>
      <c r="F72" s="45" t="str">
        <f>IF($A72="","",ROUND($E72*IF(품목목록!$E69="",0,품목목록!$E69),0))</f>
        <v/>
      </c>
    </row>
    <row r="73" ht="15" customHeight="1" s="30">
      <c r="A73" s="40" t="str">
        <f>IF(품목목록!$A70="","",IF(품목목록!$F70="세트","",품목목록!$A70))</f>
        <v/>
      </c>
      <c r="B73" s="40" t="str">
        <f>IF($A73="","",품목목록!$B70)</f>
        <v/>
      </c>
      <c r="C73" s="40" t="str">
        <f>IF($A73="","",품목목록!$C70)</f>
        <v/>
      </c>
      <c r="D73" s="40" t="str">
        <f>IF($A73="","",품목목록!$D70)</f>
        <v/>
      </c>
      <c r="E73" s="49" t="str">
        <f>IF($A73="","",SUMIFS(전개결과!$N$6:$N$1205,전개결과!$M$6:$M$1205,$A73))</f>
        <v/>
      </c>
      <c r="F73" s="45" t="str">
        <f>IF($A73="","",ROUND($E73*IF(품목목록!$E70="",0,품목목록!$E70),0))</f>
        <v/>
      </c>
    </row>
    <row r="74" ht="15" customHeight="1" s="30">
      <c r="A74" s="40" t="str">
        <f>IF(품목목록!$A71="","",IF(품목목록!$F71="세트","",품목목록!$A71))</f>
        <v/>
      </c>
      <c r="B74" s="40" t="str">
        <f>IF($A74="","",품목목록!$B71)</f>
        <v/>
      </c>
      <c r="C74" s="40" t="str">
        <f>IF($A74="","",품목목록!$C71)</f>
        <v/>
      </c>
      <c r="D74" s="40" t="str">
        <f>IF($A74="","",품목목록!$D71)</f>
        <v/>
      </c>
      <c r="E74" s="49" t="str">
        <f>IF($A74="","",SUMIFS(전개결과!$N$6:$N$1205,전개결과!$M$6:$M$1205,$A74))</f>
        <v/>
      </c>
      <c r="F74" s="45" t="str">
        <f>IF($A74="","",ROUND($E74*IF(품목목록!$E71="",0,품목목록!$E71),0))</f>
        <v/>
      </c>
    </row>
    <row r="75" ht="15" customHeight="1" s="30">
      <c r="A75" s="40" t="str">
        <f>IF(품목목록!$A72="","",IF(품목목록!$F72="세트","",품목목록!$A72))</f>
        <v/>
      </c>
      <c r="B75" s="40" t="str">
        <f>IF($A75="","",품목목록!$B72)</f>
        <v/>
      </c>
      <c r="C75" s="40" t="str">
        <f>IF($A75="","",품목목록!$C72)</f>
        <v/>
      </c>
      <c r="D75" s="40" t="str">
        <f>IF($A75="","",품목목록!$D72)</f>
        <v/>
      </c>
      <c r="E75" s="49" t="str">
        <f>IF($A75="","",SUMIFS(전개결과!$N$6:$N$1205,전개결과!$M$6:$M$1205,$A75))</f>
        <v/>
      </c>
      <c r="F75" s="45" t="str">
        <f>IF($A75="","",ROUND($E75*IF(품목목록!$E72="",0,품목목록!$E72),0))</f>
        <v/>
      </c>
    </row>
    <row r="76" ht="15" customHeight="1" s="30">
      <c r="A76" s="40" t="str">
        <f>IF(품목목록!$A73="","",IF(품목목록!$F73="세트","",품목목록!$A73))</f>
        <v/>
      </c>
      <c r="B76" s="40" t="str">
        <f>IF($A76="","",품목목록!$B73)</f>
        <v/>
      </c>
      <c r="C76" s="40" t="str">
        <f>IF($A76="","",품목목록!$C73)</f>
        <v/>
      </c>
      <c r="D76" s="40" t="str">
        <f>IF($A76="","",품목목록!$D73)</f>
        <v/>
      </c>
      <c r="E76" s="49" t="str">
        <f>IF($A76="","",SUMIFS(전개결과!$N$6:$N$1205,전개결과!$M$6:$M$1205,$A76))</f>
        <v/>
      </c>
      <c r="F76" s="45" t="str">
        <f>IF($A76="","",ROUND($E76*IF(품목목록!$E73="",0,품목목록!$E73),0))</f>
        <v/>
      </c>
    </row>
    <row r="77" ht="15" customHeight="1" s="30">
      <c r="A77" s="40" t="str">
        <f>IF(품목목록!$A74="","",IF(품목목록!$F74="세트","",품목목록!$A74))</f>
        <v/>
      </c>
      <c r="B77" s="40" t="str">
        <f>IF($A77="","",품목목록!$B74)</f>
        <v/>
      </c>
      <c r="C77" s="40" t="str">
        <f>IF($A77="","",품목목록!$C74)</f>
        <v/>
      </c>
      <c r="D77" s="40" t="str">
        <f>IF($A77="","",품목목록!$D74)</f>
        <v/>
      </c>
      <c r="E77" s="49" t="str">
        <f>IF($A77="","",SUMIFS(전개결과!$N$6:$N$1205,전개결과!$M$6:$M$1205,$A77))</f>
        <v/>
      </c>
      <c r="F77" s="45" t="str">
        <f>IF($A77="","",ROUND($E77*IF(품목목록!$E74="",0,품목목록!$E74),0))</f>
        <v/>
      </c>
    </row>
    <row r="78" ht="15" customHeight="1" s="30">
      <c r="A78" s="40" t="str">
        <f>IF(품목목록!$A75="","",IF(품목목록!$F75="세트","",품목목록!$A75))</f>
        <v/>
      </c>
      <c r="B78" s="40" t="str">
        <f>IF($A78="","",품목목록!$B75)</f>
        <v/>
      </c>
      <c r="C78" s="40" t="str">
        <f>IF($A78="","",품목목록!$C75)</f>
        <v/>
      </c>
      <c r="D78" s="40" t="str">
        <f>IF($A78="","",품목목록!$D75)</f>
        <v/>
      </c>
      <c r="E78" s="49" t="str">
        <f>IF($A78="","",SUMIFS(전개결과!$N$6:$N$1205,전개결과!$M$6:$M$1205,$A78))</f>
        <v/>
      </c>
      <c r="F78" s="45" t="str">
        <f>IF($A78="","",ROUND($E78*IF(품목목록!$E75="",0,품목목록!$E75),0))</f>
        <v/>
      </c>
    </row>
    <row r="79" ht="15" customHeight="1" s="30">
      <c r="A79" s="40" t="str">
        <f>IF(품목목록!$A76="","",IF(품목목록!$F76="세트","",품목목록!$A76))</f>
        <v/>
      </c>
      <c r="B79" s="40" t="str">
        <f>IF($A79="","",품목목록!$B76)</f>
        <v/>
      </c>
      <c r="C79" s="40" t="str">
        <f>IF($A79="","",품목목록!$C76)</f>
        <v/>
      </c>
      <c r="D79" s="40" t="str">
        <f>IF($A79="","",품목목록!$D76)</f>
        <v/>
      </c>
      <c r="E79" s="49" t="str">
        <f>IF($A79="","",SUMIFS(전개결과!$N$6:$N$1205,전개결과!$M$6:$M$1205,$A79))</f>
        <v/>
      </c>
      <c r="F79" s="45" t="str">
        <f>IF($A79="","",ROUND($E79*IF(품목목록!$E76="",0,품목목록!$E76),0))</f>
        <v/>
      </c>
    </row>
    <row r="80" ht="15" customHeight="1" s="30">
      <c r="A80" s="40" t="str">
        <f>IF(품목목록!$A77="","",IF(품목목록!$F77="세트","",품목목록!$A77))</f>
        <v/>
      </c>
      <c r="B80" s="40" t="str">
        <f>IF($A80="","",품목목록!$B77)</f>
        <v/>
      </c>
      <c r="C80" s="40" t="str">
        <f>IF($A80="","",품목목록!$C77)</f>
        <v/>
      </c>
      <c r="D80" s="40" t="str">
        <f>IF($A80="","",품목목록!$D77)</f>
        <v/>
      </c>
      <c r="E80" s="49" t="str">
        <f>IF($A80="","",SUMIFS(전개결과!$N$6:$N$1205,전개결과!$M$6:$M$1205,$A80))</f>
        <v/>
      </c>
      <c r="F80" s="45" t="str">
        <f>IF($A80="","",ROUND($E80*IF(품목목록!$E77="",0,품목목록!$E77),0))</f>
        <v/>
      </c>
    </row>
    <row r="81" ht="15" customHeight="1" s="30">
      <c r="A81" s="40" t="str">
        <f>IF(품목목록!$A78="","",IF(품목목록!$F78="세트","",품목목록!$A78))</f>
        <v/>
      </c>
      <c r="B81" s="40" t="str">
        <f>IF($A81="","",품목목록!$B78)</f>
        <v/>
      </c>
      <c r="C81" s="40" t="str">
        <f>IF($A81="","",품목목록!$C78)</f>
        <v/>
      </c>
      <c r="D81" s="40" t="str">
        <f>IF($A81="","",품목목록!$D78)</f>
        <v/>
      </c>
      <c r="E81" s="49" t="str">
        <f>IF($A81="","",SUMIFS(전개결과!$N$6:$N$1205,전개결과!$M$6:$M$1205,$A81))</f>
        <v/>
      </c>
      <c r="F81" s="45" t="str">
        <f>IF($A81="","",ROUND($E81*IF(품목목록!$E78="",0,품목목록!$E78),0))</f>
        <v/>
      </c>
    </row>
    <row r="82" ht="15" customHeight="1" s="30">
      <c r="A82" s="40" t="str">
        <f>IF(품목목록!$A79="","",IF(품목목록!$F79="세트","",품목목록!$A79))</f>
        <v/>
      </c>
      <c r="B82" s="40" t="str">
        <f>IF($A82="","",품목목록!$B79)</f>
        <v/>
      </c>
      <c r="C82" s="40" t="str">
        <f>IF($A82="","",품목목록!$C79)</f>
        <v/>
      </c>
      <c r="D82" s="40" t="str">
        <f>IF($A82="","",품목목록!$D79)</f>
        <v/>
      </c>
      <c r="E82" s="49" t="str">
        <f>IF($A82="","",SUMIFS(전개결과!$N$6:$N$1205,전개결과!$M$6:$M$1205,$A82))</f>
        <v/>
      </c>
      <c r="F82" s="45" t="str">
        <f>IF($A82="","",ROUND($E82*IF(품목목록!$E79="",0,품목목록!$E79),0))</f>
        <v/>
      </c>
    </row>
    <row r="83" ht="15" customHeight="1" s="30">
      <c r="A83" s="40" t="str">
        <f>IF(품목목록!$A80="","",IF(품목목록!$F80="세트","",품목목록!$A80))</f>
        <v/>
      </c>
      <c r="B83" s="40" t="str">
        <f>IF($A83="","",품목목록!$B80)</f>
        <v/>
      </c>
      <c r="C83" s="40" t="str">
        <f>IF($A83="","",품목목록!$C80)</f>
        <v/>
      </c>
      <c r="D83" s="40" t="str">
        <f>IF($A83="","",품목목록!$D80)</f>
        <v/>
      </c>
      <c r="E83" s="49" t="str">
        <f>IF($A83="","",SUMIFS(전개결과!$N$6:$N$1205,전개결과!$M$6:$M$1205,$A83))</f>
        <v/>
      </c>
      <c r="F83" s="45" t="str">
        <f>IF($A83="","",ROUND($E83*IF(품목목록!$E80="",0,품목목록!$E80),0))</f>
        <v/>
      </c>
    </row>
    <row r="84" ht="15" customHeight="1" s="30">
      <c r="A84" s="40" t="str">
        <f>IF(품목목록!$A81="","",IF(품목목록!$F81="세트","",품목목록!$A81))</f>
        <v/>
      </c>
      <c r="B84" s="40" t="str">
        <f>IF($A84="","",품목목록!$B81)</f>
        <v/>
      </c>
      <c r="C84" s="40" t="str">
        <f>IF($A84="","",품목목록!$C81)</f>
        <v/>
      </c>
      <c r="D84" s="40" t="str">
        <f>IF($A84="","",품목목록!$D81)</f>
        <v/>
      </c>
      <c r="E84" s="49" t="str">
        <f>IF($A84="","",SUMIFS(전개결과!$N$6:$N$1205,전개결과!$M$6:$M$1205,$A84))</f>
        <v/>
      </c>
      <c r="F84" s="45" t="str">
        <f>IF($A84="","",ROUND($E84*IF(품목목록!$E81="",0,품목목록!$E81),0))</f>
        <v/>
      </c>
    </row>
    <row r="85" ht="15" customHeight="1" s="30">
      <c r="A85" s="40" t="str">
        <f>IF(품목목록!$A82="","",IF(품목목록!$F82="세트","",품목목록!$A82))</f>
        <v/>
      </c>
      <c r="B85" s="40" t="str">
        <f>IF($A85="","",품목목록!$B82)</f>
        <v/>
      </c>
      <c r="C85" s="40" t="str">
        <f>IF($A85="","",품목목록!$C82)</f>
        <v/>
      </c>
      <c r="D85" s="40" t="str">
        <f>IF($A85="","",품목목록!$D82)</f>
        <v/>
      </c>
      <c r="E85" s="49" t="str">
        <f>IF($A85="","",SUMIFS(전개결과!$N$6:$N$1205,전개결과!$M$6:$M$1205,$A85))</f>
        <v/>
      </c>
      <c r="F85" s="45" t="str">
        <f>IF($A85="","",ROUND($E85*IF(품목목록!$E82="",0,품목목록!$E82),0))</f>
        <v/>
      </c>
    </row>
    <row r="86" ht="15" customHeight="1" s="30">
      <c r="A86" s="40" t="str">
        <f>IF(품목목록!$A83="","",IF(품목목록!$F83="세트","",품목목록!$A83))</f>
        <v/>
      </c>
      <c r="B86" s="40" t="str">
        <f>IF($A86="","",품목목록!$B83)</f>
        <v/>
      </c>
      <c r="C86" s="40" t="str">
        <f>IF($A86="","",품목목록!$C83)</f>
        <v/>
      </c>
      <c r="D86" s="40" t="str">
        <f>IF($A86="","",품목목록!$D83)</f>
        <v/>
      </c>
      <c r="E86" s="49" t="str">
        <f>IF($A86="","",SUMIFS(전개결과!$N$6:$N$1205,전개결과!$M$6:$M$1205,$A86))</f>
        <v/>
      </c>
      <c r="F86" s="45" t="str">
        <f>IF($A86="","",ROUND($E86*IF(품목목록!$E83="",0,품목목록!$E83),0))</f>
        <v/>
      </c>
    </row>
    <row r="87" ht="15" customHeight="1" s="30">
      <c r="A87" s="40" t="str">
        <f>IF(품목목록!$A84="","",IF(품목목록!$F84="세트","",품목목록!$A84))</f>
        <v/>
      </c>
      <c r="B87" s="40" t="str">
        <f>IF($A87="","",품목목록!$B84)</f>
        <v/>
      </c>
      <c r="C87" s="40" t="str">
        <f>IF($A87="","",품목목록!$C84)</f>
        <v/>
      </c>
      <c r="D87" s="40" t="str">
        <f>IF($A87="","",품목목록!$D84)</f>
        <v/>
      </c>
      <c r="E87" s="49" t="str">
        <f>IF($A87="","",SUMIFS(전개결과!$N$6:$N$1205,전개결과!$M$6:$M$1205,$A87))</f>
        <v/>
      </c>
      <c r="F87" s="45" t="str">
        <f>IF($A87="","",ROUND($E87*IF(품목목록!$E84="",0,품목목록!$E84),0))</f>
        <v/>
      </c>
    </row>
    <row r="88" ht="15" customHeight="1" s="30">
      <c r="A88" s="40" t="str">
        <f>IF(품목목록!$A85="","",IF(품목목록!$F85="세트","",품목목록!$A85))</f>
        <v/>
      </c>
      <c r="B88" s="40" t="str">
        <f>IF($A88="","",품목목록!$B85)</f>
        <v/>
      </c>
      <c r="C88" s="40" t="str">
        <f>IF($A88="","",품목목록!$C85)</f>
        <v/>
      </c>
      <c r="D88" s="40" t="str">
        <f>IF($A88="","",품목목록!$D85)</f>
        <v/>
      </c>
      <c r="E88" s="49" t="str">
        <f>IF($A88="","",SUMIFS(전개결과!$N$6:$N$1205,전개결과!$M$6:$M$1205,$A88))</f>
        <v/>
      </c>
      <c r="F88" s="45" t="str">
        <f>IF($A88="","",ROUND($E88*IF(품목목록!$E85="",0,품목목록!$E85),0))</f>
        <v/>
      </c>
    </row>
    <row r="89" ht="15" customHeight="1" s="30">
      <c r="A89" s="40" t="str">
        <f>IF(품목목록!$A86="","",IF(품목목록!$F86="세트","",품목목록!$A86))</f>
        <v/>
      </c>
      <c r="B89" s="40" t="str">
        <f>IF($A89="","",품목목록!$B86)</f>
        <v/>
      </c>
      <c r="C89" s="40" t="str">
        <f>IF($A89="","",품목목록!$C86)</f>
        <v/>
      </c>
      <c r="D89" s="40" t="str">
        <f>IF($A89="","",품목목록!$D86)</f>
        <v/>
      </c>
      <c r="E89" s="49" t="str">
        <f>IF($A89="","",SUMIFS(전개결과!$N$6:$N$1205,전개결과!$M$6:$M$1205,$A89))</f>
        <v/>
      </c>
      <c r="F89" s="45" t="str">
        <f>IF($A89="","",ROUND($E89*IF(품목목록!$E86="",0,품목목록!$E86),0))</f>
        <v/>
      </c>
    </row>
    <row r="90" ht="15" customHeight="1" s="30">
      <c r="A90" s="40" t="str">
        <f>IF(품목목록!$A87="","",IF(품목목록!$F87="세트","",품목목록!$A87))</f>
        <v/>
      </c>
      <c r="B90" s="40" t="str">
        <f>IF($A90="","",품목목록!$B87)</f>
        <v/>
      </c>
      <c r="C90" s="40" t="str">
        <f>IF($A90="","",품목목록!$C87)</f>
        <v/>
      </c>
      <c r="D90" s="40" t="str">
        <f>IF($A90="","",품목목록!$D87)</f>
        <v/>
      </c>
      <c r="E90" s="49" t="str">
        <f>IF($A90="","",SUMIFS(전개결과!$N$6:$N$1205,전개결과!$M$6:$M$1205,$A90))</f>
        <v/>
      </c>
      <c r="F90" s="45" t="str">
        <f>IF($A90="","",ROUND($E90*IF(품목목록!$E87="",0,품목목록!$E87),0))</f>
        <v/>
      </c>
    </row>
    <row r="91" ht="15" customHeight="1" s="30">
      <c r="A91" s="40" t="str">
        <f>IF(품목목록!$A88="","",IF(품목목록!$F88="세트","",품목목록!$A88))</f>
        <v/>
      </c>
      <c r="B91" s="40" t="str">
        <f>IF($A91="","",품목목록!$B88)</f>
        <v/>
      </c>
      <c r="C91" s="40" t="str">
        <f>IF($A91="","",품목목록!$C88)</f>
        <v/>
      </c>
      <c r="D91" s="40" t="str">
        <f>IF($A91="","",품목목록!$D88)</f>
        <v/>
      </c>
      <c r="E91" s="49" t="str">
        <f>IF($A91="","",SUMIFS(전개결과!$N$6:$N$1205,전개결과!$M$6:$M$1205,$A91))</f>
        <v/>
      </c>
      <c r="F91" s="45" t="str">
        <f>IF($A91="","",ROUND($E91*IF(품목목록!$E88="",0,품목목록!$E88),0))</f>
        <v/>
      </c>
    </row>
    <row r="92" ht="15" customHeight="1" s="30">
      <c r="A92" s="40" t="str">
        <f>IF(품목목록!$A89="","",IF(품목목록!$F89="세트","",품목목록!$A89))</f>
        <v/>
      </c>
      <c r="B92" s="40" t="str">
        <f>IF($A92="","",품목목록!$B89)</f>
        <v/>
      </c>
      <c r="C92" s="40" t="str">
        <f>IF($A92="","",품목목록!$C89)</f>
        <v/>
      </c>
      <c r="D92" s="40" t="str">
        <f>IF($A92="","",품목목록!$D89)</f>
        <v/>
      </c>
      <c r="E92" s="49" t="str">
        <f>IF($A92="","",SUMIFS(전개결과!$N$6:$N$1205,전개결과!$M$6:$M$1205,$A92))</f>
        <v/>
      </c>
      <c r="F92" s="45" t="str">
        <f>IF($A92="","",ROUND($E92*IF(품목목록!$E89="",0,품목목록!$E89),0))</f>
        <v/>
      </c>
    </row>
    <row r="93" ht="15" customHeight="1" s="30">
      <c r="A93" s="40" t="str">
        <f>IF(품목목록!$A90="","",IF(품목목록!$F90="세트","",품목목록!$A90))</f>
        <v/>
      </c>
      <c r="B93" s="40" t="str">
        <f>IF($A93="","",품목목록!$B90)</f>
        <v/>
      </c>
      <c r="C93" s="40" t="str">
        <f>IF($A93="","",품목목록!$C90)</f>
        <v/>
      </c>
      <c r="D93" s="40" t="str">
        <f>IF($A93="","",품목목록!$D90)</f>
        <v/>
      </c>
      <c r="E93" s="49" t="str">
        <f>IF($A93="","",SUMIFS(전개결과!$N$6:$N$1205,전개결과!$M$6:$M$1205,$A93))</f>
        <v/>
      </c>
      <c r="F93" s="45" t="str">
        <f>IF($A93="","",ROUND($E93*IF(품목목록!$E90="",0,품목목록!$E90),0))</f>
        <v/>
      </c>
    </row>
    <row r="94" ht="15" customHeight="1" s="30">
      <c r="A94" s="40" t="str">
        <f>IF(품목목록!$A91="","",IF(품목목록!$F91="세트","",품목목록!$A91))</f>
        <v/>
      </c>
      <c r="B94" s="40" t="str">
        <f>IF($A94="","",품목목록!$B91)</f>
        <v/>
      </c>
      <c r="C94" s="40" t="str">
        <f>IF($A94="","",품목목록!$C91)</f>
        <v/>
      </c>
      <c r="D94" s="40" t="str">
        <f>IF($A94="","",품목목록!$D91)</f>
        <v/>
      </c>
      <c r="E94" s="49" t="str">
        <f>IF($A94="","",SUMIFS(전개결과!$N$6:$N$1205,전개결과!$M$6:$M$1205,$A94))</f>
        <v/>
      </c>
      <c r="F94" s="45" t="str">
        <f>IF($A94="","",ROUND($E94*IF(품목목록!$E91="",0,품목목록!$E91),0))</f>
        <v/>
      </c>
    </row>
    <row r="95" ht="15" customHeight="1" s="30">
      <c r="A95" s="40" t="str">
        <f>IF(품목목록!$A92="","",IF(품목목록!$F92="세트","",품목목록!$A92))</f>
        <v/>
      </c>
      <c r="B95" s="40" t="str">
        <f>IF($A95="","",품목목록!$B92)</f>
        <v/>
      </c>
      <c r="C95" s="40" t="str">
        <f>IF($A95="","",품목목록!$C92)</f>
        <v/>
      </c>
      <c r="D95" s="40" t="str">
        <f>IF($A95="","",품목목록!$D92)</f>
        <v/>
      </c>
      <c r="E95" s="49" t="str">
        <f>IF($A95="","",SUMIFS(전개결과!$N$6:$N$1205,전개결과!$M$6:$M$1205,$A95))</f>
        <v/>
      </c>
      <c r="F95" s="45" t="str">
        <f>IF($A95="","",ROUND($E95*IF(품목목록!$E92="",0,품목목록!$E92),0))</f>
        <v/>
      </c>
    </row>
    <row r="96" ht="15" customHeight="1" s="30">
      <c r="A96" s="40" t="str">
        <f>IF(품목목록!$A93="","",IF(품목목록!$F93="세트","",품목목록!$A93))</f>
        <v/>
      </c>
      <c r="B96" s="40" t="str">
        <f>IF($A96="","",품목목록!$B93)</f>
        <v/>
      </c>
      <c r="C96" s="40" t="str">
        <f>IF($A96="","",품목목록!$C93)</f>
        <v/>
      </c>
      <c r="D96" s="40" t="str">
        <f>IF($A96="","",품목목록!$D93)</f>
        <v/>
      </c>
      <c r="E96" s="49" t="str">
        <f>IF($A96="","",SUMIFS(전개결과!$N$6:$N$1205,전개결과!$M$6:$M$1205,$A96))</f>
        <v/>
      </c>
      <c r="F96" s="45" t="str">
        <f>IF($A96="","",ROUND($E96*IF(품목목록!$E93="",0,품목목록!$E93),0))</f>
        <v/>
      </c>
    </row>
    <row r="97" ht="15" customHeight="1" s="30">
      <c r="A97" s="40" t="str">
        <f>IF(품목목록!$A94="","",IF(품목목록!$F94="세트","",품목목록!$A94))</f>
        <v/>
      </c>
      <c r="B97" s="40" t="str">
        <f>IF($A97="","",품목목록!$B94)</f>
        <v/>
      </c>
      <c r="C97" s="40" t="str">
        <f>IF($A97="","",품목목록!$C94)</f>
        <v/>
      </c>
      <c r="D97" s="40" t="str">
        <f>IF($A97="","",품목목록!$D94)</f>
        <v/>
      </c>
      <c r="E97" s="49" t="str">
        <f>IF($A97="","",SUMIFS(전개결과!$N$6:$N$1205,전개결과!$M$6:$M$1205,$A97))</f>
        <v/>
      </c>
      <c r="F97" s="45" t="str">
        <f>IF($A97="","",ROUND($E97*IF(품목목록!$E94="",0,품목목록!$E94),0))</f>
        <v/>
      </c>
    </row>
    <row r="98" ht="15" customHeight="1" s="30">
      <c r="A98" s="40" t="str">
        <f>IF(품목목록!$A95="","",IF(품목목록!$F95="세트","",품목목록!$A95))</f>
        <v/>
      </c>
      <c r="B98" s="40" t="str">
        <f>IF($A98="","",품목목록!$B95)</f>
        <v/>
      </c>
      <c r="C98" s="40" t="str">
        <f>IF($A98="","",품목목록!$C95)</f>
        <v/>
      </c>
      <c r="D98" s="40" t="str">
        <f>IF($A98="","",품목목록!$D95)</f>
        <v/>
      </c>
      <c r="E98" s="49" t="str">
        <f>IF($A98="","",SUMIFS(전개결과!$N$6:$N$1205,전개결과!$M$6:$M$1205,$A98))</f>
        <v/>
      </c>
      <c r="F98" s="45" t="str">
        <f>IF($A98="","",ROUND($E98*IF(품목목록!$E95="",0,품목목록!$E95),0))</f>
        <v/>
      </c>
    </row>
    <row r="99" ht="15" customHeight="1" s="30">
      <c r="A99" s="40" t="str">
        <f>IF(품목목록!$A96="","",IF(품목목록!$F96="세트","",품목목록!$A96))</f>
        <v/>
      </c>
      <c r="B99" s="40" t="str">
        <f>IF($A99="","",품목목록!$B96)</f>
        <v/>
      </c>
      <c r="C99" s="40" t="str">
        <f>IF($A99="","",품목목록!$C96)</f>
        <v/>
      </c>
      <c r="D99" s="40" t="str">
        <f>IF($A99="","",품목목록!$D96)</f>
        <v/>
      </c>
      <c r="E99" s="49" t="str">
        <f>IF($A99="","",SUMIFS(전개결과!$N$6:$N$1205,전개결과!$M$6:$M$1205,$A99))</f>
        <v/>
      </c>
      <c r="F99" s="45" t="str">
        <f>IF($A99="","",ROUND($E99*IF(품목목록!$E96="",0,품목목록!$E96),0))</f>
        <v/>
      </c>
    </row>
    <row r="100" ht="15" customHeight="1" s="30">
      <c r="A100" s="40" t="str">
        <f>IF(품목목록!$A97="","",IF(품목목록!$F97="세트","",품목목록!$A97))</f>
        <v/>
      </c>
      <c r="B100" s="40" t="str">
        <f>IF($A100="","",품목목록!$B97)</f>
        <v/>
      </c>
      <c r="C100" s="40" t="str">
        <f>IF($A100="","",품목목록!$C97)</f>
        <v/>
      </c>
      <c r="D100" s="40" t="str">
        <f>IF($A100="","",품목목록!$D97)</f>
        <v/>
      </c>
      <c r="E100" s="49" t="str">
        <f>IF($A100="","",SUMIFS(전개결과!$N$6:$N$1205,전개결과!$M$6:$M$1205,$A100))</f>
        <v/>
      </c>
      <c r="F100" s="45" t="str">
        <f>IF($A100="","",ROUND($E100*IF(품목목록!$E97="",0,품목목록!$E97),0))</f>
        <v/>
      </c>
    </row>
    <row r="101" ht="15" customHeight="1" s="30">
      <c r="A101" s="40" t="str">
        <f>IF(품목목록!$A98="","",IF(품목목록!$F98="세트","",품목목록!$A98))</f>
        <v/>
      </c>
      <c r="B101" s="40" t="str">
        <f>IF($A101="","",품목목록!$B98)</f>
        <v/>
      </c>
      <c r="C101" s="40" t="str">
        <f>IF($A101="","",품목목록!$C98)</f>
        <v/>
      </c>
      <c r="D101" s="40" t="str">
        <f>IF($A101="","",품목목록!$D98)</f>
        <v/>
      </c>
      <c r="E101" s="49" t="str">
        <f>IF($A101="","",SUMIFS(전개결과!$N$6:$N$1205,전개결과!$M$6:$M$1205,$A101))</f>
        <v/>
      </c>
      <c r="F101" s="45" t="str">
        <f>IF($A101="","",ROUND($E101*IF(품목목록!$E98="",0,품목목록!$E98),0))</f>
        <v/>
      </c>
    </row>
    <row r="102" ht="15" customHeight="1" s="30">
      <c r="A102" s="40" t="str">
        <f>IF(품목목록!$A99="","",IF(품목목록!$F99="세트","",품목목록!$A99))</f>
        <v/>
      </c>
      <c r="B102" s="40" t="str">
        <f>IF($A102="","",품목목록!$B99)</f>
        <v/>
      </c>
      <c r="C102" s="40" t="str">
        <f>IF($A102="","",품목목록!$C99)</f>
        <v/>
      </c>
      <c r="D102" s="40" t="str">
        <f>IF($A102="","",품목목록!$D99)</f>
        <v/>
      </c>
      <c r="E102" s="49" t="str">
        <f>IF($A102="","",SUMIFS(전개결과!$N$6:$N$1205,전개결과!$M$6:$M$1205,$A102))</f>
        <v/>
      </c>
      <c r="F102" s="45" t="str">
        <f>IF($A102="","",ROUND($E102*IF(품목목록!$E99="",0,품목목록!$E99),0))</f>
        <v/>
      </c>
    </row>
    <row r="103" ht="15" customHeight="1" s="30">
      <c r="A103" s="40" t="str">
        <f>IF(품목목록!$A100="","",IF(품목목록!$F100="세트","",품목목록!$A100))</f>
        <v/>
      </c>
      <c r="B103" s="40" t="str">
        <f>IF($A103="","",품목목록!$B100)</f>
        <v/>
      </c>
      <c r="C103" s="40" t="str">
        <f>IF($A103="","",품목목록!$C100)</f>
        <v/>
      </c>
      <c r="D103" s="40" t="str">
        <f>IF($A103="","",품목목록!$D100)</f>
        <v/>
      </c>
      <c r="E103" s="49" t="str">
        <f>IF($A103="","",SUMIFS(전개결과!$N$6:$N$1205,전개결과!$M$6:$M$1205,$A103))</f>
        <v/>
      </c>
      <c r="F103" s="45" t="str">
        <f>IF($A103="","",ROUND($E103*IF(품목목록!$E100="",0,품목목록!$E100),0))</f>
        <v/>
      </c>
    </row>
    <row r="104" ht="15" customHeight="1" s="30">
      <c r="A104" s="40" t="str">
        <f>IF(품목목록!$A101="","",IF(품목목록!$F101="세트","",품목목록!$A101))</f>
        <v/>
      </c>
      <c r="B104" s="40" t="str">
        <f>IF($A104="","",품목목록!$B101)</f>
        <v/>
      </c>
      <c r="C104" s="40" t="str">
        <f>IF($A104="","",품목목록!$C101)</f>
        <v/>
      </c>
      <c r="D104" s="40" t="str">
        <f>IF($A104="","",품목목록!$D101)</f>
        <v/>
      </c>
      <c r="E104" s="49" t="str">
        <f>IF($A104="","",SUMIFS(전개결과!$N$6:$N$1205,전개결과!$M$6:$M$1205,$A104))</f>
        <v/>
      </c>
      <c r="F104" s="45" t="str">
        <f>IF($A104="","",ROUND($E104*IF(품목목록!$E101="",0,품목목록!$E101),0))</f>
        <v/>
      </c>
    </row>
    <row r="105" ht="15" customHeight="1" s="30">
      <c r="A105" s="40" t="str">
        <f>IF(품목목록!$A102="","",IF(품목목록!$F102="세트","",품목목록!$A102))</f>
        <v/>
      </c>
      <c r="B105" s="40" t="str">
        <f>IF($A105="","",품목목록!$B102)</f>
        <v/>
      </c>
      <c r="C105" s="40" t="str">
        <f>IF($A105="","",품목목록!$C102)</f>
        <v/>
      </c>
      <c r="D105" s="40" t="str">
        <f>IF($A105="","",품목목록!$D102)</f>
        <v/>
      </c>
      <c r="E105" s="49" t="str">
        <f>IF($A105="","",SUMIFS(전개결과!$N$6:$N$1205,전개결과!$M$6:$M$1205,$A105))</f>
        <v/>
      </c>
      <c r="F105" s="45" t="str">
        <f>IF($A105="","",ROUND($E105*IF(품목목록!$E102="",0,품목목록!$E102),0))</f>
        <v/>
      </c>
    </row>
    <row r="106" ht="15" customHeight="1" s="30">
      <c r="A106" s="40" t="str">
        <f>IF(품목목록!$A103="","",IF(품목목록!$F103="세트","",품목목록!$A103))</f>
        <v/>
      </c>
      <c r="B106" s="40" t="str">
        <f>IF($A106="","",품목목록!$B103)</f>
        <v/>
      </c>
      <c r="C106" s="40" t="str">
        <f>IF($A106="","",품목목록!$C103)</f>
        <v/>
      </c>
      <c r="D106" s="40" t="str">
        <f>IF($A106="","",품목목록!$D103)</f>
        <v/>
      </c>
      <c r="E106" s="49" t="str">
        <f>IF($A106="","",SUMIFS(전개결과!$N$6:$N$1205,전개결과!$M$6:$M$1205,$A106))</f>
        <v/>
      </c>
      <c r="F106" s="45" t="str">
        <f>IF($A106="","",ROUND($E106*IF(품목목록!$E103="",0,품목목록!$E103),0))</f>
        <v/>
      </c>
    </row>
    <row r="107" ht="15" customHeight="1" s="30">
      <c r="A107" s="40" t="str">
        <f>IF(품목목록!$A104="","",IF(품목목록!$F104="세트","",품목목록!$A104))</f>
        <v/>
      </c>
      <c r="B107" s="40" t="str">
        <f>IF($A107="","",품목목록!$B104)</f>
        <v/>
      </c>
      <c r="C107" s="40" t="str">
        <f>IF($A107="","",품목목록!$C104)</f>
        <v/>
      </c>
      <c r="D107" s="40" t="str">
        <f>IF($A107="","",품목목록!$D104)</f>
        <v/>
      </c>
      <c r="E107" s="49" t="str">
        <f>IF($A107="","",SUMIFS(전개결과!$N$6:$N$1205,전개결과!$M$6:$M$1205,$A107))</f>
        <v/>
      </c>
      <c r="F107" s="45" t="str">
        <f>IF($A107="","",ROUND($E107*IF(품목목록!$E104="",0,품목목록!$E104),0))</f>
        <v/>
      </c>
    </row>
    <row r="108" ht="15" customHeight="1" s="30">
      <c r="A108" s="40" t="str">
        <f>IF(품목목록!$A105="","",IF(품목목록!$F105="세트","",품목목록!$A105))</f>
        <v/>
      </c>
      <c r="B108" s="40" t="str">
        <f>IF($A108="","",품목목록!$B105)</f>
        <v/>
      </c>
      <c r="C108" s="40" t="str">
        <f>IF($A108="","",품목목록!$C105)</f>
        <v/>
      </c>
      <c r="D108" s="40" t="str">
        <f>IF($A108="","",품목목록!$D105)</f>
        <v/>
      </c>
      <c r="E108" s="49" t="str">
        <f>IF($A108="","",SUMIFS(전개결과!$N$6:$N$1205,전개결과!$M$6:$M$1205,$A108))</f>
        <v/>
      </c>
      <c r="F108" s="45" t="str">
        <f>IF($A108="","",ROUND($E108*IF(품목목록!$E105="",0,품목목록!$E105),0))</f>
        <v/>
      </c>
    </row>
    <row r="109" ht="15" customHeight="1" s="30">
      <c r="A109" s="40" t="str">
        <f>IF(품목목록!$A106="","",IF(품목목록!$F106="세트","",품목목록!$A106))</f>
        <v/>
      </c>
      <c r="B109" s="40" t="str">
        <f>IF($A109="","",품목목록!$B106)</f>
        <v/>
      </c>
      <c r="C109" s="40" t="str">
        <f>IF($A109="","",품목목록!$C106)</f>
        <v/>
      </c>
      <c r="D109" s="40" t="str">
        <f>IF($A109="","",품목목록!$D106)</f>
        <v/>
      </c>
      <c r="E109" s="49" t="str">
        <f>IF($A109="","",SUMIFS(전개결과!$N$6:$N$1205,전개결과!$M$6:$M$1205,$A109))</f>
        <v/>
      </c>
      <c r="F109" s="45" t="str">
        <f>IF($A109="","",ROUND($E109*IF(품목목록!$E106="",0,품목목록!$E106),0))</f>
        <v/>
      </c>
    </row>
    <row r="110" ht="15" customHeight="1" s="30">
      <c r="A110" s="40" t="str">
        <f>IF(품목목록!$A107="","",IF(품목목록!$F107="세트","",품목목록!$A107))</f>
        <v/>
      </c>
      <c r="B110" s="40" t="str">
        <f>IF($A110="","",품목목록!$B107)</f>
        <v/>
      </c>
      <c r="C110" s="40" t="str">
        <f>IF($A110="","",품목목록!$C107)</f>
        <v/>
      </c>
      <c r="D110" s="40" t="str">
        <f>IF($A110="","",품목목록!$D107)</f>
        <v/>
      </c>
      <c r="E110" s="49" t="str">
        <f>IF($A110="","",SUMIFS(전개결과!$N$6:$N$1205,전개결과!$M$6:$M$1205,$A110))</f>
        <v/>
      </c>
      <c r="F110" s="45" t="str">
        <f>IF($A110="","",ROUND($E110*IF(품목목록!$E107="",0,품목목록!$E107),0))</f>
        <v/>
      </c>
    </row>
    <row r="111" ht="15" customHeight="1" s="30">
      <c r="A111" s="40" t="str">
        <f>IF(품목목록!$A108="","",IF(품목목록!$F108="세트","",품목목록!$A108))</f>
        <v/>
      </c>
      <c r="B111" s="40" t="str">
        <f>IF($A111="","",품목목록!$B108)</f>
        <v/>
      </c>
      <c r="C111" s="40" t="str">
        <f>IF($A111="","",품목목록!$C108)</f>
        <v/>
      </c>
      <c r="D111" s="40" t="str">
        <f>IF($A111="","",품목목록!$D108)</f>
        <v/>
      </c>
      <c r="E111" s="49" t="str">
        <f>IF($A111="","",SUMIFS(전개결과!$N$6:$N$1205,전개결과!$M$6:$M$1205,$A111))</f>
        <v/>
      </c>
      <c r="F111" s="45" t="str">
        <f>IF($A111="","",ROUND($E111*IF(품목목록!$E108="",0,품목목록!$E108),0))</f>
        <v/>
      </c>
    </row>
    <row r="112" ht="15" customHeight="1" s="30">
      <c r="A112" s="40" t="str">
        <f>IF(품목목록!$A109="","",IF(품목목록!$F109="세트","",품목목록!$A109))</f>
        <v/>
      </c>
      <c r="B112" s="40" t="str">
        <f>IF($A112="","",품목목록!$B109)</f>
        <v/>
      </c>
      <c r="C112" s="40" t="str">
        <f>IF($A112="","",품목목록!$C109)</f>
        <v/>
      </c>
      <c r="D112" s="40" t="str">
        <f>IF($A112="","",품목목록!$D109)</f>
        <v/>
      </c>
      <c r="E112" s="49" t="str">
        <f>IF($A112="","",SUMIFS(전개결과!$N$6:$N$1205,전개결과!$M$6:$M$1205,$A112))</f>
        <v/>
      </c>
      <c r="F112" s="45" t="str">
        <f>IF($A112="","",ROUND($E112*IF(품목목록!$E109="",0,품목목록!$E109),0))</f>
        <v/>
      </c>
    </row>
    <row r="113" ht="15" customHeight="1" s="30">
      <c r="A113" s="40" t="str">
        <f>IF(품목목록!$A110="","",IF(품목목록!$F110="세트","",품목목록!$A110))</f>
        <v/>
      </c>
      <c r="B113" s="40" t="str">
        <f>IF($A113="","",품목목록!$B110)</f>
        <v/>
      </c>
      <c r="C113" s="40" t="str">
        <f>IF($A113="","",품목목록!$C110)</f>
        <v/>
      </c>
      <c r="D113" s="40" t="str">
        <f>IF($A113="","",품목목록!$D110)</f>
        <v/>
      </c>
      <c r="E113" s="49" t="str">
        <f>IF($A113="","",SUMIFS(전개결과!$N$6:$N$1205,전개결과!$M$6:$M$1205,$A113))</f>
        <v/>
      </c>
      <c r="F113" s="45" t="str">
        <f>IF($A113="","",ROUND($E113*IF(품목목록!$E110="",0,품목목록!$E110),0))</f>
        <v/>
      </c>
    </row>
    <row r="114" ht="15" customHeight="1" s="30">
      <c r="A114" s="40" t="str">
        <f>IF(품목목록!$A111="","",IF(품목목록!$F111="세트","",품목목록!$A111))</f>
        <v/>
      </c>
      <c r="B114" s="40" t="str">
        <f>IF($A114="","",품목목록!$B111)</f>
        <v/>
      </c>
      <c r="C114" s="40" t="str">
        <f>IF($A114="","",품목목록!$C111)</f>
        <v/>
      </c>
      <c r="D114" s="40" t="str">
        <f>IF($A114="","",품목목록!$D111)</f>
        <v/>
      </c>
      <c r="E114" s="49" t="str">
        <f>IF($A114="","",SUMIFS(전개결과!$N$6:$N$1205,전개결과!$M$6:$M$1205,$A114))</f>
        <v/>
      </c>
      <c r="F114" s="45" t="str">
        <f>IF($A114="","",ROUND($E114*IF(품목목록!$E111="",0,품목목록!$E111),0))</f>
        <v/>
      </c>
    </row>
    <row r="115" ht="15" customHeight="1" s="30">
      <c r="A115" s="40" t="str">
        <f>IF(품목목록!$A112="","",IF(품목목록!$F112="세트","",품목목록!$A112))</f>
        <v/>
      </c>
      <c r="B115" s="40" t="str">
        <f>IF($A115="","",품목목록!$B112)</f>
        <v/>
      </c>
      <c r="C115" s="40" t="str">
        <f>IF($A115="","",품목목록!$C112)</f>
        <v/>
      </c>
      <c r="D115" s="40" t="str">
        <f>IF($A115="","",품목목록!$D112)</f>
        <v/>
      </c>
      <c r="E115" s="49" t="str">
        <f>IF($A115="","",SUMIFS(전개결과!$N$6:$N$1205,전개결과!$M$6:$M$1205,$A115))</f>
        <v/>
      </c>
      <c r="F115" s="45" t="str">
        <f>IF($A115="","",ROUND($E115*IF(품목목록!$E112="",0,품목목록!$E112),0))</f>
        <v/>
      </c>
    </row>
    <row r="116" ht="15" customHeight="1" s="30">
      <c r="A116" s="40" t="str">
        <f>IF(품목목록!$A113="","",IF(품목목록!$F113="세트","",품목목록!$A113))</f>
        <v/>
      </c>
      <c r="B116" s="40" t="str">
        <f>IF($A116="","",품목목록!$B113)</f>
        <v/>
      </c>
      <c r="C116" s="40" t="str">
        <f>IF($A116="","",품목목록!$C113)</f>
        <v/>
      </c>
      <c r="D116" s="40" t="str">
        <f>IF($A116="","",품목목록!$D113)</f>
        <v/>
      </c>
      <c r="E116" s="49" t="str">
        <f>IF($A116="","",SUMIFS(전개결과!$N$6:$N$1205,전개결과!$M$6:$M$1205,$A116))</f>
        <v/>
      </c>
      <c r="F116" s="45" t="str">
        <f>IF($A116="","",ROUND($E116*IF(품목목록!$E113="",0,품목목록!$E113),0))</f>
        <v/>
      </c>
    </row>
    <row r="117" ht="15" customHeight="1" s="30">
      <c r="A117" s="40" t="str">
        <f>IF(품목목록!$A114="","",IF(품목목록!$F114="세트","",품목목록!$A114))</f>
        <v/>
      </c>
      <c r="B117" s="40" t="str">
        <f>IF($A117="","",품목목록!$B114)</f>
        <v/>
      </c>
      <c r="C117" s="40" t="str">
        <f>IF($A117="","",품목목록!$C114)</f>
        <v/>
      </c>
      <c r="D117" s="40" t="str">
        <f>IF($A117="","",품목목록!$D114)</f>
        <v/>
      </c>
      <c r="E117" s="49" t="str">
        <f>IF($A117="","",SUMIFS(전개결과!$N$6:$N$1205,전개결과!$M$6:$M$1205,$A117))</f>
        <v/>
      </c>
      <c r="F117" s="45" t="str">
        <f>IF($A117="","",ROUND($E117*IF(품목목록!$E114="",0,품목목록!$E114),0))</f>
        <v/>
      </c>
    </row>
    <row r="118" ht="15" customHeight="1" s="30">
      <c r="A118" s="40" t="str">
        <f>IF(품목목록!$A115="","",IF(품목목록!$F115="세트","",품목목록!$A115))</f>
        <v/>
      </c>
      <c r="B118" s="40" t="str">
        <f>IF($A118="","",품목목록!$B115)</f>
        <v/>
      </c>
      <c r="C118" s="40" t="str">
        <f>IF($A118="","",품목목록!$C115)</f>
        <v/>
      </c>
      <c r="D118" s="40" t="str">
        <f>IF($A118="","",품목목록!$D115)</f>
        <v/>
      </c>
      <c r="E118" s="49" t="str">
        <f>IF($A118="","",SUMIFS(전개결과!$N$6:$N$1205,전개결과!$M$6:$M$1205,$A118))</f>
        <v/>
      </c>
      <c r="F118" s="45" t="str">
        <f>IF($A118="","",ROUND($E118*IF(품목목록!$E115="",0,품목목록!$E115),0))</f>
        <v/>
      </c>
    </row>
    <row r="119" ht="15" customHeight="1" s="30">
      <c r="A119" s="40" t="str">
        <f>IF(품목목록!$A116="","",IF(품목목록!$F116="세트","",품목목록!$A116))</f>
        <v/>
      </c>
      <c r="B119" s="40" t="str">
        <f>IF($A119="","",품목목록!$B116)</f>
        <v/>
      </c>
      <c r="C119" s="40" t="str">
        <f>IF($A119="","",품목목록!$C116)</f>
        <v/>
      </c>
      <c r="D119" s="40" t="str">
        <f>IF($A119="","",품목목록!$D116)</f>
        <v/>
      </c>
      <c r="E119" s="49" t="str">
        <f>IF($A119="","",SUMIFS(전개결과!$N$6:$N$1205,전개결과!$M$6:$M$1205,$A119))</f>
        <v/>
      </c>
      <c r="F119" s="45" t="str">
        <f>IF($A119="","",ROUND($E119*IF(품목목록!$E116="",0,품목목록!$E116),0))</f>
        <v/>
      </c>
    </row>
    <row r="120" ht="15" customHeight="1" s="30">
      <c r="A120" s="40" t="str">
        <f>IF(품목목록!$A117="","",IF(품목목록!$F117="세트","",품목목록!$A117))</f>
        <v/>
      </c>
      <c r="B120" s="40" t="str">
        <f>IF($A120="","",품목목록!$B117)</f>
        <v/>
      </c>
      <c r="C120" s="40" t="str">
        <f>IF($A120="","",품목목록!$C117)</f>
        <v/>
      </c>
      <c r="D120" s="40" t="str">
        <f>IF($A120="","",품목목록!$D117)</f>
        <v/>
      </c>
      <c r="E120" s="49" t="str">
        <f>IF($A120="","",SUMIFS(전개결과!$N$6:$N$1205,전개결과!$M$6:$M$1205,$A120))</f>
        <v/>
      </c>
      <c r="F120" s="45" t="str">
        <f>IF($A120="","",ROUND($E120*IF(품목목록!$E117="",0,품목목록!$E117),0))</f>
        <v/>
      </c>
    </row>
    <row r="121" ht="15" customHeight="1" s="30">
      <c r="A121" s="40" t="str">
        <f>IF(품목목록!$A118="","",IF(품목목록!$F118="세트","",품목목록!$A118))</f>
        <v/>
      </c>
      <c r="B121" s="40" t="str">
        <f>IF($A121="","",품목목록!$B118)</f>
        <v/>
      </c>
      <c r="C121" s="40" t="str">
        <f>IF($A121="","",품목목록!$C118)</f>
        <v/>
      </c>
      <c r="D121" s="40" t="str">
        <f>IF($A121="","",품목목록!$D118)</f>
        <v/>
      </c>
      <c r="E121" s="49" t="str">
        <f>IF($A121="","",SUMIFS(전개결과!$N$6:$N$1205,전개결과!$M$6:$M$1205,$A121))</f>
        <v/>
      </c>
      <c r="F121" s="45" t="str">
        <f>IF($A121="","",ROUND($E121*IF(품목목록!$E118="",0,품목목록!$E118),0))</f>
        <v/>
      </c>
    </row>
    <row r="122" ht="15" customHeight="1" s="30">
      <c r="A122" s="40" t="str">
        <f>IF(품목목록!$A119="","",IF(품목목록!$F119="세트","",품목목록!$A119))</f>
        <v/>
      </c>
      <c r="B122" s="40" t="str">
        <f>IF($A122="","",품목목록!$B119)</f>
        <v/>
      </c>
      <c r="C122" s="40" t="str">
        <f>IF($A122="","",품목목록!$C119)</f>
        <v/>
      </c>
      <c r="D122" s="40" t="str">
        <f>IF($A122="","",품목목록!$D119)</f>
        <v/>
      </c>
      <c r="E122" s="49" t="str">
        <f>IF($A122="","",SUMIFS(전개결과!$N$6:$N$1205,전개결과!$M$6:$M$1205,$A122))</f>
        <v/>
      </c>
      <c r="F122" s="45" t="str">
        <f>IF($A122="","",ROUND($E122*IF(품목목록!$E119="",0,품목목록!$E119),0))</f>
        <v/>
      </c>
    </row>
    <row r="123" ht="15" customHeight="1" s="30">
      <c r="A123" s="40" t="str">
        <f>IF(품목목록!$A120="","",IF(품목목록!$F120="세트","",품목목록!$A120))</f>
        <v/>
      </c>
      <c r="B123" s="40" t="str">
        <f>IF($A123="","",품목목록!$B120)</f>
        <v/>
      </c>
      <c r="C123" s="40" t="str">
        <f>IF($A123="","",품목목록!$C120)</f>
        <v/>
      </c>
      <c r="D123" s="40" t="str">
        <f>IF($A123="","",품목목록!$D120)</f>
        <v/>
      </c>
      <c r="E123" s="49" t="str">
        <f>IF($A123="","",SUMIFS(전개결과!$N$6:$N$1205,전개결과!$M$6:$M$1205,$A123))</f>
        <v/>
      </c>
      <c r="F123" s="45" t="str">
        <f>IF($A123="","",ROUND($E123*IF(품목목록!$E120="",0,품목목록!$E120),0))</f>
        <v/>
      </c>
    </row>
    <row r="124" ht="15" customHeight="1" s="30">
      <c r="A124" s="40" t="str">
        <f>IF(품목목록!$A121="","",IF(품목목록!$F121="세트","",품목목록!$A121))</f>
        <v/>
      </c>
      <c r="B124" s="40" t="str">
        <f>IF($A124="","",품목목록!$B121)</f>
        <v/>
      </c>
      <c r="C124" s="40" t="str">
        <f>IF($A124="","",품목목록!$C121)</f>
        <v/>
      </c>
      <c r="D124" s="40" t="str">
        <f>IF($A124="","",품목목록!$D121)</f>
        <v/>
      </c>
      <c r="E124" s="49" t="str">
        <f>IF($A124="","",SUMIFS(전개결과!$N$6:$N$1205,전개결과!$M$6:$M$1205,$A124))</f>
        <v/>
      </c>
      <c r="F124" s="45" t="str">
        <f>IF($A124="","",ROUND($E124*IF(품목목록!$E121="",0,품목목록!$E121),0))</f>
        <v/>
      </c>
    </row>
    <row r="125" ht="15" customHeight="1" s="30">
      <c r="A125" s="40" t="str">
        <f>IF(품목목록!$A122="","",IF(품목목록!$F122="세트","",품목목록!$A122))</f>
        <v/>
      </c>
      <c r="B125" s="40" t="str">
        <f>IF($A125="","",품목목록!$B122)</f>
        <v/>
      </c>
      <c r="C125" s="40" t="str">
        <f>IF($A125="","",품목목록!$C122)</f>
        <v/>
      </c>
      <c r="D125" s="40" t="str">
        <f>IF($A125="","",품목목록!$D122)</f>
        <v/>
      </c>
      <c r="E125" s="49" t="str">
        <f>IF($A125="","",SUMIFS(전개결과!$N$6:$N$1205,전개결과!$M$6:$M$1205,$A125))</f>
        <v/>
      </c>
      <c r="F125" s="45" t="str">
        <f>IF($A125="","",ROUND($E125*IF(품목목록!$E122="",0,품목목록!$E122),0))</f>
        <v/>
      </c>
    </row>
    <row r="126" ht="15" customHeight="1" s="30">
      <c r="A126" s="40" t="str">
        <f>IF(품목목록!$A123="","",IF(품목목록!$F123="세트","",품목목록!$A123))</f>
        <v/>
      </c>
      <c r="B126" s="40" t="str">
        <f>IF($A126="","",품목목록!$B123)</f>
        <v/>
      </c>
      <c r="C126" s="40" t="str">
        <f>IF($A126="","",품목목록!$C123)</f>
        <v/>
      </c>
      <c r="D126" s="40" t="str">
        <f>IF($A126="","",품목목록!$D123)</f>
        <v/>
      </c>
      <c r="E126" s="49" t="str">
        <f>IF($A126="","",SUMIFS(전개결과!$N$6:$N$1205,전개결과!$M$6:$M$1205,$A126))</f>
        <v/>
      </c>
      <c r="F126" s="45" t="str">
        <f>IF($A126="","",ROUND($E126*IF(품목목록!$E123="",0,품목목록!$E123),0))</f>
        <v/>
      </c>
    </row>
    <row r="127" ht="15" customHeight="1" s="30">
      <c r="A127" s="40" t="str">
        <f>IF(품목목록!$A124="","",IF(품목목록!$F124="세트","",품목목록!$A124))</f>
        <v/>
      </c>
      <c r="B127" s="40" t="str">
        <f>IF($A127="","",품목목록!$B124)</f>
        <v/>
      </c>
      <c r="C127" s="40" t="str">
        <f>IF($A127="","",품목목록!$C124)</f>
        <v/>
      </c>
      <c r="D127" s="40" t="str">
        <f>IF($A127="","",품목목록!$D124)</f>
        <v/>
      </c>
      <c r="E127" s="49" t="str">
        <f>IF($A127="","",SUMIFS(전개결과!$N$6:$N$1205,전개결과!$M$6:$M$1205,$A127))</f>
        <v/>
      </c>
      <c r="F127" s="45" t="str">
        <f>IF($A127="","",ROUND($E127*IF(품목목록!$E124="",0,품목목록!$E124),0))</f>
        <v/>
      </c>
    </row>
    <row r="128" ht="15" customHeight="1" s="30">
      <c r="A128" s="40" t="str">
        <f>IF(품목목록!$A125="","",IF(품목목록!$F125="세트","",품목목록!$A125))</f>
        <v/>
      </c>
      <c r="B128" s="40" t="str">
        <f>IF($A128="","",품목목록!$B125)</f>
        <v/>
      </c>
      <c r="C128" s="40" t="str">
        <f>IF($A128="","",품목목록!$C125)</f>
        <v/>
      </c>
      <c r="D128" s="40" t="str">
        <f>IF($A128="","",품목목록!$D125)</f>
        <v/>
      </c>
      <c r="E128" s="49" t="str">
        <f>IF($A128="","",SUMIFS(전개결과!$N$6:$N$1205,전개결과!$M$6:$M$1205,$A128))</f>
        <v/>
      </c>
      <c r="F128" s="45" t="str">
        <f>IF($A128="","",ROUND($E128*IF(품목목록!$E125="",0,품목목록!$E125),0))</f>
        <v/>
      </c>
    </row>
    <row r="129" ht="15" customHeight="1" s="30">
      <c r="A129" s="40" t="str">
        <f>IF(품목목록!$A126="","",IF(품목목록!$F126="세트","",품목목록!$A126))</f>
        <v/>
      </c>
      <c r="B129" s="40" t="str">
        <f>IF($A129="","",품목목록!$B126)</f>
        <v/>
      </c>
      <c r="C129" s="40" t="str">
        <f>IF($A129="","",품목목록!$C126)</f>
        <v/>
      </c>
      <c r="D129" s="40" t="str">
        <f>IF($A129="","",품목목록!$D126)</f>
        <v/>
      </c>
      <c r="E129" s="49" t="str">
        <f>IF($A129="","",SUMIFS(전개결과!$N$6:$N$1205,전개결과!$M$6:$M$1205,$A129))</f>
        <v/>
      </c>
      <c r="F129" s="45" t="str">
        <f>IF($A129="","",ROUND($E129*IF(품목목록!$E126="",0,품목목록!$E126),0))</f>
        <v/>
      </c>
    </row>
    <row r="130" ht="15" customHeight="1" s="30">
      <c r="A130" s="40" t="str">
        <f>IF(품목목록!$A127="","",IF(품목목록!$F127="세트","",품목목록!$A127))</f>
        <v/>
      </c>
      <c r="B130" s="40" t="str">
        <f>IF($A130="","",품목목록!$B127)</f>
        <v/>
      </c>
      <c r="C130" s="40" t="str">
        <f>IF($A130="","",품목목록!$C127)</f>
        <v/>
      </c>
      <c r="D130" s="40" t="str">
        <f>IF($A130="","",품목목록!$D127)</f>
        <v/>
      </c>
      <c r="E130" s="49" t="str">
        <f>IF($A130="","",SUMIFS(전개결과!$N$6:$N$1205,전개결과!$M$6:$M$1205,$A130))</f>
        <v/>
      </c>
      <c r="F130" s="45" t="str">
        <f>IF($A130="","",ROUND($E130*IF(품목목록!$E127="",0,품목목록!$E127),0))</f>
        <v/>
      </c>
    </row>
    <row r="131" ht="15" customHeight="1" s="30">
      <c r="A131" s="40" t="str">
        <f>IF(품목목록!$A128="","",IF(품목목록!$F128="세트","",품목목록!$A128))</f>
        <v/>
      </c>
      <c r="B131" s="40" t="str">
        <f>IF($A131="","",품목목록!$B128)</f>
        <v/>
      </c>
      <c r="C131" s="40" t="str">
        <f>IF($A131="","",품목목록!$C128)</f>
        <v/>
      </c>
      <c r="D131" s="40" t="str">
        <f>IF($A131="","",품목목록!$D128)</f>
        <v/>
      </c>
      <c r="E131" s="49" t="str">
        <f>IF($A131="","",SUMIFS(전개결과!$N$6:$N$1205,전개결과!$M$6:$M$1205,$A131))</f>
        <v/>
      </c>
      <c r="F131" s="45" t="str">
        <f>IF($A131="","",ROUND($E131*IF(품목목록!$E128="",0,품목목록!$E128),0))</f>
        <v/>
      </c>
    </row>
    <row r="132" ht="15" customHeight="1" s="30">
      <c r="A132" s="40" t="str">
        <f>IF(품목목록!$A129="","",IF(품목목록!$F129="세트","",품목목록!$A129))</f>
        <v/>
      </c>
      <c r="B132" s="40" t="str">
        <f>IF($A132="","",품목목록!$B129)</f>
        <v/>
      </c>
      <c r="C132" s="40" t="str">
        <f>IF($A132="","",품목목록!$C129)</f>
        <v/>
      </c>
      <c r="D132" s="40" t="str">
        <f>IF($A132="","",품목목록!$D129)</f>
        <v/>
      </c>
      <c r="E132" s="49" t="str">
        <f>IF($A132="","",SUMIFS(전개결과!$N$6:$N$1205,전개결과!$M$6:$M$1205,$A132))</f>
        <v/>
      </c>
      <c r="F132" s="45" t="str">
        <f>IF($A132="","",ROUND($E132*IF(품목목록!$E129="",0,품목목록!$E129),0))</f>
        <v/>
      </c>
    </row>
    <row r="133" ht="15" customHeight="1" s="30">
      <c r="A133" s="40" t="str">
        <f>IF(품목목록!$A130="","",IF(품목목록!$F130="세트","",품목목록!$A130))</f>
        <v/>
      </c>
      <c r="B133" s="40" t="str">
        <f>IF($A133="","",품목목록!$B130)</f>
        <v/>
      </c>
      <c r="C133" s="40" t="str">
        <f>IF($A133="","",품목목록!$C130)</f>
        <v/>
      </c>
      <c r="D133" s="40" t="str">
        <f>IF($A133="","",품목목록!$D130)</f>
        <v/>
      </c>
      <c r="E133" s="49" t="str">
        <f>IF($A133="","",SUMIFS(전개결과!$N$6:$N$1205,전개결과!$M$6:$M$1205,$A133))</f>
        <v/>
      </c>
      <c r="F133" s="45" t="str">
        <f>IF($A133="","",ROUND($E133*IF(품목목록!$E130="",0,품목목록!$E130),0))</f>
        <v/>
      </c>
    </row>
    <row r="134" ht="15" customHeight="1" s="30">
      <c r="A134" s="40" t="str">
        <f>IF(품목목록!$A131="","",IF(품목목록!$F131="세트","",품목목록!$A131))</f>
        <v/>
      </c>
      <c r="B134" s="40" t="str">
        <f>IF($A134="","",품목목록!$B131)</f>
        <v/>
      </c>
      <c r="C134" s="40" t="str">
        <f>IF($A134="","",품목목록!$C131)</f>
        <v/>
      </c>
      <c r="D134" s="40" t="str">
        <f>IF($A134="","",품목목록!$D131)</f>
        <v/>
      </c>
      <c r="E134" s="49" t="str">
        <f>IF($A134="","",SUMIFS(전개결과!$N$6:$N$1205,전개결과!$M$6:$M$1205,$A134))</f>
        <v/>
      </c>
      <c r="F134" s="45" t="str">
        <f>IF($A134="","",ROUND($E134*IF(품목목록!$E131="",0,품목목록!$E131),0))</f>
        <v/>
      </c>
    </row>
    <row r="135" ht="15" customHeight="1" s="30">
      <c r="A135" s="40" t="str">
        <f>IF(품목목록!$A132="","",IF(품목목록!$F132="세트","",품목목록!$A132))</f>
        <v/>
      </c>
      <c r="B135" s="40" t="str">
        <f>IF($A135="","",품목목록!$B132)</f>
        <v/>
      </c>
      <c r="C135" s="40" t="str">
        <f>IF($A135="","",품목목록!$C132)</f>
        <v/>
      </c>
      <c r="D135" s="40" t="str">
        <f>IF($A135="","",품목목록!$D132)</f>
        <v/>
      </c>
      <c r="E135" s="49" t="str">
        <f>IF($A135="","",SUMIFS(전개결과!$N$6:$N$1205,전개결과!$M$6:$M$1205,$A135))</f>
        <v/>
      </c>
      <c r="F135" s="45" t="str">
        <f>IF($A135="","",ROUND($E135*IF(품목목록!$E132="",0,품목목록!$E132),0))</f>
        <v/>
      </c>
    </row>
    <row r="136" ht="15" customHeight="1" s="30">
      <c r="A136" s="40" t="str">
        <f>IF(품목목록!$A133="","",IF(품목목록!$F133="세트","",품목목록!$A133))</f>
        <v/>
      </c>
      <c r="B136" s="40" t="str">
        <f>IF($A136="","",품목목록!$B133)</f>
        <v/>
      </c>
      <c r="C136" s="40" t="str">
        <f>IF($A136="","",품목목록!$C133)</f>
        <v/>
      </c>
      <c r="D136" s="40" t="str">
        <f>IF($A136="","",품목목록!$D133)</f>
        <v/>
      </c>
      <c r="E136" s="49" t="str">
        <f>IF($A136="","",SUMIFS(전개결과!$N$6:$N$1205,전개결과!$M$6:$M$1205,$A136))</f>
        <v/>
      </c>
      <c r="F136" s="45" t="str">
        <f>IF($A136="","",ROUND($E136*IF(품목목록!$E133="",0,품목목록!$E133),0))</f>
        <v/>
      </c>
    </row>
    <row r="137" ht="15" customHeight="1" s="30">
      <c r="A137" s="40" t="str">
        <f>IF(품목목록!$A134="","",IF(품목목록!$F134="세트","",품목목록!$A134))</f>
        <v/>
      </c>
      <c r="B137" s="40" t="str">
        <f>IF($A137="","",품목목록!$B134)</f>
        <v/>
      </c>
      <c r="C137" s="40" t="str">
        <f>IF($A137="","",품목목록!$C134)</f>
        <v/>
      </c>
      <c r="D137" s="40" t="str">
        <f>IF($A137="","",품목목록!$D134)</f>
        <v/>
      </c>
      <c r="E137" s="49" t="str">
        <f>IF($A137="","",SUMIFS(전개결과!$N$6:$N$1205,전개결과!$M$6:$M$1205,$A137))</f>
        <v/>
      </c>
      <c r="F137" s="45" t="str">
        <f>IF($A137="","",ROUND($E137*IF(품목목록!$E134="",0,품목목록!$E134),0))</f>
        <v/>
      </c>
    </row>
    <row r="138" ht="15" customHeight="1" s="30">
      <c r="A138" s="40" t="str">
        <f>IF(품목목록!$A135="","",IF(품목목록!$F135="세트","",품목목록!$A135))</f>
        <v/>
      </c>
      <c r="B138" s="40" t="str">
        <f>IF($A138="","",품목목록!$B135)</f>
        <v/>
      </c>
      <c r="C138" s="40" t="str">
        <f>IF($A138="","",품목목록!$C135)</f>
        <v/>
      </c>
      <c r="D138" s="40" t="str">
        <f>IF($A138="","",품목목록!$D135)</f>
        <v/>
      </c>
      <c r="E138" s="49" t="str">
        <f>IF($A138="","",SUMIFS(전개결과!$N$6:$N$1205,전개결과!$M$6:$M$1205,$A138))</f>
        <v/>
      </c>
      <c r="F138" s="45" t="str">
        <f>IF($A138="","",ROUND($E138*IF(품목목록!$E135="",0,품목목록!$E135),0))</f>
        <v/>
      </c>
    </row>
    <row r="139" ht="15" customHeight="1" s="30">
      <c r="A139" s="40" t="str">
        <f>IF(품목목록!$A136="","",IF(품목목록!$F136="세트","",품목목록!$A136))</f>
        <v/>
      </c>
      <c r="B139" s="40" t="str">
        <f>IF($A139="","",품목목록!$B136)</f>
        <v/>
      </c>
      <c r="C139" s="40" t="str">
        <f>IF($A139="","",품목목록!$C136)</f>
        <v/>
      </c>
      <c r="D139" s="40" t="str">
        <f>IF($A139="","",품목목록!$D136)</f>
        <v/>
      </c>
      <c r="E139" s="49" t="str">
        <f>IF($A139="","",SUMIFS(전개결과!$N$6:$N$1205,전개결과!$M$6:$M$1205,$A139))</f>
        <v/>
      </c>
      <c r="F139" s="45" t="str">
        <f>IF($A139="","",ROUND($E139*IF(품목목록!$E136="",0,품목목록!$E136),0))</f>
        <v/>
      </c>
    </row>
    <row r="140" ht="15" customHeight="1" s="30">
      <c r="A140" s="40" t="str">
        <f>IF(품목목록!$A137="","",IF(품목목록!$F137="세트","",품목목록!$A137))</f>
        <v/>
      </c>
      <c r="B140" s="40" t="str">
        <f>IF($A140="","",품목목록!$B137)</f>
        <v/>
      </c>
      <c r="C140" s="40" t="str">
        <f>IF($A140="","",품목목록!$C137)</f>
        <v/>
      </c>
      <c r="D140" s="40" t="str">
        <f>IF($A140="","",품목목록!$D137)</f>
        <v/>
      </c>
      <c r="E140" s="49" t="str">
        <f>IF($A140="","",SUMIFS(전개결과!$N$6:$N$1205,전개결과!$M$6:$M$1205,$A140))</f>
        <v/>
      </c>
      <c r="F140" s="45" t="str">
        <f>IF($A140="","",ROUND($E140*IF(품목목록!$E137="",0,품목목록!$E137),0))</f>
        <v/>
      </c>
    </row>
    <row r="141" ht="15" customHeight="1" s="30">
      <c r="A141" s="40" t="str">
        <f>IF(품목목록!$A138="","",IF(품목목록!$F138="세트","",품목목록!$A138))</f>
        <v/>
      </c>
      <c r="B141" s="40" t="str">
        <f>IF($A141="","",품목목록!$B138)</f>
        <v/>
      </c>
      <c r="C141" s="40" t="str">
        <f>IF($A141="","",품목목록!$C138)</f>
        <v/>
      </c>
      <c r="D141" s="40" t="str">
        <f>IF($A141="","",품목목록!$D138)</f>
        <v/>
      </c>
      <c r="E141" s="49" t="str">
        <f>IF($A141="","",SUMIFS(전개결과!$N$6:$N$1205,전개결과!$M$6:$M$1205,$A141))</f>
        <v/>
      </c>
      <c r="F141" s="45" t="str">
        <f>IF($A141="","",ROUND($E141*IF(품목목록!$E138="",0,품목목록!$E138),0))</f>
        <v/>
      </c>
    </row>
    <row r="142" ht="15" customHeight="1" s="30">
      <c r="A142" s="40" t="str">
        <f>IF(품목목록!$A139="","",IF(품목목록!$F139="세트","",품목목록!$A139))</f>
        <v/>
      </c>
      <c r="B142" s="40" t="str">
        <f>IF($A142="","",품목목록!$B139)</f>
        <v/>
      </c>
      <c r="C142" s="40" t="str">
        <f>IF($A142="","",품목목록!$C139)</f>
        <v/>
      </c>
      <c r="D142" s="40" t="str">
        <f>IF($A142="","",품목목록!$D139)</f>
        <v/>
      </c>
      <c r="E142" s="49" t="str">
        <f>IF($A142="","",SUMIFS(전개결과!$N$6:$N$1205,전개결과!$M$6:$M$1205,$A142))</f>
        <v/>
      </c>
      <c r="F142" s="45" t="str">
        <f>IF($A142="","",ROUND($E142*IF(품목목록!$E139="",0,품목목록!$E139),0))</f>
        <v/>
      </c>
    </row>
    <row r="143" ht="15" customHeight="1" s="30">
      <c r="A143" s="40" t="str">
        <f>IF(품목목록!$A140="","",IF(품목목록!$F140="세트","",품목목록!$A140))</f>
        <v/>
      </c>
      <c r="B143" s="40" t="str">
        <f>IF($A143="","",품목목록!$B140)</f>
        <v/>
      </c>
      <c r="C143" s="40" t="str">
        <f>IF($A143="","",품목목록!$C140)</f>
        <v/>
      </c>
      <c r="D143" s="40" t="str">
        <f>IF($A143="","",품목목록!$D140)</f>
        <v/>
      </c>
      <c r="E143" s="49" t="str">
        <f>IF($A143="","",SUMIFS(전개결과!$N$6:$N$1205,전개결과!$M$6:$M$1205,$A143))</f>
        <v/>
      </c>
      <c r="F143" s="45" t="str">
        <f>IF($A143="","",ROUND($E143*IF(품목목록!$E140="",0,품목목록!$E140),0))</f>
        <v/>
      </c>
    </row>
    <row r="144" ht="15" customHeight="1" s="30">
      <c r="A144" s="40" t="str">
        <f>IF(품목목록!$A141="","",IF(품목목록!$F141="세트","",품목목록!$A141))</f>
        <v/>
      </c>
      <c r="B144" s="40" t="str">
        <f>IF($A144="","",품목목록!$B141)</f>
        <v/>
      </c>
      <c r="C144" s="40" t="str">
        <f>IF($A144="","",품목목록!$C141)</f>
        <v/>
      </c>
      <c r="D144" s="40" t="str">
        <f>IF($A144="","",품목목록!$D141)</f>
        <v/>
      </c>
      <c r="E144" s="49" t="str">
        <f>IF($A144="","",SUMIFS(전개결과!$N$6:$N$1205,전개결과!$M$6:$M$1205,$A144))</f>
        <v/>
      </c>
      <c r="F144" s="45" t="str">
        <f>IF($A144="","",ROUND($E144*IF(품목목록!$E141="",0,품목목록!$E141),0))</f>
        <v/>
      </c>
    </row>
    <row r="145" ht="15" customHeight="1" s="30">
      <c r="A145" s="40" t="str">
        <f>IF(품목목록!$A142="","",IF(품목목록!$F142="세트","",품목목록!$A142))</f>
        <v/>
      </c>
      <c r="B145" s="40" t="str">
        <f>IF($A145="","",품목목록!$B142)</f>
        <v/>
      </c>
      <c r="C145" s="40" t="str">
        <f>IF($A145="","",품목목록!$C142)</f>
        <v/>
      </c>
      <c r="D145" s="40" t="str">
        <f>IF($A145="","",품목목록!$D142)</f>
        <v/>
      </c>
      <c r="E145" s="49" t="str">
        <f>IF($A145="","",SUMIFS(전개결과!$N$6:$N$1205,전개결과!$M$6:$M$1205,$A145))</f>
        <v/>
      </c>
      <c r="F145" s="45" t="str">
        <f>IF($A145="","",ROUND($E145*IF(품목목록!$E142="",0,품목목록!$E142),0))</f>
        <v/>
      </c>
    </row>
    <row r="146" ht="15" customHeight="1" s="30">
      <c r="A146" s="40" t="str">
        <f>IF(품목목록!$A143="","",IF(품목목록!$F143="세트","",품목목록!$A143))</f>
        <v/>
      </c>
      <c r="B146" s="40" t="str">
        <f>IF($A146="","",품목목록!$B143)</f>
        <v/>
      </c>
      <c r="C146" s="40" t="str">
        <f>IF($A146="","",품목목록!$C143)</f>
        <v/>
      </c>
      <c r="D146" s="40" t="str">
        <f>IF($A146="","",품목목록!$D143)</f>
        <v/>
      </c>
      <c r="E146" s="49" t="str">
        <f>IF($A146="","",SUMIFS(전개결과!$N$6:$N$1205,전개결과!$M$6:$M$1205,$A146))</f>
        <v/>
      </c>
      <c r="F146" s="45" t="str">
        <f>IF($A146="","",ROUND($E146*IF(품목목록!$E143="",0,품목목록!$E143),0))</f>
        <v/>
      </c>
    </row>
    <row r="147" ht="15" customHeight="1" s="30">
      <c r="A147" s="40" t="str">
        <f>IF(품목목록!$A144="","",IF(품목목록!$F144="세트","",품목목록!$A144))</f>
        <v/>
      </c>
      <c r="B147" s="40" t="str">
        <f>IF($A147="","",품목목록!$B144)</f>
        <v/>
      </c>
      <c r="C147" s="40" t="str">
        <f>IF($A147="","",품목목록!$C144)</f>
        <v/>
      </c>
      <c r="D147" s="40" t="str">
        <f>IF($A147="","",품목목록!$D144)</f>
        <v/>
      </c>
      <c r="E147" s="49" t="str">
        <f>IF($A147="","",SUMIFS(전개결과!$N$6:$N$1205,전개결과!$M$6:$M$1205,$A147))</f>
        <v/>
      </c>
      <c r="F147" s="45" t="str">
        <f>IF($A147="","",ROUND($E147*IF(품목목록!$E144="",0,품목목록!$E144),0))</f>
        <v/>
      </c>
    </row>
    <row r="148" ht="15" customHeight="1" s="30">
      <c r="A148" s="40" t="str">
        <f>IF(품목목록!$A145="","",IF(품목목록!$F145="세트","",품목목록!$A145))</f>
        <v/>
      </c>
      <c r="B148" s="40" t="str">
        <f>IF($A148="","",품목목록!$B145)</f>
        <v/>
      </c>
      <c r="C148" s="40" t="str">
        <f>IF($A148="","",품목목록!$C145)</f>
        <v/>
      </c>
      <c r="D148" s="40" t="str">
        <f>IF($A148="","",품목목록!$D145)</f>
        <v/>
      </c>
      <c r="E148" s="49" t="str">
        <f>IF($A148="","",SUMIFS(전개결과!$N$6:$N$1205,전개결과!$M$6:$M$1205,$A148))</f>
        <v/>
      </c>
      <c r="F148" s="45" t="str">
        <f>IF($A148="","",ROUND($E148*IF(품목목록!$E145="",0,품목목록!$E145),0))</f>
        <v/>
      </c>
    </row>
    <row r="149" ht="15" customHeight="1" s="30">
      <c r="A149" s="40" t="str">
        <f>IF(품목목록!$A146="","",IF(품목목록!$F146="세트","",품목목록!$A146))</f>
        <v/>
      </c>
      <c r="B149" s="40" t="str">
        <f>IF($A149="","",품목목록!$B146)</f>
        <v/>
      </c>
      <c r="C149" s="40" t="str">
        <f>IF($A149="","",품목목록!$C146)</f>
        <v/>
      </c>
      <c r="D149" s="40" t="str">
        <f>IF($A149="","",품목목록!$D146)</f>
        <v/>
      </c>
      <c r="E149" s="49" t="str">
        <f>IF($A149="","",SUMIFS(전개결과!$N$6:$N$1205,전개결과!$M$6:$M$1205,$A149))</f>
        <v/>
      </c>
      <c r="F149" s="45" t="str">
        <f>IF($A149="","",ROUND($E149*IF(품목목록!$E146="",0,품목목록!$E146),0))</f>
        <v/>
      </c>
    </row>
    <row r="150" ht="15" customHeight="1" s="30">
      <c r="A150" s="40" t="str">
        <f>IF(품목목록!$A147="","",IF(품목목록!$F147="세트","",품목목록!$A147))</f>
        <v/>
      </c>
      <c r="B150" s="40" t="str">
        <f>IF($A150="","",품목목록!$B147)</f>
        <v/>
      </c>
      <c r="C150" s="40" t="str">
        <f>IF($A150="","",품목목록!$C147)</f>
        <v/>
      </c>
      <c r="D150" s="40" t="str">
        <f>IF($A150="","",품목목록!$D147)</f>
        <v/>
      </c>
      <c r="E150" s="49" t="str">
        <f>IF($A150="","",SUMIFS(전개결과!$N$6:$N$1205,전개결과!$M$6:$M$1205,$A150))</f>
        <v/>
      </c>
      <c r="F150" s="45" t="str">
        <f>IF($A150="","",ROUND($E150*IF(품목목록!$E147="",0,품목목록!$E147),0))</f>
        <v/>
      </c>
    </row>
    <row r="151" ht="15" customHeight="1" s="30">
      <c r="A151" s="40" t="str">
        <f>IF(품목목록!$A148="","",IF(품목목록!$F148="세트","",품목목록!$A148))</f>
        <v/>
      </c>
      <c r="B151" s="40" t="str">
        <f>IF($A151="","",품목목록!$B148)</f>
        <v/>
      </c>
      <c r="C151" s="40" t="str">
        <f>IF($A151="","",품목목록!$C148)</f>
        <v/>
      </c>
      <c r="D151" s="40" t="str">
        <f>IF($A151="","",품목목록!$D148)</f>
        <v/>
      </c>
      <c r="E151" s="49" t="str">
        <f>IF($A151="","",SUMIFS(전개결과!$N$6:$N$1205,전개결과!$M$6:$M$1205,$A151))</f>
        <v/>
      </c>
      <c r="F151" s="45" t="str">
        <f>IF($A151="","",ROUND($E151*IF(품목목록!$E148="",0,품목목록!$E148),0))</f>
        <v/>
      </c>
    </row>
    <row r="152" ht="15" customHeight="1" s="30">
      <c r="A152" s="40" t="str">
        <f>IF(품목목록!$A149="","",IF(품목목록!$F149="세트","",품목목록!$A149))</f>
        <v/>
      </c>
      <c r="B152" s="40" t="str">
        <f>IF($A152="","",품목목록!$B149)</f>
        <v/>
      </c>
      <c r="C152" s="40" t="str">
        <f>IF($A152="","",품목목록!$C149)</f>
        <v/>
      </c>
      <c r="D152" s="40" t="str">
        <f>IF($A152="","",품목목록!$D149)</f>
        <v/>
      </c>
      <c r="E152" s="49" t="str">
        <f>IF($A152="","",SUMIFS(전개결과!$N$6:$N$1205,전개결과!$M$6:$M$1205,$A152))</f>
        <v/>
      </c>
      <c r="F152" s="45" t="str">
        <f>IF($A152="","",ROUND($E152*IF(품목목록!$E149="",0,품목목록!$E149),0))</f>
        <v/>
      </c>
    </row>
    <row r="153" ht="15" customHeight="1" s="30">
      <c r="A153" s="40" t="str">
        <f>IF(품목목록!$A150="","",IF(품목목록!$F150="세트","",품목목록!$A150))</f>
        <v/>
      </c>
      <c r="B153" s="40" t="str">
        <f>IF($A153="","",품목목록!$B150)</f>
        <v/>
      </c>
      <c r="C153" s="40" t="str">
        <f>IF($A153="","",품목목록!$C150)</f>
        <v/>
      </c>
      <c r="D153" s="40" t="str">
        <f>IF($A153="","",품목목록!$D150)</f>
        <v/>
      </c>
      <c r="E153" s="49" t="str">
        <f>IF($A153="","",SUMIFS(전개결과!$N$6:$N$1205,전개결과!$M$6:$M$1205,$A153))</f>
        <v/>
      </c>
      <c r="F153" s="45" t="str">
        <f>IF($A153="","",ROUND($E153*IF(품목목록!$E150="",0,품목목록!$E150),0))</f>
        <v/>
      </c>
    </row>
    <row r="154" ht="15" customHeight="1" s="30">
      <c r="A154" s="40" t="str">
        <f>IF(품목목록!$A151="","",IF(품목목록!$F151="세트","",품목목록!$A151))</f>
        <v/>
      </c>
      <c r="B154" s="40" t="str">
        <f>IF($A154="","",품목목록!$B151)</f>
        <v/>
      </c>
      <c r="C154" s="40" t="str">
        <f>IF($A154="","",품목목록!$C151)</f>
        <v/>
      </c>
      <c r="D154" s="40" t="str">
        <f>IF($A154="","",품목목록!$D151)</f>
        <v/>
      </c>
      <c r="E154" s="49" t="str">
        <f>IF($A154="","",SUMIFS(전개결과!$N$6:$N$1205,전개결과!$M$6:$M$1205,$A154))</f>
        <v/>
      </c>
      <c r="F154" s="45" t="str">
        <f>IF($A154="","",ROUND($E154*IF(품목목록!$E151="",0,품목목록!$E151),0))</f>
        <v/>
      </c>
    </row>
    <row r="155" ht="15" customHeight="1" s="30">
      <c r="A155" s="40" t="str">
        <f>IF(품목목록!$A152="","",IF(품목목록!$F152="세트","",품목목록!$A152))</f>
        <v/>
      </c>
      <c r="B155" s="40" t="str">
        <f>IF($A155="","",품목목록!$B152)</f>
        <v/>
      </c>
      <c r="C155" s="40" t="str">
        <f>IF($A155="","",품목목록!$C152)</f>
        <v/>
      </c>
      <c r="D155" s="40" t="str">
        <f>IF($A155="","",품목목록!$D152)</f>
        <v/>
      </c>
      <c r="E155" s="49" t="str">
        <f>IF($A155="","",SUMIFS(전개결과!$N$6:$N$1205,전개결과!$M$6:$M$1205,$A155))</f>
        <v/>
      </c>
      <c r="F155" s="45" t="str">
        <f>IF($A155="","",ROUND($E155*IF(품목목록!$E152="",0,품목목록!$E152),0))</f>
        <v/>
      </c>
    </row>
    <row r="156" ht="15" customHeight="1" s="30">
      <c r="A156" s="40" t="str">
        <f>IF(품목목록!$A153="","",IF(품목목록!$F153="세트","",품목목록!$A153))</f>
        <v/>
      </c>
      <c r="B156" s="40" t="str">
        <f>IF($A156="","",품목목록!$B153)</f>
        <v/>
      </c>
      <c r="C156" s="40" t="str">
        <f>IF($A156="","",품목목록!$C153)</f>
        <v/>
      </c>
      <c r="D156" s="40" t="str">
        <f>IF($A156="","",품목목록!$D153)</f>
        <v/>
      </c>
      <c r="E156" s="49" t="str">
        <f>IF($A156="","",SUMIFS(전개결과!$N$6:$N$1205,전개결과!$M$6:$M$1205,$A156))</f>
        <v/>
      </c>
      <c r="F156" s="45" t="str">
        <f>IF($A156="","",ROUND($E156*IF(품목목록!$E153="",0,품목목록!$E153),0))</f>
        <v/>
      </c>
    </row>
    <row r="157" ht="15" customHeight="1" s="30">
      <c r="A157" s="40" t="str">
        <f>IF(품목목록!$A154="","",IF(품목목록!$F154="세트","",품목목록!$A154))</f>
        <v/>
      </c>
      <c r="B157" s="40" t="str">
        <f>IF($A157="","",품목목록!$B154)</f>
        <v/>
      </c>
      <c r="C157" s="40" t="str">
        <f>IF($A157="","",품목목록!$C154)</f>
        <v/>
      </c>
      <c r="D157" s="40" t="str">
        <f>IF($A157="","",품목목록!$D154)</f>
        <v/>
      </c>
      <c r="E157" s="49" t="str">
        <f>IF($A157="","",SUMIFS(전개결과!$N$6:$N$1205,전개결과!$M$6:$M$1205,$A157))</f>
        <v/>
      </c>
      <c r="F157" s="45" t="str">
        <f>IF($A157="","",ROUND($E157*IF(품목목록!$E154="",0,품목목록!$E154),0))</f>
        <v/>
      </c>
    </row>
    <row r="158" ht="15" customHeight="1" s="30">
      <c r="A158" s="40" t="str">
        <f>IF(품목목록!$A155="","",IF(품목목록!$F155="세트","",품목목록!$A155))</f>
        <v/>
      </c>
      <c r="B158" s="40" t="str">
        <f>IF($A158="","",품목목록!$B155)</f>
        <v/>
      </c>
      <c r="C158" s="40" t="str">
        <f>IF($A158="","",품목목록!$C155)</f>
        <v/>
      </c>
      <c r="D158" s="40" t="str">
        <f>IF($A158="","",품목목록!$D155)</f>
        <v/>
      </c>
      <c r="E158" s="49" t="str">
        <f>IF($A158="","",SUMIFS(전개결과!$N$6:$N$1205,전개결과!$M$6:$M$1205,$A158))</f>
        <v/>
      </c>
      <c r="F158" s="45" t="str">
        <f>IF($A158="","",ROUND($E158*IF(품목목록!$E155="",0,품목목록!$E155),0))</f>
        <v/>
      </c>
    </row>
    <row r="159" ht="15" customHeight="1" s="30">
      <c r="A159" s="40" t="str">
        <f>IF(품목목록!$A156="","",IF(품목목록!$F156="세트","",품목목록!$A156))</f>
        <v/>
      </c>
      <c r="B159" s="40" t="str">
        <f>IF($A159="","",품목목록!$B156)</f>
        <v/>
      </c>
      <c r="C159" s="40" t="str">
        <f>IF($A159="","",품목목록!$C156)</f>
        <v/>
      </c>
      <c r="D159" s="40" t="str">
        <f>IF($A159="","",품목목록!$D156)</f>
        <v/>
      </c>
      <c r="E159" s="49" t="str">
        <f>IF($A159="","",SUMIFS(전개결과!$N$6:$N$1205,전개결과!$M$6:$M$1205,$A159))</f>
        <v/>
      </c>
      <c r="F159" s="45" t="str">
        <f>IF($A159="","",ROUND($E159*IF(품목목록!$E156="",0,품목목록!$E156),0))</f>
        <v/>
      </c>
    </row>
    <row r="160" ht="15" customHeight="1" s="30">
      <c r="A160" s="40" t="str">
        <f>IF(품목목록!$A157="","",IF(품목목록!$F157="세트","",품목목록!$A157))</f>
        <v/>
      </c>
      <c r="B160" s="40" t="str">
        <f>IF($A160="","",품목목록!$B157)</f>
        <v/>
      </c>
      <c r="C160" s="40" t="str">
        <f>IF($A160="","",품목목록!$C157)</f>
        <v/>
      </c>
      <c r="D160" s="40" t="str">
        <f>IF($A160="","",품목목록!$D157)</f>
        <v/>
      </c>
      <c r="E160" s="49" t="str">
        <f>IF($A160="","",SUMIFS(전개결과!$N$6:$N$1205,전개결과!$M$6:$M$1205,$A160))</f>
        <v/>
      </c>
      <c r="F160" s="45" t="str">
        <f>IF($A160="","",ROUND($E160*IF(품목목록!$E157="",0,품목목록!$E157),0))</f>
        <v/>
      </c>
    </row>
    <row r="161" ht="15" customHeight="1" s="30">
      <c r="A161" s="40" t="str">
        <f>IF(품목목록!$A158="","",IF(품목목록!$F158="세트","",품목목록!$A158))</f>
        <v/>
      </c>
      <c r="B161" s="40" t="str">
        <f>IF($A161="","",품목목록!$B158)</f>
        <v/>
      </c>
      <c r="C161" s="40" t="str">
        <f>IF($A161="","",품목목록!$C158)</f>
        <v/>
      </c>
      <c r="D161" s="40" t="str">
        <f>IF($A161="","",품목목록!$D158)</f>
        <v/>
      </c>
      <c r="E161" s="49" t="str">
        <f>IF($A161="","",SUMIFS(전개결과!$N$6:$N$1205,전개결과!$M$6:$M$1205,$A161))</f>
        <v/>
      </c>
      <c r="F161" s="45" t="str">
        <f>IF($A161="","",ROUND($E161*IF(품목목록!$E158="",0,품목목록!$E158),0))</f>
        <v/>
      </c>
    </row>
    <row r="162" ht="15" customHeight="1" s="30">
      <c r="A162" s="40" t="str">
        <f>IF(품목목록!$A159="","",IF(품목목록!$F159="세트","",품목목록!$A159))</f>
        <v/>
      </c>
      <c r="B162" s="40" t="str">
        <f>IF($A162="","",품목목록!$B159)</f>
        <v/>
      </c>
      <c r="C162" s="40" t="str">
        <f>IF($A162="","",품목목록!$C159)</f>
        <v/>
      </c>
      <c r="D162" s="40" t="str">
        <f>IF($A162="","",품목목록!$D159)</f>
        <v/>
      </c>
      <c r="E162" s="49" t="str">
        <f>IF($A162="","",SUMIFS(전개결과!$N$6:$N$1205,전개결과!$M$6:$M$1205,$A162))</f>
        <v/>
      </c>
      <c r="F162" s="45" t="str">
        <f>IF($A162="","",ROUND($E162*IF(품목목록!$E159="",0,품목목록!$E159),0))</f>
        <v/>
      </c>
    </row>
    <row r="163" ht="15" customHeight="1" s="30">
      <c r="A163" s="40" t="str">
        <f>IF(품목목록!$A160="","",IF(품목목록!$F160="세트","",품목목록!$A160))</f>
        <v/>
      </c>
      <c r="B163" s="40" t="str">
        <f>IF($A163="","",품목목록!$B160)</f>
        <v/>
      </c>
      <c r="C163" s="40" t="str">
        <f>IF($A163="","",품목목록!$C160)</f>
        <v/>
      </c>
      <c r="D163" s="40" t="str">
        <f>IF($A163="","",품목목록!$D160)</f>
        <v/>
      </c>
      <c r="E163" s="49" t="str">
        <f>IF($A163="","",SUMIFS(전개결과!$N$6:$N$1205,전개결과!$M$6:$M$1205,$A163))</f>
        <v/>
      </c>
      <c r="F163" s="45" t="str">
        <f>IF($A163="","",ROUND($E163*IF(품목목록!$E160="",0,품목목록!$E160),0))</f>
        <v/>
      </c>
    </row>
    <row r="164" ht="15" customHeight="1" s="30">
      <c r="A164" s="40" t="str">
        <f>IF(품목목록!$A161="","",IF(품목목록!$F161="세트","",품목목록!$A161))</f>
        <v/>
      </c>
      <c r="B164" s="40" t="str">
        <f>IF($A164="","",품목목록!$B161)</f>
        <v/>
      </c>
      <c r="C164" s="40" t="str">
        <f>IF($A164="","",품목목록!$C161)</f>
        <v/>
      </c>
      <c r="D164" s="40" t="str">
        <f>IF($A164="","",품목목록!$D161)</f>
        <v/>
      </c>
      <c r="E164" s="49" t="str">
        <f>IF($A164="","",SUMIFS(전개결과!$N$6:$N$1205,전개결과!$M$6:$M$1205,$A164))</f>
        <v/>
      </c>
      <c r="F164" s="45" t="str">
        <f>IF($A164="","",ROUND($E164*IF(품목목록!$E161="",0,품목목록!$E161),0))</f>
        <v/>
      </c>
    </row>
    <row r="165" ht="15" customHeight="1" s="30">
      <c r="A165" s="40" t="str">
        <f>IF(품목목록!$A162="","",IF(품목목록!$F162="세트","",품목목록!$A162))</f>
        <v/>
      </c>
      <c r="B165" s="40" t="str">
        <f>IF($A165="","",품목목록!$B162)</f>
        <v/>
      </c>
      <c r="C165" s="40" t="str">
        <f>IF($A165="","",품목목록!$C162)</f>
        <v/>
      </c>
      <c r="D165" s="40" t="str">
        <f>IF($A165="","",품목목록!$D162)</f>
        <v/>
      </c>
      <c r="E165" s="49" t="str">
        <f>IF($A165="","",SUMIFS(전개결과!$N$6:$N$1205,전개결과!$M$6:$M$1205,$A165))</f>
        <v/>
      </c>
      <c r="F165" s="45" t="str">
        <f>IF($A165="","",ROUND($E165*IF(품목목록!$E162="",0,품목목록!$E162),0))</f>
        <v/>
      </c>
    </row>
    <row r="166" ht="15" customHeight="1" s="30">
      <c r="A166" s="40" t="str">
        <f>IF(품목목록!$A163="","",IF(품목목록!$F163="세트","",품목목록!$A163))</f>
        <v/>
      </c>
      <c r="B166" s="40" t="str">
        <f>IF($A166="","",품목목록!$B163)</f>
        <v/>
      </c>
      <c r="C166" s="40" t="str">
        <f>IF($A166="","",품목목록!$C163)</f>
        <v/>
      </c>
      <c r="D166" s="40" t="str">
        <f>IF($A166="","",품목목록!$D163)</f>
        <v/>
      </c>
      <c r="E166" s="49" t="str">
        <f>IF($A166="","",SUMIFS(전개결과!$N$6:$N$1205,전개결과!$M$6:$M$1205,$A166))</f>
        <v/>
      </c>
      <c r="F166" s="45" t="str">
        <f>IF($A166="","",ROUND($E166*IF(품목목록!$E163="",0,품목목록!$E163),0))</f>
        <v/>
      </c>
    </row>
    <row r="167" ht="15" customHeight="1" s="30">
      <c r="A167" s="40" t="str">
        <f>IF(품목목록!$A164="","",IF(품목목록!$F164="세트","",품목목록!$A164))</f>
        <v/>
      </c>
      <c r="B167" s="40" t="str">
        <f>IF($A167="","",품목목록!$B164)</f>
        <v/>
      </c>
      <c r="C167" s="40" t="str">
        <f>IF($A167="","",품목목록!$C164)</f>
        <v/>
      </c>
      <c r="D167" s="40" t="str">
        <f>IF($A167="","",품목목록!$D164)</f>
        <v/>
      </c>
      <c r="E167" s="49" t="str">
        <f>IF($A167="","",SUMIFS(전개결과!$N$6:$N$1205,전개결과!$M$6:$M$1205,$A167))</f>
        <v/>
      </c>
      <c r="F167" s="45" t="str">
        <f>IF($A167="","",ROUND($E167*IF(품목목록!$E164="",0,품목목록!$E164),0))</f>
        <v/>
      </c>
    </row>
    <row r="168" ht="15" customHeight="1" s="30">
      <c r="A168" s="40" t="str">
        <f>IF(품목목록!$A165="","",IF(품목목록!$F165="세트","",품목목록!$A165))</f>
        <v/>
      </c>
      <c r="B168" s="40" t="str">
        <f>IF($A168="","",품목목록!$B165)</f>
        <v/>
      </c>
      <c r="C168" s="40" t="str">
        <f>IF($A168="","",품목목록!$C165)</f>
        <v/>
      </c>
      <c r="D168" s="40" t="str">
        <f>IF($A168="","",품목목록!$D165)</f>
        <v/>
      </c>
      <c r="E168" s="49" t="str">
        <f>IF($A168="","",SUMIFS(전개결과!$N$6:$N$1205,전개결과!$M$6:$M$1205,$A168))</f>
        <v/>
      </c>
      <c r="F168" s="45" t="str">
        <f>IF($A168="","",ROUND($E168*IF(품목목록!$E165="",0,품목목록!$E165),0))</f>
        <v/>
      </c>
    </row>
    <row r="169" ht="15" customHeight="1" s="30">
      <c r="A169" s="40" t="str">
        <f>IF(품목목록!$A166="","",IF(품목목록!$F166="세트","",품목목록!$A166))</f>
        <v/>
      </c>
      <c r="B169" s="40" t="str">
        <f>IF($A169="","",품목목록!$B166)</f>
        <v/>
      </c>
      <c r="C169" s="40" t="str">
        <f>IF($A169="","",품목목록!$C166)</f>
        <v/>
      </c>
      <c r="D169" s="40" t="str">
        <f>IF($A169="","",품목목록!$D166)</f>
        <v/>
      </c>
      <c r="E169" s="49" t="str">
        <f>IF($A169="","",SUMIFS(전개결과!$N$6:$N$1205,전개결과!$M$6:$M$1205,$A169))</f>
        <v/>
      </c>
      <c r="F169" s="45" t="str">
        <f>IF($A169="","",ROUND($E169*IF(품목목록!$E166="",0,품목목록!$E166),0))</f>
        <v/>
      </c>
    </row>
    <row r="170" ht="15" customHeight="1" s="30">
      <c r="A170" s="40" t="str">
        <f>IF(품목목록!$A167="","",IF(품목목록!$F167="세트","",품목목록!$A167))</f>
        <v/>
      </c>
      <c r="B170" s="40" t="str">
        <f>IF($A170="","",품목목록!$B167)</f>
        <v/>
      </c>
      <c r="C170" s="40" t="str">
        <f>IF($A170="","",품목목록!$C167)</f>
        <v/>
      </c>
      <c r="D170" s="40" t="str">
        <f>IF($A170="","",품목목록!$D167)</f>
        <v/>
      </c>
      <c r="E170" s="49" t="str">
        <f>IF($A170="","",SUMIFS(전개결과!$N$6:$N$1205,전개결과!$M$6:$M$1205,$A170))</f>
        <v/>
      </c>
      <c r="F170" s="45" t="str">
        <f>IF($A170="","",ROUND($E170*IF(품목목록!$E167="",0,품목목록!$E167),0))</f>
        <v/>
      </c>
    </row>
    <row r="171" ht="15" customHeight="1" s="30">
      <c r="A171" s="40" t="str">
        <f>IF(품목목록!$A168="","",IF(품목목록!$F168="세트","",품목목록!$A168))</f>
        <v/>
      </c>
      <c r="B171" s="40" t="str">
        <f>IF($A171="","",품목목록!$B168)</f>
        <v/>
      </c>
      <c r="C171" s="40" t="str">
        <f>IF($A171="","",품목목록!$C168)</f>
        <v/>
      </c>
      <c r="D171" s="40" t="str">
        <f>IF($A171="","",품목목록!$D168)</f>
        <v/>
      </c>
      <c r="E171" s="49" t="str">
        <f>IF($A171="","",SUMIFS(전개결과!$N$6:$N$1205,전개결과!$M$6:$M$1205,$A171))</f>
        <v/>
      </c>
      <c r="F171" s="45" t="str">
        <f>IF($A171="","",ROUND($E171*IF(품목목록!$E168="",0,품목목록!$E168),0))</f>
        <v/>
      </c>
    </row>
    <row r="172" ht="15" customHeight="1" s="30">
      <c r="A172" s="40" t="str">
        <f>IF(품목목록!$A169="","",IF(품목목록!$F169="세트","",품목목록!$A169))</f>
        <v/>
      </c>
      <c r="B172" s="40" t="str">
        <f>IF($A172="","",품목목록!$B169)</f>
        <v/>
      </c>
      <c r="C172" s="40" t="str">
        <f>IF($A172="","",품목목록!$C169)</f>
        <v/>
      </c>
      <c r="D172" s="40" t="str">
        <f>IF($A172="","",품목목록!$D169)</f>
        <v/>
      </c>
      <c r="E172" s="49" t="str">
        <f>IF($A172="","",SUMIFS(전개결과!$N$6:$N$1205,전개결과!$M$6:$M$1205,$A172))</f>
        <v/>
      </c>
      <c r="F172" s="45" t="str">
        <f>IF($A172="","",ROUND($E172*IF(품목목록!$E169="",0,품목목록!$E169),0))</f>
        <v/>
      </c>
    </row>
    <row r="173" ht="15" customHeight="1" s="30">
      <c r="A173" s="40" t="str">
        <f>IF(품목목록!$A170="","",IF(품목목록!$F170="세트","",품목목록!$A170))</f>
        <v/>
      </c>
      <c r="B173" s="40" t="str">
        <f>IF($A173="","",품목목록!$B170)</f>
        <v/>
      </c>
      <c r="C173" s="40" t="str">
        <f>IF($A173="","",품목목록!$C170)</f>
        <v/>
      </c>
      <c r="D173" s="40" t="str">
        <f>IF($A173="","",품목목록!$D170)</f>
        <v/>
      </c>
      <c r="E173" s="49" t="str">
        <f>IF($A173="","",SUMIFS(전개결과!$N$6:$N$1205,전개결과!$M$6:$M$1205,$A173))</f>
        <v/>
      </c>
      <c r="F173" s="45" t="str">
        <f>IF($A173="","",ROUND($E173*IF(품목목록!$E170="",0,품목목록!$E170),0))</f>
        <v/>
      </c>
    </row>
    <row r="174" ht="15" customHeight="1" s="30">
      <c r="A174" s="40" t="str">
        <f>IF(품목목록!$A171="","",IF(품목목록!$F171="세트","",품목목록!$A171))</f>
        <v/>
      </c>
      <c r="B174" s="40" t="str">
        <f>IF($A174="","",품목목록!$B171)</f>
        <v/>
      </c>
      <c r="C174" s="40" t="str">
        <f>IF($A174="","",품목목록!$C171)</f>
        <v/>
      </c>
      <c r="D174" s="40" t="str">
        <f>IF($A174="","",품목목록!$D171)</f>
        <v/>
      </c>
      <c r="E174" s="49" t="str">
        <f>IF($A174="","",SUMIFS(전개결과!$N$6:$N$1205,전개결과!$M$6:$M$1205,$A174))</f>
        <v/>
      </c>
      <c r="F174" s="45" t="str">
        <f>IF($A174="","",ROUND($E174*IF(품목목록!$E171="",0,품목목록!$E171),0))</f>
        <v/>
      </c>
    </row>
    <row r="175" ht="15" customHeight="1" s="30">
      <c r="A175" s="40" t="str">
        <f>IF(품목목록!$A172="","",IF(품목목록!$F172="세트","",품목목록!$A172))</f>
        <v/>
      </c>
      <c r="B175" s="40" t="str">
        <f>IF($A175="","",품목목록!$B172)</f>
        <v/>
      </c>
      <c r="C175" s="40" t="str">
        <f>IF($A175="","",품목목록!$C172)</f>
        <v/>
      </c>
      <c r="D175" s="40" t="str">
        <f>IF($A175="","",품목목록!$D172)</f>
        <v/>
      </c>
      <c r="E175" s="49" t="str">
        <f>IF($A175="","",SUMIFS(전개결과!$N$6:$N$1205,전개결과!$M$6:$M$1205,$A175))</f>
        <v/>
      </c>
      <c r="F175" s="45" t="str">
        <f>IF($A175="","",ROUND($E175*IF(품목목록!$E172="",0,품목목록!$E172),0))</f>
        <v/>
      </c>
    </row>
    <row r="176" ht="15" customHeight="1" s="30">
      <c r="A176" s="40" t="str">
        <f>IF(품목목록!$A173="","",IF(품목목록!$F173="세트","",품목목록!$A173))</f>
        <v/>
      </c>
      <c r="B176" s="40" t="str">
        <f>IF($A176="","",품목목록!$B173)</f>
        <v/>
      </c>
      <c r="C176" s="40" t="str">
        <f>IF($A176="","",품목목록!$C173)</f>
        <v/>
      </c>
      <c r="D176" s="40" t="str">
        <f>IF($A176="","",품목목록!$D173)</f>
        <v/>
      </c>
      <c r="E176" s="49" t="str">
        <f>IF($A176="","",SUMIFS(전개결과!$N$6:$N$1205,전개결과!$M$6:$M$1205,$A176))</f>
        <v/>
      </c>
      <c r="F176" s="45" t="str">
        <f>IF($A176="","",ROUND($E176*IF(품목목록!$E173="",0,품목목록!$E173),0))</f>
        <v/>
      </c>
    </row>
    <row r="177" ht="15" customHeight="1" s="30">
      <c r="A177" s="40" t="str">
        <f>IF(품목목록!$A174="","",IF(품목목록!$F174="세트","",품목목록!$A174))</f>
        <v/>
      </c>
      <c r="B177" s="40" t="str">
        <f>IF($A177="","",품목목록!$B174)</f>
        <v/>
      </c>
      <c r="C177" s="40" t="str">
        <f>IF($A177="","",품목목록!$C174)</f>
        <v/>
      </c>
      <c r="D177" s="40" t="str">
        <f>IF($A177="","",품목목록!$D174)</f>
        <v/>
      </c>
      <c r="E177" s="49" t="str">
        <f>IF($A177="","",SUMIFS(전개결과!$N$6:$N$1205,전개결과!$M$6:$M$1205,$A177))</f>
        <v/>
      </c>
      <c r="F177" s="45" t="str">
        <f>IF($A177="","",ROUND($E177*IF(품목목록!$E174="",0,품목목록!$E174),0))</f>
        <v/>
      </c>
    </row>
    <row r="178" ht="15" customHeight="1" s="30">
      <c r="A178" s="40" t="str">
        <f>IF(품목목록!$A175="","",IF(품목목록!$F175="세트","",품목목록!$A175))</f>
        <v/>
      </c>
      <c r="B178" s="40" t="str">
        <f>IF($A178="","",품목목록!$B175)</f>
        <v/>
      </c>
      <c r="C178" s="40" t="str">
        <f>IF($A178="","",품목목록!$C175)</f>
        <v/>
      </c>
      <c r="D178" s="40" t="str">
        <f>IF($A178="","",품목목록!$D175)</f>
        <v/>
      </c>
      <c r="E178" s="49" t="str">
        <f>IF($A178="","",SUMIFS(전개결과!$N$6:$N$1205,전개결과!$M$6:$M$1205,$A178))</f>
        <v/>
      </c>
      <c r="F178" s="45" t="str">
        <f>IF($A178="","",ROUND($E178*IF(품목목록!$E175="",0,품목목록!$E175),0))</f>
        <v/>
      </c>
    </row>
    <row r="179" ht="15" customHeight="1" s="30">
      <c r="A179" s="40" t="str">
        <f>IF(품목목록!$A176="","",IF(품목목록!$F176="세트","",품목목록!$A176))</f>
        <v/>
      </c>
      <c r="B179" s="40" t="str">
        <f>IF($A179="","",품목목록!$B176)</f>
        <v/>
      </c>
      <c r="C179" s="40" t="str">
        <f>IF($A179="","",품목목록!$C176)</f>
        <v/>
      </c>
      <c r="D179" s="40" t="str">
        <f>IF($A179="","",품목목록!$D176)</f>
        <v/>
      </c>
      <c r="E179" s="49" t="str">
        <f>IF($A179="","",SUMIFS(전개결과!$N$6:$N$1205,전개결과!$M$6:$M$1205,$A179))</f>
        <v/>
      </c>
      <c r="F179" s="45" t="str">
        <f>IF($A179="","",ROUND($E179*IF(품목목록!$E176="",0,품목목록!$E176),0))</f>
        <v/>
      </c>
    </row>
    <row r="180" ht="15" customHeight="1" s="30">
      <c r="A180" s="40" t="str">
        <f>IF(품목목록!$A177="","",IF(품목목록!$F177="세트","",품목목록!$A177))</f>
        <v/>
      </c>
      <c r="B180" s="40" t="str">
        <f>IF($A180="","",품목목록!$B177)</f>
        <v/>
      </c>
      <c r="C180" s="40" t="str">
        <f>IF($A180="","",품목목록!$C177)</f>
        <v/>
      </c>
      <c r="D180" s="40" t="str">
        <f>IF($A180="","",품목목록!$D177)</f>
        <v/>
      </c>
      <c r="E180" s="49" t="str">
        <f>IF($A180="","",SUMIFS(전개결과!$N$6:$N$1205,전개결과!$M$6:$M$1205,$A180))</f>
        <v/>
      </c>
      <c r="F180" s="45" t="str">
        <f>IF($A180="","",ROUND($E180*IF(품목목록!$E177="",0,품목목록!$E177),0))</f>
        <v/>
      </c>
    </row>
    <row r="181" ht="15" customHeight="1" s="30">
      <c r="A181" s="40" t="str">
        <f>IF(품목목록!$A178="","",IF(품목목록!$F178="세트","",품목목록!$A178))</f>
        <v/>
      </c>
      <c r="B181" s="40" t="str">
        <f>IF($A181="","",품목목록!$B178)</f>
        <v/>
      </c>
      <c r="C181" s="40" t="str">
        <f>IF($A181="","",품목목록!$C178)</f>
        <v/>
      </c>
      <c r="D181" s="40" t="str">
        <f>IF($A181="","",품목목록!$D178)</f>
        <v/>
      </c>
      <c r="E181" s="49" t="str">
        <f>IF($A181="","",SUMIFS(전개결과!$N$6:$N$1205,전개결과!$M$6:$M$1205,$A181))</f>
        <v/>
      </c>
      <c r="F181" s="45" t="str">
        <f>IF($A181="","",ROUND($E181*IF(품목목록!$E178="",0,품목목록!$E178),0))</f>
        <v/>
      </c>
    </row>
    <row r="182" ht="15" customHeight="1" s="30">
      <c r="A182" s="40" t="str">
        <f>IF(품목목록!$A179="","",IF(품목목록!$F179="세트","",품목목록!$A179))</f>
        <v/>
      </c>
      <c r="B182" s="40" t="str">
        <f>IF($A182="","",품목목록!$B179)</f>
        <v/>
      </c>
      <c r="C182" s="40" t="str">
        <f>IF($A182="","",품목목록!$C179)</f>
        <v/>
      </c>
      <c r="D182" s="40" t="str">
        <f>IF($A182="","",품목목록!$D179)</f>
        <v/>
      </c>
      <c r="E182" s="49" t="str">
        <f>IF($A182="","",SUMIFS(전개결과!$N$6:$N$1205,전개결과!$M$6:$M$1205,$A182))</f>
        <v/>
      </c>
      <c r="F182" s="45" t="str">
        <f>IF($A182="","",ROUND($E182*IF(품목목록!$E179="",0,품목목록!$E179),0))</f>
        <v/>
      </c>
    </row>
    <row r="183" ht="15" customHeight="1" s="30">
      <c r="A183" s="40" t="str">
        <f>IF(품목목록!$A180="","",IF(품목목록!$F180="세트","",품목목록!$A180))</f>
        <v/>
      </c>
      <c r="B183" s="40" t="str">
        <f>IF($A183="","",품목목록!$B180)</f>
        <v/>
      </c>
      <c r="C183" s="40" t="str">
        <f>IF($A183="","",품목목록!$C180)</f>
        <v/>
      </c>
      <c r="D183" s="40" t="str">
        <f>IF($A183="","",품목목록!$D180)</f>
        <v/>
      </c>
      <c r="E183" s="49" t="str">
        <f>IF($A183="","",SUMIFS(전개결과!$N$6:$N$1205,전개결과!$M$6:$M$1205,$A183))</f>
        <v/>
      </c>
      <c r="F183" s="45" t="str">
        <f>IF($A183="","",ROUND($E183*IF(품목목록!$E180="",0,품목목록!$E180),0))</f>
        <v/>
      </c>
    </row>
    <row r="184" ht="15" customHeight="1" s="30">
      <c r="A184" s="40" t="str">
        <f>IF(품목목록!$A181="","",IF(품목목록!$F181="세트","",품목목록!$A181))</f>
        <v/>
      </c>
      <c r="B184" s="40" t="str">
        <f>IF($A184="","",품목목록!$B181)</f>
        <v/>
      </c>
      <c r="C184" s="40" t="str">
        <f>IF($A184="","",품목목록!$C181)</f>
        <v/>
      </c>
      <c r="D184" s="40" t="str">
        <f>IF($A184="","",품목목록!$D181)</f>
        <v/>
      </c>
      <c r="E184" s="49" t="str">
        <f>IF($A184="","",SUMIFS(전개결과!$N$6:$N$1205,전개결과!$M$6:$M$1205,$A184))</f>
        <v/>
      </c>
      <c r="F184" s="45" t="str">
        <f>IF($A184="","",ROUND($E184*IF(품목목록!$E181="",0,품목목록!$E181),0))</f>
        <v/>
      </c>
    </row>
    <row r="185" ht="15" customHeight="1" s="30">
      <c r="A185" s="40" t="str">
        <f>IF(품목목록!$A182="","",IF(품목목록!$F182="세트","",품목목록!$A182))</f>
        <v/>
      </c>
      <c r="B185" s="40" t="str">
        <f>IF($A185="","",품목목록!$B182)</f>
        <v/>
      </c>
      <c r="C185" s="40" t="str">
        <f>IF($A185="","",품목목록!$C182)</f>
        <v/>
      </c>
      <c r="D185" s="40" t="str">
        <f>IF($A185="","",품목목록!$D182)</f>
        <v/>
      </c>
      <c r="E185" s="49" t="str">
        <f>IF($A185="","",SUMIFS(전개결과!$N$6:$N$1205,전개결과!$M$6:$M$1205,$A185))</f>
        <v/>
      </c>
      <c r="F185" s="45" t="str">
        <f>IF($A185="","",ROUND($E185*IF(품목목록!$E182="",0,품목목록!$E182),0))</f>
        <v/>
      </c>
    </row>
    <row r="186" ht="15" customHeight="1" s="30">
      <c r="A186" s="40" t="str">
        <f>IF(품목목록!$A183="","",IF(품목목록!$F183="세트","",품목목록!$A183))</f>
        <v/>
      </c>
      <c r="B186" s="40" t="str">
        <f>IF($A186="","",품목목록!$B183)</f>
        <v/>
      </c>
      <c r="C186" s="40" t="str">
        <f>IF($A186="","",품목목록!$C183)</f>
        <v/>
      </c>
      <c r="D186" s="40" t="str">
        <f>IF($A186="","",품목목록!$D183)</f>
        <v/>
      </c>
      <c r="E186" s="49" t="str">
        <f>IF($A186="","",SUMIFS(전개결과!$N$6:$N$1205,전개결과!$M$6:$M$1205,$A186))</f>
        <v/>
      </c>
      <c r="F186" s="45" t="str">
        <f>IF($A186="","",ROUND($E186*IF(품목목록!$E183="",0,품목목록!$E183),0))</f>
        <v/>
      </c>
    </row>
    <row r="187" ht="15" customHeight="1" s="30">
      <c r="A187" s="40" t="str">
        <f>IF(품목목록!$A184="","",IF(품목목록!$F184="세트","",품목목록!$A184))</f>
        <v/>
      </c>
      <c r="B187" s="40" t="str">
        <f>IF($A187="","",품목목록!$B184)</f>
        <v/>
      </c>
      <c r="C187" s="40" t="str">
        <f>IF($A187="","",품목목록!$C184)</f>
        <v/>
      </c>
      <c r="D187" s="40" t="str">
        <f>IF($A187="","",품목목록!$D184)</f>
        <v/>
      </c>
      <c r="E187" s="49" t="str">
        <f>IF($A187="","",SUMIFS(전개결과!$N$6:$N$1205,전개결과!$M$6:$M$1205,$A187))</f>
        <v/>
      </c>
      <c r="F187" s="45" t="str">
        <f>IF($A187="","",ROUND($E187*IF(품목목록!$E184="",0,품목목록!$E184),0))</f>
        <v/>
      </c>
    </row>
    <row r="188" ht="15" customHeight="1" s="30">
      <c r="A188" s="40" t="str">
        <f>IF(품목목록!$A185="","",IF(품목목록!$F185="세트","",품목목록!$A185))</f>
        <v/>
      </c>
      <c r="B188" s="40" t="str">
        <f>IF($A188="","",품목목록!$B185)</f>
        <v/>
      </c>
      <c r="C188" s="40" t="str">
        <f>IF($A188="","",품목목록!$C185)</f>
        <v/>
      </c>
      <c r="D188" s="40" t="str">
        <f>IF($A188="","",품목목록!$D185)</f>
        <v/>
      </c>
      <c r="E188" s="49" t="str">
        <f>IF($A188="","",SUMIFS(전개결과!$N$6:$N$1205,전개결과!$M$6:$M$1205,$A188))</f>
        <v/>
      </c>
      <c r="F188" s="45" t="str">
        <f>IF($A188="","",ROUND($E188*IF(품목목록!$E185="",0,품목목록!$E185),0))</f>
        <v/>
      </c>
    </row>
    <row r="189" ht="15" customHeight="1" s="30">
      <c r="A189" s="40" t="str">
        <f>IF(품목목록!$A186="","",IF(품목목록!$F186="세트","",품목목록!$A186))</f>
        <v/>
      </c>
      <c r="B189" s="40" t="str">
        <f>IF($A189="","",품목목록!$B186)</f>
        <v/>
      </c>
      <c r="C189" s="40" t="str">
        <f>IF($A189="","",품목목록!$C186)</f>
        <v/>
      </c>
      <c r="D189" s="40" t="str">
        <f>IF($A189="","",품목목록!$D186)</f>
        <v/>
      </c>
      <c r="E189" s="49" t="str">
        <f>IF($A189="","",SUMIFS(전개결과!$N$6:$N$1205,전개결과!$M$6:$M$1205,$A189))</f>
        <v/>
      </c>
      <c r="F189" s="45" t="str">
        <f>IF($A189="","",ROUND($E189*IF(품목목록!$E186="",0,품목목록!$E186),0))</f>
        <v/>
      </c>
    </row>
    <row r="190" ht="15" customHeight="1" s="30">
      <c r="A190" s="40" t="str">
        <f>IF(품목목록!$A187="","",IF(품목목록!$F187="세트","",품목목록!$A187))</f>
        <v/>
      </c>
      <c r="B190" s="40" t="str">
        <f>IF($A190="","",품목목록!$B187)</f>
        <v/>
      </c>
      <c r="C190" s="40" t="str">
        <f>IF($A190="","",품목목록!$C187)</f>
        <v/>
      </c>
      <c r="D190" s="40" t="str">
        <f>IF($A190="","",품목목록!$D187)</f>
        <v/>
      </c>
      <c r="E190" s="49" t="str">
        <f>IF($A190="","",SUMIFS(전개결과!$N$6:$N$1205,전개결과!$M$6:$M$1205,$A190))</f>
        <v/>
      </c>
      <c r="F190" s="45" t="str">
        <f>IF($A190="","",ROUND($E190*IF(품목목록!$E187="",0,품목목록!$E187),0))</f>
        <v/>
      </c>
    </row>
    <row r="191" ht="15" customHeight="1" s="30">
      <c r="A191" s="40" t="str">
        <f>IF(품목목록!$A188="","",IF(품목목록!$F188="세트","",품목목록!$A188))</f>
        <v/>
      </c>
      <c r="B191" s="40" t="str">
        <f>IF($A191="","",품목목록!$B188)</f>
        <v/>
      </c>
      <c r="C191" s="40" t="str">
        <f>IF($A191="","",품목목록!$C188)</f>
        <v/>
      </c>
      <c r="D191" s="40" t="str">
        <f>IF($A191="","",품목목록!$D188)</f>
        <v/>
      </c>
      <c r="E191" s="49" t="str">
        <f>IF($A191="","",SUMIFS(전개결과!$N$6:$N$1205,전개결과!$M$6:$M$1205,$A191))</f>
        <v/>
      </c>
      <c r="F191" s="45" t="str">
        <f>IF($A191="","",ROUND($E191*IF(품목목록!$E188="",0,품목목록!$E188),0))</f>
        <v/>
      </c>
    </row>
    <row r="192" ht="15" customHeight="1" s="30">
      <c r="A192" s="40" t="str">
        <f>IF(품목목록!$A189="","",IF(품목목록!$F189="세트","",품목목록!$A189))</f>
        <v/>
      </c>
      <c r="B192" s="40" t="str">
        <f>IF($A192="","",품목목록!$B189)</f>
        <v/>
      </c>
      <c r="C192" s="40" t="str">
        <f>IF($A192="","",품목목록!$C189)</f>
        <v/>
      </c>
      <c r="D192" s="40" t="str">
        <f>IF($A192="","",품목목록!$D189)</f>
        <v/>
      </c>
      <c r="E192" s="49" t="str">
        <f>IF($A192="","",SUMIFS(전개결과!$N$6:$N$1205,전개결과!$M$6:$M$1205,$A192))</f>
        <v/>
      </c>
      <c r="F192" s="45" t="str">
        <f>IF($A192="","",ROUND($E192*IF(품목목록!$E189="",0,품목목록!$E189),0))</f>
        <v/>
      </c>
    </row>
    <row r="193" ht="15" customHeight="1" s="30">
      <c r="A193" s="40" t="str">
        <f>IF(품목목록!$A190="","",IF(품목목록!$F190="세트","",품목목록!$A190))</f>
        <v/>
      </c>
      <c r="B193" s="40" t="str">
        <f>IF($A193="","",품목목록!$B190)</f>
        <v/>
      </c>
      <c r="C193" s="40" t="str">
        <f>IF($A193="","",품목목록!$C190)</f>
        <v/>
      </c>
      <c r="D193" s="40" t="str">
        <f>IF($A193="","",품목목록!$D190)</f>
        <v/>
      </c>
      <c r="E193" s="49" t="str">
        <f>IF($A193="","",SUMIFS(전개결과!$N$6:$N$1205,전개결과!$M$6:$M$1205,$A193))</f>
        <v/>
      </c>
      <c r="F193" s="45" t="str">
        <f>IF($A193="","",ROUND($E193*IF(품목목록!$E190="",0,품목목록!$E190),0))</f>
        <v/>
      </c>
    </row>
    <row r="194" ht="15" customHeight="1" s="30">
      <c r="A194" s="40" t="str">
        <f>IF(품목목록!$A191="","",IF(품목목록!$F191="세트","",품목목록!$A191))</f>
        <v/>
      </c>
      <c r="B194" s="40" t="str">
        <f>IF($A194="","",품목목록!$B191)</f>
        <v/>
      </c>
      <c r="C194" s="40" t="str">
        <f>IF($A194="","",품목목록!$C191)</f>
        <v/>
      </c>
      <c r="D194" s="40" t="str">
        <f>IF($A194="","",품목목록!$D191)</f>
        <v/>
      </c>
      <c r="E194" s="49" t="str">
        <f>IF($A194="","",SUMIFS(전개결과!$N$6:$N$1205,전개결과!$M$6:$M$1205,$A194))</f>
        <v/>
      </c>
      <c r="F194" s="45" t="str">
        <f>IF($A194="","",ROUND($E194*IF(품목목록!$E191="",0,품목목록!$E191),0))</f>
        <v/>
      </c>
    </row>
    <row r="195" ht="15" customHeight="1" s="30">
      <c r="A195" s="40" t="str">
        <f>IF(품목목록!$A192="","",IF(품목목록!$F192="세트","",품목목록!$A192))</f>
        <v/>
      </c>
      <c r="B195" s="40" t="str">
        <f>IF($A195="","",품목목록!$B192)</f>
        <v/>
      </c>
      <c r="C195" s="40" t="str">
        <f>IF($A195="","",품목목록!$C192)</f>
        <v/>
      </c>
      <c r="D195" s="40" t="str">
        <f>IF($A195="","",품목목록!$D192)</f>
        <v/>
      </c>
      <c r="E195" s="49" t="str">
        <f>IF($A195="","",SUMIFS(전개결과!$N$6:$N$1205,전개결과!$M$6:$M$1205,$A195))</f>
        <v/>
      </c>
      <c r="F195" s="45" t="str">
        <f>IF($A195="","",ROUND($E195*IF(품목목록!$E192="",0,품목목록!$E192),0))</f>
        <v/>
      </c>
    </row>
    <row r="196" ht="15" customHeight="1" s="30">
      <c r="A196" s="40" t="str">
        <f>IF(품목목록!$A193="","",IF(품목목록!$F193="세트","",품목목록!$A193))</f>
        <v/>
      </c>
      <c r="B196" s="40" t="str">
        <f>IF($A196="","",품목목록!$B193)</f>
        <v/>
      </c>
      <c r="C196" s="40" t="str">
        <f>IF($A196="","",품목목록!$C193)</f>
        <v/>
      </c>
      <c r="D196" s="40" t="str">
        <f>IF($A196="","",품목목록!$D193)</f>
        <v/>
      </c>
      <c r="E196" s="49" t="str">
        <f>IF($A196="","",SUMIFS(전개결과!$N$6:$N$1205,전개결과!$M$6:$M$1205,$A196))</f>
        <v/>
      </c>
      <c r="F196" s="45" t="str">
        <f>IF($A196="","",ROUND($E196*IF(품목목록!$E193="",0,품목목록!$E193),0))</f>
        <v/>
      </c>
    </row>
    <row r="197" ht="15" customHeight="1" s="30">
      <c r="A197" s="40" t="str">
        <f>IF(품목목록!$A194="","",IF(품목목록!$F194="세트","",품목목록!$A194))</f>
        <v/>
      </c>
      <c r="B197" s="40" t="str">
        <f>IF($A197="","",품목목록!$B194)</f>
        <v/>
      </c>
      <c r="C197" s="40" t="str">
        <f>IF($A197="","",품목목록!$C194)</f>
        <v/>
      </c>
      <c r="D197" s="40" t="str">
        <f>IF($A197="","",품목목록!$D194)</f>
        <v/>
      </c>
      <c r="E197" s="49" t="str">
        <f>IF($A197="","",SUMIFS(전개결과!$N$6:$N$1205,전개결과!$M$6:$M$1205,$A197))</f>
        <v/>
      </c>
      <c r="F197" s="45" t="str">
        <f>IF($A197="","",ROUND($E197*IF(품목목록!$E194="",0,품목목록!$E194),0))</f>
        <v/>
      </c>
    </row>
    <row r="198" ht="15" customHeight="1" s="30">
      <c r="A198" s="40" t="str">
        <f>IF(품목목록!$A195="","",IF(품목목록!$F195="세트","",품목목록!$A195))</f>
        <v/>
      </c>
      <c r="B198" s="40" t="str">
        <f>IF($A198="","",품목목록!$B195)</f>
        <v/>
      </c>
      <c r="C198" s="40" t="str">
        <f>IF($A198="","",품목목록!$C195)</f>
        <v/>
      </c>
      <c r="D198" s="40" t="str">
        <f>IF($A198="","",품목목록!$D195)</f>
        <v/>
      </c>
      <c r="E198" s="49" t="str">
        <f>IF($A198="","",SUMIFS(전개결과!$N$6:$N$1205,전개결과!$M$6:$M$1205,$A198))</f>
        <v/>
      </c>
      <c r="F198" s="45" t="str">
        <f>IF($A198="","",ROUND($E198*IF(품목목록!$E195="",0,품목목록!$E195),0))</f>
        <v/>
      </c>
    </row>
    <row r="199" ht="15" customHeight="1" s="30">
      <c r="A199" s="40" t="str">
        <f>IF(품목목록!$A196="","",IF(품목목록!$F196="세트","",품목목록!$A196))</f>
        <v/>
      </c>
      <c r="B199" s="40" t="str">
        <f>IF($A199="","",품목목록!$B196)</f>
        <v/>
      </c>
      <c r="C199" s="40" t="str">
        <f>IF($A199="","",품목목록!$C196)</f>
        <v/>
      </c>
      <c r="D199" s="40" t="str">
        <f>IF($A199="","",품목목록!$D196)</f>
        <v/>
      </c>
      <c r="E199" s="49" t="str">
        <f>IF($A199="","",SUMIFS(전개결과!$N$6:$N$1205,전개결과!$M$6:$M$1205,$A199))</f>
        <v/>
      </c>
      <c r="F199" s="45" t="str">
        <f>IF($A199="","",ROUND($E199*IF(품목목록!$E196="",0,품목목록!$E196),0))</f>
        <v/>
      </c>
    </row>
    <row r="200" ht="15" customHeight="1" s="30">
      <c r="A200" s="40" t="str">
        <f>IF(품목목록!$A197="","",IF(품목목록!$F197="세트","",품목목록!$A197))</f>
        <v/>
      </c>
      <c r="B200" s="40" t="str">
        <f>IF($A200="","",품목목록!$B197)</f>
        <v/>
      </c>
      <c r="C200" s="40" t="str">
        <f>IF($A200="","",품목목록!$C197)</f>
        <v/>
      </c>
      <c r="D200" s="40" t="str">
        <f>IF($A200="","",품목목록!$D197)</f>
        <v/>
      </c>
      <c r="E200" s="49" t="str">
        <f>IF($A200="","",SUMIFS(전개결과!$N$6:$N$1205,전개결과!$M$6:$M$1205,$A200))</f>
        <v/>
      </c>
      <c r="F200" s="45" t="str">
        <f>IF($A200="","",ROUND($E200*IF(품목목록!$E197="",0,품목목록!$E197),0))</f>
        <v/>
      </c>
    </row>
    <row r="201" ht="15" customHeight="1" s="30">
      <c r="A201" s="40" t="str">
        <f>IF(품목목록!$A198="","",IF(품목목록!$F198="세트","",품목목록!$A198))</f>
        <v/>
      </c>
      <c r="B201" s="40" t="str">
        <f>IF($A201="","",품목목록!$B198)</f>
        <v/>
      </c>
      <c r="C201" s="40" t="str">
        <f>IF($A201="","",품목목록!$C198)</f>
        <v/>
      </c>
      <c r="D201" s="40" t="str">
        <f>IF($A201="","",품목목록!$D198)</f>
        <v/>
      </c>
      <c r="E201" s="49" t="str">
        <f>IF($A201="","",SUMIFS(전개결과!$N$6:$N$1205,전개결과!$M$6:$M$1205,$A201))</f>
        <v/>
      </c>
      <c r="F201" s="45" t="str">
        <f>IF($A201="","",ROUND($E201*IF(품목목록!$E198="",0,품목목록!$E198),0))</f>
        <v/>
      </c>
    </row>
    <row r="202" ht="15" customHeight="1" s="30">
      <c r="A202" s="40" t="str">
        <f>IF(품목목록!$A199="","",IF(품목목록!$F199="세트","",품목목록!$A199))</f>
        <v/>
      </c>
      <c r="B202" s="40" t="str">
        <f>IF($A202="","",품목목록!$B199)</f>
        <v/>
      </c>
      <c r="C202" s="40" t="str">
        <f>IF($A202="","",품목목록!$C199)</f>
        <v/>
      </c>
      <c r="D202" s="40" t="str">
        <f>IF($A202="","",품목목록!$D199)</f>
        <v/>
      </c>
      <c r="E202" s="49" t="str">
        <f>IF($A202="","",SUMIFS(전개결과!$N$6:$N$1205,전개결과!$M$6:$M$1205,$A202))</f>
        <v/>
      </c>
      <c r="F202" s="45" t="str">
        <f>IF($A202="","",ROUND($E202*IF(품목목록!$E199="",0,품목목록!$E199),0))</f>
        <v/>
      </c>
    </row>
    <row r="203" ht="15" customHeight="1" s="30">
      <c r="A203" s="40" t="str">
        <f>IF(품목목록!$A200="","",IF(품목목록!$F200="세트","",품목목록!$A200))</f>
        <v/>
      </c>
      <c r="B203" s="40" t="str">
        <f>IF($A203="","",품목목록!$B200)</f>
        <v/>
      </c>
      <c r="C203" s="40" t="str">
        <f>IF($A203="","",품목목록!$C200)</f>
        <v/>
      </c>
      <c r="D203" s="40" t="str">
        <f>IF($A203="","",품목목록!$D200)</f>
        <v/>
      </c>
      <c r="E203" s="49" t="str">
        <f>IF($A203="","",SUMIFS(전개결과!$N$6:$N$1205,전개결과!$M$6:$M$1205,$A203))</f>
        <v/>
      </c>
      <c r="F203" s="45" t="str">
        <f>IF($A203="","",ROUND($E203*IF(품목목록!$E200="",0,품목목록!$E200),0))</f>
        <v/>
      </c>
    </row>
    <row r="204" ht="15" customHeight="1" s="30">
      <c r="A204" s="40" t="str">
        <f>IF(품목목록!$A201="","",IF(품목목록!$F201="세트","",품목목록!$A201))</f>
        <v/>
      </c>
      <c r="B204" s="40" t="str">
        <f>IF($A204="","",품목목록!$B201)</f>
        <v/>
      </c>
      <c r="C204" s="40" t="str">
        <f>IF($A204="","",품목목록!$C201)</f>
        <v/>
      </c>
      <c r="D204" s="40" t="str">
        <f>IF($A204="","",품목목록!$D201)</f>
        <v/>
      </c>
      <c r="E204" s="49" t="str">
        <f>IF($A204="","",SUMIFS(전개결과!$N$6:$N$1205,전개결과!$M$6:$M$1205,$A204))</f>
        <v/>
      </c>
      <c r="F204" s="45" t="str">
        <f>IF($A204="","",ROUND($E204*IF(품목목록!$E201="",0,품목목록!$E201),0))</f>
        <v/>
      </c>
    </row>
    <row r="205" ht="15" customHeight="1" s="30">
      <c r="A205" s="40" t="str">
        <f>IF(품목목록!$A202="","",IF(품목목록!$F202="세트","",품목목록!$A202))</f>
        <v/>
      </c>
      <c r="B205" s="40" t="str">
        <f>IF($A205="","",품목목록!$B202)</f>
        <v/>
      </c>
      <c r="C205" s="40" t="str">
        <f>IF($A205="","",품목목록!$C202)</f>
        <v/>
      </c>
      <c r="D205" s="40" t="str">
        <f>IF($A205="","",품목목록!$D202)</f>
        <v/>
      </c>
      <c r="E205" s="49" t="str">
        <f>IF($A205="","",SUMIFS(전개결과!$N$6:$N$1205,전개결과!$M$6:$M$1205,$A205))</f>
        <v/>
      </c>
      <c r="F205" s="45" t="str">
        <f>IF($A205="","",ROUND($E205*IF(품목목록!$E202="",0,품목목록!$E202),0))</f>
        <v/>
      </c>
    </row>
    <row r="206" ht="15" customHeight="1" s="30">
      <c r="A206" s="40" t="str">
        <f>IF(품목목록!$A203="","",IF(품목목록!$F203="세트","",품목목록!$A203))</f>
        <v/>
      </c>
      <c r="B206" s="40" t="str">
        <f>IF($A206="","",품목목록!$B203)</f>
        <v/>
      </c>
      <c r="C206" s="40" t="str">
        <f>IF($A206="","",품목목록!$C203)</f>
        <v/>
      </c>
      <c r="D206" s="40" t="str">
        <f>IF($A206="","",품목목록!$D203)</f>
        <v/>
      </c>
      <c r="E206" s="49" t="str">
        <f>IF($A206="","",SUMIFS(전개결과!$N$6:$N$1205,전개결과!$M$6:$M$1205,$A206))</f>
        <v/>
      </c>
      <c r="F206" s="45" t="str">
        <f>IF($A206="","",ROUND($E206*IF(품목목록!$E203="",0,품목목록!$E203),0))</f>
        <v/>
      </c>
    </row>
    <row r="207" ht="15" customHeight="1" s="30">
      <c r="A207" s="40" t="str">
        <f>IF(품목목록!$A204="","",IF(품목목록!$F204="세트","",품목목록!$A204))</f>
        <v/>
      </c>
      <c r="B207" s="40" t="str">
        <f>IF($A207="","",품목목록!$B204)</f>
        <v/>
      </c>
      <c r="C207" s="40" t="str">
        <f>IF($A207="","",품목목록!$C204)</f>
        <v/>
      </c>
      <c r="D207" s="40" t="str">
        <f>IF($A207="","",품목목록!$D204)</f>
        <v/>
      </c>
      <c r="E207" s="49" t="str">
        <f>IF($A207="","",SUMIFS(전개결과!$N$6:$N$1205,전개결과!$M$6:$M$1205,$A207))</f>
        <v/>
      </c>
      <c r="F207" s="45" t="str">
        <f>IF($A207="","",ROUND($E207*IF(품목목록!$E204="",0,품목목록!$E204),0))</f>
        <v/>
      </c>
    </row>
    <row r="208" ht="15" customHeight="1" s="30">
      <c r="A208" s="40" t="str">
        <f>IF(품목목록!$A205="","",IF(품목목록!$F205="세트","",품목목록!$A205))</f>
        <v/>
      </c>
      <c r="B208" s="40" t="str">
        <f>IF($A208="","",품목목록!$B205)</f>
        <v/>
      </c>
      <c r="C208" s="40" t="str">
        <f>IF($A208="","",품목목록!$C205)</f>
        <v/>
      </c>
      <c r="D208" s="40" t="str">
        <f>IF($A208="","",품목목록!$D205)</f>
        <v/>
      </c>
      <c r="E208" s="49" t="str">
        <f>IF($A208="","",SUMIFS(전개결과!$N$6:$N$1205,전개결과!$M$6:$M$1205,$A208))</f>
        <v/>
      </c>
      <c r="F208" s="45" t="str">
        <f>IF($A208="","",ROUND($E208*IF(품목목록!$E205="",0,품목목록!$E205),0))</f>
        <v/>
      </c>
    </row>
    <row r="209" ht="15" customHeight="1" s="30">
      <c r="A209" s="40" t="str">
        <f>IF(품목목록!$A206="","",IF(품목목록!$F206="세트","",품목목록!$A206))</f>
        <v/>
      </c>
      <c r="B209" s="40" t="str">
        <f>IF($A209="","",품목목록!$B206)</f>
        <v/>
      </c>
      <c r="C209" s="40" t="str">
        <f>IF($A209="","",품목목록!$C206)</f>
        <v/>
      </c>
      <c r="D209" s="40" t="str">
        <f>IF($A209="","",품목목록!$D206)</f>
        <v/>
      </c>
      <c r="E209" s="49" t="str">
        <f>IF($A209="","",SUMIFS(전개결과!$N$6:$N$1205,전개결과!$M$6:$M$1205,$A209))</f>
        <v/>
      </c>
      <c r="F209" s="45" t="str">
        <f>IF($A209="","",ROUND($E209*IF(품목목록!$E206="",0,품목목록!$E206),0))</f>
        <v/>
      </c>
    </row>
    <row r="210" ht="15" customHeight="1" s="30">
      <c r="A210" s="40" t="str">
        <f>IF(품목목록!$A207="","",IF(품목목록!$F207="세트","",품목목록!$A207))</f>
        <v/>
      </c>
      <c r="B210" s="40" t="str">
        <f>IF($A210="","",품목목록!$B207)</f>
        <v/>
      </c>
      <c r="C210" s="40" t="str">
        <f>IF($A210="","",품목목록!$C207)</f>
        <v/>
      </c>
      <c r="D210" s="40" t="str">
        <f>IF($A210="","",품목목록!$D207)</f>
        <v/>
      </c>
      <c r="E210" s="49" t="str">
        <f>IF($A210="","",SUMIFS(전개결과!$N$6:$N$1205,전개결과!$M$6:$M$1205,$A210))</f>
        <v/>
      </c>
      <c r="F210" s="45" t="str">
        <f>IF($A210="","",ROUND($E210*IF(품목목록!$E207="",0,품목목록!$E207),0))</f>
        <v/>
      </c>
    </row>
    <row r="211" ht="15" customHeight="1" s="30">
      <c r="A211" s="40" t="str">
        <f>IF(품목목록!$A208="","",IF(품목목록!$F208="세트","",품목목록!$A208))</f>
        <v/>
      </c>
      <c r="B211" s="40" t="str">
        <f>IF($A211="","",품목목록!$B208)</f>
        <v/>
      </c>
      <c r="C211" s="40" t="str">
        <f>IF($A211="","",품목목록!$C208)</f>
        <v/>
      </c>
      <c r="D211" s="40" t="str">
        <f>IF($A211="","",품목목록!$D208)</f>
        <v/>
      </c>
      <c r="E211" s="49" t="str">
        <f>IF($A211="","",SUMIFS(전개결과!$N$6:$N$1205,전개결과!$M$6:$M$1205,$A211))</f>
        <v/>
      </c>
      <c r="F211" s="45" t="str">
        <f>IF($A211="","",ROUND($E211*IF(품목목록!$E208="",0,품목목록!$E208),0))</f>
        <v/>
      </c>
    </row>
    <row r="212" ht="15" customHeight="1" s="30">
      <c r="A212" s="40" t="str">
        <f>IF(품목목록!$A209="","",IF(품목목록!$F209="세트","",품목목록!$A209))</f>
        <v/>
      </c>
      <c r="B212" s="40" t="str">
        <f>IF($A212="","",품목목록!$B209)</f>
        <v/>
      </c>
      <c r="C212" s="40" t="str">
        <f>IF($A212="","",품목목록!$C209)</f>
        <v/>
      </c>
      <c r="D212" s="40" t="str">
        <f>IF($A212="","",품목목록!$D209)</f>
        <v/>
      </c>
      <c r="E212" s="49" t="str">
        <f>IF($A212="","",SUMIFS(전개결과!$N$6:$N$1205,전개결과!$M$6:$M$1205,$A212))</f>
        <v/>
      </c>
      <c r="F212" s="45" t="str">
        <f>IF($A212="","",ROUND($E212*IF(품목목록!$E209="",0,품목목록!$E209),0))</f>
        <v/>
      </c>
    </row>
    <row r="213" ht="15" customHeight="1" s="30">
      <c r="A213" s="40" t="str">
        <f>IF(품목목록!$A210="","",IF(품목목록!$F210="세트","",품목목록!$A210))</f>
        <v/>
      </c>
      <c r="B213" s="40" t="str">
        <f>IF($A213="","",품목목록!$B210)</f>
        <v/>
      </c>
      <c r="C213" s="40" t="str">
        <f>IF($A213="","",품목목록!$C210)</f>
        <v/>
      </c>
      <c r="D213" s="40" t="str">
        <f>IF($A213="","",품목목록!$D210)</f>
        <v/>
      </c>
      <c r="E213" s="49" t="str">
        <f>IF($A213="","",SUMIFS(전개결과!$N$6:$N$1205,전개결과!$M$6:$M$1205,$A213))</f>
        <v/>
      </c>
      <c r="F213" s="45" t="str">
        <f>IF($A213="","",ROUND($E213*IF(품목목록!$E210="",0,품목목록!$E210),0))</f>
        <v/>
      </c>
    </row>
    <row r="214" ht="15" customHeight="1" s="30">
      <c r="A214" s="40" t="str">
        <f>IF(품목목록!$A211="","",IF(품목목록!$F211="세트","",품목목록!$A211))</f>
        <v/>
      </c>
      <c r="B214" s="40" t="str">
        <f>IF($A214="","",품목목록!$B211)</f>
        <v/>
      </c>
      <c r="C214" s="40" t="str">
        <f>IF($A214="","",품목목록!$C211)</f>
        <v/>
      </c>
      <c r="D214" s="40" t="str">
        <f>IF($A214="","",품목목록!$D211)</f>
        <v/>
      </c>
      <c r="E214" s="49" t="str">
        <f>IF($A214="","",SUMIFS(전개결과!$N$6:$N$1205,전개결과!$M$6:$M$1205,$A214))</f>
        <v/>
      </c>
      <c r="F214" s="45" t="str">
        <f>IF($A214="","",ROUND($E214*IF(품목목록!$E211="",0,품목목록!$E211),0))</f>
        <v/>
      </c>
    </row>
    <row r="215" ht="15" customHeight="1" s="30">
      <c r="A215" s="40" t="str">
        <f>IF(품목목록!$A212="","",IF(품목목록!$F212="세트","",품목목록!$A212))</f>
        <v/>
      </c>
      <c r="B215" s="40" t="str">
        <f>IF($A215="","",품목목록!$B212)</f>
        <v/>
      </c>
      <c r="C215" s="40" t="str">
        <f>IF($A215="","",품목목록!$C212)</f>
        <v/>
      </c>
      <c r="D215" s="40" t="str">
        <f>IF($A215="","",품목목록!$D212)</f>
        <v/>
      </c>
      <c r="E215" s="49" t="str">
        <f>IF($A215="","",SUMIFS(전개결과!$N$6:$N$1205,전개결과!$M$6:$M$1205,$A215))</f>
        <v/>
      </c>
      <c r="F215" s="45" t="str">
        <f>IF($A215="","",ROUND($E215*IF(품목목록!$E212="",0,품목목록!$E212),0))</f>
        <v/>
      </c>
    </row>
    <row r="216" ht="15" customHeight="1" s="30">
      <c r="A216" s="40" t="str">
        <f>IF(품목목록!$A213="","",IF(품목목록!$F213="세트","",품목목록!$A213))</f>
        <v/>
      </c>
      <c r="B216" s="40" t="str">
        <f>IF($A216="","",품목목록!$B213)</f>
        <v/>
      </c>
      <c r="C216" s="40" t="str">
        <f>IF($A216="","",품목목록!$C213)</f>
        <v/>
      </c>
      <c r="D216" s="40" t="str">
        <f>IF($A216="","",품목목록!$D213)</f>
        <v/>
      </c>
      <c r="E216" s="49" t="str">
        <f>IF($A216="","",SUMIFS(전개결과!$N$6:$N$1205,전개결과!$M$6:$M$1205,$A216))</f>
        <v/>
      </c>
      <c r="F216" s="45" t="str">
        <f>IF($A216="","",ROUND($E216*IF(품목목록!$E213="",0,품목목록!$E213),0))</f>
        <v/>
      </c>
    </row>
    <row r="217" ht="15" customHeight="1" s="30">
      <c r="A217" s="40" t="str">
        <f>IF(품목목록!$A214="","",IF(품목목록!$F214="세트","",품목목록!$A214))</f>
        <v/>
      </c>
      <c r="B217" s="40" t="str">
        <f>IF($A217="","",품목목록!$B214)</f>
        <v/>
      </c>
      <c r="C217" s="40" t="str">
        <f>IF($A217="","",품목목록!$C214)</f>
        <v/>
      </c>
      <c r="D217" s="40" t="str">
        <f>IF($A217="","",품목목록!$D214)</f>
        <v/>
      </c>
      <c r="E217" s="49" t="str">
        <f>IF($A217="","",SUMIFS(전개결과!$N$6:$N$1205,전개결과!$M$6:$M$1205,$A217))</f>
        <v/>
      </c>
      <c r="F217" s="45" t="str">
        <f>IF($A217="","",ROUND($E217*IF(품목목록!$E214="",0,품목목록!$E214),0))</f>
        <v/>
      </c>
    </row>
    <row r="218" ht="15" customHeight="1" s="30">
      <c r="A218" s="40" t="str">
        <f>IF(품목목록!$A215="","",IF(품목목록!$F215="세트","",품목목록!$A215))</f>
        <v/>
      </c>
      <c r="B218" s="40" t="str">
        <f>IF($A218="","",품목목록!$B215)</f>
        <v/>
      </c>
      <c r="C218" s="40" t="str">
        <f>IF($A218="","",품목목록!$C215)</f>
        <v/>
      </c>
      <c r="D218" s="40" t="str">
        <f>IF($A218="","",품목목록!$D215)</f>
        <v/>
      </c>
      <c r="E218" s="49" t="str">
        <f>IF($A218="","",SUMIFS(전개결과!$N$6:$N$1205,전개결과!$M$6:$M$1205,$A218))</f>
        <v/>
      </c>
      <c r="F218" s="45" t="str">
        <f>IF($A218="","",ROUND($E218*IF(품목목록!$E215="",0,품목목록!$E215),0))</f>
        <v/>
      </c>
    </row>
    <row r="219" ht="15" customHeight="1" s="30">
      <c r="A219" s="40" t="str">
        <f>IF(품목목록!$A216="","",IF(품목목록!$F216="세트","",품목목록!$A216))</f>
        <v/>
      </c>
      <c r="B219" s="40" t="str">
        <f>IF($A219="","",품목목록!$B216)</f>
        <v/>
      </c>
      <c r="C219" s="40" t="str">
        <f>IF($A219="","",품목목록!$C216)</f>
        <v/>
      </c>
      <c r="D219" s="40" t="str">
        <f>IF($A219="","",품목목록!$D216)</f>
        <v/>
      </c>
      <c r="E219" s="49" t="str">
        <f>IF($A219="","",SUMIFS(전개결과!$N$6:$N$1205,전개결과!$M$6:$M$1205,$A219))</f>
        <v/>
      </c>
      <c r="F219" s="45" t="str">
        <f>IF($A219="","",ROUND($E219*IF(품목목록!$E216="",0,품목목록!$E216),0))</f>
        <v/>
      </c>
    </row>
    <row r="220" ht="15" customHeight="1" s="30">
      <c r="A220" s="40" t="str">
        <f>IF(품목목록!$A217="","",IF(품목목록!$F217="세트","",품목목록!$A217))</f>
        <v/>
      </c>
      <c r="B220" s="40" t="str">
        <f>IF($A220="","",품목목록!$B217)</f>
        <v/>
      </c>
      <c r="C220" s="40" t="str">
        <f>IF($A220="","",품목목록!$C217)</f>
        <v/>
      </c>
      <c r="D220" s="40" t="str">
        <f>IF($A220="","",품목목록!$D217)</f>
        <v/>
      </c>
      <c r="E220" s="49" t="str">
        <f>IF($A220="","",SUMIFS(전개결과!$N$6:$N$1205,전개결과!$M$6:$M$1205,$A220))</f>
        <v/>
      </c>
      <c r="F220" s="45" t="str">
        <f>IF($A220="","",ROUND($E220*IF(품목목록!$E217="",0,품목목록!$E217),0))</f>
        <v/>
      </c>
    </row>
    <row r="221" ht="15" customHeight="1" s="30">
      <c r="A221" s="40" t="str">
        <f>IF(품목목록!$A218="","",IF(품목목록!$F218="세트","",품목목록!$A218))</f>
        <v/>
      </c>
      <c r="B221" s="40" t="str">
        <f>IF($A221="","",품목목록!$B218)</f>
        <v/>
      </c>
      <c r="C221" s="40" t="str">
        <f>IF($A221="","",품목목록!$C218)</f>
        <v/>
      </c>
      <c r="D221" s="40" t="str">
        <f>IF($A221="","",품목목록!$D218)</f>
        <v/>
      </c>
      <c r="E221" s="49" t="str">
        <f>IF($A221="","",SUMIFS(전개결과!$N$6:$N$1205,전개결과!$M$6:$M$1205,$A221))</f>
        <v/>
      </c>
      <c r="F221" s="45" t="str">
        <f>IF($A221="","",ROUND($E221*IF(품목목록!$E218="",0,품목목록!$E218),0))</f>
        <v/>
      </c>
    </row>
    <row r="222" ht="15" customHeight="1" s="30">
      <c r="A222" s="40" t="str">
        <f>IF(품목목록!$A219="","",IF(품목목록!$F219="세트","",품목목록!$A219))</f>
        <v/>
      </c>
      <c r="B222" s="40" t="str">
        <f>IF($A222="","",품목목록!$B219)</f>
        <v/>
      </c>
      <c r="C222" s="40" t="str">
        <f>IF($A222="","",품목목록!$C219)</f>
        <v/>
      </c>
      <c r="D222" s="40" t="str">
        <f>IF($A222="","",품목목록!$D219)</f>
        <v/>
      </c>
      <c r="E222" s="49" t="str">
        <f>IF($A222="","",SUMIFS(전개결과!$N$6:$N$1205,전개결과!$M$6:$M$1205,$A222))</f>
        <v/>
      </c>
      <c r="F222" s="45" t="str">
        <f>IF($A222="","",ROUND($E222*IF(품목목록!$E219="",0,품목목록!$E219),0))</f>
        <v/>
      </c>
    </row>
    <row r="223" ht="15" customHeight="1" s="30">
      <c r="A223" s="40" t="str">
        <f>IF(품목목록!$A220="","",IF(품목목록!$F220="세트","",품목목록!$A220))</f>
        <v/>
      </c>
      <c r="B223" s="40" t="str">
        <f>IF($A223="","",품목목록!$B220)</f>
        <v/>
      </c>
      <c r="C223" s="40" t="str">
        <f>IF($A223="","",품목목록!$C220)</f>
        <v/>
      </c>
      <c r="D223" s="40" t="str">
        <f>IF($A223="","",품목목록!$D220)</f>
        <v/>
      </c>
      <c r="E223" s="49" t="str">
        <f>IF($A223="","",SUMIFS(전개결과!$N$6:$N$1205,전개결과!$M$6:$M$1205,$A223))</f>
        <v/>
      </c>
      <c r="F223" s="45" t="str">
        <f>IF($A223="","",ROUND($E223*IF(품목목록!$E220="",0,품목목록!$E220),0))</f>
        <v/>
      </c>
    </row>
    <row r="224" ht="15" customHeight="1" s="30">
      <c r="A224" s="40" t="str">
        <f>IF(품목목록!$A221="","",IF(품목목록!$F221="세트","",품목목록!$A221))</f>
        <v/>
      </c>
      <c r="B224" s="40" t="str">
        <f>IF($A224="","",품목목록!$B221)</f>
        <v/>
      </c>
      <c r="C224" s="40" t="str">
        <f>IF($A224="","",품목목록!$C221)</f>
        <v/>
      </c>
      <c r="D224" s="40" t="str">
        <f>IF($A224="","",품목목록!$D221)</f>
        <v/>
      </c>
      <c r="E224" s="49" t="str">
        <f>IF($A224="","",SUMIFS(전개결과!$N$6:$N$1205,전개결과!$M$6:$M$1205,$A224))</f>
        <v/>
      </c>
      <c r="F224" s="45" t="str">
        <f>IF($A224="","",ROUND($E224*IF(품목목록!$E221="",0,품목목록!$E221),0))</f>
        <v/>
      </c>
    </row>
    <row r="225" ht="15" customHeight="1" s="30">
      <c r="A225" s="40" t="str">
        <f>IF(품목목록!$A222="","",IF(품목목록!$F222="세트","",품목목록!$A222))</f>
        <v/>
      </c>
      <c r="B225" s="40" t="str">
        <f>IF($A225="","",품목목록!$B222)</f>
        <v/>
      </c>
      <c r="C225" s="40" t="str">
        <f>IF($A225="","",품목목록!$C222)</f>
        <v/>
      </c>
      <c r="D225" s="40" t="str">
        <f>IF($A225="","",품목목록!$D222)</f>
        <v/>
      </c>
      <c r="E225" s="49" t="str">
        <f>IF($A225="","",SUMIFS(전개결과!$N$6:$N$1205,전개결과!$M$6:$M$1205,$A225))</f>
        <v/>
      </c>
      <c r="F225" s="45" t="str">
        <f>IF($A225="","",ROUND($E225*IF(품목목록!$E222="",0,품목목록!$E222),0))</f>
        <v/>
      </c>
    </row>
    <row r="226" ht="15" customHeight="1" s="30">
      <c r="A226" s="40" t="str">
        <f>IF(품목목록!$A223="","",IF(품목목록!$F223="세트","",품목목록!$A223))</f>
        <v/>
      </c>
      <c r="B226" s="40" t="str">
        <f>IF($A226="","",품목목록!$B223)</f>
        <v/>
      </c>
      <c r="C226" s="40" t="str">
        <f>IF($A226="","",품목목록!$C223)</f>
        <v/>
      </c>
      <c r="D226" s="40" t="str">
        <f>IF($A226="","",품목목록!$D223)</f>
        <v/>
      </c>
      <c r="E226" s="49" t="str">
        <f>IF($A226="","",SUMIFS(전개결과!$N$6:$N$1205,전개결과!$M$6:$M$1205,$A226))</f>
        <v/>
      </c>
      <c r="F226" s="45" t="str">
        <f>IF($A226="","",ROUND($E226*IF(품목목록!$E223="",0,품목목록!$E223),0))</f>
        <v/>
      </c>
    </row>
    <row r="227" ht="15" customHeight="1" s="30">
      <c r="A227" s="40" t="str">
        <f>IF(품목목록!$A224="","",IF(품목목록!$F224="세트","",품목목록!$A224))</f>
        <v/>
      </c>
      <c r="B227" s="40" t="str">
        <f>IF($A227="","",품목목록!$B224)</f>
        <v/>
      </c>
      <c r="C227" s="40" t="str">
        <f>IF($A227="","",품목목록!$C224)</f>
        <v/>
      </c>
      <c r="D227" s="40" t="str">
        <f>IF($A227="","",품목목록!$D224)</f>
        <v/>
      </c>
      <c r="E227" s="49" t="str">
        <f>IF($A227="","",SUMIFS(전개결과!$N$6:$N$1205,전개결과!$M$6:$M$1205,$A227))</f>
        <v/>
      </c>
      <c r="F227" s="45" t="str">
        <f>IF($A227="","",ROUND($E227*IF(품목목록!$E224="",0,품목목록!$E224),0))</f>
        <v/>
      </c>
    </row>
    <row r="228" ht="15" customHeight="1" s="30">
      <c r="A228" s="40" t="str">
        <f>IF(품목목록!$A225="","",IF(품목목록!$F225="세트","",품목목록!$A225))</f>
        <v/>
      </c>
      <c r="B228" s="40" t="str">
        <f>IF($A228="","",품목목록!$B225)</f>
        <v/>
      </c>
      <c r="C228" s="40" t="str">
        <f>IF($A228="","",품목목록!$C225)</f>
        <v/>
      </c>
      <c r="D228" s="40" t="str">
        <f>IF($A228="","",품목목록!$D225)</f>
        <v/>
      </c>
      <c r="E228" s="49" t="str">
        <f>IF($A228="","",SUMIFS(전개결과!$N$6:$N$1205,전개결과!$M$6:$M$1205,$A228))</f>
        <v/>
      </c>
      <c r="F228" s="45" t="str">
        <f>IF($A228="","",ROUND($E228*IF(품목목록!$E225="",0,품목목록!$E225),0))</f>
        <v/>
      </c>
    </row>
    <row r="229" ht="15" customHeight="1" s="30">
      <c r="A229" s="40" t="str">
        <f>IF(품목목록!$A226="","",IF(품목목록!$F226="세트","",품목목록!$A226))</f>
        <v/>
      </c>
      <c r="B229" s="40" t="str">
        <f>IF($A229="","",품목목록!$B226)</f>
        <v/>
      </c>
      <c r="C229" s="40" t="str">
        <f>IF($A229="","",품목목록!$C226)</f>
        <v/>
      </c>
      <c r="D229" s="40" t="str">
        <f>IF($A229="","",품목목록!$D226)</f>
        <v/>
      </c>
      <c r="E229" s="49" t="str">
        <f>IF($A229="","",SUMIFS(전개결과!$N$6:$N$1205,전개결과!$M$6:$M$1205,$A229))</f>
        <v/>
      </c>
      <c r="F229" s="45" t="str">
        <f>IF($A229="","",ROUND($E229*IF(품목목록!$E226="",0,품목목록!$E226),0))</f>
        <v/>
      </c>
    </row>
    <row r="230" ht="15" customHeight="1" s="30">
      <c r="A230" s="40" t="str">
        <f>IF(품목목록!$A227="","",IF(품목목록!$F227="세트","",품목목록!$A227))</f>
        <v/>
      </c>
      <c r="B230" s="40" t="str">
        <f>IF($A230="","",품목목록!$B227)</f>
        <v/>
      </c>
      <c r="C230" s="40" t="str">
        <f>IF($A230="","",품목목록!$C227)</f>
        <v/>
      </c>
      <c r="D230" s="40" t="str">
        <f>IF($A230="","",품목목록!$D227)</f>
        <v/>
      </c>
      <c r="E230" s="49" t="str">
        <f>IF($A230="","",SUMIFS(전개결과!$N$6:$N$1205,전개결과!$M$6:$M$1205,$A230))</f>
        <v/>
      </c>
      <c r="F230" s="45" t="str">
        <f>IF($A230="","",ROUND($E230*IF(품목목록!$E227="",0,품목목록!$E227),0))</f>
        <v/>
      </c>
    </row>
    <row r="231" ht="15" customHeight="1" s="30">
      <c r="A231" s="40" t="str">
        <f>IF(품목목록!$A228="","",IF(품목목록!$F228="세트","",품목목록!$A228))</f>
        <v/>
      </c>
      <c r="B231" s="40" t="str">
        <f>IF($A231="","",품목목록!$B228)</f>
        <v/>
      </c>
      <c r="C231" s="40" t="str">
        <f>IF($A231="","",품목목록!$C228)</f>
        <v/>
      </c>
      <c r="D231" s="40" t="str">
        <f>IF($A231="","",품목목록!$D228)</f>
        <v/>
      </c>
      <c r="E231" s="49" t="str">
        <f>IF($A231="","",SUMIFS(전개결과!$N$6:$N$1205,전개결과!$M$6:$M$1205,$A231))</f>
        <v/>
      </c>
      <c r="F231" s="45" t="str">
        <f>IF($A231="","",ROUND($E231*IF(품목목록!$E228="",0,품목목록!$E228),0))</f>
        <v/>
      </c>
    </row>
    <row r="232" ht="15" customHeight="1" s="30">
      <c r="A232" s="40" t="str">
        <f>IF(품목목록!$A229="","",IF(품목목록!$F229="세트","",품목목록!$A229))</f>
        <v/>
      </c>
      <c r="B232" s="40" t="str">
        <f>IF($A232="","",품목목록!$B229)</f>
        <v/>
      </c>
      <c r="C232" s="40" t="str">
        <f>IF($A232="","",품목목록!$C229)</f>
        <v/>
      </c>
      <c r="D232" s="40" t="str">
        <f>IF($A232="","",품목목록!$D229)</f>
        <v/>
      </c>
      <c r="E232" s="49" t="str">
        <f>IF($A232="","",SUMIFS(전개결과!$N$6:$N$1205,전개결과!$M$6:$M$1205,$A232))</f>
        <v/>
      </c>
      <c r="F232" s="45" t="str">
        <f>IF($A232="","",ROUND($E232*IF(품목목록!$E229="",0,품목목록!$E229),0))</f>
        <v/>
      </c>
    </row>
    <row r="233" ht="15" customHeight="1" s="30">
      <c r="A233" s="40" t="str">
        <f>IF(품목목록!$A230="","",IF(품목목록!$F230="세트","",품목목록!$A230))</f>
        <v/>
      </c>
      <c r="B233" s="40" t="str">
        <f>IF($A233="","",품목목록!$B230)</f>
        <v/>
      </c>
      <c r="C233" s="40" t="str">
        <f>IF($A233="","",품목목록!$C230)</f>
        <v/>
      </c>
      <c r="D233" s="40" t="str">
        <f>IF($A233="","",품목목록!$D230)</f>
        <v/>
      </c>
      <c r="E233" s="49" t="str">
        <f>IF($A233="","",SUMIFS(전개결과!$N$6:$N$1205,전개결과!$M$6:$M$1205,$A233))</f>
        <v/>
      </c>
      <c r="F233" s="45" t="str">
        <f>IF($A233="","",ROUND($E233*IF(품목목록!$E230="",0,품목목록!$E230),0))</f>
        <v/>
      </c>
    </row>
    <row r="234" ht="15" customHeight="1" s="30">
      <c r="A234" s="40" t="str">
        <f>IF(품목목록!$A231="","",IF(품목목록!$F231="세트","",품목목록!$A231))</f>
        <v/>
      </c>
      <c r="B234" s="40" t="str">
        <f>IF($A234="","",품목목록!$B231)</f>
        <v/>
      </c>
      <c r="C234" s="40" t="str">
        <f>IF($A234="","",품목목록!$C231)</f>
        <v/>
      </c>
      <c r="D234" s="40" t="str">
        <f>IF($A234="","",품목목록!$D231)</f>
        <v/>
      </c>
      <c r="E234" s="49" t="str">
        <f>IF($A234="","",SUMIFS(전개결과!$N$6:$N$1205,전개결과!$M$6:$M$1205,$A234))</f>
        <v/>
      </c>
      <c r="F234" s="45" t="str">
        <f>IF($A234="","",ROUND($E234*IF(품목목록!$E231="",0,품목목록!$E231),0))</f>
        <v/>
      </c>
    </row>
    <row r="235" ht="15" customHeight="1" s="30">
      <c r="A235" s="40" t="str">
        <f>IF(품목목록!$A232="","",IF(품목목록!$F232="세트","",품목목록!$A232))</f>
        <v/>
      </c>
      <c r="B235" s="40" t="str">
        <f>IF($A235="","",품목목록!$B232)</f>
        <v/>
      </c>
      <c r="C235" s="40" t="str">
        <f>IF($A235="","",품목목록!$C232)</f>
        <v/>
      </c>
      <c r="D235" s="40" t="str">
        <f>IF($A235="","",품목목록!$D232)</f>
        <v/>
      </c>
      <c r="E235" s="49" t="str">
        <f>IF($A235="","",SUMIFS(전개결과!$N$6:$N$1205,전개결과!$M$6:$M$1205,$A235))</f>
        <v/>
      </c>
      <c r="F235" s="45" t="str">
        <f>IF($A235="","",ROUND($E235*IF(품목목록!$E232="",0,품목목록!$E232),0))</f>
        <v/>
      </c>
    </row>
    <row r="236" ht="15" customHeight="1" s="30">
      <c r="A236" s="40" t="str">
        <f>IF(품목목록!$A233="","",IF(품목목록!$F233="세트","",품목목록!$A233))</f>
        <v/>
      </c>
      <c r="B236" s="40" t="str">
        <f>IF($A236="","",품목목록!$B233)</f>
        <v/>
      </c>
      <c r="C236" s="40" t="str">
        <f>IF($A236="","",품목목록!$C233)</f>
        <v/>
      </c>
      <c r="D236" s="40" t="str">
        <f>IF($A236="","",품목목록!$D233)</f>
        <v/>
      </c>
      <c r="E236" s="49" t="str">
        <f>IF($A236="","",SUMIFS(전개결과!$N$6:$N$1205,전개결과!$M$6:$M$1205,$A236))</f>
        <v/>
      </c>
      <c r="F236" s="45" t="str">
        <f>IF($A236="","",ROUND($E236*IF(품목목록!$E233="",0,품목목록!$E233),0))</f>
        <v/>
      </c>
    </row>
    <row r="237" ht="15" customHeight="1" s="30">
      <c r="A237" s="40" t="str">
        <f>IF(품목목록!$A234="","",IF(품목목록!$F234="세트","",품목목록!$A234))</f>
        <v/>
      </c>
      <c r="B237" s="40" t="str">
        <f>IF($A237="","",품목목록!$B234)</f>
        <v/>
      </c>
      <c r="C237" s="40" t="str">
        <f>IF($A237="","",품목목록!$C234)</f>
        <v/>
      </c>
      <c r="D237" s="40" t="str">
        <f>IF($A237="","",품목목록!$D234)</f>
        <v/>
      </c>
      <c r="E237" s="49" t="str">
        <f>IF($A237="","",SUMIFS(전개결과!$N$6:$N$1205,전개결과!$M$6:$M$1205,$A237))</f>
        <v/>
      </c>
      <c r="F237" s="45" t="str">
        <f>IF($A237="","",ROUND($E237*IF(품목목록!$E234="",0,품목목록!$E234),0))</f>
        <v/>
      </c>
    </row>
    <row r="238" ht="15" customHeight="1" s="30">
      <c r="A238" s="40" t="str">
        <f>IF(품목목록!$A235="","",IF(품목목록!$F235="세트","",품목목록!$A235))</f>
        <v/>
      </c>
      <c r="B238" s="40" t="str">
        <f>IF($A238="","",품목목록!$B235)</f>
        <v/>
      </c>
      <c r="C238" s="40" t="str">
        <f>IF($A238="","",품목목록!$C235)</f>
        <v/>
      </c>
      <c r="D238" s="40" t="str">
        <f>IF($A238="","",품목목록!$D235)</f>
        <v/>
      </c>
      <c r="E238" s="49" t="str">
        <f>IF($A238="","",SUMIFS(전개결과!$N$6:$N$1205,전개결과!$M$6:$M$1205,$A238))</f>
        <v/>
      </c>
      <c r="F238" s="45" t="str">
        <f>IF($A238="","",ROUND($E238*IF(품목목록!$E235="",0,품목목록!$E235),0))</f>
        <v/>
      </c>
    </row>
    <row r="239" ht="15" customHeight="1" s="30">
      <c r="A239" s="40" t="str">
        <f>IF(품목목록!$A236="","",IF(품목목록!$F236="세트","",품목목록!$A236))</f>
        <v/>
      </c>
      <c r="B239" s="40" t="str">
        <f>IF($A239="","",품목목록!$B236)</f>
        <v/>
      </c>
      <c r="C239" s="40" t="str">
        <f>IF($A239="","",품목목록!$C236)</f>
        <v/>
      </c>
      <c r="D239" s="40" t="str">
        <f>IF($A239="","",품목목록!$D236)</f>
        <v/>
      </c>
      <c r="E239" s="49" t="str">
        <f>IF($A239="","",SUMIFS(전개결과!$N$6:$N$1205,전개결과!$M$6:$M$1205,$A239))</f>
        <v/>
      </c>
      <c r="F239" s="45" t="str">
        <f>IF($A239="","",ROUND($E239*IF(품목목록!$E236="",0,품목목록!$E236),0))</f>
        <v/>
      </c>
    </row>
    <row r="240" ht="15" customHeight="1" s="30">
      <c r="A240" s="40" t="str">
        <f>IF(품목목록!$A237="","",IF(품목목록!$F237="세트","",품목목록!$A237))</f>
        <v/>
      </c>
      <c r="B240" s="40" t="str">
        <f>IF($A240="","",품목목록!$B237)</f>
        <v/>
      </c>
      <c r="C240" s="40" t="str">
        <f>IF($A240="","",품목목록!$C237)</f>
        <v/>
      </c>
      <c r="D240" s="40" t="str">
        <f>IF($A240="","",품목목록!$D237)</f>
        <v/>
      </c>
      <c r="E240" s="49" t="str">
        <f>IF($A240="","",SUMIFS(전개결과!$N$6:$N$1205,전개결과!$M$6:$M$1205,$A240))</f>
        <v/>
      </c>
      <c r="F240" s="45" t="str">
        <f>IF($A240="","",ROUND($E240*IF(품목목록!$E237="",0,품목목록!$E237),0))</f>
        <v/>
      </c>
    </row>
    <row r="241" ht="15" customHeight="1" s="30">
      <c r="A241" s="40" t="str">
        <f>IF(품목목록!$A238="","",IF(품목목록!$F238="세트","",품목목록!$A238))</f>
        <v/>
      </c>
      <c r="B241" s="40" t="str">
        <f>IF($A241="","",품목목록!$B238)</f>
        <v/>
      </c>
      <c r="C241" s="40" t="str">
        <f>IF($A241="","",품목목록!$C238)</f>
        <v/>
      </c>
      <c r="D241" s="40" t="str">
        <f>IF($A241="","",품목목록!$D238)</f>
        <v/>
      </c>
      <c r="E241" s="49" t="str">
        <f>IF($A241="","",SUMIFS(전개결과!$N$6:$N$1205,전개결과!$M$6:$M$1205,$A241))</f>
        <v/>
      </c>
      <c r="F241" s="45" t="str">
        <f>IF($A241="","",ROUND($E241*IF(품목목록!$E238="",0,품목목록!$E238),0))</f>
        <v/>
      </c>
    </row>
    <row r="242" ht="15" customHeight="1" s="30">
      <c r="A242" s="40" t="str">
        <f>IF(품목목록!$A239="","",IF(품목목록!$F239="세트","",품목목록!$A239))</f>
        <v/>
      </c>
      <c r="B242" s="40" t="str">
        <f>IF($A242="","",품목목록!$B239)</f>
        <v/>
      </c>
      <c r="C242" s="40" t="str">
        <f>IF($A242="","",품목목록!$C239)</f>
        <v/>
      </c>
      <c r="D242" s="40" t="str">
        <f>IF($A242="","",품목목록!$D239)</f>
        <v/>
      </c>
      <c r="E242" s="49" t="str">
        <f>IF($A242="","",SUMIFS(전개결과!$N$6:$N$1205,전개결과!$M$6:$M$1205,$A242))</f>
        <v/>
      </c>
      <c r="F242" s="45" t="str">
        <f>IF($A242="","",ROUND($E242*IF(품목목록!$E239="",0,품목목록!$E239),0))</f>
        <v/>
      </c>
    </row>
    <row r="243" ht="15" customHeight="1" s="30">
      <c r="A243" s="40" t="str">
        <f>IF(품목목록!$A240="","",IF(품목목록!$F240="세트","",품목목록!$A240))</f>
        <v/>
      </c>
      <c r="B243" s="40" t="str">
        <f>IF($A243="","",품목목록!$B240)</f>
        <v/>
      </c>
      <c r="C243" s="40" t="str">
        <f>IF($A243="","",품목목록!$C240)</f>
        <v/>
      </c>
      <c r="D243" s="40" t="str">
        <f>IF($A243="","",품목목록!$D240)</f>
        <v/>
      </c>
      <c r="E243" s="49" t="str">
        <f>IF($A243="","",SUMIFS(전개결과!$N$6:$N$1205,전개결과!$M$6:$M$1205,$A243))</f>
        <v/>
      </c>
      <c r="F243" s="45" t="str">
        <f>IF($A243="","",ROUND($E243*IF(품목목록!$E240="",0,품목목록!$E240),0))</f>
        <v/>
      </c>
    </row>
    <row r="244" ht="15" customHeight="1" s="30">
      <c r="A244" s="40" t="str">
        <f>IF(품목목록!$A241="","",IF(품목목록!$F241="세트","",품목목록!$A241))</f>
        <v/>
      </c>
      <c r="B244" s="40" t="str">
        <f>IF($A244="","",품목목록!$B241)</f>
        <v/>
      </c>
      <c r="C244" s="40" t="str">
        <f>IF($A244="","",품목목록!$C241)</f>
        <v/>
      </c>
      <c r="D244" s="40" t="str">
        <f>IF($A244="","",품목목록!$D241)</f>
        <v/>
      </c>
      <c r="E244" s="49" t="str">
        <f>IF($A244="","",SUMIFS(전개결과!$N$6:$N$1205,전개결과!$M$6:$M$1205,$A244))</f>
        <v/>
      </c>
      <c r="F244" s="45" t="str">
        <f>IF($A244="","",ROUND($E244*IF(품목목록!$E241="",0,품목목록!$E241),0))</f>
        <v/>
      </c>
    </row>
    <row r="245" ht="15" customHeight="1" s="30">
      <c r="A245" s="40" t="str">
        <f>IF(품목목록!$A242="","",IF(품목목록!$F242="세트","",품목목록!$A242))</f>
        <v/>
      </c>
      <c r="B245" s="40" t="str">
        <f>IF($A245="","",품목목록!$B242)</f>
        <v/>
      </c>
      <c r="C245" s="40" t="str">
        <f>IF($A245="","",품목목록!$C242)</f>
        <v/>
      </c>
      <c r="D245" s="40" t="str">
        <f>IF($A245="","",품목목록!$D242)</f>
        <v/>
      </c>
      <c r="E245" s="49" t="str">
        <f>IF($A245="","",SUMIFS(전개결과!$N$6:$N$1205,전개결과!$M$6:$M$1205,$A245))</f>
        <v/>
      </c>
      <c r="F245" s="45" t="str">
        <f>IF($A245="","",ROUND($E245*IF(품목목록!$E242="",0,품목목록!$E242),0))</f>
        <v/>
      </c>
    </row>
    <row r="246" ht="15" customHeight="1" s="30">
      <c r="A246" s="40" t="str">
        <f>IF(품목목록!$A243="","",IF(품목목록!$F243="세트","",품목목록!$A243))</f>
        <v/>
      </c>
      <c r="B246" s="40" t="str">
        <f>IF($A246="","",품목목록!$B243)</f>
        <v/>
      </c>
      <c r="C246" s="40" t="str">
        <f>IF($A246="","",품목목록!$C243)</f>
        <v/>
      </c>
      <c r="D246" s="40" t="str">
        <f>IF($A246="","",품목목록!$D243)</f>
        <v/>
      </c>
      <c r="E246" s="49" t="str">
        <f>IF($A246="","",SUMIFS(전개결과!$N$6:$N$1205,전개결과!$M$6:$M$1205,$A246))</f>
        <v/>
      </c>
      <c r="F246" s="45" t="str">
        <f>IF($A246="","",ROUND($E246*IF(품목목록!$E243="",0,품목목록!$E243),0))</f>
        <v/>
      </c>
    </row>
    <row r="247" ht="15" customHeight="1" s="30">
      <c r="A247" s="40" t="str">
        <f>IF(품목목록!$A244="","",IF(품목목록!$F244="세트","",품목목록!$A244))</f>
        <v/>
      </c>
      <c r="B247" s="40" t="str">
        <f>IF($A247="","",품목목록!$B244)</f>
        <v/>
      </c>
      <c r="C247" s="40" t="str">
        <f>IF($A247="","",품목목록!$C244)</f>
        <v/>
      </c>
      <c r="D247" s="40" t="str">
        <f>IF($A247="","",품목목록!$D244)</f>
        <v/>
      </c>
      <c r="E247" s="49" t="str">
        <f>IF($A247="","",SUMIFS(전개결과!$N$6:$N$1205,전개결과!$M$6:$M$1205,$A247))</f>
        <v/>
      </c>
      <c r="F247" s="45" t="str">
        <f>IF($A247="","",ROUND($E247*IF(품목목록!$E244="",0,품목목록!$E244),0))</f>
        <v/>
      </c>
    </row>
    <row r="248" ht="15" customHeight="1" s="30">
      <c r="A248" s="40" t="str">
        <f>IF(품목목록!$A245="","",IF(품목목록!$F245="세트","",품목목록!$A245))</f>
        <v/>
      </c>
      <c r="B248" s="40" t="str">
        <f>IF($A248="","",품목목록!$B245)</f>
        <v/>
      </c>
      <c r="C248" s="40" t="str">
        <f>IF($A248="","",품목목록!$C245)</f>
        <v/>
      </c>
      <c r="D248" s="40" t="str">
        <f>IF($A248="","",품목목록!$D245)</f>
        <v/>
      </c>
      <c r="E248" s="49" t="str">
        <f>IF($A248="","",SUMIFS(전개결과!$N$6:$N$1205,전개결과!$M$6:$M$1205,$A248))</f>
        <v/>
      </c>
      <c r="F248" s="45" t="str">
        <f>IF($A248="","",ROUND($E248*IF(품목목록!$E245="",0,품목목록!$E245),0))</f>
        <v/>
      </c>
    </row>
    <row r="249" ht="15" customHeight="1" s="30">
      <c r="A249" s="40" t="str">
        <f>IF(품목목록!$A246="","",IF(품목목록!$F246="세트","",품목목록!$A246))</f>
        <v/>
      </c>
      <c r="B249" s="40" t="str">
        <f>IF($A249="","",품목목록!$B246)</f>
        <v/>
      </c>
      <c r="C249" s="40" t="str">
        <f>IF($A249="","",품목목록!$C246)</f>
        <v/>
      </c>
      <c r="D249" s="40" t="str">
        <f>IF($A249="","",품목목록!$D246)</f>
        <v/>
      </c>
      <c r="E249" s="49" t="str">
        <f>IF($A249="","",SUMIFS(전개결과!$N$6:$N$1205,전개결과!$M$6:$M$1205,$A249))</f>
        <v/>
      </c>
      <c r="F249" s="45" t="str">
        <f>IF($A249="","",ROUND($E249*IF(품목목록!$E246="",0,품목목록!$E246),0))</f>
        <v/>
      </c>
    </row>
    <row r="250" ht="15" customHeight="1" s="30">
      <c r="A250" s="40" t="str">
        <f>IF(품목목록!$A247="","",IF(품목목록!$F247="세트","",품목목록!$A247))</f>
        <v/>
      </c>
      <c r="B250" s="40" t="str">
        <f>IF($A250="","",품목목록!$B247)</f>
        <v/>
      </c>
      <c r="C250" s="40" t="str">
        <f>IF($A250="","",품목목록!$C247)</f>
        <v/>
      </c>
      <c r="D250" s="40" t="str">
        <f>IF($A250="","",품목목록!$D247)</f>
        <v/>
      </c>
      <c r="E250" s="49" t="str">
        <f>IF($A250="","",SUMIFS(전개결과!$N$6:$N$1205,전개결과!$M$6:$M$1205,$A250))</f>
        <v/>
      </c>
      <c r="F250" s="45" t="str">
        <f>IF($A250="","",ROUND($E250*IF(품목목록!$E247="",0,품목목록!$E247),0))</f>
        <v/>
      </c>
    </row>
    <row r="251" ht="15" customHeight="1" s="30">
      <c r="A251" s="40" t="str">
        <f>IF(품목목록!$A248="","",IF(품목목록!$F248="세트","",품목목록!$A248))</f>
        <v/>
      </c>
      <c r="B251" s="40" t="str">
        <f>IF($A251="","",품목목록!$B248)</f>
        <v/>
      </c>
      <c r="C251" s="40" t="str">
        <f>IF($A251="","",품목목록!$C248)</f>
        <v/>
      </c>
      <c r="D251" s="40" t="str">
        <f>IF($A251="","",품목목록!$D248)</f>
        <v/>
      </c>
      <c r="E251" s="49" t="str">
        <f>IF($A251="","",SUMIFS(전개결과!$N$6:$N$1205,전개결과!$M$6:$M$1205,$A251))</f>
        <v/>
      </c>
      <c r="F251" s="45" t="str">
        <f>IF($A251="","",ROUND($E251*IF(품목목록!$E248="",0,품목목록!$E248),0))</f>
        <v/>
      </c>
    </row>
    <row r="252" ht="15" customHeight="1" s="30">
      <c r="A252" s="40" t="str">
        <f>IF(품목목록!$A249="","",IF(품목목록!$F249="세트","",품목목록!$A249))</f>
        <v/>
      </c>
      <c r="B252" s="40" t="str">
        <f>IF($A252="","",품목목록!$B249)</f>
        <v/>
      </c>
      <c r="C252" s="40" t="str">
        <f>IF($A252="","",품목목록!$C249)</f>
        <v/>
      </c>
      <c r="D252" s="40" t="str">
        <f>IF($A252="","",품목목록!$D249)</f>
        <v/>
      </c>
      <c r="E252" s="49" t="str">
        <f>IF($A252="","",SUMIFS(전개결과!$N$6:$N$1205,전개결과!$M$6:$M$1205,$A252))</f>
        <v/>
      </c>
      <c r="F252" s="45" t="str">
        <f>IF($A252="","",ROUND($E252*IF(품목목록!$E249="",0,품목목록!$E249),0))</f>
        <v/>
      </c>
    </row>
    <row r="253" ht="15" customHeight="1" s="30">
      <c r="A253" s="40" t="str">
        <f>IF(품목목록!$A250="","",IF(품목목록!$F250="세트","",품목목록!$A250))</f>
        <v/>
      </c>
      <c r="B253" s="40" t="str">
        <f>IF($A253="","",품목목록!$B250)</f>
        <v/>
      </c>
      <c r="C253" s="40" t="str">
        <f>IF($A253="","",품목목록!$C250)</f>
        <v/>
      </c>
      <c r="D253" s="40" t="str">
        <f>IF($A253="","",품목목록!$D250)</f>
        <v/>
      </c>
      <c r="E253" s="49" t="str">
        <f>IF($A253="","",SUMIFS(전개결과!$N$6:$N$1205,전개결과!$M$6:$M$1205,$A253))</f>
        <v/>
      </c>
      <c r="F253" s="45" t="str">
        <f>IF($A253="","",ROUND($E253*IF(품목목록!$E250="",0,품목목록!$E250),0))</f>
        <v/>
      </c>
    </row>
    <row r="254" ht="15" customHeight="1" s="30">
      <c r="A254" s="40" t="str">
        <f>IF(품목목록!$A251="","",IF(품목목록!$F251="세트","",품목목록!$A251))</f>
        <v/>
      </c>
      <c r="B254" s="40" t="str">
        <f>IF($A254="","",품목목록!$B251)</f>
        <v/>
      </c>
      <c r="C254" s="40" t="str">
        <f>IF($A254="","",품목목록!$C251)</f>
        <v/>
      </c>
      <c r="D254" s="40" t="str">
        <f>IF($A254="","",품목목록!$D251)</f>
        <v/>
      </c>
      <c r="E254" s="49" t="str">
        <f>IF($A254="","",SUMIFS(전개결과!$N$6:$N$1205,전개결과!$M$6:$M$1205,$A254))</f>
        <v/>
      </c>
      <c r="F254" s="45" t="str">
        <f>IF($A254="","",ROUND($E254*IF(품목목록!$E251="",0,품목목록!$E251),0))</f>
        <v/>
      </c>
    </row>
    <row r="255" ht="15" customHeight="1" s="30">
      <c r="A255" s="40" t="str">
        <f>IF(품목목록!$A252="","",IF(품목목록!$F252="세트","",품목목록!$A252))</f>
        <v/>
      </c>
      <c r="B255" s="40" t="str">
        <f>IF($A255="","",품목목록!$B252)</f>
        <v/>
      </c>
      <c r="C255" s="40" t="str">
        <f>IF($A255="","",품목목록!$C252)</f>
        <v/>
      </c>
      <c r="D255" s="40" t="str">
        <f>IF($A255="","",품목목록!$D252)</f>
        <v/>
      </c>
      <c r="E255" s="49" t="str">
        <f>IF($A255="","",SUMIFS(전개결과!$N$6:$N$1205,전개결과!$M$6:$M$1205,$A255))</f>
        <v/>
      </c>
      <c r="F255" s="45" t="str">
        <f>IF($A255="","",ROUND($E255*IF(품목목록!$E252="",0,품목목록!$E252),0))</f>
        <v/>
      </c>
    </row>
    <row r="256" ht="15" customHeight="1" s="30">
      <c r="A256" s="40" t="str">
        <f>IF(품목목록!$A253="","",IF(품목목록!$F253="세트","",품목목록!$A253))</f>
        <v/>
      </c>
      <c r="B256" s="40" t="str">
        <f>IF($A256="","",품목목록!$B253)</f>
        <v/>
      </c>
      <c r="C256" s="40" t="str">
        <f>IF($A256="","",품목목록!$C253)</f>
        <v/>
      </c>
      <c r="D256" s="40" t="str">
        <f>IF($A256="","",품목목록!$D253)</f>
        <v/>
      </c>
      <c r="E256" s="49" t="str">
        <f>IF($A256="","",SUMIFS(전개결과!$N$6:$N$1205,전개결과!$M$6:$M$1205,$A256))</f>
        <v/>
      </c>
      <c r="F256" s="45" t="str">
        <f>IF($A256="","",ROUND($E256*IF(품목목록!$E253="",0,품목목록!$E253),0))</f>
        <v/>
      </c>
    </row>
    <row r="257" ht="15" customHeight="1" s="30">
      <c r="A257" s="40" t="str">
        <f>IF(품목목록!$A254="","",IF(품목목록!$F254="세트","",품목목록!$A254))</f>
        <v/>
      </c>
      <c r="B257" s="40" t="str">
        <f>IF($A257="","",품목목록!$B254)</f>
        <v/>
      </c>
      <c r="C257" s="40" t="str">
        <f>IF($A257="","",품목목록!$C254)</f>
        <v/>
      </c>
      <c r="D257" s="40" t="str">
        <f>IF($A257="","",품목목록!$D254)</f>
        <v/>
      </c>
      <c r="E257" s="49" t="str">
        <f>IF($A257="","",SUMIFS(전개결과!$N$6:$N$1205,전개결과!$M$6:$M$1205,$A257))</f>
        <v/>
      </c>
      <c r="F257" s="45" t="str">
        <f>IF($A257="","",ROUND($E257*IF(품목목록!$E254="",0,품목목록!$E254),0))</f>
        <v/>
      </c>
    </row>
    <row r="258" ht="15" customHeight="1" s="30">
      <c r="A258" s="40" t="str">
        <f>IF(품목목록!$A255="","",IF(품목목록!$F255="세트","",품목목록!$A255))</f>
        <v/>
      </c>
      <c r="B258" s="40" t="str">
        <f>IF($A258="","",품목목록!$B255)</f>
        <v/>
      </c>
      <c r="C258" s="40" t="str">
        <f>IF($A258="","",품목목록!$C255)</f>
        <v/>
      </c>
      <c r="D258" s="40" t="str">
        <f>IF($A258="","",품목목록!$D255)</f>
        <v/>
      </c>
      <c r="E258" s="49" t="str">
        <f>IF($A258="","",SUMIFS(전개결과!$N$6:$N$1205,전개결과!$M$6:$M$1205,$A258))</f>
        <v/>
      </c>
      <c r="F258" s="45" t="str">
        <f>IF($A258="","",ROUND($E258*IF(품목목록!$E255="",0,품목목록!$E255),0))</f>
        <v/>
      </c>
    </row>
    <row r="259" ht="15" customHeight="1" s="30">
      <c r="A259" s="40" t="str">
        <f>IF(품목목록!$A256="","",IF(품목목록!$F256="세트","",품목목록!$A256))</f>
        <v/>
      </c>
      <c r="B259" s="40" t="str">
        <f>IF($A259="","",품목목록!$B256)</f>
        <v/>
      </c>
      <c r="C259" s="40" t="str">
        <f>IF($A259="","",품목목록!$C256)</f>
        <v/>
      </c>
      <c r="D259" s="40" t="str">
        <f>IF($A259="","",품목목록!$D256)</f>
        <v/>
      </c>
      <c r="E259" s="49" t="str">
        <f>IF($A259="","",SUMIFS(전개결과!$N$6:$N$1205,전개결과!$M$6:$M$1205,$A259))</f>
        <v/>
      </c>
      <c r="F259" s="45" t="str">
        <f>IF($A259="","",ROUND($E259*IF(품목목록!$E256="",0,품목목록!$E256),0))</f>
        <v/>
      </c>
    </row>
    <row r="260" ht="15" customHeight="1" s="30">
      <c r="A260" s="40" t="str">
        <f>IF(품목목록!$A257="","",IF(품목목록!$F257="세트","",품목목록!$A257))</f>
        <v/>
      </c>
      <c r="B260" s="40" t="str">
        <f>IF($A260="","",품목목록!$B257)</f>
        <v/>
      </c>
      <c r="C260" s="40" t="str">
        <f>IF($A260="","",품목목록!$C257)</f>
        <v/>
      </c>
      <c r="D260" s="40" t="str">
        <f>IF($A260="","",품목목록!$D257)</f>
        <v/>
      </c>
      <c r="E260" s="49" t="str">
        <f>IF($A260="","",SUMIFS(전개결과!$N$6:$N$1205,전개결과!$M$6:$M$1205,$A260))</f>
        <v/>
      </c>
      <c r="F260" s="45" t="str">
        <f>IF($A260="","",ROUND($E260*IF(품목목록!$E257="",0,품목목록!$E257),0))</f>
        <v/>
      </c>
    </row>
    <row r="261" ht="15" customHeight="1" s="30">
      <c r="A261" s="40" t="str">
        <f>IF(품목목록!$A258="","",IF(품목목록!$F258="세트","",품목목록!$A258))</f>
        <v/>
      </c>
      <c r="B261" s="40" t="str">
        <f>IF($A261="","",품목목록!$B258)</f>
        <v/>
      </c>
      <c r="C261" s="40" t="str">
        <f>IF($A261="","",품목목록!$C258)</f>
        <v/>
      </c>
      <c r="D261" s="40" t="str">
        <f>IF($A261="","",품목목록!$D258)</f>
        <v/>
      </c>
      <c r="E261" s="49" t="str">
        <f>IF($A261="","",SUMIFS(전개결과!$N$6:$N$1205,전개결과!$M$6:$M$1205,$A261))</f>
        <v/>
      </c>
      <c r="F261" s="45" t="str">
        <f>IF($A261="","",ROUND($E261*IF(품목목록!$E258="",0,품목목록!$E258),0))</f>
        <v/>
      </c>
    </row>
    <row r="262" ht="15" customHeight="1" s="30">
      <c r="A262" s="40" t="str">
        <f>IF(품목목록!$A259="","",IF(품목목록!$F259="세트","",품목목록!$A259))</f>
        <v/>
      </c>
      <c r="B262" s="40" t="str">
        <f>IF($A262="","",품목목록!$B259)</f>
        <v/>
      </c>
      <c r="C262" s="40" t="str">
        <f>IF($A262="","",품목목록!$C259)</f>
        <v/>
      </c>
      <c r="D262" s="40" t="str">
        <f>IF($A262="","",품목목록!$D259)</f>
        <v/>
      </c>
      <c r="E262" s="49" t="str">
        <f>IF($A262="","",SUMIFS(전개결과!$N$6:$N$1205,전개결과!$M$6:$M$1205,$A262))</f>
        <v/>
      </c>
      <c r="F262" s="45" t="str">
        <f>IF($A262="","",ROUND($E262*IF(품목목록!$E259="",0,품목목록!$E259),0))</f>
        <v/>
      </c>
    </row>
    <row r="263" ht="15" customHeight="1" s="30">
      <c r="A263" s="40" t="str">
        <f>IF(품목목록!$A260="","",IF(품목목록!$F260="세트","",품목목록!$A260))</f>
        <v/>
      </c>
      <c r="B263" s="40" t="str">
        <f>IF($A263="","",품목목록!$B260)</f>
        <v/>
      </c>
      <c r="C263" s="40" t="str">
        <f>IF($A263="","",품목목록!$C260)</f>
        <v/>
      </c>
      <c r="D263" s="40" t="str">
        <f>IF($A263="","",품목목록!$D260)</f>
        <v/>
      </c>
      <c r="E263" s="49" t="str">
        <f>IF($A263="","",SUMIFS(전개결과!$N$6:$N$1205,전개결과!$M$6:$M$1205,$A263))</f>
        <v/>
      </c>
      <c r="F263" s="45" t="str">
        <f>IF($A263="","",ROUND($E263*IF(품목목록!$E260="",0,품목목록!$E260),0))</f>
        <v/>
      </c>
    </row>
    <row r="264" ht="15" customHeight="1" s="30">
      <c r="A264" s="40" t="str">
        <f>IF(품목목록!$A261="","",IF(품목목록!$F261="세트","",품목목록!$A261))</f>
        <v/>
      </c>
      <c r="B264" s="40" t="str">
        <f>IF($A264="","",품목목록!$B261)</f>
        <v/>
      </c>
      <c r="C264" s="40" t="str">
        <f>IF($A264="","",품목목록!$C261)</f>
        <v/>
      </c>
      <c r="D264" s="40" t="str">
        <f>IF($A264="","",품목목록!$D261)</f>
        <v/>
      </c>
      <c r="E264" s="49" t="str">
        <f>IF($A264="","",SUMIFS(전개결과!$N$6:$N$1205,전개결과!$M$6:$M$1205,$A264))</f>
        <v/>
      </c>
      <c r="F264" s="45" t="str">
        <f>IF($A264="","",ROUND($E264*IF(품목목록!$E261="",0,품목목록!$E261),0))</f>
        <v/>
      </c>
    </row>
    <row r="265" ht="15" customHeight="1" s="30">
      <c r="A265" s="40" t="str">
        <f>IF(품목목록!$A262="","",IF(품목목록!$F262="세트","",품목목록!$A262))</f>
        <v/>
      </c>
      <c r="B265" s="40" t="str">
        <f>IF($A265="","",품목목록!$B262)</f>
        <v/>
      </c>
      <c r="C265" s="40" t="str">
        <f>IF($A265="","",품목목록!$C262)</f>
        <v/>
      </c>
      <c r="D265" s="40" t="str">
        <f>IF($A265="","",품목목록!$D262)</f>
        <v/>
      </c>
      <c r="E265" s="49" t="str">
        <f>IF($A265="","",SUMIFS(전개결과!$N$6:$N$1205,전개결과!$M$6:$M$1205,$A265))</f>
        <v/>
      </c>
      <c r="F265" s="45" t="str">
        <f>IF($A265="","",ROUND($E265*IF(품목목록!$E262="",0,품목목록!$E262),0))</f>
        <v/>
      </c>
    </row>
    <row r="266" ht="15" customHeight="1" s="30">
      <c r="A266" s="40" t="str">
        <f>IF(품목목록!$A263="","",IF(품목목록!$F263="세트","",품목목록!$A263))</f>
        <v/>
      </c>
      <c r="B266" s="40" t="str">
        <f>IF($A266="","",품목목록!$B263)</f>
        <v/>
      </c>
      <c r="C266" s="40" t="str">
        <f>IF($A266="","",품목목록!$C263)</f>
        <v/>
      </c>
      <c r="D266" s="40" t="str">
        <f>IF($A266="","",품목목록!$D263)</f>
        <v/>
      </c>
      <c r="E266" s="49" t="str">
        <f>IF($A266="","",SUMIFS(전개결과!$N$6:$N$1205,전개결과!$M$6:$M$1205,$A266))</f>
        <v/>
      </c>
      <c r="F266" s="45" t="str">
        <f>IF($A266="","",ROUND($E266*IF(품목목록!$E263="",0,품목목록!$E263),0))</f>
        <v/>
      </c>
    </row>
    <row r="267" ht="15" customHeight="1" s="30">
      <c r="A267" s="40" t="str">
        <f>IF(품목목록!$A264="","",IF(품목목록!$F264="세트","",품목목록!$A264))</f>
        <v/>
      </c>
      <c r="B267" s="40" t="str">
        <f>IF($A267="","",품목목록!$B264)</f>
        <v/>
      </c>
      <c r="C267" s="40" t="str">
        <f>IF($A267="","",품목목록!$C264)</f>
        <v/>
      </c>
      <c r="D267" s="40" t="str">
        <f>IF($A267="","",품목목록!$D264)</f>
        <v/>
      </c>
      <c r="E267" s="49" t="str">
        <f>IF($A267="","",SUMIFS(전개결과!$N$6:$N$1205,전개결과!$M$6:$M$1205,$A267))</f>
        <v/>
      </c>
      <c r="F267" s="45" t="str">
        <f>IF($A267="","",ROUND($E267*IF(품목목록!$E264="",0,품목목록!$E264),0))</f>
        <v/>
      </c>
    </row>
    <row r="268" ht="15" customHeight="1" s="30">
      <c r="A268" s="40" t="str">
        <f>IF(품목목록!$A265="","",IF(품목목록!$F265="세트","",품목목록!$A265))</f>
        <v/>
      </c>
      <c r="B268" s="40" t="str">
        <f>IF($A268="","",품목목록!$B265)</f>
        <v/>
      </c>
      <c r="C268" s="40" t="str">
        <f>IF($A268="","",품목목록!$C265)</f>
        <v/>
      </c>
      <c r="D268" s="40" t="str">
        <f>IF($A268="","",품목목록!$D265)</f>
        <v/>
      </c>
      <c r="E268" s="49" t="str">
        <f>IF($A268="","",SUMIFS(전개결과!$N$6:$N$1205,전개결과!$M$6:$M$1205,$A268))</f>
        <v/>
      </c>
      <c r="F268" s="45" t="str">
        <f>IF($A268="","",ROUND($E268*IF(품목목록!$E265="",0,품목목록!$E265),0))</f>
        <v/>
      </c>
    </row>
    <row r="269" ht="15" customHeight="1" s="30">
      <c r="A269" s="40" t="str">
        <f>IF(품목목록!$A266="","",IF(품목목록!$F266="세트","",품목목록!$A266))</f>
        <v/>
      </c>
      <c r="B269" s="40" t="str">
        <f>IF($A269="","",품목목록!$B266)</f>
        <v/>
      </c>
      <c r="C269" s="40" t="str">
        <f>IF($A269="","",품목목록!$C266)</f>
        <v/>
      </c>
      <c r="D269" s="40" t="str">
        <f>IF($A269="","",품목목록!$D266)</f>
        <v/>
      </c>
      <c r="E269" s="49" t="str">
        <f>IF($A269="","",SUMIFS(전개결과!$N$6:$N$1205,전개결과!$M$6:$M$1205,$A269))</f>
        <v/>
      </c>
      <c r="F269" s="45" t="str">
        <f>IF($A269="","",ROUND($E269*IF(품목목록!$E266="",0,품목목록!$E266),0))</f>
        <v/>
      </c>
    </row>
    <row r="270" ht="15" customHeight="1" s="30">
      <c r="A270" s="40" t="str">
        <f>IF(품목목록!$A267="","",IF(품목목록!$F267="세트","",품목목록!$A267))</f>
        <v/>
      </c>
      <c r="B270" s="40" t="str">
        <f>IF($A270="","",품목목록!$B267)</f>
        <v/>
      </c>
      <c r="C270" s="40" t="str">
        <f>IF($A270="","",품목목록!$C267)</f>
        <v/>
      </c>
      <c r="D270" s="40" t="str">
        <f>IF($A270="","",품목목록!$D267)</f>
        <v/>
      </c>
      <c r="E270" s="49" t="str">
        <f>IF($A270="","",SUMIFS(전개결과!$N$6:$N$1205,전개결과!$M$6:$M$1205,$A270))</f>
        <v/>
      </c>
      <c r="F270" s="45" t="str">
        <f>IF($A270="","",ROUND($E270*IF(품목목록!$E267="",0,품목목록!$E267),0))</f>
        <v/>
      </c>
    </row>
    <row r="271" ht="15" customHeight="1" s="30">
      <c r="A271" s="40" t="str">
        <f>IF(품목목록!$A268="","",IF(품목목록!$F268="세트","",품목목록!$A268))</f>
        <v/>
      </c>
      <c r="B271" s="40" t="str">
        <f>IF($A271="","",품목목록!$B268)</f>
        <v/>
      </c>
      <c r="C271" s="40" t="str">
        <f>IF($A271="","",품목목록!$C268)</f>
        <v/>
      </c>
      <c r="D271" s="40" t="str">
        <f>IF($A271="","",품목목록!$D268)</f>
        <v/>
      </c>
      <c r="E271" s="49" t="str">
        <f>IF($A271="","",SUMIFS(전개결과!$N$6:$N$1205,전개결과!$M$6:$M$1205,$A271))</f>
        <v/>
      </c>
      <c r="F271" s="45" t="str">
        <f>IF($A271="","",ROUND($E271*IF(품목목록!$E268="",0,품목목록!$E268),0))</f>
        <v/>
      </c>
    </row>
    <row r="272" ht="15" customHeight="1" s="30">
      <c r="A272" s="40" t="str">
        <f>IF(품목목록!$A269="","",IF(품목목록!$F269="세트","",품목목록!$A269))</f>
        <v/>
      </c>
      <c r="B272" s="40" t="str">
        <f>IF($A272="","",품목목록!$B269)</f>
        <v/>
      </c>
      <c r="C272" s="40" t="str">
        <f>IF($A272="","",품목목록!$C269)</f>
        <v/>
      </c>
      <c r="D272" s="40" t="str">
        <f>IF($A272="","",품목목록!$D269)</f>
        <v/>
      </c>
      <c r="E272" s="49" t="str">
        <f>IF($A272="","",SUMIFS(전개결과!$N$6:$N$1205,전개결과!$M$6:$M$1205,$A272))</f>
        <v/>
      </c>
      <c r="F272" s="45" t="str">
        <f>IF($A272="","",ROUND($E272*IF(품목목록!$E269="",0,품목목록!$E269),0))</f>
        <v/>
      </c>
    </row>
    <row r="273" ht="15" customHeight="1" s="30">
      <c r="A273" s="40" t="str">
        <f>IF(품목목록!$A270="","",IF(품목목록!$F270="세트","",품목목록!$A270))</f>
        <v/>
      </c>
      <c r="B273" s="40" t="str">
        <f>IF($A273="","",품목목록!$B270)</f>
        <v/>
      </c>
      <c r="C273" s="40" t="str">
        <f>IF($A273="","",품목목록!$C270)</f>
        <v/>
      </c>
      <c r="D273" s="40" t="str">
        <f>IF($A273="","",품목목록!$D270)</f>
        <v/>
      </c>
      <c r="E273" s="49" t="str">
        <f>IF($A273="","",SUMIFS(전개결과!$N$6:$N$1205,전개결과!$M$6:$M$1205,$A273))</f>
        <v/>
      </c>
      <c r="F273" s="45" t="str">
        <f>IF($A273="","",ROUND($E273*IF(품목목록!$E270="",0,품목목록!$E270),0))</f>
        <v/>
      </c>
    </row>
    <row r="274" ht="15" customHeight="1" s="30">
      <c r="A274" s="40" t="str">
        <f>IF(품목목록!$A271="","",IF(품목목록!$F271="세트","",품목목록!$A271))</f>
        <v/>
      </c>
      <c r="B274" s="40" t="str">
        <f>IF($A274="","",품목목록!$B271)</f>
        <v/>
      </c>
      <c r="C274" s="40" t="str">
        <f>IF($A274="","",품목목록!$C271)</f>
        <v/>
      </c>
      <c r="D274" s="40" t="str">
        <f>IF($A274="","",품목목록!$D271)</f>
        <v/>
      </c>
      <c r="E274" s="49" t="str">
        <f>IF($A274="","",SUMIFS(전개결과!$N$6:$N$1205,전개결과!$M$6:$M$1205,$A274))</f>
        <v/>
      </c>
      <c r="F274" s="45" t="str">
        <f>IF($A274="","",ROUND($E274*IF(품목목록!$E271="",0,품목목록!$E271),0))</f>
        <v/>
      </c>
    </row>
    <row r="275" ht="15" customHeight="1" s="30">
      <c r="A275" s="40" t="str">
        <f>IF(품목목록!$A272="","",IF(품목목록!$F272="세트","",품목목록!$A272))</f>
        <v/>
      </c>
      <c r="B275" s="40" t="str">
        <f>IF($A275="","",품목목록!$B272)</f>
        <v/>
      </c>
      <c r="C275" s="40" t="str">
        <f>IF($A275="","",품목목록!$C272)</f>
        <v/>
      </c>
      <c r="D275" s="40" t="str">
        <f>IF($A275="","",품목목록!$D272)</f>
        <v/>
      </c>
      <c r="E275" s="49" t="str">
        <f>IF($A275="","",SUMIFS(전개결과!$N$6:$N$1205,전개결과!$M$6:$M$1205,$A275))</f>
        <v/>
      </c>
      <c r="F275" s="45" t="str">
        <f>IF($A275="","",ROUND($E275*IF(품목목록!$E272="",0,품목목록!$E272),0))</f>
        <v/>
      </c>
    </row>
    <row r="276" ht="15" customHeight="1" s="30">
      <c r="A276" s="40" t="str">
        <f>IF(품목목록!$A273="","",IF(품목목록!$F273="세트","",품목목록!$A273))</f>
        <v/>
      </c>
      <c r="B276" s="40" t="str">
        <f>IF($A276="","",품목목록!$B273)</f>
        <v/>
      </c>
      <c r="C276" s="40" t="str">
        <f>IF($A276="","",품목목록!$C273)</f>
        <v/>
      </c>
      <c r="D276" s="40" t="str">
        <f>IF($A276="","",품목목록!$D273)</f>
        <v/>
      </c>
      <c r="E276" s="49" t="str">
        <f>IF($A276="","",SUMIFS(전개결과!$N$6:$N$1205,전개결과!$M$6:$M$1205,$A276))</f>
        <v/>
      </c>
      <c r="F276" s="45" t="str">
        <f>IF($A276="","",ROUND($E276*IF(품목목록!$E273="",0,품목목록!$E273),0))</f>
        <v/>
      </c>
    </row>
    <row r="277" ht="15" customHeight="1" s="30">
      <c r="A277" s="40" t="str">
        <f>IF(품목목록!$A274="","",IF(품목목록!$F274="세트","",품목목록!$A274))</f>
        <v/>
      </c>
      <c r="B277" s="40" t="str">
        <f>IF($A277="","",품목목록!$B274)</f>
        <v/>
      </c>
      <c r="C277" s="40" t="str">
        <f>IF($A277="","",품목목록!$C274)</f>
        <v/>
      </c>
      <c r="D277" s="40" t="str">
        <f>IF($A277="","",품목목록!$D274)</f>
        <v/>
      </c>
      <c r="E277" s="49" t="str">
        <f>IF($A277="","",SUMIFS(전개결과!$N$6:$N$1205,전개결과!$M$6:$M$1205,$A277))</f>
        <v/>
      </c>
      <c r="F277" s="45" t="str">
        <f>IF($A277="","",ROUND($E277*IF(품목목록!$E274="",0,품목목록!$E274),0))</f>
        <v/>
      </c>
    </row>
    <row r="278" ht="15" customHeight="1" s="30">
      <c r="A278" s="40" t="str">
        <f>IF(품목목록!$A275="","",IF(품목목록!$F275="세트","",품목목록!$A275))</f>
        <v/>
      </c>
      <c r="B278" s="40" t="str">
        <f>IF($A278="","",품목목록!$B275)</f>
        <v/>
      </c>
      <c r="C278" s="40" t="str">
        <f>IF($A278="","",품목목록!$C275)</f>
        <v/>
      </c>
      <c r="D278" s="40" t="str">
        <f>IF($A278="","",품목목록!$D275)</f>
        <v/>
      </c>
      <c r="E278" s="49" t="str">
        <f>IF($A278="","",SUMIFS(전개결과!$N$6:$N$1205,전개결과!$M$6:$M$1205,$A278))</f>
        <v/>
      </c>
      <c r="F278" s="45" t="str">
        <f>IF($A278="","",ROUND($E278*IF(품목목록!$E275="",0,품목목록!$E275),0))</f>
        <v/>
      </c>
    </row>
    <row r="279" ht="15" customHeight="1" s="30">
      <c r="A279" s="40" t="str">
        <f>IF(품목목록!$A276="","",IF(품목목록!$F276="세트","",품목목록!$A276))</f>
        <v/>
      </c>
      <c r="B279" s="40" t="str">
        <f>IF($A279="","",품목목록!$B276)</f>
        <v/>
      </c>
      <c r="C279" s="40" t="str">
        <f>IF($A279="","",품목목록!$C276)</f>
        <v/>
      </c>
      <c r="D279" s="40" t="str">
        <f>IF($A279="","",품목목록!$D276)</f>
        <v/>
      </c>
      <c r="E279" s="49" t="str">
        <f>IF($A279="","",SUMIFS(전개결과!$N$6:$N$1205,전개결과!$M$6:$M$1205,$A279))</f>
        <v/>
      </c>
      <c r="F279" s="45" t="str">
        <f>IF($A279="","",ROUND($E279*IF(품목목록!$E276="",0,품목목록!$E276),0))</f>
        <v/>
      </c>
    </row>
    <row r="280" ht="15" customHeight="1" s="30">
      <c r="A280" s="40" t="str">
        <f>IF(품목목록!$A277="","",IF(품목목록!$F277="세트","",품목목록!$A277))</f>
        <v/>
      </c>
      <c r="B280" s="40" t="str">
        <f>IF($A280="","",품목목록!$B277)</f>
        <v/>
      </c>
      <c r="C280" s="40" t="str">
        <f>IF($A280="","",품목목록!$C277)</f>
        <v/>
      </c>
      <c r="D280" s="40" t="str">
        <f>IF($A280="","",품목목록!$D277)</f>
        <v/>
      </c>
      <c r="E280" s="49" t="str">
        <f>IF($A280="","",SUMIFS(전개결과!$N$6:$N$1205,전개결과!$M$6:$M$1205,$A280))</f>
        <v/>
      </c>
      <c r="F280" s="45" t="str">
        <f>IF($A280="","",ROUND($E280*IF(품목목록!$E277="",0,품목목록!$E277),0))</f>
        <v/>
      </c>
    </row>
    <row r="281" ht="15" customHeight="1" s="30">
      <c r="A281" s="40" t="str">
        <f>IF(품목목록!$A278="","",IF(품목목록!$F278="세트","",품목목록!$A278))</f>
        <v/>
      </c>
      <c r="B281" s="40" t="str">
        <f>IF($A281="","",품목목록!$B278)</f>
        <v/>
      </c>
      <c r="C281" s="40" t="str">
        <f>IF($A281="","",품목목록!$C278)</f>
        <v/>
      </c>
      <c r="D281" s="40" t="str">
        <f>IF($A281="","",품목목록!$D278)</f>
        <v/>
      </c>
      <c r="E281" s="49" t="str">
        <f>IF($A281="","",SUMIFS(전개결과!$N$6:$N$1205,전개결과!$M$6:$M$1205,$A281))</f>
        <v/>
      </c>
      <c r="F281" s="45" t="str">
        <f>IF($A281="","",ROUND($E281*IF(품목목록!$E278="",0,품목목록!$E278),0))</f>
        <v/>
      </c>
    </row>
    <row r="282" ht="15" customHeight="1" s="30">
      <c r="A282" s="40" t="str">
        <f>IF(품목목록!$A279="","",IF(품목목록!$F279="세트","",품목목록!$A279))</f>
        <v/>
      </c>
      <c r="B282" s="40" t="str">
        <f>IF($A282="","",품목목록!$B279)</f>
        <v/>
      </c>
      <c r="C282" s="40" t="str">
        <f>IF($A282="","",품목목록!$C279)</f>
        <v/>
      </c>
      <c r="D282" s="40" t="str">
        <f>IF($A282="","",품목목록!$D279)</f>
        <v/>
      </c>
      <c r="E282" s="49" t="str">
        <f>IF($A282="","",SUMIFS(전개결과!$N$6:$N$1205,전개결과!$M$6:$M$1205,$A282))</f>
        <v/>
      </c>
      <c r="F282" s="45" t="str">
        <f>IF($A282="","",ROUND($E282*IF(품목목록!$E279="",0,품목목록!$E279),0))</f>
        <v/>
      </c>
    </row>
    <row r="283" ht="15" customHeight="1" s="30">
      <c r="A283" s="40" t="str">
        <f>IF(품목목록!$A280="","",IF(품목목록!$F280="세트","",품목목록!$A280))</f>
        <v/>
      </c>
      <c r="B283" s="40" t="str">
        <f>IF($A283="","",품목목록!$B280)</f>
        <v/>
      </c>
      <c r="C283" s="40" t="str">
        <f>IF($A283="","",품목목록!$C280)</f>
        <v/>
      </c>
      <c r="D283" s="40" t="str">
        <f>IF($A283="","",품목목록!$D280)</f>
        <v/>
      </c>
      <c r="E283" s="49" t="str">
        <f>IF($A283="","",SUMIFS(전개결과!$N$6:$N$1205,전개결과!$M$6:$M$1205,$A283))</f>
        <v/>
      </c>
      <c r="F283" s="45" t="str">
        <f>IF($A283="","",ROUND($E283*IF(품목목록!$E280="",0,품목목록!$E280),0))</f>
        <v/>
      </c>
    </row>
    <row r="284" ht="15" customHeight="1" s="30">
      <c r="A284" s="40" t="str">
        <f>IF(품목목록!$A281="","",IF(품목목록!$F281="세트","",품목목록!$A281))</f>
        <v/>
      </c>
      <c r="B284" s="40" t="str">
        <f>IF($A284="","",품목목록!$B281)</f>
        <v/>
      </c>
      <c r="C284" s="40" t="str">
        <f>IF($A284="","",품목목록!$C281)</f>
        <v/>
      </c>
      <c r="D284" s="40" t="str">
        <f>IF($A284="","",품목목록!$D281)</f>
        <v/>
      </c>
      <c r="E284" s="49" t="str">
        <f>IF($A284="","",SUMIFS(전개결과!$N$6:$N$1205,전개결과!$M$6:$M$1205,$A284))</f>
        <v/>
      </c>
      <c r="F284" s="45" t="str">
        <f>IF($A284="","",ROUND($E284*IF(품목목록!$E281="",0,품목목록!$E281),0))</f>
        <v/>
      </c>
    </row>
    <row r="285" ht="15" customHeight="1" s="30">
      <c r="A285" s="40" t="str">
        <f>IF(품목목록!$A282="","",IF(품목목록!$F282="세트","",품목목록!$A282))</f>
        <v/>
      </c>
      <c r="B285" s="40" t="str">
        <f>IF($A285="","",품목목록!$B282)</f>
        <v/>
      </c>
      <c r="C285" s="40" t="str">
        <f>IF($A285="","",품목목록!$C282)</f>
        <v/>
      </c>
      <c r="D285" s="40" t="str">
        <f>IF($A285="","",품목목록!$D282)</f>
        <v/>
      </c>
      <c r="E285" s="49" t="str">
        <f>IF($A285="","",SUMIFS(전개결과!$N$6:$N$1205,전개결과!$M$6:$M$1205,$A285))</f>
        <v/>
      </c>
      <c r="F285" s="45" t="str">
        <f>IF($A285="","",ROUND($E285*IF(품목목록!$E282="",0,품목목록!$E282),0))</f>
        <v/>
      </c>
    </row>
    <row r="286" ht="15" customHeight="1" s="30">
      <c r="A286" s="40" t="str">
        <f>IF(품목목록!$A283="","",IF(품목목록!$F283="세트","",품목목록!$A283))</f>
        <v/>
      </c>
      <c r="B286" s="40" t="str">
        <f>IF($A286="","",품목목록!$B283)</f>
        <v/>
      </c>
      <c r="C286" s="40" t="str">
        <f>IF($A286="","",품목목록!$C283)</f>
        <v/>
      </c>
      <c r="D286" s="40" t="str">
        <f>IF($A286="","",품목목록!$D283)</f>
        <v/>
      </c>
      <c r="E286" s="49" t="str">
        <f>IF($A286="","",SUMIFS(전개결과!$N$6:$N$1205,전개결과!$M$6:$M$1205,$A286))</f>
        <v/>
      </c>
      <c r="F286" s="45" t="str">
        <f>IF($A286="","",ROUND($E286*IF(품목목록!$E283="",0,품목목록!$E283),0))</f>
        <v/>
      </c>
    </row>
    <row r="287" ht="15" customHeight="1" s="30">
      <c r="A287" s="40" t="str">
        <f>IF(품목목록!$A284="","",IF(품목목록!$F284="세트","",품목목록!$A284))</f>
        <v/>
      </c>
      <c r="B287" s="40" t="str">
        <f>IF($A287="","",품목목록!$B284)</f>
        <v/>
      </c>
      <c r="C287" s="40" t="str">
        <f>IF($A287="","",품목목록!$C284)</f>
        <v/>
      </c>
      <c r="D287" s="40" t="str">
        <f>IF($A287="","",품목목록!$D284)</f>
        <v/>
      </c>
      <c r="E287" s="49" t="str">
        <f>IF($A287="","",SUMIFS(전개결과!$N$6:$N$1205,전개결과!$M$6:$M$1205,$A287))</f>
        <v/>
      </c>
      <c r="F287" s="45" t="str">
        <f>IF($A287="","",ROUND($E287*IF(품목목록!$E284="",0,품목목록!$E284),0))</f>
        <v/>
      </c>
    </row>
    <row r="288" ht="15" customHeight="1" s="30">
      <c r="A288" s="40" t="str">
        <f>IF(품목목록!$A285="","",IF(품목목록!$F285="세트","",품목목록!$A285))</f>
        <v/>
      </c>
      <c r="B288" s="40" t="str">
        <f>IF($A288="","",품목목록!$B285)</f>
        <v/>
      </c>
      <c r="C288" s="40" t="str">
        <f>IF($A288="","",품목목록!$C285)</f>
        <v/>
      </c>
      <c r="D288" s="40" t="str">
        <f>IF($A288="","",품목목록!$D285)</f>
        <v/>
      </c>
      <c r="E288" s="49" t="str">
        <f>IF($A288="","",SUMIFS(전개결과!$N$6:$N$1205,전개결과!$M$6:$M$1205,$A288))</f>
        <v/>
      </c>
      <c r="F288" s="45" t="str">
        <f>IF($A288="","",ROUND($E288*IF(품목목록!$E285="",0,품목목록!$E285),0))</f>
        <v/>
      </c>
    </row>
    <row r="289" ht="15" customHeight="1" s="30">
      <c r="A289" s="40" t="str">
        <f>IF(품목목록!$A286="","",IF(품목목록!$F286="세트","",품목목록!$A286))</f>
        <v/>
      </c>
      <c r="B289" s="40" t="str">
        <f>IF($A289="","",품목목록!$B286)</f>
        <v/>
      </c>
      <c r="C289" s="40" t="str">
        <f>IF($A289="","",품목목록!$C286)</f>
        <v/>
      </c>
      <c r="D289" s="40" t="str">
        <f>IF($A289="","",품목목록!$D286)</f>
        <v/>
      </c>
      <c r="E289" s="49" t="str">
        <f>IF($A289="","",SUMIFS(전개결과!$N$6:$N$1205,전개결과!$M$6:$M$1205,$A289))</f>
        <v/>
      </c>
      <c r="F289" s="45" t="str">
        <f>IF($A289="","",ROUND($E289*IF(품목목록!$E286="",0,품목목록!$E286),0))</f>
        <v/>
      </c>
    </row>
    <row r="290" ht="15" customHeight="1" s="30">
      <c r="A290" s="40" t="str">
        <f>IF(품목목록!$A287="","",IF(품목목록!$F287="세트","",품목목록!$A287))</f>
        <v/>
      </c>
      <c r="B290" s="40" t="str">
        <f>IF($A290="","",품목목록!$B287)</f>
        <v/>
      </c>
      <c r="C290" s="40" t="str">
        <f>IF($A290="","",품목목록!$C287)</f>
        <v/>
      </c>
      <c r="D290" s="40" t="str">
        <f>IF($A290="","",품목목록!$D287)</f>
        <v/>
      </c>
      <c r="E290" s="49" t="str">
        <f>IF($A290="","",SUMIFS(전개결과!$N$6:$N$1205,전개결과!$M$6:$M$1205,$A290))</f>
        <v/>
      </c>
      <c r="F290" s="45" t="str">
        <f>IF($A290="","",ROUND($E290*IF(품목목록!$E287="",0,품목목록!$E287),0))</f>
        <v/>
      </c>
    </row>
    <row r="291" ht="15" customHeight="1" s="30">
      <c r="A291" s="40" t="str">
        <f>IF(품목목록!$A288="","",IF(품목목록!$F288="세트","",품목목록!$A288))</f>
        <v/>
      </c>
      <c r="B291" s="40" t="str">
        <f>IF($A291="","",품목목록!$B288)</f>
        <v/>
      </c>
      <c r="C291" s="40" t="str">
        <f>IF($A291="","",품목목록!$C288)</f>
        <v/>
      </c>
      <c r="D291" s="40" t="str">
        <f>IF($A291="","",품목목록!$D288)</f>
        <v/>
      </c>
      <c r="E291" s="49" t="str">
        <f>IF($A291="","",SUMIFS(전개결과!$N$6:$N$1205,전개결과!$M$6:$M$1205,$A291))</f>
        <v/>
      </c>
      <c r="F291" s="45" t="str">
        <f>IF($A291="","",ROUND($E291*IF(품목목록!$E288="",0,품목목록!$E288),0))</f>
        <v/>
      </c>
    </row>
    <row r="292" ht="15" customHeight="1" s="30">
      <c r="A292" s="40" t="str">
        <f>IF(품목목록!$A289="","",IF(품목목록!$F289="세트","",품목목록!$A289))</f>
        <v/>
      </c>
      <c r="B292" s="40" t="str">
        <f>IF($A292="","",품목목록!$B289)</f>
        <v/>
      </c>
      <c r="C292" s="40" t="str">
        <f>IF($A292="","",품목목록!$C289)</f>
        <v/>
      </c>
      <c r="D292" s="40" t="str">
        <f>IF($A292="","",품목목록!$D289)</f>
        <v/>
      </c>
      <c r="E292" s="49" t="str">
        <f>IF($A292="","",SUMIFS(전개결과!$N$6:$N$1205,전개결과!$M$6:$M$1205,$A292))</f>
        <v/>
      </c>
      <c r="F292" s="45" t="str">
        <f>IF($A292="","",ROUND($E292*IF(품목목록!$E289="",0,품목목록!$E289),0))</f>
        <v/>
      </c>
    </row>
    <row r="293" ht="15" customHeight="1" s="30">
      <c r="A293" s="40" t="str">
        <f>IF(품목목록!$A290="","",IF(품목목록!$F290="세트","",품목목록!$A290))</f>
        <v/>
      </c>
      <c r="B293" s="40" t="str">
        <f>IF($A293="","",품목목록!$B290)</f>
        <v/>
      </c>
      <c r="C293" s="40" t="str">
        <f>IF($A293="","",품목목록!$C290)</f>
        <v/>
      </c>
      <c r="D293" s="40" t="str">
        <f>IF($A293="","",품목목록!$D290)</f>
        <v/>
      </c>
      <c r="E293" s="49" t="str">
        <f>IF($A293="","",SUMIFS(전개결과!$N$6:$N$1205,전개결과!$M$6:$M$1205,$A293))</f>
        <v/>
      </c>
      <c r="F293" s="45" t="str">
        <f>IF($A293="","",ROUND($E293*IF(품목목록!$E290="",0,품목목록!$E290),0))</f>
        <v/>
      </c>
    </row>
    <row r="294" ht="15" customHeight="1" s="30">
      <c r="A294" s="40" t="str">
        <f>IF(품목목록!$A291="","",IF(품목목록!$F291="세트","",품목목록!$A291))</f>
        <v/>
      </c>
      <c r="B294" s="40" t="str">
        <f>IF($A294="","",품목목록!$B291)</f>
        <v/>
      </c>
      <c r="C294" s="40" t="str">
        <f>IF($A294="","",품목목록!$C291)</f>
        <v/>
      </c>
      <c r="D294" s="40" t="str">
        <f>IF($A294="","",품목목록!$D291)</f>
        <v/>
      </c>
      <c r="E294" s="49" t="str">
        <f>IF($A294="","",SUMIFS(전개결과!$N$6:$N$1205,전개결과!$M$6:$M$1205,$A294))</f>
        <v/>
      </c>
      <c r="F294" s="45" t="str">
        <f>IF($A294="","",ROUND($E294*IF(품목목록!$E291="",0,품목목록!$E291),0))</f>
        <v/>
      </c>
    </row>
    <row r="295" ht="15" customHeight="1" s="30">
      <c r="A295" s="40" t="str">
        <f>IF(품목목록!$A292="","",IF(품목목록!$F292="세트","",품목목록!$A292))</f>
        <v/>
      </c>
      <c r="B295" s="40" t="str">
        <f>IF($A295="","",품목목록!$B292)</f>
        <v/>
      </c>
      <c r="C295" s="40" t="str">
        <f>IF($A295="","",품목목록!$C292)</f>
        <v/>
      </c>
      <c r="D295" s="40" t="str">
        <f>IF($A295="","",품목목록!$D292)</f>
        <v/>
      </c>
      <c r="E295" s="49" t="str">
        <f>IF($A295="","",SUMIFS(전개결과!$N$6:$N$1205,전개결과!$M$6:$M$1205,$A295))</f>
        <v/>
      </c>
      <c r="F295" s="45" t="str">
        <f>IF($A295="","",ROUND($E295*IF(품목목록!$E292="",0,품목목록!$E292),0))</f>
        <v/>
      </c>
    </row>
    <row r="296" ht="15" customHeight="1" s="30">
      <c r="A296" s="40" t="str">
        <f>IF(품목목록!$A293="","",IF(품목목록!$F293="세트","",품목목록!$A293))</f>
        <v/>
      </c>
      <c r="B296" s="40" t="str">
        <f>IF($A296="","",품목목록!$B293)</f>
        <v/>
      </c>
      <c r="C296" s="40" t="str">
        <f>IF($A296="","",품목목록!$C293)</f>
        <v/>
      </c>
      <c r="D296" s="40" t="str">
        <f>IF($A296="","",품목목록!$D293)</f>
        <v/>
      </c>
      <c r="E296" s="49" t="str">
        <f>IF($A296="","",SUMIFS(전개결과!$N$6:$N$1205,전개결과!$M$6:$M$1205,$A296))</f>
        <v/>
      </c>
      <c r="F296" s="45" t="str">
        <f>IF($A296="","",ROUND($E296*IF(품목목록!$E293="",0,품목목록!$E293),0))</f>
        <v/>
      </c>
    </row>
    <row r="297" ht="15" customHeight="1" s="30">
      <c r="A297" s="40" t="str">
        <f>IF(품목목록!$A294="","",IF(품목목록!$F294="세트","",품목목록!$A294))</f>
        <v/>
      </c>
      <c r="B297" s="40" t="str">
        <f>IF($A297="","",품목목록!$B294)</f>
        <v/>
      </c>
      <c r="C297" s="40" t="str">
        <f>IF($A297="","",품목목록!$C294)</f>
        <v/>
      </c>
      <c r="D297" s="40" t="str">
        <f>IF($A297="","",품목목록!$D294)</f>
        <v/>
      </c>
      <c r="E297" s="49" t="str">
        <f>IF($A297="","",SUMIFS(전개결과!$N$6:$N$1205,전개결과!$M$6:$M$1205,$A297))</f>
        <v/>
      </c>
      <c r="F297" s="45" t="str">
        <f>IF($A297="","",ROUND($E297*IF(품목목록!$E294="",0,품목목록!$E294),0))</f>
        <v/>
      </c>
    </row>
    <row r="298" ht="15" customHeight="1" s="30">
      <c r="A298" s="40" t="str">
        <f>IF(품목목록!$A295="","",IF(품목목록!$F295="세트","",품목목록!$A295))</f>
        <v/>
      </c>
      <c r="B298" s="40" t="str">
        <f>IF($A298="","",품목목록!$B295)</f>
        <v/>
      </c>
      <c r="C298" s="40" t="str">
        <f>IF($A298="","",품목목록!$C295)</f>
        <v/>
      </c>
      <c r="D298" s="40" t="str">
        <f>IF($A298="","",품목목록!$D295)</f>
        <v/>
      </c>
      <c r="E298" s="49" t="str">
        <f>IF($A298="","",SUMIFS(전개결과!$N$6:$N$1205,전개결과!$M$6:$M$1205,$A298))</f>
        <v/>
      </c>
      <c r="F298" s="45" t="str">
        <f>IF($A298="","",ROUND($E298*IF(품목목록!$E295="",0,품목목록!$E295),0))</f>
        <v/>
      </c>
    </row>
    <row r="299" ht="15" customHeight="1" s="30">
      <c r="A299" s="40" t="str">
        <f>IF(품목목록!$A296="","",IF(품목목록!$F296="세트","",품목목록!$A296))</f>
        <v/>
      </c>
      <c r="B299" s="40" t="str">
        <f>IF($A299="","",품목목록!$B296)</f>
        <v/>
      </c>
      <c r="C299" s="40" t="str">
        <f>IF($A299="","",품목목록!$C296)</f>
        <v/>
      </c>
      <c r="D299" s="40" t="str">
        <f>IF($A299="","",품목목록!$D296)</f>
        <v/>
      </c>
      <c r="E299" s="49" t="str">
        <f>IF($A299="","",SUMIFS(전개결과!$N$6:$N$1205,전개결과!$M$6:$M$1205,$A299))</f>
        <v/>
      </c>
      <c r="F299" s="45" t="str">
        <f>IF($A299="","",ROUND($E299*IF(품목목록!$E296="",0,품목목록!$E296),0))</f>
        <v/>
      </c>
    </row>
    <row r="300" ht="15" customHeight="1" s="30">
      <c r="A300" s="40" t="str">
        <f>IF(품목목록!$A297="","",IF(품목목록!$F297="세트","",품목목록!$A297))</f>
        <v/>
      </c>
      <c r="B300" s="40" t="str">
        <f>IF($A300="","",품목목록!$B297)</f>
        <v/>
      </c>
      <c r="C300" s="40" t="str">
        <f>IF($A300="","",품목목록!$C297)</f>
        <v/>
      </c>
      <c r="D300" s="40" t="str">
        <f>IF($A300="","",품목목록!$D297)</f>
        <v/>
      </c>
      <c r="E300" s="49" t="str">
        <f>IF($A300="","",SUMIFS(전개결과!$N$6:$N$1205,전개결과!$M$6:$M$1205,$A300))</f>
        <v/>
      </c>
      <c r="F300" s="45" t="str">
        <f>IF($A300="","",ROUND($E300*IF(품목목록!$E297="",0,품목목록!$E297),0))</f>
        <v/>
      </c>
    </row>
    <row r="301" ht="15" customHeight="1" s="30">
      <c r="A301" s="40" t="str">
        <f>IF(품목목록!$A298="","",IF(품목목록!$F298="세트","",품목목록!$A298))</f>
        <v/>
      </c>
      <c r="B301" s="40" t="str">
        <f>IF($A301="","",품목목록!$B298)</f>
        <v/>
      </c>
      <c r="C301" s="40" t="str">
        <f>IF($A301="","",품목목록!$C298)</f>
        <v/>
      </c>
      <c r="D301" s="40" t="str">
        <f>IF($A301="","",품목목록!$D298)</f>
        <v/>
      </c>
      <c r="E301" s="49" t="str">
        <f>IF($A301="","",SUMIFS(전개결과!$N$6:$N$1205,전개결과!$M$6:$M$1205,$A301))</f>
        <v/>
      </c>
      <c r="F301" s="45" t="str">
        <f>IF($A301="","",ROUND($E301*IF(품목목록!$E298="",0,품목목록!$E298),0))</f>
        <v/>
      </c>
    </row>
    <row r="302" ht="15" customHeight="1" s="30">
      <c r="A302" s="40" t="str">
        <f>IF(품목목록!$A299="","",IF(품목목록!$F299="세트","",품목목록!$A299))</f>
        <v/>
      </c>
      <c r="B302" s="40" t="str">
        <f>IF($A302="","",품목목록!$B299)</f>
        <v/>
      </c>
      <c r="C302" s="40" t="str">
        <f>IF($A302="","",품목목록!$C299)</f>
        <v/>
      </c>
      <c r="D302" s="40" t="str">
        <f>IF($A302="","",품목목록!$D299)</f>
        <v/>
      </c>
      <c r="E302" s="49" t="str">
        <f>IF($A302="","",SUMIFS(전개결과!$N$6:$N$1205,전개결과!$M$6:$M$1205,$A302))</f>
        <v/>
      </c>
      <c r="F302" s="45" t="str">
        <f>IF($A302="","",ROUND($E302*IF(품목목록!$E299="",0,품목목록!$E299),0))</f>
        <v/>
      </c>
    </row>
    <row r="303" ht="15" customHeight="1" s="30">
      <c r="A303" s="40" t="str">
        <f>IF(품목목록!$A300="","",IF(품목목록!$F300="세트","",품목목록!$A300))</f>
        <v/>
      </c>
      <c r="B303" s="40" t="str">
        <f>IF($A303="","",품목목록!$B300)</f>
        <v/>
      </c>
      <c r="C303" s="40" t="str">
        <f>IF($A303="","",품목목록!$C300)</f>
        <v/>
      </c>
      <c r="D303" s="40" t="str">
        <f>IF($A303="","",품목목록!$D300)</f>
        <v/>
      </c>
      <c r="E303" s="49" t="str">
        <f>IF($A303="","",SUMIFS(전개결과!$N$6:$N$1205,전개결과!$M$6:$M$1205,$A303))</f>
        <v/>
      </c>
      <c r="F303" s="45" t="str">
        <f>IF($A303="","",ROUND($E303*IF(품목목록!$E300="",0,품목목록!$E300),0))</f>
        <v/>
      </c>
    </row>
    <row r="304" ht="15" customHeight="1" s="30">
      <c r="A304" s="40" t="str">
        <f>IF(품목목록!$A301="","",IF(품목목록!$F301="세트","",품목목록!$A301))</f>
        <v/>
      </c>
      <c r="B304" s="40" t="str">
        <f>IF($A304="","",품목목록!$B301)</f>
        <v/>
      </c>
      <c r="C304" s="40" t="str">
        <f>IF($A304="","",품목목록!$C301)</f>
        <v/>
      </c>
      <c r="D304" s="40" t="str">
        <f>IF($A304="","",품목목록!$D301)</f>
        <v/>
      </c>
      <c r="E304" s="49" t="str">
        <f>IF($A304="","",SUMIFS(전개결과!$N$6:$N$1205,전개결과!$M$6:$M$1205,$A304))</f>
        <v/>
      </c>
      <c r="F304" s="45" t="str">
        <f>IF($A304="","",ROUND($E304*IF(품목목록!$E301="",0,품목목록!$E301),0))</f>
        <v/>
      </c>
    </row>
    <row r="305" ht="15" customHeight="1" s="30">
      <c r="A305" s="40" t="str">
        <f>IF(품목목록!$A302="","",IF(품목목록!$F302="세트","",품목목록!$A302))</f>
        <v/>
      </c>
      <c r="B305" s="40" t="str">
        <f>IF($A305="","",품목목록!$B302)</f>
        <v/>
      </c>
      <c r="C305" s="40" t="str">
        <f>IF($A305="","",품목목록!$C302)</f>
        <v/>
      </c>
      <c r="D305" s="40" t="str">
        <f>IF($A305="","",품목목록!$D302)</f>
        <v/>
      </c>
      <c r="E305" s="49" t="str">
        <f>IF($A305="","",SUMIFS(전개결과!$N$6:$N$1205,전개결과!$M$6:$M$1205,$A305))</f>
        <v/>
      </c>
      <c r="F305" s="45" t="str">
        <f>IF($A305="","",ROUND($E305*IF(품목목록!$E302="",0,품목목록!$E302),0))</f>
        <v/>
      </c>
    </row>
    <row r="307" ht="15" customHeight="1" s="30">
      <c r="B307" s="53" t="inlineStr">
        <is>
          <t>합계</t>
        </is>
      </c>
      <c r="E307" s="54" t="n">
        <f>SUM(E6:E305)</f>
        <v>61</v>
      </c>
      <c r="F307" s="55" t="n">
        <f>SUM(F6:F305)</f>
        <v>1709000</v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6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29" min="1" max="1"/>
    <col width="13" customWidth="1" style="29" min="2" max="4"/>
    <col width="13" customWidth="1" style="30" min="3" max="3"/>
    <col width="13" customWidth="1" style="30" min="4" max="4"/>
    <col width="17" customWidth="1" style="29" min="5" max="5"/>
    <col width="24" customWidth="1" style="29" min="7" max="7"/>
  </cols>
  <sheetData>
    <row r="1" ht="25.5" customHeight="1" s="30">
      <c r="A1" s="31" t="inlineStr">
        <is>
          <t>거래처별집계</t>
        </is>
      </c>
    </row>
    <row r="2"/>
    <row r="3" ht="15" customHeight="1" s="30">
      <c r="A3" s="35" t="inlineStr">
        <is>
          <t>거래처</t>
        </is>
      </c>
      <c r="B3" s="35" t="inlineStr">
        <is>
          <t>발주 건수</t>
        </is>
      </c>
      <c r="C3" s="35" t="inlineStr">
        <is>
          <t>세트 건수</t>
        </is>
      </c>
      <c r="D3" s="35" t="inlineStr">
        <is>
          <t>낱개 건수</t>
        </is>
      </c>
      <c r="E3" s="35" t="inlineStr">
        <is>
          <t>발주 금액</t>
        </is>
      </c>
      <c r="G3" s="34" t="inlineStr">
        <is>
          <t>거래처 자동수집</t>
        </is>
      </c>
    </row>
    <row r="4" ht="15" customHeight="1" s="30">
      <c r="A4" s="40" t="str">
        <f>IF($G4="","",$G4)</f>
        <v>○○마트</v>
      </c>
      <c r="B4" s="47" t="n">
        <f>IF($A4="","",COUNTIFS(발주접수!$C$3:$C$122,$A4))</f>
        <v>2</v>
      </c>
      <c r="C4" s="47" t="n">
        <f>IF($A4="","",COUNTIFS(발주접수!$C$3:$C$122,$A4,발주접수!$F$3:$F$122,"세트"))</f>
        <v>1</v>
      </c>
      <c r="D4" s="47" t="n">
        <f>IF($A4="","",COUNTIFS(발주접수!$C$3:$C$122,$A4,발주접수!$F$3:$F$122,"낱개"))</f>
        <v>1</v>
      </c>
      <c r="E4" s="56" t="n">
        <f>IF($A4="","",SUMIFS(발주접수!$I$3:$I$122,발주접수!$C$3:$C$122,$A4))</f>
        <v>280000</v>
      </c>
      <c r="G4" s="34" t="str">
        <f>IF(발주접수!$C3="","",IF(COUNTIF(발주접수!$C$3:$C3,발주접수!$C3)=1,발주접수!$C3,""))</f>
        <v>○○마트</v>
      </c>
    </row>
    <row r="5" ht="15" customHeight="1" s="30">
      <c r="A5" s="40" t="str">
        <f>IF($G5="","",$G5)</f>
        <v/>
      </c>
      <c r="B5" s="47" t="str">
        <f>IF($A5="","",COUNTIFS(발주접수!$C$3:$C$122,$A5))</f>
        <v/>
      </c>
      <c r="C5" s="47" t="str">
        <f>IF($A5="","",COUNTIFS(발주접수!$C$3:$C$122,$A5,발주접수!$F$3:$F$122,"세트"))</f>
        <v/>
      </c>
      <c r="D5" s="47" t="str">
        <f>IF($A5="","",COUNTIFS(발주접수!$C$3:$C$122,$A5,발주접수!$F$3:$F$122,"낱개"))</f>
        <v/>
      </c>
      <c r="E5" s="56" t="str">
        <f>IF($A5="","",SUMIFS(발주접수!$I$3:$I$122,발주접수!$C$3:$C$122,$A5))</f>
        <v/>
      </c>
      <c r="G5" s="34" t="str">
        <f>IF(발주접수!$C4="","",IF(COUNTIF(발주접수!$C$3:$C4,발주접수!$C4)=1,발주접수!$C4,""))</f>
        <v/>
      </c>
    </row>
    <row r="6" ht="15" customHeight="1" s="30">
      <c r="A6" s="40" t="str">
        <f>IF($G6="","",$G6)</f>
        <v>△△백화점</v>
      </c>
      <c r="B6" s="47" t="n">
        <f>IF($A6="","",COUNTIFS(발주접수!$C$3:$C$122,$A6))</f>
        <v>1</v>
      </c>
      <c r="C6" s="47" t="n">
        <f>IF($A6="","",COUNTIFS(발주접수!$C$3:$C$122,$A6,발주접수!$F$3:$F$122,"세트"))</f>
        <v>1</v>
      </c>
      <c r="D6" s="47" t="n">
        <f>IF($A6="","",COUNTIFS(발주접수!$C$3:$C$122,$A6,발주접수!$F$3:$F$122,"낱개"))</f>
        <v>0</v>
      </c>
      <c r="E6" s="56" t="n">
        <f>IF($A6="","",SUMIFS(발주접수!$I$3:$I$122,발주접수!$C$3:$C$122,$A6))</f>
        <v>0</v>
      </c>
      <c r="G6" s="34" t="str">
        <f>IF(발주접수!$C5="","",IF(COUNTIF(발주접수!$C$3:$C5,발주접수!$C5)=1,발주접수!$C5,""))</f>
        <v>△△백화점</v>
      </c>
    </row>
    <row r="7" ht="15" customHeight="1" s="30">
      <c r="A7" s="40" t="str">
        <f>IF($G7="","",$G7)</f>
        <v/>
      </c>
      <c r="B7" s="47" t="str">
        <f>IF($A7="","",COUNTIFS(발주접수!$C$3:$C$122,$A7))</f>
        <v/>
      </c>
      <c r="C7" s="47" t="str">
        <f>IF($A7="","",COUNTIFS(발주접수!$C$3:$C$122,$A7,발주접수!$F$3:$F$122,"세트"))</f>
        <v/>
      </c>
      <c r="D7" s="47" t="str">
        <f>IF($A7="","",COUNTIFS(발주접수!$C$3:$C$122,$A7,발주접수!$F$3:$F$122,"낱개"))</f>
        <v/>
      </c>
      <c r="E7" s="56" t="str">
        <f>IF($A7="","",SUMIFS(발주접수!$I$3:$I$122,발주접수!$C$3:$C$122,$A7))</f>
        <v/>
      </c>
      <c r="G7" s="34" t="str">
        <f>IF(발주접수!$C6="","",IF(COUNTIF(발주접수!$C$3:$C6,발주접수!$C6)=1,발주접수!$C6,""))</f>
        <v/>
      </c>
    </row>
    <row r="8" ht="15" customHeight="1" s="30">
      <c r="A8" s="40" t="str">
        <f>IF($G8="","",$G8)</f>
        <v/>
      </c>
      <c r="B8" s="47" t="str">
        <f>IF($A8="","",COUNTIFS(발주접수!$C$3:$C$122,$A8))</f>
        <v/>
      </c>
      <c r="C8" s="47" t="str">
        <f>IF($A8="","",COUNTIFS(발주접수!$C$3:$C$122,$A8,발주접수!$F$3:$F$122,"세트"))</f>
        <v/>
      </c>
      <c r="D8" s="47" t="str">
        <f>IF($A8="","",COUNTIFS(발주접수!$C$3:$C$122,$A8,발주접수!$F$3:$F$122,"낱개"))</f>
        <v/>
      </c>
      <c r="E8" s="56" t="str">
        <f>IF($A8="","",SUMIFS(발주접수!$I$3:$I$122,발주접수!$C$3:$C$122,$A8))</f>
        <v/>
      </c>
      <c r="G8" s="34" t="str">
        <f>IF(발주접수!$C7="","",IF(COUNTIF(발주접수!$C$3:$C7,발주접수!$C7)=1,발주접수!$C7,""))</f>
        <v/>
      </c>
    </row>
    <row r="9" ht="15" customHeight="1" s="30">
      <c r="A9" s="40" t="str">
        <f>IF($G9="","",$G9)</f>
        <v/>
      </c>
      <c r="B9" s="47" t="str">
        <f>IF($A9="","",COUNTIFS(발주접수!$C$3:$C$122,$A9))</f>
        <v/>
      </c>
      <c r="C9" s="47" t="str">
        <f>IF($A9="","",COUNTIFS(발주접수!$C$3:$C$122,$A9,발주접수!$F$3:$F$122,"세트"))</f>
        <v/>
      </c>
      <c r="D9" s="47" t="str">
        <f>IF($A9="","",COUNTIFS(발주접수!$C$3:$C$122,$A9,발주접수!$F$3:$F$122,"낱개"))</f>
        <v/>
      </c>
      <c r="E9" s="56" t="str">
        <f>IF($A9="","",SUMIFS(발주접수!$I$3:$I$122,발주접수!$C$3:$C$122,$A9))</f>
        <v/>
      </c>
      <c r="G9" s="34" t="str">
        <f>IF(발주접수!$C8="","",IF(COUNTIF(발주접수!$C$3:$C8,발주접수!$C8)=1,발주접수!$C8,""))</f>
        <v/>
      </c>
    </row>
    <row r="10" ht="15" customHeight="1" s="30">
      <c r="A10" s="40" t="str">
        <f>IF($G10="","",$G10)</f>
        <v/>
      </c>
      <c r="B10" s="47" t="str">
        <f>IF($A10="","",COUNTIFS(발주접수!$C$3:$C$122,$A10))</f>
        <v/>
      </c>
      <c r="C10" s="47" t="str">
        <f>IF($A10="","",COUNTIFS(발주접수!$C$3:$C$122,$A10,발주접수!$F$3:$F$122,"세트"))</f>
        <v/>
      </c>
      <c r="D10" s="47" t="str">
        <f>IF($A10="","",COUNTIFS(발주접수!$C$3:$C$122,$A10,발주접수!$F$3:$F$122,"낱개"))</f>
        <v/>
      </c>
      <c r="E10" s="56" t="str">
        <f>IF($A10="","",SUMIFS(발주접수!$I$3:$I$122,발주접수!$C$3:$C$122,$A10))</f>
        <v/>
      </c>
      <c r="G10" s="34" t="str">
        <f>IF(발주접수!$C9="","",IF(COUNTIF(발주접수!$C$3:$C9,발주접수!$C9)=1,발주접수!$C9,""))</f>
        <v/>
      </c>
    </row>
    <row r="11" ht="15" customHeight="1" s="30">
      <c r="A11" s="40" t="str">
        <f>IF($G11="","",$G11)</f>
        <v/>
      </c>
      <c r="B11" s="47" t="str">
        <f>IF($A11="","",COUNTIFS(발주접수!$C$3:$C$122,$A11))</f>
        <v/>
      </c>
      <c r="C11" s="47" t="str">
        <f>IF($A11="","",COUNTIFS(발주접수!$C$3:$C$122,$A11,발주접수!$F$3:$F$122,"세트"))</f>
        <v/>
      </c>
      <c r="D11" s="47" t="str">
        <f>IF($A11="","",COUNTIFS(발주접수!$C$3:$C$122,$A11,발주접수!$F$3:$F$122,"낱개"))</f>
        <v/>
      </c>
      <c r="E11" s="56" t="str">
        <f>IF($A11="","",SUMIFS(발주접수!$I$3:$I$122,발주접수!$C$3:$C$122,$A11))</f>
        <v/>
      </c>
      <c r="G11" s="34" t="str">
        <f>IF(발주접수!$C10="","",IF(COUNTIF(발주접수!$C$3:$C10,발주접수!$C10)=1,발주접수!$C10,""))</f>
        <v/>
      </c>
    </row>
    <row r="12" ht="15" customHeight="1" s="30">
      <c r="A12" s="40" t="str">
        <f>IF($G12="","",$G12)</f>
        <v/>
      </c>
      <c r="B12" s="47" t="str">
        <f>IF($A12="","",COUNTIFS(발주접수!$C$3:$C$122,$A12))</f>
        <v/>
      </c>
      <c r="C12" s="47" t="str">
        <f>IF($A12="","",COUNTIFS(발주접수!$C$3:$C$122,$A12,발주접수!$F$3:$F$122,"세트"))</f>
        <v/>
      </c>
      <c r="D12" s="47" t="str">
        <f>IF($A12="","",COUNTIFS(발주접수!$C$3:$C$122,$A12,발주접수!$F$3:$F$122,"낱개"))</f>
        <v/>
      </c>
      <c r="E12" s="56" t="str">
        <f>IF($A12="","",SUMIFS(발주접수!$I$3:$I$122,발주접수!$C$3:$C$122,$A12))</f>
        <v/>
      </c>
      <c r="G12" s="34" t="str">
        <f>IF(발주접수!$C11="","",IF(COUNTIF(발주접수!$C$3:$C11,발주접수!$C11)=1,발주접수!$C11,""))</f>
        <v/>
      </c>
    </row>
    <row r="13" ht="15" customHeight="1" s="30">
      <c r="A13" s="40" t="str">
        <f>IF($G13="","",$G13)</f>
        <v/>
      </c>
      <c r="B13" s="47" t="str">
        <f>IF($A13="","",COUNTIFS(발주접수!$C$3:$C$122,$A13))</f>
        <v/>
      </c>
      <c r="C13" s="47" t="str">
        <f>IF($A13="","",COUNTIFS(발주접수!$C$3:$C$122,$A13,발주접수!$F$3:$F$122,"세트"))</f>
        <v/>
      </c>
      <c r="D13" s="47" t="str">
        <f>IF($A13="","",COUNTIFS(발주접수!$C$3:$C$122,$A13,발주접수!$F$3:$F$122,"낱개"))</f>
        <v/>
      </c>
      <c r="E13" s="56" t="str">
        <f>IF($A13="","",SUMIFS(발주접수!$I$3:$I$122,발주접수!$C$3:$C$122,$A13))</f>
        <v/>
      </c>
      <c r="G13" s="34" t="str">
        <f>IF(발주접수!$C12="","",IF(COUNTIF(발주접수!$C$3:$C12,발주접수!$C12)=1,발주접수!$C12,""))</f>
        <v/>
      </c>
    </row>
    <row r="14" ht="15" customHeight="1" s="30">
      <c r="A14" s="40" t="str">
        <f>IF($G14="","",$G14)</f>
        <v/>
      </c>
      <c r="B14" s="47" t="str">
        <f>IF($A14="","",COUNTIFS(발주접수!$C$3:$C$122,$A14))</f>
        <v/>
      </c>
      <c r="C14" s="47" t="str">
        <f>IF($A14="","",COUNTIFS(발주접수!$C$3:$C$122,$A14,발주접수!$F$3:$F$122,"세트"))</f>
        <v/>
      </c>
      <c r="D14" s="47" t="str">
        <f>IF($A14="","",COUNTIFS(발주접수!$C$3:$C$122,$A14,발주접수!$F$3:$F$122,"낱개"))</f>
        <v/>
      </c>
      <c r="E14" s="56" t="str">
        <f>IF($A14="","",SUMIFS(발주접수!$I$3:$I$122,발주접수!$C$3:$C$122,$A14))</f>
        <v/>
      </c>
      <c r="G14" s="34" t="str">
        <f>IF(발주접수!$C13="","",IF(COUNTIF(발주접수!$C$3:$C13,발주접수!$C13)=1,발주접수!$C13,""))</f>
        <v/>
      </c>
    </row>
    <row r="15" ht="15" customHeight="1" s="30">
      <c r="A15" s="40" t="str">
        <f>IF($G15="","",$G15)</f>
        <v/>
      </c>
      <c r="B15" s="47" t="str">
        <f>IF($A15="","",COUNTIFS(발주접수!$C$3:$C$122,$A15))</f>
        <v/>
      </c>
      <c r="C15" s="47" t="str">
        <f>IF($A15="","",COUNTIFS(발주접수!$C$3:$C$122,$A15,발주접수!$F$3:$F$122,"세트"))</f>
        <v/>
      </c>
      <c r="D15" s="47" t="str">
        <f>IF($A15="","",COUNTIFS(발주접수!$C$3:$C$122,$A15,발주접수!$F$3:$F$122,"낱개"))</f>
        <v/>
      </c>
      <c r="E15" s="56" t="str">
        <f>IF($A15="","",SUMIFS(발주접수!$I$3:$I$122,발주접수!$C$3:$C$122,$A15))</f>
        <v/>
      </c>
      <c r="G15" s="34" t="str">
        <f>IF(발주접수!$C14="","",IF(COUNTIF(발주접수!$C$3:$C14,발주접수!$C14)=1,발주접수!$C14,""))</f>
        <v/>
      </c>
    </row>
    <row r="16" ht="15" customHeight="1" s="30">
      <c r="A16" s="40" t="str">
        <f>IF($G16="","",$G16)</f>
        <v/>
      </c>
      <c r="B16" s="47" t="str">
        <f>IF($A16="","",COUNTIFS(발주접수!$C$3:$C$122,$A16))</f>
        <v/>
      </c>
      <c r="C16" s="47" t="str">
        <f>IF($A16="","",COUNTIFS(발주접수!$C$3:$C$122,$A16,발주접수!$F$3:$F$122,"세트"))</f>
        <v/>
      </c>
      <c r="D16" s="47" t="str">
        <f>IF($A16="","",COUNTIFS(발주접수!$C$3:$C$122,$A16,발주접수!$F$3:$F$122,"낱개"))</f>
        <v/>
      </c>
      <c r="E16" s="56" t="str">
        <f>IF($A16="","",SUMIFS(발주접수!$I$3:$I$122,발주접수!$C$3:$C$122,$A16))</f>
        <v/>
      </c>
      <c r="G16" s="34" t="str">
        <f>IF(발주접수!$C15="","",IF(COUNTIF(발주접수!$C$3:$C15,발주접수!$C15)=1,발주접수!$C15,""))</f>
        <v/>
      </c>
    </row>
    <row r="17" ht="15" customHeight="1" s="30">
      <c r="A17" s="40" t="str">
        <f>IF($G17="","",$G17)</f>
        <v/>
      </c>
      <c r="B17" s="47" t="str">
        <f>IF($A17="","",COUNTIFS(발주접수!$C$3:$C$122,$A17))</f>
        <v/>
      </c>
      <c r="C17" s="47" t="str">
        <f>IF($A17="","",COUNTIFS(발주접수!$C$3:$C$122,$A17,발주접수!$F$3:$F$122,"세트"))</f>
        <v/>
      </c>
      <c r="D17" s="47" t="str">
        <f>IF($A17="","",COUNTIFS(발주접수!$C$3:$C$122,$A17,발주접수!$F$3:$F$122,"낱개"))</f>
        <v/>
      </c>
      <c r="E17" s="56" t="str">
        <f>IF($A17="","",SUMIFS(발주접수!$I$3:$I$122,발주접수!$C$3:$C$122,$A17))</f>
        <v/>
      </c>
      <c r="G17" s="34" t="str">
        <f>IF(발주접수!$C16="","",IF(COUNTIF(발주접수!$C$3:$C16,발주접수!$C16)=1,발주접수!$C16,""))</f>
        <v/>
      </c>
    </row>
    <row r="18" ht="15" customHeight="1" s="30">
      <c r="A18" s="40" t="str">
        <f>IF($G18="","",$G18)</f>
        <v/>
      </c>
      <c r="B18" s="47" t="str">
        <f>IF($A18="","",COUNTIFS(발주접수!$C$3:$C$122,$A18))</f>
        <v/>
      </c>
      <c r="C18" s="47" t="str">
        <f>IF($A18="","",COUNTIFS(발주접수!$C$3:$C$122,$A18,발주접수!$F$3:$F$122,"세트"))</f>
        <v/>
      </c>
      <c r="D18" s="47" t="str">
        <f>IF($A18="","",COUNTIFS(발주접수!$C$3:$C$122,$A18,발주접수!$F$3:$F$122,"낱개"))</f>
        <v/>
      </c>
      <c r="E18" s="56" t="str">
        <f>IF($A18="","",SUMIFS(발주접수!$I$3:$I$122,발주접수!$C$3:$C$122,$A18))</f>
        <v/>
      </c>
      <c r="G18" s="34" t="str">
        <f>IF(발주접수!$C17="","",IF(COUNTIF(발주접수!$C$3:$C17,발주접수!$C17)=1,발주접수!$C17,""))</f>
        <v/>
      </c>
    </row>
    <row r="19" ht="15" customHeight="1" s="30">
      <c r="A19" s="40" t="str">
        <f>IF($G19="","",$G19)</f>
        <v/>
      </c>
      <c r="B19" s="47" t="str">
        <f>IF($A19="","",COUNTIFS(발주접수!$C$3:$C$122,$A19))</f>
        <v/>
      </c>
      <c r="C19" s="47" t="str">
        <f>IF($A19="","",COUNTIFS(발주접수!$C$3:$C$122,$A19,발주접수!$F$3:$F$122,"세트"))</f>
        <v/>
      </c>
      <c r="D19" s="47" t="str">
        <f>IF($A19="","",COUNTIFS(발주접수!$C$3:$C$122,$A19,발주접수!$F$3:$F$122,"낱개"))</f>
        <v/>
      </c>
      <c r="E19" s="56" t="str">
        <f>IF($A19="","",SUMIFS(발주접수!$I$3:$I$122,발주접수!$C$3:$C$122,$A19))</f>
        <v/>
      </c>
      <c r="G19" s="34" t="str">
        <f>IF(발주접수!$C18="","",IF(COUNTIF(발주접수!$C$3:$C18,발주접수!$C18)=1,발주접수!$C18,""))</f>
        <v/>
      </c>
    </row>
    <row r="20" ht="15" customHeight="1" s="30">
      <c r="A20" s="40" t="str">
        <f>IF($G20="","",$G20)</f>
        <v/>
      </c>
      <c r="B20" s="47" t="str">
        <f>IF($A20="","",COUNTIFS(발주접수!$C$3:$C$122,$A20))</f>
        <v/>
      </c>
      <c r="C20" s="47" t="str">
        <f>IF($A20="","",COUNTIFS(발주접수!$C$3:$C$122,$A20,발주접수!$F$3:$F$122,"세트"))</f>
        <v/>
      </c>
      <c r="D20" s="47" t="str">
        <f>IF($A20="","",COUNTIFS(발주접수!$C$3:$C$122,$A20,발주접수!$F$3:$F$122,"낱개"))</f>
        <v/>
      </c>
      <c r="E20" s="56" t="str">
        <f>IF($A20="","",SUMIFS(발주접수!$I$3:$I$122,발주접수!$C$3:$C$122,$A20))</f>
        <v/>
      </c>
      <c r="G20" s="34" t="str">
        <f>IF(발주접수!$C19="","",IF(COUNTIF(발주접수!$C$3:$C19,발주접수!$C19)=1,발주접수!$C19,""))</f>
        <v/>
      </c>
    </row>
    <row r="21" ht="15" customHeight="1" s="30">
      <c r="A21" s="40" t="str">
        <f>IF($G21="","",$G21)</f>
        <v/>
      </c>
      <c r="B21" s="47" t="str">
        <f>IF($A21="","",COUNTIFS(발주접수!$C$3:$C$122,$A21))</f>
        <v/>
      </c>
      <c r="C21" s="47" t="str">
        <f>IF($A21="","",COUNTIFS(발주접수!$C$3:$C$122,$A21,발주접수!$F$3:$F$122,"세트"))</f>
        <v/>
      </c>
      <c r="D21" s="47" t="str">
        <f>IF($A21="","",COUNTIFS(발주접수!$C$3:$C$122,$A21,발주접수!$F$3:$F$122,"낱개"))</f>
        <v/>
      </c>
      <c r="E21" s="56" t="str">
        <f>IF($A21="","",SUMIFS(발주접수!$I$3:$I$122,발주접수!$C$3:$C$122,$A21))</f>
        <v/>
      </c>
      <c r="G21" s="34" t="str">
        <f>IF(발주접수!$C20="","",IF(COUNTIF(발주접수!$C$3:$C20,발주접수!$C20)=1,발주접수!$C20,""))</f>
        <v/>
      </c>
    </row>
    <row r="22" ht="15" customHeight="1" s="30">
      <c r="A22" s="40" t="str">
        <f>IF($G22="","",$G22)</f>
        <v/>
      </c>
      <c r="B22" s="47" t="str">
        <f>IF($A22="","",COUNTIFS(발주접수!$C$3:$C$122,$A22))</f>
        <v/>
      </c>
      <c r="C22" s="47" t="str">
        <f>IF($A22="","",COUNTIFS(발주접수!$C$3:$C$122,$A22,발주접수!$F$3:$F$122,"세트"))</f>
        <v/>
      </c>
      <c r="D22" s="47" t="str">
        <f>IF($A22="","",COUNTIFS(발주접수!$C$3:$C$122,$A22,발주접수!$F$3:$F$122,"낱개"))</f>
        <v/>
      </c>
      <c r="E22" s="56" t="str">
        <f>IF($A22="","",SUMIFS(발주접수!$I$3:$I$122,발주접수!$C$3:$C$122,$A22))</f>
        <v/>
      </c>
      <c r="G22" s="34" t="str">
        <f>IF(발주접수!$C21="","",IF(COUNTIF(발주접수!$C$3:$C21,발주접수!$C21)=1,발주접수!$C21,""))</f>
        <v/>
      </c>
    </row>
    <row r="23" ht="15" customHeight="1" s="30">
      <c r="A23" s="40" t="str">
        <f>IF($G23="","",$G23)</f>
        <v/>
      </c>
      <c r="B23" s="47" t="str">
        <f>IF($A23="","",COUNTIFS(발주접수!$C$3:$C$122,$A23))</f>
        <v/>
      </c>
      <c r="C23" s="47" t="str">
        <f>IF($A23="","",COUNTIFS(발주접수!$C$3:$C$122,$A23,발주접수!$F$3:$F$122,"세트"))</f>
        <v/>
      </c>
      <c r="D23" s="47" t="str">
        <f>IF($A23="","",COUNTIFS(발주접수!$C$3:$C$122,$A23,발주접수!$F$3:$F$122,"낱개"))</f>
        <v/>
      </c>
      <c r="E23" s="56" t="str">
        <f>IF($A23="","",SUMIFS(발주접수!$I$3:$I$122,발주접수!$C$3:$C$122,$A23))</f>
        <v/>
      </c>
      <c r="G23" s="34" t="str">
        <f>IF(발주접수!$C22="","",IF(COUNTIF(발주접수!$C$3:$C22,발주접수!$C22)=1,발주접수!$C22,""))</f>
        <v/>
      </c>
    </row>
    <row r="24" ht="15" customHeight="1" s="30">
      <c r="A24" s="40" t="str">
        <f>IF($G24="","",$G24)</f>
        <v/>
      </c>
      <c r="B24" s="47" t="str">
        <f>IF($A24="","",COUNTIFS(발주접수!$C$3:$C$122,$A24))</f>
        <v/>
      </c>
      <c r="C24" s="47" t="str">
        <f>IF($A24="","",COUNTIFS(발주접수!$C$3:$C$122,$A24,발주접수!$F$3:$F$122,"세트"))</f>
        <v/>
      </c>
      <c r="D24" s="47" t="str">
        <f>IF($A24="","",COUNTIFS(발주접수!$C$3:$C$122,$A24,발주접수!$F$3:$F$122,"낱개"))</f>
        <v/>
      </c>
      <c r="E24" s="56" t="str">
        <f>IF($A24="","",SUMIFS(발주접수!$I$3:$I$122,발주접수!$C$3:$C$122,$A24))</f>
        <v/>
      </c>
      <c r="G24" s="34" t="str">
        <f>IF(발주접수!$C23="","",IF(COUNTIF(발주접수!$C$3:$C23,발주접수!$C23)=1,발주접수!$C23,""))</f>
        <v/>
      </c>
    </row>
    <row r="25" ht="15" customHeight="1" s="30">
      <c r="A25" s="40" t="str">
        <f>IF($G25="","",$G25)</f>
        <v/>
      </c>
      <c r="B25" s="47" t="str">
        <f>IF($A25="","",COUNTIFS(발주접수!$C$3:$C$122,$A25))</f>
        <v/>
      </c>
      <c r="C25" s="47" t="str">
        <f>IF($A25="","",COUNTIFS(발주접수!$C$3:$C$122,$A25,발주접수!$F$3:$F$122,"세트"))</f>
        <v/>
      </c>
      <c r="D25" s="47" t="str">
        <f>IF($A25="","",COUNTIFS(발주접수!$C$3:$C$122,$A25,발주접수!$F$3:$F$122,"낱개"))</f>
        <v/>
      </c>
      <c r="E25" s="56" t="str">
        <f>IF($A25="","",SUMIFS(발주접수!$I$3:$I$122,발주접수!$C$3:$C$122,$A25))</f>
        <v/>
      </c>
      <c r="G25" s="34" t="str">
        <f>IF(발주접수!$C24="","",IF(COUNTIF(발주접수!$C$3:$C24,발주접수!$C24)=1,발주접수!$C24,""))</f>
        <v/>
      </c>
    </row>
    <row r="26" ht="15" customHeight="1" s="30">
      <c r="A26" s="40" t="str">
        <f>IF($G26="","",$G26)</f>
        <v/>
      </c>
      <c r="B26" s="47" t="str">
        <f>IF($A26="","",COUNTIFS(발주접수!$C$3:$C$122,$A26))</f>
        <v/>
      </c>
      <c r="C26" s="47" t="str">
        <f>IF($A26="","",COUNTIFS(발주접수!$C$3:$C$122,$A26,발주접수!$F$3:$F$122,"세트"))</f>
        <v/>
      </c>
      <c r="D26" s="47" t="str">
        <f>IF($A26="","",COUNTIFS(발주접수!$C$3:$C$122,$A26,발주접수!$F$3:$F$122,"낱개"))</f>
        <v/>
      </c>
      <c r="E26" s="56" t="str">
        <f>IF($A26="","",SUMIFS(발주접수!$I$3:$I$122,발주접수!$C$3:$C$122,$A26))</f>
        <v/>
      </c>
      <c r="G26" s="34" t="str">
        <f>IF(발주접수!$C25="","",IF(COUNTIF(발주접수!$C$3:$C25,발주접수!$C25)=1,발주접수!$C25,""))</f>
        <v/>
      </c>
    </row>
    <row r="27" ht="15" customHeight="1" s="30">
      <c r="A27" s="40" t="str">
        <f>IF($G27="","",$G27)</f>
        <v/>
      </c>
      <c r="B27" s="47" t="str">
        <f>IF($A27="","",COUNTIFS(발주접수!$C$3:$C$122,$A27))</f>
        <v/>
      </c>
      <c r="C27" s="47" t="str">
        <f>IF($A27="","",COUNTIFS(발주접수!$C$3:$C$122,$A27,발주접수!$F$3:$F$122,"세트"))</f>
        <v/>
      </c>
      <c r="D27" s="47" t="str">
        <f>IF($A27="","",COUNTIFS(발주접수!$C$3:$C$122,$A27,발주접수!$F$3:$F$122,"낱개"))</f>
        <v/>
      </c>
      <c r="E27" s="56" t="str">
        <f>IF($A27="","",SUMIFS(발주접수!$I$3:$I$122,발주접수!$C$3:$C$122,$A27))</f>
        <v/>
      </c>
      <c r="G27" s="34" t="str">
        <f>IF(발주접수!$C26="","",IF(COUNTIF(발주접수!$C$3:$C26,발주접수!$C26)=1,발주접수!$C26,""))</f>
        <v/>
      </c>
    </row>
    <row r="28" ht="15" customHeight="1" s="30">
      <c r="A28" s="40" t="str">
        <f>IF($G28="","",$G28)</f>
        <v/>
      </c>
      <c r="B28" s="47" t="str">
        <f>IF($A28="","",COUNTIFS(발주접수!$C$3:$C$122,$A28))</f>
        <v/>
      </c>
      <c r="C28" s="47" t="str">
        <f>IF($A28="","",COUNTIFS(발주접수!$C$3:$C$122,$A28,발주접수!$F$3:$F$122,"세트"))</f>
        <v/>
      </c>
      <c r="D28" s="47" t="str">
        <f>IF($A28="","",COUNTIFS(발주접수!$C$3:$C$122,$A28,발주접수!$F$3:$F$122,"낱개"))</f>
        <v/>
      </c>
      <c r="E28" s="56" t="str">
        <f>IF($A28="","",SUMIFS(발주접수!$I$3:$I$122,발주접수!$C$3:$C$122,$A28))</f>
        <v/>
      </c>
      <c r="G28" s="34" t="str">
        <f>IF(발주접수!$C27="","",IF(COUNTIF(발주접수!$C$3:$C27,발주접수!$C27)=1,발주접수!$C27,""))</f>
        <v/>
      </c>
    </row>
    <row r="29" ht="15" customHeight="1" s="30">
      <c r="A29" s="40" t="str">
        <f>IF($G29="","",$G29)</f>
        <v/>
      </c>
      <c r="B29" s="47" t="str">
        <f>IF($A29="","",COUNTIFS(발주접수!$C$3:$C$122,$A29))</f>
        <v/>
      </c>
      <c r="C29" s="47" t="str">
        <f>IF($A29="","",COUNTIFS(발주접수!$C$3:$C$122,$A29,발주접수!$F$3:$F$122,"세트"))</f>
        <v/>
      </c>
      <c r="D29" s="47" t="str">
        <f>IF($A29="","",COUNTIFS(발주접수!$C$3:$C$122,$A29,발주접수!$F$3:$F$122,"낱개"))</f>
        <v/>
      </c>
      <c r="E29" s="56" t="str">
        <f>IF($A29="","",SUMIFS(발주접수!$I$3:$I$122,발주접수!$C$3:$C$122,$A29))</f>
        <v/>
      </c>
      <c r="G29" s="34" t="str">
        <f>IF(발주접수!$C28="","",IF(COUNTIF(발주접수!$C$3:$C28,발주접수!$C28)=1,발주접수!$C28,""))</f>
        <v/>
      </c>
    </row>
    <row r="30" ht="15" customHeight="1" s="30">
      <c r="A30" s="40" t="str">
        <f>IF($G30="","",$G30)</f>
        <v/>
      </c>
      <c r="B30" s="47" t="str">
        <f>IF($A30="","",COUNTIFS(발주접수!$C$3:$C$122,$A30))</f>
        <v/>
      </c>
      <c r="C30" s="47" t="str">
        <f>IF($A30="","",COUNTIFS(발주접수!$C$3:$C$122,$A30,발주접수!$F$3:$F$122,"세트"))</f>
        <v/>
      </c>
      <c r="D30" s="47" t="str">
        <f>IF($A30="","",COUNTIFS(발주접수!$C$3:$C$122,$A30,발주접수!$F$3:$F$122,"낱개"))</f>
        <v/>
      </c>
      <c r="E30" s="56" t="str">
        <f>IF($A30="","",SUMIFS(발주접수!$I$3:$I$122,발주접수!$C$3:$C$122,$A30))</f>
        <v/>
      </c>
      <c r="G30" s="34" t="str">
        <f>IF(발주접수!$C29="","",IF(COUNTIF(발주접수!$C$3:$C29,발주접수!$C29)=1,발주접수!$C29,""))</f>
        <v/>
      </c>
    </row>
    <row r="31" ht="15" customHeight="1" s="30">
      <c r="A31" s="40" t="str">
        <f>IF($G31="","",$G31)</f>
        <v/>
      </c>
      <c r="B31" s="47" t="str">
        <f>IF($A31="","",COUNTIFS(발주접수!$C$3:$C$122,$A31))</f>
        <v/>
      </c>
      <c r="C31" s="47" t="str">
        <f>IF($A31="","",COUNTIFS(발주접수!$C$3:$C$122,$A31,발주접수!$F$3:$F$122,"세트"))</f>
        <v/>
      </c>
      <c r="D31" s="47" t="str">
        <f>IF($A31="","",COUNTIFS(발주접수!$C$3:$C$122,$A31,발주접수!$F$3:$F$122,"낱개"))</f>
        <v/>
      </c>
      <c r="E31" s="56" t="str">
        <f>IF($A31="","",SUMIFS(발주접수!$I$3:$I$122,발주접수!$C$3:$C$122,$A31))</f>
        <v/>
      </c>
      <c r="G31" s="34" t="str">
        <f>IF(발주접수!$C30="","",IF(COUNTIF(발주접수!$C$3:$C30,발주접수!$C30)=1,발주접수!$C30,""))</f>
        <v/>
      </c>
    </row>
    <row r="32" ht="15" customHeight="1" s="30">
      <c r="A32" s="40" t="str">
        <f>IF($G32="","",$G32)</f>
        <v/>
      </c>
      <c r="B32" s="47" t="str">
        <f>IF($A32="","",COUNTIFS(발주접수!$C$3:$C$122,$A32))</f>
        <v/>
      </c>
      <c r="C32" s="47" t="str">
        <f>IF($A32="","",COUNTIFS(발주접수!$C$3:$C$122,$A32,발주접수!$F$3:$F$122,"세트"))</f>
        <v/>
      </c>
      <c r="D32" s="47" t="str">
        <f>IF($A32="","",COUNTIFS(발주접수!$C$3:$C$122,$A32,발주접수!$F$3:$F$122,"낱개"))</f>
        <v/>
      </c>
      <c r="E32" s="56" t="str">
        <f>IF($A32="","",SUMIFS(발주접수!$I$3:$I$122,발주접수!$C$3:$C$122,$A32))</f>
        <v/>
      </c>
      <c r="G32" s="34" t="str">
        <f>IF(발주접수!$C31="","",IF(COUNTIF(발주접수!$C$3:$C31,발주접수!$C31)=1,발주접수!$C31,""))</f>
        <v/>
      </c>
    </row>
    <row r="33" ht="15" customHeight="1" s="30">
      <c r="A33" s="40" t="str">
        <f>IF($G33="","",$G33)</f>
        <v/>
      </c>
      <c r="B33" s="47" t="str">
        <f>IF($A33="","",COUNTIFS(발주접수!$C$3:$C$122,$A33))</f>
        <v/>
      </c>
      <c r="C33" s="47" t="str">
        <f>IF($A33="","",COUNTIFS(발주접수!$C$3:$C$122,$A33,발주접수!$F$3:$F$122,"세트"))</f>
        <v/>
      </c>
      <c r="D33" s="47" t="str">
        <f>IF($A33="","",COUNTIFS(발주접수!$C$3:$C$122,$A33,발주접수!$F$3:$F$122,"낱개"))</f>
        <v/>
      </c>
      <c r="E33" s="56" t="str">
        <f>IF($A33="","",SUMIFS(발주접수!$I$3:$I$122,발주접수!$C$3:$C$122,$A33))</f>
        <v/>
      </c>
      <c r="G33" s="34" t="str">
        <f>IF(발주접수!$C32="","",IF(COUNTIF(발주접수!$C$3:$C32,발주접수!$C32)=1,발주접수!$C32,""))</f>
        <v/>
      </c>
    </row>
    <row r="34" ht="15" customHeight="1" s="30">
      <c r="A34" s="40" t="str">
        <f>IF($G34="","",$G34)</f>
        <v/>
      </c>
      <c r="B34" s="47" t="str">
        <f>IF($A34="","",COUNTIFS(발주접수!$C$3:$C$122,$A34))</f>
        <v/>
      </c>
      <c r="C34" s="47" t="str">
        <f>IF($A34="","",COUNTIFS(발주접수!$C$3:$C$122,$A34,발주접수!$F$3:$F$122,"세트"))</f>
        <v/>
      </c>
      <c r="D34" s="47" t="str">
        <f>IF($A34="","",COUNTIFS(발주접수!$C$3:$C$122,$A34,발주접수!$F$3:$F$122,"낱개"))</f>
        <v/>
      </c>
      <c r="E34" s="56" t="str">
        <f>IF($A34="","",SUMIFS(발주접수!$I$3:$I$122,발주접수!$C$3:$C$122,$A34))</f>
        <v/>
      </c>
      <c r="G34" s="34" t="str">
        <f>IF(발주접수!$C33="","",IF(COUNTIF(발주접수!$C$3:$C33,발주접수!$C33)=1,발주접수!$C33,""))</f>
        <v/>
      </c>
    </row>
    <row r="35" ht="15" customHeight="1" s="30">
      <c r="A35" s="40" t="str">
        <f>IF($G35="","",$G35)</f>
        <v/>
      </c>
      <c r="B35" s="47" t="str">
        <f>IF($A35="","",COUNTIFS(발주접수!$C$3:$C$122,$A35))</f>
        <v/>
      </c>
      <c r="C35" s="47" t="str">
        <f>IF($A35="","",COUNTIFS(발주접수!$C$3:$C$122,$A35,발주접수!$F$3:$F$122,"세트"))</f>
        <v/>
      </c>
      <c r="D35" s="47" t="str">
        <f>IF($A35="","",COUNTIFS(발주접수!$C$3:$C$122,$A35,발주접수!$F$3:$F$122,"낱개"))</f>
        <v/>
      </c>
      <c r="E35" s="56" t="str">
        <f>IF($A35="","",SUMIFS(발주접수!$I$3:$I$122,발주접수!$C$3:$C$122,$A35))</f>
        <v/>
      </c>
      <c r="G35" s="34" t="str">
        <f>IF(발주접수!$C34="","",IF(COUNTIF(발주접수!$C$3:$C34,발주접수!$C34)=1,발주접수!$C34,""))</f>
        <v/>
      </c>
    </row>
    <row r="36" ht="15" customHeight="1" s="30">
      <c r="A36" s="40" t="str">
        <f>IF($G36="","",$G36)</f>
        <v/>
      </c>
      <c r="B36" s="47" t="str">
        <f>IF($A36="","",COUNTIFS(발주접수!$C$3:$C$122,$A36))</f>
        <v/>
      </c>
      <c r="C36" s="47" t="str">
        <f>IF($A36="","",COUNTIFS(발주접수!$C$3:$C$122,$A36,발주접수!$F$3:$F$122,"세트"))</f>
        <v/>
      </c>
      <c r="D36" s="47" t="str">
        <f>IF($A36="","",COUNTIFS(발주접수!$C$3:$C$122,$A36,발주접수!$F$3:$F$122,"낱개"))</f>
        <v/>
      </c>
      <c r="E36" s="56" t="str">
        <f>IF($A36="","",SUMIFS(발주접수!$I$3:$I$122,발주접수!$C$3:$C$122,$A36))</f>
        <v/>
      </c>
      <c r="G36" s="34" t="str">
        <f>IF(발주접수!$C35="","",IF(COUNTIF(발주접수!$C$3:$C35,발주접수!$C35)=1,발주접수!$C35,""))</f>
        <v/>
      </c>
    </row>
    <row r="37" ht="15" customHeight="1" s="30">
      <c r="A37" s="40" t="str">
        <f>IF($G37="","",$G37)</f>
        <v/>
      </c>
      <c r="B37" s="47" t="str">
        <f>IF($A37="","",COUNTIFS(발주접수!$C$3:$C$122,$A37))</f>
        <v/>
      </c>
      <c r="C37" s="47" t="str">
        <f>IF($A37="","",COUNTIFS(발주접수!$C$3:$C$122,$A37,발주접수!$F$3:$F$122,"세트"))</f>
        <v/>
      </c>
      <c r="D37" s="47" t="str">
        <f>IF($A37="","",COUNTIFS(발주접수!$C$3:$C$122,$A37,발주접수!$F$3:$F$122,"낱개"))</f>
        <v/>
      </c>
      <c r="E37" s="56" t="str">
        <f>IF($A37="","",SUMIFS(발주접수!$I$3:$I$122,발주접수!$C$3:$C$122,$A37))</f>
        <v/>
      </c>
      <c r="G37" s="34" t="str">
        <f>IF(발주접수!$C36="","",IF(COUNTIF(발주접수!$C$3:$C36,발주접수!$C36)=1,발주접수!$C36,""))</f>
        <v/>
      </c>
    </row>
    <row r="38" ht="15" customHeight="1" s="30">
      <c r="A38" s="40" t="str">
        <f>IF($G38="","",$G38)</f>
        <v/>
      </c>
      <c r="B38" s="47" t="str">
        <f>IF($A38="","",COUNTIFS(발주접수!$C$3:$C$122,$A38))</f>
        <v/>
      </c>
      <c r="C38" s="47" t="str">
        <f>IF($A38="","",COUNTIFS(발주접수!$C$3:$C$122,$A38,발주접수!$F$3:$F$122,"세트"))</f>
        <v/>
      </c>
      <c r="D38" s="47" t="str">
        <f>IF($A38="","",COUNTIFS(발주접수!$C$3:$C$122,$A38,발주접수!$F$3:$F$122,"낱개"))</f>
        <v/>
      </c>
      <c r="E38" s="56" t="str">
        <f>IF($A38="","",SUMIFS(발주접수!$I$3:$I$122,발주접수!$C$3:$C$122,$A38))</f>
        <v/>
      </c>
      <c r="G38" s="34" t="str">
        <f>IF(발주접수!$C37="","",IF(COUNTIF(발주접수!$C$3:$C37,발주접수!$C37)=1,발주접수!$C37,""))</f>
        <v/>
      </c>
    </row>
    <row r="39" ht="15" customHeight="1" s="30">
      <c r="A39" s="40" t="str">
        <f>IF($G39="","",$G39)</f>
        <v/>
      </c>
      <c r="B39" s="47" t="str">
        <f>IF($A39="","",COUNTIFS(발주접수!$C$3:$C$122,$A39))</f>
        <v/>
      </c>
      <c r="C39" s="47" t="str">
        <f>IF($A39="","",COUNTIFS(발주접수!$C$3:$C$122,$A39,발주접수!$F$3:$F$122,"세트"))</f>
        <v/>
      </c>
      <c r="D39" s="47" t="str">
        <f>IF($A39="","",COUNTIFS(발주접수!$C$3:$C$122,$A39,발주접수!$F$3:$F$122,"낱개"))</f>
        <v/>
      </c>
      <c r="E39" s="56" t="str">
        <f>IF($A39="","",SUMIFS(발주접수!$I$3:$I$122,발주접수!$C$3:$C$122,$A39))</f>
        <v/>
      </c>
      <c r="G39" s="34" t="str">
        <f>IF(발주접수!$C38="","",IF(COUNTIF(발주접수!$C$3:$C38,발주접수!$C38)=1,발주접수!$C38,""))</f>
        <v/>
      </c>
    </row>
    <row r="40" ht="15" customHeight="1" s="30">
      <c r="A40" s="40" t="str">
        <f>IF($G40="","",$G40)</f>
        <v/>
      </c>
      <c r="B40" s="47" t="str">
        <f>IF($A40="","",COUNTIFS(발주접수!$C$3:$C$122,$A40))</f>
        <v/>
      </c>
      <c r="C40" s="47" t="str">
        <f>IF($A40="","",COUNTIFS(발주접수!$C$3:$C$122,$A40,발주접수!$F$3:$F$122,"세트"))</f>
        <v/>
      </c>
      <c r="D40" s="47" t="str">
        <f>IF($A40="","",COUNTIFS(발주접수!$C$3:$C$122,$A40,발주접수!$F$3:$F$122,"낱개"))</f>
        <v/>
      </c>
      <c r="E40" s="56" t="str">
        <f>IF($A40="","",SUMIFS(발주접수!$I$3:$I$122,발주접수!$C$3:$C$122,$A40))</f>
        <v/>
      </c>
      <c r="G40" s="34" t="str">
        <f>IF(발주접수!$C39="","",IF(COUNTIF(발주접수!$C$3:$C39,발주접수!$C39)=1,발주접수!$C39,""))</f>
        <v/>
      </c>
    </row>
    <row r="41" ht="15" customHeight="1" s="30">
      <c r="A41" s="40" t="str">
        <f>IF($G41="","",$G41)</f>
        <v/>
      </c>
      <c r="B41" s="47" t="str">
        <f>IF($A41="","",COUNTIFS(발주접수!$C$3:$C$122,$A41))</f>
        <v/>
      </c>
      <c r="C41" s="47" t="str">
        <f>IF($A41="","",COUNTIFS(발주접수!$C$3:$C$122,$A41,발주접수!$F$3:$F$122,"세트"))</f>
        <v/>
      </c>
      <c r="D41" s="47" t="str">
        <f>IF($A41="","",COUNTIFS(발주접수!$C$3:$C$122,$A41,발주접수!$F$3:$F$122,"낱개"))</f>
        <v/>
      </c>
      <c r="E41" s="56" t="str">
        <f>IF($A41="","",SUMIFS(발주접수!$I$3:$I$122,발주접수!$C$3:$C$122,$A41))</f>
        <v/>
      </c>
      <c r="G41" s="34" t="str">
        <f>IF(발주접수!$C40="","",IF(COUNTIF(발주접수!$C$3:$C40,발주접수!$C40)=1,발주접수!$C40,""))</f>
        <v/>
      </c>
    </row>
    <row r="42" ht="15" customHeight="1" s="30">
      <c r="A42" s="40" t="str">
        <f>IF($G42="","",$G42)</f>
        <v/>
      </c>
      <c r="B42" s="47" t="str">
        <f>IF($A42="","",COUNTIFS(발주접수!$C$3:$C$122,$A42))</f>
        <v/>
      </c>
      <c r="C42" s="47" t="str">
        <f>IF($A42="","",COUNTIFS(발주접수!$C$3:$C$122,$A42,발주접수!$F$3:$F$122,"세트"))</f>
        <v/>
      </c>
      <c r="D42" s="47" t="str">
        <f>IF($A42="","",COUNTIFS(발주접수!$C$3:$C$122,$A42,발주접수!$F$3:$F$122,"낱개"))</f>
        <v/>
      </c>
      <c r="E42" s="56" t="str">
        <f>IF($A42="","",SUMIFS(발주접수!$I$3:$I$122,발주접수!$C$3:$C$122,$A42))</f>
        <v/>
      </c>
      <c r="G42" s="34" t="str">
        <f>IF(발주접수!$C41="","",IF(COUNTIF(발주접수!$C$3:$C41,발주접수!$C41)=1,발주접수!$C41,""))</f>
        <v/>
      </c>
    </row>
    <row r="43" ht="15" customHeight="1" s="30">
      <c r="A43" s="40" t="str">
        <f>IF($G43="","",$G43)</f>
        <v/>
      </c>
      <c r="B43" s="47" t="str">
        <f>IF($A43="","",COUNTIFS(발주접수!$C$3:$C$122,$A43))</f>
        <v/>
      </c>
      <c r="C43" s="47" t="str">
        <f>IF($A43="","",COUNTIFS(발주접수!$C$3:$C$122,$A43,발주접수!$F$3:$F$122,"세트"))</f>
        <v/>
      </c>
      <c r="D43" s="47" t="str">
        <f>IF($A43="","",COUNTIFS(발주접수!$C$3:$C$122,$A43,발주접수!$F$3:$F$122,"낱개"))</f>
        <v/>
      </c>
      <c r="E43" s="56" t="str">
        <f>IF($A43="","",SUMIFS(발주접수!$I$3:$I$122,발주접수!$C$3:$C$122,$A43))</f>
        <v/>
      </c>
      <c r="G43" s="34" t="str">
        <f>IF(발주접수!$C42="","",IF(COUNTIF(발주접수!$C$3:$C42,발주접수!$C42)=1,발주접수!$C42,""))</f>
        <v/>
      </c>
    </row>
    <row r="44" ht="15" customHeight="1" s="30">
      <c r="A44" s="40" t="str">
        <f>IF($G44="","",$G44)</f>
        <v/>
      </c>
      <c r="B44" s="47" t="str">
        <f>IF($A44="","",COUNTIFS(발주접수!$C$3:$C$122,$A44))</f>
        <v/>
      </c>
      <c r="C44" s="47" t="str">
        <f>IF($A44="","",COUNTIFS(발주접수!$C$3:$C$122,$A44,발주접수!$F$3:$F$122,"세트"))</f>
        <v/>
      </c>
      <c r="D44" s="47" t="str">
        <f>IF($A44="","",COUNTIFS(발주접수!$C$3:$C$122,$A44,발주접수!$F$3:$F$122,"낱개"))</f>
        <v/>
      </c>
      <c r="E44" s="56" t="str">
        <f>IF($A44="","",SUMIFS(발주접수!$I$3:$I$122,발주접수!$C$3:$C$122,$A44))</f>
        <v/>
      </c>
      <c r="G44" s="34" t="str">
        <f>IF(발주접수!$C43="","",IF(COUNTIF(발주접수!$C$3:$C43,발주접수!$C43)=1,발주접수!$C43,""))</f>
        <v/>
      </c>
    </row>
    <row r="45" ht="15" customHeight="1" s="30">
      <c r="A45" s="40" t="str">
        <f>IF($G45="","",$G45)</f>
        <v/>
      </c>
      <c r="B45" s="47" t="str">
        <f>IF($A45="","",COUNTIFS(발주접수!$C$3:$C$122,$A45))</f>
        <v/>
      </c>
      <c r="C45" s="47" t="str">
        <f>IF($A45="","",COUNTIFS(발주접수!$C$3:$C$122,$A45,발주접수!$F$3:$F$122,"세트"))</f>
        <v/>
      </c>
      <c r="D45" s="47" t="str">
        <f>IF($A45="","",COUNTIFS(발주접수!$C$3:$C$122,$A45,발주접수!$F$3:$F$122,"낱개"))</f>
        <v/>
      </c>
      <c r="E45" s="56" t="str">
        <f>IF($A45="","",SUMIFS(발주접수!$I$3:$I$122,발주접수!$C$3:$C$122,$A45))</f>
        <v/>
      </c>
      <c r="G45" s="34" t="str">
        <f>IF(발주접수!$C44="","",IF(COUNTIF(발주접수!$C$3:$C44,발주접수!$C44)=1,발주접수!$C44,""))</f>
        <v/>
      </c>
    </row>
    <row r="46" ht="15" customHeight="1" s="30">
      <c r="A46" s="40" t="str">
        <f>IF($G46="","",$G46)</f>
        <v/>
      </c>
      <c r="B46" s="47" t="str">
        <f>IF($A46="","",COUNTIFS(발주접수!$C$3:$C$122,$A46))</f>
        <v/>
      </c>
      <c r="C46" s="47" t="str">
        <f>IF($A46="","",COUNTIFS(발주접수!$C$3:$C$122,$A46,발주접수!$F$3:$F$122,"세트"))</f>
        <v/>
      </c>
      <c r="D46" s="47" t="str">
        <f>IF($A46="","",COUNTIFS(발주접수!$C$3:$C$122,$A46,발주접수!$F$3:$F$122,"낱개"))</f>
        <v/>
      </c>
      <c r="E46" s="56" t="str">
        <f>IF($A46="","",SUMIFS(발주접수!$I$3:$I$122,발주접수!$C$3:$C$122,$A46))</f>
        <v/>
      </c>
      <c r="G46" s="34" t="str">
        <f>IF(발주접수!$C45="","",IF(COUNTIF(발주접수!$C$3:$C45,발주접수!$C45)=1,발주접수!$C45,""))</f>
        <v/>
      </c>
    </row>
    <row r="47" ht="15" customHeight="1" s="30">
      <c r="A47" s="40" t="str">
        <f>IF($G47="","",$G47)</f>
        <v/>
      </c>
      <c r="B47" s="47" t="str">
        <f>IF($A47="","",COUNTIFS(발주접수!$C$3:$C$122,$A47))</f>
        <v/>
      </c>
      <c r="C47" s="47" t="str">
        <f>IF($A47="","",COUNTIFS(발주접수!$C$3:$C$122,$A47,발주접수!$F$3:$F$122,"세트"))</f>
        <v/>
      </c>
      <c r="D47" s="47" t="str">
        <f>IF($A47="","",COUNTIFS(발주접수!$C$3:$C$122,$A47,발주접수!$F$3:$F$122,"낱개"))</f>
        <v/>
      </c>
      <c r="E47" s="56" t="str">
        <f>IF($A47="","",SUMIFS(발주접수!$I$3:$I$122,발주접수!$C$3:$C$122,$A47))</f>
        <v/>
      </c>
      <c r="G47" s="34" t="str">
        <f>IF(발주접수!$C46="","",IF(COUNTIF(발주접수!$C$3:$C46,발주접수!$C46)=1,발주접수!$C46,""))</f>
        <v/>
      </c>
    </row>
    <row r="48" ht="15" customHeight="1" s="30">
      <c r="A48" s="40" t="str">
        <f>IF($G48="","",$G48)</f>
        <v/>
      </c>
      <c r="B48" s="47" t="str">
        <f>IF($A48="","",COUNTIFS(발주접수!$C$3:$C$122,$A48))</f>
        <v/>
      </c>
      <c r="C48" s="47" t="str">
        <f>IF($A48="","",COUNTIFS(발주접수!$C$3:$C$122,$A48,발주접수!$F$3:$F$122,"세트"))</f>
        <v/>
      </c>
      <c r="D48" s="47" t="str">
        <f>IF($A48="","",COUNTIFS(발주접수!$C$3:$C$122,$A48,발주접수!$F$3:$F$122,"낱개"))</f>
        <v/>
      </c>
      <c r="E48" s="56" t="str">
        <f>IF($A48="","",SUMIFS(발주접수!$I$3:$I$122,발주접수!$C$3:$C$122,$A48))</f>
        <v/>
      </c>
      <c r="G48" s="34" t="str">
        <f>IF(발주접수!$C47="","",IF(COUNTIF(발주접수!$C$3:$C47,발주접수!$C47)=1,발주접수!$C47,""))</f>
        <v/>
      </c>
    </row>
    <row r="49" ht="15" customHeight="1" s="30">
      <c r="A49" s="40" t="str">
        <f>IF($G49="","",$G49)</f>
        <v/>
      </c>
      <c r="B49" s="47" t="str">
        <f>IF($A49="","",COUNTIFS(발주접수!$C$3:$C$122,$A49))</f>
        <v/>
      </c>
      <c r="C49" s="47" t="str">
        <f>IF($A49="","",COUNTIFS(발주접수!$C$3:$C$122,$A49,발주접수!$F$3:$F$122,"세트"))</f>
        <v/>
      </c>
      <c r="D49" s="47" t="str">
        <f>IF($A49="","",COUNTIFS(발주접수!$C$3:$C$122,$A49,발주접수!$F$3:$F$122,"낱개"))</f>
        <v/>
      </c>
      <c r="E49" s="56" t="str">
        <f>IF($A49="","",SUMIFS(발주접수!$I$3:$I$122,발주접수!$C$3:$C$122,$A49))</f>
        <v/>
      </c>
      <c r="G49" s="34" t="str">
        <f>IF(발주접수!$C48="","",IF(COUNTIF(발주접수!$C$3:$C48,발주접수!$C48)=1,발주접수!$C48,""))</f>
        <v/>
      </c>
    </row>
    <row r="50" ht="15" customHeight="1" s="30">
      <c r="A50" s="40" t="str">
        <f>IF($G50="","",$G50)</f>
        <v/>
      </c>
      <c r="B50" s="47" t="str">
        <f>IF($A50="","",COUNTIFS(발주접수!$C$3:$C$122,$A50))</f>
        <v/>
      </c>
      <c r="C50" s="47" t="str">
        <f>IF($A50="","",COUNTIFS(발주접수!$C$3:$C$122,$A50,발주접수!$F$3:$F$122,"세트"))</f>
        <v/>
      </c>
      <c r="D50" s="47" t="str">
        <f>IF($A50="","",COUNTIFS(발주접수!$C$3:$C$122,$A50,발주접수!$F$3:$F$122,"낱개"))</f>
        <v/>
      </c>
      <c r="E50" s="56" t="str">
        <f>IF($A50="","",SUMIFS(발주접수!$I$3:$I$122,발주접수!$C$3:$C$122,$A50))</f>
        <v/>
      </c>
      <c r="G50" s="34" t="str">
        <f>IF(발주접수!$C49="","",IF(COUNTIF(발주접수!$C$3:$C49,발주접수!$C49)=1,발주접수!$C49,""))</f>
        <v/>
      </c>
    </row>
    <row r="51" ht="15" customHeight="1" s="30">
      <c r="A51" s="40" t="str">
        <f>IF($G51="","",$G51)</f>
        <v/>
      </c>
      <c r="B51" s="47" t="str">
        <f>IF($A51="","",COUNTIFS(발주접수!$C$3:$C$122,$A51))</f>
        <v/>
      </c>
      <c r="C51" s="47" t="str">
        <f>IF($A51="","",COUNTIFS(발주접수!$C$3:$C$122,$A51,발주접수!$F$3:$F$122,"세트"))</f>
        <v/>
      </c>
      <c r="D51" s="47" t="str">
        <f>IF($A51="","",COUNTIFS(발주접수!$C$3:$C$122,$A51,발주접수!$F$3:$F$122,"낱개"))</f>
        <v/>
      </c>
      <c r="E51" s="56" t="str">
        <f>IF($A51="","",SUMIFS(발주접수!$I$3:$I$122,발주접수!$C$3:$C$122,$A51))</f>
        <v/>
      </c>
      <c r="G51" s="34" t="str">
        <f>IF(발주접수!$C50="","",IF(COUNTIF(발주접수!$C$3:$C50,발주접수!$C50)=1,발주접수!$C50,""))</f>
        <v/>
      </c>
    </row>
    <row r="52" ht="15" customHeight="1" s="30">
      <c r="A52" s="40" t="str">
        <f>IF($G52="","",$G52)</f>
        <v/>
      </c>
      <c r="B52" s="47" t="str">
        <f>IF($A52="","",COUNTIFS(발주접수!$C$3:$C$122,$A52))</f>
        <v/>
      </c>
      <c r="C52" s="47" t="str">
        <f>IF($A52="","",COUNTIFS(발주접수!$C$3:$C$122,$A52,발주접수!$F$3:$F$122,"세트"))</f>
        <v/>
      </c>
      <c r="D52" s="47" t="str">
        <f>IF($A52="","",COUNTIFS(발주접수!$C$3:$C$122,$A52,발주접수!$F$3:$F$122,"낱개"))</f>
        <v/>
      </c>
      <c r="E52" s="56" t="str">
        <f>IF($A52="","",SUMIFS(발주접수!$I$3:$I$122,발주접수!$C$3:$C$122,$A52))</f>
        <v/>
      </c>
      <c r="G52" s="34" t="str">
        <f>IF(발주접수!$C51="","",IF(COUNTIF(발주접수!$C$3:$C51,발주접수!$C51)=1,발주접수!$C51,""))</f>
        <v/>
      </c>
    </row>
    <row r="53" ht="15" customHeight="1" s="30">
      <c r="A53" s="40" t="str">
        <f>IF($G53="","",$G53)</f>
        <v/>
      </c>
      <c r="B53" s="47" t="str">
        <f>IF($A53="","",COUNTIFS(발주접수!$C$3:$C$122,$A53))</f>
        <v/>
      </c>
      <c r="C53" s="47" t="str">
        <f>IF($A53="","",COUNTIFS(발주접수!$C$3:$C$122,$A53,발주접수!$F$3:$F$122,"세트"))</f>
        <v/>
      </c>
      <c r="D53" s="47" t="str">
        <f>IF($A53="","",COUNTIFS(발주접수!$C$3:$C$122,$A53,발주접수!$F$3:$F$122,"낱개"))</f>
        <v/>
      </c>
      <c r="E53" s="56" t="str">
        <f>IF($A53="","",SUMIFS(발주접수!$I$3:$I$122,발주접수!$C$3:$C$122,$A53))</f>
        <v/>
      </c>
      <c r="G53" s="34" t="str">
        <f>IF(발주접수!$C52="","",IF(COUNTIF(발주접수!$C$3:$C52,발주접수!$C52)=1,발주접수!$C52,""))</f>
        <v/>
      </c>
    </row>
    <row r="54" ht="15" customHeight="1" s="30">
      <c r="A54" s="40" t="str">
        <f>IF($G54="","",$G54)</f>
        <v/>
      </c>
      <c r="B54" s="47" t="str">
        <f>IF($A54="","",COUNTIFS(발주접수!$C$3:$C$122,$A54))</f>
        <v/>
      </c>
      <c r="C54" s="47" t="str">
        <f>IF($A54="","",COUNTIFS(발주접수!$C$3:$C$122,$A54,발주접수!$F$3:$F$122,"세트"))</f>
        <v/>
      </c>
      <c r="D54" s="47" t="str">
        <f>IF($A54="","",COUNTIFS(발주접수!$C$3:$C$122,$A54,발주접수!$F$3:$F$122,"낱개"))</f>
        <v/>
      </c>
      <c r="E54" s="56" t="str">
        <f>IF($A54="","",SUMIFS(발주접수!$I$3:$I$122,발주접수!$C$3:$C$122,$A54))</f>
        <v/>
      </c>
      <c r="G54" s="34" t="str">
        <f>IF(발주접수!$C53="","",IF(COUNTIF(발주접수!$C$3:$C53,발주접수!$C53)=1,발주접수!$C53,""))</f>
        <v/>
      </c>
    </row>
    <row r="55" ht="15" customHeight="1" s="30">
      <c r="A55" s="40" t="str">
        <f>IF($G55="","",$G55)</f>
        <v/>
      </c>
      <c r="B55" s="47" t="str">
        <f>IF($A55="","",COUNTIFS(발주접수!$C$3:$C$122,$A55))</f>
        <v/>
      </c>
      <c r="C55" s="47" t="str">
        <f>IF($A55="","",COUNTIFS(발주접수!$C$3:$C$122,$A55,발주접수!$F$3:$F$122,"세트"))</f>
        <v/>
      </c>
      <c r="D55" s="47" t="str">
        <f>IF($A55="","",COUNTIFS(발주접수!$C$3:$C$122,$A55,발주접수!$F$3:$F$122,"낱개"))</f>
        <v/>
      </c>
      <c r="E55" s="56" t="str">
        <f>IF($A55="","",SUMIFS(발주접수!$I$3:$I$122,발주접수!$C$3:$C$122,$A55))</f>
        <v/>
      </c>
      <c r="G55" s="34" t="str">
        <f>IF(발주접수!$C54="","",IF(COUNTIF(발주접수!$C$3:$C54,발주접수!$C54)=1,발주접수!$C54,""))</f>
        <v/>
      </c>
    </row>
    <row r="56" ht="15" customHeight="1" s="30">
      <c r="A56" s="40" t="str">
        <f>IF($G56="","",$G56)</f>
        <v/>
      </c>
      <c r="B56" s="47" t="str">
        <f>IF($A56="","",COUNTIFS(발주접수!$C$3:$C$122,$A56))</f>
        <v/>
      </c>
      <c r="C56" s="47" t="str">
        <f>IF($A56="","",COUNTIFS(발주접수!$C$3:$C$122,$A56,발주접수!$F$3:$F$122,"세트"))</f>
        <v/>
      </c>
      <c r="D56" s="47" t="str">
        <f>IF($A56="","",COUNTIFS(발주접수!$C$3:$C$122,$A56,발주접수!$F$3:$F$122,"낱개"))</f>
        <v/>
      </c>
      <c r="E56" s="56" t="str">
        <f>IF($A56="","",SUMIFS(발주접수!$I$3:$I$122,발주접수!$C$3:$C$122,$A56))</f>
        <v/>
      </c>
      <c r="G56" s="34" t="str">
        <f>IF(발주접수!$C55="","",IF(COUNTIF(발주접수!$C$3:$C55,발주접수!$C55)=1,발주접수!$C55,""))</f>
        <v/>
      </c>
    </row>
    <row r="57" ht="15" customHeight="1" s="30">
      <c r="A57" s="40" t="str">
        <f>IF($G57="","",$G57)</f>
        <v/>
      </c>
      <c r="B57" s="47" t="str">
        <f>IF($A57="","",COUNTIFS(발주접수!$C$3:$C$122,$A57))</f>
        <v/>
      </c>
      <c r="C57" s="47" t="str">
        <f>IF($A57="","",COUNTIFS(발주접수!$C$3:$C$122,$A57,발주접수!$F$3:$F$122,"세트"))</f>
        <v/>
      </c>
      <c r="D57" s="47" t="str">
        <f>IF($A57="","",COUNTIFS(발주접수!$C$3:$C$122,$A57,발주접수!$F$3:$F$122,"낱개"))</f>
        <v/>
      </c>
      <c r="E57" s="56" t="str">
        <f>IF($A57="","",SUMIFS(발주접수!$I$3:$I$122,발주접수!$C$3:$C$122,$A57))</f>
        <v/>
      </c>
      <c r="G57" s="34" t="str">
        <f>IF(발주접수!$C56="","",IF(COUNTIF(발주접수!$C$3:$C56,발주접수!$C56)=1,발주접수!$C56,""))</f>
        <v/>
      </c>
    </row>
    <row r="58" ht="15" customHeight="1" s="30">
      <c r="A58" s="40" t="str">
        <f>IF($G58="","",$G58)</f>
        <v/>
      </c>
      <c r="B58" s="47" t="str">
        <f>IF($A58="","",COUNTIFS(발주접수!$C$3:$C$122,$A58))</f>
        <v/>
      </c>
      <c r="C58" s="47" t="str">
        <f>IF($A58="","",COUNTIFS(발주접수!$C$3:$C$122,$A58,발주접수!$F$3:$F$122,"세트"))</f>
        <v/>
      </c>
      <c r="D58" s="47" t="str">
        <f>IF($A58="","",COUNTIFS(발주접수!$C$3:$C$122,$A58,발주접수!$F$3:$F$122,"낱개"))</f>
        <v/>
      </c>
      <c r="E58" s="56" t="str">
        <f>IF($A58="","",SUMIFS(발주접수!$I$3:$I$122,발주접수!$C$3:$C$122,$A58))</f>
        <v/>
      </c>
      <c r="G58" s="34" t="str">
        <f>IF(발주접수!$C57="","",IF(COUNTIF(발주접수!$C$3:$C57,발주접수!$C57)=1,발주접수!$C57,""))</f>
        <v/>
      </c>
    </row>
    <row r="59" ht="15" customHeight="1" s="30">
      <c r="A59" s="40" t="str">
        <f>IF($G59="","",$G59)</f>
        <v/>
      </c>
      <c r="B59" s="47" t="str">
        <f>IF($A59="","",COUNTIFS(발주접수!$C$3:$C$122,$A59))</f>
        <v/>
      </c>
      <c r="C59" s="47" t="str">
        <f>IF($A59="","",COUNTIFS(발주접수!$C$3:$C$122,$A59,발주접수!$F$3:$F$122,"세트"))</f>
        <v/>
      </c>
      <c r="D59" s="47" t="str">
        <f>IF($A59="","",COUNTIFS(발주접수!$C$3:$C$122,$A59,발주접수!$F$3:$F$122,"낱개"))</f>
        <v/>
      </c>
      <c r="E59" s="56" t="str">
        <f>IF($A59="","",SUMIFS(발주접수!$I$3:$I$122,발주접수!$C$3:$C$122,$A59))</f>
        <v/>
      </c>
      <c r="G59" s="34" t="str">
        <f>IF(발주접수!$C58="","",IF(COUNTIF(발주접수!$C$3:$C58,발주접수!$C58)=1,발주접수!$C58,""))</f>
        <v/>
      </c>
    </row>
    <row r="60" ht="15" customHeight="1" s="30">
      <c r="A60" s="40" t="str">
        <f>IF($G60="","",$G60)</f>
        <v/>
      </c>
      <c r="B60" s="47" t="str">
        <f>IF($A60="","",COUNTIFS(발주접수!$C$3:$C$122,$A60))</f>
        <v/>
      </c>
      <c r="C60" s="47" t="str">
        <f>IF($A60="","",COUNTIFS(발주접수!$C$3:$C$122,$A60,발주접수!$F$3:$F$122,"세트"))</f>
        <v/>
      </c>
      <c r="D60" s="47" t="str">
        <f>IF($A60="","",COUNTIFS(발주접수!$C$3:$C$122,$A60,발주접수!$F$3:$F$122,"낱개"))</f>
        <v/>
      </c>
      <c r="E60" s="56" t="str">
        <f>IF($A60="","",SUMIFS(발주접수!$I$3:$I$122,발주접수!$C$3:$C$122,$A60))</f>
        <v/>
      </c>
      <c r="G60" s="34" t="str">
        <f>IF(발주접수!$C59="","",IF(COUNTIF(발주접수!$C$3:$C59,발주접수!$C59)=1,발주접수!$C59,""))</f>
        <v/>
      </c>
    </row>
    <row r="61" ht="15" customHeight="1" s="30">
      <c r="A61" s="40" t="str">
        <f>IF($G61="","",$G61)</f>
        <v/>
      </c>
      <c r="B61" s="47" t="str">
        <f>IF($A61="","",COUNTIFS(발주접수!$C$3:$C$122,$A61))</f>
        <v/>
      </c>
      <c r="C61" s="47" t="str">
        <f>IF($A61="","",COUNTIFS(발주접수!$C$3:$C$122,$A61,발주접수!$F$3:$F$122,"세트"))</f>
        <v/>
      </c>
      <c r="D61" s="47" t="str">
        <f>IF($A61="","",COUNTIFS(발주접수!$C$3:$C$122,$A61,발주접수!$F$3:$F$122,"낱개"))</f>
        <v/>
      </c>
      <c r="E61" s="56" t="str">
        <f>IF($A61="","",SUMIFS(발주접수!$I$3:$I$122,발주접수!$C$3:$C$122,$A61))</f>
        <v/>
      </c>
      <c r="G61" s="34" t="str">
        <f>IF(발주접수!$C60="","",IF(COUNTIF(발주접수!$C$3:$C60,발주접수!$C60)=1,발주접수!$C60,""))</f>
        <v/>
      </c>
    </row>
    <row r="62" ht="15" customHeight="1" s="30">
      <c r="A62" s="40" t="str">
        <f>IF($G62="","",$G62)</f>
        <v/>
      </c>
      <c r="B62" s="47" t="str">
        <f>IF($A62="","",COUNTIFS(발주접수!$C$3:$C$122,$A62))</f>
        <v/>
      </c>
      <c r="C62" s="47" t="str">
        <f>IF($A62="","",COUNTIFS(발주접수!$C$3:$C$122,$A62,발주접수!$F$3:$F$122,"세트"))</f>
        <v/>
      </c>
      <c r="D62" s="47" t="str">
        <f>IF($A62="","",COUNTIFS(발주접수!$C$3:$C$122,$A62,발주접수!$F$3:$F$122,"낱개"))</f>
        <v/>
      </c>
      <c r="E62" s="56" t="str">
        <f>IF($A62="","",SUMIFS(발주접수!$I$3:$I$122,발주접수!$C$3:$C$122,$A62))</f>
        <v/>
      </c>
      <c r="G62" s="34" t="str">
        <f>IF(발주접수!$C61="","",IF(COUNTIF(발주접수!$C$3:$C61,발주접수!$C61)=1,발주접수!$C61,""))</f>
        <v/>
      </c>
    </row>
    <row r="63" ht="15" customHeight="1" s="30">
      <c r="A63" s="40" t="str">
        <f>IF($G63="","",$G63)</f>
        <v/>
      </c>
      <c r="B63" s="47" t="str">
        <f>IF($A63="","",COUNTIFS(발주접수!$C$3:$C$122,$A63))</f>
        <v/>
      </c>
      <c r="C63" s="47" t="str">
        <f>IF($A63="","",COUNTIFS(발주접수!$C$3:$C$122,$A63,발주접수!$F$3:$F$122,"세트"))</f>
        <v/>
      </c>
      <c r="D63" s="47" t="str">
        <f>IF($A63="","",COUNTIFS(발주접수!$C$3:$C$122,$A63,발주접수!$F$3:$F$122,"낱개"))</f>
        <v/>
      </c>
      <c r="E63" s="56" t="str">
        <f>IF($A63="","",SUMIFS(발주접수!$I$3:$I$122,발주접수!$C$3:$C$122,$A63))</f>
        <v/>
      </c>
      <c r="G63" s="34" t="str">
        <f>IF(발주접수!$C62="","",IF(COUNTIF(발주접수!$C$3:$C62,발주접수!$C62)=1,발주접수!$C62,""))</f>
        <v/>
      </c>
    </row>
    <row r="66" ht="15" customHeight="1" s="30">
      <c r="A66" s="34" t="inlineStr">
        <is>
          <t>※ 거래처는 발주접수에서 자동으로 모입니다. 60곳까지 표시됩니다.</t>
        </is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2026-09-14T10:17:46Z</dcterms:created>
  <dcterms:modified xmlns:dcterms="http://purl.org/dc/terms/" xmlns:xsi="http://www.w3.org/2001/XMLSchema-instance" xsi:type="dcterms:W3CDTF">2026-09-14T10:24:55Z</dcterms:modified>
  <cp:revision>0</cp:revision>
</cp:coreProperties>
</file>