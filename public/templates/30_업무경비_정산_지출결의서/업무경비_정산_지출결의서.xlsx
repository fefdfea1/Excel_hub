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직원목록" sheetId="2" state="visible" r:id="rId4"/>
    <sheet name="경비항목" sheetId="3" state="visible" r:id="rId5"/>
    <sheet name="지출내역" sheetId="4" state="visible" r:id="rId6"/>
    <sheet name="직원별집계" sheetId="5" state="visible" r:id="rId7"/>
    <sheet name="월별집계" sheetId="6" state="visible" r:id="rId8"/>
    <sheet name="정산서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<sst xmlns="http://schemas.openxmlformats.org/spreadsheetml/2006/main" count="130" uniqueCount="82">
  <si>
    <t xml:space="preserve">업무경비 정산 · 지출결의서</t>
  </si>
  <si>
    <t xml:space="preserve">핵심</t>
  </si>
  <si>
    <t xml:space="preserve">지출할 때마다 한 줄만 적으면 직원별·월별 경비가 자동으로 집계됩니다.</t>
  </si>
  <si>
    <t xml:space="preserve">입력 규칙</t>
  </si>
  <si>
    <t xml:space="preserve">파란색 글씨 칸만 입력하세요. 검은색은 자동 계산입니다.</t>
  </si>
  <si>
    <t xml:space="preserve">① 직원목록</t>
  </si>
  <si>
    <t xml:space="preserve">사번·이름·부서를 등록합니다.</t>
  </si>
  <si>
    <t xml:space="preserve">② 경비항목</t>
  </si>
  <si>
    <t xml:space="preserve">회사에서 쓰는 경비 항목을 등록합니다. 항목명은 지출내역·정산서와 똑같이 맞춰야 합니다.</t>
  </si>
  <si>
    <t xml:space="preserve">③ 지출내역</t>
  </si>
  <si>
    <t xml:space="preserve">지출이 생길 때마다 한 줄. 사번과 항목만 고르면 이름·부서가 자동으로 채워집니다.</t>
  </si>
  <si>
    <t xml:space="preserve">④ 직원별집계 / 월별집계</t>
  </si>
  <si>
    <t xml:space="preserve">전부 자동입니다. 입력할 것이 없습니다.</t>
  </si>
  <si>
    <t xml:space="preserve">⑤ 정산서</t>
  </si>
  <si>
    <t xml:space="preserve">사번과 정산월을 고르면 그 직원의 그 달 항목별 지출이 한 장에 정리됩니다. 그대로 인쇄하세요.</t>
  </si>
  <si>
    <t xml:space="preserve">※ 회사명·사원명·부서명은 모두 예시로 만든 가상의 정보입니다.</t>
  </si>
  <si>
    <t xml:space="preserve">직원목록</t>
  </si>
  <si>
    <t xml:space="preserve">사번</t>
  </si>
  <si>
    <t xml:space="preserve">이름</t>
  </si>
  <si>
    <t xml:space="preserve">부서</t>
  </si>
  <si>
    <t xml:space="preserve">직급</t>
  </si>
  <si>
    <t xml:space="preserve">E101</t>
  </si>
  <si>
    <t xml:space="preserve">김민준</t>
  </si>
  <si>
    <t xml:space="preserve">영업1팀</t>
  </si>
  <si>
    <t xml:space="preserve">대리</t>
  </si>
  <si>
    <t xml:space="preserve">E102</t>
  </si>
  <si>
    <t xml:space="preserve">이서연</t>
  </si>
  <si>
    <t xml:space="preserve">사원</t>
  </si>
  <si>
    <t xml:space="preserve">E103</t>
  </si>
  <si>
    <t xml:space="preserve">박도윤</t>
  </si>
  <si>
    <t xml:space="preserve">마케팅팀</t>
  </si>
  <si>
    <t xml:space="preserve">과장</t>
  </si>
  <si>
    <t xml:space="preserve">E104</t>
  </si>
  <si>
    <t xml:space="preserve">최지우</t>
  </si>
  <si>
    <t xml:space="preserve">총무팀</t>
  </si>
  <si>
    <t xml:space="preserve">E105</t>
  </si>
  <si>
    <t xml:space="preserve">정하늘</t>
  </si>
  <si>
    <t xml:space="preserve">개발팀</t>
  </si>
  <si>
    <t xml:space="preserve">경비항목</t>
  </si>
  <si>
    <t xml:space="preserve">항목명</t>
  </si>
  <si>
    <t xml:space="preserve">비고</t>
  </si>
  <si>
    <t xml:space="preserve">교통비</t>
  </si>
  <si>
    <t xml:space="preserve">대중교통·주유비·주차비</t>
  </si>
  <si>
    <t xml:space="preserve">식비</t>
  </si>
  <si>
    <t xml:space="preserve">업무 중 식사·다과</t>
  </si>
  <si>
    <t xml:space="preserve">숙박비</t>
  </si>
  <si>
    <t xml:space="preserve">출장 숙박</t>
  </si>
  <si>
    <t xml:space="preserve">소모품비</t>
  </si>
  <si>
    <t xml:space="preserve">사무용품·소모품 구입</t>
  </si>
  <si>
    <t xml:space="preserve">접대비</t>
  </si>
  <si>
    <t xml:space="preserve">거래처 미팅·다과비</t>
  </si>
  <si>
    <t xml:space="preserve">기타</t>
  </si>
  <si>
    <t xml:space="preserve">위 항목에 해당하지 않는 지출</t>
  </si>
  <si>
    <t xml:space="preserve">지출내역 (사번·항목만 넣으면 이름·부서 자동)</t>
  </si>
  <si>
    <t xml:space="preserve">지출일</t>
  </si>
  <si>
    <t xml:space="preserve">이름(자동)</t>
  </si>
  <si>
    <t xml:space="preserve">부서(자동)</t>
  </si>
  <si>
    <t xml:space="preserve">항목</t>
  </si>
  <si>
    <t xml:space="preserve">사용처</t>
  </si>
  <si>
    <t xml:space="preserve">금액</t>
  </si>
  <si>
    <t xml:space="preserve">정산월(자동)</t>
  </si>
  <si>
    <t xml:space="preserve">KTX 부산출장</t>
  </si>
  <si>
    <t xml:space="preserve">부산 거래처 미팅</t>
  </si>
  <si>
    <t xml:space="preserve">미팅 식사</t>
  </si>
  <si>
    <t xml:space="preserve">부산 OO호텔</t>
  </si>
  <si>
    <t xml:space="preserve">1박</t>
  </si>
  <si>
    <t xml:space="preserve">다이소</t>
  </si>
  <si>
    <t xml:space="preserve">사무용품</t>
  </si>
  <si>
    <t xml:space="preserve">거래처 다과</t>
  </si>
  <si>
    <t xml:space="preserve">주유비</t>
  </si>
  <si>
    <t xml:space="preserve">법인차량</t>
  </si>
  <si>
    <t xml:space="preserve">택배비</t>
  </si>
  <si>
    <t xml:space="preserve">직원별집계 (자동)</t>
  </si>
  <si>
    <t xml:space="preserve">총합계</t>
  </si>
  <si>
    <t xml:space="preserve">월별집계 (자동)</t>
  </si>
  <si>
    <t xml:space="preserve">시작월</t>
  </si>
  <si>
    <t xml:space="preserve">연월</t>
  </si>
  <si>
    <t xml:space="preserve">건수</t>
  </si>
  <si>
    <t xml:space="preserve">지 출 정 산 서</t>
  </si>
  <si>
    <t xml:space="preserve">← 이 칸만 바꾸세요</t>
  </si>
  <si>
    <t xml:space="preserve">정산월</t>
  </si>
  <si>
    <t xml:space="preserve">합계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</si>
</sst>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yyyy\-mm"/>
  </numFmts>
  <fonts count="11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name val="맑은 고딕"/>
      <family val="0"/>
      <charset val="1"/>
    </font>
    <font>
      <sz val="9"/>
      <color rgb="FF80808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sz val="10"/>
      <color rgb="FF0000FF"/>
      <name val="맑은 고딕"/>
      <family val="0"/>
      <charset val="1"/>
    </font>
    <font>
      <b val="true"/>
      <sz val="20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38.39"/>
    <col collapsed="false" customWidth="true" hidden="false" outlineLevel="0" max="3" min="3" style="0" width="68.44"/>
  </cols>
  <sheetData>
    <row r="2" customFormat="false" ht="25.5" hidden="false" customHeight="true" outlineLevel="0" collapsed="false">
      <c r="B2" s="1" t="s">
        <v>0</v>
      </c>
      <c r="C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3" t="s">
        <v>12</v>
      </c>
    </row>
    <row r="10" customFormat="false" ht="15" hidden="false" customHeight="false" outlineLevel="0" collapsed="false">
      <c r="B10" s="2" t="s">
        <v>13</v>
      </c>
      <c r="C10" s="3" t="s">
        <v>14</v>
      </c>
    </row>
    <row r="12" customFormat="false" ht="15" hidden="false" customHeight="false" outlineLevel="0" collapsed="false">
      <c r="C12" s="4" t="s">
        <v>15</v>
      </c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2" min="1" style="0" width="10.02"/>
    <col collapsed="false" customWidth="true" hidden="false" outlineLevel="0" max="3" min="3" style="0" width="11.68"/>
    <col collapsed="false" customWidth="true" hidden="false" outlineLevel="0" max="4" min="4" style="0" width="8.35"/>
  </cols>
  <sheetData>
    <row r="1" customFormat="false" ht="25.5" hidden="false" customHeight="true" outlineLevel="0" collapsed="false">
      <c r="A1" s="1" t="s">
        <v>16</v>
      </c>
      <c r="B1" s="1"/>
      <c r="C1" s="1"/>
      <c r="D1" s="1"/>
    </row>
    <row r="2" customFormat="false" ht="15" hidden="false" customHeight="false" outlineLevel="0" collapsed="false">
      <c r="A2" s="5" t="s">
        <v>17</v>
      </c>
      <c r="B2" s="5" t="s">
        <v>18</v>
      </c>
      <c r="C2" s="5" t="s">
        <v>19</v>
      </c>
      <c r="D2" s="5" t="s">
        <v>20</v>
      </c>
    </row>
    <row r="3" customFormat="false" ht="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23</v>
      </c>
      <c r="D4" s="6" t="s">
        <v>27</v>
      </c>
    </row>
    <row r="5" customFormat="false" ht="15" hidden="false" customHeight="false" outlineLevel="0" collapsed="false">
      <c r="A5" s="6" t="s">
        <v>28</v>
      </c>
      <c r="B5" s="6" t="s">
        <v>29</v>
      </c>
      <c r="C5" s="6" t="s">
        <v>30</v>
      </c>
      <c r="D5" s="6" t="s">
        <v>31</v>
      </c>
    </row>
    <row r="6" customFormat="false" ht="15" hidden="false" customHeight="false" outlineLevel="0" collapsed="false">
      <c r="A6" s="6" t="s">
        <v>32</v>
      </c>
      <c r="B6" s="6" t="s">
        <v>33</v>
      </c>
      <c r="C6" s="6" t="s">
        <v>34</v>
      </c>
      <c r="D6" s="6" t="s">
        <v>27</v>
      </c>
    </row>
    <row r="7" customFormat="false" ht="15" hidden="false" customHeight="false" outlineLevel="0" collapsed="false">
      <c r="A7" s="6" t="s">
        <v>35</v>
      </c>
      <c r="B7" s="6" t="s">
        <v>36</v>
      </c>
      <c r="C7" s="6" t="s">
        <v>37</v>
      </c>
      <c r="D7" s="6" t="s">
        <v>24</v>
      </c>
    </row>
    <row r="8" customFormat="false" ht="15" hidden="false" customHeight="false" outlineLevel="0" collapsed="false">
      <c r="A8" s="6"/>
      <c r="B8" s="6"/>
      <c r="C8" s="6"/>
      <c r="D8" s="6"/>
    </row>
    <row r="9" customFormat="false" ht="15" hidden="false" customHeight="false" outlineLevel="0" collapsed="false">
      <c r="A9" s="6"/>
      <c r="B9" s="6"/>
      <c r="C9" s="6"/>
      <c r="D9" s="6"/>
    </row>
    <row r="10" customFormat="false" ht="15" hidden="false" customHeight="false" outlineLevel="0" collapsed="false">
      <c r="A10" s="6"/>
      <c r="B10" s="6"/>
      <c r="C10" s="6"/>
      <c r="D10" s="6"/>
    </row>
    <row r="11" customFormat="false" ht="15" hidden="false" customHeight="false" outlineLevel="0" collapsed="false">
      <c r="A11" s="6"/>
      <c r="B11" s="6"/>
      <c r="C11" s="6"/>
      <c r="D11" s="6"/>
    </row>
    <row r="12" customFormat="false" ht="15" hidden="false" customHeight="false" outlineLevel="0" collapsed="false">
      <c r="A12" s="6"/>
      <c r="B12" s="6"/>
      <c r="C12" s="6"/>
      <c r="D12" s="6"/>
    </row>
    <row r="13" customFormat="false" ht="15" hidden="false" customHeight="false" outlineLevel="0" collapsed="false">
      <c r="A13" s="6"/>
      <c r="B13" s="6"/>
      <c r="C13" s="6"/>
      <c r="D13" s="6"/>
    </row>
    <row r="14" customFormat="false" ht="15" hidden="false" customHeight="false" outlineLevel="0" collapsed="false">
      <c r="A14" s="6"/>
      <c r="B14" s="6"/>
      <c r="C14" s="6"/>
      <c r="D14" s="6"/>
    </row>
    <row r="15" customFormat="false" ht="15" hidden="false" customHeight="false" outlineLevel="0" collapsed="false">
      <c r="A15" s="6"/>
      <c r="B15" s="6"/>
      <c r="C15" s="6"/>
      <c r="D15" s="6"/>
    </row>
    <row r="16" customFormat="false" ht="15" hidden="false" customHeight="false" outlineLevel="0" collapsed="false">
      <c r="A16" s="6"/>
      <c r="B16" s="6"/>
      <c r="C16" s="6"/>
      <c r="D16" s="6"/>
    </row>
    <row r="17" customFormat="false" ht="15" hidden="false" customHeight="false" outlineLevel="0" collapsed="false">
      <c r="A17" s="6"/>
      <c r="B17" s="6"/>
      <c r="C17" s="6"/>
      <c r="D17" s="6"/>
    </row>
    <row r="18" customFormat="false" ht="15" hidden="false" customHeight="false" outlineLevel="0" collapsed="false">
      <c r="A18" s="6"/>
      <c r="B18" s="6"/>
      <c r="C18" s="6"/>
      <c r="D18" s="6"/>
    </row>
    <row r="19" customFormat="false" ht="15" hidden="false" customHeight="false" outlineLevel="0" collapsed="false">
      <c r="A19" s="6"/>
      <c r="B19" s="6"/>
      <c r="C19" s="6"/>
      <c r="D19" s="6"/>
    </row>
    <row r="20" customFormat="false" ht="15" hidden="false" customHeight="false" outlineLevel="0" collapsed="false">
      <c r="A20" s="6"/>
      <c r="B20" s="6"/>
      <c r="C20" s="6"/>
      <c r="D20" s="6"/>
    </row>
    <row r="21" customFormat="false" ht="15" hidden="false" customHeight="false" outlineLevel="0" collapsed="false">
      <c r="A21" s="6"/>
      <c r="B21" s="6"/>
      <c r="C21" s="6"/>
      <c r="D21" s="6"/>
    </row>
    <row r="22" customFormat="false" ht="15" hidden="false" customHeight="false" outlineLevel="0" collapsed="false">
      <c r="A22" s="6"/>
      <c r="B22" s="6"/>
      <c r="C22" s="6"/>
      <c r="D22" s="6"/>
    </row>
    <row r="23" customFormat="false" ht="15" hidden="false" customHeight="false" outlineLevel="0" collapsed="false">
      <c r="A23" s="6"/>
      <c r="B23" s="6"/>
      <c r="C23" s="6"/>
      <c r="D23" s="6"/>
    </row>
    <row r="24" customFormat="false" ht="15" hidden="false" customHeight="false" outlineLevel="0" collapsed="false">
      <c r="A24" s="6"/>
      <c r="B24" s="6"/>
      <c r="C24" s="6"/>
      <c r="D24" s="6"/>
    </row>
    <row r="25" customFormat="false" ht="15" hidden="false" customHeight="false" outlineLevel="0" collapsed="false">
      <c r="A25" s="6"/>
      <c r="B25" s="6"/>
      <c r="C25" s="6"/>
      <c r="D25" s="6"/>
    </row>
    <row r="26" customFormat="false" ht="15" hidden="false" customHeight="false" outlineLevel="0" collapsed="false">
      <c r="A26" s="6"/>
      <c r="B26" s="6"/>
      <c r="C26" s="6"/>
      <c r="D26" s="6"/>
    </row>
    <row r="27" customFormat="false" ht="15" hidden="false" customHeight="false" outlineLevel="0" collapsed="false">
      <c r="A27" s="6"/>
      <c r="B27" s="6"/>
      <c r="C27" s="6"/>
      <c r="D27" s="6"/>
    </row>
    <row r="28" customFormat="false" ht="15" hidden="false" customHeight="false" outlineLevel="0" collapsed="false">
      <c r="A28" s="6"/>
      <c r="B28" s="6"/>
      <c r="C28" s="6"/>
      <c r="D28" s="6"/>
    </row>
    <row r="29" customFormat="false" ht="15" hidden="false" customHeight="false" outlineLevel="0" collapsed="false">
      <c r="A29" s="6"/>
      <c r="B29" s="6"/>
      <c r="C29" s="6"/>
      <c r="D29" s="6"/>
    </row>
    <row r="30" customFormat="false" ht="15" hidden="false" customHeight="false" outlineLevel="0" collapsed="false">
      <c r="A30" s="6"/>
      <c r="B30" s="6"/>
      <c r="C30" s="6"/>
      <c r="D30" s="6"/>
    </row>
    <row r="31" customFormat="false" ht="15" hidden="false" customHeight="false" outlineLevel="0" collapsed="false">
      <c r="A31" s="6"/>
      <c r="B31" s="6"/>
      <c r="C31" s="6"/>
      <c r="D31" s="6"/>
    </row>
    <row r="32" customFormat="false" ht="15" hidden="false" customHeight="false" outlineLevel="0" collapsed="false">
      <c r="A32" s="6"/>
      <c r="B32" s="6"/>
      <c r="C32" s="6"/>
      <c r="D32" s="6"/>
    </row>
    <row r="33" customFormat="false" ht="15" hidden="false" customHeight="false" outlineLevel="0" collapsed="false">
      <c r="A33" s="6"/>
      <c r="B33" s="6"/>
      <c r="C33" s="6"/>
      <c r="D33" s="6"/>
    </row>
    <row r="34" customFormat="false" ht="15" hidden="false" customHeight="false" outlineLevel="0" collapsed="false">
      <c r="A34" s="6"/>
      <c r="B34" s="6"/>
      <c r="C34" s="6"/>
      <c r="D34" s="6"/>
    </row>
    <row r="35" customFormat="false" ht="15" hidden="false" customHeight="false" outlineLevel="0" collapsed="false">
      <c r="A35" s="6"/>
      <c r="B35" s="6"/>
      <c r="C35" s="6"/>
      <c r="D35" s="6"/>
    </row>
    <row r="36" customFormat="false" ht="15" hidden="false" customHeight="false" outlineLevel="0" collapsed="false">
      <c r="A36" s="6"/>
      <c r="B36" s="6"/>
      <c r="C36" s="6"/>
      <c r="D36" s="6"/>
    </row>
    <row r="37" customFormat="false" ht="15" hidden="false" customHeight="false" outlineLevel="0" collapsed="false">
      <c r="A37" s="6"/>
      <c r="B37" s="6"/>
      <c r="C37" s="6"/>
      <c r="D37" s="6"/>
    </row>
    <row r="38" customFormat="false" ht="15" hidden="false" customHeight="false" outlineLevel="0" collapsed="false">
      <c r="A38" s="6"/>
      <c r="B38" s="6"/>
      <c r="C38" s="6"/>
      <c r="D38" s="6"/>
    </row>
    <row r="39" customFormat="false" ht="15" hidden="false" customHeight="false" outlineLevel="0" collapsed="false">
      <c r="A39" s="6"/>
      <c r="B39" s="6"/>
      <c r="C39" s="6"/>
      <c r="D39" s="6"/>
    </row>
    <row r="40" customFormat="false" ht="15" hidden="false" customHeight="false" outlineLevel="0" collapsed="false">
      <c r="A40" s="6"/>
      <c r="B40" s="6"/>
      <c r="C40" s="6"/>
      <c r="D40" s="6"/>
    </row>
    <row r="41" customFormat="false" ht="15" hidden="false" customHeight="false" outlineLevel="0" collapsed="false">
      <c r="A41" s="6"/>
      <c r="B41" s="6"/>
      <c r="C41" s="6"/>
      <c r="D41" s="6"/>
    </row>
    <row r="42" customFormat="false" ht="15" hidden="false" customHeight="false" outlineLevel="0" collapsed="false">
      <c r="A42" s="6"/>
      <c r="B42" s="6"/>
      <c r="C42" s="6"/>
      <c r="D42" s="6"/>
    </row>
    <row r="43" customFormat="false" ht="15" hidden="false" customHeight="false" outlineLevel="0" collapsed="false">
      <c r="A43" s="6"/>
      <c r="B43" s="6"/>
      <c r="C43" s="6"/>
      <c r="D43" s="6"/>
    </row>
    <row r="44" customFormat="false" ht="15" hidden="false" customHeight="false" outlineLevel="0" collapsed="false">
      <c r="A44" s="6"/>
      <c r="B44" s="6"/>
      <c r="C44" s="6"/>
      <c r="D44" s="6"/>
    </row>
    <row r="45" customFormat="false" ht="15" hidden="false" customHeight="false" outlineLevel="0" collapsed="false">
      <c r="A45" s="6"/>
      <c r="B45" s="6"/>
      <c r="C45" s="6"/>
      <c r="D45" s="6"/>
    </row>
    <row r="46" customFormat="false" ht="15" hidden="false" customHeight="false" outlineLevel="0" collapsed="false">
      <c r="A46" s="6"/>
      <c r="B46" s="6"/>
      <c r="C46" s="6"/>
      <c r="D46" s="6"/>
    </row>
    <row r="47" customFormat="false" ht="15" hidden="false" customHeight="false" outlineLevel="0" collapsed="false">
      <c r="A47" s="6"/>
      <c r="B47" s="6"/>
      <c r="C47" s="6"/>
      <c r="D47" s="6"/>
    </row>
    <row r="48" customFormat="false" ht="15" hidden="false" customHeight="false" outlineLevel="0" collapsed="false">
      <c r="A48" s="6"/>
      <c r="B48" s="6"/>
      <c r="C48" s="6"/>
      <c r="D48" s="6"/>
    </row>
    <row r="49" customFormat="false" ht="15" hidden="false" customHeight="false" outlineLevel="0" collapsed="false">
      <c r="A49" s="6"/>
      <c r="B49" s="6"/>
      <c r="C49" s="6"/>
      <c r="D49" s="6"/>
    </row>
    <row r="50" customFormat="false" ht="15" hidden="false" customHeight="false" outlineLevel="0" collapsed="false">
      <c r="A50" s="6"/>
      <c r="B50" s="6"/>
      <c r="C50" s="6"/>
      <c r="D50" s="6"/>
    </row>
    <row r="51" customFormat="false" ht="15" hidden="false" customHeight="false" outlineLevel="0" collapsed="false">
      <c r="A51" s="6"/>
      <c r="B51" s="6"/>
      <c r="C51" s="6"/>
      <c r="D51" s="6"/>
    </row>
    <row r="52" customFormat="false" ht="15" hidden="false" customHeight="false" outlineLevel="0" collapsed="false">
      <c r="A52" s="6"/>
      <c r="B52" s="6"/>
      <c r="C52" s="6"/>
      <c r="D52" s="6"/>
    </row>
    <row r="53" customFormat="false" ht="15" hidden="false" customHeight="false" outlineLevel="0" collapsed="false">
      <c r="A53" s="6"/>
      <c r="B53" s="6"/>
      <c r="C53" s="6"/>
      <c r="D53" s="6"/>
    </row>
    <row r="54" customFormat="false" ht="15" hidden="false" customHeight="false" outlineLevel="0" collapsed="false">
      <c r="A54" s="6"/>
      <c r="B54" s="6"/>
      <c r="C54" s="6"/>
      <c r="D54" s="6"/>
    </row>
    <row r="55" customFormat="false" ht="15" hidden="false" customHeight="false" outlineLevel="0" collapsed="false">
      <c r="A55" s="6"/>
      <c r="B55" s="6"/>
      <c r="C55" s="6"/>
      <c r="D55" s="6"/>
    </row>
    <row r="56" customFormat="false" ht="15" hidden="false" customHeight="false" outlineLevel="0" collapsed="false">
      <c r="A56" s="6"/>
      <c r="B56" s="6"/>
      <c r="C56" s="6"/>
      <c r="D56" s="6"/>
    </row>
    <row r="57" customFormat="false" ht="15" hidden="false" customHeight="false" outlineLevel="0" collapsed="false">
      <c r="A57" s="6"/>
      <c r="B57" s="6"/>
      <c r="C57" s="6"/>
      <c r="D57" s="6"/>
    </row>
    <row r="58" customFormat="false" ht="15" hidden="false" customHeight="false" outlineLevel="0" collapsed="false">
      <c r="A58" s="6"/>
      <c r="B58" s="6"/>
      <c r="C58" s="6"/>
      <c r="D58" s="6"/>
    </row>
    <row r="59" customFormat="false" ht="15" hidden="false" customHeight="false" outlineLevel="0" collapsed="false">
      <c r="A59" s="6"/>
      <c r="B59" s="6"/>
      <c r="C59" s="6"/>
      <c r="D59" s="6"/>
    </row>
    <row r="60" customFormat="false" ht="15" hidden="false" customHeight="false" outlineLevel="0" collapsed="false">
      <c r="A60" s="6"/>
      <c r="B60" s="6"/>
      <c r="C60" s="6"/>
      <c r="D60" s="6"/>
    </row>
    <row r="61" customFormat="false" ht="15" hidden="false" customHeight="false" outlineLevel="0" collapsed="false">
      <c r="A61" s="6"/>
      <c r="B61" s="6"/>
      <c r="C61" s="6"/>
      <c r="D61" s="6"/>
    </row>
    <row r="62" customFormat="false" ht="15" hidden="false" customHeight="false" outlineLevel="0" collapsed="false">
      <c r="A62" s="6"/>
      <c r="B62" s="6"/>
      <c r="C62" s="6"/>
      <c r="D62" s="6"/>
    </row>
    <row r="63" customFormat="false" ht="15" hidden="false" customHeight="false" outlineLevel="0" collapsed="false">
      <c r="A63" s="6"/>
      <c r="B63" s="6"/>
      <c r="C63" s="6"/>
      <c r="D63" s="6"/>
    </row>
    <row r="64" customFormat="false" ht="15" hidden="false" customHeight="false" outlineLevel="0" collapsed="false">
      <c r="A64" s="6"/>
      <c r="B64" s="6"/>
      <c r="C64" s="6"/>
      <c r="D64" s="6"/>
    </row>
    <row r="65" customFormat="false" ht="15" hidden="false" customHeight="false" outlineLevel="0" collapsed="false">
      <c r="A65" s="6"/>
      <c r="B65" s="6"/>
      <c r="C65" s="6"/>
      <c r="D65" s="6"/>
    </row>
    <row r="66" customFormat="false" ht="15" hidden="false" customHeight="false" outlineLevel="0" collapsed="false">
      <c r="A66" s="6"/>
      <c r="B66" s="6"/>
      <c r="C66" s="6"/>
      <c r="D66" s="6"/>
    </row>
    <row r="67" customFormat="false" ht="15" hidden="false" customHeight="false" outlineLevel="0" collapsed="false">
      <c r="A67" s="6"/>
      <c r="B67" s="6"/>
      <c r="C67" s="6"/>
      <c r="D67" s="6"/>
    </row>
    <row r="68" customFormat="false" ht="15" hidden="false" customHeight="false" outlineLevel="0" collapsed="false">
      <c r="A68" s="6"/>
      <c r="B68" s="6"/>
      <c r="C68" s="6"/>
      <c r="D68" s="6"/>
    </row>
    <row r="69" customFormat="false" ht="15" hidden="false" customHeight="false" outlineLevel="0" collapsed="false">
      <c r="A69" s="6"/>
      <c r="B69" s="6"/>
      <c r="C69" s="6"/>
      <c r="D69" s="6"/>
    </row>
    <row r="70" customFormat="false" ht="15" hidden="false" customHeight="false" outlineLevel="0" collapsed="false">
      <c r="A70" s="6"/>
      <c r="B70" s="6"/>
      <c r="C70" s="6"/>
      <c r="D70" s="6"/>
    </row>
    <row r="71" customFormat="false" ht="15" hidden="false" customHeight="false" outlineLevel="0" collapsed="false">
      <c r="A71" s="6"/>
      <c r="B71" s="6"/>
      <c r="C71" s="6"/>
      <c r="D71" s="6"/>
    </row>
    <row r="72" customFormat="false" ht="15" hidden="false" customHeight="false" outlineLevel="0" collapsed="false">
      <c r="A72" s="6"/>
      <c r="B72" s="6"/>
      <c r="C72" s="6"/>
      <c r="D72" s="6"/>
    </row>
    <row r="73" customFormat="false" ht="15" hidden="false" customHeight="false" outlineLevel="0" collapsed="false">
      <c r="A73" s="6"/>
      <c r="B73" s="6"/>
      <c r="C73" s="6"/>
      <c r="D73" s="6"/>
    </row>
    <row r="74" customFormat="false" ht="15" hidden="false" customHeight="false" outlineLevel="0" collapsed="false">
      <c r="A74" s="6"/>
      <c r="B74" s="6"/>
      <c r="C74" s="6"/>
      <c r="D74" s="6"/>
    </row>
    <row r="75" customFormat="false" ht="15" hidden="false" customHeight="false" outlineLevel="0" collapsed="false">
      <c r="A75" s="6"/>
      <c r="B75" s="6"/>
      <c r="C75" s="6"/>
      <c r="D75" s="6"/>
    </row>
    <row r="76" customFormat="false" ht="15" hidden="false" customHeight="false" outlineLevel="0" collapsed="false">
      <c r="A76" s="6"/>
      <c r="B76" s="6"/>
      <c r="C76" s="6"/>
      <c r="D76" s="6"/>
    </row>
    <row r="77" customFormat="false" ht="15" hidden="false" customHeight="false" outlineLevel="0" collapsed="false">
      <c r="A77" s="6"/>
      <c r="B77" s="6"/>
      <c r="C77" s="6"/>
      <c r="D77" s="6"/>
    </row>
    <row r="78" customFormat="false" ht="15" hidden="false" customHeight="false" outlineLevel="0" collapsed="false">
      <c r="A78" s="6"/>
      <c r="B78" s="6"/>
      <c r="C78" s="6"/>
      <c r="D78" s="6"/>
    </row>
    <row r="79" customFormat="false" ht="15" hidden="false" customHeight="false" outlineLevel="0" collapsed="false">
      <c r="A79" s="6"/>
      <c r="B79" s="6"/>
      <c r="C79" s="6"/>
      <c r="D79" s="6"/>
    </row>
    <row r="80" customFormat="false" ht="15" hidden="false" customHeight="false" outlineLevel="0" collapsed="false">
      <c r="A80" s="6"/>
      <c r="B80" s="6"/>
      <c r="C80" s="6"/>
      <c r="D80" s="6"/>
    </row>
    <row r="81" customFormat="false" ht="15" hidden="false" customHeight="false" outlineLevel="0" collapsed="false">
      <c r="A81" s="6"/>
      <c r="B81" s="6"/>
      <c r="C81" s="6"/>
      <c r="D81" s="6"/>
    </row>
    <row r="82" customFormat="false" ht="15" hidden="false" customHeight="false" outlineLevel="0" collapsed="false">
      <c r="A82" s="6"/>
      <c r="B82" s="6"/>
      <c r="C82" s="6"/>
      <c r="D82" s="6"/>
    </row>
    <row r="83" customFormat="false" ht="15" hidden="false" customHeight="false" outlineLevel="0" collapsed="false">
      <c r="A83" s="6"/>
      <c r="B83" s="6"/>
      <c r="C83" s="6"/>
      <c r="D83" s="6"/>
    </row>
    <row r="84" customFormat="false" ht="15" hidden="false" customHeight="false" outlineLevel="0" collapsed="false">
      <c r="A84" s="6"/>
      <c r="B84" s="6"/>
      <c r="C84" s="6"/>
      <c r="D84" s="6"/>
    </row>
    <row r="85" customFormat="false" ht="15" hidden="false" customHeight="false" outlineLevel="0" collapsed="false">
      <c r="A85" s="6"/>
      <c r="B85" s="6"/>
      <c r="C85" s="6"/>
      <c r="D85" s="6"/>
    </row>
    <row r="86" customFormat="false" ht="15" hidden="false" customHeight="false" outlineLevel="0" collapsed="false">
      <c r="A86" s="6"/>
      <c r="B86" s="6"/>
      <c r="C86" s="6"/>
      <c r="D86" s="6"/>
    </row>
    <row r="87" customFormat="false" ht="15" hidden="false" customHeight="false" outlineLevel="0" collapsed="false">
      <c r="A87" s="6"/>
      <c r="B87" s="6"/>
      <c r="C87" s="6"/>
      <c r="D87" s="6"/>
    </row>
    <row r="88" customFormat="false" ht="15" hidden="false" customHeight="false" outlineLevel="0" collapsed="false">
      <c r="A88" s="6"/>
      <c r="B88" s="6"/>
      <c r="C88" s="6"/>
      <c r="D88" s="6"/>
    </row>
    <row r="89" customFormat="false" ht="15" hidden="false" customHeight="false" outlineLevel="0" collapsed="false">
      <c r="A89" s="6"/>
      <c r="B89" s="6"/>
      <c r="C89" s="6"/>
      <c r="D89" s="6"/>
    </row>
    <row r="90" customFormat="false" ht="15" hidden="false" customHeight="false" outlineLevel="0" collapsed="false">
      <c r="A90" s="6"/>
      <c r="B90" s="6"/>
      <c r="C90" s="6"/>
      <c r="D90" s="6"/>
    </row>
    <row r="91" customFormat="false" ht="15" hidden="false" customHeight="false" outlineLevel="0" collapsed="false">
      <c r="A91" s="6"/>
      <c r="B91" s="6"/>
      <c r="C91" s="6"/>
      <c r="D91" s="6"/>
    </row>
    <row r="92" customFormat="false" ht="15" hidden="false" customHeight="false" outlineLevel="0" collapsed="false">
      <c r="A92" s="6"/>
      <c r="B92" s="6"/>
      <c r="C92" s="6"/>
      <c r="D92" s="6"/>
    </row>
    <row r="93" customFormat="false" ht="15" hidden="false" customHeight="false" outlineLevel="0" collapsed="false">
      <c r="A93" s="6"/>
      <c r="B93" s="6"/>
      <c r="C93" s="6"/>
      <c r="D93" s="6"/>
    </row>
    <row r="94" customFormat="false" ht="15" hidden="false" customHeight="false" outlineLevel="0" collapsed="false">
      <c r="A94" s="6"/>
      <c r="B94" s="6"/>
      <c r="C94" s="6"/>
      <c r="D94" s="6"/>
    </row>
    <row r="95" customFormat="false" ht="15" hidden="false" customHeight="false" outlineLevel="0" collapsed="false">
      <c r="A95" s="6"/>
      <c r="B95" s="6"/>
      <c r="C95" s="6"/>
      <c r="D95" s="6"/>
    </row>
    <row r="96" customFormat="false" ht="15" hidden="false" customHeight="false" outlineLevel="0" collapsed="false">
      <c r="A96" s="6"/>
      <c r="B96" s="6"/>
      <c r="C96" s="6"/>
      <c r="D96" s="6"/>
    </row>
    <row r="97" customFormat="false" ht="15" hidden="false" customHeight="false" outlineLevel="0" collapsed="false">
      <c r="A97" s="6"/>
      <c r="B97" s="6"/>
      <c r="C97" s="6"/>
      <c r="D97" s="6"/>
    </row>
    <row r="98" customFormat="false" ht="15" hidden="false" customHeight="false" outlineLevel="0" collapsed="false">
      <c r="A98" s="6"/>
      <c r="B98" s="6"/>
      <c r="C98" s="6"/>
      <c r="D98" s="6"/>
    </row>
    <row r="99" customFormat="false" ht="15" hidden="false" customHeight="false" outlineLevel="0" collapsed="false">
      <c r="A99" s="6"/>
      <c r="B99" s="6"/>
      <c r="C99" s="6"/>
      <c r="D99" s="6"/>
    </row>
    <row r="100" customFormat="false" ht="15" hidden="false" customHeight="false" outlineLevel="0" collapsed="false">
      <c r="A100" s="6"/>
      <c r="B100" s="6"/>
      <c r="C100" s="6"/>
      <c r="D100" s="6"/>
    </row>
    <row r="101" customFormat="false" ht="15" hidden="false" customHeight="false" outlineLevel="0" collapsed="false">
      <c r="A101" s="6"/>
      <c r="B101" s="6"/>
      <c r="C101" s="6"/>
      <c r="D101" s="6"/>
    </row>
    <row r="102" customFormat="false" ht="15" hidden="false" customHeight="false" outlineLevel="0" collapsed="false">
      <c r="A102" s="6"/>
      <c r="B102" s="6"/>
      <c r="C102" s="6"/>
      <c r="D102" s="6"/>
    </row>
    <row r="103" customFormat="false" ht="15" hidden="false" customHeight="false" outlineLevel="0" collapsed="false">
      <c r="A103" s="6"/>
      <c r="B103" s="6"/>
      <c r="C103" s="6"/>
      <c r="D103" s="6"/>
    </row>
    <row r="104" customFormat="false" ht="15" hidden="false" customHeight="false" outlineLevel="0" collapsed="false">
      <c r="A104" s="6"/>
      <c r="B104" s="6"/>
      <c r="C104" s="6"/>
      <c r="D104" s="6"/>
    </row>
    <row r="105" customFormat="false" ht="15" hidden="false" customHeight="false" outlineLevel="0" collapsed="false">
      <c r="A105" s="6"/>
      <c r="B105" s="6"/>
      <c r="C105" s="6"/>
      <c r="D105" s="6"/>
    </row>
    <row r="106" customFormat="false" ht="15" hidden="false" customHeight="false" outlineLevel="0" collapsed="false">
      <c r="A106" s="6"/>
      <c r="B106" s="6"/>
      <c r="C106" s="6"/>
      <c r="D106" s="6"/>
    </row>
    <row r="107" customFormat="false" ht="15" hidden="false" customHeight="false" outlineLevel="0" collapsed="false">
      <c r="A107" s="6"/>
      <c r="B107" s="6"/>
      <c r="C107" s="6"/>
      <c r="D107" s="6"/>
    </row>
    <row r="108" customFormat="false" ht="15" hidden="false" customHeight="false" outlineLevel="0" collapsed="false">
      <c r="A108" s="6"/>
      <c r="B108" s="6"/>
      <c r="C108" s="6"/>
      <c r="D108" s="6"/>
    </row>
    <row r="109" customFormat="false" ht="15" hidden="false" customHeight="false" outlineLevel="0" collapsed="false">
      <c r="A109" s="6"/>
      <c r="B109" s="6"/>
      <c r="C109" s="6"/>
      <c r="D109" s="6"/>
    </row>
    <row r="110" customFormat="false" ht="15" hidden="false" customHeight="false" outlineLevel="0" collapsed="false">
      <c r="A110" s="6"/>
      <c r="B110" s="6"/>
      <c r="C110" s="6"/>
      <c r="D110" s="6"/>
    </row>
    <row r="111" customFormat="false" ht="15" hidden="false" customHeight="false" outlineLevel="0" collapsed="false">
      <c r="A111" s="6"/>
      <c r="B111" s="6"/>
      <c r="C111" s="6"/>
      <c r="D111" s="6"/>
    </row>
    <row r="112" customFormat="false" ht="15" hidden="false" customHeight="false" outlineLevel="0" collapsed="false">
      <c r="A112" s="6"/>
      <c r="B112" s="6"/>
      <c r="C112" s="6"/>
      <c r="D112" s="6"/>
    </row>
    <row r="113" customFormat="false" ht="15" hidden="false" customHeight="false" outlineLevel="0" collapsed="false">
      <c r="A113" s="6"/>
      <c r="B113" s="6"/>
      <c r="C113" s="6"/>
      <c r="D113" s="6"/>
    </row>
    <row r="114" customFormat="false" ht="15" hidden="false" customHeight="false" outlineLevel="0" collapsed="false">
      <c r="A114" s="6"/>
      <c r="B114" s="6"/>
      <c r="C114" s="6"/>
      <c r="D114" s="6"/>
    </row>
    <row r="115" customFormat="false" ht="15" hidden="false" customHeight="false" outlineLevel="0" collapsed="false">
      <c r="A115" s="6"/>
      <c r="B115" s="6"/>
      <c r="C115" s="6"/>
      <c r="D115" s="6"/>
    </row>
    <row r="116" customFormat="false" ht="15" hidden="false" customHeight="false" outlineLevel="0" collapsed="false">
      <c r="A116" s="6"/>
      <c r="B116" s="6"/>
      <c r="C116" s="6"/>
      <c r="D116" s="6"/>
    </row>
    <row r="117" customFormat="false" ht="15" hidden="false" customHeight="false" outlineLevel="0" collapsed="false">
      <c r="A117" s="6"/>
      <c r="B117" s="6"/>
      <c r="C117" s="6"/>
      <c r="D117" s="6"/>
    </row>
    <row r="118" customFormat="false" ht="15" hidden="false" customHeight="false" outlineLevel="0" collapsed="false">
      <c r="A118" s="6"/>
      <c r="B118" s="6"/>
      <c r="C118" s="6"/>
      <c r="D118" s="6"/>
    </row>
    <row r="119" customFormat="false" ht="15" hidden="false" customHeight="false" outlineLevel="0" collapsed="false">
      <c r="A119" s="6"/>
      <c r="B119" s="6"/>
      <c r="C119" s="6"/>
      <c r="D119" s="6"/>
    </row>
    <row r="120" customFormat="false" ht="15" hidden="false" customHeight="false" outlineLevel="0" collapsed="false">
      <c r="A120" s="6"/>
      <c r="B120" s="6"/>
      <c r="C120" s="6"/>
      <c r="D120" s="6"/>
    </row>
    <row r="121" customFormat="false" ht="15" hidden="false" customHeight="false" outlineLevel="0" collapsed="false">
      <c r="A121" s="6"/>
      <c r="B121" s="6"/>
      <c r="C121" s="6"/>
      <c r="D121" s="6"/>
    </row>
    <row r="122" customFormat="false" ht="15" hidden="false" customHeight="false" outlineLevel="0" collapsed="false">
      <c r="A122" s="6"/>
      <c r="B122" s="6"/>
      <c r="C122" s="6"/>
      <c r="D122" s="6"/>
    </row>
    <row r="123" customFormat="false" ht="15" hidden="false" customHeight="false" outlineLevel="0" collapsed="false">
      <c r="A123" s="6"/>
      <c r="B123" s="6"/>
      <c r="C123" s="6"/>
      <c r="D123" s="6"/>
    </row>
    <row r="124" customFormat="false" ht="15" hidden="false" customHeight="false" outlineLevel="0" collapsed="false">
      <c r="A124" s="6"/>
      <c r="B124" s="6"/>
      <c r="C124" s="6"/>
      <c r="D124" s="6"/>
    </row>
    <row r="125" customFormat="false" ht="15" hidden="false" customHeight="false" outlineLevel="0" collapsed="false">
      <c r="A125" s="6"/>
      <c r="B125" s="6"/>
      <c r="C125" s="6"/>
      <c r="D125" s="6"/>
    </row>
    <row r="126" customFormat="false" ht="15" hidden="false" customHeight="false" outlineLevel="0" collapsed="false">
      <c r="A126" s="6"/>
      <c r="B126" s="6"/>
      <c r="C126" s="6"/>
      <c r="D126" s="6"/>
    </row>
    <row r="127" customFormat="false" ht="15" hidden="false" customHeight="false" outlineLevel="0" collapsed="false">
      <c r="A127" s="6"/>
      <c r="B127" s="6"/>
      <c r="C127" s="6"/>
      <c r="D127" s="6"/>
    </row>
    <row r="128" customFormat="false" ht="15" hidden="false" customHeight="false" outlineLevel="0" collapsed="false">
      <c r="A128" s="6"/>
      <c r="B128" s="6"/>
      <c r="C128" s="6"/>
      <c r="D128" s="6"/>
    </row>
    <row r="129" customFormat="false" ht="15" hidden="false" customHeight="false" outlineLevel="0" collapsed="false">
      <c r="A129" s="6"/>
      <c r="B129" s="6"/>
      <c r="C129" s="6"/>
      <c r="D129" s="6"/>
    </row>
    <row r="130" customFormat="false" ht="15" hidden="false" customHeight="false" outlineLevel="0" collapsed="false">
      <c r="A130" s="6"/>
      <c r="B130" s="6"/>
      <c r="C130" s="6"/>
      <c r="D130" s="6"/>
    </row>
    <row r="131" customFormat="false" ht="15" hidden="false" customHeight="false" outlineLevel="0" collapsed="false">
      <c r="A131" s="6"/>
      <c r="B131" s="6"/>
      <c r="C131" s="6"/>
      <c r="D131" s="6"/>
    </row>
    <row r="132" customFormat="false" ht="15" hidden="false" customHeight="false" outlineLevel="0" collapsed="false">
      <c r="A132" s="6"/>
      <c r="B132" s="6"/>
      <c r="C132" s="6"/>
      <c r="D132" s="6"/>
    </row>
    <row r="133" customFormat="false" ht="15" hidden="false" customHeight="false" outlineLevel="0" collapsed="false">
      <c r="A133" s="6"/>
      <c r="B133" s="6"/>
      <c r="C133" s="6"/>
      <c r="D133" s="6"/>
    </row>
    <row r="134" customFormat="false" ht="15" hidden="false" customHeight="false" outlineLevel="0" collapsed="false">
      <c r="A134" s="6"/>
      <c r="B134" s="6"/>
      <c r="C134" s="6"/>
      <c r="D134" s="6"/>
    </row>
    <row r="135" customFormat="false" ht="15" hidden="false" customHeight="false" outlineLevel="0" collapsed="false">
      <c r="A135" s="6"/>
      <c r="B135" s="6"/>
      <c r="C135" s="6"/>
      <c r="D135" s="6"/>
    </row>
    <row r="136" customFormat="false" ht="15" hidden="false" customHeight="false" outlineLevel="0" collapsed="false">
      <c r="A136" s="6"/>
      <c r="B136" s="6"/>
      <c r="C136" s="6"/>
      <c r="D136" s="6"/>
    </row>
    <row r="137" customFormat="false" ht="15" hidden="false" customHeight="false" outlineLevel="0" collapsed="false">
      <c r="A137" s="6"/>
      <c r="B137" s="6"/>
      <c r="C137" s="6"/>
      <c r="D137" s="6"/>
    </row>
    <row r="138" customFormat="false" ht="15" hidden="false" customHeight="false" outlineLevel="0" collapsed="false">
      <c r="A138" s="6"/>
      <c r="B138" s="6"/>
      <c r="C138" s="6"/>
      <c r="D138" s="6"/>
    </row>
    <row r="139" customFormat="false" ht="15" hidden="false" customHeight="false" outlineLevel="0" collapsed="false">
      <c r="A139" s="6"/>
      <c r="B139" s="6"/>
      <c r="C139" s="6"/>
      <c r="D139" s="6"/>
    </row>
    <row r="140" customFormat="false" ht="15" hidden="false" customHeight="false" outlineLevel="0" collapsed="false">
      <c r="A140" s="6"/>
      <c r="B140" s="6"/>
      <c r="C140" s="6"/>
      <c r="D140" s="6"/>
    </row>
    <row r="141" customFormat="false" ht="15" hidden="false" customHeight="false" outlineLevel="0" collapsed="false">
      <c r="A141" s="6"/>
      <c r="B141" s="6"/>
      <c r="C141" s="6"/>
      <c r="D141" s="6"/>
    </row>
    <row r="142" customFormat="false" ht="15" hidden="false" customHeight="false" outlineLevel="0" collapsed="false">
      <c r="A142" s="6"/>
      <c r="B142" s="6"/>
      <c r="C142" s="6"/>
      <c r="D142" s="6"/>
    </row>
    <row r="143" customFormat="false" ht="15" hidden="false" customHeight="false" outlineLevel="0" collapsed="false">
      <c r="A143" s="6"/>
      <c r="B143" s="6"/>
      <c r="C143" s="6"/>
      <c r="D143" s="6"/>
    </row>
    <row r="144" customFormat="false" ht="15" hidden="false" customHeight="false" outlineLevel="0" collapsed="false">
      <c r="A144" s="6"/>
      <c r="B144" s="6"/>
      <c r="C144" s="6"/>
      <c r="D144" s="6"/>
    </row>
    <row r="145" customFormat="false" ht="15" hidden="false" customHeight="false" outlineLevel="0" collapsed="false">
      <c r="A145" s="6"/>
      <c r="B145" s="6"/>
      <c r="C145" s="6"/>
      <c r="D145" s="6"/>
    </row>
    <row r="146" customFormat="false" ht="15" hidden="false" customHeight="false" outlineLevel="0" collapsed="false">
      <c r="A146" s="6"/>
      <c r="B146" s="6"/>
      <c r="C146" s="6"/>
      <c r="D146" s="6"/>
    </row>
    <row r="147" customFormat="false" ht="15" hidden="false" customHeight="false" outlineLevel="0" collapsed="false">
      <c r="A147" s="6"/>
      <c r="B147" s="6"/>
      <c r="C147" s="6"/>
      <c r="D147" s="6"/>
    </row>
    <row r="148" customFormat="false" ht="15" hidden="false" customHeight="false" outlineLevel="0" collapsed="false">
      <c r="A148" s="6"/>
      <c r="B148" s="6"/>
      <c r="C148" s="6"/>
      <c r="D148" s="6"/>
    </row>
    <row r="149" customFormat="false" ht="15" hidden="false" customHeight="false" outlineLevel="0" collapsed="false">
      <c r="A149" s="6"/>
      <c r="B149" s="6"/>
      <c r="C149" s="6"/>
      <c r="D149" s="6"/>
    </row>
    <row r="150" customFormat="false" ht="15" hidden="false" customHeight="false" outlineLevel="0" collapsed="false">
      <c r="A150" s="6"/>
      <c r="B150" s="6"/>
      <c r="C150" s="6"/>
      <c r="D150" s="6"/>
    </row>
    <row r="151" customFormat="false" ht="15" hidden="false" customHeight="false" outlineLevel="0" collapsed="false">
      <c r="A151" s="6"/>
      <c r="B151" s="6"/>
      <c r="C151" s="6"/>
      <c r="D151" s="6"/>
    </row>
    <row r="152" customFormat="false" ht="15" hidden="false" customHeight="false" outlineLevel="0" collapsed="false">
      <c r="A152" s="6"/>
      <c r="B152" s="6"/>
      <c r="C152" s="6"/>
      <c r="D152" s="6"/>
    </row>
    <row r="153" customFormat="false" ht="15" hidden="false" customHeight="false" outlineLevel="0" collapsed="false">
      <c r="A153" s="6"/>
      <c r="B153" s="6"/>
      <c r="C153" s="6"/>
      <c r="D153" s="6"/>
    </row>
    <row r="154" customFormat="false" ht="15" hidden="false" customHeight="false" outlineLevel="0" collapsed="false">
      <c r="A154" s="6"/>
      <c r="B154" s="6"/>
      <c r="C154" s="6"/>
      <c r="D154" s="6"/>
    </row>
    <row r="155" customFormat="false" ht="15" hidden="false" customHeight="false" outlineLevel="0" collapsed="false">
      <c r="A155" s="6"/>
      <c r="B155" s="6"/>
      <c r="C155" s="6"/>
      <c r="D155" s="6"/>
    </row>
    <row r="156" customFormat="false" ht="15" hidden="false" customHeight="false" outlineLevel="0" collapsed="false">
      <c r="A156" s="6"/>
      <c r="B156" s="6"/>
      <c r="C156" s="6"/>
      <c r="D156" s="6"/>
    </row>
    <row r="157" customFormat="false" ht="15" hidden="false" customHeight="false" outlineLevel="0" collapsed="false">
      <c r="A157" s="6"/>
      <c r="B157" s="6"/>
      <c r="C157" s="6"/>
      <c r="D157" s="6"/>
    </row>
    <row r="158" customFormat="false" ht="15" hidden="false" customHeight="false" outlineLevel="0" collapsed="false">
      <c r="A158" s="6"/>
      <c r="B158" s="6"/>
      <c r="C158" s="6"/>
      <c r="D158" s="6"/>
    </row>
    <row r="159" customFormat="false" ht="15" hidden="false" customHeight="false" outlineLevel="0" collapsed="false">
      <c r="A159" s="6"/>
      <c r="B159" s="6"/>
      <c r="C159" s="6"/>
      <c r="D159" s="6"/>
    </row>
    <row r="160" customFormat="false" ht="15" hidden="false" customHeight="false" outlineLevel="0" collapsed="false">
      <c r="A160" s="6"/>
      <c r="B160" s="6"/>
      <c r="C160" s="6"/>
      <c r="D160" s="6"/>
    </row>
    <row r="161" customFormat="false" ht="15" hidden="false" customHeight="false" outlineLevel="0" collapsed="false">
      <c r="A161" s="6"/>
      <c r="B161" s="6"/>
      <c r="C161" s="6"/>
      <c r="D161" s="6"/>
    </row>
    <row r="162" customFormat="false" ht="15" hidden="false" customHeight="false" outlineLevel="0" collapsed="false">
      <c r="A162" s="6"/>
      <c r="B162" s="6"/>
      <c r="C162" s="6"/>
      <c r="D162" s="6"/>
    </row>
    <row r="163" customFormat="false" ht="15" hidden="false" customHeight="false" outlineLevel="0" collapsed="false">
      <c r="A163" s="6"/>
      <c r="B163" s="6"/>
      <c r="C163" s="6"/>
      <c r="D163" s="6"/>
    </row>
    <row r="164" customFormat="false" ht="15" hidden="false" customHeight="false" outlineLevel="0" collapsed="false">
      <c r="A164" s="6"/>
      <c r="B164" s="6"/>
      <c r="C164" s="6"/>
      <c r="D164" s="6"/>
    </row>
    <row r="165" customFormat="false" ht="15" hidden="false" customHeight="false" outlineLevel="0" collapsed="false">
      <c r="A165" s="6"/>
      <c r="B165" s="6"/>
      <c r="C165" s="6"/>
      <c r="D165" s="6"/>
    </row>
    <row r="166" customFormat="false" ht="15" hidden="false" customHeight="false" outlineLevel="0" collapsed="false">
      <c r="A166" s="6"/>
      <c r="B166" s="6"/>
      <c r="C166" s="6"/>
      <c r="D166" s="6"/>
    </row>
    <row r="167" customFormat="false" ht="15" hidden="false" customHeight="false" outlineLevel="0" collapsed="false">
      <c r="A167" s="6"/>
      <c r="B167" s="6"/>
      <c r="C167" s="6"/>
      <c r="D167" s="6"/>
    </row>
    <row r="168" customFormat="false" ht="15" hidden="false" customHeight="false" outlineLevel="0" collapsed="false">
      <c r="A168" s="6"/>
      <c r="B168" s="6"/>
      <c r="C168" s="6"/>
      <c r="D168" s="6"/>
    </row>
    <row r="169" customFormat="false" ht="15" hidden="false" customHeight="false" outlineLevel="0" collapsed="false">
      <c r="A169" s="6"/>
      <c r="B169" s="6"/>
      <c r="C169" s="6"/>
      <c r="D169" s="6"/>
    </row>
    <row r="170" customFormat="false" ht="15" hidden="false" customHeight="false" outlineLevel="0" collapsed="false">
      <c r="A170" s="6"/>
      <c r="B170" s="6"/>
      <c r="C170" s="6"/>
      <c r="D170" s="6"/>
    </row>
    <row r="171" customFormat="false" ht="15" hidden="false" customHeight="false" outlineLevel="0" collapsed="false">
      <c r="A171" s="6"/>
      <c r="B171" s="6"/>
      <c r="C171" s="6"/>
      <c r="D171" s="6"/>
    </row>
    <row r="172" customFormat="false" ht="15" hidden="false" customHeight="false" outlineLevel="0" collapsed="false">
      <c r="A172" s="6"/>
      <c r="B172" s="6"/>
      <c r="C172" s="6"/>
      <c r="D172" s="6"/>
    </row>
    <row r="173" customFormat="false" ht="15" hidden="false" customHeight="false" outlineLevel="0" collapsed="false">
      <c r="A173" s="6"/>
      <c r="B173" s="6"/>
      <c r="C173" s="6"/>
      <c r="D173" s="6"/>
    </row>
    <row r="174" customFormat="false" ht="15" hidden="false" customHeight="false" outlineLevel="0" collapsed="false">
      <c r="A174" s="6"/>
      <c r="B174" s="6"/>
      <c r="C174" s="6"/>
      <c r="D174" s="6"/>
    </row>
    <row r="175" customFormat="false" ht="15" hidden="false" customHeight="false" outlineLevel="0" collapsed="false">
      <c r="A175" s="6"/>
      <c r="B175" s="6"/>
      <c r="C175" s="6"/>
      <c r="D175" s="6"/>
    </row>
    <row r="176" customFormat="false" ht="15" hidden="false" customHeight="false" outlineLevel="0" collapsed="false">
      <c r="A176" s="6"/>
      <c r="B176" s="6"/>
      <c r="C176" s="6"/>
      <c r="D176" s="6"/>
    </row>
    <row r="177" customFormat="false" ht="15" hidden="false" customHeight="false" outlineLevel="0" collapsed="false">
      <c r="A177" s="6"/>
      <c r="B177" s="6"/>
      <c r="C177" s="6"/>
      <c r="D177" s="6"/>
    </row>
    <row r="178" customFormat="false" ht="15" hidden="false" customHeight="false" outlineLevel="0" collapsed="false">
      <c r="A178" s="6"/>
      <c r="B178" s="6"/>
      <c r="C178" s="6"/>
      <c r="D178" s="6"/>
    </row>
    <row r="179" customFormat="false" ht="15" hidden="false" customHeight="false" outlineLevel="0" collapsed="false">
      <c r="A179" s="6"/>
      <c r="B179" s="6"/>
      <c r="C179" s="6"/>
      <c r="D179" s="6"/>
    </row>
    <row r="180" customFormat="false" ht="15" hidden="false" customHeight="false" outlineLevel="0" collapsed="false">
      <c r="A180" s="6"/>
      <c r="B180" s="6"/>
      <c r="C180" s="6"/>
      <c r="D180" s="6"/>
    </row>
    <row r="181" customFormat="false" ht="15" hidden="false" customHeight="false" outlineLevel="0" collapsed="false">
      <c r="A181" s="6"/>
      <c r="B181" s="6"/>
      <c r="C181" s="6"/>
      <c r="D181" s="6"/>
    </row>
    <row r="182" customFormat="false" ht="15" hidden="false" customHeight="false" outlineLevel="0" collapsed="false">
      <c r="A182" s="6"/>
      <c r="B182" s="6"/>
      <c r="C182" s="6"/>
      <c r="D182" s="6"/>
    </row>
    <row r="183" customFormat="false" ht="15" hidden="false" customHeight="false" outlineLevel="0" collapsed="false">
      <c r="A183" s="6"/>
      <c r="B183" s="6"/>
      <c r="C183" s="6"/>
      <c r="D183" s="6"/>
    </row>
    <row r="184" customFormat="false" ht="15" hidden="false" customHeight="false" outlineLevel="0" collapsed="false">
      <c r="A184" s="6"/>
      <c r="B184" s="6"/>
      <c r="C184" s="6"/>
      <c r="D184" s="6"/>
    </row>
    <row r="185" customFormat="false" ht="15" hidden="false" customHeight="false" outlineLevel="0" collapsed="false">
      <c r="A185" s="6"/>
      <c r="B185" s="6"/>
      <c r="C185" s="6"/>
      <c r="D185" s="6"/>
    </row>
    <row r="186" customFormat="false" ht="15" hidden="false" customHeight="false" outlineLevel="0" collapsed="false">
      <c r="A186" s="6"/>
      <c r="B186" s="6"/>
      <c r="C186" s="6"/>
      <c r="D186" s="6"/>
    </row>
    <row r="187" customFormat="false" ht="15" hidden="false" customHeight="false" outlineLevel="0" collapsed="false">
      <c r="A187" s="6"/>
      <c r="B187" s="6"/>
      <c r="C187" s="6"/>
      <c r="D187" s="6"/>
    </row>
    <row r="188" customFormat="false" ht="15" hidden="false" customHeight="false" outlineLevel="0" collapsed="false">
      <c r="A188" s="6"/>
      <c r="B188" s="6"/>
      <c r="C188" s="6"/>
      <c r="D188" s="6"/>
    </row>
    <row r="189" customFormat="false" ht="15" hidden="false" customHeight="false" outlineLevel="0" collapsed="false">
      <c r="A189" s="6"/>
      <c r="B189" s="6"/>
      <c r="C189" s="6"/>
      <c r="D189" s="6"/>
    </row>
    <row r="190" customFormat="false" ht="15" hidden="false" customHeight="false" outlineLevel="0" collapsed="false">
      <c r="A190" s="6"/>
      <c r="B190" s="6"/>
      <c r="C190" s="6"/>
      <c r="D190" s="6"/>
    </row>
    <row r="191" customFormat="false" ht="15" hidden="false" customHeight="false" outlineLevel="0" collapsed="false">
      <c r="A191" s="6"/>
      <c r="B191" s="6"/>
      <c r="C191" s="6"/>
      <c r="D191" s="6"/>
    </row>
    <row r="192" customFormat="false" ht="15" hidden="false" customHeight="false" outlineLevel="0" collapsed="false">
      <c r="A192" s="6"/>
      <c r="B192" s="6"/>
      <c r="C192" s="6"/>
      <c r="D192" s="6"/>
    </row>
    <row r="193" customFormat="false" ht="15" hidden="false" customHeight="false" outlineLevel="0" collapsed="false">
      <c r="A193" s="6"/>
      <c r="B193" s="6"/>
      <c r="C193" s="6"/>
      <c r="D193" s="6"/>
    </row>
    <row r="194" customFormat="false" ht="15" hidden="false" customHeight="false" outlineLevel="0" collapsed="false">
      <c r="A194" s="6"/>
      <c r="B194" s="6"/>
      <c r="C194" s="6"/>
      <c r="D194" s="6"/>
    </row>
    <row r="195" customFormat="false" ht="15" hidden="false" customHeight="false" outlineLevel="0" collapsed="false">
      <c r="A195" s="6"/>
      <c r="B195" s="6"/>
      <c r="C195" s="6"/>
      <c r="D195" s="6"/>
    </row>
    <row r="196" customFormat="false" ht="15" hidden="false" customHeight="false" outlineLevel="0" collapsed="false">
      <c r="A196" s="6"/>
      <c r="B196" s="6"/>
      <c r="C196" s="6"/>
      <c r="D196" s="6"/>
    </row>
    <row r="197" customFormat="false" ht="15" hidden="false" customHeight="false" outlineLevel="0" collapsed="false">
      <c r="A197" s="6"/>
      <c r="B197" s="6"/>
      <c r="C197" s="6"/>
      <c r="D197" s="6"/>
    </row>
    <row r="198" customFormat="false" ht="15" hidden="false" customHeight="false" outlineLevel="0" collapsed="false">
      <c r="A198" s="6"/>
      <c r="B198" s="6"/>
      <c r="C198" s="6"/>
      <c r="D198" s="6"/>
    </row>
    <row r="199" customFormat="false" ht="15" hidden="false" customHeight="false" outlineLevel="0" collapsed="false">
      <c r="A199" s="6"/>
      <c r="B199" s="6"/>
      <c r="C199" s="6"/>
      <c r="D199" s="6"/>
    </row>
    <row r="200" customFormat="false" ht="15" hidden="false" customHeight="false" outlineLevel="0" collapsed="false">
      <c r="A200" s="6"/>
      <c r="B200" s="6"/>
      <c r="C200" s="6"/>
      <c r="D200" s="6"/>
    </row>
    <row r="201" customFormat="false" ht="15" hidden="false" customHeight="false" outlineLevel="0" collapsed="false">
      <c r="A201" s="6"/>
      <c r="B201" s="6"/>
      <c r="C201" s="6"/>
      <c r="D201" s="6"/>
    </row>
    <row r="202" customFormat="false" ht="15" hidden="false" customHeight="false" outlineLevel="0" collapsed="false">
      <c r="A202" s="6"/>
      <c r="B202" s="6"/>
      <c r="C202" s="6"/>
      <c r="D202" s="6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1" min="1" style="0" width="11.68"/>
    <col collapsed="false" customWidth="true" hidden="false" outlineLevel="0" max="2" min="2" style="0" width="33.38"/>
  </cols>
  <sheetData>
    <row r="1" customFormat="false" ht="25.5" hidden="false" customHeight="true" outlineLevel="0" collapsed="false">
      <c r="A1" s="1" t="s">
        <v>38</v>
      </c>
      <c r="B1" s="1"/>
    </row>
    <row r="2" customFormat="false" ht="15" hidden="false" customHeight="false" outlineLevel="0" collapsed="false">
      <c r="A2" s="5" t="s">
        <v>39</v>
      </c>
      <c r="B2" s="5" t="s">
        <v>40</v>
      </c>
    </row>
    <row r="3" customFormat="false" ht="15" hidden="false" customHeight="false" outlineLevel="0" collapsed="false">
      <c r="A3" s="6" t="s">
        <v>41</v>
      </c>
      <c r="B3" s="6" t="s">
        <v>42</v>
      </c>
    </row>
    <row r="4" customFormat="false" ht="15" hidden="false" customHeight="false" outlineLevel="0" collapsed="false">
      <c r="A4" s="6" t="s">
        <v>43</v>
      </c>
      <c r="B4" s="6" t="s">
        <v>44</v>
      </c>
    </row>
    <row r="5" customFormat="false" ht="15" hidden="false" customHeight="false" outlineLevel="0" collapsed="false">
      <c r="A5" s="6" t="s">
        <v>45</v>
      </c>
      <c r="B5" s="6" t="s">
        <v>46</v>
      </c>
    </row>
    <row r="6" customFormat="false" ht="15" hidden="false" customHeight="false" outlineLevel="0" collapsed="false">
      <c r="A6" s="6" t="s">
        <v>47</v>
      </c>
      <c r="B6" s="6" t="s">
        <v>48</v>
      </c>
    </row>
    <row r="7" customFormat="false" ht="15" hidden="false" customHeight="false" outlineLevel="0" collapsed="false">
      <c r="A7" s="6" t="s">
        <v>49</v>
      </c>
      <c r="B7" s="6" t="s">
        <v>50</v>
      </c>
    </row>
    <row r="8" customFormat="false" ht="15" hidden="false" customHeight="false" outlineLevel="0" collapsed="false">
      <c r="A8" s="6" t="s">
        <v>51</v>
      </c>
      <c r="B8" s="6" t="s">
        <v>52</v>
      </c>
    </row>
    <row r="9" customFormat="false" ht="15" hidden="false" customHeight="false" outlineLevel="0" collapsed="false">
      <c r="A9" s="6"/>
      <c r="B9" s="6"/>
    </row>
    <row r="10" customFormat="false" ht="15" hidden="false" customHeight="false" outlineLevel="0" collapsed="false">
      <c r="A10" s="6"/>
      <c r="B10" s="6"/>
    </row>
    <row r="11" customFormat="false" ht="15" hidden="false" customHeight="false" outlineLevel="0" collapsed="false">
      <c r="A11" s="6"/>
      <c r="B11" s="6"/>
    </row>
    <row r="12" customFormat="false" ht="15" hidden="false" customHeight="false" outlineLevel="0" collapsed="false">
      <c r="A12" s="6"/>
      <c r="B12" s="6"/>
    </row>
    <row r="13" customFormat="false" ht="15" hidden="false" customHeight="false" outlineLevel="0" collapsed="false">
      <c r="A13" s="6"/>
      <c r="B13" s="6"/>
    </row>
    <row r="14" customFormat="false" ht="15" hidden="false" customHeight="false" outlineLevel="0" collapsed="false">
      <c r="A14" s="6"/>
      <c r="B14" s="6"/>
    </row>
    <row r="15" customFormat="false" ht="15" hidden="false" customHeight="false" outlineLevel="0" collapsed="false">
      <c r="A15" s="6"/>
      <c r="B15" s="6"/>
    </row>
    <row r="16" customFormat="false" ht="15" hidden="false" customHeight="false" outlineLevel="0" collapsed="false">
      <c r="A16" s="6"/>
      <c r="B16" s="6"/>
    </row>
    <row r="17" customFormat="false" ht="15" hidden="false" customHeight="false" outlineLevel="0" collapsed="false">
      <c r="A17" s="6"/>
      <c r="B17" s="6"/>
    </row>
    <row r="18" customFormat="false" ht="15" hidden="false" customHeight="false" outlineLevel="0" collapsed="false">
      <c r="A18" s="6"/>
      <c r="B18" s="6"/>
    </row>
    <row r="19" customFormat="false" ht="15" hidden="false" customHeight="false" outlineLevel="0" collapsed="false">
      <c r="A19" s="6"/>
      <c r="B19" s="6"/>
    </row>
    <row r="20" customFormat="false" ht="15" hidden="false" customHeight="false" outlineLevel="0" collapsed="false">
      <c r="A20" s="6"/>
      <c r="B20" s="6"/>
    </row>
    <row r="21" customFormat="false" ht="15" hidden="false" customHeight="false" outlineLevel="0" collapsed="false">
      <c r="A21" s="6"/>
      <c r="B21" s="6"/>
    </row>
    <row r="22" customFormat="false" ht="15" hidden="false" customHeight="false" outlineLevel="0" collapsed="false">
      <c r="A22" s="6"/>
      <c r="B22" s="6"/>
    </row>
    <row r="23" customFormat="false" ht="15" hidden="false" customHeight="false" outlineLevel="0" collapsed="false">
      <c r="A23" s="6"/>
      <c r="B23" s="6"/>
    </row>
    <row r="24" customFormat="false" ht="15" hidden="false" customHeight="false" outlineLevel="0" collapsed="false">
      <c r="A24" s="6"/>
      <c r="B24" s="6"/>
    </row>
    <row r="25" customFormat="false" ht="15" hidden="false" customHeight="false" outlineLevel="0" collapsed="false">
      <c r="A25" s="6"/>
      <c r="B25" s="6"/>
    </row>
    <row r="26" customFormat="false" ht="15" hidden="false" customHeight="false" outlineLevel="0" collapsed="false">
      <c r="A26" s="6"/>
      <c r="B26" s="6"/>
    </row>
    <row r="27" customFormat="false" ht="15" hidden="false" customHeight="false" outlineLevel="0" collapsed="false">
      <c r="A27" s="6"/>
      <c r="B27" s="6"/>
    </row>
    <row r="28" customFormat="false" ht="15" hidden="false" customHeight="false" outlineLevel="0" collapsed="false">
      <c r="A28" s="6"/>
      <c r="B28" s="6"/>
    </row>
    <row r="29" customFormat="false" ht="15" hidden="false" customHeight="false" outlineLevel="0" collapsed="false">
      <c r="A29" s="6"/>
      <c r="B29" s="6"/>
    </row>
    <row r="30" customFormat="false" ht="15" hidden="false" customHeight="false" outlineLevel="0" collapsed="false">
      <c r="A30" s="6"/>
      <c r="B30" s="6"/>
    </row>
    <row r="31" customFormat="false" ht="15" hidden="false" customHeight="false" outlineLevel="0" collapsed="false">
      <c r="A31" s="6"/>
      <c r="B31" s="6"/>
    </row>
    <row r="32" customFormat="false" ht="15" hidden="false" customHeight="false" outlineLevel="0" collapsed="false">
      <c r="A32" s="6"/>
      <c r="B32" s="6"/>
    </row>
    <row r="33" customFormat="false" ht="15" hidden="false" customHeight="false" outlineLevel="0" collapsed="false">
      <c r="A33" s="6"/>
      <c r="B33" s="6"/>
    </row>
    <row r="34" customFormat="false" ht="15" hidden="false" customHeight="false" outlineLevel="0" collapsed="false">
      <c r="A34" s="6"/>
      <c r="B34" s="6"/>
    </row>
    <row r="35" customFormat="false" ht="15" hidden="false" customHeight="false" outlineLevel="0" collapsed="false">
      <c r="A35" s="6"/>
      <c r="B35" s="6"/>
    </row>
    <row r="36" customFormat="false" ht="15" hidden="false" customHeight="false" outlineLevel="0" collapsed="false">
      <c r="A36" s="6"/>
      <c r="B36" s="6"/>
    </row>
    <row r="37" customFormat="false" ht="15" hidden="false" customHeight="false" outlineLevel="0" collapsed="false">
      <c r="A37" s="6"/>
      <c r="B37" s="6"/>
    </row>
    <row r="38" customFormat="false" ht="15" hidden="false" customHeight="false" outlineLevel="0" collapsed="false">
      <c r="A38" s="6"/>
      <c r="B38" s="6"/>
    </row>
    <row r="39" customFormat="false" ht="15" hidden="false" customHeight="false" outlineLevel="0" collapsed="false">
      <c r="A39" s="6"/>
      <c r="B39" s="6"/>
    </row>
    <row r="40" customFormat="false" ht="15" hidden="false" customHeight="false" outlineLevel="0" collapsed="false">
      <c r="A40" s="6"/>
      <c r="B40" s="6"/>
    </row>
    <row r="41" customFormat="false" ht="15" hidden="false" customHeight="false" outlineLevel="0" collapsed="false">
      <c r="A41" s="6"/>
      <c r="B41" s="6"/>
    </row>
    <row r="42" customFormat="false" ht="15" hidden="false" customHeight="false" outlineLevel="0" collapsed="false">
      <c r="A42" s="6"/>
      <c r="B42" s="6"/>
    </row>
    <row r="43" customFormat="false" ht="15" hidden="false" customHeight="false" outlineLevel="0" collapsed="false">
      <c r="A43" s="6"/>
      <c r="B43" s="6"/>
    </row>
    <row r="44" customFormat="false" ht="15" hidden="false" customHeight="false" outlineLevel="0" collapsed="false">
      <c r="A44" s="6"/>
      <c r="B44" s="6"/>
    </row>
    <row r="45" customFormat="false" ht="15" hidden="false" customHeight="false" outlineLevel="0" collapsed="false">
      <c r="A45" s="6"/>
      <c r="B45" s="6"/>
    </row>
    <row r="46" customFormat="false" ht="15" hidden="false" customHeight="false" outlineLevel="0" collapsed="false">
      <c r="A46" s="6"/>
      <c r="B46" s="6"/>
    </row>
    <row r="47" customFormat="false" ht="15" hidden="false" customHeight="false" outlineLevel="0" collapsed="false">
      <c r="A47" s="6"/>
      <c r="B47" s="6"/>
    </row>
    <row r="48" customFormat="false" ht="15" hidden="false" customHeight="false" outlineLevel="0" collapsed="false">
      <c r="A48" s="6"/>
      <c r="B48" s="6"/>
    </row>
    <row r="49" customFormat="false" ht="15" hidden="false" customHeight="false" outlineLevel="0" collapsed="false">
      <c r="A49" s="6"/>
      <c r="B49" s="6"/>
    </row>
    <row r="50" customFormat="false" ht="15" hidden="false" customHeight="false" outlineLevel="0" collapsed="false">
      <c r="A50" s="6"/>
      <c r="B50" s="6"/>
    </row>
    <row r="51" customFormat="false" ht="15" hidden="false" customHeight="false" outlineLevel="0" collapsed="false">
      <c r="A51" s="6"/>
      <c r="B51" s="6"/>
    </row>
    <row r="52" customFormat="false" ht="15" hidden="false" customHeight="false" outlineLevel="0" collapsed="false">
      <c r="A52" s="6"/>
      <c r="B52" s="6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3" min="2" style="0" width="8.35"/>
    <col collapsed="false" customWidth="true" hidden="false" outlineLevel="0" max="4" min="4" style="0" width="10.02"/>
    <col collapsed="false" customWidth="true" hidden="false" outlineLevel="0" max="5" min="5" style="0" width="8.35"/>
    <col collapsed="false" customWidth="true" hidden="false" outlineLevel="0" max="6" min="6" style="0" width="16.69"/>
    <col collapsed="false" customWidth="true" hidden="false" outlineLevel="0" max="7" min="7" style="0" width="10.02"/>
    <col collapsed="false" customWidth="true" hidden="false" outlineLevel="0" max="8" min="8" style="0" width="15.02"/>
    <col collapsed="false" customWidth="true" hidden="false" outlineLevel="0" max="9" min="9" style="0" width="8.35"/>
  </cols>
  <sheetData>
    <row r="1" customFormat="false" ht="25.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  <c r="I1" s="1"/>
    </row>
    <row r="2" customFormat="false" ht="28.9" hidden="false" customHeight="false" outlineLevel="0" collapsed="false">
      <c r="A2" s="5" t="s">
        <v>54</v>
      </c>
      <c r="B2" s="5" t="s">
        <v>17</v>
      </c>
      <c r="C2" s="7" t="s">
        <v>55</v>
      </c>
      <c r="D2" s="7" t="s">
        <v>56</v>
      </c>
      <c r="E2" s="5" t="s">
        <v>57</v>
      </c>
      <c r="F2" s="5" t="s">
        <v>58</v>
      </c>
      <c r="G2" s="5" t="s">
        <v>59</v>
      </c>
      <c r="H2" s="5" t="s">
        <v>40</v>
      </c>
      <c r="I2" s="7" t="s">
        <v>60</v>
      </c>
    </row>
    <row r="3" customFormat="false" ht="15" hidden="false" customHeight="false" outlineLevel="0" collapsed="false">
      <c r="A3" s="8" t="n">
        <v>46267</v>
      </c>
      <c r="B3" s="6" t="s">
        <v>21</v>
      </c>
      <c r="C3" s="9" t="str">
        <f aca="false">IF($B3="","",IFERROR(INDEX(직원목록!$B$3:$B$202,MATCH($B3,직원목록!$A$3:$A$202,0)),""))</f>
        <v>김민준</v>
      </c>
      <c r="D3" s="9" t="str">
        <f aca="false">IF($B3="","",IFERROR(INDEX(직원목록!$C$3:$C$202,MATCH($B3,직원목록!$A$3:$A$202,0)),""))</f>
        <v>영업1팀</v>
      </c>
      <c r="E3" s="6" t="s">
        <v>41</v>
      </c>
      <c r="F3" s="6" t="s">
        <v>61</v>
      </c>
      <c r="G3" s="10" t="n">
        <v>45000</v>
      </c>
      <c r="H3" s="6" t="s">
        <v>62</v>
      </c>
      <c r="I3" s="9" t="str">
        <f aca="false">IF($A3="","",TEXT($A3,"yyyy-mm"))</f>
        <v>2026-09</v>
      </c>
    </row>
    <row r="4" customFormat="false" ht="15" hidden="false" customHeight="false" outlineLevel="0" collapsed="false">
      <c r="A4" s="8" t="n">
        <v>46267</v>
      </c>
      <c r="B4" s="6" t="s">
        <v>21</v>
      </c>
      <c r="C4" s="9" t="str">
        <f aca="false">IF($B4="","",IFERROR(INDEX(직원목록!$B$3:$B$202,MATCH($B4,직원목록!$A$3:$A$202,0)),""))</f>
        <v>김민준</v>
      </c>
      <c r="D4" s="9" t="str">
        <f aca="false">IF($B4="","",IFERROR(INDEX(직원목록!$C$3:$C$202,MATCH($B4,직원목록!$A$3:$A$202,0)),""))</f>
        <v>영업1팀</v>
      </c>
      <c r="E4" s="6" t="s">
        <v>43</v>
      </c>
      <c r="F4" s="6" t="s">
        <v>63</v>
      </c>
      <c r="G4" s="10" t="n">
        <v>18000</v>
      </c>
      <c r="H4" s="6"/>
      <c r="I4" s="9" t="str">
        <f aca="false">IF($A4="","",TEXT($A4,"yyyy-mm"))</f>
        <v>2026-09</v>
      </c>
    </row>
    <row r="5" customFormat="false" ht="15" hidden="false" customHeight="false" outlineLevel="0" collapsed="false">
      <c r="A5" s="8" t="n">
        <v>46270</v>
      </c>
      <c r="B5" s="6" t="s">
        <v>28</v>
      </c>
      <c r="C5" s="9" t="str">
        <f aca="false">IF($B5="","",IFERROR(INDEX(직원목록!$B$3:$B$202,MATCH($B5,직원목록!$A$3:$A$202,0)),""))</f>
        <v>박도윤</v>
      </c>
      <c r="D5" s="9" t="str">
        <f aca="false">IF($B5="","",IFERROR(INDEX(직원목록!$C$3:$C$202,MATCH($B5,직원목록!$A$3:$A$202,0)),""))</f>
        <v>마케팅팀</v>
      </c>
      <c r="E5" s="6" t="s">
        <v>45</v>
      </c>
      <c r="F5" s="6" t="s">
        <v>64</v>
      </c>
      <c r="G5" s="10" t="n">
        <v>90000</v>
      </c>
      <c r="H5" s="6" t="s">
        <v>65</v>
      </c>
      <c r="I5" s="9" t="str">
        <f aca="false">IF($A5="","",TEXT($A5,"yyyy-mm"))</f>
        <v>2026-09</v>
      </c>
    </row>
    <row r="6" customFormat="false" ht="15" hidden="false" customHeight="false" outlineLevel="0" collapsed="false">
      <c r="A6" s="8" t="n">
        <v>46273</v>
      </c>
      <c r="B6" s="6" t="s">
        <v>25</v>
      </c>
      <c r="C6" s="9" t="str">
        <f aca="false">IF($B6="","",IFERROR(INDEX(직원목록!$B$3:$B$202,MATCH($B6,직원목록!$A$3:$A$202,0)),""))</f>
        <v>이서연</v>
      </c>
      <c r="D6" s="9" t="str">
        <f aca="false">IF($B6="","",IFERROR(INDEX(직원목록!$C$3:$C$202,MATCH($B6,직원목록!$A$3:$A$202,0)),""))</f>
        <v>영업1팀</v>
      </c>
      <c r="E6" s="6" t="s">
        <v>47</v>
      </c>
      <c r="F6" s="6" t="s">
        <v>66</v>
      </c>
      <c r="G6" s="10" t="n">
        <v>23000</v>
      </c>
      <c r="H6" s="6" t="s">
        <v>67</v>
      </c>
      <c r="I6" s="9" t="str">
        <f aca="false">IF($A6="","",TEXT($A6,"yyyy-mm"))</f>
        <v>2026-09</v>
      </c>
    </row>
    <row r="7" customFormat="false" ht="15" hidden="false" customHeight="false" outlineLevel="0" collapsed="false">
      <c r="A7" s="8" t="n">
        <v>46275</v>
      </c>
      <c r="B7" s="6" t="s">
        <v>32</v>
      </c>
      <c r="C7" s="9" t="str">
        <f aca="false">IF($B7="","",IFERROR(INDEX(직원목록!$B$3:$B$202,MATCH($B7,직원목록!$A$3:$A$202,0)),""))</f>
        <v>최지우</v>
      </c>
      <c r="D7" s="9" t="str">
        <f aca="false">IF($B7="","",IFERROR(INDEX(직원목록!$C$3:$C$202,MATCH($B7,직원목록!$A$3:$A$202,0)),""))</f>
        <v>총무팀</v>
      </c>
      <c r="E7" s="6" t="s">
        <v>49</v>
      </c>
      <c r="F7" s="6" t="s">
        <v>68</v>
      </c>
      <c r="G7" s="10" t="n">
        <v>35000</v>
      </c>
      <c r="H7" s="6"/>
      <c r="I7" s="9" t="str">
        <f aca="false">IF($A7="","",TEXT($A7,"yyyy-mm"))</f>
        <v>2026-09</v>
      </c>
    </row>
    <row r="8" customFormat="false" ht="15" hidden="false" customHeight="false" outlineLevel="0" collapsed="false">
      <c r="A8" s="8" t="n">
        <v>46280</v>
      </c>
      <c r="B8" s="6" t="s">
        <v>35</v>
      </c>
      <c r="C8" s="9" t="str">
        <f aca="false">IF($B8="","",IFERROR(INDEX(직원목록!$B$3:$B$202,MATCH($B8,직원목록!$A$3:$A$202,0)),""))</f>
        <v>정하늘</v>
      </c>
      <c r="D8" s="9" t="str">
        <f aca="false">IF($B8="","",IFERROR(INDEX(직원목록!$C$3:$C$202,MATCH($B8,직원목록!$A$3:$A$202,0)),""))</f>
        <v>개발팀</v>
      </c>
      <c r="E8" s="6" t="s">
        <v>41</v>
      </c>
      <c r="F8" s="6" t="s">
        <v>69</v>
      </c>
      <c r="G8" s="10" t="n">
        <v>60000</v>
      </c>
      <c r="H8" s="6" t="s">
        <v>70</v>
      </c>
      <c r="I8" s="9" t="str">
        <f aca="false">IF($A8="","",TEXT($A8,"yyyy-mm"))</f>
        <v>2026-09</v>
      </c>
    </row>
    <row r="9" customFormat="false" ht="15" hidden="false" customHeight="false" outlineLevel="0" collapsed="false">
      <c r="A9" s="8" t="n">
        <v>46285</v>
      </c>
      <c r="B9" s="6" t="s">
        <v>21</v>
      </c>
      <c r="C9" s="9" t="str">
        <f aca="false">IF($B9="","",IFERROR(INDEX(직원목록!$B$3:$B$202,MATCH($B9,직원목록!$A$3:$A$202,0)),""))</f>
        <v>김민준</v>
      </c>
      <c r="D9" s="9" t="str">
        <f aca="false">IF($B9="","",IFERROR(INDEX(직원목록!$C$3:$C$202,MATCH($B9,직원목록!$A$3:$A$202,0)),""))</f>
        <v>영업1팀</v>
      </c>
      <c r="E9" s="6" t="s">
        <v>51</v>
      </c>
      <c r="F9" s="6" t="s">
        <v>71</v>
      </c>
      <c r="G9" s="10" t="n">
        <v>5000</v>
      </c>
      <c r="H9" s="6"/>
      <c r="I9" s="9" t="str">
        <f aca="false">IF($A9="","",TEXT($A9,"yyyy-mm"))</f>
        <v>2026-09</v>
      </c>
    </row>
    <row r="10" customFormat="false" ht="15" hidden="false" customHeight="false" outlineLevel="0" collapsed="false">
      <c r="A10" s="8"/>
      <c r="B10" s="6"/>
      <c r="C10" s="9" t="str">
        <f aca="false">IF($B10="","",IFERROR(INDEX(직원목록!$B$3:$B$202,MATCH($B10,직원목록!$A$3:$A$202,0)),""))</f>
        <v/>
      </c>
      <c r="D10" s="9" t="str">
        <f aca="false">IF($B10="","",IFERROR(INDEX(직원목록!$C$3:$C$202,MATCH($B10,직원목록!$A$3:$A$202,0)),""))</f>
        <v/>
      </c>
      <c r="E10" s="6"/>
      <c r="F10" s="6"/>
      <c r="G10" s="10"/>
      <c r="H10" s="6"/>
      <c r="I10" s="9" t="str">
        <f aca="false">IF($A10="","",TEXT($A10,"yyyy-mm"))</f>
        <v/>
      </c>
    </row>
    <row r="11" customFormat="false" ht="15" hidden="false" customHeight="false" outlineLevel="0" collapsed="false">
      <c r="A11" s="8"/>
      <c r="B11" s="6"/>
      <c r="C11" s="9" t="str">
        <f aca="false">IF($B11="","",IFERROR(INDEX(직원목록!$B$3:$B$202,MATCH($B11,직원목록!$A$3:$A$202,0)),""))</f>
        <v/>
      </c>
      <c r="D11" s="9" t="str">
        <f aca="false">IF($B11="","",IFERROR(INDEX(직원목록!$C$3:$C$202,MATCH($B11,직원목록!$A$3:$A$202,0)),""))</f>
        <v/>
      </c>
      <c r="E11" s="6"/>
      <c r="F11" s="6"/>
      <c r="G11" s="10"/>
      <c r="H11" s="6"/>
      <c r="I11" s="9" t="str">
        <f aca="false">IF($A11="","",TEXT($A11,"yyyy-mm"))</f>
        <v/>
      </c>
    </row>
    <row r="12" customFormat="false" ht="15" hidden="false" customHeight="false" outlineLevel="0" collapsed="false">
      <c r="A12" s="8"/>
      <c r="B12" s="6"/>
      <c r="C12" s="9" t="str">
        <f aca="false">IF($B12="","",IFERROR(INDEX(직원목록!$B$3:$B$202,MATCH($B12,직원목록!$A$3:$A$202,0)),""))</f>
        <v/>
      </c>
      <c r="D12" s="9" t="str">
        <f aca="false">IF($B12="","",IFERROR(INDEX(직원목록!$C$3:$C$202,MATCH($B12,직원목록!$A$3:$A$202,0)),""))</f>
        <v/>
      </c>
      <c r="E12" s="6"/>
      <c r="F12" s="6"/>
      <c r="G12" s="10"/>
      <c r="H12" s="6"/>
      <c r="I12" s="9" t="str">
        <f aca="false">IF($A12="","",TEXT($A12,"yyyy-mm"))</f>
        <v/>
      </c>
    </row>
    <row r="13" customFormat="false" ht="15" hidden="false" customHeight="false" outlineLevel="0" collapsed="false">
      <c r="A13" s="8"/>
      <c r="B13" s="6"/>
      <c r="C13" s="9" t="str">
        <f aca="false">IF($B13="","",IFERROR(INDEX(직원목록!$B$3:$B$202,MATCH($B13,직원목록!$A$3:$A$202,0)),""))</f>
        <v/>
      </c>
      <c r="D13" s="9" t="str">
        <f aca="false">IF($B13="","",IFERROR(INDEX(직원목록!$C$3:$C$202,MATCH($B13,직원목록!$A$3:$A$202,0)),""))</f>
        <v/>
      </c>
      <c r="E13" s="6"/>
      <c r="F13" s="6"/>
      <c r="G13" s="10"/>
      <c r="H13" s="6"/>
      <c r="I13" s="9" t="str">
        <f aca="false">IF($A13="","",TEXT($A13,"yyyy-mm"))</f>
        <v/>
      </c>
    </row>
    <row r="14" customFormat="false" ht="15" hidden="false" customHeight="false" outlineLevel="0" collapsed="false">
      <c r="A14" s="8"/>
      <c r="B14" s="6"/>
      <c r="C14" s="9" t="str">
        <f aca="false">IF($B14="","",IFERROR(INDEX(직원목록!$B$3:$B$202,MATCH($B14,직원목록!$A$3:$A$202,0)),""))</f>
        <v/>
      </c>
      <c r="D14" s="9" t="str">
        <f aca="false">IF($B14="","",IFERROR(INDEX(직원목록!$C$3:$C$202,MATCH($B14,직원목록!$A$3:$A$202,0)),""))</f>
        <v/>
      </c>
      <c r="E14" s="6"/>
      <c r="F14" s="6"/>
      <c r="G14" s="10"/>
      <c r="H14" s="6"/>
      <c r="I14" s="9" t="str">
        <f aca="false">IF($A14="","",TEXT($A14,"yyyy-mm"))</f>
        <v/>
      </c>
    </row>
    <row r="15" customFormat="false" ht="15" hidden="false" customHeight="false" outlineLevel="0" collapsed="false">
      <c r="A15" s="8"/>
      <c r="B15" s="6"/>
      <c r="C15" s="9" t="str">
        <f aca="false">IF($B15="","",IFERROR(INDEX(직원목록!$B$3:$B$202,MATCH($B15,직원목록!$A$3:$A$202,0)),""))</f>
        <v/>
      </c>
      <c r="D15" s="9" t="str">
        <f aca="false">IF($B15="","",IFERROR(INDEX(직원목록!$C$3:$C$202,MATCH($B15,직원목록!$A$3:$A$202,0)),""))</f>
        <v/>
      </c>
      <c r="E15" s="6"/>
      <c r="F15" s="6"/>
      <c r="G15" s="10"/>
      <c r="H15" s="6"/>
      <c r="I15" s="9" t="str">
        <f aca="false">IF($A15="","",TEXT($A15,"yyyy-mm"))</f>
        <v/>
      </c>
    </row>
    <row r="16" customFormat="false" ht="15" hidden="false" customHeight="false" outlineLevel="0" collapsed="false">
      <c r="A16" s="8"/>
      <c r="B16" s="6"/>
      <c r="C16" s="9" t="str">
        <f aca="false">IF($B16="","",IFERROR(INDEX(직원목록!$B$3:$B$202,MATCH($B16,직원목록!$A$3:$A$202,0)),""))</f>
        <v/>
      </c>
      <c r="D16" s="9" t="str">
        <f aca="false">IF($B16="","",IFERROR(INDEX(직원목록!$C$3:$C$202,MATCH($B16,직원목록!$A$3:$A$202,0)),""))</f>
        <v/>
      </c>
      <c r="E16" s="6"/>
      <c r="F16" s="6"/>
      <c r="G16" s="10"/>
      <c r="H16" s="6"/>
      <c r="I16" s="9" t="str">
        <f aca="false">IF($A16="","",TEXT($A16,"yyyy-mm"))</f>
        <v/>
      </c>
    </row>
    <row r="17" customFormat="false" ht="15" hidden="false" customHeight="false" outlineLevel="0" collapsed="false">
      <c r="A17" s="8"/>
      <c r="B17" s="6"/>
      <c r="C17" s="9" t="str">
        <f aca="false">IF($B17="","",IFERROR(INDEX(직원목록!$B$3:$B$202,MATCH($B17,직원목록!$A$3:$A$202,0)),""))</f>
        <v/>
      </c>
      <c r="D17" s="9" t="str">
        <f aca="false">IF($B17="","",IFERROR(INDEX(직원목록!$C$3:$C$202,MATCH($B17,직원목록!$A$3:$A$202,0)),""))</f>
        <v/>
      </c>
      <c r="E17" s="6"/>
      <c r="F17" s="6"/>
      <c r="G17" s="10"/>
      <c r="H17" s="6"/>
      <c r="I17" s="9" t="str">
        <f aca="false">IF($A17="","",TEXT($A17,"yyyy-mm"))</f>
        <v/>
      </c>
    </row>
    <row r="18" customFormat="false" ht="15" hidden="false" customHeight="false" outlineLevel="0" collapsed="false">
      <c r="A18" s="8"/>
      <c r="B18" s="6"/>
      <c r="C18" s="9" t="str">
        <f aca="false">IF($B18="","",IFERROR(INDEX(직원목록!$B$3:$B$202,MATCH($B18,직원목록!$A$3:$A$202,0)),""))</f>
        <v/>
      </c>
      <c r="D18" s="9" t="str">
        <f aca="false">IF($B18="","",IFERROR(INDEX(직원목록!$C$3:$C$202,MATCH($B18,직원목록!$A$3:$A$202,0)),""))</f>
        <v/>
      </c>
      <c r="E18" s="6"/>
      <c r="F18" s="6"/>
      <c r="G18" s="10"/>
      <c r="H18" s="6"/>
      <c r="I18" s="9" t="str">
        <f aca="false">IF($A18="","",TEXT($A18,"yyyy-mm"))</f>
        <v/>
      </c>
    </row>
    <row r="19" customFormat="false" ht="15" hidden="false" customHeight="false" outlineLevel="0" collapsed="false">
      <c r="A19" s="8"/>
      <c r="B19" s="6"/>
      <c r="C19" s="9" t="str">
        <f aca="false">IF($B19="","",IFERROR(INDEX(직원목록!$B$3:$B$202,MATCH($B19,직원목록!$A$3:$A$202,0)),""))</f>
        <v/>
      </c>
      <c r="D19" s="9" t="str">
        <f aca="false">IF($B19="","",IFERROR(INDEX(직원목록!$C$3:$C$202,MATCH($B19,직원목록!$A$3:$A$202,0)),""))</f>
        <v/>
      </c>
      <c r="E19" s="6"/>
      <c r="F19" s="6"/>
      <c r="G19" s="10"/>
      <c r="H19" s="6"/>
      <c r="I19" s="9" t="str">
        <f aca="false">IF($A19="","",TEXT($A19,"yyyy-mm"))</f>
        <v/>
      </c>
    </row>
    <row r="20" customFormat="false" ht="15" hidden="false" customHeight="false" outlineLevel="0" collapsed="false">
      <c r="A20" s="8"/>
      <c r="B20" s="6"/>
      <c r="C20" s="9" t="str">
        <f aca="false">IF($B20="","",IFERROR(INDEX(직원목록!$B$3:$B$202,MATCH($B20,직원목록!$A$3:$A$202,0)),""))</f>
        <v/>
      </c>
      <c r="D20" s="9" t="str">
        <f aca="false">IF($B20="","",IFERROR(INDEX(직원목록!$C$3:$C$202,MATCH($B20,직원목록!$A$3:$A$202,0)),""))</f>
        <v/>
      </c>
      <c r="E20" s="6"/>
      <c r="F20" s="6"/>
      <c r="G20" s="10"/>
      <c r="H20" s="6"/>
      <c r="I20" s="9" t="str">
        <f aca="false">IF($A20="","",TEXT($A20,"yyyy-mm"))</f>
        <v/>
      </c>
    </row>
    <row r="21" customFormat="false" ht="15" hidden="false" customHeight="false" outlineLevel="0" collapsed="false">
      <c r="A21" s="8"/>
      <c r="B21" s="6"/>
      <c r="C21" s="9" t="str">
        <f aca="false">IF($B21="","",IFERROR(INDEX(직원목록!$B$3:$B$202,MATCH($B21,직원목록!$A$3:$A$202,0)),""))</f>
        <v/>
      </c>
      <c r="D21" s="9" t="str">
        <f aca="false">IF($B21="","",IFERROR(INDEX(직원목록!$C$3:$C$202,MATCH($B21,직원목록!$A$3:$A$202,0)),""))</f>
        <v/>
      </c>
      <c r="E21" s="6"/>
      <c r="F21" s="6"/>
      <c r="G21" s="10"/>
      <c r="H21" s="6"/>
      <c r="I21" s="9" t="str">
        <f aca="false">IF($A21="","",TEXT($A21,"yyyy-mm"))</f>
        <v/>
      </c>
    </row>
    <row r="22" customFormat="false" ht="15" hidden="false" customHeight="false" outlineLevel="0" collapsed="false">
      <c r="A22" s="8"/>
      <c r="B22" s="6"/>
      <c r="C22" s="9" t="str">
        <f aca="false">IF($B22="","",IFERROR(INDEX(직원목록!$B$3:$B$202,MATCH($B22,직원목록!$A$3:$A$202,0)),""))</f>
        <v/>
      </c>
      <c r="D22" s="9" t="str">
        <f aca="false">IF($B22="","",IFERROR(INDEX(직원목록!$C$3:$C$202,MATCH($B22,직원목록!$A$3:$A$202,0)),""))</f>
        <v/>
      </c>
      <c r="E22" s="6"/>
      <c r="F22" s="6"/>
      <c r="G22" s="10"/>
      <c r="H22" s="6"/>
      <c r="I22" s="9" t="str">
        <f aca="false">IF($A22="","",TEXT($A22,"yyyy-mm"))</f>
        <v/>
      </c>
    </row>
    <row r="23" customFormat="false" ht="15" hidden="false" customHeight="false" outlineLevel="0" collapsed="false">
      <c r="A23" s="8"/>
      <c r="B23" s="6"/>
      <c r="C23" s="9" t="str">
        <f aca="false">IF($B23="","",IFERROR(INDEX(직원목록!$B$3:$B$202,MATCH($B23,직원목록!$A$3:$A$202,0)),""))</f>
        <v/>
      </c>
      <c r="D23" s="9" t="str">
        <f aca="false">IF($B23="","",IFERROR(INDEX(직원목록!$C$3:$C$202,MATCH($B23,직원목록!$A$3:$A$202,0)),""))</f>
        <v/>
      </c>
      <c r="E23" s="6"/>
      <c r="F23" s="6"/>
      <c r="G23" s="10"/>
      <c r="H23" s="6"/>
      <c r="I23" s="9" t="str">
        <f aca="false">IF($A23="","",TEXT($A23,"yyyy-mm"))</f>
        <v/>
      </c>
    </row>
    <row r="24" customFormat="false" ht="15" hidden="false" customHeight="false" outlineLevel="0" collapsed="false">
      <c r="A24" s="8"/>
      <c r="B24" s="6"/>
      <c r="C24" s="9" t="str">
        <f aca="false">IF($B24="","",IFERROR(INDEX(직원목록!$B$3:$B$202,MATCH($B24,직원목록!$A$3:$A$202,0)),""))</f>
        <v/>
      </c>
      <c r="D24" s="9" t="str">
        <f aca="false">IF($B24="","",IFERROR(INDEX(직원목록!$C$3:$C$202,MATCH($B24,직원목록!$A$3:$A$202,0)),""))</f>
        <v/>
      </c>
      <c r="E24" s="6"/>
      <c r="F24" s="6"/>
      <c r="G24" s="10"/>
      <c r="H24" s="6"/>
      <c r="I24" s="9" t="str">
        <f aca="false">IF($A24="","",TEXT($A24,"yyyy-mm"))</f>
        <v/>
      </c>
    </row>
    <row r="25" customFormat="false" ht="15" hidden="false" customHeight="false" outlineLevel="0" collapsed="false">
      <c r="A25" s="8"/>
      <c r="B25" s="6"/>
      <c r="C25" s="9" t="str">
        <f aca="false">IF($B25="","",IFERROR(INDEX(직원목록!$B$3:$B$202,MATCH($B25,직원목록!$A$3:$A$202,0)),""))</f>
        <v/>
      </c>
      <c r="D25" s="9" t="str">
        <f aca="false">IF($B25="","",IFERROR(INDEX(직원목록!$C$3:$C$202,MATCH($B25,직원목록!$A$3:$A$202,0)),""))</f>
        <v/>
      </c>
      <c r="E25" s="6"/>
      <c r="F25" s="6"/>
      <c r="G25" s="10"/>
      <c r="H25" s="6"/>
      <c r="I25" s="9" t="str">
        <f aca="false">IF($A25="","",TEXT($A25,"yyyy-mm"))</f>
        <v/>
      </c>
    </row>
    <row r="26" customFormat="false" ht="15" hidden="false" customHeight="false" outlineLevel="0" collapsed="false">
      <c r="A26" s="8"/>
      <c r="B26" s="6"/>
      <c r="C26" s="9" t="str">
        <f aca="false">IF($B26="","",IFERROR(INDEX(직원목록!$B$3:$B$202,MATCH($B26,직원목록!$A$3:$A$202,0)),""))</f>
        <v/>
      </c>
      <c r="D26" s="9" t="str">
        <f aca="false">IF($B26="","",IFERROR(INDEX(직원목록!$C$3:$C$202,MATCH($B26,직원목록!$A$3:$A$202,0)),""))</f>
        <v/>
      </c>
      <c r="E26" s="6"/>
      <c r="F26" s="6"/>
      <c r="G26" s="10"/>
      <c r="H26" s="6"/>
      <c r="I26" s="9" t="str">
        <f aca="false">IF($A26="","",TEXT($A26,"yyyy-mm"))</f>
        <v/>
      </c>
    </row>
    <row r="27" customFormat="false" ht="15" hidden="false" customHeight="false" outlineLevel="0" collapsed="false">
      <c r="A27" s="8"/>
      <c r="B27" s="6"/>
      <c r="C27" s="9" t="str">
        <f aca="false">IF($B27="","",IFERROR(INDEX(직원목록!$B$3:$B$202,MATCH($B27,직원목록!$A$3:$A$202,0)),""))</f>
        <v/>
      </c>
      <c r="D27" s="9" t="str">
        <f aca="false">IF($B27="","",IFERROR(INDEX(직원목록!$C$3:$C$202,MATCH($B27,직원목록!$A$3:$A$202,0)),""))</f>
        <v/>
      </c>
      <c r="E27" s="6"/>
      <c r="F27" s="6"/>
      <c r="G27" s="10"/>
      <c r="H27" s="6"/>
      <c r="I27" s="9" t="str">
        <f aca="false">IF($A27="","",TEXT($A27,"yyyy-mm"))</f>
        <v/>
      </c>
    </row>
    <row r="28" customFormat="false" ht="15" hidden="false" customHeight="false" outlineLevel="0" collapsed="false">
      <c r="A28" s="8"/>
      <c r="B28" s="6"/>
      <c r="C28" s="9" t="str">
        <f aca="false">IF($B28="","",IFERROR(INDEX(직원목록!$B$3:$B$202,MATCH($B28,직원목록!$A$3:$A$202,0)),""))</f>
        <v/>
      </c>
      <c r="D28" s="9" t="str">
        <f aca="false">IF($B28="","",IFERROR(INDEX(직원목록!$C$3:$C$202,MATCH($B28,직원목록!$A$3:$A$202,0)),""))</f>
        <v/>
      </c>
      <c r="E28" s="6"/>
      <c r="F28" s="6"/>
      <c r="G28" s="10"/>
      <c r="H28" s="6"/>
      <c r="I28" s="9" t="str">
        <f aca="false">IF($A28="","",TEXT($A28,"yyyy-mm"))</f>
        <v/>
      </c>
    </row>
    <row r="29" customFormat="false" ht="15" hidden="false" customHeight="false" outlineLevel="0" collapsed="false">
      <c r="A29" s="8"/>
      <c r="B29" s="6"/>
      <c r="C29" s="9" t="str">
        <f aca="false">IF($B29="","",IFERROR(INDEX(직원목록!$B$3:$B$202,MATCH($B29,직원목록!$A$3:$A$202,0)),""))</f>
        <v/>
      </c>
      <c r="D29" s="9" t="str">
        <f aca="false">IF($B29="","",IFERROR(INDEX(직원목록!$C$3:$C$202,MATCH($B29,직원목록!$A$3:$A$202,0)),""))</f>
        <v/>
      </c>
      <c r="E29" s="6"/>
      <c r="F29" s="6"/>
      <c r="G29" s="10"/>
      <c r="H29" s="6"/>
      <c r="I29" s="9" t="str">
        <f aca="false">IF($A29="","",TEXT($A29,"yyyy-mm"))</f>
        <v/>
      </c>
    </row>
    <row r="30" customFormat="false" ht="15" hidden="false" customHeight="false" outlineLevel="0" collapsed="false">
      <c r="A30" s="8"/>
      <c r="B30" s="6"/>
      <c r="C30" s="9" t="str">
        <f aca="false">IF($B30="","",IFERROR(INDEX(직원목록!$B$3:$B$202,MATCH($B30,직원목록!$A$3:$A$202,0)),""))</f>
        <v/>
      </c>
      <c r="D30" s="9" t="str">
        <f aca="false">IF($B30="","",IFERROR(INDEX(직원목록!$C$3:$C$202,MATCH($B30,직원목록!$A$3:$A$202,0)),""))</f>
        <v/>
      </c>
      <c r="E30" s="6"/>
      <c r="F30" s="6"/>
      <c r="G30" s="10"/>
      <c r="H30" s="6"/>
      <c r="I30" s="9" t="str">
        <f aca="false">IF($A30="","",TEXT($A30,"yyyy-mm"))</f>
        <v/>
      </c>
    </row>
    <row r="31" customFormat="false" ht="15" hidden="false" customHeight="false" outlineLevel="0" collapsed="false">
      <c r="A31" s="8"/>
      <c r="B31" s="6"/>
      <c r="C31" s="9" t="str">
        <f aca="false">IF($B31="","",IFERROR(INDEX(직원목록!$B$3:$B$202,MATCH($B31,직원목록!$A$3:$A$202,0)),""))</f>
        <v/>
      </c>
      <c r="D31" s="9" t="str">
        <f aca="false">IF($B31="","",IFERROR(INDEX(직원목록!$C$3:$C$202,MATCH($B31,직원목록!$A$3:$A$202,0)),""))</f>
        <v/>
      </c>
      <c r="E31" s="6"/>
      <c r="F31" s="6"/>
      <c r="G31" s="10"/>
      <c r="H31" s="6"/>
      <c r="I31" s="9" t="str">
        <f aca="false">IF($A31="","",TEXT($A31,"yyyy-mm"))</f>
        <v/>
      </c>
    </row>
    <row r="32" customFormat="false" ht="15" hidden="false" customHeight="false" outlineLevel="0" collapsed="false">
      <c r="A32" s="8"/>
      <c r="B32" s="6"/>
      <c r="C32" s="9" t="str">
        <f aca="false">IF($B32="","",IFERROR(INDEX(직원목록!$B$3:$B$202,MATCH($B32,직원목록!$A$3:$A$202,0)),""))</f>
        <v/>
      </c>
      <c r="D32" s="9" t="str">
        <f aca="false">IF($B32="","",IFERROR(INDEX(직원목록!$C$3:$C$202,MATCH($B32,직원목록!$A$3:$A$202,0)),""))</f>
        <v/>
      </c>
      <c r="E32" s="6"/>
      <c r="F32" s="6"/>
      <c r="G32" s="10"/>
      <c r="H32" s="6"/>
      <c r="I32" s="9" t="str">
        <f aca="false">IF($A32="","",TEXT($A32,"yyyy-mm"))</f>
        <v/>
      </c>
    </row>
    <row r="33" customFormat="false" ht="15" hidden="false" customHeight="false" outlineLevel="0" collapsed="false">
      <c r="A33" s="8"/>
      <c r="B33" s="6"/>
      <c r="C33" s="9" t="str">
        <f aca="false">IF($B33="","",IFERROR(INDEX(직원목록!$B$3:$B$202,MATCH($B33,직원목록!$A$3:$A$202,0)),""))</f>
        <v/>
      </c>
      <c r="D33" s="9" t="str">
        <f aca="false">IF($B33="","",IFERROR(INDEX(직원목록!$C$3:$C$202,MATCH($B33,직원목록!$A$3:$A$202,0)),""))</f>
        <v/>
      </c>
      <c r="E33" s="6"/>
      <c r="F33" s="6"/>
      <c r="G33" s="10"/>
      <c r="H33" s="6"/>
      <c r="I33" s="9" t="str">
        <f aca="false">IF($A33="","",TEXT($A33,"yyyy-mm"))</f>
        <v/>
      </c>
    </row>
    <row r="34" customFormat="false" ht="15" hidden="false" customHeight="false" outlineLevel="0" collapsed="false">
      <c r="A34" s="8"/>
      <c r="B34" s="6"/>
      <c r="C34" s="9" t="str">
        <f aca="false">IF($B34="","",IFERROR(INDEX(직원목록!$B$3:$B$202,MATCH($B34,직원목록!$A$3:$A$202,0)),""))</f>
        <v/>
      </c>
      <c r="D34" s="9" t="str">
        <f aca="false">IF($B34="","",IFERROR(INDEX(직원목록!$C$3:$C$202,MATCH($B34,직원목록!$A$3:$A$202,0)),""))</f>
        <v/>
      </c>
      <c r="E34" s="6"/>
      <c r="F34" s="6"/>
      <c r="G34" s="10"/>
      <c r="H34" s="6"/>
      <c r="I34" s="9" t="str">
        <f aca="false">IF($A34="","",TEXT($A34,"yyyy-mm"))</f>
        <v/>
      </c>
    </row>
    <row r="35" customFormat="false" ht="15" hidden="false" customHeight="false" outlineLevel="0" collapsed="false">
      <c r="A35" s="8"/>
      <c r="B35" s="6"/>
      <c r="C35" s="9" t="str">
        <f aca="false">IF($B35="","",IFERROR(INDEX(직원목록!$B$3:$B$202,MATCH($B35,직원목록!$A$3:$A$202,0)),""))</f>
        <v/>
      </c>
      <c r="D35" s="9" t="str">
        <f aca="false">IF($B35="","",IFERROR(INDEX(직원목록!$C$3:$C$202,MATCH($B35,직원목록!$A$3:$A$202,0)),""))</f>
        <v/>
      </c>
      <c r="E35" s="6"/>
      <c r="F35" s="6"/>
      <c r="G35" s="10"/>
      <c r="H35" s="6"/>
      <c r="I35" s="9" t="str">
        <f aca="false">IF($A35="","",TEXT($A35,"yyyy-mm"))</f>
        <v/>
      </c>
    </row>
    <row r="36" customFormat="false" ht="15" hidden="false" customHeight="false" outlineLevel="0" collapsed="false">
      <c r="A36" s="8"/>
      <c r="B36" s="6"/>
      <c r="C36" s="9" t="str">
        <f aca="false">IF($B36="","",IFERROR(INDEX(직원목록!$B$3:$B$202,MATCH($B36,직원목록!$A$3:$A$202,0)),""))</f>
        <v/>
      </c>
      <c r="D36" s="9" t="str">
        <f aca="false">IF($B36="","",IFERROR(INDEX(직원목록!$C$3:$C$202,MATCH($B36,직원목록!$A$3:$A$202,0)),""))</f>
        <v/>
      </c>
      <c r="E36" s="6"/>
      <c r="F36" s="6"/>
      <c r="G36" s="10"/>
      <c r="H36" s="6"/>
      <c r="I36" s="9" t="str">
        <f aca="false">IF($A36="","",TEXT($A36,"yyyy-mm"))</f>
        <v/>
      </c>
    </row>
    <row r="37" customFormat="false" ht="15" hidden="false" customHeight="false" outlineLevel="0" collapsed="false">
      <c r="A37" s="8"/>
      <c r="B37" s="6"/>
      <c r="C37" s="9" t="str">
        <f aca="false">IF($B37="","",IFERROR(INDEX(직원목록!$B$3:$B$202,MATCH($B37,직원목록!$A$3:$A$202,0)),""))</f>
        <v/>
      </c>
      <c r="D37" s="9" t="str">
        <f aca="false">IF($B37="","",IFERROR(INDEX(직원목록!$C$3:$C$202,MATCH($B37,직원목록!$A$3:$A$202,0)),""))</f>
        <v/>
      </c>
      <c r="E37" s="6"/>
      <c r="F37" s="6"/>
      <c r="G37" s="10"/>
      <c r="H37" s="6"/>
      <c r="I37" s="9" t="str">
        <f aca="false">IF($A37="","",TEXT($A37,"yyyy-mm"))</f>
        <v/>
      </c>
    </row>
    <row r="38" customFormat="false" ht="15" hidden="false" customHeight="false" outlineLevel="0" collapsed="false">
      <c r="A38" s="8"/>
      <c r="B38" s="6"/>
      <c r="C38" s="9" t="str">
        <f aca="false">IF($B38="","",IFERROR(INDEX(직원목록!$B$3:$B$202,MATCH($B38,직원목록!$A$3:$A$202,0)),""))</f>
        <v/>
      </c>
      <c r="D38" s="9" t="str">
        <f aca="false">IF($B38="","",IFERROR(INDEX(직원목록!$C$3:$C$202,MATCH($B38,직원목록!$A$3:$A$202,0)),""))</f>
        <v/>
      </c>
      <c r="E38" s="6"/>
      <c r="F38" s="6"/>
      <c r="G38" s="10"/>
      <c r="H38" s="6"/>
      <c r="I38" s="9" t="str">
        <f aca="false">IF($A38="","",TEXT($A38,"yyyy-mm"))</f>
        <v/>
      </c>
    </row>
    <row r="39" customFormat="false" ht="15" hidden="false" customHeight="false" outlineLevel="0" collapsed="false">
      <c r="A39" s="8"/>
      <c r="B39" s="6"/>
      <c r="C39" s="9" t="str">
        <f aca="false">IF($B39="","",IFERROR(INDEX(직원목록!$B$3:$B$202,MATCH($B39,직원목록!$A$3:$A$202,0)),""))</f>
        <v/>
      </c>
      <c r="D39" s="9" t="str">
        <f aca="false">IF($B39="","",IFERROR(INDEX(직원목록!$C$3:$C$202,MATCH($B39,직원목록!$A$3:$A$202,0)),""))</f>
        <v/>
      </c>
      <c r="E39" s="6"/>
      <c r="F39" s="6"/>
      <c r="G39" s="10"/>
      <c r="H39" s="6"/>
      <c r="I39" s="9" t="str">
        <f aca="false">IF($A39="","",TEXT($A39,"yyyy-mm"))</f>
        <v/>
      </c>
    </row>
    <row r="40" customFormat="false" ht="15" hidden="false" customHeight="false" outlineLevel="0" collapsed="false">
      <c r="A40" s="8"/>
      <c r="B40" s="6"/>
      <c r="C40" s="9" t="str">
        <f aca="false">IF($B40="","",IFERROR(INDEX(직원목록!$B$3:$B$202,MATCH($B40,직원목록!$A$3:$A$202,0)),""))</f>
        <v/>
      </c>
      <c r="D40" s="9" t="str">
        <f aca="false">IF($B40="","",IFERROR(INDEX(직원목록!$C$3:$C$202,MATCH($B40,직원목록!$A$3:$A$202,0)),""))</f>
        <v/>
      </c>
      <c r="E40" s="6"/>
      <c r="F40" s="6"/>
      <c r="G40" s="10"/>
      <c r="H40" s="6"/>
      <c r="I40" s="9" t="str">
        <f aca="false">IF($A40="","",TEXT($A40,"yyyy-mm"))</f>
        <v/>
      </c>
    </row>
    <row r="41" customFormat="false" ht="15" hidden="false" customHeight="false" outlineLevel="0" collapsed="false">
      <c r="A41" s="8"/>
      <c r="B41" s="6"/>
      <c r="C41" s="9" t="str">
        <f aca="false">IF($B41="","",IFERROR(INDEX(직원목록!$B$3:$B$202,MATCH($B41,직원목록!$A$3:$A$202,0)),""))</f>
        <v/>
      </c>
      <c r="D41" s="9" t="str">
        <f aca="false">IF($B41="","",IFERROR(INDEX(직원목록!$C$3:$C$202,MATCH($B41,직원목록!$A$3:$A$202,0)),""))</f>
        <v/>
      </c>
      <c r="E41" s="6"/>
      <c r="F41" s="6"/>
      <c r="G41" s="10"/>
      <c r="H41" s="6"/>
      <c r="I41" s="9" t="str">
        <f aca="false">IF($A41="","",TEXT($A41,"yyyy-mm"))</f>
        <v/>
      </c>
    </row>
    <row r="42" customFormat="false" ht="15" hidden="false" customHeight="false" outlineLevel="0" collapsed="false">
      <c r="A42" s="8"/>
      <c r="B42" s="6"/>
      <c r="C42" s="9" t="str">
        <f aca="false">IF($B42="","",IFERROR(INDEX(직원목록!$B$3:$B$202,MATCH($B42,직원목록!$A$3:$A$202,0)),""))</f>
        <v/>
      </c>
      <c r="D42" s="9" t="str">
        <f aca="false">IF($B42="","",IFERROR(INDEX(직원목록!$C$3:$C$202,MATCH($B42,직원목록!$A$3:$A$202,0)),""))</f>
        <v/>
      </c>
      <c r="E42" s="6"/>
      <c r="F42" s="6"/>
      <c r="G42" s="10"/>
      <c r="H42" s="6"/>
      <c r="I42" s="9" t="str">
        <f aca="false">IF($A42="","",TEXT($A42,"yyyy-mm"))</f>
        <v/>
      </c>
    </row>
    <row r="43" customFormat="false" ht="15" hidden="false" customHeight="false" outlineLevel="0" collapsed="false">
      <c r="A43" s="8"/>
      <c r="B43" s="6"/>
      <c r="C43" s="9" t="str">
        <f aca="false">IF($B43="","",IFERROR(INDEX(직원목록!$B$3:$B$202,MATCH($B43,직원목록!$A$3:$A$202,0)),""))</f>
        <v/>
      </c>
      <c r="D43" s="9" t="str">
        <f aca="false">IF($B43="","",IFERROR(INDEX(직원목록!$C$3:$C$202,MATCH($B43,직원목록!$A$3:$A$202,0)),""))</f>
        <v/>
      </c>
      <c r="E43" s="6"/>
      <c r="F43" s="6"/>
      <c r="G43" s="10"/>
      <c r="H43" s="6"/>
      <c r="I43" s="9" t="str">
        <f aca="false">IF($A43="","",TEXT($A43,"yyyy-mm"))</f>
        <v/>
      </c>
    </row>
    <row r="44" customFormat="false" ht="15" hidden="false" customHeight="false" outlineLevel="0" collapsed="false">
      <c r="A44" s="8"/>
      <c r="B44" s="6"/>
      <c r="C44" s="9" t="str">
        <f aca="false">IF($B44="","",IFERROR(INDEX(직원목록!$B$3:$B$202,MATCH($B44,직원목록!$A$3:$A$202,0)),""))</f>
        <v/>
      </c>
      <c r="D44" s="9" t="str">
        <f aca="false">IF($B44="","",IFERROR(INDEX(직원목록!$C$3:$C$202,MATCH($B44,직원목록!$A$3:$A$202,0)),""))</f>
        <v/>
      </c>
      <c r="E44" s="6"/>
      <c r="F44" s="6"/>
      <c r="G44" s="10"/>
      <c r="H44" s="6"/>
      <c r="I44" s="9" t="str">
        <f aca="false">IF($A44="","",TEXT($A44,"yyyy-mm"))</f>
        <v/>
      </c>
    </row>
    <row r="45" customFormat="false" ht="15" hidden="false" customHeight="false" outlineLevel="0" collapsed="false">
      <c r="A45" s="8"/>
      <c r="B45" s="6"/>
      <c r="C45" s="9" t="str">
        <f aca="false">IF($B45="","",IFERROR(INDEX(직원목록!$B$3:$B$202,MATCH($B45,직원목록!$A$3:$A$202,0)),""))</f>
        <v/>
      </c>
      <c r="D45" s="9" t="str">
        <f aca="false">IF($B45="","",IFERROR(INDEX(직원목록!$C$3:$C$202,MATCH($B45,직원목록!$A$3:$A$202,0)),""))</f>
        <v/>
      </c>
      <c r="E45" s="6"/>
      <c r="F45" s="6"/>
      <c r="G45" s="10"/>
      <c r="H45" s="6"/>
      <c r="I45" s="9" t="str">
        <f aca="false">IF($A45="","",TEXT($A45,"yyyy-mm"))</f>
        <v/>
      </c>
    </row>
    <row r="46" customFormat="false" ht="15" hidden="false" customHeight="false" outlineLevel="0" collapsed="false">
      <c r="A46" s="8"/>
      <c r="B46" s="6"/>
      <c r="C46" s="9" t="str">
        <f aca="false">IF($B46="","",IFERROR(INDEX(직원목록!$B$3:$B$202,MATCH($B46,직원목록!$A$3:$A$202,0)),""))</f>
        <v/>
      </c>
      <c r="D46" s="9" t="str">
        <f aca="false">IF($B46="","",IFERROR(INDEX(직원목록!$C$3:$C$202,MATCH($B46,직원목록!$A$3:$A$202,0)),""))</f>
        <v/>
      </c>
      <c r="E46" s="6"/>
      <c r="F46" s="6"/>
      <c r="G46" s="10"/>
      <c r="H46" s="6"/>
      <c r="I46" s="9" t="str">
        <f aca="false">IF($A46="","",TEXT($A46,"yyyy-mm"))</f>
        <v/>
      </c>
    </row>
    <row r="47" customFormat="false" ht="15" hidden="false" customHeight="false" outlineLevel="0" collapsed="false">
      <c r="A47" s="8"/>
      <c r="B47" s="6"/>
      <c r="C47" s="9" t="str">
        <f aca="false">IF($B47="","",IFERROR(INDEX(직원목록!$B$3:$B$202,MATCH($B47,직원목록!$A$3:$A$202,0)),""))</f>
        <v/>
      </c>
      <c r="D47" s="9" t="str">
        <f aca="false">IF($B47="","",IFERROR(INDEX(직원목록!$C$3:$C$202,MATCH($B47,직원목록!$A$3:$A$202,0)),""))</f>
        <v/>
      </c>
      <c r="E47" s="6"/>
      <c r="F47" s="6"/>
      <c r="G47" s="10"/>
      <c r="H47" s="6"/>
      <c r="I47" s="9" t="str">
        <f aca="false">IF($A47="","",TEXT($A47,"yyyy-mm"))</f>
        <v/>
      </c>
    </row>
    <row r="48" customFormat="false" ht="15" hidden="false" customHeight="false" outlineLevel="0" collapsed="false">
      <c r="A48" s="8"/>
      <c r="B48" s="6"/>
      <c r="C48" s="9" t="str">
        <f aca="false">IF($B48="","",IFERROR(INDEX(직원목록!$B$3:$B$202,MATCH($B48,직원목록!$A$3:$A$202,0)),""))</f>
        <v/>
      </c>
      <c r="D48" s="9" t="str">
        <f aca="false">IF($B48="","",IFERROR(INDEX(직원목록!$C$3:$C$202,MATCH($B48,직원목록!$A$3:$A$202,0)),""))</f>
        <v/>
      </c>
      <c r="E48" s="6"/>
      <c r="F48" s="6"/>
      <c r="G48" s="10"/>
      <c r="H48" s="6"/>
      <c r="I48" s="9" t="str">
        <f aca="false">IF($A48="","",TEXT($A48,"yyyy-mm"))</f>
        <v/>
      </c>
    </row>
    <row r="49" customFormat="false" ht="15" hidden="false" customHeight="false" outlineLevel="0" collapsed="false">
      <c r="A49" s="8"/>
      <c r="B49" s="6"/>
      <c r="C49" s="9" t="str">
        <f aca="false">IF($B49="","",IFERROR(INDEX(직원목록!$B$3:$B$202,MATCH($B49,직원목록!$A$3:$A$202,0)),""))</f>
        <v/>
      </c>
      <c r="D49" s="9" t="str">
        <f aca="false">IF($B49="","",IFERROR(INDEX(직원목록!$C$3:$C$202,MATCH($B49,직원목록!$A$3:$A$202,0)),""))</f>
        <v/>
      </c>
      <c r="E49" s="6"/>
      <c r="F49" s="6"/>
      <c r="G49" s="10"/>
      <c r="H49" s="6"/>
      <c r="I49" s="9" t="str">
        <f aca="false">IF($A49="","",TEXT($A49,"yyyy-mm"))</f>
        <v/>
      </c>
    </row>
    <row r="50" customFormat="false" ht="15" hidden="false" customHeight="false" outlineLevel="0" collapsed="false">
      <c r="A50" s="8"/>
      <c r="B50" s="6"/>
      <c r="C50" s="9" t="str">
        <f aca="false">IF($B50="","",IFERROR(INDEX(직원목록!$B$3:$B$202,MATCH($B50,직원목록!$A$3:$A$202,0)),""))</f>
        <v/>
      </c>
      <c r="D50" s="9" t="str">
        <f aca="false">IF($B50="","",IFERROR(INDEX(직원목록!$C$3:$C$202,MATCH($B50,직원목록!$A$3:$A$202,0)),""))</f>
        <v/>
      </c>
      <c r="E50" s="6"/>
      <c r="F50" s="6"/>
      <c r="G50" s="10"/>
      <c r="H50" s="6"/>
      <c r="I50" s="9" t="str">
        <f aca="false">IF($A50="","",TEXT($A50,"yyyy-mm"))</f>
        <v/>
      </c>
    </row>
    <row r="51" customFormat="false" ht="15" hidden="false" customHeight="false" outlineLevel="0" collapsed="false">
      <c r="A51" s="8"/>
      <c r="B51" s="6"/>
      <c r="C51" s="9" t="str">
        <f aca="false">IF($B51="","",IFERROR(INDEX(직원목록!$B$3:$B$202,MATCH($B51,직원목록!$A$3:$A$202,0)),""))</f>
        <v/>
      </c>
      <c r="D51" s="9" t="str">
        <f aca="false">IF($B51="","",IFERROR(INDEX(직원목록!$C$3:$C$202,MATCH($B51,직원목록!$A$3:$A$202,0)),""))</f>
        <v/>
      </c>
      <c r="E51" s="6"/>
      <c r="F51" s="6"/>
      <c r="G51" s="10"/>
      <c r="H51" s="6"/>
      <c r="I51" s="9" t="str">
        <f aca="false">IF($A51="","",TEXT($A51,"yyyy-mm"))</f>
        <v/>
      </c>
    </row>
    <row r="52" customFormat="false" ht="15" hidden="false" customHeight="false" outlineLevel="0" collapsed="false">
      <c r="A52" s="8"/>
      <c r="B52" s="6"/>
      <c r="C52" s="9" t="str">
        <f aca="false">IF($B52="","",IFERROR(INDEX(직원목록!$B$3:$B$202,MATCH($B52,직원목록!$A$3:$A$202,0)),""))</f>
        <v/>
      </c>
      <c r="D52" s="9" t="str">
        <f aca="false">IF($B52="","",IFERROR(INDEX(직원목록!$C$3:$C$202,MATCH($B52,직원목록!$A$3:$A$202,0)),""))</f>
        <v/>
      </c>
      <c r="E52" s="6"/>
      <c r="F52" s="6"/>
      <c r="G52" s="10"/>
      <c r="H52" s="6"/>
      <c r="I52" s="9" t="str">
        <f aca="false">IF($A52="","",TEXT($A52,"yyyy-mm"))</f>
        <v/>
      </c>
    </row>
    <row r="53" customFormat="false" ht="15" hidden="false" customHeight="false" outlineLevel="0" collapsed="false">
      <c r="A53" s="8"/>
      <c r="B53" s="6"/>
      <c r="C53" s="9" t="str">
        <f aca="false">IF($B53="","",IFERROR(INDEX(직원목록!$B$3:$B$202,MATCH($B53,직원목록!$A$3:$A$202,0)),""))</f>
        <v/>
      </c>
      <c r="D53" s="9" t="str">
        <f aca="false">IF($B53="","",IFERROR(INDEX(직원목록!$C$3:$C$202,MATCH($B53,직원목록!$A$3:$A$202,0)),""))</f>
        <v/>
      </c>
      <c r="E53" s="6"/>
      <c r="F53" s="6"/>
      <c r="G53" s="10"/>
      <c r="H53" s="6"/>
      <c r="I53" s="9" t="str">
        <f aca="false">IF($A53="","",TEXT($A53,"yyyy-mm"))</f>
        <v/>
      </c>
    </row>
    <row r="54" customFormat="false" ht="15" hidden="false" customHeight="false" outlineLevel="0" collapsed="false">
      <c r="A54" s="8"/>
      <c r="B54" s="6"/>
      <c r="C54" s="9" t="str">
        <f aca="false">IF($B54="","",IFERROR(INDEX(직원목록!$B$3:$B$202,MATCH($B54,직원목록!$A$3:$A$202,0)),""))</f>
        <v/>
      </c>
      <c r="D54" s="9" t="str">
        <f aca="false">IF($B54="","",IFERROR(INDEX(직원목록!$C$3:$C$202,MATCH($B54,직원목록!$A$3:$A$202,0)),""))</f>
        <v/>
      </c>
      <c r="E54" s="6"/>
      <c r="F54" s="6"/>
      <c r="G54" s="10"/>
      <c r="H54" s="6"/>
      <c r="I54" s="9" t="str">
        <f aca="false">IF($A54="","",TEXT($A54,"yyyy-mm"))</f>
        <v/>
      </c>
    </row>
    <row r="55" customFormat="false" ht="15" hidden="false" customHeight="false" outlineLevel="0" collapsed="false">
      <c r="A55" s="8"/>
      <c r="B55" s="6"/>
      <c r="C55" s="9" t="str">
        <f aca="false">IF($B55="","",IFERROR(INDEX(직원목록!$B$3:$B$202,MATCH($B55,직원목록!$A$3:$A$202,0)),""))</f>
        <v/>
      </c>
      <c r="D55" s="9" t="str">
        <f aca="false">IF($B55="","",IFERROR(INDEX(직원목록!$C$3:$C$202,MATCH($B55,직원목록!$A$3:$A$202,0)),""))</f>
        <v/>
      </c>
      <c r="E55" s="6"/>
      <c r="F55" s="6"/>
      <c r="G55" s="10"/>
      <c r="H55" s="6"/>
      <c r="I55" s="9" t="str">
        <f aca="false">IF($A55="","",TEXT($A55,"yyyy-mm"))</f>
        <v/>
      </c>
    </row>
    <row r="56" customFormat="false" ht="15" hidden="false" customHeight="false" outlineLevel="0" collapsed="false">
      <c r="A56" s="8"/>
      <c r="B56" s="6"/>
      <c r="C56" s="9" t="str">
        <f aca="false">IF($B56="","",IFERROR(INDEX(직원목록!$B$3:$B$202,MATCH($B56,직원목록!$A$3:$A$202,0)),""))</f>
        <v/>
      </c>
      <c r="D56" s="9" t="str">
        <f aca="false">IF($B56="","",IFERROR(INDEX(직원목록!$C$3:$C$202,MATCH($B56,직원목록!$A$3:$A$202,0)),""))</f>
        <v/>
      </c>
      <c r="E56" s="6"/>
      <c r="F56" s="6"/>
      <c r="G56" s="10"/>
      <c r="H56" s="6"/>
      <c r="I56" s="9" t="str">
        <f aca="false">IF($A56="","",TEXT($A56,"yyyy-mm"))</f>
        <v/>
      </c>
    </row>
    <row r="57" customFormat="false" ht="15" hidden="false" customHeight="false" outlineLevel="0" collapsed="false">
      <c r="A57" s="8"/>
      <c r="B57" s="6"/>
      <c r="C57" s="9" t="str">
        <f aca="false">IF($B57="","",IFERROR(INDEX(직원목록!$B$3:$B$202,MATCH($B57,직원목록!$A$3:$A$202,0)),""))</f>
        <v/>
      </c>
      <c r="D57" s="9" t="str">
        <f aca="false">IF($B57="","",IFERROR(INDEX(직원목록!$C$3:$C$202,MATCH($B57,직원목록!$A$3:$A$202,0)),""))</f>
        <v/>
      </c>
      <c r="E57" s="6"/>
      <c r="F57" s="6"/>
      <c r="G57" s="10"/>
      <c r="H57" s="6"/>
      <c r="I57" s="9" t="str">
        <f aca="false">IF($A57="","",TEXT($A57,"yyyy-mm"))</f>
        <v/>
      </c>
    </row>
    <row r="58" customFormat="false" ht="15" hidden="false" customHeight="false" outlineLevel="0" collapsed="false">
      <c r="A58" s="8"/>
      <c r="B58" s="6"/>
      <c r="C58" s="9" t="str">
        <f aca="false">IF($B58="","",IFERROR(INDEX(직원목록!$B$3:$B$202,MATCH($B58,직원목록!$A$3:$A$202,0)),""))</f>
        <v/>
      </c>
      <c r="D58" s="9" t="str">
        <f aca="false">IF($B58="","",IFERROR(INDEX(직원목록!$C$3:$C$202,MATCH($B58,직원목록!$A$3:$A$202,0)),""))</f>
        <v/>
      </c>
      <c r="E58" s="6"/>
      <c r="F58" s="6"/>
      <c r="G58" s="10"/>
      <c r="H58" s="6"/>
      <c r="I58" s="9" t="str">
        <f aca="false">IF($A58="","",TEXT($A58,"yyyy-mm"))</f>
        <v/>
      </c>
    </row>
    <row r="59" customFormat="false" ht="15" hidden="false" customHeight="false" outlineLevel="0" collapsed="false">
      <c r="A59" s="8"/>
      <c r="B59" s="6"/>
      <c r="C59" s="9" t="str">
        <f aca="false">IF($B59="","",IFERROR(INDEX(직원목록!$B$3:$B$202,MATCH($B59,직원목록!$A$3:$A$202,0)),""))</f>
        <v/>
      </c>
      <c r="D59" s="9" t="str">
        <f aca="false">IF($B59="","",IFERROR(INDEX(직원목록!$C$3:$C$202,MATCH($B59,직원목록!$A$3:$A$202,0)),""))</f>
        <v/>
      </c>
      <c r="E59" s="6"/>
      <c r="F59" s="6"/>
      <c r="G59" s="10"/>
      <c r="H59" s="6"/>
      <c r="I59" s="9" t="str">
        <f aca="false">IF($A59="","",TEXT($A59,"yyyy-mm"))</f>
        <v/>
      </c>
    </row>
    <row r="60" customFormat="false" ht="15" hidden="false" customHeight="false" outlineLevel="0" collapsed="false">
      <c r="A60" s="8"/>
      <c r="B60" s="6"/>
      <c r="C60" s="9" t="str">
        <f aca="false">IF($B60="","",IFERROR(INDEX(직원목록!$B$3:$B$202,MATCH($B60,직원목록!$A$3:$A$202,0)),""))</f>
        <v/>
      </c>
      <c r="D60" s="9" t="str">
        <f aca="false">IF($B60="","",IFERROR(INDEX(직원목록!$C$3:$C$202,MATCH($B60,직원목록!$A$3:$A$202,0)),""))</f>
        <v/>
      </c>
      <c r="E60" s="6"/>
      <c r="F60" s="6"/>
      <c r="G60" s="10"/>
      <c r="H60" s="6"/>
      <c r="I60" s="9" t="str">
        <f aca="false">IF($A60="","",TEXT($A60,"yyyy-mm"))</f>
        <v/>
      </c>
    </row>
    <row r="61" customFormat="false" ht="15" hidden="false" customHeight="false" outlineLevel="0" collapsed="false">
      <c r="A61" s="8"/>
      <c r="B61" s="6"/>
      <c r="C61" s="9" t="str">
        <f aca="false">IF($B61="","",IFERROR(INDEX(직원목록!$B$3:$B$202,MATCH($B61,직원목록!$A$3:$A$202,0)),""))</f>
        <v/>
      </c>
      <c r="D61" s="9" t="str">
        <f aca="false">IF($B61="","",IFERROR(INDEX(직원목록!$C$3:$C$202,MATCH($B61,직원목록!$A$3:$A$202,0)),""))</f>
        <v/>
      </c>
      <c r="E61" s="6"/>
      <c r="F61" s="6"/>
      <c r="G61" s="10"/>
      <c r="H61" s="6"/>
      <c r="I61" s="9" t="str">
        <f aca="false">IF($A61="","",TEXT($A61,"yyyy-mm"))</f>
        <v/>
      </c>
    </row>
    <row r="62" customFormat="false" ht="15" hidden="false" customHeight="false" outlineLevel="0" collapsed="false">
      <c r="A62" s="8"/>
      <c r="B62" s="6"/>
      <c r="C62" s="9" t="str">
        <f aca="false">IF($B62="","",IFERROR(INDEX(직원목록!$B$3:$B$202,MATCH($B62,직원목록!$A$3:$A$202,0)),""))</f>
        <v/>
      </c>
      <c r="D62" s="9" t="str">
        <f aca="false">IF($B62="","",IFERROR(INDEX(직원목록!$C$3:$C$202,MATCH($B62,직원목록!$A$3:$A$202,0)),""))</f>
        <v/>
      </c>
      <c r="E62" s="6"/>
      <c r="F62" s="6"/>
      <c r="G62" s="10"/>
      <c r="H62" s="6"/>
      <c r="I62" s="9" t="str">
        <f aca="false">IF($A62="","",TEXT($A62,"yyyy-mm"))</f>
        <v/>
      </c>
    </row>
    <row r="63" customFormat="false" ht="15" hidden="false" customHeight="false" outlineLevel="0" collapsed="false">
      <c r="A63" s="8"/>
      <c r="B63" s="6"/>
      <c r="C63" s="9" t="str">
        <f aca="false">IF($B63="","",IFERROR(INDEX(직원목록!$B$3:$B$202,MATCH($B63,직원목록!$A$3:$A$202,0)),""))</f>
        <v/>
      </c>
      <c r="D63" s="9" t="str">
        <f aca="false">IF($B63="","",IFERROR(INDEX(직원목록!$C$3:$C$202,MATCH($B63,직원목록!$A$3:$A$202,0)),""))</f>
        <v/>
      </c>
      <c r="E63" s="6"/>
      <c r="F63" s="6"/>
      <c r="G63" s="10"/>
      <c r="H63" s="6"/>
      <c r="I63" s="9" t="str">
        <f aca="false">IF($A63="","",TEXT($A63,"yyyy-mm"))</f>
        <v/>
      </c>
    </row>
    <row r="64" customFormat="false" ht="15" hidden="false" customHeight="false" outlineLevel="0" collapsed="false">
      <c r="A64" s="8"/>
      <c r="B64" s="6"/>
      <c r="C64" s="9" t="str">
        <f aca="false">IF($B64="","",IFERROR(INDEX(직원목록!$B$3:$B$202,MATCH($B64,직원목록!$A$3:$A$202,0)),""))</f>
        <v/>
      </c>
      <c r="D64" s="9" t="str">
        <f aca="false">IF($B64="","",IFERROR(INDEX(직원목록!$C$3:$C$202,MATCH($B64,직원목록!$A$3:$A$202,0)),""))</f>
        <v/>
      </c>
      <c r="E64" s="6"/>
      <c r="F64" s="6"/>
      <c r="G64" s="10"/>
      <c r="H64" s="6"/>
      <c r="I64" s="9" t="str">
        <f aca="false">IF($A64="","",TEXT($A64,"yyyy-mm"))</f>
        <v/>
      </c>
    </row>
    <row r="65" customFormat="false" ht="15" hidden="false" customHeight="false" outlineLevel="0" collapsed="false">
      <c r="A65" s="8"/>
      <c r="B65" s="6"/>
      <c r="C65" s="9" t="str">
        <f aca="false">IF($B65="","",IFERROR(INDEX(직원목록!$B$3:$B$202,MATCH($B65,직원목록!$A$3:$A$202,0)),""))</f>
        <v/>
      </c>
      <c r="D65" s="9" t="str">
        <f aca="false">IF($B65="","",IFERROR(INDEX(직원목록!$C$3:$C$202,MATCH($B65,직원목록!$A$3:$A$202,0)),""))</f>
        <v/>
      </c>
      <c r="E65" s="6"/>
      <c r="F65" s="6"/>
      <c r="G65" s="10"/>
      <c r="H65" s="6"/>
      <c r="I65" s="9" t="str">
        <f aca="false">IF($A65="","",TEXT($A65,"yyyy-mm"))</f>
        <v/>
      </c>
    </row>
    <row r="66" customFormat="false" ht="15" hidden="false" customHeight="false" outlineLevel="0" collapsed="false">
      <c r="A66" s="8"/>
      <c r="B66" s="6"/>
      <c r="C66" s="9" t="str">
        <f aca="false">IF($B66="","",IFERROR(INDEX(직원목록!$B$3:$B$202,MATCH($B66,직원목록!$A$3:$A$202,0)),""))</f>
        <v/>
      </c>
      <c r="D66" s="9" t="str">
        <f aca="false">IF($B66="","",IFERROR(INDEX(직원목록!$C$3:$C$202,MATCH($B66,직원목록!$A$3:$A$202,0)),""))</f>
        <v/>
      </c>
      <c r="E66" s="6"/>
      <c r="F66" s="6"/>
      <c r="G66" s="10"/>
      <c r="H66" s="6"/>
      <c r="I66" s="9" t="str">
        <f aca="false">IF($A66="","",TEXT($A66,"yyyy-mm"))</f>
        <v/>
      </c>
    </row>
    <row r="67" customFormat="false" ht="15" hidden="false" customHeight="false" outlineLevel="0" collapsed="false">
      <c r="A67" s="8"/>
      <c r="B67" s="6"/>
      <c r="C67" s="9" t="str">
        <f aca="false">IF($B67="","",IFERROR(INDEX(직원목록!$B$3:$B$202,MATCH($B67,직원목록!$A$3:$A$202,0)),""))</f>
        <v/>
      </c>
      <c r="D67" s="9" t="str">
        <f aca="false">IF($B67="","",IFERROR(INDEX(직원목록!$C$3:$C$202,MATCH($B67,직원목록!$A$3:$A$202,0)),""))</f>
        <v/>
      </c>
      <c r="E67" s="6"/>
      <c r="F67" s="6"/>
      <c r="G67" s="10"/>
      <c r="H67" s="6"/>
      <c r="I67" s="9" t="str">
        <f aca="false">IF($A67="","",TEXT($A67,"yyyy-mm"))</f>
        <v/>
      </c>
    </row>
    <row r="68" customFormat="false" ht="15" hidden="false" customHeight="false" outlineLevel="0" collapsed="false">
      <c r="A68" s="8"/>
      <c r="B68" s="6"/>
      <c r="C68" s="9" t="str">
        <f aca="false">IF($B68="","",IFERROR(INDEX(직원목록!$B$3:$B$202,MATCH($B68,직원목록!$A$3:$A$202,0)),""))</f>
        <v/>
      </c>
      <c r="D68" s="9" t="str">
        <f aca="false">IF($B68="","",IFERROR(INDEX(직원목록!$C$3:$C$202,MATCH($B68,직원목록!$A$3:$A$202,0)),""))</f>
        <v/>
      </c>
      <c r="E68" s="6"/>
      <c r="F68" s="6"/>
      <c r="G68" s="10"/>
      <c r="H68" s="6"/>
      <c r="I68" s="9" t="str">
        <f aca="false">IF($A68="","",TEXT($A68,"yyyy-mm"))</f>
        <v/>
      </c>
    </row>
    <row r="69" customFormat="false" ht="15" hidden="false" customHeight="false" outlineLevel="0" collapsed="false">
      <c r="A69" s="8"/>
      <c r="B69" s="6"/>
      <c r="C69" s="9" t="str">
        <f aca="false">IF($B69="","",IFERROR(INDEX(직원목록!$B$3:$B$202,MATCH($B69,직원목록!$A$3:$A$202,0)),""))</f>
        <v/>
      </c>
      <c r="D69" s="9" t="str">
        <f aca="false">IF($B69="","",IFERROR(INDEX(직원목록!$C$3:$C$202,MATCH($B69,직원목록!$A$3:$A$202,0)),""))</f>
        <v/>
      </c>
      <c r="E69" s="6"/>
      <c r="F69" s="6"/>
      <c r="G69" s="10"/>
      <c r="H69" s="6"/>
      <c r="I69" s="9" t="str">
        <f aca="false">IF($A69="","",TEXT($A69,"yyyy-mm"))</f>
        <v/>
      </c>
    </row>
    <row r="70" customFormat="false" ht="15" hidden="false" customHeight="false" outlineLevel="0" collapsed="false">
      <c r="A70" s="8"/>
      <c r="B70" s="6"/>
      <c r="C70" s="9" t="str">
        <f aca="false">IF($B70="","",IFERROR(INDEX(직원목록!$B$3:$B$202,MATCH($B70,직원목록!$A$3:$A$202,0)),""))</f>
        <v/>
      </c>
      <c r="D70" s="9" t="str">
        <f aca="false">IF($B70="","",IFERROR(INDEX(직원목록!$C$3:$C$202,MATCH($B70,직원목록!$A$3:$A$202,0)),""))</f>
        <v/>
      </c>
      <c r="E70" s="6"/>
      <c r="F70" s="6"/>
      <c r="G70" s="10"/>
      <c r="H70" s="6"/>
      <c r="I70" s="9" t="str">
        <f aca="false">IF($A70="","",TEXT($A70,"yyyy-mm"))</f>
        <v/>
      </c>
    </row>
    <row r="71" customFormat="false" ht="15" hidden="false" customHeight="false" outlineLevel="0" collapsed="false">
      <c r="A71" s="8"/>
      <c r="B71" s="6"/>
      <c r="C71" s="9" t="str">
        <f aca="false">IF($B71="","",IFERROR(INDEX(직원목록!$B$3:$B$202,MATCH($B71,직원목록!$A$3:$A$202,0)),""))</f>
        <v/>
      </c>
      <c r="D71" s="9" t="str">
        <f aca="false">IF($B71="","",IFERROR(INDEX(직원목록!$C$3:$C$202,MATCH($B71,직원목록!$A$3:$A$202,0)),""))</f>
        <v/>
      </c>
      <c r="E71" s="6"/>
      <c r="F71" s="6"/>
      <c r="G71" s="10"/>
      <c r="H71" s="6"/>
      <c r="I71" s="9" t="str">
        <f aca="false">IF($A71="","",TEXT($A71,"yyyy-mm"))</f>
        <v/>
      </c>
    </row>
    <row r="72" customFormat="false" ht="15" hidden="false" customHeight="false" outlineLevel="0" collapsed="false">
      <c r="A72" s="8"/>
      <c r="B72" s="6"/>
      <c r="C72" s="9" t="str">
        <f aca="false">IF($B72="","",IFERROR(INDEX(직원목록!$B$3:$B$202,MATCH($B72,직원목록!$A$3:$A$202,0)),""))</f>
        <v/>
      </c>
      <c r="D72" s="9" t="str">
        <f aca="false">IF($B72="","",IFERROR(INDEX(직원목록!$C$3:$C$202,MATCH($B72,직원목록!$A$3:$A$202,0)),""))</f>
        <v/>
      </c>
      <c r="E72" s="6"/>
      <c r="F72" s="6"/>
      <c r="G72" s="10"/>
      <c r="H72" s="6"/>
      <c r="I72" s="9" t="str">
        <f aca="false">IF($A72="","",TEXT($A72,"yyyy-mm"))</f>
        <v/>
      </c>
    </row>
    <row r="73" customFormat="false" ht="15" hidden="false" customHeight="false" outlineLevel="0" collapsed="false">
      <c r="A73" s="8"/>
      <c r="B73" s="6"/>
      <c r="C73" s="9" t="str">
        <f aca="false">IF($B73="","",IFERROR(INDEX(직원목록!$B$3:$B$202,MATCH($B73,직원목록!$A$3:$A$202,0)),""))</f>
        <v/>
      </c>
      <c r="D73" s="9" t="str">
        <f aca="false">IF($B73="","",IFERROR(INDEX(직원목록!$C$3:$C$202,MATCH($B73,직원목록!$A$3:$A$202,0)),""))</f>
        <v/>
      </c>
      <c r="E73" s="6"/>
      <c r="F73" s="6"/>
      <c r="G73" s="10"/>
      <c r="H73" s="6"/>
      <c r="I73" s="9" t="str">
        <f aca="false">IF($A73="","",TEXT($A73,"yyyy-mm"))</f>
        <v/>
      </c>
    </row>
    <row r="74" customFormat="false" ht="15" hidden="false" customHeight="false" outlineLevel="0" collapsed="false">
      <c r="A74" s="8"/>
      <c r="B74" s="6"/>
      <c r="C74" s="9" t="str">
        <f aca="false">IF($B74="","",IFERROR(INDEX(직원목록!$B$3:$B$202,MATCH($B74,직원목록!$A$3:$A$202,0)),""))</f>
        <v/>
      </c>
      <c r="D74" s="9" t="str">
        <f aca="false">IF($B74="","",IFERROR(INDEX(직원목록!$C$3:$C$202,MATCH($B74,직원목록!$A$3:$A$202,0)),""))</f>
        <v/>
      </c>
      <c r="E74" s="6"/>
      <c r="F74" s="6"/>
      <c r="G74" s="10"/>
      <c r="H74" s="6"/>
      <c r="I74" s="9" t="str">
        <f aca="false">IF($A74="","",TEXT($A74,"yyyy-mm"))</f>
        <v/>
      </c>
    </row>
    <row r="75" customFormat="false" ht="15" hidden="false" customHeight="false" outlineLevel="0" collapsed="false">
      <c r="A75" s="8"/>
      <c r="B75" s="6"/>
      <c r="C75" s="9" t="str">
        <f aca="false">IF($B75="","",IFERROR(INDEX(직원목록!$B$3:$B$202,MATCH($B75,직원목록!$A$3:$A$202,0)),""))</f>
        <v/>
      </c>
      <c r="D75" s="9" t="str">
        <f aca="false">IF($B75="","",IFERROR(INDEX(직원목록!$C$3:$C$202,MATCH($B75,직원목록!$A$3:$A$202,0)),""))</f>
        <v/>
      </c>
      <c r="E75" s="6"/>
      <c r="F75" s="6"/>
      <c r="G75" s="10"/>
      <c r="H75" s="6"/>
      <c r="I75" s="9" t="str">
        <f aca="false">IF($A75="","",TEXT($A75,"yyyy-mm"))</f>
        <v/>
      </c>
    </row>
    <row r="76" customFormat="false" ht="15" hidden="false" customHeight="false" outlineLevel="0" collapsed="false">
      <c r="A76" s="8"/>
      <c r="B76" s="6"/>
      <c r="C76" s="9" t="str">
        <f aca="false">IF($B76="","",IFERROR(INDEX(직원목록!$B$3:$B$202,MATCH($B76,직원목록!$A$3:$A$202,0)),""))</f>
        <v/>
      </c>
      <c r="D76" s="9" t="str">
        <f aca="false">IF($B76="","",IFERROR(INDEX(직원목록!$C$3:$C$202,MATCH($B76,직원목록!$A$3:$A$202,0)),""))</f>
        <v/>
      </c>
      <c r="E76" s="6"/>
      <c r="F76" s="6"/>
      <c r="G76" s="10"/>
      <c r="H76" s="6"/>
      <c r="I76" s="9" t="str">
        <f aca="false">IF($A76="","",TEXT($A76,"yyyy-mm"))</f>
        <v/>
      </c>
    </row>
    <row r="77" customFormat="false" ht="15" hidden="false" customHeight="false" outlineLevel="0" collapsed="false">
      <c r="A77" s="8"/>
      <c r="B77" s="6"/>
      <c r="C77" s="9" t="str">
        <f aca="false">IF($B77="","",IFERROR(INDEX(직원목록!$B$3:$B$202,MATCH($B77,직원목록!$A$3:$A$202,0)),""))</f>
        <v/>
      </c>
      <c r="D77" s="9" t="str">
        <f aca="false">IF($B77="","",IFERROR(INDEX(직원목록!$C$3:$C$202,MATCH($B77,직원목록!$A$3:$A$202,0)),""))</f>
        <v/>
      </c>
      <c r="E77" s="6"/>
      <c r="F77" s="6"/>
      <c r="G77" s="10"/>
      <c r="H77" s="6"/>
      <c r="I77" s="9" t="str">
        <f aca="false">IF($A77="","",TEXT($A77,"yyyy-mm"))</f>
        <v/>
      </c>
    </row>
    <row r="78" customFormat="false" ht="15" hidden="false" customHeight="false" outlineLevel="0" collapsed="false">
      <c r="A78" s="8"/>
      <c r="B78" s="6"/>
      <c r="C78" s="9" t="str">
        <f aca="false">IF($B78="","",IFERROR(INDEX(직원목록!$B$3:$B$202,MATCH($B78,직원목록!$A$3:$A$202,0)),""))</f>
        <v/>
      </c>
      <c r="D78" s="9" t="str">
        <f aca="false">IF($B78="","",IFERROR(INDEX(직원목록!$C$3:$C$202,MATCH($B78,직원목록!$A$3:$A$202,0)),""))</f>
        <v/>
      </c>
      <c r="E78" s="6"/>
      <c r="F78" s="6"/>
      <c r="G78" s="10"/>
      <c r="H78" s="6"/>
      <c r="I78" s="9" t="str">
        <f aca="false">IF($A78="","",TEXT($A78,"yyyy-mm"))</f>
        <v/>
      </c>
    </row>
    <row r="79" customFormat="false" ht="15" hidden="false" customHeight="false" outlineLevel="0" collapsed="false">
      <c r="A79" s="8"/>
      <c r="B79" s="6"/>
      <c r="C79" s="9" t="str">
        <f aca="false">IF($B79="","",IFERROR(INDEX(직원목록!$B$3:$B$202,MATCH($B79,직원목록!$A$3:$A$202,0)),""))</f>
        <v/>
      </c>
      <c r="D79" s="9" t="str">
        <f aca="false">IF($B79="","",IFERROR(INDEX(직원목록!$C$3:$C$202,MATCH($B79,직원목록!$A$3:$A$202,0)),""))</f>
        <v/>
      </c>
      <c r="E79" s="6"/>
      <c r="F79" s="6"/>
      <c r="G79" s="10"/>
      <c r="H79" s="6"/>
      <c r="I79" s="9" t="str">
        <f aca="false">IF($A79="","",TEXT($A79,"yyyy-mm"))</f>
        <v/>
      </c>
    </row>
    <row r="80" customFormat="false" ht="15" hidden="false" customHeight="false" outlineLevel="0" collapsed="false">
      <c r="A80" s="8"/>
      <c r="B80" s="6"/>
      <c r="C80" s="9" t="str">
        <f aca="false">IF($B80="","",IFERROR(INDEX(직원목록!$B$3:$B$202,MATCH($B80,직원목록!$A$3:$A$202,0)),""))</f>
        <v/>
      </c>
      <c r="D80" s="9" t="str">
        <f aca="false">IF($B80="","",IFERROR(INDEX(직원목록!$C$3:$C$202,MATCH($B80,직원목록!$A$3:$A$202,0)),""))</f>
        <v/>
      </c>
      <c r="E80" s="6"/>
      <c r="F80" s="6"/>
      <c r="G80" s="10"/>
      <c r="H80" s="6"/>
      <c r="I80" s="9" t="str">
        <f aca="false">IF($A80="","",TEXT($A80,"yyyy-mm"))</f>
        <v/>
      </c>
    </row>
    <row r="81" customFormat="false" ht="15" hidden="false" customHeight="false" outlineLevel="0" collapsed="false">
      <c r="A81" s="8"/>
      <c r="B81" s="6"/>
      <c r="C81" s="9" t="str">
        <f aca="false">IF($B81="","",IFERROR(INDEX(직원목록!$B$3:$B$202,MATCH($B81,직원목록!$A$3:$A$202,0)),""))</f>
        <v/>
      </c>
      <c r="D81" s="9" t="str">
        <f aca="false">IF($B81="","",IFERROR(INDEX(직원목록!$C$3:$C$202,MATCH($B81,직원목록!$A$3:$A$202,0)),""))</f>
        <v/>
      </c>
      <c r="E81" s="6"/>
      <c r="F81" s="6"/>
      <c r="G81" s="10"/>
      <c r="H81" s="6"/>
      <c r="I81" s="9" t="str">
        <f aca="false">IF($A81="","",TEXT($A81,"yyyy-mm"))</f>
        <v/>
      </c>
    </row>
    <row r="82" customFormat="false" ht="15" hidden="false" customHeight="false" outlineLevel="0" collapsed="false">
      <c r="A82" s="8"/>
      <c r="B82" s="6"/>
      <c r="C82" s="9" t="str">
        <f aca="false">IF($B82="","",IFERROR(INDEX(직원목록!$B$3:$B$202,MATCH($B82,직원목록!$A$3:$A$202,0)),""))</f>
        <v/>
      </c>
      <c r="D82" s="9" t="str">
        <f aca="false">IF($B82="","",IFERROR(INDEX(직원목록!$C$3:$C$202,MATCH($B82,직원목록!$A$3:$A$202,0)),""))</f>
        <v/>
      </c>
      <c r="E82" s="6"/>
      <c r="F82" s="6"/>
      <c r="G82" s="10"/>
      <c r="H82" s="6"/>
      <c r="I82" s="9" t="str">
        <f aca="false">IF($A82="","",TEXT($A82,"yyyy-mm"))</f>
        <v/>
      </c>
    </row>
    <row r="83" customFormat="false" ht="15" hidden="false" customHeight="false" outlineLevel="0" collapsed="false">
      <c r="A83" s="8"/>
      <c r="B83" s="6"/>
      <c r="C83" s="9" t="str">
        <f aca="false">IF($B83="","",IFERROR(INDEX(직원목록!$B$3:$B$202,MATCH($B83,직원목록!$A$3:$A$202,0)),""))</f>
        <v/>
      </c>
      <c r="D83" s="9" t="str">
        <f aca="false">IF($B83="","",IFERROR(INDEX(직원목록!$C$3:$C$202,MATCH($B83,직원목록!$A$3:$A$202,0)),""))</f>
        <v/>
      </c>
      <c r="E83" s="6"/>
      <c r="F83" s="6"/>
      <c r="G83" s="10"/>
      <c r="H83" s="6"/>
      <c r="I83" s="9" t="str">
        <f aca="false">IF($A83="","",TEXT($A83,"yyyy-mm"))</f>
        <v/>
      </c>
    </row>
    <row r="84" customFormat="false" ht="15" hidden="false" customHeight="false" outlineLevel="0" collapsed="false">
      <c r="A84" s="8"/>
      <c r="B84" s="6"/>
      <c r="C84" s="9" t="str">
        <f aca="false">IF($B84="","",IFERROR(INDEX(직원목록!$B$3:$B$202,MATCH($B84,직원목록!$A$3:$A$202,0)),""))</f>
        <v/>
      </c>
      <c r="D84" s="9" t="str">
        <f aca="false">IF($B84="","",IFERROR(INDEX(직원목록!$C$3:$C$202,MATCH($B84,직원목록!$A$3:$A$202,0)),""))</f>
        <v/>
      </c>
      <c r="E84" s="6"/>
      <c r="F84" s="6"/>
      <c r="G84" s="10"/>
      <c r="H84" s="6"/>
      <c r="I84" s="9" t="str">
        <f aca="false">IF($A84="","",TEXT($A84,"yyyy-mm"))</f>
        <v/>
      </c>
    </row>
    <row r="85" customFormat="false" ht="15" hidden="false" customHeight="false" outlineLevel="0" collapsed="false">
      <c r="A85" s="8"/>
      <c r="B85" s="6"/>
      <c r="C85" s="9" t="str">
        <f aca="false">IF($B85="","",IFERROR(INDEX(직원목록!$B$3:$B$202,MATCH($B85,직원목록!$A$3:$A$202,0)),""))</f>
        <v/>
      </c>
      <c r="D85" s="9" t="str">
        <f aca="false">IF($B85="","",IFERROR(INDEX(직원목록!$C$3:$C$202,MATCH($B85,직원목록!$A$3:$A$202,0)),""))</f>
        <v/>
      </c>
      <c r="E85" s="6"/>
      <c r="F85" s="6"/>
      <c r="G85" s="10"/>
      <c r="H85" s="6"/>
      <c r="I85" s="9" t="str">
        <f aca="false">IF($A85="","",TEXT($A85,"yyyy-mm"))</f>
        <v/>
      </c>
    </row>
    <row r="86" customFormat="false" ht="15" hidden="false" customHeight="false" outlineLevel="0" collapsed="false">
      <c r="A86" s="8"/>
      <c r="B86" s="6"/>
      <c r="C86" s="9" t="str">
        <f aca="false">IF($B86="","",IFERROR(INDEX(직원목록!$B$3:$B$202,MATCH($B86,직원목록!$A$3:$A$202,0)),""))</f>
        <v/>
      </c>
      <c r="D86" s="9" t="str">
        <f aca="false">IF($B86="","",IFERROR(INDEX(직원목록!$C$3:$C$202,MATCH($B86,직원목록!$A$3:$A$202,0)),""))</f>
        <v/>
      </c>
      <c r="E86" s="6"/>
      <c r="F86" s="6"/>
      <c r="G86" s="10"/>
      <c r="H86" s="6"/>
      <c r="I86" s="9" t="str">
        <f aca="false">IF($A86="","",TEXT($A86,"yyyy-mm"))</f>
        <v/>
      </c>
    </row>
    <row r="87" customFormat="false" ht="15" hidden="false" customHeight="false" outlineLevel="0" collapsed="false">
      <c r="A87" s="8"/>
      <c r="B87" s="6"/>
      <c r="C87" s="9" t="str">
        <f aca="false">IF($B87="","",IFERROR(INDEX(직원목록!$B$3:$B$202,MATCH($B87,직원목록!$A$3:$A$202,0)),""))</f>
        <v/>
      </c>
      <c r="D87" s="9" t="str">
        <f aca="false">IF($B87="","",IFERROR(INDEX(직원목록!$C$3:$C$202,MATCH($B87,직원목록!$A$3:$A$202,0)),""))</f>
        <v/>
      </c>
      <c r="E87" s="6"/>
      <c r="F87" s="6"/>
      <c r="G87" s="10"/>
      <c r="H87" s="6"/>
      <c r="I87" s="9" t="str">
        <f aca="false">IF($A87="","",TEXT($A87,"yyyy-mm"))</f>
        <v/>
      </c>
    </row>
    <row r="88" customFormat="false" ht="15" hidden="false" customHeight="false" outlineLevel="0" collapsed="false">
      <c r="A88" s="8"/>
      <c r="B88" s="6"/>
      <c r="C88" s="9" t="str">
        <f aca="false">IF($B88="","",IFERROR(INDEX(직원목록!$B$3:$B$202,MATCH($B88,직원목록!$A$3:$A$202,0)),""))</f>
        <v/>
      </c>
      <c r="D88" s="9" t="str">
        <f aca="false">IF($B88="","",IFERROR(INDEX(직원목록!$C$3:$C$202,MATCH($B88,직원목록!$A$3:$A$202,0)),""))</f>
        <v/>
      </c>
      <c r="E88" s="6"/>
      <c r="F88" s="6"/>
      <c r="G88" s="10"/>
      <c r="H88" s="6"/>
      <c r="I88" s="9" t="str">
        <f aca="false">IF($A88="","",TEXT($A88,"yyyy-mm"))</f>
        <v/>
      </c>
    </row>
    <row r="89" customFormat="false" ht="15" hidden="false" customHeight="false" outlineLevel="0" collapsed="false">
      <c r="A89" s="8"/>
      <c r="B89" s="6"/>
      <c r="C89" s="9" t="str">
        <f aca="false">IF($B89="","",IFERROR(INDEX(직원목록!$B$3:$B$202,MATCH($B89,직원목록!$A$3:$A$202,0)),""))</f>
        <v/>
      </c>
      <c r="D89" s="9" t="str">
        <f aca="false">IF($B89="","",IFERROR(INDEX(직원목록!$C$3:$C$202,MATCH($B89,직원목록!$A$3:$A$202,0)),""))</f>
        <v/>
      </c>
      <c r="E89" s="6"/>
      <c r="F89" s="6"/>
      <c r="G89" s="10"/>
      <c r="H89" s="6"/>
      <c r="I89" s="9" t="str">
        <f aca="false">IF($A89="","",TEXT($A89,"yyyy-mm"))</f>
        <v/>
      </c>
    </row>
    <row r="90" customFormat="false" ht="15" hidden="false" customHeight="false" outlineLevel="0" collapsed="false">
      <c r="A90" s="8"/>
      <c r="B90" s="6"/>
      <c r="C90" s="9" t="str">
        <f aca="false">IF($B90="","",IFERROR(INDEX(직원목록!$B$3:$B$202,MATCH($B90,직원목록!$A$3:$A$202,0)),""))</f>
        <v/>
      </c>
      <c r="D90" s="9" t="str">
        <f aca="false">IF($B90="","",IFERROR(INDEX(직원목록!$C$3:$C$202,MATCH($B90,직원목록!$A$3:$A$202,0)),""))</f>
        <v/>
      </c>
      <c r="E90" s="6"/>
      <c r="F90" s="6"/>
      <c r="G90" s="10"/>
      <c r="H90" s="6"/>
      <c r="I90" s="9" t="str">
        <f aca="false">IF($A90="","",TEXT($A90,"yyyy-mm"))</f>
        <v/>
      </c>
    </row>
    <row r="91" customFormat="false" ht="15" hidden="false" customHeight="false" outlineLevel="0" collapsed="false">
      <c r="A91" s="8"/>
      <c r="B91" s="6"/>
      <c r="C91" s="9" t="str">
        <f aca="false">IF($B91="","",IFERROR(INDEX(직원목록!$B$3:$B$202,MATCH($B91,직원목록!$A$3:$A$202,0)),""))</f>
        <v/>
      </c>
      <c r="D91" s="9" t="str">
        <f aca="false">IF($B91="","",IFERROR(INDEX(직원목록!$C$3:$C$202,MATCH($B91,직원목록!$A$3:$A$202,0)),""))</f>
        <v/>
      </c>
      <c r="E91" s="6"/>
      <c r="F91" s="6"/>
      <c r="G91" s="10"/>
      <c r="H91" s="6"/>
      <c r="I91" s="9" t="str">
        <f aca="false">IF($A91="","",TEXT($A91,"yyyy-mm"))</f>
        <v/>
      </c>
    </row>
    <row r="92" customFormat="false" ht="15" hidden="false" customHeight="false" outlineLevel="0" collapsed="false">
      <c r="A92" s="8"/>
      <c r="B92" s="6"/>
      <c r="C92" s="9" t="str">
        <f aca="false">IF($B92="","",IFERROR(INDEX(직원목록!$B$3:$B$202,MATCH($B92,직원목록!$A$3:$A$202,0)),""))</f>
        <v/>
      </c>
      <c r="D92" s="9" t="str">
        <f aca="false">IF($B92="","",IFERROR(INDEX(직원목록!$C$3:$C$202,MATCH($B92,직원목록!$A$3:$A$202,0)),""))</f>
        <v/>
      </c>
      <c r="E92" s="6"/>
      <c r="F92" s="6"/>
      <c r="G92" s="10"/>
      <c r="H92" s="6"/>
      <c r="I92" s="9" t="str">
        <f aca="false">IF($A92="","",TEXT($A92,"yyyy-mm"))</f>
        <v/>
      </c>
    </row>
    <row r="93" customFormat="false" ht="15" hidden="false" customHeight="false" outlineLevel="0" collapsed="false">
      <c r="A93" s="8"/>
      <c r="B93" s="6"/>
      <c r="C93" s="9" t="str">
        <f aca="false">IF($B93="","",IFERROR(INDEX(직원목록!$B$3:$B$202,MATCH($B93,직원목록!$A$3:$A$202,0)),""))</f>
        <v/>
      </c>
      <c r="D93" s="9" t="str">
        <f aca="false">IF($B93="","",IFERROR(INDEX(직원목록!$C$3:$C$202,MATCH($B93,직원목록!$A$3:$A$202,0)),""))</f>
        <v/>
      </c>
      <c r="E93" s="6"/>
      <c r="F93" s="6"/>
      <c r="G93" s="10"/>
      <c r="H93" s="6"/>
      <c r="I93" s="9" t="str">
        <f aca="false">IF($A93="","",TEXT($A93,"yyyy-mm"))</f>
        <v/>
      </c>
    </row>
    <row r="94" customFormat="false" ht="15" hidden="false" customHeight="false" outlineLevel="0" collapsed="false">
      <c r="A94" s="8"/>
      <c r="B94" s="6"/>
      <c r="C94" s="9" t="str">
        <f aca="false">IF($B94="","",IFERROR(INDEX(직원목록!$B$3:$B$202,MATCH($B94,직원목록!$A$3:$A$202,0)),""))</f>
        <v/>
      </c>
      <c r="D94" s="9" t="str">
        <f aca="false">IF($B94="","",IFERROR(INDEX(직원목록!$C$3:$C$202,MATCH($B94,직원목록!$A$3:$A$202,0)),""))</f>
        <v/>
      </c>
      <c r="E94" s="6"/>
      <c r="F94" s="6"/>
      <c r="G94" s="10"/>
      <c r="H94" s="6"/>
      <c r="I94" s="9" t="str">
        <f aca="false">IF($A94="","",TEXT($A94,"yyyy-mm"))</f>
        <v/>
      </c>
    </row>
    <row r="95" customFormat="false" ht="15" hidden="false" customHeight="false" outlineLevel="0" collapsed="false">
      <c r="A95" s="8"/>
      <c r="B95" s="6"/>
      <c r="C95" s="9" t="str">
        <f aca="false">IF($B95="","",IFERROR(INDEX(직원목록!$B$3:$B$202,MATCH($B95,직원목록!$A$3:$A$202,0)),""))</f>
        <v/>
      </c>
      <c r="D95" s="9" t="str">
        <f aca="false">IF($B95="","",IFERROR(INDEX(직원목록!$C$3:$C$202,MATCH($B95,직원목록!$A$3:$A$202,0)),""))</f>
        <v/>
      </c>
      <c r="E95" s="6"/>
      <c r="F95" s="6"/>
      <c r="G95" s="10"/>
      <c r="H95" s="6"/>
      <c r="I95" s="9" t="str">
        <f aca="false">IF($A95="","",TEXT($A95,"yyyy-mm"))</f>
        <v/>
      </c>
    </row>
    <row r="96" customFormat="false" ht="15" hidden="false" customHeight="false" outlineLevel="0" collapsed="false">
      <c r="A96" s="8"/>
      <c r="B96" s="6"/>
      <c r="C96" s="9" t="str">
        <f aca="false">IF($B96="","",IFERROR(INDEX(직원목록!$B$3:$B$202,MATCH($B96,직원목록!$A$3:$A$202,0)),""))</f>
        <v/>
      </c>
      <c r="D96" s="9" t="str">
        <f aca="false">IF($B96="","",IFERROR(INDEX(직원목록!$C$3:$C$202,MATCH($B96,직원목록!$A$3:$A$202,0)),""))</f>
        <v/>
      </c>
      <c r="E96" s="6"/>
      <c r="F96" s="6"/>
      <c r="G96" s="10"/>
      <c r="H96" s="6"/>
      <c r="I96" s="9" t="str">
        <f aca="false">IF($A96="","",TEXT($A96,"yyyy-mm"))</f>
        <v/>
      </c>
    </row>
    <row r="97" customFormat="false" ht="15" hidden="false" customHeight="false" outlineLevel="0" collapsed="false">
      <c r="A97" s="8"/>
      <c r="B97" s="6"/>
      <c r="C97" s="9" t="str">
        <f aca="false">IF($B97="","",IFERROR(INDEX(직원목록!$B$3:$B$202,MATCH($B97,직원목록!$A$3:$A$202,0)),""))</f>
        <v/>
      </c>
      <c r="D97" s="9" t="str">
        <f aca="false">IF($B97="","",IFERROR(INDEX(직원목록!$C$3:$C$202,MATCH($B97,직원목록!$A$3:$A$202,0)),""))</f>
        <v/>
      </c>
      <c r="E97" s="6"/>
      <c r="F97" s="6"/>
      <c r="G97" s="10"/>
      <c r="H97" s="6"/>
      <c r="I97" s="9" t="str">
        <f aca="false">IF($A97="","",TEXT($A97,"yyyy-mm"))</f>
        <v/>
      </c>
    </row>
    <row r="98" customFormat="false" ht="15" hidden="false" customHeight="false" outlineLevel="0" collapsed="false">
      <c r="A98" s="8"/>
      <c r="B98" s="6"/>
      <c r="C98" s="9" t="str">
        <f aca="false">IF($B98="","",IFERROR(INDEX(직원목록!$B$3:$B$202,MATCH($B98,직원목록!$A$3:$A$202,0)),""))</f>
        <v/>
      </c>
      <c r="D98" s="9" t="str">
        <f aca="false">IF($B98="","",IFERROR(INDEX(직원목록!$C$3:$C$202,MATCH($B98,직원목록!$A$3:$A$202,0)),""))</f>
        <v/>
      </c>
      <c r="E98" s="6"/>
      <c r="F98" s="6"/>
      <c r="G98" s="10"/>
      <c r="H98" s="6"/>
      <c r="I98" s="9" t="str">
        <f aca="false">IF($A98="","",TEXT($A98,"yyyy-mm"))</f>
        <v/>
      </c>
    </row>
    <row r="99" customFormat="false" ht="15" hidden="false" customHeight="false" outlineLevel="0" collapsed="false">
      <c r="A99" s="8"/>
      <c r="B99" s="6"/>
      <c r="C99" s="9" t="str">
        <f aca="false">IF($B99="","",IFERROR(INDEX(직원목록!$B$3:$B$202,MATCH($B99,직원목록!$A$3:$A$202,0)),""))</f>
        <v/>
      </c>
      <c r="D99" s="9" t="str">
        <f aca="false">IF($B99="","",IFERROR(INDEX(직원목록!$C$3:$C$202,MATCH($B99,직원목록!$A$3:$A$202,0)),""))</f>
        <v/>
      </c>
      <c r="E99" s="6"/>
      <c r="F99" s="6"/>
      <c r="G99" s="10"/>
      <c r="H99" s="6"/>
      <c r="I99" s="9" t="str">
        <f aca="false">IF($A99="","",TEXT($A99,"yyyy-mm"))</f>
        <v/>
      </c>
    </row>
    <row r="100" customFormat="false" ht="15" hidden="false" customHeight="false" outlineLevel="0" collapsed="false">
      <c r="A100" s="8"/>
      <c r="B100" s="6"/>
      <c r="C100" s="9" t="str">
        <f aca="false">IF($B100="","",IFERROR(INDEX(직원목록!$B$3:$B$202,MATCH($B100,직원목록!$A$3:$A$202,0)),""))</f>
        <v/>
      </c>
      <c r="D100" s="9" t="str">
        <f aca="false">IF($B100="","",IFERROR(INDEX(직원목록!$C$3:$C$202,MATCH($B100,직원목록!$A$3:$A$202,0)),""))</f>
        <v/>
      </c>
      <c r="E100" s="6"/>
      <c r="F100" s="6"/>
      <c r="G100" s="10"/>
      <c r="H100" s="6"/>
      <c r="I100" s="9" t="str">
        <f aca="false">IF($A100="","",TEXT($A100,"yyyy-mm"))</f>
        <v/>
      </c>
    </row>
    <row r="101" customFormat="false" ht="15" hidden="false" customHeight="false" outlineLevel="0" collapsed="false">
      <c r="A101" s="8"/>
      <c r="B101" s="6"/>
      <c r="C101" s="9" t="str">
        <f aca="false">IF($B101="","",IFERROR(INDEX(직원목록!$B$3:$B$202,MATCH($B101,직원목록!$A$3:$A$202,0)),""))</f>
        <v/>
      </c>
      <c r="D101" s="9" t="str">
        <f aca="false">IF($B101="","",IFERROR(INDEX(직원목록!$C$3:$C$202,MATCH($B101,직원목록!$A$3:$A$202,0)),""))</f>
        <v/>
      </c>
      <c r="E101" s="6"/>
      <c r="F101" s="6"/>
      <c r="G101" s="10"/>
      <c r="H101" s="6"/>
      <c r="I101" s="9" t="str">
        <f aca="false">IF($A101="","",TEXT($A101,"yyyy-mm"))</f>
        <v/>
      </c>
    </row>
    <row r="102" customFormat="false" ht="15" hidden="false" customHeight="false" outlineLevel="0" collapsed="false">
      <c r="A102" s="8"/>
      <c r="B102" s="6"/>
      <c r="C102" s="9" t="str">
        <f aca="false">IF($B102="","",IFERROR(INDEX(직원목록!$B$3:$B$202,MATCH($B102,직원목록!$A$3:$A$202,0)),""))</f>
        <v/>
      </c>
      <c r="D102" s="9" t="str">
        <f aca="false">IF($B102="","",IFERROR(INDEX(직원목록!$C$3:$C$202,MATCH($B102,직원목록!$A$3:$A$202,0)),""))</f>
        <v/>
      </c>
      <c r="E102" s="6"/>
      <c r="F102" s="6"/>
      <c r="G102" s="10"/>
      <c r="H102" s="6"/>
      <c r="I102" s="9" t="str">
        <f aca="false">IF($A102="","",TEXT($A102,"yyyy-mm"))</f>
        <v/>
      </c>
    </row>
    <row r="103" customFormat="false" ht="15" hidden="false" customHeight="false" outlineLevel="0" collapsed="false">
      <c r="A103" s="8"/>
      <c r="B103" s="6"/>
      <c r="C103" s="9" t="str">
        <f aca="false">IF($B103="","",IFERROR(INDEX(직원목록!$B$3:$B$202,MATCH($B103,직원목록!$A$3:$A$202,0)),""))</f>
        <v/>
      </c>
      <c r="D103" s="9" t="str">
        <f aca="false">IF($B103="","",IFERROR(INDEX(직원목록!$C$3:$C$202,MATCH($B103,직원목록!$A$3:$A$202,0)),""))</f>
        <v/>
      </c>
      <c r="E103" s="6"/>
      <c r="F103" s="6"/>
      <c r="G103" s="10"/>
      <c r="H103" s="6"/>
      <c r="I103" s="9" t="str">
        <f aca="false">IF($A103="","",TEXT($A103,"yyyy-mm"))</f>
        <v/>
      </c>
    </row>
    <row r="104" customFormat="false" ht="15" hidden="false" customHeight="false" outlineLevel="0" collapsed="false">
      <c r="A104" s="8"/>
      <c r="B104" s="6"/>
      <c r="C104" s="9" t="str">
        <f aca="false">IF($B104="","",IFERROR(INDEX(직원목록!$B$3:$B$202,MATCH($B104,직원목록!$A$3:$A$202,0)),""))</f>
        <v/>
      </c>
      <c r="D104" s="9" t="str">
        <f aca="false">IF($B104="","",IFERROR(INDEX(직원목록!$C$3:$C$202,MATCH($B104,직원목록!$A$3:$A$202,0)),""))</f>
        <v/>
      </c>
      <c r="E104" s="6"/>
      <c r="F104" s="6"/>
      <c r="G104" s="10"/>
      <c r="H104" s="6"/>
      <c r="I104" s="9" t="str">
        <f aca="false">IF($A104="","",TEXT($A104,"yyyy-mm"))</f>
        <v/>
      </c>
    </row>
    <row r="105" customFormat="false" ht="15" hidden="false" customHeight="false" outlineLevel="0" collapsed="false">
      <c r="A105" s="8"/>
      <c r="B105" s="6"/>
      <c r="C105" s="9" t="str">
        <f aca="false">IF($B105="","",IFERROR(INDEX(직원목록!$B$3:$B$202,MATCH($B105,직원목록!$A$3:$A$202,0)),""))</f>
        <v/>
      </c>
      <c r="D105" s="9" t="str">
        <f aca="false">IF($B105="","",IFERROR(INDEX(직원목록!$C$3:$C$202,MATCH($B105,직원목록!$A$3:$A$202,0)),""))</f>
        <v/>
      </c>
      <c r="E105" s="6"/>
      <c r="F105" s="6"/>
      <c r="G105" s="10"/>
      <c r="H105" s="6"/>
      <c r="I105" s="9" t="str">
        <f aca="false">IF($A105="","",TEXT($A105,"yyyy-mm"))</f>
        <v/>
      </c>
    </row>
    <row r="106" customFormat="false" ht="15" hidden="false" customHeight="false" outlineLevel="0" collapsed="false">
      <c r="A106" s="8"/>
      <c r="B106" s="6"/>
      <c r="C106" s="9" t="str">
        <f aca="false">IF($B106="","",IFERROR(INDEX(직원목록!$B$3:$B$202,MATCH($B106,직원목록!$A$3:$A$202,0)),""))</f>
        <v/>
      </c>
      <c r="D106" s="9" t="str">
        <f aca="false">IF($B106="","",IFERROR(INDEX(직원목록!$C$3:$C$202,MATCH($B106,직원목록!$A$3:$A$202,0)),""))</f>
        <v/>
      </c>
      <c r="E106" s="6"/>
      <c r="F106" s="6"/>
      <c r="G106" s="10"/>
      <c r="H106" s="6"/>
      <c r="I106" s="9" t="str">
        <f aca="false">IF($A106="","",TEXT($A106,"yyyy-mm"))</f>
        <v/>
      </c>
    </row>
    <row r="107" customFormat="false" ht="15" hidden="false" customHeight="false" outlineLevel="0" collapsed="false">
      <c r="A107" s="8"/>
      <c r="B107" s="6"/>
      <c r="C107" s="9" t="str">
        <f aca="false">IF($B107="","",IFERROR(INDEX(직원목록!$B$3:$B$202,MATCH($B107,직원목록!$A$3:$A$202,0)),""))</f>
        <v/>
      </c>
      <c r="D107" s="9" t="str">
        <f aca="false">IF($B107="","",IFERROR(INDEX(직원목록!$C$3:$C$202,MATCH($B107,직원목록!$A$3:$A$202,0)),""))</f>
        <v/>
      </c>
      <c r="E107" s="6"/>
      <c r="F107" s="6"/>
      <c r="G107" s="10"/>
      <c r="H107" s="6"/>
      <c r="I107" s="9" t="str">
        <f aca="false">IF($A107="","",TEXT($A107,"yyyy-mm"))</f>
        <v/>
      </c>
    </row>
    <row r="108" customFormat="false" ht="15" hidden="false" customHeight="false" outlineLevel="0" collapsed="false">
      <c r="A108" s="8"/>
      <c r="B108" s="6"/>
      <c r="C108" s="9" t="str">
        <f aca="false">IF($B108="","",IFERROR(INDEX(직원목록!$B$3:$B$202,MATCH($B108,직원목록!$A$3:$A$202,0)),""))</f>
        <v/>
      </c>
      <c r="D108" s="9" t="str">
        <f aca="false">IF($B108="","",IFERROR(INDEX(직원목록!$C$3:$C$202,MATCH($B108,직원목록!$A$3:$A$202,0)),""))</f>
        <v/>
      </c>
      <c r="E108" s="6"/>
      <c r="F108" s="6"/>
      <c r="G108" s="10"/>
      <c r="H108" s="6"/>
      <c r="I108" s="9" t="str">
        <f aca="false">IF($A108="","",TEXT($A108,"yyyy-mm"))</f>
        <v/>
      </c>
    </row>
    <row r="109" customFormat="false" ht="15" hidden="false" customHeight="false" outlineLevel="0" collapsed="false">
      <c r="A109" s="8"/>
      <c r="B109" s="6"/>
      <c r="C109" s="9" t="str">
        <f aca="false">IF($B109="","",IFERROR(INDEX(직원목록!$B$3:$B$202,MATCH($B109,직원목록!$A$3:$A$202,0)),""))</f>
        <v/>
      </c>
      <c r="D109" s="9" t="str">
        <f aca="false">IF($B109="","",IFERROR(INDEX(직원목록!$C$3:$C$202,MATCH($B109,직원목록!$A$3:$A$202,0)),""))</f>
        <v/>
      </c>
      <c r="E109" s="6"/>
      <c r="F109" s="6"/>
      <c r="G109" s="10"/>
      <c r="H109" s="6"/>
      <c r="I109" s="9" t="str">
        <f aca="false">IF($A109="","",TEXT($A109,"yyyy-mm"))</f>
        <v/>
      </c>
    </row>
    <row r="110" customFormat="false" ht="15" hidden="false" customHeight="false" outlineLevel="0" collapsed="false">
      <c r="A110" s="8"/>
      <c r="B110" s="6"/>
      <c r="C110" s="9" t="str">
        <f aca="false">IF($B110="","",IFERROR(INDEX(직원목록!$B$3:$B$202,MATCH($B110,직원목록!$A$3:$A$202,0)),""))</f>
        <v/>
      </c>
      <c r="D110" s="9" t="str">
        <f aca="false">IF($B110="","",IFERROR(INDEX(직원목록!$C$3:$C$202,MATCH($B110,직원목록!$A$3:$A$202,0)),""))</f>
        <v/>
      </c>
      <c r="E110" s="6"/>
      <c r="F110" s="6"/>
      <c r="G110" s="10"/>
      <c r="H110" s="6"/>
      <c r="I110" s="9" t="str">
        <f aca="false">IF($A110="","",TEXT($A110,"yyyy-mm"))</f>
        <v/>
      </c>
    </row>
    <row r="111" customFormat="false" ht="15" hidden="false" customHeight="false" outlineLevel="0" collapsed="false">
      <c r="A111" s="8"/>
      <c r="B111" s="6"/>
      <c r="C111" s="9" t="str">
        <f aca="false">IF($B111="","",IFERROR(INDEX(직원목록!$B$3:$B$202,MATCH($B111,직원목록!$A$3:$A$202,0)),""))</f>
        <v/>
      </c>
      <c r="D111" s="9" t="str">
        <f aca="false">IF($B111="","",IFERROR(INDEX(직원목록!$C$3:$C$202,MATCH($B111,직원목록!$A$3:$A$202,0)),""))</f>
        <v/>
      </c>
      <c r="E111" s="6"/>
      <c r="F111" s="6"/>
      <c r="G111" s="10"/>
      <c r="H111" s="6"/>
      <c r="I111" s="9" t="str">
        <f aca="false">IF($A111="","",TEXT($A111,"yyyy-mm"))</f>
        <v/>
      </c>
    </row>
    <row r="112" customFormat="false" ht="15" hidden="false" customHeight="false" outlineLevel="0" collapsed="false">
      <c r="A112" s="8"/>
      <c r="B112" s="6"/>
      <c r="C112" s="9" t="str">
        <f aca="false">IF($B112="","",IFERROR(INDEX(직원목록!$B$3:$B$202,MATCH($B112,직원목록!$A$3:$A$202,0)),""))</f>
        <v/>
      </c>
      <c r="D112" s="9" t="str">
        <f aca="false">IF($B112="","",IFERROR(INDEX(직원목록!$C$3:$C$202,MATCH($B112,직원목록!$A$3:$A$202,0)),""))</f>
        <v/>
      </c>
      <c r="E112" s="6"/>
      <c r="F112" s="6"/>
      <c r="G112" s="10"/>
      <c r="H112" s="6"/>
      <c r="I112" s="9" t="str">
        <f aca="false">IF($A112="","",TEXT($A112,"yyyy-mm"))</f>
        <v/>
      </c>
    </row>
    <row r="113" customFormat="false" ht="15" hidden="false" customHeight="false" outlineLevel="0" collapsed="false">
      <c r="A113" s="8"/>
      <c r="B113" s="6"/>
      <c r="C113" s="9" t="str">
        <f aca="false">IF($B113="","",IFERROR(INDEX(직원목록!$B$3:$B$202,MATCH($B113,직원목록!$A$3:$A$202,0)),""))</f>
        <v/>
      </c>
      <c r="D113" s="9" t="str">
        <f aca="false">IF($B113="","",IFERROR(INDEX(직원목록!$C$3:$C$202,MATCH($B113,직원목록!$A$3:$A$202,0)),""))</f>
        <v/>
      </c>
      <c r="E113" s="6"/>
      <c r="F113" s="6"/>
      <c r="G113" s="10"/>
      <c r="H113" s="6"/>
      <c r="I113" s="9" t="str">
        <f aca="false">IF($A113="","",TEXT($A113,"yyyy-mm"))</f>
        <v/>
      </c>
    </row>
    <row r="114" customFormat="false" ht="15" hidden="false" customHeight="false" outlineLevel="0" collapsed="false">
      <c r="A114" s="8"/>
      <c r="B114" s="6"/>
      <c r="C114" s="9" t="str">
        <f aca="false">IF($B114="","",IFERROR(INDEX(직원목록!$B$3:$B$202,MATCH($B114,직원목록!$A$3:$A$202,0)),""))</f>
        <v/>
      </c>
      <c r="D114" s="9" t="str">
        <f aca="false">IF($B114="","",IFERROR(INDEX(직원목록!$C$3:$C$202,MATCH($B114,직원목록!$A$3:$A$202,0)),""))</f>
        <v/>
      </c>
      <c r="E114" s="6"/>
      <c r="F114" s="6"/>
      <c r="G114" s="10"/>
      <c r="H114" s="6"/>
      <c r="I114" s="9" t="str">
        <f aca="false">IF($A114="","",TEXT($A114,"yyyy-mm"))</f>
        <v/>
      </c>
    </row>
    <row r="115" customFormat="false" ht="15" hidden="false" customHeight="false" outlineLevel="0" collapsed="false">
      <c r="A115" s="8"/>
      <c r="B115" s="6"/>
      <c r="C115" s="9" t="str">
        <f aca="false">IF($B115="","",IFERROR(INDEX(직원목록!$B$3:$B$202,MATCH($B115,직원목록!$A$3:$A$202,0)),""))</f>
        <v/>
      </c>
      <c r="D115" s="9" t="str">
        <f aca="false">IF($B115="","",IFERROR(INDEX(직원목록!$C$3:$C$202,MATCH($B115,직원목록!$A$3:$A$202,0)),""))</f>
        <v/>
      </c>
      <c r="E115" s="6"/>
      <c r="F115" s="6"/>
      <c r="G115" s="10"/>
      <c r="H115" s="6"/>
      <c r="I115" s="9" t="str">
        <f aca="false">IF($A115="","",TEXT($A115,"yyyy-mm"))</f>
        <v/>
      </c>
    </row>
    <row r="116" customFormat="false" ht="15" hidden="false" customHeight="false" outlineLevel="0" collapsed="false">
      <c r="A116" s="8"/>
      <c r="B116" s="6"/>
      <c r="C116" s="9" t="str">
        <f aca="false">IF($B116="","",IFERROR(INDEX(직원목록!$B$3:$B$202,MATCH($B116,직원목록!$A$3:$A$202,0)),""))</f>
        <v/>
      </c>
      <c r="D116" s="9" t="str">
        <f aca="false">IF($B116="","",IFERROR(INDEX(직원목록!$C$3:$C$202,MATCH($B116,직원목록!$A$3:$A$202,0)),""))</f>
        <v/>
      </c>
      <c r="E116" s="6"/>
      <c r="F116" s="6"/>
      <c r="G116" s="10"/>
      <c r="H116" s="6"/>
      <c r="I116" s="9" t="str">
        <f aca="false">IF($A116="","",TEXT($A116,"yyyy-mm"))</f>
        <v/>
      </c>
    </row>
    <row r="117" customFormat="false" ht="15" hidden="false" customHeight="false" outlineLevel="0" collapsed="false">
      <c r="A117" s="8"/>
      <c r="B117" s="6"/>
      <c r="C117" s="9" t="str">
        <f aca="false">IF($B117="","",IFERROR(INDEX(직원목록!$B$3:$B$202,MATCH($B117,직원목록!$A$3:$A$202,0)),""))</f>
        <v/>
      </c>
      <c r="D117" s="9" t="str">
        <f aca="false">IF($B117="","",IFERROR(INDEX(직원목록!$C$3:$C$202,MATCH($B117,직원목록!$A$3:$A$202,0)),""))</f>
        <v/>
      </c>
      <c r="E117" s="6"/>
      <c r="F117" s="6"/>
      <c r="G117" s="10"/>
      <c r="H117" s="6"/>
      <c r="I117" s="9" t="str">
        <f aca="false">IF($A117="","",TEXT($A117,"yyyy-mm"))</f>
        <v/>
      </c>
    </row>
    <row r="118" customFormat="false" ht="15" hidden="false" customHeight="false" outlineLevel="0" collapsed="false">
      <c r="A118" s="8"/>
      <c r="B118" s="6"/>
      <c r="C118" s="9" t="str">
        <f aca="false">IF($B118="","",IFERROR(INDEX(직원목록!$B$3:$B$202,MATCH($B118,직원목록!$A$3:$A$202,0)),""))</f>
        <v/>
      </c>
      <c r="D118" s="9" t="str">
        <f aca="false">IF($B118="","",IFERROR(INDEX(직원목록!$C$3:$C$202,MATCH($B118,직원목록!$A$3:$A$202,0)),""))</f>
        <v/>
      </c>
      <c r="E118" s="6"/>
      <c r="F118" s="6"/>
      <c r="G118" s="10"/>
      <c r="H118" s="6"/>
      <c r="I118" s="9" t="str">
        <f aca="false">IF($A118="","",TEXT($A118,"yyyy-mm"))</f>
        <v/>
      </c>
    </row>
    <row r="119" customFormat="false" ht="15" hidden="false" customHeight="false" outlineLevel="0" collapsed="false">
      <c r="A119" s="8"/>
      <c r="B119" s="6"/>
      <c r="C119" s="9" t="str">
        <f aca="false">IF($B119="","",IFERROR(INDEX(직원목록!$B$3:$B$202,MATCH($B119,직원목록!$A$3:$A$202,0)),""))</f>
        <v/>
      </c>
      <c r="D119" s="9" t="str">
        <f aca="false">IF($B119="","",IFERROR(INDEX(직원목록!$C$3:$C$202,MATCH($B119,직원목록!$A$3:$A$202,0)),""))</f>
        <v/>
      </c>
      <c r="E119" s="6"/>
      <c r="F119" s="6"/>
      <c r="G119" s="10"/>
      <c r="H119" s="6"/>
      <c r="I119" s="9" t="str">
        <f aca="false">IF($A119="","",TEXT($A119,"yyyy-mm"))</f>
        <v/>
      </c>
    </row>
    <row r="120" customFormat="false" ht="15" hidden="false" customHeight="false" outlineLevel="0" collapsed="false">
      <c r="A120" s="8"/>
      <c r="B120" s="6"/>
      <c r="C120" s="9" t="str">
        <f aca="false">IF($B120="","",IFERROR(INDEX(직원목록!$B$3:$B$202,MATCH($B120,직원목록!$A$3:$A$202,0)),""))</f>
        <v/>
      </c>
      <c r="D120" s="9" t="str">
        <f aca="false">IF($B120="","",IFERROR(INDEX(직원목록!$C$3:$C$202,MATCH($B120,직원목록!$A$3:$A$202,0)),""))</f>
        <v/>
      </c>
      <c r="E120" s="6"/>
      <c r="F120" s="6"/>
      <c r="G120" s="10"/>
      <c r="H120" s="6"/>
      <c r="I120" s="9" t="str">
        <f aca="false">IF($A120="","",TEXT($A120,"yyyy-mm"))</f>
        <v/>
      </c>
    </row>
    <row r="121" customFormat="false" ht="15" hidden="false" customHeight="false" outlineLevel="0" collapsed="false">
      <c r="A121" s="8"/>
      <c r="B121" s="6"/>
      <c r="C121" s="9" t="str">
        <f aca="false">IF($B121="","",IFERROR(INDEX(직원목록!$B$3:$B$202,MATCH($B121,직원목록!$A$3:$A$202,0)),""))</f>
        <v/>
      </c>
      <c r="D121" s="9" t="str">
        <f aca="false">IF($B121="","",IFERROR(INDEX(직원목록!$C$3:$C$202,MATCH($B121,직원목록!$A$3:$A$202,0)),""))</f>
        <v/>
      </c>
      <c r="E121" s="6"/>
      <c r="F121" s="6"/>
      <c r="G121" s="10"/>
      <c r="H121" s="6"/>
      <c r="I121" s="9" t="str">
        <f aca="false">IF($A121="","",TEXT($A121,"yyyy-mm"))</f>
        <v/>
      </c>
    </row>
    <row r="122" customFormat="false" ht="15" hidden="false" customHeight="false" outlineLevel="0" collapsed="false">
      <c r="A122" s="8"/>
      <c r="B122" s="6"/>
      <c r="C122" s="9" t="str">
        <f aca="false">IF($B122="","",IFERROR(INDEX(직원목록!$B$3:$B$202,MATCH($B122,직원목록!$A$3:$A$202,0)),""))</f>
        <v/>
      </c>
      <c r="D122" s="9" t="str">
        <f aca="false">IF($B122="","",IFERROR(INDEX(직원목록!$C$3:$C$202,MATCH($B122,직원목록!$A$3:$A$202,0)),""))</f>
        <v/>
      </c>
      <c r="E122" s="6"/>
      <c r="F122" s="6"/>
      <c r="G122" s="10"/>
      <c r="H122" s="6"/>
      <c r="I122" s="9" t="str">
        <f aca="false">IF($A122="","",TEXT($A122,"yyyy-mm"))</f>
        <v/>
      </c>
    </row>
    <row r="123" customFormat="false" ht="15" hidden="false" customHeight="false" outlineLevel="0" collapsed="false">
      <c r="A123" s="8"/>
      <c r="B123" s="6"/>
      <c r="C123" s="9" t="str">
        <f aca="false">IF($B123="","",IFERROR(INDEX(직원목록!$B$3:$B$202,MATCH($B123,직원목록!$A$3:$A$202,0)),""))</f>
        <v/>
      </c>
      <c r="D123" s="9" t="str">
        <f aca="false">IF($B123="","",IFERROR(INDEX(직원목록!$C$3:$C$202,MATCH($B123,직원목록!$A$3:$A$202,0)),""))</f>
        <v/>
      </c>
      <c r="E123" s="6"/>
      <c r="F123" s="6"/>
      <c r="G123" s="10"/>
      <c r="H123" s="6"/>
      <c r="I123" s="9" t="str">
        <f aca="false">IF($A123="","",TEXT($A123,"yyyy-mm"))</f>
        <v/>
      </c>
    </row>
    <row r="124" customFormat="false" ht="15" hidden="false" customHeight="false" outlineLevel="0" collapsed="false">
      <c r="A124" s="8"/>
      <c r="B124" s="6"/>
      <c r="C124" s="9" t="str">
        <f aca="false">IF($B124="","",IFERROR(INDEX(직원목록!$B$3:$B$202,MATCH($B124,직원목록!$A$3:$A$202,0)),""))</f>
        <v/>
      </c>
      <c r="D124" s="9" t="str">
        <f aca="false">IF($B124="","",IFERROR(INDEX(직원목록!$C$3:$C$202,MATCH($B124,직원목록!$A$3:$A$202,0)),""))</f>
        <v/>
      </c>
      <c r="E124" s="6"/>
      <c r="F124" s="6"/>
      <c r="G124" s="10"/>
      <c r="H124" s="6"/>
      <c r="I124" s="9" t="str">
        <f aca="false">IF($A124="","",TEXT($A124,"yyyy-mm"))</f>
        <v/>
      </c>
    </row>
    <row r="125" customFormat="false" ht="15" hidden="false" customHeight="false" outlineLevel="0" collapsed="false">
      <c r="A125" s="8"/>
      <c r="B125" s="6"/>
      <c r="C125" s="9" t="str">
        <f aca="false">IF($B125="","",IFERROR(INDEX(직원목록!$B$3:$B$202,MATCH($B125,직원목록!$A$3:$A$202,0)),""))</f>
        <v/>
      </c>
      <c r="D125" s="9" t="str">
        <f aca="false">IF($B125="","",IFERROR(INDEX(직원목록!$C$3:$C$202,MATCH($B125,직원목록!$A$3:$A$202,0)),""))</f>
        <v/>
      </c>
      <c r="E125" s="6"/>
      <c r="F125" s="6"/>
      <c r="G125" s="10"/>
      <c r="H125" s="6"/>
      <c r="I125" s="9" t="str">
        <f aca="false">IF($A125="","",TEXT($A125,"yyyy-mm"))</f>
        <v/>
      </c>
    </row>
    <row r="126" customFormat="false" ht="15" hidden="false" customHeight="false" outlineLevel="0" collapsed="false">
      <c r="A126" s="8"/>
      <c r="B126" s="6"/>
      <c r="C126" s="9" t="str">
        <f aca="false">IF($B126="","",IFERROR(INDEX(직원목록!$B$3:$B$202,MATCH($B126,직원목록!$A$3:$A$202,0)),""))</f>
        <v/>
      </c>
      <c r="D126" s="9" t="str">
        <f aca="false">IF($B126="","",IFERROR(INDEX(직원목록!$C$3:$C$202,MATCH($B126,직원목록!$A$3:$A$202,0)),""))</f>
        <v/>
      </c>
      <c r="E126" s="6"/>
      <c r="F126" s="6"/>
      <c r="G126" s="10"/>
      <c r="H126" s="6"/>
      <c r="I126" s="9" t="str">
        <f aca="false">IF($A126="","",TEXT($A126,"yyyy-mm"))</f>
        <v/>
      </c>
    </row>
    <row r="127" customFormat="false" ht="15" hidden="false" customHeight="false" outlineLevel="0" collapsed="false">
      <c r="A127" s="8"/>
      <c r="B127" s="6"/>
      <c r="C127" s="9" t="str">
        <f aca="false">IF($B127="","",IFERROR(INDEX(직원목록!$B$3:$B$202,MATCH($B127,직원목록!$A$3:$A$202,0)),""))</f>
        <v/>
      </c>
      <c r="D127" s="9" t="str">
        <f aca="false">IF($B127="","",IFERROR(INDEX(직원목록!$C$3:$C$202,MATCH($B127,직원목록!$A$3:$A$202,0)),""))</f>
        <v/>
      </c>
      <c r="E127" s="6"/>
      <c r="F127" s="6"/>
      <c r="G127" s="10"/>
      <c r="H127" s="6"/>
      <c r="I127" s="9" t="str">
        <f aca="false">IF($A127="","",TEXT($A127,"yyyy-mm"))</f>
        <v/>
      </c>
    </row>
    <row r="128" customFormat="false" ht="15" hidden="false" customHeight="false" outlineLevel="0" collapsed="false">
      <c r="A128" s="8"/>
      <c r="B128" s="6"/>
      <c r="C128" s="9" t="str">
        <f aca="false">IF($B128="","",IFERROR(INDEX(직원목록!$B$3:$B$202,MATCH($B128,직원목록!$A$3:$A$202,0)),""))</f>
        <v/>
      </c>
      <c r="D128" s="9" t="str">
        <f aca="false">IF($B128="","",IFERROR(INDEX(직원목록!$C$3:$C$202,MATCH($B128,직원목록!$A$3:$A$202,0)),""))</f>
        <v/>
      </c>
      <c r="E128" s="6"/>
      <c r="F128" s="6"/>
      <c r="G128" s="10"/>
      <c r="H128" s="6"/>
      <c r="I128" s="9" t="str">
        <f aca="false">IF($A128="","",TEXT($A128,"yyyy-mm"))</f>
        <v/>
      </c>
    </row>
    <row r="129" customFormat="false" ht="15" hidden="false" customHeight="false" outlineLevel="0" collapsed="false">
      <c r="A129" s="8"/>
      <c r="B129" s="6"/>
      <c r="C129" s="9" t="str">
        <f aca="false">IF($B129="","",IFERROR(INDEX(직원목록!$B$3:$B$202,MATCH($B129,직원목록!$A$3:$A$202,0)),""))</f>
        <v/>
      </c>
      <c r="D129" s="9" t="str">
        <f aca="false">IF($B129="","",IFERROR(INDEX(직원목록!$C$3:$C$202,MATCH($B129,직원목록!$A$3:$A$202,0)),""))</f>
        <v/>
      </c>
      <c r="E129" s="6"/>
      <c r="F129" s="6"/>
      <c r="G129" s="10"/>
      <c r="H129" s="6"/>
      <c r="I129" s="9" t="str">
        <f aca="false">IF($A129="","",TEXT($A129,"yyyy-mm"))</f>
        <v/>
      </c>
    </row>
    <row r="130" customFormat="false" ht="15" hidden="false" customHeight="false" outlineLevel="0" collapsed="false">
      <c r="A130" s="8"/>
      <c r="B130" s="6"/>
      <c r="C130" s="9" t="str">
        <f aca="false">IF($B130="","",IFERROR(INDEX(직원목록!$B$3:$B$202,MATCH($B130,직원목록!$A$3:$A$202,0)),""))</f>
        <v/>
      </c>
      <c r="D130" s="9" t="str">
        <f aca="false">IF($B130="","",IFERROR(INDEX(직원목록!$C$3:$C$202,MATCH($B130,직원목록!$A$3:$A$202,0)),""))</f>
        <v/>
      </c>
      <c r="E130" s="6"/>
      <c r="F130" s="6"/>
      <c r="G130" s="10"/>
      <c r="H130" s="6"/>
      <c r="I130" s="9" t="str">
        <f aca="false">IF($A130="","",TEXT($A130,"yyyy-mm"))</f>
        <v/>
      </c>
    </row>
    <row r="131" customFormat="false" ht="15" hidden="false" customHeight="false" outlineLevel="0" collapsed="false">
      <c r="A131" s="8"/>
      <c r="B131" s="6"/>
      <c r="C131" s="9" t="str">
        <f aca="false">IF($B131="","",IFERROR(INDEX(직원목록!$B$3:$B$202,MATCH($B131,직원목록!$A$3:$A$202,0)),""))</f>
        <v/>
      </c>
      <c r="D131" s="9" t="str">
        <f aca="false">IF($B131="","",IFERROR(INDEX(직원목록!$C$3:$C$202,MATCH($B131,직원목록!$A$3:$A$202,0)),""))</f>
        <v/>
      </c>
      <c r="E131" s="6"/>
      <c r="F131" s="6"/>
      <c r="G131" s="10"/>
      <c r="H131" s="6"/>
      <c r="I131" s="9" t="str">
        <f aca="false">IF($A131="","",TEXT($A131,"yyyy-mm"))</f>
        <v/>
      </c>
    </row>
    <row r="132" customFormat="false" ht="15" hidden="false" customHeight="false" outlineLevel="0" collapsed="false">
      <c r="A132" s="8"/>
      <c r="B132" s="6"/>
      <c r="C132" s="9" t="str">
        <f aca="false">IF($B132="","",IFERROR(INDEX(직원목록!$B$3:$B$202,MATCH($B132,직원목록!$A$3:$A$202,0)),""))</f>
        <v/>
      </c>
      <c r="D132" s="9" t="str">
        <f aca="false">IF($B132="","",IFERROR(INDEX(직원목록!$C$3:$C$202,MATCH($B132,직원목록!$A$3:$A$202,0)),""))</f>
        <v/>
      </c>
      <c r="E132" s="6"/>
      <c r="F132" s="6"/>
      <c r="G132" s="10"/>
      <c r="H132" s="6"/>
      <c r="I132" s="9" t="str">
        <f aca="false">IF($A132="","",TEXT($A132,"yyyy-mm"))</f>
        <v/>
      </c>
    </row>
    <row r="133" customFormat="false" ht="15" hidden="false" customHeight="false" outlineLevel="0" collapsed="false">
      <c r="A133" s="8"/>
      <c r="B133" s="6"/>
      <c r="C133" s="9" t="str">
        <f aca="false">IF($B133="","",IFERROR(INDEX(직원목록!$B$3:$B$202,MATCH($B133,직원목록!$A$3:$A$202,0)),""))</f>
        <v/>
      </c>
      <c r="D133" s="9" t="str">
        <f aca="false">IF($B133="","",IFERROR(INDEX(직원목록!$C$3:$C$202,MATCH($B133,직원목록!$A$3:$A$202,0)),""))</f>
        <v/>
      </c>
      <c r="E133" s="6"/>
      <c r="F133" s="6"/>
      <c r="G133" s="10"/>
      <c r="H133" s="6"/>
      <c r="I133" s="9" t="str">
        <f aca="false">IF($A133="","",TEXT($A133,"yyyy-mm"))</f>
        <v/>
      </c>
    </row>
    <row r="134" customFormat="false" ht="15" hidden="false" customHeight="false" outlineLevel="0" collapsed="false">
      <c r="A134" s="8"/>
      <c r="B134" s="6"/>
      <c r="C134" s="9" t="str">
        <f aca="false">IF($B134="","",IFERROR(INDEX(직원목록!$B$3:$B$202,MATCH($B134,직원목록!$A$3:$A$202,0)),""))</f>
        <v/>
      </c>
      <c r="D134" s="9" t="str">
        <f aca="false">IF($B134="","",IFERROR(INDEX(직원목록!$C$3:$C$202,MATCH($B134,직원목록!$A$3:$A$202,0)),""))</f>
        <v/>
      </c>
      <c r="E134" s="6"/>
      <c r="F134" s="6"/>
      <c r="G134" s="10"/>
      <c r="H134" s="6"/>
      <c r="I134" s="9" t="str">
        <f aca="false">IF($A134="","",TEXT($A134,"yyyy-mm"))</f>
        <v/>
      </c>
    </row>
    <row r="135" customFormat="false" ht="15" hidden="false" customHeight="false" outlineLevel="0" collapsed="false">
      <c r="A135" s="8"/>
      <c r="B135" s="6"/>
      <c r="C135" s="9" t="str">
        <f aca="false">IF($B135="","",IFERROR(INDEX(직원목록!$B$3:$B$202,MATCH($B135,직원목록!$A$3:$A$202,0)),""))</f>
        <v/>
      </c>
      <c r="D135" s="9" t="str">
        <f aca="false">IF($B135="","",IFERROR(INDEX(직원목록!$C$3:$C$202,MATCH($B135,직원목록!$A$3:$A$202,0)),""))</f>
        <v/>
      </c>
      <c r="E135" s="6"/>
      <c r="F135" s="6"/>
      <c r="G135" s="10"/>
      <c r="H135" s="6"/>
      <c r="I135" s="9" t="str">
        <f aca="false">IF($A135="","",TEXT($A135,"yyyy-mm"))</f>
        <v/>
      </c>
    </row>
    <row r="136" customFormat="false" ht="15" hidden="false" customHeight="false" outlineLevel="0" collapsed="false">
      <c r="A136" s="8"/>
      <c r="B136" s="6"/>
      <c r="C136" s="9" t="str">
        <f aca="false">IF($B136="","",IFERROR(INDEX(직원목록!$B$3:$B$202,MATCH($B136,직원목록!$A$3:$A$202,0)),""))</f>
        <v/>
      </c>
      <c r="D136" s="9" t="str">
        <f aca="false">IF($B136="","",IFERROR(INDEX(직원목록!$C$3:$C$202,MATCH($B136,직원목록!$A$3:$A$202,0)),""))</f>
        <v/>
      </c>
      <c r="E136" s="6"/>
      <c r="F136" s="6"/>
      <c r="G136" s="10"/>
      <c r="H136" s="6"/>
      <c r="I136" s="9" t="str">
        <f aca="false">IF($A136="","",TEXT($A136,"yyyy-mm"))</f>
        <v/>
      </c>
    </row>
    <row r="137" customFormat="false" ht="15" hidden="false" customHeight="false" outlineLevel="0" collapsed="false">
      <c r="A137" s="8"/>
      <c r="B137" s="6"/>
      <c r="C137" s="9" t="str">
        <f aca="false">IF($B137="","",IFERROR(INDEX(직원목록!$B$3:$B$202,MATCH($B137,직원목록!$A$3:$A$202,0)),""))</f>
        <v/>
      </c>
      <c r="D137" s="9" t="str">
        <f aca="false">IF($B137="","",IFERROR(INDEX(직원목록!$C$3:$C$202,MATCH($B137,직원목록!$A$3:$A$202,0)),""))</f>
        <v/>
      </c>
      <c r="E137" s="6"/>
      <c r="F137" s="6"/>
      <c r="G137" s="10"/>
      <c r="H137" s="6"/>
      <c r="I137" s="9" t="str">
        <f aca="false">IF($A137="","",TEXT($A137,"yyyy-mm"))</f>
        <v/>
      </c>
    </row>
    <row r="138" customFormat="false" ht="15" hidden="false" customHeight="false" outlineLevel="0" collapsed="false">
      <c r="A138" s="8"/>
      <c r="B138" s="6"/>
      <c r="C138" s="9" t="str">
        <f aca="false">IF($B138="","",IFERROR(INDEX(직원목록!$B$3:$B$202,MATCH($B138,직원목록!$A$3:$A$202,0)),""))</f>
        <v/>
      </c>
      <c r="D138" s="9" t="str">
        <f aca="false">IF($B138="","",IFERROR(INDEX(직원목록!$C$3:$C$202,MATCH($B138,직원목록!$A$3:$A$202,0)),""))</f>
        <v/>
      </c>
      <c r="E138" s="6"/>
      <c r="F138" s="6"/>
      <c r="G138" s="10"/>
      <c r="H138" s="6"/>
      <c r="I138" s="9" t="str">
        <f aca="false">IF($A138="","",TEXT($A138,"yyyy-mm"))</f>
        <v/>
      </c>
    </row>
    <row r="139" customFormat="false" ht="15" hidden="false" customHeight="false" outlineLevel="0" collapsed="false">
      <c r="A139" s="8"/>
      <c r="B139" s="6"/>
      <c r="C139" s="9" t="str">
        <f aca="false">IF($B139="","",IFERROR(INDEX(직원목록!$B$3:$B$202,MATCH($B139,직원목록!$A$3:$A$202,0)),""))</f>
        <v/>
      </c>
      <c r="D139" s="9" t="str">
        <f aca="false">IF($B139="","",IFERROR(INDEX(직원목록!$C$3:$C$202,MATCH($B139,직원목록!$A$3:$A$202,0)),""))</f>
        <v/>
      </c>
      <c r="E139" s="6"/>
      <c r="F139" s="6"/>
      <c r="G139" s="10"/>
      <c r="H139" s="6"/>
      <c r="I139" s="9" t="str">
        <f aca="false">IF($A139="","",TEXT($A139,"yyyy-mm"))</f>
        <v/>
      </c>
    </row>
    <row r="140" customFormat="false" ht="15" hidden="false" customHeight="false" outlineLevel="0" collapsed="false">
      <c r="A140" s="8"/>
      <c r="B140" s="6"/>
      <c r="C140" s="9" t="str">
        <f aca="false">IF($B140="","",IFERROR(INDEX(직원목록!$B$3:$B$202,MATCH($B140,직원목록!$A$3:$A$202,0)),""))</f>
        <v/>
      </c>
      <c r="D140" s="9" t="str">
        <f aca="false">IF($B140="","",IFERROR(INDEX(직원목록!$C$3:$C$202,MATCH($B140,직원목록!$A$3:$A$202,0)),""))</f>
        <v/>
      </c>
      <c r="E140" s="6"/>
      <c r="F140" s="6"/>
      <c r="G140" s="10"/>
      <c r="H140" s="6"/>
      <c r="I140" s="9" t="str">
        <f aca="false">IF($A140="","",TEXT($A140,"yyyy-mm"))</f>
        <v/>
      </c>
    </row>
    <row r="141" customFormat="false" ht="15" hidden="false" customHeight="false" outlineLevel="0" collapsed="false">
      <c r="A141" s="8"/>
      <c r="B141" s="6"/>
      <c r="C141" s="9" t="str">
        <f aca="false">IF($B141="","",IFERROR(INDEX(직원목록!$B$3:$B$202,MATCH($B141,직원목록!$A$3:$A$202,0)),""))</f>
        <v/>
      </c>
      <c r="D141" s="9" t="str">
        <f aca="false">IF($B141="","",IFERROR(INDEX(직원목록!$C$3:$C$202,MATCH($B141,직원목록!$A$3:$A$202,0)),""))</f>
        <v/>
      </c>
      <c r="E141" s="6"/>
      <c r="F141" s="6"/>
      <c r="G141" s="10"/>
      <c r="H141" s="6"/>
      <c r="I141" s="9" t="str">
        <f aca="false">IF($A141="","",TEXT($A141,"yyyy-mm"))</f>
        <v/>
      </c>
    </row>
    <row r="142" customFormat="false" ht="15" hidden="false" customHeight="false" outlineLevel="0" collapsed="false">
      <c r="A142" s="8"/>
      <c r="B142" s="6"/>
      <c r="C142" s="9" t="str">
        <f aca="false">IF($B142="","",IFERROR(INDEX(직원목록!$B$3:$B$202,MATCH($B142,직원목록!$A$3:$A$202,0)),""))</f>
        <v/>
      </c>
      <c r="D142" s="9" t="str">
        <f aca="false">IF($B142="","",IFERROR(INDEX(직원목록!$C$3:$C$202,MATCH($B142,직원목록!$A$3:$A$202,0)),""))</f>
        <v/>
      </c>
      <c r="E142" s="6"/>
      <c r="F142" s="6"/>
      <c r="G142" s="10"/>
      <c r="H142" s="6"/>
      <c r="I142" s="9" t="str">
        <f aca="false">IF($A142="","",TEXT($A142,"yyyy-mm"))</f>
        <v/>
      </c>
    </row>
    <row r="143" customFormat="false" ht="15" hidden="false" customHeight="false" outlineLevel="0" collapsed="false">
      <c r="A143" s="8"/>
      <c r="B143" s="6"/>
      <c r="C143" s="9" t="str">
        <f aca="false">IF($B143="","",IFERROR(INDEX(직원목록!$B$3:$B$202,MATCH($B143,직원목록!$A$3:$A$202,0)),""))</f>
        <v/>
      </c>
      <c r="D143" s="9" t="str">
        <f aca="false">IF($B143="","",IFERROR(INDEX(직원목록!$C$3:$C$202,MATCH($B143,직원목록!$A$3:$A$202,0)),""))</f>
        <v/>
      </c>
      <c r="E143" s="6"/>
      <c r="F143" s="6"/>
      <c r="G143" s="10"/>
      <c r="H143" s="6"/>
      <c r="I143" s="9" t="str">
        <f aca="false">IF($A143="","",TEXT($A143,"yyyy-mm"))</f>
        <v/>
      </c>
    </row>
    <row r="144" customFormat="false" ht="15" hidden="false" customHeight="false" outlineLevel="0" collapsed="false">
      <c r="A144" s="8"/>
      <c r="B144" s="6"/>
      <c r="C144" s="9" t="str">
        <f aca="false">IF($B144="","",IFERROR(INDEX(직원목록!$B$3:$B$202,MATCH($B144,직원목록!$A$3:$A$202,0)),""))</f>
        <v/>
      </c>
      <c r="D144" s="9" t="str">
        <f aca="false">IF($B144="","",IFERROR(INDEX(직원목록!$C$3:$C$202,MATCH($B144,직원목록!$A$3:$A$202,0)),""))</f>
        <v/>
      </c>
      <c r="E144" s="6"/>
      <c r="F144" s="6"/>
      <c r="G144" s="10"/>
      <c r="H144" s="6"/>
      <c r="I144" s="9" t="str">
        <f aca="false">IF($A144="","",TEXT($A144,"yyyy-mm"))</f>
        <v/>
      </c>
    </row>
    <row r="145" customFormat="false" ht="15" hidden="false" customHeight="false" outlineLevel="0" collapsed="false">
      <c r="A145" s="8"/>
      <c r="B145" s="6"/>
      <c r="C145" s="9" t="str">
        <f aca="false">IF($B145="","",IFERROR(INDEX(직원목록!$B$3:$B$202,MATCH($B145,직원목록!$A$3:$A$202,0)),""))</f>
        <v/>
      </c>
      <c r="D145" s="9" t="str">
        <f aca="false">IF($B145="","",IFERROR(INDEX(직원목록!$C$3:$C$202,MATCH($B145,직원목록!$A$3:$A$202,0)),""))</f>
        <v/>
      </c>
      <c r="E145" s="6"/>
      <c r="F145" s="6"/>
      <c r="G145" s="10"/>
      <c r="H145" s="6"/>
      <c r="I145" s="9" t="str">
        <f aca="false">IF($A145="","",TEXT($A145,"yyyy-mm"))</f>
        <v/>
      </c>
    </row>
    <row r="146" customFormat="false" ht="15" hidden="false" customHeight="false" outlineLevel="0" collapsed="false">
      <c r="A146" s="8"/>
      <c r="B146" s="6"/>
      <c r="C146" s="9" t="str">
        <f aca="false">IF($B146="","",IFERROR(INDEX(직원목록!$B$3:$B$202,MATCH($B146,직원목록!$A$3:$A$202,0)),""))</f>
        <v/>
      </c>
      <c r="D146" s="9" t="str">
        <f aca="false">IF($B146="","",IFERROR(INDEX(직원목록!$C$3:$C$202,MATCH($B146,직원목록!$A$3:$A$202,0)),""))</f>
        <v/>
      </c>
      <c r="E146" s="6"/>
      <c r="F146" s="6"/>
      <c r="G146" s="10"/>
      <c r="H146" s="6"/>
      <c r="I146" s="9" t="str">
        <f aca="false">IF($A146="","",TEXT($A146,"yyyy-mm"))</f>
        <v/>
      </c>
    </row>
    <row r="147" customFormat="false" ht="15" hidden="false" customHeight="false" outlineLevel="0" collapsed="false">
      <c r="A147" s="8"/>
      <c r="B147" s="6"/>
      <c r="C147" s="9" t="str">
        <f aca="false">IF($B147="","",IFERROR(INDEX(직원목록!$B$3:$B$202,MATCH($B147,직원목록!$A$3:$A$202,0)),""))</f>
        <v/>
      </c>
      <c r="D147" s="9" t="str">
        <f aca="false">IF($B147="","",IFERROR(INDEX(직원목록!$C$3:$C$202,MATCH($B147,직원목록!$A$3:$A$202,0)),""))</f>
        <v/>
      </c>
      <c r="E147" s="6"/>
      <c r="F147" s="6"/>
      <c r="G147" s="10"/>
      <c r="H147" s="6"/>
      <c r="I147" s="9" t="str">
        <f aca="false">IF($A147="","",TEXT($A147,"yyyy-mm"))</f>
        <v/>
      </c>
    </row>
    <row r="148" customFormat="false" ht="15" hidden="false" customHeight="false" outlineLevel="0" collapsed="false">
      <c r="A148" s="8"/>
      <c r="B148" s="6"/>
      <c r="C148" s="9" t="str">
        <f aca="false">IF($B148="","",IFERROR(INDEX(직원목록!$B$3:$B$202,MATCH($B148,직원목록!$A$3:$A$202,0)),""))</f>
        <v/>
      </c>
      <c r="D148" s="9" t="str">
        <f aca="false">IF($B148="","",IFERROR(INDEX(직원목록!$C$3:$C$202,MATCH($B148,직원목록!$A$3:$A$202,0)),""))</f>
        <v/>
      </c>
      <c r="E148" s="6"/>
      <c r="F148" s="6"/>
      <c r="G148" s="10"/>
      <c r="H148" s="6"/>
      <c r="I148" s="9" t="str">
        <f aca="false">IF($A148="","",TEXT($A148,"yyyy-mm"))</f>
        <v/>
      </c>
    </row>
    <row r="149" customFormat="false" ht="15" hidden="false" customHeight="false" outlineLevel="0" collapsed="false">
      <c r="A149" s="8"/>
      <c r="B149" s="6"/>
      <c r="C149" s="9" t="str">
        <f aca="false">IF($B149="","",IFERROR(INDEX(직원목록!$B$3:$B$202,MATCH($B149,직원목록!$A$3:$A$202,0)),""))</f>
        <v/>
      </c>
      <c r="D149" s="9" t="str">
        <f aca="false">IF($B149="","",IFERROR(INDEX(직원목록!$C$3:$C$202,MATCH($B149,직원목록!$A$3:$A$202,0)),""))</f>
        <v/>
      </c>
      <c r="E149" s="6"/>
      <c r="F149" s="6"/>
      <c r="G149" s="10"/>
      <c r="H149" s="6"/>
      <c r="I149" s="9" t="str">
        <f aca="false">IF($A149="","",TEXT($A149,"yyyy-mm"))</f>
        <v/>
      </c>
    </row>
    <row r="150" customFormat="false" ht="15" hidden="false" customHeight="false" outlineLevel="0" collapsed="false">
      <c r="A150" s="8"/>
      <c r="B150" s="6"/>
      <c r="C150" s="9" t="str">
        <f aca="false">IF($B150="","",IFERROR(INDEX(직원목록!$B$3:$B$202,MATCH($B150,직원목록!$A$3:$A$202,0)),""))</f>
        <v/>
      </c>
      <c r="D150" s="9" t="str">
        <f aca="false">IF($B150="","",IFERROR(INDEX(직원목록!$C$3:$C$202,MATCH($B150,직원목록!$A$3:$A$202,0)),""))</f>
        <v/>
      </c>
      <c r="E150" s="6"/>
      <c r="F150" s="6"/>
      <c r="G150" s="10"/>
      <c r="H150" s="6"/>
      <c r="I150" s="9" t="str">
        <f aca="false">IF($A150="","",TEXT($A150,"yyyy-mm"))</f>
        <v/>
      </c>
    </row>
    <row r="151" customFormat="false" ht="15" hidden="false" customHeight="false" outlineLevel="0" collapsed="false">
      <c r="A151" s="8"/>
      <c r="B151" s="6"/>
      <c r="C151" s="9" t="str">
        <f aca="false">IF($B151="","",IFERROR(INDEX(직원목록!$B$3:$B$202,MATCH($B151,직원목록!$A$3:$A$202,0)),""))</f>
        <v/>
      </c>
      <c r="D151" s="9" t="str">
        <f aca="false">IF($B151="","",IFERROR(INDEX(직원목록!$C$3:$C$202,MATCH($B151,직원목록!$A$3:$A$202,0)),""))</f>
        <v/>
      </c>
      <c r="E151" s="6"/>
      <c r="F151" s="6"/>
      <c r="G151" s="10"/>
      <c r="H151" s="6"/>
      <c r="I151" s="9" t="str">
        <f aca="false">IF($A151="","",TEXT($A151,"yyyy-mm"))</f>
        <v/>
      </c>
    </row>
    <row r="152" customFormat="false" ht="15" hidden="false" customHeight="false" outlineLevel="0" collapsed="false">
      <c r="A152" s="8"/>
      <c r="B152" s="6"/>
      <c r="C152" s="9" t="str">
        <f aca="false">IF($B152="","",IFERROR(INDEX(직원목록!$B$3:$B$202,MATCH($B152,직원목록!$A$3:$A$202,0)),""))</f>
        <v/>
      </c>
      <c r="D152" s="9" t="str">
        <f aca="false">IF($B152="","",IFERROR(INDEX(직원목록!$C$3:$C$202,MATCH($B152,직원목록!$A$3:$A$202,0)),""))</f>
        <v/>
      </c>
      <c r="E152" s="6"/>
      <c r="F152" s="6"/>
      <c r="G152" s="10"/>
      <c r="H152" s="6"/>
      <c r="I152" s="9" t="str">
        <f aca="false">IF($A152="","",TEXT($A152,"yyyy-mm"))</f>
        <v/>
      </c>
    </row>
    <row r="153" customFormat="false" ht="15" hidden="false" customHeight="false" outlineLevel="0" collapsed="false">
      <c r="A153" s="8"/>
      <c r="B153" s="6"/>
      <c r="C153" s="9" t="str">
        <f aca="false">IF($B153="","",IFERROR(INDEX(직원목록!$B$3:$B$202,MATCH($B153,직원목록!$A$3:$A$202,0)),""))</f>
        <v/>
      </c>
      <c r="D153" s="9" t="str">
        <f aca="false">IF($B153="","",IFERROR(INDEX(직원목록!$C$3:$C$202,MATCH($B153,직원목록!$A$3:$A$202,0)),""))</f>
        <v/>
      </c>
      <c r="E153" s="6"/>
      <c r="F153" s="6"/>
      <c r="G153" s="10"/>
      <c r="H153" s="6"/>
      <c r="I153" s="9" t="str">
        <f aca="false">IF($A153="","",TEXT($A153,"yyyy-mm"))</f>
        <v/>
      </c>
    </row>
    <row r="154" customFormat="false" ht="15" hidden="false" customHeight="false" outlineLevel="0" collapsed="false">
      <c r="A154" s="8"/>
      <c r="B154" s="6"/>
      <c r="C154" s="9" t="str">
        <f aca="false">IF($B154="","",IFERROR(INDEX(직원목록!$B$3:$B$202,MATCH($B154,직원목록!$A$3:$A$202,0)),""))</f>
        <v/>
      </c>
      <c r="D154" s="9" t="str">
        <f aca="false">IF($B154="","",IFERROR(INDEX(직원목록!$C$3:$C$202,MATCH($B154,직원목록!$A$3:$A$202,0)),""))</f>
        <v/>
      </c>
      <c r="E154" s="6"/>
      <c r="F154" s="6"/>
      <c r="G154" s="10"/>
      <c r="H154" s="6"/>
      <c r="I154" s="9" t="str">
        <f aca="false">IF($A154="","",TEXT($A154,"yyyy-mm"))</f>
        <v/>
      </c>
    </row>
    <row r="155" customFormat="false" ht="15" hidden="false" customHeight="false" outlineLevel="0" collapsed="false">
      <c r="A155" s="8"/>
      <c r="B155" s="6"/>
      <c r="C155" s="9" t="str">
        <f aca="false">IF($B155="","",IFERROR(INDEX(직원목록!$B$3:$B$202,MATCH($B155,직원목록!$A$3:$A$202,0)),""))</f>
        <v/>
      </c>
      <c r="D155" s="9" t="str">
        <f aca="false">IF($B155="","",IFERROR(INDEX(직원목록!$C$3:$C$202,MATCH($B155,직원목록!$A$3:$A$202,0)),""))</f>
        <v/>
      </c>
      <c r="E155" s="6"/>
      <c r="F155" s="6"/>
      <c r="G155" s="10"/>
      <c r="H155" s="6"/>
      <c r="I155" s="9" t="str">
        <f aca="false">IF($A155="","",TEXT($A155,"yyyy-mm"))</f>
        <v/>
      </c>
    </row>
    <row r="156" customFormat="false" ht="15" hidden="false" customHeight="false" outlineLevel="0" collapsed="false">
      <c r="A156" s="8"/>
      <c r="B156" s="6"/>
      <c r="C156" s="9" t="str">
        <f aca="false">IF($B156="","",IFERROR(INDEX(직원목록!$B$3:$B$202,MATCH($B156,직원목록!$A$3:$A$202,0)),""))</f>
        <v/>
      </c>
      <c r="D156" s="9" t="str">
        <f aca="false">IF($B156="","",IFERROR(INDEX(직원목록!$C$3:$C$202,MATCH($B156,직원목록!$A$3:$A$202,0)),""))</f>
        <v/>
      </c>
      <c r="E156" s="6"/>
      <c r="F156" s="6"/>
      <c r="G156" s="10"/>
      <c r="H156" s="6"/>
      <c r="I156" s="9" t="str">
        <f aca="false">IF($A156="","",TEXT($A156,"yyyy-mm"))</f>
        <v/>
      </c>
    </row>
    <row r="157" customFormat="false" ht="15" hidden="false" customHeight="false" outlineLevel="0" collapsed="false">
      <c r="A157" s="8"/>
      <c r="B157" s="6"/>
      <c r="C157" s="9" t="str">
        <f aca="false">IF($B157="","",IFERROR(INDEX(직원목록!$B$3:$B$202,MATCH($B157,직원목록!$A$3:$A$202,0)),""))</f>
        <v/>
      </c>
      <c r="D157" s="9" t="str">
        <f aca="false">IF($B157="","",IFERROR(INDEX(직원목록!$C$3:$C$202,MATCH($B157,직원목록!$A$3:$A$202,0)),""))</f>
        <v/>
      </c>
      <c r="E157" s="6"/>
      <c r="F157" s="6"/>
      <c r="G157" s="10"/>
      <c r="H157" s="6"/>
      <c r="I157" s="9" t="str">
        <f aca="false">IF($A157="","",TEXT($A157,"yyyy-mm"))</f>
        <v/>
      </c>
    </row>
    <row r="158" customFormat="false" ht="15" hidden="false" customHeight="false" outlineLevel="0" collapsed="false">
      <c r="A158" s="8"/>
      <c r="B158" s="6"/>
      <c r="C158" s="9" t="str">
        <f aca="false">IF($B158="","",IFERROR(INDEX(직원목록!$B$3:$B$202,MATCH($B158,직원목록!$A$3:$A$202,0)),""))</f>
        <v/>
      </c>
      <c r="D158" s="9" t="str">
        <f aca="false">IF($B158="","",IFERROR(INDEX(직원목록!$C$3:$C$202,MATCH($B158,직원목록!$A$3:$A$202,0)),""))</f>
        <v/>
      </c>
      <c r="E158" s="6"/>
      <c r="F158" s="6"/>
      <c r="G158" s="10"/>
      <c r="H158" s="6"/>
      <c r="I158" s="9" t="str">
        <f aca="false">IF($A158="","",TEXT($A158,"yyyy-mm"))</f>
        <v/>
      </c>
    </row>
    <row r="159" customFormat="false" ht="15" hidden="false" customHeight="false" outlineLevel="0" collapsed="false">
      <c r="A159" s="8"/>
      <c r="B159" s="6"/>
      <c r="C159" s="9" t="str">
        <f aca="false">IF($B159="","",IFERROR(INDEX(직원목록!$B$3:$B$202,MATCH($B159,직원목록!$A$3:$A$202,0)),""))</f>
        <v/>
      </c>
      <c r="D159" s="9" t="str">
        <f aca="false">IF($B159="","",IFERROR(INDEX(직원목록!$C$3:$C$202,MATCH($B159,직원목록!$A$3:$A$202,0)),""))</f>
        <v/>
      </c>
      <c r="E159" s="6"/>
      <c r="F159" s="6"/>
      <c r="G159" s="10"/>
      <c r="H159" s="6"/>
      <c r="I159" s="9" t="str">
        <f aca="false">IF($A159="","",TEXT($A159,"yyyy-mm"))</f>
        <v/>
      </c>
    </row>
    <row r="160" customFormat="false" ht="15" hidden="false" customHeight="false" outlineLevel="0" collapsed="false">
      <c r="A160" s="8"/>
      <c r="B160" s="6"/>
      <c r="C160" s="9" t="str">
        <f aca="false">IF($B160="","",IFERROR(INDEX(직원목록!$B$3:$B$202,MATCH($B160,직원목록!$A$3:$A$202,0)),""))</f>
        <v/>
      </c>
      <c r="D160" s="9" t="str">
        <f aca="false">IF($B160="","",IFERROR(INDEX(직원목록!$C$3:$C$202,MATCH($B160,직원목록!$A$3:$A$202,0)),""))</f>
        <v/>
      </c>
      <c r="E160" s="6"/>
      <c r="F160" s="6"/>
      <c r="G160" s="10"/>
      <c r="H160" s="6"/>
      <c r="I160" s="9" t="str">
        <f aca="false">IF($A160="","",TEXT($A160,"yyyy-mm"))</f>
        <v/>
      </c>
    </row>
    <row r="161" customFormat="false" ht="15" hidden="false" customHeight="false" outlineLevel="0" collapsed="false">
      <c r="A161" s="8"/>
      <c r="B161" s="6"/>
      <c r="C161" s="9" t="str">
        <f aca="false">IF($B161="","",IFERROR(INDEX(직원목록!$B$3:$B$202,MATCH($B161,직원목록!$A$3:$A$202,0)),""))</f>
        <v/>
      </c>
      <c r="D161" s="9" t="str">
        <f aca="false">IF($B161="","",IFERROR(INDEX(직원목록!$C$3:$C$202,MATCH($B161,직원목록!$A$3:$A$202,0)),""))</f>
        <v/>
      </c>
      <c r="E161" s="6"/>
      <c r="F161" s="6"/>
      <c r="G161" s="10"/>
      <c r="H161" s="6"/>
      <c r="I161" s="9" t="str">
        <f aca="false">IF($A161="","",TEXT($A161,"yyyy-mm"))</f>
        <v/>
      </c>
    </row>
    <row r="162" customFormat="false" ht="15" hidden="false" customHeight="false" outlineLevel="0" collapsed="false">
      <c r="A162" s="8"/>
      <c r="B162" s="6"/>
      <c r="C162" s="9" t="str">
        <f aca="false">IF($B162="","",IFERROR(INDEX(직원목록!$B$3:$B$202,MATCH($B162,직원목록!$A$3:$A$202,0)),""))</f>
        <v/>
      </c>
      <c r="D162" s="9" t="str">
        <f aca="false">IF($B162="","",IFERROR(INDEX(직원목록!$C$3:$C$202,MATCH($B162,직원목록!$A$3:$A$202,0)),""))</f>
        <v/>
      </c>
      <c r="E162" s="6"/>
      <c r="F162" s="6"/>
      <c r="G162" s="10"/>
      <c r="H162" s="6"/>
      <c r="I162" s="9" t="str">
        <f aca="false">IF($A162="","",TEXT($A162,"yyyy-mm"))</f>
        <v/>
      </c>
    </row>
    <row r="163" customFormat="false" ht="15" hidden="false" customHeight="false" outlineLevel="0" collapsed="false">
      <c r="A163" s="8"/>
      <c r="B163" s="6"/>
      <c r="C163" s="9" t="str">
        <f aca="false">IF($B163="","",IFERROR(INDEX(직원목록!$B$3:$B$202,MATCH($B163,직원목록!$A$3:$A$202,0)),""))</f>
        <v/>
      </c>
      <c r="D163" s="9" t="str">
        <f aca="false">IF($B163="","",IFERROR(INDEX(직원목록!$C$3:$C$202,MATCH($B163,직원목록!$A$3:$A$202,0)),""))</f>
        <v/>
      </c>
      <c r="E163" s="6"/>
      <c r="F163" s="6"/>
      <c r="G163" s="10"/>
      <c r="H163" s="6"/>
      <c r="I163" s="9" t="str">
        <f aca="false">IF($A163="","",TEXT($A163,"yyyy-mm"))</f>
        <v/>
      </c>
    </row>
    <row r="164" customFormat="false" ht="15" hidden="false" customHeight="false" outlineLevel="0" collapsed="false">
      <c r="A164" s="8"/>
      <c r="B164" s="6"/>
      <c r="C164" s="9" t="str">
        <f aca="false">IF($B164="","",IFERROR(INDEX(직원목록!$B$3:$B$202,MATCH($B164,직원목록!$A$3:$A$202,0)),""))</f>
        <v/>
      </c>
      <c r="D164" s="9" t="str">
        <f aca="false">IF($B164="","",IFERROR(INDEX(직원목록!$C$3:$C$202,MATCH($B164,직원목록!$A$3:$A$202,0)),""))</f>
        <v/>
      </c>
      <c r="E164" s="6"/>
      <c r="F164" s="6"/>
      <c r="G164" s="10"/>
      <c r="H164" s="6"/>
      <c r="I164" s="9" t="str">
        <f aca="false">IF($A164="","",TEXT($A164,"yyyy-mm"))</f>
        <v/>
      </c>
    </row>
    <row r="165" customFormat="false" ht="15" hidden="false" customHeight="false" outlineLevel="0" collapsed="false">
      <c r="A165" s="8"/>
      <c r="B165" s="6"/>
      <c r="C165" s="9" t="str">
        <f aca="false">IF($B165="","",IFERROR(INDEX(직원목록!$B$3:$B$202,MATCH($B165,직원목록!$A$3:$A$202,0)),""))</f>
        <v/>
      </c>
      <c r="D165" s="9" t="str">
        <f aca="false">IF($B165="","",IFERROR(INDEX(직원목록!$C$3:$C$202,MATCH($B165,직원목록!$A$3:$A$202,0)),""))</f>
        <v/>
      </c>
      <c r="E165" s="6"/>
      <c r="F165" s="6"/>
      <c r="G165" s="10"/>
      <c r="H165" s="6"/>
      <c r="I165" s="9" t="str">
        <f aca="false">IF($A165="","",TEXT($A165,"yyyy-mm"))</f>
        <v/>
      </c>
    </row>
    <row r="166" customFormat="false" ht="15" hidden="false" customHeight="false" outlineLevel="0" collapsed="false">
      <c r="A166" s="8"/>
      <c r="B166" s="6"/>
      <c r="C166" s="9" t="str">
        <f aca="false">IF($B166="","",IFERROR(INDEX(직원목록!$B$3:$B$202,MATCH($B166,직원목록!$A$3:$A$202,0)),""))</f>
        <v/>
      </c>
      <c r="D166" s="9" t="str">
        <f aca="false">IF($B166="","",IFERROR(INDEX(직원목록!$C$3:$C$202,MATCH($B166,직원목록!$A$3:$A$202,0)),""))</f>
        <v/>
      </c>
      <c r="E166" s="6"/>
      <c r="F166" s="6"/>
      <c r="G166" s="10"/>
      <c r="H166" s="6"/>
      <c r="I166" s="9" t="str">
        <f aca="false">IF($A166="","",TEXT($A166,"yyyy-mm"))</f>
        <v/>
      </c>
    </row>
    <row r="167" customFormat="false" ht="15" hidden="false" customHeight="false" outlineLevel="0" collapsed="false">
      <c r="A167" s="8"/>
      <c r="B167" s="6"/>
      <c r="C167" s="9" t="str">
        <f aca="false">IF($B167="","",IFERROR(INDEX(직원목록!$B$3:$B$202,MATCH($B167,직원목록!$A$3:$A$202,0)),""))</f>
        <v/>
      </c>
      <c r="D167" s="9" t="str">
        <f aca="false">IF($B167="","",IFERROR(INDEX(직원목록!$C$3:$C$202,MATCH($B167,직원목록!$A$3:$A$202,0)),""))</f>
        <v/>
      </c>
      <c r="E167" s="6"/>
      <c r="F167" s="6"/>
      <c r="G167" s="10"/>
      <c r="H167" s="6"/>
      <c r="I167" s="9" t="str">
        <f aca="false">IF($A167="","",TEXT($A167,"yyyy-mm"))</f>
        <v/>
      </c>
    </row>
    <row r="168" customFormat="false" ht="15" hidden="false" customHeight="false" outlineLevel="0" collapsed="false">
      <c r="A168" s="8"/>
      <c r="B168" s="6"/>
      <c r="C168" s="9" t="str">
        <f aca="false">IF($B168="","",IFERROR(INDEX(직원목록!$B$3:$B$202,MATCH($B168,직원목록!$A$3:$A$202,0)),""))</f>
        <v/>
      </c>
      <c r="D168" s="9" t="str">
        <f aca="false">IF($B168="","",IFERROR(INDEX(직원목록!$C$3:$C$202,MATCH($B168,직원목록!$A$3:$A$202,0)),""))</f>
        <v/>
      </c>
      <c r="E168" s="6"/>
      <c r="F168" s="6"/>
      <c r="G168" s="10"/>
      <c r="H168" s="6"/>
      <c r="I168" s="9" t="str">
        <f aca="false">IF($A168="","",TEXT($A168,"yyyy-mm"))</f>
        <v/>
      </c>
    </row>
    <row r="169" customFormat="false" ht="15" hidden="false" customHeight="false" outlineLevel="0" collapsed="false">
      <c r="A169" s="8"/>
      <c r="B169" s="6"/>
      <c r="C169" s="9" t="str">
        <f aca="false">IF($B169="","",IFERROR(INDEX(직원목록!$B$3:$B$202,MATCH($B169,직원목록!$A$3:$A$202,0)),""))</f>
        <v/>
      </c>
      <c r="D169" s="9" t="str">
        <f aca="false">IF($B169="","",IFERROR(INDEX(직원목록!$C$3:$C$202,MATCH($B169,직원목록!$A$3:$A$202,0)),""))</f>
        <v/>
      </c>
      <c r="E169" s="6"/>
      <c r="F169" s="6"/>
      <c r="G169" s="10"/>
      <c r="H169" s="6"/>
      <c r="I169" s="9" t="str">
        <f aca="false">IF($A169="","",TEXT($A169,"yyyy-mm"))</f>
        <v/>
      </c>
    </row>
    <row r="170" customFormat="false" ht="15" hidden="false" customHeight="false" outlineLevel="0" collapsed="false">
      <c r="A170" s="8"/>
      <c r="B170" s="6"/>
      <c r="C170" s="9" t="str">
        <f aca="false">IF($B170="","",IFERROR(INDEX(직원목록!$B$3:$B$202,MATCH($B170,직원목록!$A$3:$A$202,0)),""))</f>
        <v/>
      </c>
      <c r="D170" s="9" t="str">
        <f aca="false">IF($B170="","",IFERROR(INDEX(직원목록!$C$3:$C$202,MATCH($B170,직원목록!$A$3:$A$202,0)),""))</f>
        <v/>
      </c>
      <c r="E170" s="6"/>
      <c r="F170" s="6"/>
      <c r="G170" s="10"/>
      <c r="H170" s="6"/>
      <c r="I170" s="9" t="str">
        <f aca="false">IF($A170="","",TEXT($A170,"yyyy-mm"))</f>
        <v/>
      </c>
    </row>
    <row r="171" customFormat="false" ht="15" hidden="false" customHeight="false" outlineLevel="0" collapsed="false">
      <c r="A171" s="8"/>
      <c r="B171" s="6"/>
      <c r="C171" s="9" t="str">
        <f aca="false">IF($B171="","",IFERROR(INDEX(직원목록!$B$3:$B$202,MATCH($B171,직원목록!$A$3:$A$202,0)),""))</f>
        <v/>
      </c>
      <c r="D171" s="9" t="str">
        <f aca="false">IF($B171="","",IFERROR(INDEX(직원목록!$C$3:$C$202,MATCH($B171,직원목록!$A$3:$A$202,0)),""))</f>
        <v/>
      </c>
      <c r="E171" s="6"/>
      <c r="F171" s="6"/>
      <c r="G171" s="10"/>
      <c r="H171" s="6"/>
      <c r="I171" s="9" t="str">
        <f aca="false">IF($A171="","",TEXT($A171,"yyyy-mm"))</f>
        <v/>
      </c>
    </row>
    <row r="172" customFormat="false" ht="15" hidden="false" customHeight="false" outlineLevel="0" collapsed="false">
      <c r="A172" s="8"/>
      <c r="B172" s="6"/>
      <c r="C172" s="9" t="str">
        <f aca="false">IF($B172="","",IFERROR(INDEX(직원목록!$B$3:$B$202,MATCH($B172,직원목록!$A$3:$A$202,0)),""))</f>
        <v/>
      </c>
      <c r="D172" s="9" t="str">
        <f aca="false">IF($B172="","",IFERROR(INDEX(직원목록!$C$3:$C$202,MATCH($B172,직원목록!$A$3:$A$202,0)),""))</f>
        <v/>
      </c>
      <c r="E172" s="6"/>
      <c r="F172" s="6"/>
      <c r="G172" s="10"/>
      <c r="H172" s="6"/>
      <c r="I172" s="9" t="str">
        <f aca="false">IF($A172="","",TEXT($A172,"yyyy-mm"))</f>
        <v/>
      </c>
    </row>
    <row r="173" customFormat="false" ht="15" hidden="false" customHeight="false" outlineLevel="0" collapsed="false">
      <c r="A173" s="8"/>
      <c r="B173" s="6"/>
      <c r="C173" s="9" t="str">
        <f aca="false">IF($B173="","",IFERROR(INDEX(직원목록!$B$3:$B$202,MATCH($B173,직원목록!$A$3:$A$202,0)),""))</f>
        <v/>
      </c>
      <c r="D173" s="9" t="str">
        <f aca="false">IF($B173="","",IFERROR(INDEX(직원목록!$C$3:$C$202,MATCH($B173,직원목록!$A$3:$A$202,0)),""))</f>
        <v/>
      </c>
      <c r="E173" s="6"/>
      <c r="F173" s="6"/>
      <c r="G173" s="10"/>
      <c r="H173" s="6"/>
      <c r="I173" s="9" t="str">
        <f aca="false">IF($A173="","",TEXT($A173,"yyyy-mm"))</f>
        <v/>
      </c>
    </row>
    <row r="174" customFormat="false" ht="15" hidden="false" customHeight="false" outlineLevel="0" collapsed="false">
      <c r="A174" s="8"/>
      <c r="B174" s="6"/>
      <c r="C174" s="9" t="str">
        <f aca="false">IF($B174="","",IFERROR(INDEX(직원목록!$B$3:$B$202,MATCH($B174,직원목록!$A$3:$A$202,0)),""))</f>
        <v/>
      </c>
      <c r="D174" s="9" t="str">
        <f aca="false">IF($B174="","",IFERROR(INDEX(직원목록!$C$3:$C$202,MATCH($B174,직원목록!$A$3:$A$202,0)),""))</f>
        <v/>
      </c>
      <c r="E174" s="6"/>
      <c r="F174" s="6"/>
      <c r="G174" s="10"/>
      <c r="H174" s="6"/>
      <c r="I174" s="9" t="str">
        <f aca="false">IF($A174="","",TEXT($A174,"yyyy-mm"))</f>
        <v/>
      </c>
    </row>
    <row r="175" customFormat="false" ht="15" hidden="false" customHeight="false" outlineLevel="0" collapsed="false">
      <c r="A175" s="8"/>
      <c r="B175" s="6"/>
      <c r="C175" s="9" t="str">
        <f aca="false">IF($B175="","",IFERROR(INDEX(직원목록!$B$3:$B$202,MATCH($B175,직원목록!$A$3:$A$202,0)),""))</f>
        <v/>
      </c>
      <c r="D175" s="9" t="str">
        <f aca="false">IF($B175="","",IFERROR(INDEX(직원목록!$C$3:$C$202,MATCH($B175,직원목록!$A$3:$A$202,0)),""))</f>
        <v/>
      </c>
      <c r="E175" s="6"/>
      <c r="F175" s="6"/>
      <c r="G175" s="10"/>
      <c r="H175" s="6"/>
      <c r="I175" s="9" t="str">
        <f aca="false">IF($A175="","",TEXT($A175,"yyyy-mm"))</f>
        <v/>
      </c>
    </row>
    <row r="176" customFormat="false" ht="15" hidden="false" customHeight="false" outlineLevel="0" collapsed="false">
      <c r="A176" s="8"/>
      <c r="B176" s="6"/>
      <c r="C176" s="9" t="str">
        <f aca="false">IF($B176="","",IFERROR(INDEX(직원목록!$B$3:$B$202,MATCH($B176,직원목록!$A$3:$A$202,0)),""))</f>
        <v/>
      </c>
      <c r="D176" s="9" t="str">
        <f aca="false">IF($B176="","",IFERROR(INDEX(직원목록!$C$3:$C$202,MATCH($B176,직원목록!$A$3:$A$202,0)),""))</f>
        <v/>
      </c>
      <c r="E176" s="6"/>
      <c r="F176" s="6"/>
      <c r="G176" s="10"/>
      <c r="H176" s="6"/>
      <c r="I176" s="9" t="str">
        <f aca="false">IF($A176="","",TEXT($A176,"yyyy-mm"))</f>
        <v/>
      </c>
    </row>
    <row r="177" customFormat="false" ht="15" hidden="false" customHeight="false" outlineLevel="0" collapsed="false">
      <c r="A177" s="8"/>
      <c r="B177" s="6"/>
      <c r="C177" s="9" t="str">
        <f aca="false">IF($B177="","",IFERROR(INDEX(직원목록!$B$3:$B$202,MATCH($B177,직원목록!$A$3:$A$202,0)),""))</f>
        <v/>
      </c>
      <c r="D177" s="9" t="str">
        <f aca="false">IF($B177="","",IFERROR(INDEX(직원목록!$C$3:$C$202,MATCH($B177,직원목록!$A$3:$A$202,0)),""))</f>
        <v/>
      </c>
      <c r="E177" s="6"/>
      <c r="F177" s="6"/>
      <c r="G177" s="10"/>
      <c r="H177" s="6"/>
      <c r="I177" s="9" t="str">
        <f aca="false">IF($A177="","",TEXT($A177,"yyyy-mm"))</f>
        <v/>
      </c>
    </row>
    <row r="178" customFormat="false" ht="15" hidden="false" customHeight="false" outlineLevel="0" collapsed="false">
      <c r="A178" s="8"/>
      <c r="B178" s="6"/>
      <c r="C178" s="9" t="str">
        <f aca="false">IF($B178="","",IFERROR(INDEX(직원목록!$B$3:$B$202,MATCH($B178,직원목록!$A$3:$A$202,0)),""))</f>
        <v/>
      </c>
      <c r="D178" s="9" t="str">
        <f aca="false">IF($B178="","",IFERROR(INDEX(직원목록!$C$3:$C$202,MATCH($B178,직원목록!$A$3:$A$202,0)),""))</f>
        <v/>
      </c>
      <c r="E178" s="6"/>
      <c r="F178" s="6"/>
      <c r="G178" s="10"/>
      <c r="H178" s="6"/>
      <c r="I178" s="9" t="str">
        <f aca="false">IF($A178="","",TEXT($A178,"yyyy-mm"))</f>
        <v/>
      </c>
    </row>
    <row r="179" customFormat="false" ht="15" hidden="false" customHeight="false" outlineLevel="0" collapsed="false">
      <c r="A179" s="8"/>
      <c r="B179" s="6"/>
      <c r="C179" s="9" t="str">
        <f aca="false">IF($B179="","",IFERROR(INDEX(직원목록!$B$3:$B$202,MATCH($B179,직원목록!$A$3:$A$202,0)),""))</f>
        <v/>
      </c>
      <c r="D179" s="9" t="str">
        <f aca="false">IF($B179="","",IFERROR(INDEX(직원목록!$C$3:$C$202,MATCH($B179,직원목록!$A$3:$A$202,0)),""))</f>
        <v/>
      </c>
      <c r="E179" s="6"/>
      <c r="F179" s="6"/>
      <c r="G179" s="10"/>
      <c r="H179" s="6"/>
      <c r="I179" s="9" t="str">
        <f aca="false">IF($A179="","",TEXT($A179,"yyyy-mm"))</f>
        <v/>
      </c>
    </row>
    <row r="180" customFormat="false" ht="15" hidden="false" customHeight="false" outlineLevel="0" collapsed="false">
      <c r="A180" s="8"/>
      <c r="B180" s="6"/>
      <c r="C180" s="9" t="str">
        <f aca="false">IF($B180="","",IFERROR(INDEX(직원목록!$B$3:$B$202,MATCH($B180,직원목록!$A$3:$A$202,0)),""))</f>
        <v/>
      </c>
      <c r="D180" s="9" t="str">
        <f aca="false">IF($B180="","",IFERROR(INDEX(직원목록!$C$3:$C$202,MATCH($B180,직원목록!$A$3:$A$202,0)),""))</f>
        <v/>
      </c>
      <c r="E180" s="6"/>
      <c r="F180" s="6"/>
      <c r="G180" s="10"/>
      <c r="H180" s="6"/>
      <c r="I180" s="9" t="str">
        <f aca="false">IF($A180="","",TEXT($A180,"yyyy-mm"))</f>
        <v/>
      </c>
    </row>
    <row r="181" customFormat="false" ht="15" hidden="false" customHeight="false" outlineLevel="0" collapsed="false">
      <c r="A181" s="8"/>
      <c r="B181" s="6"/>
      <c r="C181" s="9" t="str">
        <f aca="false">IF($B181="","",IFERROR(INDEX(직원목록!$B$3:$B$202,MATCH($B181,직원목록!$A$3:$A$202,0)),""))</f>
        <v/>
      </c>
      <c r="D181" s="9" t="str">
        <f aca="false">IF($B181="","",IFERROR(INDEX(직원목록!$C$3:$C$202,MATCH($B181,직원목록!$A$3:$A$202,0)),""))</f>
        <v/>
      </c>
      <c r="E181" s="6"/>
      <c r="F181" s="6"/>
      <c r="G181" s="10"/>
      <c r="H181" s="6"/>
      <c r="I181" s="9" t="str">
        <f aca="false">IF($A181="","",TEXT($A181,"yyyy-mm"))</f>
        <v/>
      </c>
    </row>
    <row r="182" customFormat="false" ht="15" hidden="false" customHeight="false" outlineLevel="0" collapsed="false">
      <c r="A182" s="8"/>
      <c r="B182" s="6"/>
      <c r="C182" s="9" t="str">
        <f aca="false">IF($B182="","",IFERROR(INDEX(직원목록!$B$3:$B$202,MATCH($B182,직원목록!$A$3:$A$202,0)),""))</f>
        <v/>
      </c>
      <c r="D182" s="9" t="str">
        <f aca="false">IF($B182="","",IFERROR(INDEX(직원목록!$C$3:$C$202,MATCH($B182,직원목록!$A$3:$A$202,0)),""))</f>
        <v/>
      </c>
      <c r="E182" s="6"/>
      <c r="F182" s="6"/>
      <c r="G182" s="10"/>
      <c r="H182" s="6"/>
      <c r="I182" s="9" t="str">
        <f aca="false">IF($A182="","",TEXT($A182,"yyyy-mm"))</f>
        <v/>
      </c>
    </row>
    <row r="183" customFormat="false" ht="15" hidden="false" customHeight="false" outlineLevel="0" collapsed="false">
      <c r="A183" s="8"/>
      <c r="B183" s="6"/>
      <c r="C183" s="9" t="str">
        <f aca="false">IF($B183="","",IFERROR(INDEX(직원목록!$B$3:$B$202,MATCH($B183,직원목록!$A$3:$A$202,0)),""))</f>
        <v/>
      </c>
      <c r="D183" s="9" t="str">
        <f aca="false">IF($B183="","",IFERROR(INDEX(직원목록!$C$3:$C$202,MATCH($B183,직원목록!$A$3:$A$202,0)),""))</f>
        <v/>
      </c>
      <c r="E183" s="6"/>
      <c r="F183" s="6"/>
      <c r="G183" s="10"/>
      <c r="H183" s="6"/>
      <c r="I183" s="9" t="str">
        <f aca="false">IF($A183="","",TEXT($A183,"yyyy-mm"))</f>
        <v/>
      </c>
    </row>
    <row r="184" customFormat="false" ht="15" hidden="false" customHeight="false" outlineLevel="0" collapsed="false">
      <c r="A184" s="8"/>
      <c r="B184" s="6"/>
      <c r="C184" s="9" t="str">
        <f aca="false">IF($B184="","",IFERROR(INDEX(직원목록!$B$3:$B$202,MATCH($B184,직원목록!$A$3:$A$202,0)),""))</f>
        <v/>
      </c>
      <c r="D184" s="9" t="str">
        <f aca="false">IF($B184="","",IFERROR(INDEX(직원목록!$C$3:$C$202,MATCH($B184,직원목록!$A$3:$A$202,0)),""))</f>
        <v/>
      </c>
      <c r="E184" s="6"/>
      <c r="F184" s="6"/>
      <c r="G184" s="10"/>
      <c r="H184" s="6"/>
      <c r="I184" s="9" t="str">
        <f aca="false">IF($A184="","",TEXT($A184,"yyyy-mm"))</f>
        <v/>
      </c>
    </row>
    <row r="185" customFormat="false" ht="15" hidden="false" customHeight="false" outlineLevel="0" collapsed="false">
      <c r="A185" s="8"/>
      <c r="B185" s="6"/>
      <c r="C185" s="9" t="str">
        <f aca="false">IF($B185="","",IFERROR(INDEX(직원목록!$B$3:$B$202,MATCH($B185,직원목록!$A$3:$A$202,0)),""))</f>
        <v/>
      </c>
      <c r="D185" s="9" t="str">
        <f aca="false">IF($B185="","",IFERROR(INDEX(직원목록!$C$3:$C$202,MATCH($B185,직원목록!$A$3:$A$202,0)),""))</f>
        <v/>
      </c>
      <c r="E185" s="6"/>
      <c r="F185" s="6"/>
      <c r="G185" s="10"/>
      <c r="H185" s="6"/>
      <c r="I185" s="9" t="str">
        <f aca="false">IF($A185="","",TEXT($A185,"yyyy-mm"))</f>
        <v/>
      </c>
    </row>
    <row r="186" customFormat="false" ht="15" hidden="false" customHeight="false" outlineLevel="0" collapsed="false">
      <c r="A186" s="8"/>
      <c r="B186" s="6"/>
      <c r="C186" s="9" t="str">
        <f aca="false">IF($B186="","",IFERROR(INDEX(직원목록!$B$3:$B$202,MATCH($B186,직원목록!$A$3:$A$202,0)),""))</f>
        <v/>
      </c>
      <c r="D186" s="9" t="str">
        <f aca="false">IF($B186="","",IFERROR(INDEX(직원목록!$C$3:$C$202,MATCH($B186,직원목록!$A$3:$A$202,0)),""))</f>
        <v/>
      </c>
      <c r="E186" s="6"/>
      <c r="F186" s="6"/>
      <c r="G186" s="10"/>
      <c r="H186" s="6"/>
      <c r="I186" s="9" t="str">
        <f aca="false">IF($A186="","",TEXT($A186,"yyyy-mm"))</f>
        <v/>
      </c>
    </row>
    <row r="187" customFormat="false" ht="15" hidden="false" customHeight="false" outlineLevel="0" collapsed="false">
      <c r="A187" s="8"/>
      <c r="B187" s="6"/>
      <c r="C187" s="9" t="str">
        <f aca="false">IF($B187="","",IFERROR(INDEX(직원목록!$B$3:$B$202,MATCH($B187,직원목록!$A$3:$A$202,0)),""))</f>
        <v/>
      </c>
      <c r="D187" s="9" t="str">
        <f aca="false">IF($B187="","",IFERROR(INDEX(직원목록!$C$3:$C$202,MATCH($B187,직원목록!$A$3:$A$202,0)),""))</f>
        <v/>
      </c>
      <c r="E187" s="6"/>
      <c r="F187" s="6"/>
      <c r="G187" s="10"/>
      <c r="H187" s="6"/>
      <c r="I187" s="9" t="str">
        <f aca="false">IF($A187="","",TEXT($A187,"yyyy-mm"))</f>
        <v/>
      </c>
    </row>
    <row r="188" customFormat="false" ht="15" hidden="false" customHeight="false" outlineLevel="0" collapsed="false">
      <c r="A188" s="8"/>
      <c r="B188" s="6"/>
      <c r="C188" s="9" t="str">
        <f aca="false">IF($B188="","",IFERROR(INDEX(직원목록!$B$3:$B$202,MATCH($B188,직원목록!$A$3:$A$202,0)),""))</f>
        <v/>
      </c>
      <c r="D188" s="9" t="str">
        <f aca="false">IF($B188="","",IFERROR(INDEX(직원목록!$C$3:$C$202,MATCH($B188,직원목록!$A$3:$A$202,0)),""))</f>
        <v/>
      </c>
      <c r="E188" s="6"/>
      <c r="F188" s="6"/>
      <c r="G188" s="10"/>
      <c r="H188" s="6"/>
      <c r="I188" s="9" t="str">
        <f aca="false">IF($A188="","",TEXT($A188,"yyyy-mm"))</f>
        <v/>
      </c>
    </row>
    <row r="189" customFormat="false" ht="15" hidden="false" customHeight="false" outlineLevel="0" collapsed="false">
      <c r="A189" s="8"/>
      <c r="B189" s="6"/>
      <c r="C189" s="9" t="str">
        <f aca="false">IF($B189="","",IFERROR(INDEX(직원목록!$B$3:$B$202,MATCH($B189,직원목록!$A$3:$A$202,0)),""))</f>
        <v/>
      </c>
      <c r="D189" s="9" t="str">
        <f aca="false">IF($B189="","",IFERROR(INDEX(직원목록!$C$3:$C$202,MATCH($B189,직원목록!$A$3:$A$202,0)),""))</f>
        <v/>
      </c>
      <c r="E189" s="6"/>
      <c r="F189" s="6"/>
      <c r="G189" s="10"/>
      <c r="H189" s="6"/>
      <c r="I189" s="9" t="str">
        <f aca="false">IF($A189="","",TEXT($A189,"yyyy-mm"))</f>
        <v/>
      </c>
    </row>
    <row r="190" customFormat="false" ht="15" hidden="false" customHeight="false" outlineLevel="0" collapsed="false">
      <c r="A190" s="8"/>
      <c r="B190" s="6"/>
      <c r="C190" s="9" t="str">
        <f aca="false">IF($B190="","",IFERROR(INDEX(직원목록!$B$3:$B$202,MATCH($B190,직원목록!$A$3:$A$202,0)),""))</f>
        <v/>
      </c>
      <c r="D190" s="9" t="str">
        <f aca="false">IF($B190="","",IFERROR(INDEX(직원목록!$C$3:$C$202,MATCH($B190,직원목록!$A$3:$A$202,0)),""))</f>
        <v/>
      </c>
      <c r="E190" s="6"/>
      <c r="F190" s="6"/>
      <c r="G190" s="10"/>
      <c r="H190" s="6"/>
      <c r="I190" s="9" t="str">
        <f aca="false">IF($A190="","",TEXT($A190,"yyyy-mm"))</f>
        <v/>
      </c>
    </row>
    <row r="191" customFormat="false" ht="15" hidden="false" customHeight="false" outlineLevel="0" collapsed="false">
      <c r="A191" s="8"/>
      <c r="B191" s="6"/>
      <c r="C191" s="9" t="str">
        <f aca="false">IF($B191="","",IFERROR(INDEX(직원목록!$B$3:$B$202,MATCH($B191,직원목록!$A$3:$A$202,0)),""))</f>
        <v/>
      </c>
      <c r="D191" s="9" t="str">
        <f aca="false">IF($B191="","",IFERROR(INDEX(직원목록!$C$3:$C$202,MATCH($B191,직원목록!$A$3:$A$202,0)),""))</f>
        <v/>
      </c>
      <c r="E191" s="6"/>
      <c r="F191" s="6"/>
      <c r="G191" s="10"/>
      <c r="H191" s="6"/>
      <c r="I191" s="9" t="str">
        <f aca="false">IF($A191="","",TEXT($A191,"yyyy-mm"))</f>
        <v/>
      </c>
    </row>
    <row r="192" customFormat="false" ht="15" hidden="false" customHeight="false" outlineLevel="0" collapsed="false">
      <c r="A192" s="8"/>
      <c r="B192" s="6"/>
      <c r="C192" s="9" t="str">
        <f aca="false">IF($B192="","",IFERROR(INDEX(직원목록!$B$3:$B$202,MATCH($B192,직원목록!$A$3:$A$202,0)),""))</f>
        <v/>
      </c>
      <c r="D192" s="9" t="str">
        <f aca="false">IF($B192="","",IFERROR(INDEX(직원목록!$C$3:$C$202,MATCH($B192,직원목록!$A$3:$A$202,0)),""))</f>
        <v/>
      </c>
      <c r="E192" s="6"/>
      <c r="F192" s="6"/>
      <c r="G192" s="10"/>
      <c r="H192" s="6"/>
      <c r="I192" s="9" t="str">
        <f aca="false">IF($A192="","",TEXT($A192,"yyyy-mm"))</f>
        <v/>
      </c>
    </row>
    <row r="193" customFormat="false" ht="15" hidden="false" customHeight="false" outlineLevel="0" collapsed="false">
      <c r="A193" s="8"/>
      <c r="B193" s="6"/>
      <c r="C193" s="9" t="str">
        <f aca="false">IF($B193="","",IFERROR(INDEX(직원목록!$B$3:$B$202,MATCH($B193,직원목록!$A$3:$A$202,0)),""))</f>
        <v/>
      </c>
      <c r="D193" s="9" t="str">
        <f aca="false">IF($B193="","",IFERROR(INDEX(직원목록!$C$3:$C$202,MATCH($B193,직원목록!$A$3:$A$202,0)),""))</f>
        <v/>
      </c>
      <c r="E193" s="6"/>
      <c r="F193" s="6"/>
      <c r="G193" s="10"/>
      <c r="H193" s="6"/>
      <c r="I193" s="9" t="str">
        <f aca="false">IF($A193="","",TEXT($A193,"yyyy-mm"))</f>
        <v/>
      </c>
    </row>
    <row r="194" customFormat="false" ht="15" hidden="false" customHeight="false" outlineLevel="0" collapsed="false">
      <c r="A194" s="8"/>
      <c r="B194" s="6"/>
      <c r="C194" s="9" t="str">
        <f aca="false">IF($B194="","",IFERROR(INDEX(직원목록!$B$3:$B$202,MATCH($B194,직원목록!$A$3:$A$202,0)),""))</f>
        <v/>
      </c>
      <c r="D194" s="9" t="str">
        <f aca="false">IF($B194="","",IFERROR(INDEX(직원목록!$C$3:$C$202,MATCH($B194,직원목록!$A$3:$A$202,0)),""))</f>
        <v/>
      </c>
      <c r="E194" s="6"/>
      <c r="F194" s="6"/>
      <c r="G194" s="10"/>
      <c r="H194" s="6"/>
      <c r="I194" s="9" t="str">
        <f aca="false">IF($A194="","",TEXT($A194,"yyyy-mm"))</f>
        <v/>
      </c>
    </row>
    <row r="195" customFormat="false" ht="15" hidden="false" customHeight="false" outlineLevel="0" collapsed="false">
      <c r="A195" s="8"/>
      <c r="B195" s="6"/>
      <c r="C195" s="9" t="str">
        <f aca="false">IF($B195="","",IFERROR(INDEX(직원목록!$B$3:$B$202,MATCH($B195,직원목록!$A$3:$A$202,0)),""))</f>
        <v/>
      </c>
      <c r="D195" s="9" t="str">
        <f aca="false">IF($B195="","",IFERROR(INDEX(직원목록!$C$3:$C$202,MATCH($B195,직원목록!$A$3:$A$202,0)),""))</f>
        <v/>
      </c>
      <c r="E195" s="6"/>
      <c r="F195" s="6"/>
      <c r="G195" s="10"/>
      <c r="H195" s="6"/>
      <c r="I195" s="9" t="str">
        <f aca="false">IF($A195="","",TEXT($A195,"yyyy-mm"))</f>
        <v/>
      </c>
    </row>
    <row r="196" customFormat="false" ht="15" hidden="false" customHeight="false" outlineLevel="0" collapsed="false">
      <c r="A196" s="8"/>
      <c r="B196" s="6"/>
      <c r="C196" s="9" t="str">
        <f aca="false">IF($B196="","",IFERROR(INDEX(직원목록!$B$3:$B$202,MATCH($B196,직원목록!$A$3:$A$202,0)),""))</f>
        <v/>
      </c>
      <c r="D196" s="9" t="str">
        <f aca="false">IF($B196="","",IFERROR(INDEX(직원목록!$C$3:$C$202,MATCH($B196,직원목록!$A$3:$A$202,0)),""))</f>
        <v/>
      </c>
      <c r="E196" s="6"/>
      <c r="F196" s="6"/>
      <c r="G196" s="10"/>
      <c r="H196" s="6"/>
      <c r="I196" s="9" t="str">
        <f aca="false">IF($A196="","",TEXT($A196,"yyyy-mm"))</f>
        <v/>
      </c>
    </row>
    <row r="197" customFormat="false" ht="15" hidden="false" customHeight="false" outlineLevel="0" collapsed="false">
      <c r="A197" s="8"/>
      <c r="B197" s="6"/>
      <c r="C197" s="9" t="str">
        <f aca="false">IF($B197="","",IFERROR(INDEX(직원목록!$B$3:$B$202,MATCH($B197,직원목록!$A$3:$A$202,0)),""))</f>
        <v/>
      </c>
      <c r="D197" s="9" t="str">
        <f aca="false">IF($B197="","",IFERROR(INDEX(직원목록!$C$3:$C$202,MATCH($B197,직원목록!$A$3:$A$202,0)),""))</f>
        <v/>
      </c>
      <c r="E197" s="6"/>
      <c r="F197" s="6"/>
      <c r="G197" s="10"/>
      <c r="H197" s="6"/>
      <c r="I197" s="9" t="str">
        <f aca="false">IF($A197="","",TEXT($A197,"yyyy-mm"))</f>
        <v/>
      </c>
    </row>
    <row r="198" customFormat="false" ht="15" hidden="false" customHeight="false" outlineLevel="0" collapsed="false">
      <c r="A198" s="8"/>
      <c r="B198" s="6"/>
      <c r="C198" s="9" t="str">
        <f aca="false">IF($B198="","",IFERROR(INDEX(직원목록!$B$3:$B$202,MATCH($B198,직원목록!$A$3:$A$202,0)),""))</f>
        <v/>
      </c>
      <c r="D198" s="9" t="str">
        <f aca="false">IF($B198="","",IFERROR(INDEX(직원목록!$C$3:$C$202,MATCH($B198,직원목록!$A$3:$A$202,0)),""))</f>
        <v/>
      </c>
      <c r="E198" s="6"/>
      <c r="F198" s="6"/>
      <c r="G198" s="10"/>
      <c r="H198" s="6"/>
      <c r="I198" s="9" t="str">
        <f aca="false">IF($A198="","",TEXT($A198,"yyyy-mm"))</f>
        <v/>
      </c>
    </row>
    <row r="199" customFormat="false" ht="15" hidden="false" customHeight="false" outlineLevel="0" collapsed="false">
      <c r="A199" s="8"/>
      <c r="B199" s="6"/>
      <c r="C199" s="9" t="str">
        <f aca="false">IF($B199="","",IFERROR(INDEX(직원목록!$B$3:$B$202,MATCH($B199,직원목록!$A$3:$A$202,0)),""))</f>
        <v/>
      </c>
      <c r="D199" s="9" t="str">
        <f aca="false">IF($B199="","",IFERROR(INDEX(직원목록!$C$3:$C$202,MATCH($B199,직원목록!$A$3:$A$202,0)),""))</f>
        <v/>
      </c>
      <c r="E199" s="6"/>
      <c r="F199" s="6"/>
      <c r="G199" s="10"/>
      <c r="H199" s="6"/>
      <c r="I199" s="9" t="str">
        <f aca="false">IF($A199="","",TEXT($A199,"yyyy-mm"))</f>
        <v/>
      </c>
    </row>
    <row r="200" customFormat="false" ht="15" hidden="false" customHeight="false" outlineLevel="0" collapsed="false">
      <c r="A200" s="8"/>
      <c r="B200" s="6"/>
      <c r="C200" s="9" t="str">
        <f aca="false">IF($B200="","",IFERROR(INDEX(직원목록!$B$3:$B$202,MATCH($B200,직원목록!$A$3:$A$202,0)),""))</f>
        <v/>
      </c>
      <c r="D200" s="9" t="str">
        <f aca="false">IF($B200="","",IFERROR(INDEX(직원목록!$C$3:$C$202,MATCH($B200,직원목록!$A$3:$A$202,0)),""))</f>
        <v/>
      </c>
      <c r="E200" s="6"/>
      <c r="F200" s="6"/>
      <c r="G200" s="10"/>
      <c r="H200" s="6"/>
      <c r="I200" s="9" t="str">
        <f aca="false">IF($A200="","",TEXT($A200,"yyyy-mm"))</f>
        <v/>
      </c>
    </row>
    <row r="201" customFormat="false" ht="15" hidden="false" customHeight="false" outlineLevel="0" collapsed="false">
      <c r="A201" s="8"/>
      <c r="B201" s="6"/>
      <c r="C201" s="9" t="str">
        <f aca="false">IF($B201="","",IFERROR(INDEX(직원목록!$B$3:$B$202,MATCH($B201,직원목록!$A$3:$A$202,0)),""))</f>
        <v/>
      </c>
      <c r="D201" s="9" t="str">
        <f aca="false">IF($B201="","",IFERROR(INDEX(직원목록!$C$3:$C$202,MATCH($B201,직원목록!$A$3:$A$202,0)),""))</f>
        <v/>
      </c>
      <c r="E201" s="6"/>
      <c r="F201" s="6"/>
      <c r="G201" s="10"/>
      <c r="H201" s="6"/>
      <c r="I201" s="9" t="str">
        <f aca="false">IF($A201="","",TEXT($A201,"yyyy-mm"))</f>
        <v/>
      </c>
    </row>
    <row r="202" customFormat="false" ht="15" hidden="false" customHeight="false" outlineLevel="0" collapsed="false">
      <c r="A202" s="8"/>
      <c r="B202" s="6"/>
      <c r="C202" s="9" t="str">
        <f aca="false">IF($B202="","",IFERROR(INDEX(직원목록!$B$3:$B$202,MATCH($B202,직원목록!$A$3:$A$202,0)),""))</f>
        <v/>
      </c>
      <c r="D202" s="9" t="str">
        <f aca="false">IF($B202="","",IFERROR(INDEX(직원목록!$C$3:$C$202,MATCH($B202,직원목록!$A$3:$A$202,0)),""))</f>
        <v/>
      </c>
      <c r="E202" s="6"/>
      <c r="F202" s="6"/>
      <c r="G202" s="10"/>
      <c r="H202" s="6"/>
      <c r="I202" s="9" t="str">
        <f aca="false">IF($A202="","",TEXT($A202,"yyyy-mm"))</f>
        <v/>
      </c>
    </row>
    <row r="203" customFormat="false" ht="15" hidden="false" customHeight="false" outlineLevel="0" collapsed="false">
      <c r="A203" s="8"/>
      <c r="B203" s="6"/>
      <c r="C203" s="9" t="str">
        <f aca="false">IF($B203="","",IFERROR(INDEX(직원목록!$B$3:$B$202,MATCH($B203,직원목록!$A$3:$A$202,0)),""))</f>
        <v/>
      </c>
      <c r="D203" s="9" t="str">
        <f aca="false">IF($B203="","",IFERROR(INDEX(직원목록!$C$3:$C$202,MATCH($B203,직원목록!$A$3:$A$202,0)),""))</f>
        <v/>
      </c>
      <c r="E203" s="6"/>
      <c r="F203" s="6"/>
      <c r="G203" s="10"/>
      <c r="H203" s="6"/>
      <c r="I203" s="9" t="str">
        <f aca="false">IF($A203="","",TEXT($A203,"yyyy-mm"))</f>
        <v/>
      </c>
    </row>
    <row r="204" customFormat="false" ht="15" hidden="false" customHeight="false" outlineLevel="0" collapsed="false">
      <c r="A204" s="8"/>
      <c r="B204" s="6"/>
      <c r="C204" s="9" t="str">
        <f aca="false">IF($B204="","",IFERROR(INDEX(직원목록!$B$3:$B$202,MATCH($B204,직원목록!$A$3:$A$202,0)),""))</f>
        <v/>
      </c>
      <c r="D204" s="9" t="str">
        <f aca="false">IF($B204="","",IFERROR(INDEX(직원목록!$C$3:$C$202,MATCH($B204,직원목록!$A$3:$A$202,0)),""))</f>
        <v/>
      </c>
      <c r="E204" s="6"/>
      <c r="F204" s="6"/>
      <c r="G204" s="10"/>
      <c r="H204" s="6"/>
      <c r="I204" s="9" t="str">
        <f aca="false">IF($A204="","",TEXT($A204,"yyyy-mm"))</f>
        <v/>
      </c>
    </row>
    <row r="205" customFormat="false" ht="15" hidden="false" customHeight="false" outlineLevel="0" collapsed="false">
      <c r="A205" s="8"/>
      <c r="B205" s="6"/>
      <c r="C205" s="9" t="str">
        <f aca="false">IF($B205="","",IFERROR(INDEX(직원목록!$B$3:$B$202,MATCH($B205,직원목록!$A$3:$A$202,0)),""))</f>
        <v/>
      </c>
      <c r="D205" s="9" t="str">
        <f aca="false">IF($B205="","",IFERROR(INDEX(직원목록!$C$3:$C$202,MATCH($B205,직원목록!$A$3:$A$202,0)),""))</f>
        <v/>
      </c>
      <c r="E205" s="6"/>
      <c r="F205" s="6"/>
      <c r="G205" s="10"/>
      <c r="H205" s="6"/>
      <c r="I205" s="9" t="str">
        <f aca="false">IF($A205="","",TEXT($A205,"yyyy-mm"))</f>
        <v/>
      </c>
    </row>
    <row r="206" customFormat="false" ht="15" hidden="false" customHeight="false" outlineLevel="0" collapsed="false">
      <c r="A206" s="8"/>
      <c r="B206" s="6"/>
      <c r="C206" s="9" t="str">
        <f aca="false">IF($B206="","",IFERROR(INDEX(직원목록!$B$3:$B$202,MATCH($B206,직원목록!$A$3:$A$202,0)),""))</f>
        <v/>
      </c>
      <c r="D206" s="9" t="str">
        <f aca="false">IF($B206="","",IFERROR(INDEX(직원목록!$C$3:$C$202,MATCH($B206,직원목록!$A$3:$A$202,0)),""))</f>
        <v/>
      </c>
      <c r="E206" s="6"/>
      <c r="F206" s="6"/>
      <c r="G206" s="10"/>
      <c r="H206" s="6"/>
      <c r="I206" s="9" t="str">
        <f aca="false">IF($A206="","",TEXT($A206,"yyyy-mm"))</f>
        <v/>
      </c>
    </row>
    <row r="207" customFormat="false" ht="15" hidden="false" customHeight="false" outlineLevel="0" collapsed="false">
      <c r="A207" s="8"/>
      <c r="B207" s="6"/>
      <c r="C207" s="9" t="str">
        <f aca="false">IF($B207="","",IFERROR(INDEX(직원목록!$B$3:$B$202,MATCH($B207,직원목록!$A$3:$A$202,0)),""))</f>
        <v/>
      </c>
      <c r="D207" s="9" t="str">
        <f aca="false">IF($B207="","",IFERROR(INDEX(직원목록!$C$3:$C$202,MATCH($B207,직원목록!$A$3:$A$202,0)),""))</f>
        <v/>
      </c>
      <c r="E207" s="6"/>
      <c r="F207" s="6"/>
      <c r="G207" s="10"/>
      <c r="H207" s="6"/>
      <c r="I207" s="9" t="str">
        <f aca="false">IF($A207="","",TEXT($A207,"yyyy-mm"))</f>
        <v/>
      </c>
    </row>
    <row r="208" customFormat="false" ht="15" hidden="false" customHeight="false" outlineLevel="0" collapsed="false">
      <c r="A208" s="8"/>
      <c r="B208" s="6"/>
      <c r="C208" s="9" t="str">
        <f aca="false">IF($B208="","",IFERROR(INDEX(직원목록!$B$3:$B$202,MATCH($B208,직원목록!$A$3:$A$202,0)),""))</f>
        <v/>
      </c>
      <c r="D208" s="9" t="str">
        <f aca="false">IF($B208="","",IFERROR(INDEX(직원목록!$C$3:$C$202,MATCH($B208,직원목록!$A$3:$A$202,0)),""))</f>
        <v/>
      </c>
      <c r="E208" s="6"/>
      <c r="F208" s="6"/>
      <c r="G208" s="10"/>
      <c r="H208" s="6"/>
      <c r="I208" s="9" t="str">
        <f aca="false">IF($A208="","",TEXT($A208,"yyyy-mm"))</f>
        <v/>
      </c>
    </row>
    <row r="209" customFormat="false" ht="15" hidden="false" customHeight="false" outlineLevel="0" collapsed="false">
      <c r="A209" s="8"/>
      <c r="B209" s="6"/>
      <c r="C209" s="9" t="str">
        <f aca="false">IF($B209="","",IFERROR(INDEX(직원목록!$B$3:$B$202,MATCH($B209,직원목록!$A$3:$A$202,0)),""))</f>
        <v/>
      </c>
      <c r="D209" s="9" t="str">
        <f aca="false">IF($B209="","",IFERROR(INDEX(직원목록!$C$3:$C$202,MATCH($B209,직원목록!$A$3:$A$202,0)),""))</f>
        <v/>
      </c>
      <c r="E209" s="6"/>
      <c r="F209" s="6"/>
      <c r="G209" s="10"/>
      <c r="H209" s="6"/>
      <c r="I209" s="9" t="str">
        <f aca="false">IF($A209="","",TEXT($A209,"yyyy-mm"))</f>
        <v/>
      </c>
    </row>
    <row r="210" customFormat="false" ht="15" hidden="false" customHeight="false" outlineLevel="0" collapsed="false">
      <c r="A210" s="8"/>
      <c r="B210" s="6"/>
      <c r="C210" s="9" t="str">
        <f aca="false">IF($B210="","",IFERROR(INDEX(직원목록!$B$3:$B$202,MATCH($B210,직원목록!$A$3:$A$202,0)),""))</f>
        <v/>
      </c>
      <c r="D210" s="9" t="str">
        <f aca="false">IF($B210="","",IFERROR(INDEX(직원목록!$C$3:$C$202,MATCH($B210,직원목록!$A$3:$A$202,0)),""))</f>
        <v/>
      </c>
      <c r="E210" s="6"/>
      <c r="F210" s="6"/>
      <c r="G210" s="10"/>
      <c r="H210" s="6"/>
      <c r="I210" s="9" t="str">
        <f aca="false">IF($A210="","",TEXT($A210,"yyyy-mm"))</f>
        <v/>
      </c>
    </row>
    <row r="211" customFormat="false" ht="15" hidden="false" customHeight="false" outlineLevel="0" collapsed="false">
      <c r="A211" s="8"/>
      <c r="B211" s="6"/>
      <c r="C211" s="9" t="str">
        <f aca="false">IF($B211="","",IFERROR(INDEX(직원목록!$B$3:$B$202,MATCH($B211,직원목록!$A$3:$A$202,0)),""))</f>
        <v/>
      </c>
      <c r="D211" s="9" t="str">
        <f aca="false">IF($B211="","",IFERROR(INDEX(직원목록!$C$3:$C$202,MATCH($B211,직원목록!$A$3:$A$202,0)),""))</f>
        <v/>
      </c>
      <c r="E211" s="6"/>
      <c r="F211" s="6"/>
      <c r="G211" s="10"/>
      <c r="H211" s="6"/>
      <c r="I211" s="9" t="str">
        <f aca="false">IF($A211="","",TEXT($A211,"yyyy-mm"))</f>
        <v/>
      </c>
    </row>
    <row r="212" customFormat="false" ht="15" hidden="false" customHeight="false" outlineLevel="0" collapsed="false">
      <c r="A212" s="8"/>
      <c r="B212" s="6"/>
      <c r="C212" s="9" t="str">
        <f aca="false">IF($B212="","",IFERROR(INDEX(직원목록!$B$3:$B$202,MATCH($B212,직원목록!$A$3:$A$202,0)),""))</f>
        <v/>
      </c>
      <c r="D212" s="9" t="str">
        <f aca="false">IF($B212="","",IFERROR(INDEX(직원목록!$C$3:$C$202,MATCH($B212,직원목록!$A$3:$A$202,0)),""))</f>
        <v/>
      </c>
      <c r="E212" s="6"/>
      <c r="F212" s="6"/>
      <c r="G212" s="10"/>
      <c r="H212" s="6"/>
      <c r="I212" s="9" t="str">
        <f aca="false">IF($A212="","",TEXT($A212,"yyyy-mm"))</f>
        <v/>
      </c>
    </row>
    <row r="213" customFormat="false" ht="15" hidden="false" customHeight="false" outlineLevel="0" collapsed="false">
      <c r="A213" s="8"/>
      <c r="B213" s="6"/>
      <c r="C213" s="9" t="str">
        <f aca="false">IF($B213="","",IFERROR(INDEX(직원목록!$B$3:$B$202,MATCH($B213,직원목록!$A$3:$A$202,0)),""))</f>
        <v/>
      </c>
      <c r="D213" s="9" t="str">
        <f aca="false">IF($B213="","",IFERROR(INDEX(직원목록!$C$3:$C$202,MATCH($B213,직원목록!$A$3:$A$202,0)),""))</f>
        <v/>
      </c>
      <c r="E213" s="6"/>
      <c r="F213" s="6"/>
      <c r="G213" s="10"/>
      <c r="H213" s="6"/>
      <c r="I213" s="9" t="str">
        <f aca="false">IF($A213="","",TEXT($A213,"yyyy-mm"))</f>
        <v/>
      </c>
    </row>
    <row r="214" customFormat="false" ht="15" hidden="false" customHeight="false" outlineLevel="0" collapsed="false">
      <c r="A214" s="8"/>
      <c r="B214" s="6"/>
      <c r="C214" s="9" t="str">
        <f aca="false">IF($B214="","",IFERROR(INDEX(직원목록!$B$3:$B$202,MATCH($B214,직원목록!$A$3:$A$202,0)),""))</f>
        <v/>
      </c>
      <c r="D214" s="9" t="str">
        <f aca="false">IF($B214="","",IFERROR(INDEX(직원목록!$C$3:$C$202,MATCH($B214,직원목록!$A$3:$A$202,0)),""))</f>
        <v/>
      </c>
      <c r="E214" s="6"/>
      <c r="F214" s="6"/>
      <c r="G214" s="10"/>
      <c r="H214" s="6"/>
      <c r="I214" s="9" t="str">
        <f aca="false">IF($A214="","",TEXT($A214,"yyyy-mm"))</f>
        <v/>
      </c>
    </row>
    <row r="215" customFormat="false" ht="15" hidden="false" customHeight="false" outlineLevel="0" collapsed="false">
      <c r="A215" s="8"/>
      <c r="B215" s="6"/>
      <c r="C215" s="9" t="str">
        <f aca="false">IF($B215="","",IFERROR(INDEX(직원목록!$B$3:$B$202,MATCH($B215,직원목록!$A$3:$A$202,0)),""))</f>
        <v/>
      </c>
      <c r="D215" s="9" t="str">
        <f aca="false">IF($B215="","",IFERROR(INDEX(직원목록!$C$3:$C$202,MATCH($B215,직원목록!$A$3:$A$202,0)),""))</f>
        <v/>
      </c>
      <c r="E215" s="6"/>
      <c r="F215" s="6"/>
      <c r="G215" s="10"/>
      <c r="H215" s="6"/>
      <c r="I215" s="9" t="str">
        <f aca="false">IF($A215="","",TEXT($A215,"yyyy-mm"))</f>
        <v/>
      </c>
    </row>
    <row r="216" customFormat="false" ht="15" hidden="false" customHeight="false" outlineLevel="0" collapsed="false">
      <c r="A216" s="8"/>
      <c r="B216" s="6"/>
      <c r="C216" s="9" t="str">
        <f aca="false">IF($B216="","",IFERROR(INDEX(직원목록!$B$3:$B$202,MATCH($B216,직원목록!$A$3:$A$202,0)),""))</f>
        <v/>
      </c>
      <c r="D216" s="9" t="str">
        <f aca="false">IF($B216="","",IFERROR(INDEX(직원목록!$C$3:$C$202,MATCH($B216,직원목록!$A$3:$A$202,0)),""))</f>
        <v/>
      </c>
      <c r="E216" s="6"/>
      <c r="F216" s="6"/>
      <c r="G216" s="10"/>
      <c r="H216" s="6"/>
      <c r="I216" s="9" t="str">
        <f aca="false">IF($A216="","",TEXT($A216,"yyyy-mm"))</f>
        <v/>
      </c>
    </row>
    <row r="217" customFormat="false" ht="15" hidden="false" customHeight="false" outlineLevel="0" collapsed="false">
      <c r="A217" s="8"/>
      <c r="B217" s="6"/>
      <c r="C217" s="9" t="str">
        <f aca="false">IF($B217="","",IFERROR(INDEX(직원목록!$B$3:$B$202,MATCH($B217,직원목록!$A$3:$A$202,0)),""))</f>
        <v/>
      </c>
      <c r="D217" s="9" t="str">
        <f aca="false">IF($B217="","",IFERROR(INDEX(직원목록!$C$3:$C$202,MATCH($B217,직원목록!$A$3:$A$202,0)),""))</f>
        <v/>
      </c>
      <c r="E217" s="6"/>
      <c r="F217" s="6"/>
      <c r="G217" s="10"/>
      <c r="H217" s="6"/>
      <c r="I217" s="9" t="str">
        <f aca="false">IF($A217="","",TEXT($A217,"yyyy-mm"))</f>
        <v/>
      </c>
    </row>
    <row r="218" customFormat="false" ht="15" hidden="false" customHeight="false" outlineLevel="0" collapsed="false">
      <c r="A218" s="8"/>
      <c r="B218" s="6"/>
      <c r="C218" s="9" t="str">
        <f aca="false">IF($B218="","",IFERROR(INDEX(직원목록!$B$3:$B$202,MATCH($B218,직원목록!$A$3:$A$202,0)),""))</f>
        <v/>
      </c>
      <c r="D218" s="9" t="str">
        <f aca="false">IF($B218="","",IFERROR(INDEX(직원목록!$C$3:$C$202,MATCH($B218,직원목록!$A$3:$A$202,0)),""))</f>
        <v/>
      </c>
      <c r="E218" s="6"/>
      <c r="F218" s="6"/>
      <c r="G218" s="10"/>
      <c r="H218" s="6"/>
      <c r="I218" s="9" t="str">
        <f aca="false">IF($A218="","",TEXT($A218,"yyyy-mm"))</f>
        <v/>
      </c>
    </row>
    <row r="219" customFormat="false" ht="15" hidden="false" customHeight="false" outlineLevel="0" collapsed="false">
      <c r="A219" s="8"/>
      <c r="B219" s="6"/>
      <c r="C219" s="9" t="str">
        <f aca="false">IF($B219="","",IFERROR(INDEX(직원목록!$B$3:$B$202,MATCH($B219,직원목록!$A$3:$A$202,0)),""))</f>
        <v/>
      </c>
      <c r="D219" s="9" t="str">
        <f aca="false">IF($B219="","",IFERROR(INDEX(직원목록!$C$3:$C$202,MATCH($B219,직원목록!$A$3:$A$202,0)),""))</f>
        <v/>
      </c>
      <c r="E219" s="6"/>
      <c r="F219" s="6"/>
      <c r="G219" s="10"/>
      <c r="H219" s="6"/>
      <c r="I219" s="9" t="str">
        <f aca="false">IF($A219="","",TEXT($A219,"yyyy-mm"))</f>
        <v/>
      </c>
    </row>
    <row r="220" customFormat="false" ht="15" hidden="false" customHeight="false" outlineLevel="0" collapsed="false">
      <c r="A220" s="8"/>
      <c r="B220" s="6"/>
      <c r="C220" s="9" t="str">
        <f aca="false">IF($B220="","",IFERROR(INDEX(직원목록!$B$3:$B$202,MATCH($B220,직원목록!$A$3:$A$202,0)),""))</f>
        <v/>
      </c>
      <c r="D220" s="9" t="str">
        <f aca="false">IF($B220="","",IFERROR(INDEX(직원목록!$C$3:$C$202,MATCH($B220,직원목록!$A$3:$A$202,0)),""))</f>
        <v/>
      </c>
      <c r="E220" s="6"/>
      <c r="F220" s="6"/>
      <c r="G220" s="10"/>
      <c r="H220" s="6"/>
      <c r="I220" s="9" t="str">
        <f aca="false">IF($A220="","",TEXT($A220,"yyyy-mm"))</f>
        <v/>
      </c>
    </row>
    <row r="221" customFormat="false" ht="15" hidden="false" customHeight="false" outlineLevel="0" collapsed="false">
      <c r="A221" s="8"/>
      <c r="B221" s="6"/>
      <c r="C221" s="9" t="str">
        <f aca="false">IF($B221="","",IFERROR(INDEX(직원목록!$B$3:$B$202,MATCH($B221,직원목록!$A$3:$A$202,0)),""))</f>
        <v/>
      </c>
      <c r="D221" s="9" t="str">
        <f aca="false">IF($B221="","",IFERROR(INDEX(직원목록!$C$3:$C$202,MATCH($B221,직원목록!$A$3:$A$202,0)),""))</f>
        <v/>
      </c>
      <c r="E221" s="6"/>
      <c r="F221" s="6"/>
      <c r="G221" s="10"/>
      <c r="H221" s="6"/>
      <c r="I221" s="9" t="str">
        <f aca="false">IF($A221="","",TEXT($A221,"yyyy-mm"))</f>
        <v/>
      </c>
    </row>
    <row r="222" customFormat="false" ht="15" hidden="false" customHeight="false" outlineLevel="0" collapsed="false">
      <c r="A222" s="8"/>
      <c r="B222" s="6"/>
      <c r="C222" s="9" t="str">
        <f aca="false">IF($B222="","",IFERROR(INDEX(직원목록!$B$3:$B$202,MATCH($B222,직원목록!$A$3:$A$202,0)),""))</f>
        <v/>
      </c>
      <c r="D222" s="9" t="str">
        <f aca="false">IF($B222="","",IFERROR(INDEX(직원목록!$C$3:$C$202,MATCH($B222,직원목록!$A$3:$A$202,0)),""))</f>
        <v/>
      </c>
      <c r="E222" s="6"/>
      <c r="F222" s="6"/>
      <c r="G222" s="10"/>
      <c r="H222" s="6"/>
      <c r="I222" s="9" t="str">
        <f aca="false">IF($A222="","",TEXT($A222,"yyyy-mm"))</f>
        <v/>
      </c>
    </row>
    <row r="223" customFormat="false" ht="15" hidden="false" customHeight="false" outlineLevel="0" collapsed="false">
      <c r="A223" s="8"/>
      <c r="B223" s="6"/>
      <c r="C223" s="9" t="str">
        <f aca="false">IF($B223="","",IFERROR(INDEX(직원목록!$B$3:$B$202,MATCH($B223,직원목록!$A$3:$A$202,0)),""))</f>
        <v/>
      </c>
      <c r="D223" s="9" t="str">
        <f aca="false">IF($B223="","",IFERROR(INDEX(직원목록!$C$3:$C$202,MATCH($B223,직원목록!$A$3:$A$202,0)),""))</f>
        <v/>
      </c>
      <c r="E223" s="6"/>
      <c r="F223" s="6"/>
      <c r="G223" s="10"/>
      <c r="H223" s="6"/>
      <c r="I223" s="9" t="str">
        <f aca="false">IF($A223="","",TEXT($A223,"yyyy-mm"))</f>
        <v/>
      </c>
    </row>
    <row r="224" customFormat="false" ht="15" hidden="false" customHeight="false" outlineLevel="0" collapsed="false">
      <c r="A224" s="8"/>
      <c r="B224" s="6"/>
      <c r="C224" s="9" t="str">
        <f aca="false">IF($B224="","",IFERROR(INDEX(직원목록!$B$3:$B$202,MATCH($B224,직원목록!$A$3:$A$202,0)),""))</f>
        <v/>
      </c>
      <c r="D224" s="9" t="str">
        <f aca="false">IF($B224="","",IFERROR(INDEX(직원목록!$C$3:$C$202,MATCH($B224,직원목록!$A$3:$A$202,0)),""))</f>
        <v/>
      </c>
      <c r="E224" s="6"/>
      <c r="F224" s="6"/>
      <c r="G224" s="10"/>
      <c r="H224" s="6"/>
      <c r="I224" s="9" t="str">
        <f aca="false">IF($A224="","",TEXT($A224,"yyyy-mm"))</f>
        <v/>
      </c>
    </row>
    <row r="225" customFormat="false" ht="15" hidden="false" customHeight="false" outlineLevel="0" collapsed="false">
      <c r="A225" s="8"/>
      <c r="B225" s="6"/>
      <c r="C225" s="9" t="str">
        <f aca="false">IF($B225="","",IFERROR(INDEX(직원목록!$B$3:$B$202,MATCH($B225,직원목록!$A$3:$A$202,0)),""))</f>
        <v/>
      </c>
      <c r="D225" s="9" t="str">
        <f aca="false">IF($B225="","",IFERROR(INDEX(직원목록!$C$3:$C$202,MATCH($B225,직원목록!$A$3:$A$202,0)),""))</f>
        <v/>
      </c>
      <c r="E225" s="6"/>
      <c r="F225" s="6"/>
      <c r="G225" s="10"/>
      <c r="H225" s="6"/>
      <c r="I225" s="9" t="str">
        <f aca="false">IF($A225="","",TEXT($A225,"yyyy-mm"))</f>
        <v/>
      </c>
    </row>
    <row r="226" customFormat="false" ht="15" hidden="false" customHeight="false" outlineLevel="0" collapsed="false">
      <c r="A226" s="8"/>
      <c r="B226" s="6"/>
      <c r="C226" s="9" t="str">
        <f aca="false">IF($B226="","",IFERROR(INDEX(직원목록!$B$3:$B$202,MATCH($B226,직원목록!$A$3:$A$202,0)),""))</f>
        <v/>
      </c>
      <c r="D226" s="9" t="str">
        <f aca="false">IF($B226="","",IFERROR(INDEX(직원목록!$C$3:$C$202,MATCH($B226,직원목록!$A$3:$A$202,0)),""))</f>
        <v/>
      </c>
      <c r="E226" s="6"/>
      <c r="F226" s="6"/>
      <c r="G226" s="10"/>
      <c r="H226" s="6"/>
      <c r="I226" s="9" t="str">
        <f aca="false">IF($A226="","",TEXT($A226,"yyyy-mm"))</f>
        <v/>
      </c>
    </row>
    <row r="227" customFormat="false" ht="15" hidden="false" customHeight="false" outlineLevel="0" collapsed="false">
      <c r="A227" s="8"/>
      <c r="B227" s="6"/>
      <c r="C227" s="9" t="str">
        <f aca="false">IF($B227="","",IFERROR(INDEX(직원목록!$B$3:$B$202,MATCH($B227,직원목록!$A$3:$A$202,0)),""))</f>
        <v/>
      </c>
      <c r="D227" s="9" t="str">
        <f aca="false">IF($B227="","",IFERROR(INDEX(직원목록!$C$3:$C$202,MATCH($B227,직원목록!$A$3:$A$202,0)),""))</f>
        <v/>
      </c>
      <c r="E227" s="6"/>
      <c r="F227" s="6"/>
      <c r="G227" s="10"/>
      <c r="H227" s="6"/>
      <c r="I227" s="9" t="str">
        <f aca="false">IF($A227="","",TEXT($A227,"yyyy-mm"))</f>
        <v/>
      </c>
    </row>
    <row r="228" customFormat="false" ht="15" hidden="false" customHeight="false" outlineLevel="0" collapsed="false">
      <c r="A228" s="8"/>
      <c r="B228" s="6"/>
      <c r="C228" s="9" t="str">
        <f aca="false">IF($B228="","",IFERROR(INDEX(직원목록!$B$3:$B$202,MATCH($B228,직원목록!$A$3:$A$202,0)),""))</f>
        <v/>
      </c>
      <c r="D228" s="9" t="str">
        <f aca="false">IF($B228="","",IFERROR(INDEX(직원목록!$C$3:$C$202,MATCH($B228,직원목록!$A$3:$A$202,0)),""))</f>
        <v/>
      </c>
      <c r="E228" s="6"/>
      <c r="F228" s="6"/>
      <c r="G228" s="10"/>
      <c r="H228" s="6"/>
      <c r="I228" s="9" t="str">
        <f aca="false">IF($A228="","",TEXT($A228,"yyyy-mm"))</f>
        <v/>
      </c>
    </row>
    <row r="229" customFormat="false" ht="15" hidden="false" customHeight="false" outlineLevel="0" collapsed="false">
      <c r="A229" s="8"/>
      <c r="B229" s="6"/>
      <c r="C229" s="9" t="str">
        <f aca="false">IF($B229="","",IFERROR(INDEX(직원목록!$B$3:$B$202,MATCH($B229,직원목록!$A$3:$A$202,0)),""))</f>
        <v/>
      </c>
      <c r="D229" s="9" t="str">
        <f aca="false">IF($B229="","",IFERROR(INDEX(직원목록!$C$3:$C$202,MATCH($B229,직원목록!$A$3:$A$202,0)),""))</f>
        <v/>
      </c>
      <c r="E229" s="6"/>
      <c r="F229" s="6"/>
      <c r="G229" s="10"/>
      <c r="H229" s="6"/>
      <c r="I229" s="9" t="str">
        <f aca="false">IF($A229="","",TEXT($A229,"yyyy-mm"))</f>
        <v/>
      </c>
    </row>
    <row r="230" customFormat="false" ht="15" hidden="false" customHeight="false" outlineLevel="0" collapsed="false">
      <c r="A230" s="8"/>
      <c r="B230" s="6"/>
      <c r="C230" s="9" t="str">
        <f aca="false">IF($B230="","",IFERROR(INDEX(직원목록!$B$3:$B$202,MATCH($B230,직원목록!$A$3:$A$202,0)),""))</f>
        <v/>
      </c>
      <c r="D230" s="9" t="str">
        <f aca="false">IF($B230="","",IFERROR(INDEX(직원목록!$C$3:$C$202,MATCH($B230,직원목록!$A$3:$A$202,0)),""))</f>
        <v/>
      </c>
      <c r="E230" s="6"/>
      <c r="F230" s="6"/>
      <c r="G230" s="10"/>
      <c r="H230" s="6"/>
      <c r="I230" s="9" t="str">
        <f aca="false">IF($A230="","",TEXT($A230,"yyyy-mm"))</f>
        <v/>
      </c>
    </row>
    <row r="231" customFormat="false" ht="15" hidden="false" customHeight="false" outlineLevel="0" collapsed="false">
      <c r="A231" s="8"/>
      <c r="B231" s="6"/>
      <c r="C231" s="9" t="str">
        <f aca="false">IF($B231="","",IFERROR(INDEX(직원목록!$B$3:$B$202,MATCH($B231,직원목록!$A$3:$A$202,0)),""))</f>
        <v/>
      </c>
      <c r="D231" s="9" t="str">
        <f aca="false">IF($B231="","",IFERROR(INDEX(직원목록!$C$3:$C$202,MATCH($B231,직원목록!$A$3:$A$202,0)),""))</f>
        <v/>
      </c>
      <c r="E231" s="6"/>
      <c r="F231" s="6"/>
      <c r="G231" s="10"/>
      <c r="H231" s="6"/>
      <c r="I231" s="9" t="str">
        <f aca="false">IF($A231="","",TEXT($A231,"yyyy-mm"))</f>
        <v/>
      </c>
    </row>
    <row r="232" customFormat="false" ht="15" hidden="false" customHeight="false" outlineLevel="0" collapsed="false">
      <c r="A232" s="8"/>
      <c r="B232" s="6"/>
      <c r="C232" s="9" t="str">
        <f aca="false">IF($B232="","",IFERROR(INDEX(직원목록!$B$3:$B$202,MATCH($B232,직원목록!$A$3:$A$202,0)),""))</f>
        <v/>
      </c>
      <c r="D232" s="9" t="str">
        <f aca="false">IF($B232="","",IFERROR(INDEX(직원목록!$C$3:$C$202,MATCH($B232,직원목록!$A$3:$A$202,0)),""))</f>
        <v/>
      </c>
      <c r="E232" s="6"/>
      <c r="F232" s="6"/>
      <c r="G232" s="10"/>
      <c r="H232" s="6"/>
      <c r="I232" s="9" t="str">
        <f aca="false">IF($A232="","",TEXT($A232,"yyyy-mm"))</f>
        <v/>
      </c>
    </row>
    <row r="233" customFormat="false" ht="15" hidden="false" customHeight="false" outlineLevel="0" collapsed="false">
      <c r="A233" s="8"/>
      <c r="B233" s="6"/>
      <c r="C233" s="9" t="str">
        <f aca="false">IF($B233="","",IFERROR(INDEX(직원목록!$B$3:$B$202,MATCH($B233,직원목록!$A$3:$A$202,0)),""))</f>
        <v/>
      </c>
      <c r="D233" s="9" t="str">
        <f aca="false">IF($B233="","",IFERROR(INDEX(직원목록!$C$3:$C$202,MATCH($B233,직원목록!$A$3:$A$202,0)),""))</f>
        <v/>
      </c>
      <c r="E233" s="6"/>
      <c r="F233" s="6"/>
      <c r="G233" s="10"/>
      <c r="H233" s="6"/>
      <c r="I233" s="9" t="str">
        <f aca="false">IF($A233="","",TEXT($A233,"yyyy-mm"))</f>
        <v/>
      </c>
    </row>
    <row r="234" customFormat="false" ht="15" hidden="false" customHeight="false" outlineLevel="0" collapsed="false">
      <c r="A234" s="8"/>
      <c r="B234" s="6"/>
      <c r="C234" s="9" t="str">
        <f aca="false">IF($B234="","",IFERROR(INDEX(직원목록!$B$3:$B$202,MATCH($B234,직원목록!$A$3:$A$202,0)),""))</f>
        <v/>
      </c>
      <c r="D234" s="9" t="str">
        <f aca="false">IF($B234="","",IFERROR(INDEX(직원목록!$C$3:$C$202,MATCH($B234,직원목록!$A$3:$A$202,0)),""))</f>
        <v/>
      </c>
      <c r="E234" s="6"/>
      <c r="F234" s="6"/>
      <c r="G234" s="10"/>
      <c r="H234" s="6"/>
      <c r="I234" s="9" t="str">
        <f aca="false">IF($A234="","",TEXT($A234,"yyyy-mm"))</f>
        <v/>
      </c>
    </row>
    <row r="235" customFormat="false" ht="15" hidden="false" customHeight="false" outlineLevel="0" collapsed="false">
      <c r="A235" s="8"/>
      <c r="B235" s="6"/>
      <c r="C235" s="9" t="str">
        <f aca="false">IF($B235="","",IFERROR(INDEX(직원목록!$B$3:$B$202,MATCH($B235,직원목록!$A$3:$A$202,0)),""))</f>
        <v/>
      </c>
      <c r="D235" s="9" t="str">
        <f aca="false">IF($B235="","",IFERROR(INDEX(직원목록!$C$3:$C$202,MATCH($B235,직원목록!$A$3:$A$202,0)),""))</f>
        <v/>
      </c>
      <c r="E235" s="6"/>
      <c r="F235" s="6"/>
      <c r="G235" s="10"/>
      <c r="H235" s="6"/>
      <c r="I235" s="9" t="str">
        <f aca="false">IF($A235="","",TEXT($A235,"yyyy-mm"))</f>
        <v/>
      </c>
    </row>
    <row r="236" customFormat="false" ht="15" hidden="false" customHeight="false" outlineLevel="0" collapsed="false">
      <c r="A236" s="8"/>
      <c r="B236" s="6"/>
      <c r="C236" s="9" t="str">
        <f aca="false">IF($B236="","",IFERROR(INDEX(직원목록!$B$3:$B$202,MATCH($B236,직원목록!$A$3:$A$202,0)),""))</f>
        <v/>
      </c>
      <c r="D236" s="9" t="str">
        <f aca="false">IF($B236="","",IFERROR(INDEX(직원목록!$C$3:$C$202,MATCH($B236,직원목록!$A$3:$A$202,0)),""))</f>
        <v/>
      </c>
      <c r="E236" s="6"/>
      <c r="F236" s="6"/>
      <c r="G236" s="10"/>
      <c r="H236" s="6"/>
      <c r="I236" s="9" t="str">
        <f aca="false">IF($A236="","",TEXT($A236,"yyyy-mm"))</f>
        <v/>
      </c>
    </row>
    <row r="237" customFormat="false" ht="15" hidden="false" customHeight="false" outlineLevel="0" collapsed="false">
      <c r="A237" s="8"/>
      <c r="B237" s="6"/>
      <c r="C237" s="9" t="str">
        <f aca="false">IF($B237="","",IFERROR(INDEX(직원목록!$B$3:$B$202,MATCH($B237,직원목록!$A$3:$A$202,0)),""))</f>
        <v/>
      </c>
      <c r="D237" s="9" t="str">
        <f aca="false">IF($B237="","",IFERROR(INDEX(직원목록!$C$3:$C$202,MATCH($B237,직원목록!$A$3:$A$202,0)),""))</f>
        <v/>
      </c>
      <c r="E237" s="6"/>
      <c r="F237" s="6"/>
      <c r="G237" s="10"/>
      <c r="H237" s="6"/>
      <c r="I237" s="9" t="str">
        <f aca="false">IF($A237="","",TEXT($A237,"yyyy-mm"))</f>
        <v/>
      </c>
    </row>
    <row r="238" customFormat="false" ht="15" hidden="false" customHeight="false" outlineLevel="0" collapsed="false">
      <c r="A238" s="8"/>
      <c r="B238" s="6"/>
      <c r="C238" s="9" t="str">
        <f aca="false">IF($B238="","",IFERROR(INDEX(직원목록!$B$3:$B$202,MATCH($B238,직원목록!$A$3:$A$202,0)),""))</f>
        <v/>
      </c>
      <c r="D238" s="9" t="str">
        <f aca="false">IF($B238="","",IFERROR(INDEX(직원목록!$C$3:$C$202,MATCH($B238,직원목록!$A$3:$A$202,0)),""))</f>
        <v/>
      </c>
      <c r="E238" s="6"/>
      <c r="F238" s="6"/>
      <c r="G238" s="10"/>
      <c r="H238" s="6"/>
      <c r="I238" s="9" t="str">
        <f aca="false">IF($A238="","",TEXT($A238,"yyyy-mm"))</f>
        <v/>
      </c>
    </row>
    <row r="239" customFormat="false" ht="15" hidden="false" customHeight="false" outlineLevel="0" collapsed="false">
      <c r="A239" s="8"/>
      <c r="B239" s="6"/>
      <c r="C239" s="9" t="str">
        <f aca="false">IF($B239="","",IFERROR(INDEX(직원목록!$B$3:$B$202,MATCH($B239,직원목록!$A$3:$A$202,0)),""))</f>
        <v/>
      </c>
      <c r="D239" s="9" t="str">
        <f aca="false">IF($B239="","",IFERROR(INDEX(직원목록!$C$3:$C$202,MATCH($B239,직원목록!$A$3:$A$202,0)),""))</f>
        <v/>
      </c>
      <c r="E239" s="6"/>
      <c r="F239" s="6"/>
      <c r="G239" s="10"/>
      <c r="H239" s="6"/>
      <c r="I239" s="9" t="str">
        <f aca="false">IF($A239="","",TEXT($A239,"yyyy-mm"))</f>
        <v/>
      </c>
    </row>
    <row r="240" customFormat="false" ht="15" hidden="false" customHeight="false" outlineLevel="0" collapsed="false">
      <c r="A240" s="8"/>
      <c r="B240" s="6"/>
      <c r="C240" s="9" t="str">
        <f aca="false">IF($B240="","",IFERROR(INDEX(직원목록!$B$3:$B$202,MATCH($B240,직원목록!$A$3:$A$202,0)),""))</f>
        <v/>
      </c>
      <c r="D240" s="9" t="str">
        <f aca="false">IF($B240="","",IFERROR(INDEX(직원목록!$C$3:$C$202,MATCH($B240,직원목록!$A$3:$A$202,0)),""))</f>
        <v/>
      </c>
      <c r="E240" s="6"/>
      <c r="F240" s="6"/>
      <c r="G240" s="10"/>
      <c r="H240" s="6"/>
      <c r="I240" s="9" t="str">
        <f aca="false">IF($A240="","",TEXT($A240,"yyyy-mm"))</f>
        <v/>
      </c>
    </row>
    <row r="241" customFormat="false" ht="15" hidden="false" customHeight="false" outlineLevel="0" collapsed="false">
      <c r="A241" s="8"/>
      <c r="B241" s="6"/>
      <c r="C241" s="9" t="str">
        <f aca="false">IF($B241="","",IFERROR(INDEX(직원목록!$B$3:$B$202,MATCH($B241,직원목록!$A$3:$A$202,0)),""))</f>
        <v/>
      </c>
      <c r="D241" s="9" t="str">
        <f aca="false">IF($B241="","",IFERROR(INDEX(직원목록!$C$3:$C$202,MATCH($B241,직원목록!$A$3:$A$202,0)),""))</f>
        <v/>
      </c>
      <c r="E241" s="6"/>
      <c r="F241" s="6"/>
      <c r="G241" s="10"/>
      <c r="H241" s="6"/>
      <c r="I241" s="9" t="str">
        <f aca="false">IF($A241="","",TEXT($A241,"yyyy-mm"))</f>
        <v/>
      </c>
    </row>
    <row r="242" customFormat="false" ht="15" hidden="false" customHeight="false" outlineLevel="0" collapsed="false">
      <c r="A242" s="8"/>
      <c r="B242" s="6"/>
      <c r="C242" s="9" t="str">
        <f aca="false">IF($B242="","",IFERROR(INDEX(직원목록!$B$3:$B$202,MATCH($B242,직원목록!$A$3:$A$202,0)),""))</f>
        <v/>
      </c>
      <c r="D242" s="9" t="str">
        <f aca="false">IF($B242="","",IFERROR(INDEX(직원목록!$C$3:$C$202,MATCH($B242,직원목록!$A$3:$A$202,0)),""))</f>
        <v/>
      </c>
      <c r="E242" s="6"/>
      <c r="F242" s="6"/>
      <c r="G242" s="10"/>
      <c r="H242" s="6"/>
      <c r="I242" s="9" t="str">
        <f aca="false">IF($A242="","",TEXT($A242,"yyyy-mm"))</f>
        <v/>
      </c>
    </row>
    <row r="243" customFormat="false" ht="15" hidden="false" customHeight="false" outlineLevel="0" collapsed="false">
      <c r="A243" s="8"/>
      <c r="B243" s="6"/>
      <c r="C243" s="9" t="str">
        <f aca="false">IF($B243="","",IFERROR(INDEX(직원목록!$B$3:$B$202,MATCH($B243,직원목록!$A$3:$A$202,0)),""))</f>
        <v/>
      </c>
      <c r="D243" s="9" t="str">
        <f aca="false">IF($B243="","",IFERROR(INDEX(직원목록!$C$3:$C$202,MATCH($B243,직원목록!$A$3:$A$202,0)),""))</f>
        <v/>
      </c>
      <c r="E243" s="6"/>
      <c r="F243" s="6"/>
      <c r="G243" s="10"/>
      <c r="H243" s="6"/>
      <c r="I243" s="9" t="str">
        <f aca="false">IF($A243="","",TEXT($A243,"yyyy-mm"))</f>
        <v/>
      </c>
    </row>
    <row r="244" customFormat="false" ht="15" hidden="false" customHeight="false" outlineLevel="0" collapsed="false">
      <c r="A244" s="8"/>
      <c r="B244" s="6"/>
      <c r="C244" s="9" t="str">
        <f aca="false">IF($B244="","",IFERROR(INDEX(직원목록!$B$3:$B$202,MATCH($B244,직원목록!$A$3:$A$202,0)),""))</f>
        <v/>
      </c>
      <c r="D244" s="9" t="str">
        <f aca="false">IF($B244="","",IFERROR(INDEX(직원목록!$C$3:$C$202,MATCH($B244,직원목록!$A$3:$A$202,0)),""))</f>
        <v/>
      </c>
      <c r="E244" s="6"/>
      <c r="F244" s="6"/>
      <c r="G244" s="10"/>
      <c r="H244" s="6"/>
      <c r="I244" s="9" t="str">
        <f aca="false">IF($A244="","",TEXT($A244,"yyyy-mm"))</f>
        <v/>
      </c>
    </row>
    <row r="245" customFormat="false" ht="15" hidden="false" customHeight="false" outlineLevel="0" collapsed="false">
      <c r="A245" s="8"/>
      <c r="B245" s="6"/>
      <c r="C245" s="9" t="str">
        <f aca="false">IF($B245="","",IFERROR(INDEX(직원목록!$B$3:$B$202,MATCH($B245,직원목록!$A$3:$A$202,0)),""))</f>
        <v/>
      </c>
      <c r="D245" s="9" t="str">
        <f aca="false">IF($B245="","",IFERROR(INDEX(직원목록!$C$3:$C$202,MATCH($B245,직원목록!$A$3:$A$202,0)),""))</f>
        <v/>
      </c>
      <c r="E245" s="6"/>
      <c r="F245" s="6"/>
      <c r="G245" s="10"/>
      <c r="H245" s="6"/>
      <c r="I245" s="9" t="str">
        <f aca="false">IF($A245="","",TEXT($A245,"yyyy-mm"))</f>
        <v/>
      </c>
    </row>
    <row r="246" customFormat="false" ht="15" hidden="false" customHeight="false" outlineLevel="0" collapsed="false">
      <c r="A246" s="8"/>
      <c r="B246" s="6"/>
      <c r="C246" s="9" t="str">
        <f aca="false">IF($B246="","",IFERROR(INDEX(직원목록!$B$3:$B$202,MATCH($B246,직원목록!$A$3:$A$202,0)),""))</f>
        <v/>
      </c>
      <c r="D246" s="9" t="str">
        <f aca="false">IF($B246="","",IFERROR(INDEX(직원목록!$C$3:$C$202,MATCH($B246,직원목록!$A$3:$A$202,0)),""))</f>
        <v/>
      </c>
      <c r="E246" s="6"/>
      <c r="F246" s="6"/>
      <c r="G246" s="10"/>
      <c r="H246" s="6"/>
      <c r="I246" s="9" t="str">
        <f aca="false">IF($A246="","",TEXT($A246,"yyyy-mm"))</f>
        <v/>
      </c>
    </row>
    <row r="247" customFormat="false" ht="15" hidden="false" customHeight="false" outlineLevel="0" collapsed="false">
      <c r="A247" s="8"/>
      <c r="B247" s="6"/>
      <c r="C247" s="9" t="str">
        <f aca="false">IF($B247="","",IFERROR(INDEX(직원목록!$B$3:$B$202,MATCH($B247,직원목록!$A$3:$A$202,0)),""))</f>
        <v/>
      </c>
      <c r="D247" s="9" t="str">
        <f aca="false">IF($B247="","",IFERROR(INDEX(직원목록!$C$3:$C$202,MATCH($B247,직원목록!$A$3:$A$202,0)),""))</f>
        <v/>
      </c>
      <c r="E247" s="6"/>
      <c r="F247" s="6"/>
      <c r="G247" s="10"/>
      <c r="H247" s="6"/>
      <c r="I247" s="9" t="str">
        <f aca="false">IF($A247="","",TEXT($A247,"yyyy-mm"))</f>
        <v/>
      </c>
    </row>
    <row r="248" customFormat="false" ht="15" hidden="false" customHeight="false" outlineLevel="0" collapsed="false">
      <c r="A248" s="8"/>
      <c r="B248" s="6"/>
      <c r="C248" s="9" t="str">
        <f aca="false">IF($B248="","",IFERROR(INDEX(직원목록!$B$3:$B$202,MATCH($B248,직원목록!$A$3:$A$202,0)),""))</f>
        <v/>
      </c>
      <c r="D248" s="9" t="str">
        <f aca="false">IF($B248="","",IFERROR(INDEX(직원목록!$C$3:$C$202,MATCH($B248,직원목록!$A$3:$A$202,0)),""))</f>
        <v/>
      </c>
      <c r="E248" s="6"/>
      <c r="F248" s="6"/>
      <c r="G248" s="10"/>
      <c r="H248" s="6"/>
      <c r="I248" s="9" t="str">
        <f aca="false">IF($A248="","",TEXT($A248,"yyyy-mm"))</f>
        <v/>
      </c>
    </row>
    <row r="249" customFormat="false" ht="15" hidden="false" customHeight="false" outlineLevel="0" collapsed="false">
      <c r="A249" s="8"/>
      <c r="B249" s="6"/>
      <c r="C249" s="9" t="str">
        <f aca="false">IF($B249="","",IFERROR(INDEX(직원목록!$B$3:$B$202,MATCH($B249,직원목록!$A$3:$A$202,0)),""))</f>
        <v/>
      </c>
      <c r="D249" s="9" t="str">
        <f aca="false">IF($B249="","",IFERROR(INDEX(직원목록!$C$3:$C$202,MATCH($B249,직원목록!$A$3:$A$202,0)),""))</f>
        <v/>
      </c>
      <c r="E249" s="6"/>
      <c r="F249" s="6"/>
      <c r="G249" s="10"/>
      <c r="H249" s="6"/>
      <c r="I249" s="9" t="str">
        <f aca="false">IF($A249="","",TEXT($A249,"yyyy-mm"))</f>
        <v/>
      </c>
    </row>
    <row r="250" customFormat="false" ht="15" hidden="false" customHeight="false" outlineLevel="0" collapsed="false">
      <c r="A250" s="8"/>
      <c r="B250" s="6"/>
      <c r="C250" s="9" t="str">
        <f aca="false">IF($B250="","",IFERROR(INDEX(직원목록!$B$3:$B$202,MATCH($B250,직원목록!$A$3:$A$202,0)),""))</f>
        <v/>
      </c>
      <c r="D250" s="9" t="str">
        <f aca="false">IF($B250="","",IFERROR(INDEX(직원목록!$C$3:$C$202,MATCH($B250,직원목록!$A$3:$A$202,0)),""))</f>
        <v/>
      </c>
      <c r="E250" s="6"/>
      <c r="F250" s="6"/>
      <c r="G250" s="10"/>
      <c r="H250" s="6"/>
      <c r="I250" s="9" t="str">
        <f aca="false">IF($A250="","",TEXT($A250,"yyyy-mm"))</f>
        <v/>
      </c>
    </row>
    <row r="251" customFormat="false" ht="15" hidden="false" customHeight="false" outlineLevel="0" collapsed="false">
      <c r="A251" s="8"/>
      <c r="B251" s="6"/>
      <c r="C251" s="9" t="str">
        <f aca="false">IF($B251="","",IFERROR(INDEX(직원목록!$B$3:$B$202,MATCH($B251,직원목록!$A$3:$A$202,0)),""))</f>
        <v/>
      </c>
      <c r="D251" s="9" t="str">
        <f aca="false">IF($B251="","",IFERROR(INDEX(직원목록!$C$3:$C$202,MATCH($B251,직원목록!$A$3:$A$202,0)),""))</f>
        <v/>
      </c>
      <c r="E251" s="6"/>
      <c r="F251" s="6"/>
      <c r="G251" s="10"/>
      <c r="H251" s="6"/>
      <c r="I251" s="9" t="str">
        <f aca="false">IF($A251="","",TEXT($A251,"yyyy-mm"))</f>
        <v/>
      </c>
    </row>
    <row r="252" customFormat="false" ht="15" hidden="false" customHeight="false" outlineLevel="0" collapsed="false">
      <c r="A252" s="8"/>
      <c r="B252" s="6"/>
      <c r="C252" s="9" t="str">
        <f aca="false">IF($B252="","",IFERROR(INDEX(직원목록!$B$3:$B$202,MATCH($B252,직원목록!$A$3:$A$202,0)),""))</f>
        <v/>
      </c>
      <c r="D252" s="9" t="str">
        <f aca="false">IF($B252="","",IFERROR(INDEX(직원목록!$C$3:$C$202,MATCH($B252,직원목록!$A$3:$A$202,0)),""))</f>
        <v/>
      </c>
      <c r="E252" s="6"/>
      <c r="F252" s="6"/>
      <c r="G252" s="10"/>
      <c r="H252" s="6"/>
      <c r="I252" s="9" t="str">
        <f aca="false">IF($A252="","",TEXT($A252,"yyyy-mm"))</f>
        <v/>
      </c>
    </row>
    <row r="253" customFormat="false" ht="15" hidden="false" customHeight="false" outlineLevel="0" collapsed="false">
      <c r="A253" s="8"/>
      <c r="B253" s="6"/>
      <c r="C253" s="9" t="str">
        <f aca="false">IF($B253="","",IFERROR(INDEX(직원목록!$B$3:$B$202,MATCH($B253,직원목록!$A$3:$A$202,0)),""))</f>
        <v/>
      </c>
      <c r="D253" s="9" t="str">
        <f aca="false">IF($B253="","",IFERROR(INDEX(직원목록!$C$3:$C$202,MATCH($B253,직원목록!$A$3:$A$202,0)),""))</f>
        <v/>
      </c>
      <c r="E253" s="6"/>
      <c r="F253" s="6"/>
      <c r="G253" s="10"/>
      <c r="H253" s="6"/>
      <c r="I253" s="9" t="str">
        <f aca="false">IF($A253="","",TEXT($A253,"yyyy-mm"))</f>
        <v/>
      </c>
    </row>
    <row r="254" customFormat="false" ht="15" hidden="false" customHeight="false" outlineLevel="0" collapsed="false">
      <c r="A254" s="8"/>
      <c r="B254" s="6"/>
      <c r="C254" s="9" t="str">
        <f aca="false">IF($B254="","",IFERROR(INDEX(직원목록!$B$3:$B$202,MATCH($B254,직원목록!$A$3:$A$202,0)),""))</f>
        <v/>
      </c>
      <c r="D254" s="9" t="str">
        <f aca="false">IF($B254="","",IFERROR(INDEX(직원목록!$C$3:$C$202,MATCH($B254,직원목록!$A$3:$A$202,0)),""))</f>
        <v/>
      </c>
      <c r="E254" s="6"/>
      <c r="F254" s="6"/>
      <c r="G254" s="10"/>
      <c r="H254" s="6"/>
      <c r="I254" s="9" t="str">
        <f aca="false">IF($A254="","",TEXT($A254,"yyyy-mm"))</f>
        <v/>
      </c>
    </row>
    <row r="255" customFormat="false" ht="15" hidden="false" customHeight="false" outlineLevel="0" collapsed="false">
      <c r="A255" s="8"/>
      <c r="B255" s="6"/>
      <c r="C255" s="9" t="str">
        <f aca="false">IF($B255="","",IFERROR(INDEX(직원목록!$B$3:$B$202,MATCH($B255,직원목록!$A$3:$A$202,0)),""))</f>
        <v/>
      </c>
      <c r="D255" s="9" t="str">
        <f aca="false">IF($B255="","",IFERROR(INDEX(직원목록!$C$3:$C$202,MATCH($B255,직원목록!$A$3:$A$202,0)),""))</f>
        <v/>
      </c>
      <c r="E255" s="6"/>
      <c r="F255" s="6"/>
      <c r="G255" s="10"/>
      <c r="H255" s="6"/>
      <c r="I255" s="9" t="str">
        <f aca="false">IF($A255="","",TEXT($A255,"yyyy-mm"))</f>
        <v/>
      </c>
    </row>
    <row r="256" customFormat="false" ht="15" hidden="false" customHeight="false" outlineLevel="0" collapsed="false">
      <c r="A256" s="8"/>
      <c r="B256" s="6"/>
      <c r="C256" s="9" t="str">
        <f aca="false">IF($B256="","",IFERROR(INDEX(직원목록!$B$3:$B$202,MATCH($B256,직원목록!$A$3:$A$202,0)),""))</f>
        <v/>
      </c>
      <c r="D256" s="9" t="str">
        <f aca="false">IF($B256="","",IFERROR(INDEX(직원목록!$C$3:$C$202,MATCH($B256,직원목록!$A$3:$A$202,0)),""))</f>
        <v/>
      </c>
      <c r="E256" s="6"/>
      <c r="F256" s="6"/>
      <c r="G256" s="10"/>
      <c r="H256" s="6"/>
      <c r="I256" s="9" t="str">
        <f aca="false">IF($A256="","",TEXT($A256,"yyyy-mm"))</f>
        <v/>
      </c>
    </row>
    <row r="257" customFormat="false" ht="15" hidden="false" customHeight="false" outlineLevel="0" collapsed="false">
      <c r="A257" s="8"/>
      <c r="B257" s="6"/>
      <c r="C257" s="9" t="str">
        <f aca="false">IF($B257="","",IFERROR(INDEX(직원목록!$B$3:$B$202,MATCH($B257,직원목록!$A$3:$A$202,0)),""))</f>
        <v/>
      </c>
      <c r="D257" s="9" t="str">
        <f aca="false">IF($B257="","",IFERROR(INDEX(직원목록!$C$3:$C$202,MATCH($B257,직원목록!$A$3:$A$202,0)),""))</f>
        <v/>
      </c>
      <c r="E257" s="6"/>
      <c r="F257" s="6"/>
      <c r="G257" s="10"/>
      <c r="H257" s="6"/>
      <c r="I257" s="9" t="str">
        <f aca="false">IF($A257="","",TEXT($A257,"yyyy-mm"))</f>
        <v/>
      </c>
    </row>
    <row r="258" customFormat="false" ht="15" hidden="false" customHeight="false" outlineLevel="0" collapsed="false">
      <c r="A258" s="8"/>
      <c r="B258" s="6"/>
      <c r="C258" s="9" t="str">
        <f aca="false">IF($B258="","",IFERROR(INDEX(직원목록!$B$3:$B$202,MATCH($B258,직원목록!$A$3:$A$202,0)),""))</f>
        <v/>
      </c>
      <c r="D258" s="9" t="str">
        <f aca="false">IF($B258="","",IFERROR(INDEX(직원목록!$C$3:$C$202,MATCH($B258,직원목록!$A$3:$A$202,0)),""))</f>
        <v/>
      </c>
      <c r="E258" s="6"/>
      <c r="F258" s="6"/>
      <c r="G258" s="10"/>
      <c r="H258" s="6"/>
      <c r="I258" s="9" t="str">
        <f aca="false">IF($A258="","",TEXT($A258,"yyyy-mm"))</f>
        <v/>
      </c>
    </row>
    <row r="259" customFormat="false" ht="15" hidden="false" customHeight="false" outlineLevel="0" collapsed="false">
      <c r="A259" s="8"/>
      <c r="B259" s="6"/>
      <c r="C259" s="9" t="str">
        <f aca="false">IF($B259="","",IFERROR(INDEX(직원목록!$B$3:$B$202,MATCH($B259,직원목록!$A$3:$A$202,0)),""))</f>
        <v/>
      </c>
      <c r="D259" s="9" t="str">
        <f aca="false">IF($B259="","",IFERROR(INDEX(직원목록!$C$3:$C$202,MATCH($B259,직원목록!$A$3:$A$202,0)),""))</f>
        <v/>
      </c>
      <c r="E259" s="6"/>
      <c r="F259" s="6"/>
      <c r="G259" s="10"/>
      <c r="H259" s="6"/>
      <c r="I259" s="9" t="str">
        <f aca="false">IF($A259="","",TEXT($A259,"yyyy-mm"))</f>
        <v/>
      </c>
    </row>
    <row r="260" customFormat="false" ht="15" hidden="false" customHeight="false" outlineLevel="0" collapsed="false">
      <c r="A260" s="8"/>
      <c r="B260" s="6"/>
      <c r="C260" s="9" t="str">
        <f aca="false">IF($B260="","",IFERROR(INDEX(직원목록!$B$3:$B$202,MATCH($B260,직원목록!$A$3:$A$202,0)),""))</f>
        <v/>
      </c>
      <c r="D260" s="9" t="str">
        <f aca="false">IF($B260="","",IFERROR(INDEX(직원목록!$C$3:$C$202,MATCH($B260,직원목록!$A$3:$A$202,0)),""))</f>
        <v/>
      </c>
      <c r="E260" s="6"/>
      <c r="F260" s="6"/>
      <c r="G260" s="10"/>
      <c r="H260" s="6"/>
      <c r="I260" s="9" t="str">
        <f aca="false">IF($A260="","",TEXT($A260,"yyyy-mm"))</f>
        <v/>
      </c>
    </row>
    <row r="261" customFormat="false" ht="15" hidden="false" customHeight="false" outlineLevel="0" collapsed="false">
      <c r="A261" s="8"/>
      <c r="B261" s="6"/>
      <c r="C261" s="9" t="str">
        <f aca="false">IF($B261="","",IFERROR(INDEX(직원목록!$B$3:$B$202,MATCH($B261,직원목록!$A$3:$A$202,0)),""))</f>
        <v/>
      </c>
      <c r="D261" s="9" t="str">
        <f aca="false">IF($B261="","",IFERROR(INDEX(직원목록!$C$3:$C$202,MATCH($B261,직원목록!$A$3:$A$202,0)),""))</f>
        <v/>
      </c>
      <c r="E261" s="6"/>
      <c r="F261" s="6"/>
      <c r="G261" s="10"/>
      <c r="H261" s="6"/>
      <c r="I261" s="9" t="str">
        <f aca="false">IF($A261="","",TEXT($A261,"yyyy-mm"))</f>
        <v/>
      </c>
    </row>
    <row r="262" customFormat="false" ht="15" hidden="false" customHeight="false" outlineLevel="0" collapsed="false">
      <c r="A262" s="8"/>
      <c r="B262" s="6"/>
      <c r="C262" s="9" t="str">
        <f aca="false">IF($B262="","",IFERROR(INDEX(직원목록!$B$3:$B$202,MATCH($B262,직원목록!$A$3:$A$202,0)),""))</f>
        <v/>
      </c>
      <c r="D262" s="9" t="str">
        <f aca="false">IF($B262="","",IFERROR(INDEX(직원목록!$C$3:$C$202,MATCH($B262,직원목록!$A$3:$A$202,0)),""))</f>
        <v/>
      </c>
      <c r="E262" s="6"/>
      <c r="F262" s="6"/>
      <c r="G262" s="10"/>
      <c r="H262" s="6"/>
      <c r="I262" s="9" t="str">
        <f aca="false">IF($A262="","",TEXT($A262,"yyyy-mm"))</f>
        <v/>
      </c>
    </row>
    <row r="263" customFormat="false" ht="15" hidden="false" customHeight="false" outlineLevel="0" collapsed="false">
      <c r="A263" s="8"/>
      <c r="B263" s="6"/>
      <c r="C263" s="9" t="str">
        <f aca="false">IF($B263="","",IFERROR(INDEX(직원목록!$B$3:$B$202,MATCH($B263,직원목록!$A$3:$A$202,0)),""))</f>
        <v/>
      </c>
      <c r="D263" s="9" t="str">
        <f aca="false">IF($B263="","",IFERROR(INDEX(직원목록!$C$3:$C$202,MATCH($B263,직원목록!$A$3:$A$202,0)),""))</f>
        <v/>
      </c>
      <c r="E263" s="6"/>
      <c r="F263" s="6"/>
      <c r="G263" s="10"/>
      <c r="H263" s="6"/>
      <c r="I263" s="9" t="str">
        <f aca="false">IF($A263="","",TEXT($A263,"yyyy-mm"))</f>
        <v/>
      </c>
    </row>
    <row r="264" customFormat="false" ht="15" hidden="false" customHeight="false" outlineLevel="0" collapsed="false">
      <c r="A264" s="8"/>
      <c r="B264" s="6"/>
      <c r="C264" s="9" t="str">
        <f aca="false">IF($B264="","",IFERROR(INDEX(직원목록!$B$3:$B$202,MATCH($B264,직원목록!$A$3:$A$202,0)),""))</f>
        <v/>
      </c>
      <c r="D264" s="9" t="str">
        <f aca="false">IF($B264="","",IFERROR(INDEX(직원목록!$C$3:$C$202,MATCH($B264,직원목록!$A$3:$A$202,0)),""))</f>
        <v/>
      </c>
      <c r="E264" s="6"/>
      <c r="F264" s="6"/>
      <c r="G264" s="10"/>
      <c r="H264" s="6"/>
      <c r="I264" s="9" t="str">
        <f aca="false">IF($A264="","",TEXT($A264,"yyyy-mm"))</f>
        <v/>
      </c>
    </row>
    <row r="265" customFormat="false" ht="15" hidden="false" customHeight="false" outlineLevel="0" collapsed="false">
      <c r="A265" s="8"/>
      <c r="B265" s="6"/>
      <c r="C265" s="9" t="str">
        <f aca="false">IF($B265="","",IFERROR(INDEX(직원목록!$B$3:$B$202,MATCH($B265,직원목록!$A$3:$A$202,0)),""))</f>
        <v/>
      </c>
      <c r="D265" s="9" t="str">
        <f aca="false">IF($B265="","",IFERROR(INDEX(직원목록!$C$3:$C$202,MATCH($B265,직원목록!$A$3:$A$202,0)),""))</f>
        <v/>
      </c>
      <c r="E265" s="6"/>
      <c r="F265" s="6"/>
      <c r="G265" s="10"/>
      <c r="H265" s="6"/>
      <c r="I265" s="9" t="str">
        <f aca="false">IF($A265="","",TEXT($A265,"yyyy-mm"))</f>
        <v/>
      </c>
    </row>
    <row r="266" customFormat="false" ht="15" hidden="false" customHeight="false" outlineLevel="0" collapsed="false">
      <c r="A266" s="8"/>
      <c r="B266" s="6"/>
      <c r="C266" s="9" t="str">
        <f aca="false">IF($B266="","",IFERROR(INDEX(직원목록!$B$3:$B$202,MATCH($B266,직원목록!$A$3:$A$202,0)),""))</f>
        <v/>
      </c>
      <c r="D266" s="9" t="str">
        <f aca="false">IF($B266="","",IFERROR(INDEX(직원목록!$C$3:$C$202,MATCH($B266,직원목록!$A$3:$A$202,0)),""))</f>
        <v/>
      </c>
      <c r="E266" s="6"/>
      <c r="F266" s="6"/>
      <c r="G266" s="10"/>
      <c r="H266" s="6"/>
      <c r="I266" s="9" t="str">
        <f aca="false">IF($A266="","",TEXT($A266,"yyyy-mm"))</f>
        <v/>
      </c>
    </row>
    <row r="267" customFormat="false" ht="15" hidden="false" customHeight="false" outlineLevel="0" collapsed="false">
      <c r="A267" s="8"/>
      <c r="B267" s="6"/>
      <c r="C267" s="9" t="str">
        <f aca="false">IF($B267="","",IFERROR(INDEX(직원목록!$B$3:$B$202,MATCH($B267,직원목록!$A$3:$A$202,0)),""))</f>
        <v/>
      </c>
      <c r="D267" s="9" t="str">
        <f aca="false">IF($B267="","",IFERROR(INDEX(직원목록!$C$3:$C$202,MATCH($B267,직원목록!$A$3:$A$202,0)),""))</f>
        <v/>
      </c>
      <c r="E267" s="6"/>
      <c r="F267" s="6"/>
      <c r="G267" s="10"/>
      <c r="H267" s="6"/>
      <c r="I267" s="9" t="str">
        <f aca="false">IF($A267="","",TEXT($A267,"yyyy-mm"))</f>
        <v/>
      </c>
    </row>
    <row r="268" customFormat="false" ht="15" hidden="false" customHeight="false" outlineLevel="0" collapsed="false">
      <c r="A268" s="8"/>
      <c r="B268" s="6"/>
      <c r="C268" s="9" t="str">
        <f aca="false">IF($B268="","",IFERROR(INDEX(직원목록!$B$3:$B$202,MATCH($B268,직원목록!$A$3:$A$202,0)),""))</f>
        <v/>
      </c>
      <c r="D268" s="9" t="str">
        <f aca="false">IF($B268="","",IFERROR(INDEX(직원목록!$C$3:$C$202,MATCH($B268,직원목록!$A$3:$A$202,0)),""))</f>
        <v/>
      </c>
      <c r="E268" s="6"/>
      <c r="F268" s="6"/>
      <c r="G268" s="10"/>
      <c r="H268" s="6"/>
      <c r="I268" s="9" t="str">
        <f aca="false">IF($A268="","",TEXT($A268,"yyyy-mm"))</f>
        <v/>
      </c>
    </row>
    <row r="269" customFormat="false" ht="15" hidden="false" customHeight="false" outlineLevel="0" collapsed="false">
      <c r="A269" s="8"/>
      <c r="B269" s="6"/>
      <c r="C269" s="9" t="str">
        <f aca="false">IF($B269="","",IFERROR(INDEX(직원목록!$B$3:$B$202,MATCH($B269,직원목록!$A$3:$A$202,0)),""))</f>
        <v/>
      </c>
      <c r="D269" s="9" t="str">
        <f aca="false">IF($B269="","",IFERROR(INDEX(직원목록!$C$3:$C$202,MATCH($B269,직원목록!$A$3:$A$202,0)),""))</f>
        <v/>
      </c>
      <c r="E269" s="6"/>
      <c r="F269" s="6"/>
      <c r="G269" s="10"/>
      <c r="H269" s="6"/>
      <c r="I269" s="9" t="str">
        <f aca="false">IF($A269="","",TEXT($A269,"yyyy-mm"))</f>
        <v/>
      </c>
    </row>
    <row r="270" customFormat="false" ht="15" hidden="false" customHeight="false" outlineLevel="0" collapsed="false">
      <c r="A270" s="8"/>
      <c r="B270" s="6"/>
      <c r="C270" s="9" t="str">
        <f aca="false">IF($B270="","",IFERROR(INDEX(직원목록!$B$3:$B$202,MATCH($B270,직원목록!$A$3:$A$202,0)),""))</f>
        <v/>
      </c>
      <c r="D270" s="9" t="str">
        <f aca="false">IF($B270="","",IFERROR(INDEX(직원목록!$C$3:$C$202,MATCH($B270,직원목록!$A$3:$A$202,0)),""))</f>
        <v/>
      </c>
      <c r="E270" s="6"/>
      <c r="F270" s="6"/>
      <c r="G270" s="10"/>
      <c r="H270" s="6"/>
      <c r="I270" s="9" t="str">
        <f aca="false">IF($A270="","",TEXT($A270,"yyyy-mm"))</f>
        <v/>
      </c>
    </row>
    <row r="271" customFormat="false" ht="15" hidden="false" customHeight="false" outlineLevel="0" collapsed="false">
      <c r="A271" s="8"/>
      <c r="B271" s="6"/>
      <c r="C271" s="9" t="str">
        <f aca="false">IF($B271="","",IFERROR(INDEX(직원목록!$B$3:$B$202,MATCH($B271,직원목록!$A$3:$A$202,0)),""))</f>
        <v/>
      </c>
      <c r="D271" s="9" t="str">
        <f aca="false">IF($B271="","",IFERROR(INDEX(직원목록!$C$3:$C$202,MATCH($B271,직원목록!$A$3:$A$202,0)),""))</f>
        <v/>
      </c>
      <c r="E271" s="6"/>
      <c r="F271" s="6"/>
      <c r="G271" s="10"/>
      <c r="H271" s="6"/>
      <c r="I271" s="9" t="str">
        <f aca="false">IF($A271="","",TEXT($A271,"yyyy-mm"))</f>
        <v/>
      </c>
    </row>
    <row r="272" customFormat="false" ht="15" hidden="false" customHeight="false" outlineLevel="0" collapsed="false">
      <c r="A272" s="8"/>
      <c r="B272" s="6"/>
      <c r="C272" s="9" t="str">
        <f aca="false">IF($B272="","",IFERROR(INDEX(직원목록!$B$3:$B$202,MATCH($B272,직원목록!$A$3:$A$202,0)),""))</f>
        <v/>
      </c>
      <c r="D272" s="9" t="str">
        <f aca="false">IF($B272="","",IFERROR(INDEX(직원목록!$C$3:$C$202,MATCH($B272,직원목록!$A$3:$A$202,0)),""))</f>
        <v/>
      </c>
      <c r="E272" s="6"/>
      <c r="F272" s="6"/>
      <c r="G272" s="10"/>
      <c r="H272" s="6"/>
      <c r="I272" s="9" t="str">
        <f aca="false">IF($A272="","",TEXT($A272,"yyyy-mm"))</f>
        <v/>
      </c>
    </row>
    <row r="273" customFormat="false" ht="15" hidden="false" customHeight="false" outlineLevel="0" collapsed="false">
      <c r="A273" s="8"/>
      <c r="B273" s="6"/>
      <c r="C273" s="9" t="str">
        <f aca="false">IF($B273="","",IFERROR(INDEX(직원목록!$B$3:$B$202,MATCH($B273,직원목록!$A$3:$A$202,0)),""))</f>
        <v/>
      </c>
      <c r="D273" s="9" t="str">
        <f aca="false">IF($B273="","",IFERROR(INDEX(직원목록!$C$3:$C$202,MATCH($B273,직원목록!$A$3:$A$202,0)),""))</f>
        <v/>
      </c>
      <c r="E273" s="6"/>
      <c r="F273" s="6"/>
      <c r="G273" s="10"/>
      <c r="H273" s="6"/>
      <c r="I273" s="9" t="str">
        <f aca="false">IF($A273="","",TEXT($A273,"yyyy-mm"))</f>
        <v/>
      </c>
    </row>
    <row r="274" customFormat="false" ht="15" hidden="false" customHeight="false" outlineLevel="0" collapsed="false">
      <c r="A274" s="8"/>
      <c r="B274" s="6"/>
      <c r="C274" s="9" t="str">
        <f aca="false">IF($B274="","",IFERROR(INDEX(직원목록!$B$3:$B$202,MATCH($B274,직원목록!$A$3:$A$202,0)),""))</f>
        <v/>
      </c>
      <c r="D274" s="9" t="str">
        <f aca="false">IF($B274="","",IFERROR(INDEX(직원목록!$C$3:$C$202,MATCH($B274,직원목록!$A$3:$A$202,0)),""))</f>
        <v/>
      </c>
      <c r="E274" s="6"/>
      <c r="F274" s="6"/>
      <c r="G274" s="10"/>
      <c r="H274" s="6"/>
      <c r="I274" s="9" t="str">
        <f aca="false">IF($A274="","",TEXT($A274,"yyyy-mm"))</f>
        <v/>
      </c>
    </row>
    <row r="275" customFormat="false" ht="15" hidden="false" customHeight="false" outlineLevel="0" collapsed="false">
      <c r="A275" s="8"/>
      <c r="B275" s="6"/>
      <c r="C275" s="9" t="str">
        <f aca="false">IF($B275="","",IFERROR(INDEX(직원목록!$B$3:$B$202,MATCH($B275,직원목록!$A$3:$A$202,0)),""))</f>
        <v/>
      </c>
      <c r="D275" s="9" t="str">
        <f aca="false">IF($B275="","",IFERROR(INDEX(직원목록!$C$3:$C$202,MATCH($B275,직원목록!$A$3:$A$202,0)),""))</f>
        <v/>
      </c>
      <c r="E275" s="6"/>
      <c r="F275" s="6"/>
      <c r="G275" s="10"/>
      <c r="H275" s="6"/>
      <c r="I275" s="9" t="str">
        <f aca="false">IF($A275="","",TEXT($A275,"yyyy-mm"))</f>
        <v/>
      </c>
    </row>
    <row r="276" customFormat="false" ht="15" hidden="false" customHeight="false" outlineLevel="0" collapsed="false">
      <c r="A276" s="8"/>
      <c r="B276" s="6"/>
      <c r="C276" s="9" t="str">
        <f aca="false">IF($B276="","",IFERROR(INDEX(직원목록!$B$3:$B$202,MATCH($B276,직원목록!$A$3:$A$202,0)),""))</f>
        <v/>
      </c>
      <c r="D276" s="9" t="str">
        <f aca="false">IF($B276="","",IFERROR(INDEX(직원목록!$C$3:$C$202,MATCH($B276,직원목록!$A$3:$A$202,0)),""))</f>
        <v/>
      </c>
      <c r="E276" s="6"/>
      <c r="F276" s="6"/>
      <c r="G276" s="10"/>
      <c r="H276" s="6"/>
      <c r="I276" s="9" t="str">
        <f aca="false">IF($A276="","",TEXT($A276,"yyyy-mm"))</f>
        <v/>
      </c>
    </row>
    <row r="277" customFormat="false" ht="15" hidden="false" customHeight="false" outlineLevel="0" collapsed="false">
      <c r="A277" s="8"/>
      <c r="B277" s="6"/>
      <c r="C277" s="9" t="str">
        <f aca="false">IF($B277="","",IFERROR(INDEX(직원목록!$B$3:$B$202,MATCH($B277,직원목록!$A$3:$A$202,0)),""))</f>
        <v/>
      </c>
      <c r="D277" s="9" t="str">
        <f aca="false">IF($B277="","",IFERROR(INDEX(직원목록!$C$3:$C$202,MATCH($B277,직원목록!$A$3:$A$202,0)),""))</f>
        <v/>
      </c>
      <c r="E277" s="6"/>
      <c r="F277" s="6"/>
      <c r="G277" s="10"/>
      <c r="H277" s="6"/>
      <c r="I277" s="9" t="str">
        <f aca="false">IF($A277="","",TEXT($A277,"yyyy-mm"))</f>
        <v/>
      </c>
    </row>
    <row r="278" customFormat="false" ht="15" hidden="false" customHeight="false" outlineLevel="0" collapsed="false">
      <c r="A278" s="8"/>
      <c r="B278" s="6"/>
      <c r="C278" s="9" t="str">
        <f aca="false">IF($B278="","",IFERROR(INDEX(직원목록!$B$3:$B$202,MATCH($B278,직원목록!$A$3:$A$202,0)),""))</f>
        <v/>
      </c>
      <c r="D278" s="9" t="str">
        <f aca="false">IF($B278="","",IFERROR(INDEX(직원목록!$C$3:$C$202,MATCH($B278,직원목록!$A$3:$A$202,0)),""))</f>
        <v/>
      </c>
      <c r="E278" s="6"/>
      <c r="F278" s="6"/>
      <c r="G278" s="10"/>
      <c r="H278" s="6"/>
      <c r="I278" s="9" t="str">
        <f aca="false">IF($A278="","",TEXT($A278,"yyyy-mm"))</f>
        <v/>
      </c>
    </row>
    <row r="279" customFormat="false" ht="15" hidden="false" customHeight="false" outlineLevel="0" collapsed="false">
      <c r="A279" s="8"/>
      <c r="B279" s="6"/>
      <c r="C279" s="9" t="str">
        <f aca="false">IF($B279="","",IFERROR(INDEX(직원목록!$B$3:$B$202,MATCH($B279,직원목록!$A$3:$A$202,0)),""))</f>
        <v/>
      </c>
      <c r="D279" s="9" t="str">
        <f aca="false">IF($B279="","",IFERROR(INDEX(직원목록!$C$3:$C$202,MATCH($B279,직원목록!$A$3:$A$202,0)),""))</f>
        <v/>
      </c>
      <c r="E279" s="6"/>
      <c r="F279" s="6"/>
      <c r="G279" s="10"/>
      <c r="H279" s="6"/>
      <c r="I279" s="9" t="str">
        <f aca="false">IF($A279="","",TEXT($A279,"yyyy-mm"))</f>
        <v/>
      </c>
    </row>
    <row r="280" customFormat="false" ht="15" hidden="false" customHeight="false" outlineLevel="0" collapsed="false">
      <c r="A280" s="8"/>
      <c r="B280" s="6"/>
      <c r="C280" s="9" t="str">
        <f aca="false">IF($B280="","",IFERROR(INDEX(직원목록!$B$3:$B$202,MATCH($B280,직원목록!$A$3:$A$202,0)),""))</f>
        <v/>
      </c>
      <c r="D280" s="9" t="str">
        <f aca="false">IF($B280="","",IFERROR(INDEX(직원목록!$C$3:$C$202,MATCH($B280,직원목록!$A$3:$A$202,0)),""))</f>
        <v/>
      </c>
      <c r="E280" s="6"/>
      <c r="F280" s="6"/>
      <c r="G280" s="10"/>
      <c r="H280" s="6"/>
      <c r="I280" s="9" t="str">
        <f aca="false">IF($A280="","",TEXT($A280,"yyyy-mm"))</f>
        <v/>
      </c>
    </row>
    <row r="281" customFormat="false" ht="15" hidden="false" customHeight="false" outlineLevel="0" collapsed="false">
      <c r="A281" s="8"/>
      <c r="B281" s="6"/>
      <c r="C281" s="9" t="str">
        <f aca="false">IF($B281="","",IFERROR(INDEX(직원목록!$B$3:$B$202,MATCH($B281,직원목록!$A$3:$A$202,0)),""))</f>
        <v/>
      </c>
      <c r="D281" s="9" t="str">
        <f aca="false">IF($B281="","",IFERROR(INDEX(직원목록!$C$3:$C$202,MATCH($B281,직원목록!$A$3:$A$202,0)),""))</f>
        <v/>
      </c>
      <c r="E281" s="6"/>
      <c r="F281" s="6"/>
      <c r="G281" s="10"/>
      <c r="H281" s="6"/>
      <c r="I281" s="9" t="str">
        <f aca="false">IF($A281="","",TEXT($A281,"yyyy-mm"))</f>
        <v/>
      </c>
    </row>
    <row r="282" customFormat="false" ht="15" hidden="false" customHeight="false" outlineLevel="0" collapsed="false">
      <c r="A282" s="8"/>
      <c r="B282" s="6"/>
      <c r="C282" s="9" t="str">
        <f aca="false">IF($B282="","",IFERROR(INDEX(직원목록!$B$3:$B$202,MATCH($B282,직원목록!$A$3:$A$202,0)),""))</f>
        <v/>
      </c>
      <c r="D282" s="9" t="str">
        <f aca="false">IF($B282="","",IFERROR(INDEX(직원목록!$C$3:$C$202,MATCH($B282,직원목록!$A$3:$A$202,0)),""))</f>
        <v/>
      </c>
      <c r="E282" s="6"/>
      <c r="F282" s="6"/>
      <c r="G282" s="10"/>
      <c r="H282" s="6"/>
      <c r="I282" s="9" t="str">
        <f aca="false">IF($A282="","",TEXT($A282,"yyyy-mm"))</f>
        <v/>
      </c>
    </row>
    <row r="283" customFormat="false" ht="15" hidden="false" customHeight="false" outlineLevel="0" collapsed="false">
      <c r="A283" s="8"/>
      <c r="B283" s="6"/>
      <c r="C283" s="9" t="str">
        <f aca="false">IF($B283="","",IFERROR(INDEX(직원목록!$B$3:$B$202,MATCH($B283,직원목록!$A$3:$A$202,0)),""))</f>
        <v/>
      </c>
      <c r="D283" s="9" t="str">
        <f aca="false">IF($B283="","",IFERROR(INDEX(직원목록!$C$3:$C$202,MATCH($B283,직원목록!$A$3:$A$202,0)),""))</f>
        <v/>
      </c>
      <c r="E283" s="6"/>
      <c r="F283" s="6"/>
      <c r="G283" s="10"/>
      <c r="H283" s="6"/>
      <c r="I283" s="9" t="str">
        <f aca="false">IF($A283="","",TEXT($A283,"yyyy-mm"))</f>
        <v/>
      </c>
    </row>
    <row r="284" customFormat="false" ht="15" hidden="false" customHeight="false" outlineLevel="0" collapsed="false">
      <c r="A284" s="8"/>
      <c r="B284" s="6"/>
      <c r="C284" s="9" t="str">
        <f aca="false">IF($B284="","",IFERROR(INDEX(직원목록!$B$3:$B$202,MATCH($B284,직원목록!$A$3:$A$202,0)),""))</f>
        <v/>
      </c>
      <c r="D284" s="9" t="str">
        <f aca="false">IF($B284="","",IFERROR(INDEX(직원목록!$C$3:$C$202,MATCH($B284,직원목록!$A$3:$A$202,0)),""))</f>
        <v/>
      </c>
      <c r="E284" s="6"/>
      <c r="F284" s="6"/>
      <c r="G284" s="10"/>
      <c r="H284" s="6"/>
      <c r="I284" s="9" t="str">
        <f aca="false">IF($A284="","",TEXT($A284,"yyyy-mm"))</f>
        <v/>
      </c>
    </row>
    <row r="285" customFormat="false" ht="15" hidden="false" customHeight="false" outlineLevel="0" collapsed="false">
      <c r="A285" s="8"/>
      <c r="B285" s="6"/>
      <c r="C285" s="9" t="str">
        <f aca="false">IF($B285="","",IFERROR(INDEX(직원목록!$B$3:$B$202,MATCH($B285,직원목록!$A$3:$A$202,0)),""))</f>
        <v/>
      </c>
      <c r="D285" s="9" t="str">
        <f aca="false">IF($B285="","",IFERROR(INDEX(직원목록!$C$3:$C$202,MATCH($B285,직원목록!$A$3:$A$202,0)),""))</f>
        <v/>
      </c>
      <c r="E285" s="6"/>
      <c r="F285" s="6"/>
      <c r="G285" s="10"/>
      <c r="H285" s="6"/>
      <c r="I285" s="9" t="str">
        <f aca="false">IF($A285="","",TEXT($A285,"yyyy-mm"))</f>
        <v/>
      </c>
    </row>
    <row r="286" customFormat="false" ht="15" hidden="false" customHeight="false" outlineLevel="0" collapsed="false">
      <c r="A286" s="8"/>
      <c r="B286" s="6"/>
      <c r="C286" s="9" t="str">
        <f aca="false">IF($B286="","",IFERROR(INDEX(직원목록!$B$3:$B$202,MATCH($B286,직원목록!$A$3:$A$202,0)),""))</f>
        <v/>
      </c>
      <c r="D286" s="9" t="str">
        <f aca="false">IF($B286="","",IFERROR(INDEX(직원목록!$C$3:$C$202,MATCH($B286,직원목록!$A$3:$A$202,0)),""))</f>
        <v/>
      </c>
      <c r="E286" s="6"/>
      <c r="F286" s="6"/>
      <c r="G286" s="10"/>
      <c r="H286" s="6"/>
      <c r="I286" s="9" t="str">
        <f aca="false">IF($A286="","",TEXT($A286,"yyyy-mm"))</f>
        <v/>
      </c>
    </row>
    <row r="287" customFormat="false" ht="15" hidden="false" customHeight="false" outlineLevel="0" collapsed="false">
      <c r="A287" s="8"/>
      <c r="B287" s="6"/>
      <c r="C287" s="9" t="str">
        <f aca="false">IF($B287="","",IFERROR(INDEX(직원목록!$B$3:$B$202,MATCH($B287,직원목록!$A$3:$A$202,0)),""))</f>
        <v/>
      </c>
      <c r="D287" s="9" t="str">
        <f aca="false">IF($B287="","",IFERROR(INDEX(직원목록!$C$3:$C$202,MATCH($B287,직원목록!$A$3:$A$202,0)),""))</f>
        <v/>
      </c>
      <c r="E287" s="6"/>
      <c r="F287" s="6"/>
      <c r="G287" s="10"/>
      <c r="H287" s="6"/>
      <c r="I287" s="9" t="str">
        <f aca="false">IF($A287="","",TEXT($A287,"yyyy-mm"))</f>
        <v/>
      </c>
    </row>
    <row r="288" customFormat="false" ht="15" hidden="false" customHeight="false" outlineLevel="0" collapsed="false">
      <c r="A288" s="8"/>
      <c r="B288" s="6"/>
      <c r="C288" s="9" t="str">
        <f aca="false">IF($B288="","",IFERROR(INDEX(직원목록!$B$3:$B$202,MATCH($B288,직원목록!$A$3:$A$202,0)),""))</f>
        <v/>
      </c>
      <c r="D288" s="9" t="str">
        <f aca="false">IF($B288="","",IFERROR(INDEX(직원목록!$C$3:$C$202,MATCH($B288,직원목록!$A$3:$A$202,0)),""))</f>
        <v/>
      </c>
      <c r="E288" s="6"/>
      <c r="F288" s="6"/>
      <c r="G288" s="10"/>
      <c r="H288" s="6"/>
      <c r="I288" s="9" t="str">
        <f aca="false">IF($A288="","",TEXT($A288,"yyyy-mm"))</f>
        <v/>
      </c>
    </row>
    <row r="289" customFormat="false" ht="15" hidden="false" customHeight="false" outlineLevel="0" collapsed="false">
      <c r="A289" s="8"/>
      <c r="B289" s="6"/>
      <c r="C289" s="9" t="str">
        <f aca="false">IF($B289="","",IFERROR(INDEX(직원목록!$B$3:$B$202,MATCH($B289,직원목록!$A$3:$A$202,0)),""))</f>
        <v/>
      </c>
      <c r="D289" s="9" t="str">
        <f aca="false">IF($B289="","",IFERROR(INDEX(직원목록!$C$3:$C$202,MATCH($B289,직원목록!$A$3:$A$202,0)),""))</f>
        <v/>
      </c>
      <c r="E289" s="6"/>
      <c r="F289" s="6"/>
      <c r="G289" s="10"/>
      <c r="H289" s="6"/>
      <c r="I289" s="9" t="str">
        <f aca="false">IF($A289="","",TEXT($A289,"yyyy-mm"))</f>
        <v/>
      </c>
    </row>
    <row r="290" customFormat="false" ht="15" hidden="false" customHeight="false" outlineLevel="0" collapsed="false">
      <c r="A290" s="8"/>
      <c r="B290" s="6"/>
      <c r="C290" s="9" t="str">
        <f aca="false">IF($B290="","",IFERROR(INDEX(직원목록!$B$3:$B$202,MATCH($B290,직원목록!$A$3:$A$202,0)),""))</f>
        <v/>
      </c>
      <c r="D290" s="9" t="str">
        <f aca="false">IF($B290="","",IFERROR(INDEX(직원목록!$C$3:$C$202,MATCH($B290,직원목록!$A$3:$A$202,0)),""))</f>
        <v/>
      </c>
      <c r="E290" s="6"/>
      <c r="F290" s="6"/>
      <c r="G290" s="10"/>
      <c r="H290" s="6"/>
      <c r="I290" s="9" t="str">
        <f aca="false">IF($A290="","",TEXT($A290,"yyyy-mm"))</f>
        <v/>
      </c>
    </row>
    <row r="291" customFormat="false" ht="15" hidden="false" customHeight="false" outlineLevel="0" collapsed="false">
      <c r="A291" s="8"/>
      <c r="B291" s="6"/>
      <c r="C291" s="9" t="str">
        <f aca="false">IF($B291="","",IFERROR(INDEX(직원목록!$B$3:$B$202,MATCH($B291,직원목록!$A$3:$A$202,0)),""))</f>
        <v/>
      </c>
      <c r="D291" s="9" t="str">
        <f aca="false">IF($B291="","",IFERROR(INDEX(직원목록!$C$3:$C$202,MATCH($B291,직원목록!$A$3:$A$202,0)),""))</f>
        <v/>
      </c>
      <c r="E291" s="6"/>
      <c r="F291" s="6"/>
      <c r="G291" s="10"/>
      <c r="H291" s="6"/>
      <c r="I291" s="9" t="str">
        <f aca="false">IF($A291="","",TEXT($A291,"yyyy-mm"))</f>
        <v/>
      </c>
    </row>
    <row r="292" customFormat="false" ht="15" hidden="false" customHeight="false" outlineLevel="0" collapsed="false">
      <c r="A292" s="8"/>
      <c r="B292" s="6"/>
      <c r="C292" s="9" t="str">
        <f aca="false">IF($B292="","",IFERROR(INDEX(직원목록!$B$3:$B$202,MATCH($B292,직원목록!$A$3:$A$202,0)),""))</f>
        <v/>
      </c>
      <c r="D292" s="9" t="str">
        <f aca="false">IF($B292="","",IFERROR(INDEX(직원목록!$C$3:$C$202,MATCH($B292,직원목록!$A$3:$A$202,0)),""))</f>
        <v/>
      </c>
      <c r="E292" s="6"/>
      <c r="F292" s="6"/>
      <c r="G292" s="10"/>
      <c r="H292" s="6"/>
      <c r="I292" s="9" t="str">
        <f aca="false">IF($A292="","",TEXT($A292,"yyyy-mm"))</f>
        <v/>
      </c>
    </row>
    <row r="293" customFormat="false" ht="15" hidden="false" customHeight="false" outlineLevel="0" collapsed="false">
      <c r="A293" s="8"/>
      <c r="B293" s="6"/>
      <c r="C293" s="9" t="str">
        <f aca="false">IF($B293="","",IFERROR(INDEX(직원목록!$B$3:$B$202,MATCH($B293,직원목록!$A$3:$A$202,0)),""))</f>
        <v/>
      </c>
      <c r="D293" s="9" t="str">
        <f aca="false">IF($B293="","",IFERROR(INDEX(직원목록!$C$3:$C$202,MATCH($B293,직원목록!$A$3:$A$202,0)),""))</f>
        <v/>
      </c>
      <c r="E293" s="6"/>
      <c r="F293" s="6"/>
      <c r="G293" s="10"/>
      <c r="H293" s="6"/>
      <c r="I293" s="9" t="str">
        <f aca="false">IF($A293="","",TEXT($A293,"yyyy-mm"))</f>
        <v/>
      </c>
    </row>
    <row r="294" customFormat="false" ht="15" hidden="false" customHeight="false" outlineLevel="0" collapsed="false">
      <c r="A294" s="8"/>
      <c r="B294" s="6"/>
      <c r="C294" s="9" t="str">
        <f aca="false">IF($B294="","",IFERROR(INDEX(직원목록!$B$3:$B$202,MATCH($B294,직원목록!$A$3:$A$202,0)),""))</f>
        <v/>
      </c>
      <c r="D294" s="9" t="str">
        <f aca="false">IF($B294="","",IFERROR(INDEX(직원목록!$C$3:$C$202,MATCH($B294,직원목록!$A$3:$A$202,0)),""))</f>
        <v/>
      </c>
      <c r="E294" s="6"/>
      <c r="F294" s="6"/>
      <c r="G294" s="10"/>
      <c r="H294" s="6"/>
      <c r="I294" s="9" t="str">
        <f aca="false">IF($A294="","",TEXT($A294,"yyyy-mm"))</f>
        <v/>
      </c>
    </row>
    <row r="295" customFormat="false" ht="15" hidden="false" customHeight="false" outlineLevel="0" collapsed="false">
      <c r="A295" s="8"/>
      <c r="B295" s="6"/>
      <c r="C295" s="9" t="str">
        <f aca="false">IF($B295="","",IFERROR(INDEX(직원목록!$B$3:$B$202,MATCH($B295,직원목록!$A$3:$A$202,0)),""))</f>
        <v/>
      </c>
      <c r="D295" s="9" t="str">
        <f aca="false">IF($B295="","",IFERROR(INDEX(직원목록!$C$3:$C$202,MATCH($B295,직원목록!$A$3:$A$202,0)),""))</f>
        <v/>
      </c>
      <c r="E295" s="6"/>
      <c r="F295" s="6"/>
      <c r="G295" s="10"/>
      <c r="H295" s="6"/>
      <c r="I295" s="9" t="str">
        <f aca="false">IF($A295="","",TEXT($A295,"yyyy-mm"))</f>
        <v/>
      </c>
    </row>
    <row r="296" customFormat="false" ht="15" hidden="false" customHeight="false" outlineLevel="0" collapsed="false">
      <c r="A296" s="8"/>
      <c r="B296" s="6"/>
      <c r="C296" s="9" t="str">
        <f aca="false">IF($B296="","",IFERROR(INDEX(직원목록!$B$3:$B$202,MATCH($B296,직원목록!$A$3:$A$202,0)),""))</f>
        <v/>
      </c>
      <c r="D296" s="9" t="str">
        <f aca="false">IF($B296="","",IFERROR(INDEX(직원목록!$C$3:$C$202,MATCH($B296,직원목록!$A$3:$A$202,0)),""))</f>
        <v/>
      </c>
      <c r="E296" s="6"/>
      <c r="F296" s="6"/>
      <c r="G296" s="10"/>
      <c r="H296" s="6"/>
      <c r="I296" s="9" t="str">
        <f aca="false">IF($A296="","",TEXT($A296,"yyyy-mm"))</f>
        <v/>
      </c>
    </row>
    <row r="297" customFormat="false" ht="15" hidden="false" customHeight="false" outlineLevel="0" collapsed="false">
      <c r="A297" s="8"/>
      <c r="B297" s="6"/>
      <c r="C297" s="9" t="str">
        <f aca="false">IF($B297="","",IFERROR(INDEX(직원목록!$B$3:$B$202,MATCH($B297,직원목록!$A$3:$A$202,0)),""))</f>
        <v/>
      </c>
      <c r="D297" s="9" t="str">
        <f aca="false">IF($B297="","",IFERROR(INDEX(직원목록!$C$3:$C$202,MATCH($B297,직원목록!$A$3:$A$202,0)),""))</f>
        <v/>
      </c>
      <c r="E297" s="6"/>
      <c r="F297" s="6"/>
      <c r="G297" s="10"/>
      <c r="H297" s="6"/>
      <c r="I297" s="9" t="str">
        <f aca="false">IF($A297="","",TEXT($A297,"yyyy-mm"))</f>
        <v/>
      </c>
    </row>
    <row r="298" customFormat="false" ht="15" hidden="false" customHeight="false" outlineLevel="0" collapsed="false">
      <c r="A298" s="8"/>
      <c r="B298" s="6"/>
      <c r="C298" s="9" t="str">
        <f aca="false">IF($B298="","",IFERROR(INDEX(직원목록!$B$3:$B$202,MATCH($B298,직원목록!$A$3:$A$202,0)),""))</f>
        <v/>
      </c>
      <c r="D298" s="9" t="str">
        <f aca="false">IF($B298="","",IFERROR(INDEX(직원목록!$C$3:$C$202,MATCH($B298,직원목록!$A$3:$A$202,0)),""))</f>
        <v/>
      </c>
      <c r="E298" s="6"/>
      <c r="F298" s="6"/>
      <c r="G298" s="10"/>
      <c r="H298" s="6"/>
      <c r="I298" s="9" t="str">
        <f aca="false">IF($A298="","",TEXT($A298,"yyyy-mm"))</f>
        <v/>
      </c>
    </row>
    <row r="299" customFormat="false" ht="15" hidden="false" customHeight="false" outlineLevel="0" collapsed="false">
      <c r="A299" s="8"/>
      <c r="B299" s="6"/>
      <c r="C299" s="9" t="str">
        <f aca="false">IF($B299="","",IFERROR(INDEX(직원목록!$B$3:$B$202,MATCH($B299,직원목록!$A$3:$A$202,0)),""))</f>
        <v/>
      </c>
      <c r="D299" s="9" t="str">
        <f aca="false">IF($B299="","",IFERROR(INDEX(직원목록!$C$3:$C$202,MATCH($B299,직원목록!$A$3:$A$202,0)),""))</f>
        <v/>
      </c>
      <c r="E299" s="6"/>
      <c r="F299" s="6"/>
      <c r="G299" s="10"/>
      <c r="H299" s="6"/>
      <c r="I299" s="9" t="str">
        <f aca="false">IF($A299="","",TEXT($A299,"yyyy-mm"))</f>
        <v/>
      </c>
    </row>
    <row r="300" customFormat="false" ht="15" hidden="false" customHeight="false" outlineLevel="0" collapsed="false">
      <c r="A300" s="8"/>
      <c r="B300" s="6"/>
      <c r="C300" s="9" t="str">
        <f aca="false">IF($B300="","",IFERROR(INDEX(직원목록!$B$3:$B$202,MATCH($B300,직원목록!$A$3:$A$202,0)),""))</f>
        <v/>
      </c>
      <c r="D300" s="9" t="str">
        <f aca="false">IF($B300="","",IFERROR(INDEX(직원목록!$C$3:$C$202,MATCH($B300,직원목록!$A$3:$A$202,0)),""))</f>
        <v/>
      </c>
      <c r="E300" s="6"/>
      <c r="F300" s="6"/>
      <c r="G300" s="10"/>
      <c r="H300" s="6"/>
      <c r="I300" s="9" t="str">
        <f aca="false">IF($A300="","",TEXT($A300,"yyyy-mm"))</f>
        <v/>
      </c>
    </row>
    <row r="301" customFormat="false" ht="15" hidden="false" customHeight="false" outlineLevel="0" collapsed="false">
      <c r="A301" s="8"/>
      <c r="B301" s="6"/>
      <c r="C301" s="9" t="str">
        <f aca="false">IF($B301="","",IFERROR(INDEX(직원목록!$B$3:$B$202,MATCH($B301,직원목록!$A$3:$A$202,0)),""))</f>
        <v/>
      </c>
      <c r="D301" s="9" t="str">
        <f aca="false">IF($B301="","",IFERROR(INDEX(직원목록!$C$3:$C$202,MATCH($B301,직원목록!$A$3:$A$202,0)),""))</f>
        <v/>
      </c>
      <c r="E301" s="6"/>
      <c r="F301" s="6"/>
      <c r="G301" s="10"/>
      <c r="H301" s="6"/>
      <c r="I301" s="9" t="str">
        <f aca="false">IF($A301="","",TEXT($A301,"yyyy-mm"))</f>
        <v/>
      </c>
    </row>
    <row r="302" customFormat="false" ht="15" hidden="false" customHeight="false" outlineLevel="0" collapsed="false">
      <c r="A302" s="8"/>
      <c r="B302" s="6"/>
      <c r="C302" s="9" t="str">
        <f aca="false">IF($B302="","",IFERROR(INDEX(직원목록!$B$3:$B$202,MATCH($B302,직원목록!$A$3:$A$202,0)),""))</f>
        <v/>
      </c>
      <c r="D302" s="9" t="str">
        <f aca="false">IF($B302="","",IFERROR(INDEX(직원목록!$C$3:$C$202,MATCH($B302,직원목록!$A$3:$A$202,0)),""))</f>
        <v/>
      </c>
      <c r="E302" s="6"/>
      <c r="F302" s="6"/>
      <c r="G302" s="10"/>
      <c r="H302" s="6"/>
      <c r="I302" s="9" t="str">
        <f aca="false">IF($A302="","",TEXT($A302,"yyyy-mm"))</f>
        <v/>
      </c>
    </row>
    <row r="303" customFormat="false" ht="15" hidden="false" customHeight="false" outlineLevel="0" collapsed="false">
      <c r="A303" s="8"/>
      <c r="B303" s="6"/>
      <c r="C303" s="9" t="str">
        <f aca="false">IF($B303="","",IFERROR(INDEX(직원목록!$B$3:$B$202,MATCH($B303,직원목록!$A$3:$A$202,0)),""))</f>
        <v/>
      </c>
      <c r="D303" s="9" t="str">
        <f aca="false">IF($B303="","",IFERROR(INDEX(직원목록!$C$3:$C$202,MATCH($B303,직원목록!$A$3:$A$202,0)),""))</f>
        <v/>
      </c>
      <c r="E303" s="6"/>
      <c r="F303" s="6"/>
      <c r="G303" s="10"/>
      <c r="H303" s="6"/>
      <c r="I303" s="9" t="str">
        <f aca="false">IF($A303="","",TEXT($A303,"yyyy-mm"))</f>
        <v/>
      </c>
    </row>
    <row r="304" customFormat="false" ht="15" hidden="false" customHeight="false" outlineLevel="0" collapsed="false">
      <c r="A304" s="8"/>
      <c r="B304" s="6"/>
      <c r="C304" s="9" t="str">
        <f aca="false">IF($B304="","",IFERROR(INDEX(직원목록!$B$3:$B$202,MATCH($B304,직원목록!$A$3:$A$202,0)),""))</f>
        <v/>
      </c>
      <c r="D304" s="9" t="str">
        <f aca="false">IF($B304="","",IFERROR(INDEX(직원목록!$C$3:$C$202,MATCH($B304,직원목록!$A$3:$A$202,0)),""))</f>
        <v/>
      </c>
      <c r="E304" s="6"/>
      <c r="F304" s="6"/>
      <c r="G304" s="10"/>
      <c r="H304" s="6"/>
      <c r="I304" s="9" t="str">
        <f aca="false">IF($A304="","",TEXT($A304,"yyyy-mm"))</f>
        <v/>
      </c>
    </row>
    <row r="305" customFormat="false" ht="15" hidden="false" customHeight="false" outlineLevel="0" collapsed="false">
      <c r="A305" s="8"/>
      <c r="B305" s="6"/>
      <c r="C305" s="9" t="str">
        <f aca="false">IF($B305="","",IFERROR(INDEX(직원목록!$B$3:$B$202,MATCH($B305,직원목록!$A$3:$A$202,0)),""))</f>
        <v/>
      </c>
      <c r="D305" s="9" t="str">
        <f aca="false">IF($B305="","",IFERROR(INDEX(직원목록!$C$3:$C$202,MATCH($B305,직원목록!$A$3:$A$202,0)),""))</f>
        <v/>
      </c>
      <c r="E305" s="6"/>
      <c r="F305" s="6"/>
      <c r="G305" s="10"/>
      <c r="H305" s="6"/>
      <c r="I305" s="9" t="str">
        <f aca="false">IF($A305="","",TEXT($A305,"yyyy-mm"))</f>
        <v/>
      </c>
    </row>
    <row r="306" customFormat="false" ht="15" hidden="false" customHeight="false" outlineLevel="0" collapsed="false">
      <c r="A306" s="8"/>
      <c r="B306" s="6"/>
      <c r="C306" s="9" t="str">
        <f aca="false">IF($B306="","",IFERROR(INDEX(직원목록!$B$3:$B$202,MATCH($B306,직원목록!$A$3:$A$202,0)),""))</f>
        <v/>
      </c>
      <c r="D306" s="9" t="str">
        <f aca="false">IF($B306="","",IFERROR(INDEX(직원목록!$C$3:$C$202,MATCH($B306,직원목록!$A$3:$A$202,0)),""))</f>
        <v/>
      </c>
      <c r="E306" s="6"/>
      <c r="F306" s="6"/>
      <c r="G306" s="10"/>
      <c r="H306" s="6"/>
      <c r="I306" s="9" t="str">
        <f aca="false">IF($A306="","",TEXT($A306,"yyyy-mm"))</f>
        <v/>
      </c>
    </row>
    <row r="307" customFormat="false" ht="15" hidden="false" customHeight="false" outlineLevel="0" collapsed="false">
      <c r="A307" s="8"/>
      <c r="B307" s="6"/>
      <c r="C307" s="9" t="str">
        <f aca="false">IF($B307="","",IFERROR(INDEX(직원목록!$B$3:$B$202,MATCH($B307,직원목록!$A$3:$A$202,0)),""))</f>
        <v/>
      </c>
      <c r="D307" s="9" t="str">
        <f aca="false">IF($B307="","",IFERROR(INDEX(직원목록!$C$3:$C$202,MATCH($B307,직원목록!$A$3:$A$202,0)),""))</f>
        <v/>
      </c>
      <c r="E307" s="6"/>
      <c r="F307" s="6"/>
      <c r="G307" s="10"/>
      <c r="H307" s="6"/>
      <c r="I307" s="9" t="str">
        <f aca="false">IF($A307="","",TEXT($A307,"yyyy-mm"))</f>
        <v/>
      </c>
    </row>
    <row r="308" customFormat="false" ht="15" hidden="false" customHeight="false" outlineLevel="0" collapsed="false">
      <c r="A308" s="8"/>
      <c r="B308" s="6"/>
      <c r="C308" s="9" t="str">
        <f aca="false">IF($B308="","",IFERROR(INDEX(직원목록!$B$3:$B$202,MATCH($B308,직원목록!$A$3:$A$202,0)),""))</f>
        <v/>
      </c>
      <c r="D308" s="9" t="str">
        <f aca="false">IF($B308="","",IFERROR(INDEX(직원목록!$C$3:$C$202,MATCH($B308,직원목록!$A$3:$A$202,0)),""))</f>
        <v/>
      </c>
      <c r="E308" s="6"/>
      <c r="F308" s="6"/>
      <c r="G308" s="10"/>
      <c r="H308" s="6"/>
      <c r="I308" s="9" t="str">
        <f aca="false">IF($A308="","",TEXT($A308,"yyyy-mm"))</f>
        <v/>
      </c>
    </row>
    <row r="309" customFormat="false" ht="15" hidden="false" customHeight="false" outlineLevel="0" collapsed="false">
      <c r="A309" s="8"/>
      <c r="B309" s="6"/>
      <c r="C309" s="9" t="str">
        <f aca="false">IF($B309="","",IFERROR(INDEX(직원목록!$B$3:$B$202,MATCH($B309,직원목록!$A$3:$A$202,0)),""))</f>
        <v/>
      </c>
      <c r="D309" s="9" t="str">
        <f aca="false">IF($B309="","",IFERROR(INDEX(직원목록!$C$3:$C$202,MATCH($B309,직원목록!$A$3:$A$202,0)),""))</f>
        <v/>
      </c>
      <c r="E309" s="6"/>
      <c r="F309" s="6"/>
      <c r="G309" s="10"/>
      <c r="H309" s="6"/>
      <c r="I309" s="9" t="str">
        <f aca="false">IF($A309="","",TEXT($A309,"yyyy-mm"))</f>
        <v/>
      </c>
    </row>
    <row r="310" customFormat="false" ht="15" hidden="false" customHeight="false" outlineLevel="0" collapsed="false">
      <c r="A310" s="8"/>
      <c r="B310" s="6"/>
      <c r="C310" s="9" t="str">
        <f aca="false">IF($B310="","",IFERROR(INDEX(직원목록!$B$3:$B$202,MATCH($B310,직원목록!$A$3:$A$202,0)),""))</f>
        <v/>
      </c>
      <c r="D310" s="9" t="str">
        <f aca="false">IF($B310="","",IFERROR(INDEX(직원목록!$C$3:$C$202,MATCH($B310,직원목록!$A$3:$A$202,0)),""))</f>
        <v/>
      </c>
      <c r="E310" s="6"/>
      <c r="F310" s="6"/>
      <c r="G310" s="10"/>
      <c r="H310" s="6"/>
      <c r="I310" s="9" t="str">
        <f aca="false">IF($A310="","",TEXT($A310,"yyyy-mm"))</f>
        <v/>
      </c>
    </row>
    <row r="311" customFormat="false" ht="15" hidden="false" customHeight="false" outlineLevel="0" collapsed="false">
      <c r="A311" s="8"/>
      <c r="B311" s="6"/>
      <c r="C311" s="9" t="str">
        <f aca="false">IF($B311="","",IFERROR(INDEX(직원목록!$B$3:$B$202,MATCH($B311,직원목록!$A$3:$A$202,0)),""))</f>
        <v/>
      </c>
      <c r="D311" s="9" t="str">
        <f aca="false">IF($B311="","",IFERROR(INDEX(직원목록!$C$3:$C$202,MATCH($B311,직원목록!$A$3:$A$202,0)),""))</f>
        <v/>
      </c>
      <c r="E311" s="6"/>
      <c r="F311" s="6"/>
      <c r="G311" s="10"/>
      <c r="H311" s="6"/>
      <c r="I311" s="9" t="str">
        <f aca="false">IF($A311="","",TEXT($A311,"yyyy-mm"))</f>
        <v/>
      </c>
    </row>
    <row r="312" customFormat="false" ht="15" hidden="false" customHeight="false" outlineLevel="0" collapsed="false">
      <c r="A312" s="8"/>
      <c r="B312" s="6"/>
      <c r="C312" s="9" t="str">
        <f aca="false">IF($B312="","",IFERROR(INDEX(직원목록!$B$3:$B$202,MATCH($B312,직원목록!$A$3:$A$202,0)),""))</f>
        <v/>
      </c>
      <c r="D312" s="9" t="str">
        <f aca="false">IF($B312="","",IFERROR(INDEX(직원목록!$C$3:$C$202,MATCH($B312,직원목록!$A$3:$A$202,0)),""))</f>
        <v/>
      </c>
      <c r="E312" s="6"/>
      <c r="F312" s="6"/>
      <c r="G312" s="10"/>
      <c r="H312" s="6"/>
      <c r="I312" s="9" t="str">
        <f aca="false">IF($A312="","",TEXT($A312,"yyyy-mm"))</f>
        <v/>
      </c>
    </row>
    <row r="313" customFormat="false" ht="15" hidden="false" customHeight="false" outlineLevel="0" collapsed="false">
      <c r="A313" s="8"/>
      <c r="B313" s="6"/>
      <c r="C313" s="9" t="str">
        <f aca="false">IF($B313="","",IFERROR(INDEX(직원목록!$B$3:$B$202,MATCH($B313,직원목록!$A$3:$A$202,0)),""))</f>
        <v/>
      </c>
      <c r="D313" s="9" t="str">
        <f aca="false">IF($B313="","",IFERROR(INDEX(직원목록!$C$3:$C$202,MATCH($B313,직원목록!$A$3:$A$202,0)),""))</f>
        <v/>
      </c>
      <c r="E313" s="6"/>
      <c r="F313" s="6"/>
      <c r="G313" s="10"/>
      <c r="H313" s="6"/>
      <c r="I313" s="9" t="str">
        <f aca="false">IF($A313="","",TEXT($A313,"yyyy-mm"))</f>
        <v/>
      </c>
    </row>
    <row r="314" customFormat="false" ht="15" hidden="false" customHeight="false" outlineLevel="0" collapsed="false">
      <c r="A314" s="8"/>
      <c r="B314" s="6"/>
      <c r="C314" s="9" t="str">
        <f aca="false">IF($B314="","",IFERROR(INDEX(직원목록!$B$3:$B$202,MATCH($B314,직원목록!$A$3:$A$202,0)),""))</f>
        <v/>
      </c>
      <c r="D314" s="9" t="str">
        <f aca="false">IF($B314="","",IFERROR(INDEX(직원목록!$C$3:$C$202,MATCH($B314,직원목록!$A$3:$A$202,0)),""))</f>
        <v/>
      </c>
      <c r="E314" s="6"/>
      <c r="F314" s="6"/>
      <c r="G314" s="10"/>
      <c r="H314" s="6"/>
      <c r="I314" s="9" t="str">
        <f aca="false">IF($A314="","",TEXT($A314,"yyyy-mm"))</f>
        <v/>
      </c>
    </row>
    <row r="315" customFormat="false" ht="15" hidden="false" customHeight="false" outlineLevel="0" collapsed="false">
      <c r="A315" s="8"/>
      <c r="B315" s="6"/>
      <c r="C315" s="9" t="str">
        <f aca="false">IF($B315="","",IFERROR(INDEX(직원목록!$B$3:$B$202,MATCH($B315,직원목록!$A$3:$A$202,0)),""))</f>
        <v/>
      </c>
      <c r="D315" s="9" t="str">
        <f aca="false">IF($B315="","",IFERROR(INDEX(직원목록!$C$3:$C$202,MATCH($B315,직원목록!$A$3:$A$202,0)),""))</f>
        <v/>
      </c>
      <c r="E315" s="6"/>
      <c r="F315" s="6"/>
      <c r="G315" s="10"/>
      <c r="H315" s="6"/>
      <c r="I315" s="9" t="str">
        <f aca="false">IF($A315="","",TEXT($A315,"yyyy-mm"))</f>
        <v/>
      </c>
    </row>
    <row r="316" customFormat="false" ht="15" hidden="false" customHeight="false" outlineLevel="0" collapsed="false">
      <c r="A316" s="8"/>
      <c r="B316" s="6"/>
      <c r="C316" s="9" t="str">
        <f aca="false">IF($B316="","",IFERROR(INDEX(직원목록!$B$3:$B$202,MATCH($B316,직원목록!$A$3:$A$202,0)),""))</f>
        <v/>
      </c>
      <c r="D316" s="9" t="str">
        <f aca="false">IF($B316="","",IFERROR(INDEX(직원목록!$C$3:$C$202,MATCH($B316,직원목록!$A$3:$A$202,0)),""))</f>
        <v/>
      </c>
      <c r="E316" s="6"/>
      <c r="F316" s="6"/>
      <c r="G316" s="10"/>
      <c r="H316" s="6"/>
      <c r="I316" s="9" t="str">
        <f aca="false">IF($A316="","",TEXT($A316,"yyyy-mm"))</f>
        <v/>
      </c>
    </row>
    <row r="317" customFormat="false" ht="15" hidden="false" customHeight="false" outlineLevel="0" collapsed="false">
      <c r="A317" s="8"/>
      <c r="B317" s="6"/>
      <c r="C317" s="9" t="str">
        <f aca="false">IF($B317="","",IFERROR(INDEX(직원목록!$B$3:$B$202,MATCH($B317,직원목록!$A$3:$A$202,0)),""))</f>
        <v/>
      </c>
      <c r="D317" s="9" t="str">
        <f aca="false">IF($B317="","",IFERROR(INDEX(직원목록!$C$3:$C$202,MATCH($B317,직원목록!$A$3:$A$202,0)),""))</f>
        <v/>
      </c>
      <c r="E317" s="6"/>
      <c r="F317" s="6"/>
      <c r="G317" s="10"/>
      <c r="H317" s="6"/>
      <c r="I317" s="9" t="str">
        <f aca="false">IF($A317="","",TEXT($A317,"yyyy-mm"))</f>
        <v/>
      </c>
    </row>
    <row r="318" customFormat="false" ht="15" hidden="false" customHeight="false" outlineLevel="0" collapsed="false">
      <c r="A318" s="8"/>
      <c r="B318" s="6"/>
      <c r="C318" s="9" t="str">
        <f aca="false">IF($B318="","",IFERROR(INDEX(직원목록!$B$3:$B$202,MATCH($B318,직원목록!$A$3:$A$202,0)),""))</f>
        <v/>
      </c>
      <c r="D318" s="9" t="str">
        <f aca="false">IF($B318="","",IFERROR(INDEX(직원목록!$C$3:$C$202,MATCH($B318,직원목록!$A$3:$A$202,0)),""))</f>
        <v/>
      </c>
      <c r="E318" s="6"/>
      <c r="F318" s="6"/>
      <c r="G318" s="10"/>
      <c r="H318" s="6"/>
      <c r="I318" s="9" t="str">
        <f aca="false">IF($A318="","",TEXT($A318,"yyyy-mm"))</f>
        <v/>
      </c>
    </row>
    <row r="319" customFormat="false" ht="15" hidden="false" customHeight="false" outlineLevel="0" collapsed="false">
      <c r="A319" s="8"/>
      <c r="B319" s="6"/>
      <c r="C319" s="9" t="str">
        <f aca="false">IF($B319="","",IFERROR(INDEX(직원목록!$B$3:$B$202,MATCH($B319,직원목록!$A$3:$A$202,0)),""))</f>
        <v/>
      </c>
      <c r="D319" s="9" t="str">
        <f aca="false">IF($B319="","",IFERROR(INDEX(직원목록!$C$3:$C$202,MATCH($B319,직원목록!$A$3:$A$202,0)),""))</f>
        <v/>
      </c>
      <c r="E319" s="6"/>
      <c r="F319" s="6"/>
      <c r="G319" s="10"/>
      <c r="H319" s="6"/>
      <c r="I319" s="9" t="str">
        <f aca="false">IF($A319="","",TEXT($A319,"yyyy-mm"))</f>
        <v/>
      </c>
    </row>
    <row r="320" customFormat="false" ht="15" hidden="false" customHeight="false" outlineLevel="0" collapsed="false">
      <c r="A320" s="8"/>
      <c r="B320" s="6"/>
      <c r="C320" s="9" t="str">
        <f aca="false">IF($B320="","",IFERROR(INDEX(직원목록!$B$3:$B$202,MATCH($B320,직원목록!$A$3:$A$202,0)),""))</f>
        <v/>
      </c>
      <c r="D320" s="9" t="str">
        <f aca="false">IF($B320="","",IFERROR(INDEX(직원목록!$C$3:$C$202,MATCH($B320,직원목록!$A$3:$A$202,0)),""))</f>
        <v/>
      </c>
      <c r="E320" s="6"/>
      <c r="F320" s="6"/>
      <c r="G320" s="10"/>
      <c r="H320" s="6"/>
      <c r="I320" s="9" t="str">
        <f aca="false">IF($A320="","",TEXT($A320,"yyyy-mm"))</f>
        <v/>
      </c>
    </row>
    <row r="321" customFormat="false" ht="15" hidden="false" customHeight="false" outlineLevel="0" collapsed="false">
      <c r="A321" s="8"/>
      <c r="B321" s="6"/>
      <c r="C321" s="9" t="str">
        <f aca="false">IF($B321="","",IFERROR(INDEX(직원목록!$B$3:$B$202,MATCH($B321,직원목록!$A$3:$A$202,0)),""))</f>
        <v/>
      </c>
      <c r="D321" s="9" t="str">
        <f aca="false">IF($B321="","",IFERROR(INDEX(직원목록!$C$3:$C$202,MATCH($B321,직원목록!$A$3:$A$202,0)),""))</f>
        <v/>
      </c>
      <c r="E321" s="6"/>
      <c r="F321" s="6"/>
      <c r="G321" s="10"/>
      <c r="H321" s="6"/>
      <c r="I321" s="9" t="str">
        <f aca="false">IF($A321="","",TEXT($A321,"yyyy-mm"))</f>
        <v/>
      </c>
    </row>
    <row r="322" customFormat="false" ht="15" hidden="false" customHeight="false" outlineLevel="0" collapsed="false">
      <c r="A322" s="8"/>
      <c r="B322" s="6"/>
      <c r="C322" s="9" t="str">
        <f aca="false">IF($B322="","",IFERROR(INDEX(직원목록!$B$3:$B$202,MATCH($B322,직원목록!$A$3:$A$202,0)),""))</f>
        <v/>
      </c>
      <c r="D322" s="9" t="str">
        <f aca="false">IF($B322="","",IFERROR(INDEX(직원목록!$C$3:$C$202,MATCH($B322,직원목록!$A$3:$A$202,0)),""))</f>
        <v/>
      </c>
      <c r="E322" s="6"/>
      <c r="F322" s="6"/>
      <c r="G322" s="10"/>
      <c r="H322" s="6"/>
      <c r="I322" s="9" t="str">
        <f aca="false">IF($A322="","",TEXT($A322,"yyyy-mm"))</f>
        <v/>
      </c>
    </row>
    <row r="323" customFormat="false" ht="15" hidden="false" customHeight="false" outlineLevel="0" collapsed="false">
      <c r="A323" s="8"/>
      <c r="B323" s="6"/>
      <c r="C323" s="9" t="str">
        <f aca="false">IF($B323="","",IFERROR(INDEX(직원목록!$B$3:$B$202,MATCH($B323,직원목록!$A$3:$A$202,0)),""))</f>
        <v/>
      </c>
      <c r="D323" s="9" t="str">
        <f aca="false">IF($B323="","",IFERROR(INDEX(직원목록!$C$3:$C$202,MATCH($B323,직원목록!$A$3:$A$202,0)),""))</f>
        <v/>
      </c>
      <c r="E323" s="6"/>
      <c r="F323" s="6"/>
      <c r="G323" s="10"/>
      <c r="H323" s="6"/>
      <c r="I323" s="9" t="str">
        <f aca="false">IF($A323="","",TEXT($A323,"yyyy-mm"))</f>
        <v/>
      </c>
    </row>
    <row r="324" customFormat="false" ht="15" hidden="false" customHeight="false" outlineLevel="0" collapsed="false">
      <c r="A324" s="8"/>
      <c r="B324" s="6"/>
      <c r="C324" s="9" t="str">
        <f aca="false">IF($B324="","",IFERROR(INDEX(직원목록!$B$3:$B$202,MATCH($B324,직원목록!$A$3:$A$202,0)),""))</f>
        <v/>
      </c>
      <c r="D324" s="9" t="str">
        <f aca="false">IF($B324="","",IFERROR(INDEX(직원목록!$C$3:$C$202,MATCH($B324,직원목록!$A$3:$A$202,0)),""))</f>
        <v/>
      </c>
      <c r="E324" s="6"/>
      <c r="F324" s="6"/>
      <c r="G324" s="10"/>
      <c r="H324" s="6"/>
      <c r="I324" s="9" t="str">
        <f aca="false">IF($A324="","",TEXT($A324,"yyyy-mm"))</f>
        <v/>
      </c>
    </row>
    <row r="325" customFormat="false" ht="15" hidden="false" customHeight="false" outlineLevel="0" collapsed="false">
      <c r="A325" s="8"/>
      <c r="B325" s="6"/>
      <c r="C325" s="9" t="str">
        <f aca="false">IF($B325="","",IFERROR(INDEX(직원목록!$B$3:$B$202,MATCH($B325,직원목록!$A$3:$A$202,0)),""))</f>
        <v/>
      </c>
      <c r="D325" s="9" t="str">
        <f aca="false">IF($B325="","",IFERROR(INDEX(직원목록!$C$3:$C$202,MATCH($B325,직원목록!$A$3:$A$202,0)),""))</f>
        <v/>
      </c>
      <c r="E325" s="6"/>
      <c r="F325" s="6"/>
      <c r="G325" s="10"/>
      <c r="H325" s="6"/>
      <c r="I325" s="9" t="str">
        <f aca="false">IF($A325="","",TEXT($A325,"yyyy-mm"))</f>
        <v/>
      </c>
    </row>
    <row r="326" customFormat="false" ht="15" hidden="false" customHeight="false" outlineLevel="0" collapsed="false">
      <c r="A326" s="8"/>
      <c r="B326" s="6"/>
      <c r="C326" s="9" t="str">
        <f aca="false">IF($B326="","",IFERROR(INDEX(직원목록!$B$3:$B$202,MATCH($B326,직원목록!$A$3:$A$202,0)),""))</f>
        <v/>
      </c>
      <c r="D326" s="9" t="str">
        <f aca="false">IF($B326="","",IFERROR(INDEX(직원목록!$C$3:$C$202,MATCH($B326,직원목록!$A$3:$A$202,0)),""))</f>
        <v/>
      </c>
      <c r="E326" s="6"/>
      <c r="F326" s="6"/>
      <c r="G326" s="10"/>
      <c r="H326" s="6"/>
      <c r="I326" s="9" t="str">
        <f aca="false">IF($A326="","",TEXT($A326,"yyyy-mm"))</f>
        <v/>
      </c>
    </row>
    <row r="327" customFormat="false" ht="15" hidden="false" customHeight="false" outlineLevel="0" collapsed="false">
      <c r="A327" s="8"/>
      <c r="B327" s="6"/>
      <c r="C327" s="9" t="str">
        <f aca="false">IF($B327="","",IFERROR(INDEX(직원목록!$B$3:$B$202,MATCH($B327,직원목록!$A$3:$A$202,0)),""))</f>
        <v/>
      </c>
      <c r="D327" s="9" t="str">
        <f aca="false">IF($B327="","",IFERROR(INDEX(직원목록!$C$3:$C$202,MATCH($B327,직원목록!$A$3:$A$202,0)),""))</f>
        <v/>
      </c>
      <c r="E327" s="6"/>
      <c r="F327" s="6"/>
      <c r="G327" s="10"/>
      <c r="H327" s="6"/>
      <c r="I327" s="9" t="str">
        <f aca="false">IF($A327="","",TEXT($A327,"yyyy-mm"))</f>
        <v/>
      </c>
    </row>
    <row r="328" customFormat="false" ht="15" hidden="false" customHeight="false" outlineLevel="0" collapsed="false">
      <c r="A328" s="8"/>
      <c r="B328" s="6"/>
      <c r="C328" s="9" t="str">
        <f aca="false">IF($B328="","",IFERROR(INDEX(직원목록!$B$3:$B$202,MATCH($B328,직원목록!$A$3:$A$202,0)),""))</f>
        <v/>
      </c>
      <c r="D328" s="9" t="str">
        <f aca="false">IF($B328="","",IFERROR(INDEX(직원목록!$C$3:$C$202,MATCH($B328,직원목록!$A$3:$A$202,0)),""))</f>
        <v/>
      </c>
      <c r="E328" s="6"/>
      <c r="F328" s="6"/>
      <c r="G328" s="10"/>
      <c r="H328" s="6"/>
      <c r="I328" s="9" t="str">
        <f aca="false">IF($A328="","",TEXT($A328,"yyyy-mm"))</f>
        <v/>
      </c>
    </row>
    <row r="329" customFormat="false" ht="15" hidden="false" customHeight="false" outlineLevel="0" collapsed="false">
      <c r="A329" s="8"/>
      <c r="B329" s="6"/>
      <c r="C329" s="9" t="str">
        <f aca="false">IF($B329="","",IFERROR(INDEX(직원목록!$B$3:$B$202,MATCH($B329,직원목록!$A$3:$A$202,0)),""))</f>
        <v/>
      </c>
      <c r="D329" s="9" t="str">
        <f aca="false">IF($B329="","",IFERROR(INDEX(직원목록!$C$3:$C$202,MATCH($B329,직원목록!$A$3:$A$202,0)),""))</f>
        <v/>
      </c>
      <c r="E329" s="6"/>
      <c r="F329" s="6"/>
      <c r="G329" s="10"/>
      <c r="H329" s="6"/>
      <c r="I329" s="9" t="str">
        <f aca="false">IF($A329="","",TEXT($A329,"yyyy-mm"))</f>
        <v/>
      </c>
    </row>
    <row r="330" customFormat="false" ht="15" hidden="false" customHeight="false" outlineLevel="0" collapsed="false">
      <c r="A330" s="8"/>
      <c r="B330" s="6"/>
      <c r="C330" s="9" t="str">
        <f aca="false">IF($B330="","",IFERROR(INDEX(직원목록!$B$3:$B$202,MATCH($B330,직원목록!$A$3:$A$202,0)),""))</f>
        <v/>
      </c>
      <c r="D330" s="9" t="str">
        <f aca="false">IF($B330="","",IFERROR(INDEX(직원목록!$C$3:$C$202,MATCH($B330,직원목록!$A$3:$A$202,0)),""))</f>
        <v/>
      </c>
      <c r="E330" s="6"/>
      <c r="F330" s="6"/>
      <c r="G330" s="10"/>
      <c r="H330" s="6"/>
      <c r="I330" s="9" t="str">
        <f aca="false">IF($A330="","",TEXT($A330,"yyyy-mm"))</f>
        <v/>
      </c>
    </row>
    <row r="331" customFormat="false" ht="15" hidden="false" customHeight="false" outlineLevel="0" collapsed="false">
      <c r="A331" s="8"/>
      <c r="B331" s="6"/>
      <c r="C331" s="9" t="str">
        <f aca="false">IF($B331="","",IFERROR(INDEX(직원목록!$B$3:$B$202,MATCH($B331,직원목록!$A$3:$A$202,0)),""))</f>
        <v/>
      </c>
      <c r="D331" s="9" t="str">
        <f aca="false">IF($B331="","",IFERROR(INDEX(직원목록!$C$3:$C$202,MATCH($B331,직원목록!$A$3:$A$202,0)),""))</f>
        <v/>
      </c>
      <c r="E331" s="6"/>
      <c r="F331" s="6"/>
      <c r="G331" s="10"/>
      <c r="H331" s="6"/>
      <c r="I331" s="9" t="str">
        <f aca="false">IF($A331="","",TEXT($A331,"yyyy-mm"))</f>
        <v/>
      </c>
    </row>
    <row r="332" customFormat="false" ht="15" hidden="false" customHeight="false" outlineLevel="0" collapsed="false">
      <c r="A332" s="8"/>
      <c r="B332" s="6"/>
      <c r="C332" s="9" t="str">
        <f aca="false">IF($B332="","",IFERROR(INDEX(직원목록!$B$3:$B$202,MATCH($B332,직원목록!$A$3:$A$202,0)),""))</f>
        <v/>
      </c>
      <c r="D332" s="9" t="str">
        <f aca="false">IF($B332="","",IFERROR(INDEX(직원목록!$C$3:$C$202,MATCH($B332,직원목록!$A$3:$A$202,0)),""))</f>
        <v/>
      </c>
      <c r="E332" s="6"/>
      <c r="F332" s="6"/>
      <c r="G332" s="10"/>
      <c r="H332" s="6"/>
      <c r="I332" s="9" t="str">
        <f aca="false">IF($A332="","",TEXT($A332,"yyyy-mm"))</f>
        <v/>
      </c>
    </row>
    <row r="333" customFormat="false" ht="15" hidden="false" customHeight="false" outlineLevel="0" collapsed="false">
      <c r="A333" s="8"/>
      <c r="B333" s="6"/>
      <c r="C333" s="9" t="str">
        <f aca="false">IF($B333="","",IFERROR(INDEX(직원목록!$B$3:$B$202,MATCH($B333,직원목록!$A$3:$A$202,0)),""))</f>
        <v/>
      </c>
      <c r="D333" s="9" t="str">
        <f aca="false">IF($B333="","",IFERROR(INDEX(직원목록!$C$3:$C$202,MATCH($B333,직원목록!$A$3:$A$202,0)),""))</f>
        <v/>
      </c>
      <c r="E333" s="6"/>
      <c r="F333" s="6"/>
      <c r="G333" s="10"/>
      <c r="H333" s="6"/>
      <c r="I333" s="9" t="str">
        <f aca="false">IF($A333="","",TEXT($A333,"yyyy-mm"))</f>
        <v/>
      </c>
    </row>
    <row r="334" customFormat="false" ht="15" hidden="false" customHeight="false" outlineLevel="0" collapsed="false">
      <c r="A334" s="8"/>
      <c r="B334" s="6"/>
      <c r="C334" s="9" t="str">
        <f aca="false">IF($B334="","",IFERROR(INDEX(직원목록!$B$3:$B$202,MATCH($B334,직원목록!$A$3:$A$202,0)),""))</f>
        <v/>
      </c>
      <c r="D334" s="9" t="str">
        <f aca="false">IF($B334="","",IFERROR(INDEX(직원목록!$C$3:$C$202,MATCH($B334,직원목록!$A$3:$A$202,0)),""))</f>
        <v/>
      </c>
      <c r="E334" s="6"/>
      <c r="F334" s="6"/>
      <c r="G334" s="10"/>
      <c r="H334" s="6"/>
      <c r="I334" s="9" t="str">
        <f aca="false">IF($A334="","",TEXT($A334,"yyyy-mm"))</f>
        <v/>
      </c>
    </row>
    <row r="335" customFormat="false" ht="15" hidden="false" customHeight="false" outlineLevel="0" collapsed="false">
      <c r="A335" s="8"/>
      <c r="B335" s="6"/>
      <c r="C335" s="9" t="str">
        <f aca="false">IF($B335="","",IFERROR(INDEX(직원목록!$B$3:$B$202,MATCH($B335,직원목록!$A$3:$A$202,0)),""))</f>
        <v/>
      </c>
      <c r="D335" s="9" t="str">
        <f aca="false">IF($B335="","",IFERROR(INDEX(직원목록!$C$3:$C$202,MATCH($B335,직원목록!$A$3:$A$202,0)),""))</f>
        <v/>
      </c>
      <c r="E335" s="6"/>
      <c r="F335" s="6"/>
      <c r="G335" s="10"/>
      <c r="H335" s="6"/>
      <c r="I335" s="9" t="str">
        <f aca="false">IF($A335="","",TEXT($A335,"yyyy-mm"))</f>
        <v/>
      </c>
    </row>
    <row r="336" customFormat="false" ht="15" hidden="false" customHeight="false" outlineLevel="0" collapsed="false">
      <c r="A336" s="8"/>
      <c r="B336" s="6"/>
      <c r="C336" s="9" t="str">
        <f aca="false">IF($B336="","",IFERROR(INDEX(직원목록!$B$3:$B$202,MATCH($B336,직원목록!$A$3:$A$202,0)),""))</f>
        <v/>
      </c>
      <c r="D336" s="9" t="str">
        <f aca="false">IF($B336="","",IFERROR(INDEX(직원목록!$C$3:$C$202,MATCH($B336,직원목록!$A$3:$A$202,0)),""))</f>
        <v/>
      </c>
      <c r="E336" s="6"/>
      <c r="F336" s="6"/>
      <c r="G336" s="10"/>
      <c r="H336" s="6"/>
      <c r="I336" s="9" t="str">
        <f aca="false">IF($A336="","",TEXT($A336,"yyyy-mm"))</f>
        <v/>
      </c>
    </row>
    <row r="337" customFormat="false" ht="15" hidden="false" customHeight="false" outlineLevel="0" collapsed="false">
      <c r="A337" s="8"/>
      <c r="B337" s="6"/>
      <c r="C337" s="9" t="str">
        <f aca="false">IF($B337="","",IFERROR(INDEX(직원목록!$B$3:$B$202,MATCH($B337,직원목록!$A$3:$A$202,0)),""))</f>
        <v/>
      </c>
      <c r="D337" s="9" t="str">
        <f aca="false">IF($B337="","",IFERROR(INDEX(직원목록!$C$3:$C$202,MATCH($B337,직원목록!$A$3:$A$202,0)),""))</f>
        <v/>
      </c>
      <c r="E337" s="6"/>
      <c r="F337" s="6"/>
      <c r="G337" s="10"/>
      <c r="H337" s="6"/>
      <c r="I337" s="9" t="str">
        <f aca="false">IF($A337="","",TEXT($A337,"yyyy-mm"))</f>
        <v/>
      </c>
    </row>
    <row r="338" customFormat="false" ht="15" hidden="false" customHeight="false" outlineLevel="0" collapsed="false">
      <c r="A338" s="8"/>
      <c r="B338" s="6"/>
      <c r="C338" s="9" t="str">
        <f aca="false">IF($B338="","",IFERROR(INDEX(직원목록!$B$3:$B$202,MATCH($B338,직원목록!$A$3:$A$202,0)),""))</f>
        <v/>
      </c>
      <c r="D338" s="9" t="str">
        <f aca="false">IF($B338="","",IFERROR(INDEX(직원목록!$C$3:$C$202,MATCH($B338,직원목록!$A$3:$A$202,0)),""))</f>
        <v/>
      </c>
      <c r="E338" s="6"/>
      <c r="F338" s="6"/>
      <c r="G338" s="10"/>
      <c r="H338" s="6"/>
      <c r="I338" s="9" t="str">
        <f aca="false">IF($A338="","",TEXT($A338,"yyyy-mm"))</f>
        <v/>
      </c>
    </row>
    <row r="339" customFormat="false" ht="15" hidden="false" customHeight="false" outlineLevel="0" collapsed="false">
      <c r="A339" s="8"/>
      <c r="B339" s="6"/>
      <c r="C339" s="9" t="str">
        <f aca="false">IF($B339="","",IFERROR(INDEX(직원목록!$B$3:$B$202,MATCH($B339,직원목록!$A$3:$A$202,0)),""))</f>
        <v/>
      </c>
      <c r="D339" s="9" t="str">
        <f aca="false">IF($B339="","",IFERROR(INDEX(직원목록!$C$3:$C$202,MATCH($B339,직원목록!$A$3:$A$202,0)),""))</f>
        <v/>
      </c>
      <c r="E339" s="6"/>
      <c r="F339" s="6"/>
      <c r="G339" s="10"/>
      <c r="H339" s="6"/>
      <c r="I339" s="9" t="str">
        <f aca="false">IF($A339="","",TEXT($A339,"yyyy-mm"))</f>
        <v/>
      </c>
    </row>
    <row r="340" customFormat="false" ht="15" hidden="false" customHeight="false" outlineLevel="0" collapsed="false">
      <c r="A340" s="8"/>
      <c r="B340" s="6"/>
      <c r="C340" s="9" t="str">
        <f aca="false">IF($B340="","",IFERROR(INDEX(직원목록!$B$3:$B$202,MATCH($B340,직원목록!$A$3:$A$202,0)),""))</f>
        <v/>
      </c>
      <c r="D340" s="9" t="str">
        <f aca="false">IF($B340="","",IFERROR(INDEX(직원목록!$C$3:$C$202,MATCH($B340,직원목록!$A$3:$A$202,0)),""))</f>
        <v/>
      </c>
      <c r="E340" s="6"/>
      <c r="F340" s="6"/>
      <c r="G340" s="10"/>
      <c r="H340" s="6"/>
      <c r="I340" s="9" t="str">
        <f aca="false">IF($A340="","",TEXT($A340,"yyyy-mm"))</f>
        <v/>
      </c>
    </row>
    <row r="341" customFormat="false" ht="15" hidden="false" customHeight="false" outlineLevel="0" collapsed="false">
      <c r="A341" s="8"/>
      <c r="B341" s="6"/>
      <c r="C341" s="9" t="str">
        <f aca="false">IF($B341="","",IFERROR(INDEX(직원목록!$B$3:$B$202,MATCH($B341,직원목록!$A$3:$A$202,0)),""))</f>
        <v/>
      </c>
      <c r="D341" s="9" t="str">
        <f aca="false">IF($B341="","",IFERROR(INDEX(직원목록!$C$3:$C$202,MATCH($B341,직원목록!$A$3:$A$202,0)),""))</f>
        <v/>
      </c>
      <c r="E341" s="6"/>
      <c r="F341" s="6"/>
      <c r="G341" s="10"/>
      <c r="H341" s="6"/>
      <c r="I341" s="9" t="str">
        <f aca="false">IF($A341="","",TEXT($A341,"yyyy-mm"))</f>
        <v/>
      </c>
    </row>
    <row r="342" customFormat="false" ht="15" hidden="false" customHeight="false" outlineLevel="0" collapsed="false">
      <c r="A342" s="8"/>
      <c r="B342" s="6"/>
      <c r="C342" s="9" t="str">
        <f aca="false">IF($B342="","",IFERROR(INDEX(직원목록!$B$3:$B$202,MATCH($B342,직원목록!$A$3:$A$202,0)),""))</f>
        <v/>
      </c>
      <c r="D342" s="9" t="str">
        <f aca="false">IF($B342="","",IFERROR(INDEX(직원목록!$C$3:$C$202,MATCH($B342,직원목록!$A$3:$A$202,0)),""))</f>
        <v/>
      </c>
      <c r="E342" s="6"/>
      <c r="F342" s="6"/>
      <c r="G342" s="10"/>
      <c r="H342" s="6"/>
      <c r="I342" s="9" t="str">
        <f aca="false">IF($A342="","",TEXT($A342,"yyyy-mm"))</f>
        <v/>
      </c>
    </row>
    <row r="343" customFormat="false" ht="15" hidden="false" customHeight="false" outlineLevel="0" collapsed="false">
      <c r="A343" s="8"/>
      <c r="B343" s="6"/>
      <c r="C343" s="9" t="str">
        <f aca="false">IF($B343="","",IFERROR(INDEX(직원목록!$B$3:$B$202,MATCH($B343,직원목록!$A$3:$A$202,0)),""))</f>
        <v/>
      </c>
      <c r="D343" s="9" t="str">
        <f aca="false">IF($B343="","",IFERROR(INDEX(직원목록!$C$3:$C$202,MATCH($B343,직원목록!$A$3:$A$202,0)),""))</f>
        <v/>
      </c>
      <c r="E343" s="6"/>
      <c r="F343" s="6"/>
      <c r="G343" s="10"/>
      <c r="H343" s="6"/>
      <c r="I343" s="9" t="str">
        <f aca="false">IF($A343="","",TEXT($A343,"yyyy-mm"))</f>
        <v/>
      </c>
    </row>
    <row r="344" customFormat="false" ht="15" hidden="false" customHeight="false" outlineLevel="0" collapsed="false">
      <c r="A344" s="8"/>
      <c r="B344" s="6"/>
      <c r="C344" s="9" t="str">
        <f aca="false">IF($B344="","",IFERROR(INDEX(직원목록!$B$3:$B$202,MATCH($B344,직원목록!$A$3:$A$202,0)),""))</f>
        <v/>
      </c>
      <c r="D344" s="9" t="str">
        <f aca="false">IF($B344="","",IFERROR(INDEX(직원목록!$C$3:$C$202,MATCH($B344,직원목록!$A$3:$A$202,0)),""))</f>
        <v/>
      </c>
      <c r="E344" s="6"/>
      <c r="F344" s="6"/>
      <c r="G344" s="10"/>
      <c r="H344" s="6"/>
      <c r="I344" s="9" t="str">
        <f aca="false">IF($A344="","",TEXT($A344,"yyyy-mm"))</f>
        <v/>
      </c>
    </row>
    <row r="345" customFormat="false" ht="15" hidden="false" customHeight="false" outlineLevel="0" collapsed="false">
      <c r="A345" s="8"/>
      <c r="B345" s="6"/>
      <c r="C345" s="9" t="str">
        <f aca="false">IF($B345="","",IFERROR(INDEX(직원목록!$B$3:$B$202,MATCH($B345,직원목록!$A$3:$A$202,0)),""))</f>
        <v/>
      </c>
      <c r="D345" s="9" t="str">
        <f aca="false">IF($B345="","",IFERROR(INDEX(직원목록!$C$3:$C$202,MATCH($B345,직원목록!$A$3:$A$202,0)),""))</f>
        <v/>
      </c>
      <c r="E345" s="6"/>
      <c r="F345" s="6"/>
      <c r="G345" s="10"/>
      <c r="H345" s="6"/>
      <c r="I345" s="9" t="str">
        <f aca="false">IF($A345="","",TEXT($A345,"yyyy-mm"))</f>
        <v/>
      </c>
    </row>
    <row r="346" customFormat="false" ht="15" hidden="false" customHeight="false" outlineLevel="0" collapsed="false">
      <c r="A346" s="8"/>
      <c r="B346" s="6"/>
      <c r="C346" s="9" t="str">
        <f aca="false">IF($B346="","",IFERROR(INDEX(직원목록!$B$3:$B$202,MATCH($B346,직원목록!$A$3:$A$202,0)),""))</f>
        <v/>
      </c>
      <c r="D346" s="9" t="str">
        <f aca="false">IF($B346="","",IFERROR(INDEX(직원목록!$C$3:$C$202,MATCH($B346,직원목록!$A$3:$A$202,0)),""))</f>
        <v/>
      </c>
      <c r="E346" s="6"/>
      <c r="F346" s="6"/>
      <c r="G346" s="10"/>
      <c r="H346" s="6"/>
      <c r="I346" s="9" t="str">
        <f aca="false">IF($A346="","",TEXT($A346,"yyyy-mm"))</f>
        <v/>
      </c>
    </row>
    <row r="347" customFormat="false" ht="15" hidden="false" customHeight="false" outlineLevel="0" collapsed="false">
      <c r="A347" s="8"/>
      <c r="B347" s="6"/>
      <c r="C347" s="9" t="str">
        <f aca="false">IF($B347="","",IFERROR(INDEX(직원목록!$B$3:$B$202,MATCH($B347,직원목록!$A$3:$A$202,0)),""))</f>
        <v/>
      </c>
      <c r="D347" s="9" t="str">
        <f aca="false">IF($B347="","",IFERROR(INDEX(직원목록!$C$3:$C$202,MATCH($B347,직원목록!$A$3:$A$202,0)),""))</f>
        <v/>
      </c>
      <c r="E347" s="6"/>
      <c r="F347" s="6"/>
      <c r="G347" s="10"/>
      <c r="H347" s="6"/>
      <c r="I347" s="9" t="str">
        <f aca="false">IF($A347="","",TEXT($A347,"yyyy-mm"))</f>
        <v/>
      </c>
    </row>
    <row r="348" customFormat="false" ht="15" hidden="false" customHeight="false" outlineLevel="0" collapsed="false">
      <c r="A348" s="8"/>
      <c r="B348" s="6"/>
      <c r="C348" s="9" t="str">
        <f aca="false">IF($B348="","",IFERROR(INDEX(직원목록!$B$3:$B$202,MATCH($B348,직원목록!$A$3:$A$202,0)),""))</f>
        <v/>
      </c>
      <c r="D348" s="9" t="str">
        <f aca="false">IF($B348="","",IFERROR(INDEX(직원목록!$C$3:$C$202,MATCH($B348,직원목록!$A$3:$A$202,0)),""))</f>
        <v/>
      </c>
      <c r="E348" s="6"/>
      <c r="F348" s="6"/>
      <c r="G348" s="10"/>
      <c r="H348" s="6"/>
      <c r="I348" s="9" t="str">
        <f aca="false">IF($A348="","",TEXT($A348,"yyyy-mm"))</f>
        <v/>
      </c>
    </row>
    <row r="349" customFormat="false" ht="15" hidden="false" customHeight="false" outlineLevel="0" collapsed="false">
      <c r="A349" s="8"/>
      <c r="B349" s="6"/>
      <c r="C349" s="9" t="str">
        <f aca="false">IF($B349="","",IFERROR(INDEX(직원목록!$B$3:$B$202,MATCH($B349,직원목록!$A$3:$A$202,0)),""))</f>
        <v/>
      </c>
      <c r="D349" s="9" t="str">
        <f aca="false">IF($B349="","",IFERROR(INDEX(직원목록!$C$3:$C$202,MATCH($B349,직원목록!$A$3:$A$202,0)),""))</f>
        <v/>
      </c>
      <c r="E349" s="6"/>
      <c r="F349" s="6"/>
      <c r="G349" s="10"/>
      <c r="H349" s="6"/>
      <c r="I349" s="9" t="str">
        <f aca="false">IF($A349="","",TEXT($A349,"yyyy-mm"))</f>
        <v/>
      </c>
    </row>
    <row r="350" customFormat="false" ht="15" hidden="false" customHeight="false" outlineLevel="0" collapsed="false">
      <c r="A350" s="8"/>
      <c r="B350" s="6"/>
      <c r="C350" s="9" t="str">
        <f aca="false">IF($B350="","",IFERROR(INDEX(직원목록!$B$3:$B$202,MATCH($B350,직원목록!$A$3:$A$202,0)),""))</f>
        <v/>
      </c>
      <c r="D350" s="9" t="str">
        <f aca="false">IF($B350="","",IFERROR(INDEX(직원목록!$C$3:$C$202,MATCH($B350,직원목록!$A$3:$A$202,0)),""))</f>
        <v/>
      </c>
      <c r="E350" s="6"/>
      <c r="F350" s="6"/>
      <c r="G350" s="10"/>
      <c r="H350" s="6"/>
      <c r="I350" s="9" t="str">
        <f aca="false">IF($A350="","",TEXT($A350,"yyyy-mm"))</f>
        <v/>
      </c>
    </row>
    <row r="351" customFormat="false" ht="15" hidden="false" customHeight="false" outlineLevel="0" collapsed="false">
      <c r="A351" s="8"/>
      <c r="B351" s="6"/>
      <c r="C351" s="9" t="str">
        <f aca="false">IF($B351="","",IFERROR(INDEX(직원목록!$B$3:$B$202,MATCH($B351,직원목록!$A$3:$A$202,0)),""))</f>
        <v/>
      </c>
      <c r="D351" s="9" t="str">
        <f aca="false">IF($B351="","",IFERROR(INDEX(직원목록!$C$3:$C$202,MATCH($B351,직원목록!$A$3:$A$202,0)),""))</f>
        <v/>
      </c>
      <c r="E351" s="6"/>
      <c r="F351" s="6"/>
      <c r="G351" s="10"/>
      <c r="H351" s="6"/>
      <c r="I351" s="9" t="str">
        <f aca="false">IF($A351="","",TEXT($A351,"yyyy-mm"))</f>
        <v/>
      </c>
    </row>
    <row r="352" customFormat="false" ht="15" hidden="false" customHeight="false" outlineLevel="0" collapsed="false">
      <c r="A352" s="8"/>
      <c r="B352" s="6"/>
      <c r="C352" s="9" t="str">
        <f aca="false">IF($B352="","",IFERROR(INDEX(직원목록!$B$3:$B$202,MATCH($B352,직원목록!$A$3:$A$202,0)),""))</f>
        <v/>
      </c>
      <c r="D352" s="9" t="str">
        <f aca="false">IF($B352="","",IFERROR(INDEX(직원목록!$C$3:$C$202,MATCH($B352,직원목록!$A$3:$A$202,0)),""))</f>
        <v/>
      </c>
      <c r="E352" s="6"/>
      <c r="F352" s="6"/>
      <c r="G352" s="10"/>
      <c r="H352" s="6"/>
      <c r="I352" s="9" t="str">
        <f aca="false">IF($A352="","",TEXT($A352,"yyyy-mm"))</f>
        <v/>
      </c>
    </row>
    <row r="353" customFormat="false" ht="15" hidden="false" customHeight="false" outlineLevel="0" collapsed="false">
      <c r="A353" s="8"/>
      <c r="B353" s="6"/>
      <c r="C353" s="9" t="str">
        <f aca="false">IF($B353="","",IFERROR(INDEX(직원목록!$B$3:$B$202,MATCH($B353,직원목록!$A$3:$A$202,0)),""))</f>
        <v/>
      </c>
      <c r="D353" s="9" t="str">
        <f aca="false">IF($B353="","",IFERROR(INDEX(직원목록!$C$3:$C$202,MATCH($B353,직원목록!$A$3:$A$202,0)),""))</f>
        <v/>
      </c>
      <c r="E353" s="6"/>
      <c r="F353" s="6"/>
      <c r="G353" s="10"/>
      <c r="H353" s="6"/>
      <c r="I353" s="9" t="str">
        <f aca="false">IF($A353="","",TEXT($A353,"yyyy-mm"))</f>
        <v/>
      </c>
    </row>
    <row r="354" customFormat="false" ht="15" hidden="false" customHeight="false" outlineLevel="0" collapsed="false">
      <c r="A354" s="8"/>
      <c r="B354" s="6"/>
      <c r="C354" s="9" t="str">
        <f aca="false">IF($B354="","",IFERROR(INDEX(직원목록!$B$3:$B$202,MATCH($B354,직원목록!$A$3:$A$202,0)),""))</f>
        <v/>
      </c>
      <c r="D354" s="9" t="str">
        <f aca="false">IF($B354="","",IFERROR(INDEX(직원목록!$C$3:$C$202,MATCH($B354,직원목록!$A$3:$A$202,0)),""))</f>
        <v/>
      </c>
      <c r="E354" s="6"/>
      <c r="F354" s="6"/>
      <c r="G354" s="10"/>
      <c r="H354" s="6"/>
      <c r="I354" s="9" t="str">
        <f aca="false">IF($A354="","",TEXT($A354,"yyyy-mm"))</f>
        <v/>
      </c>
    </row>
    <row r="355" customFormat="false" ht="15" hidden="false" customHeight="false" outlineLevel="0" collapsed="false">
      <c r="A355" s="8"/>
      <c r="B355" s="6"/>
      <c r="C355" s="9" t="str">
        <f aca="false">IF($B355="","",IFERROR(INDEX(직원목록!$B$3:$B$202,MATCH($B355,직원목록!$A$3:$A$202,0)),""))</f>
        <v/>
      </c>
      <c r="D355" s="9" t="str">
        <f aca="false">IF($B355="","",IFERROR(INDEX(직원목록!$C$3:$C$202,MATCH($B355,직원목록!$A$3:$A$202,0)),""))</f>
        <v/>
      </c>
      <c r="E355" s="6"/>
      <c r="F355" s="6"/>
      <c r="G355" s="10"/>
      <c r="H355" s="6"/>
      <c r="I355" s="9" t="str">
        <f aca="false">IF($A355="","",TEXT($A355,"yyyy-mm"))</f>
        <v/>
      </c>
    </row>
    <row r="356" customFormat="false" ht="15" hidden="false" customHeight="false" outlineLevel="0" collapsed="false">
      <c r="A356" s="8"/>
      <c r="B356" s="6"/>
      <c r="C356" s="9" t="str">
        <f aca="false">IF($B356="","",IFERROR(INDEX(직원목록!$B$3:$B$202,MATCH($B356,직원목록!$A$3:$A$202,0)),""))</f>
        <v/>
      </c>
      <c r="D356" s="9" t="str">
        <f aca="false">IF($B356="","",IFERROR(INDEX(직원목록!$C$3:$C$202,MATCH($B356,직원목록!$A$3:$A$202,0)),""))</f>
        <v/>
      </c>
      <c r="E356" s="6"/>
      <c r="F356" s="6"/>
      <c r="G356" s="10"/>
      <c r="H356" s="6"/>
      <c r="I356" s="9" t="str">
        <f aca="false">IF($A356="","",TEXT($A356,"yyyy-mm"))</f>
        <v/>
      </c>
    </row>
    <row r="357" customFormat="false" ht="15" hidden="false" customHeight="false" outlineLevel="0" collapsed="false">
      <c r="A357" s="8"/>
      <c r="B357" s="6"/>
      <c r="C357" s="9" t="str">
        <f aca="false">IF($B357="","",IFERROR(INDEX(직원목록!$B$3:$B$202,MATCH($B357,직원목록!$A$3:$A$202,0)),""))</f>
        <v/>
      </c>
      <c r="D357" s="9" t="str">
        <f aca="false">IF($B357="","",IFERROR(INDEX(직원목록!$C$3:$C$202,MATCH($B357,직원목록!$A$3:$A$202,0)),""))</f>
        <v/>
      </c>
      <c r="E357" s="6"/>
      <c r="F357" s="6"/>
      <c r="G357" s="10"/>
      <c r="H357" s="6"/>
      <c r="I357" s="9" t="str">
        <f aca="false">IF($A357="","",TEXT($A357,"yyyy-mm"))</f>
        <v/>
      </c>
    </row>
    <row r="358" customFormat="false" ht="15" hidden="false" customHeight="false" outlineLevel="0" collapsed="false">
      <c r="A358" s="8"/>
      <c r="B358" s="6"/>
      <c r="C358" s="9" t="str">
        <f aca="false">IF($B358="","",IFERROR(INDEX(직원목록!$B$3:$B$202,MATCH($B358,직원목록!$A$3:$A$202,0)),""))</f>
        <v/>
      </c>
      <c r="D358" s="9" t="str">
        <f aca="false">IF($B358="","",IFERROR(INDEX(직원목록!$C$3:$C$202,MATCH($B358,직원목록!$A$3:$A$202,0)),""))</f>
        <v/>
      </c>
      <c r="E358" s="6"/>
      <c r="F358" s="6"/>
      <c r="G358" s="10"/>
      <c r="H358" s="6"/>
      <c r="I358" s="9" t="str">
        <f aca="false">IF($A358="","",TEXT($A358,"yyyy-mm"))</f>
        <v/>
      </c>
    </row>
    <row r="359" customFormat="false" ht="15" hidden="false" customHeight="false" outlineLevel="0" collapsed="false">
      <c r="A359" s="8"/>
      <c r="B359" s="6"/>
      <c r="C359" s="9" t="str">
        <f aca="false">IF($B359="","",IFERROR(INDEX(직원목록!$B$3:$B$202,MATCH($B359,직원목록!$A$3:$A$202,0)),""))</f>
        <v/>
      </c>
      <c r="D359" s="9" t="str">
        <f aca="false">IF($B359="","",IFERROR(INDEX(직원목록!$C$3:$C$202,MATCH($B359,직원목록!$A$3:$A$202,0)),""))</f>
        <v/>
      </c>
      <c r="E359" s="6"/>
      <c r="F359" s="6"/>
      <c r="G359" s="10"/>
      <c r="H359" s="6"/>
      <c r="I359" s="9" t="str">
        <f aca="false">IF($A359="","",TEXT($A359,"yyyy-mm"))</f>
        <v/>
      </c>
    </row>
    <row r="360" customFormat="false" ht="15" hidden="false" customHeight="false" outlineLevel="0" collapsed="false">
      <c r="A360" s="8"/>
      <c r="B360" s="6"/>
      <c r="C360" s="9" t="str">
        <f aca="false">IF($B360="","",IFERROR(INDEX(직원목록!$B$3:$B$202,MATCH($B360,직원목록!$A$3:$A$202,0)),""))</f>
        <v/>
      </c>
      <c r="D360" s="9" t="str">
        <f aca="false">IF($B360="","",IFERROR(INDEX(직원목록!$C$3:$C$202,MATCH($B360,직원목록!$A$3:$A$202,0)),""))</f>
        <v/>
      </c>
      <c r="E360" s="6"/>
      <c r="F360" s="6"/>
      <c r="G360" s="10"/>
      <c r="H360" s="6"/>
      <c r="I360" s="9" t="str">
        <f aca="false">IF($A360="","",TEXT($A360,"yyyy-mm"))</f>
        <v/>
      </c>
    </row>
    <row r="361" customFormat="false" ht="15" hidden="false" customHeight="false" outlineLevel="0" collapsed="false">
      <c r="A361" s="8"/>
      <c r="B361" s="6"/>
      <c r="C361" s="9" t="str">
        <f aca="false">IF($B361="","",IFERROR(INDEX(직원목록!$B$3:$B$202,MATCH($B361,직원목록!$A$3:$A$202,0)),""))</f>
        <v/>
      </c>
      <c r="D361" s="9" t="str">
        <f aca="false">IF($B361="","",IFERROR(INDEX(직원목록!$C$3:$C$202,MATCH($B361,직원목록!$A$3:$A$202,0)),""))</f>
        <v/>
      </c>
      <c r="E361" s="6"/>
      <c r="F361" s="6"/>
      <c r="G361" s="10"/>
      <c r="H361" s="6"/>
      <c r="I361" s="9" t="str">
        <f aca="false">IF($A361="","",TEXT($A361,"yyyy-mm"))</f>
        <v/>
      </c>
    </row>
    <row r="362" customFormat="false" ht="15" hidden="false" customHeight="false" outlineLevel="0" collapsed="false">
      <c r="A362" s="8"/>
      <c r="B362" s="6"/>
      <c r="C362" s="9" t="str">
        <f aca="false">IF($B362="","",IFERROR(INDEX(직원목록!$B$3:$B$202,MATCH($B362,직원목록!$A$3:$A$202,0)),""))</f>
        <v/>
      </c>
      <c r="D362" s="9" t="str">
        <f aca="false">IF($B362="","",IFERROR(INDEX(직원목록!$C$3:$C$202,MATCH($B362,직원목록!$A$3:$A$202,0)),""))</f>
        <v/>
      </c>
      <c r="E362" s="6"/>
      <c r="F362" s="6"/>
      <c r="G362" s="10"/>
      <c r="H362" s="6"/>
      <c r="I362" s="9" t="str">
        <f aca="false">IF($A362="","",TEXT($A362,"yyyy-mm"))</f>
        <v/>
      </c>
    </row>
    <row r="363" customFormat="false" ht="15" hidden="false" customHeight="false" outlineLevel="0" collapsed="false">
      <c r="A363" s="8"/>
      <c r="B363" s="6"/>
      <c r="C363" s="9" t="str">
        <f aca="false">IF($B363="","",IFERROR(INDEX(직원목록!$B$3:$B$202,MATCH($B363,직원목록!$A$3:$A$202,0)),""))</f>
        <v/>
      </c>
      <c r="D363" s="9" t="str">
        <f aca="false">IF($B363="","",IFERROR(INDEX(직원목록!$C$3:$C$202,MATCH($B363,직원목록!$A$3:$A$202,0)),""))</f>
        <v/>
      </c>
      <c r="E363" s="6"/>
      <c r="F363" s="6"/>
      <c r="G363" s="10"/>
      <c r="H363" s="6"/>
      <c r="I363" s="9" t="str">
        <f aca="false">IF($A363="","",TEXT($A363,"yyyy-mm"))</f>
        <v/>
      </c>
    </row>
    <row r="364" customFormat="false" ht="15" hidden="false" customHeight="false" outlineLevel="0" collapsed="false">
      <c r="A364" s="8"/>
      <c r="B364" s="6"/>
      <c r="C364" s="9" t="str">
        <f aca="false">IF($B364="","",IFERROR(INDEX(직원목록!$B$3:$B$202,MATCH($B364,직원목록!$A$3:$A$202,0)),""))</f>
        <v/>
      </c>
      <c r="D364" s="9" t="str">
        <f aca="false">IF($B364="","",IFERROR(INDEX(직원목록!$C$3:$C$202,MATCH($B364,직원목록!$A$3:$A$202,0)),""))</f>
        <v/>
      </c>
      <c r="E364" s="6"/>
      <c r="F364" s="6"/>
      <c r="G364" s="10"/>
      <c r="H364" s="6"/>
      <c r="I364" s="9" t="str">
        <f aca="false">IF($A364="","",TEXT($A364,"yyyy-mm"))</f>
        <v/>
      </c>
    </row>
    <row r="365" customFormat="false" ht="15" hidden="false" customHeight="false" outlineLevel="0" collapsed="false">
      <c r="A365" s="8"/>
      <c r="B365" s="6"/>
      <c r="C365" s="9" t="str">
        <f aca="false">IF($B365="","",IFERROR(INDEX(직원목록!$B$3:$B$202,MATCH($B365,직원목록!$A$3:$A$202,0)),""))</f>
        <v/>
      </c>
      <c r="D365" s="9" t="str">
        <f aca="false">IF($B365="","",IFERROR(INDEX(직원목록!$C$3:$C$202,MATCH($B365,직원목록!$A$3:$A$202,0)),""))</f>
        <v/>
      </c>
      <c r="E365" s="6"/>
      <c r="F365" s="6"/>
      <c r="G365" s="10"/>
      <c r="H365" s="6"/>
      <c r="I365" s="9" t="str">
        <f aca="false">IF($A365="","",TEXT($A365,"yyyy-mm"))</f>
        <v/>
      </c>
    </row>
    <row r="366" customFormat="false" ht="15" hidden="false" customHeight="false" outlineLevel="0" collapsed="false">
      <c r="A366" s="8"/>
      <c r="B366" s="6"/>
      <c r="C366" s="9" t="str">
        <f aca="false">IF($B366="","",IFERROR(INDEX(직원목록!$B$3:$B$202,MATCH($B366,직원목록!$A$3:$A$202,0)),""))</f>
        <v/>
      </c>
      <c r="D366" s="9" t="str">
        <f aca="false">IF($B366="","",IFERROR(INDEX(직원목록!$C$3:$C$202,MATCH($B366,직원목록!$A$3:$A$202,0)),""))</f>
        <v/>
      </c>
      <c r="E366" s="6"/>
      <c r="F366" s="6"/>
      <c r="G366" s="10"/>
      <c r="H366" s="6"/>
      <c r="I366" s="9" t="str">
        <f aca="false">IF($A366="","",TEXT($A366,"yyyy-mm"))</f>
        <v/>
      </c>
    </row>
    <row r="367" customFormat="false" ht="15" hidden="false" customHeight="false" outlineLevel="0" collapsed="false">
      <c r="A367" s="8"/>
      <c r="B367" s="6"/>
      <c r="C367" s="9" t="str">
        <f aca="false">IF($B367="","",IFERROR(INDEX(직원목록!$B$3:$B$202,MATCH($B367,직원목록!$A$3:$A$202,0)),""))</f>
        <v/>
      </c>
      <c r="D367" s="9" t="str">
        <f aca="false">IF($B367="","",IFERROR(INDEX(직원목록!$C$3:$C$202,MATCH($B367,직원목록!$A$3:$A$202,0)),""))</f>
        <v/>
      </c>
      <c r="E367" s="6"/>
      <c r="F367" s="6"/>
      <c r="G367" s="10"/>
      <c r="H367" s="6"/>
      <c r="I367" s="9" t="str">
        <f aca="false">IF($A367="","",TEXT($A367,"yyyy-mm"))</f>
        <v/>
      </c>
    </row>
    <row r="368" customFormat="false" ht="15" hidden="false" customHeight="false" outlineLevel="0" collapsed="false">
      <c r="A368" s="8"/>
      <c r="B368" s="6"/>
      <c r="C368" s="9" t="str">
        <f aca="false">IF($B368="","",IFERROR(INDEX(직원목록!$B$3:$B$202,MATCH($B368,직원목록!$A$3:$A$202,0)),""))</f>
        <v/>
      </c>
      <c r="D368" s="9" t="str">
        <f aca="false">IF($B368="","",IFERROR(INDEX(직원목록!$C$3:$C$202,MATCH($B368,직원목록!$A$3:$A$202,0)),""))</f>
        <v/>
      </c>
      <c r="E368" s="6"/>
      <c r="F368" s="6"/>
      <c r="G368" s="10"/>
      <c r="H368" s="6"/>
      <c r="I368" s="9" t="str">
        <f aca="false">IF($A368="","",TEXT($A368,"yyyy-mm"))</f>
        <v/>
      </c>
    </row>
    <row r="369" customFormat="false" ht="15" hidden="false" customHeight="false" outlineLevel="0" collapsed="false">
      <c r="A369" s="8"/>
      <c r="B369" s="6"/>
      <c r="C369" s="9" t="str">
        <f aca="false">IF($B369="","",IFERROR(INDEX(직원목록!$B$3:$B$202,MATCH($B369,직원목록!$A$3:$A$202,0)),""))</f>
        <v/>
      </c>
      <c r="D369" s="9" t="str">
        <f aca="false">IF($B369="","",IFERROR(INDEX(직원목록!$C$3:$C$202,MATCH($B369,직원목록!$A$3:$A$202,0)),""))</f>
        <v/>
      </c>
      <c r="E369" s="6"/>
      <c r="F369" s="6"/>
      <c r="G369" s="10"/>
      <c r="H369" s="6"/>
      <c r="I369" s="9" t="str">
        <f aca="false">IF($A369="","",TEXT($A369,"yyyy-mm"))</f>
        <v/>
      </c>
    </row>
    <row r="370" customFormat="false" ht="15" hidden="false" customHeight="false" outlineLevel="0" collapsed="false">
      <c r="A370" s="8"/>
      <c r="B370" s="6"/>
      <c r="C370" s="9" t="str">
        <f aca="false">IF($B370="","",IFERROR(INDEX(직원목록!$B$3:$B$202,MATCH($B370,직원목록!$A$3:$A$202,0)),""))</f>
        <v/>
      </c>
      <c r="D370" s="9" t="str">
        <f aca="false">IF($B370="","",IFERROR(INDEX(직원목록!$C$3:$C$202,MATCH($B370,직원목록!$A$3:$A$202,0)),""))</f>
        <v/>
      </c>
      <c r="E370" s="6"/>
      <c r="F370" s="6"/>
      <c r="G370" s="10"/>
      <c r="H370" s="6"/>
      <c r="I370" s="9" t="str">
        <f aca="false">IF($A370="","",TEXT($A370,"yyyy-mm"))</f>
        <v/>
      </c>
    </row>
    <row r="371" customFormat="false" ht="15" hidden="false" customHeight="false" outlineLevel="0" collapsed="false">
      <c r="A371" s="8"/>
      <c r="B371" s="6"/>
      <c r="C371" s="9" t="str">
        <f aca="false">IF($B371="","",IFERROR(INDEX(직원목록!$B$3:$B$202,MATCH($B371,직원목록!$A$3:$A$202,0)),""))</f>
        <v/>
      </c>
      <c r="D371" s="9" t="str">
        <f aca="false">IF($B371="","",IFERROR(INDEX(직원목록!$C$3:$C$202,MATCH($B371,직원목록!$A$3:$A$202,0)),""))</f>
        <v/>
      </c>
      <c r="E371" s="6"/>
      <c r="F371" s="6"/>
      <c r="G371" s="10"/>
      <c r="H371" s="6"/>
      <c r="I371" s="9" t="str">
        <f aca="false">IF($A371="","",TEXT($A371,"yyyy-mm"))</f>
        <v/>
      </c>
    </row>
    <row r="372" customFormat="false" ht="15" hidden="false" customHeight="false" outlineLevel="0" collapsed="false">
      <c r="A372" s="8"/>
      <c r="B372" s="6"/>
      <c r="C372" s="9" t="str">
        <f aca="false">IF($B372="","",IFERROR(INDEX(직원목록!$B$3:$B$202,MATCH($B372,직원목록!$A$3:$A$202,0)),""))</f>
        <v/>
      </c>
      <c r="D372" s="9" t="str">
        <f aca="false">IF($B372="","",IFERROR(INDEX(직원목록!$C$3:$C$202,MATCH($B372,직원목록!$A$3:$A$202,0)),""))</f>
        <v/>
      </c>
      <c r="E372" s="6"/>
      <c r="F372" s="6"/>
      <c r="G372" s="10"/>
      <c r="H372" s="6"/>
      <c r="I372" s="9" t="str">
        <f aca="false">IF($A372="","",TEXT($A372,"yyyy-mm"))</f>
        <v/>
      </c>
    </row>
    <row r="373" customFormat="false" ht="15" hidden="false" customHeight="false" outlineLevel="0" collapsed="false">
      <c r="A373" s="8"/>
      <c r="B373" s="6"/>
      <c r="C373" s="9" t="str">
        <f aca="false">IF($B373="","",IFERROR(INDEX(직원목록!$B$3:$B$202,MATCH($B373,직원목록!$A$3:$A$202,0)),""))</f>
        <v/>
      </c>
      <c r="D373" s="9" t="str">
        <f aca="false">IF($B373="","",IFERROR(INDEX(직원목록!$C$3:$C$202,MATCH($B373,직원목록!$A$3:$A$202,0)),""))</f>
        <v/>
      </c>
      <c r="E373" s="6"/>
      <c r="F373" s="6"/>
      <c r="G373" s="10"/>
      <c r="H373" s="6"/>
      <c r="I373" s="9" t="str">
        <f aca="false">IF($A373="","",TEXT($A373,"yyyy-mm"))</f>
        <v/>
      </c>
    </row>
    <row r="374" customFormat="false" ht="15" hidden="false" customHeight="false" outlineLevel="0" collapsed="false">
      <c r="A374" s="8"/>
      <c r="B374" s="6"/>
      <c r="C374" s="9" t="str">
        <f aca="false">IF($B374="","",IFERROR(INDEX(직원목록!$B$3:$B$202,MATCH($B374,직원목록!$A$3:$A$202,0)),""))</f>
        <v/>
      </c>
      <c r="D374" s="9" t="str">
        <f aca="false">IF($B374="","",IFERROR(INDEX(직원목록!$C$3:$C$202,MATCH($B374,직원목록!$A$3:$A$202,0)),""))</f>
        <v/>
      </c>
      <c r="E374" s="6"/>
      <c r="F374" s="6"/>
      <c r="G374" s="10"/>
      <c r="H374" s="6"/>
      <c r="I374" s="9" t="str">
        <f aca="false">IF($A374="","",TEXT($A374,"yyyy-mm"))</f>
        <v/>
      </c>
    </row>
    <row r="375" customFormat="false" ht="15" hidden="false" customHeight="false" outlineLevel="0" collapsed="false">
      <c r="A375" s="8"/>
      <c r="B375" s="6"/>
      <c r="C375" s="9" t="str">
        <f aca="false">IF($B375="","",IFERROR(INDEX(직원목록!$B$3:$B$202,MATCH($B375,직원목록!$A$3:$A$202,0)),""))</f>
        <v/>
      </c>
      <c r="D375" s="9" t="str">
        <f aca="false">IF($B375="","",IFERROR(INDEX(직원목록!$C$3:$C$202,MATCH($B375,직원목록!$A$3:$A$202,0)),""))</f>
        <v/>
      </c>
      <c r="E375" s="6"/>
      <c r="F375" s="6"/>
      <c r="G375" s="10"/>
      <c r="H375" s="6"/>
      <c r="I375" s="9" t="str">
        <f aca="false">IF($A375="","",TEXT($A375,"yyyy-mm"))</f>
        <v/>
      </c>
    </row>
    <row r="376" customFormat="false" ht="15" hidden="false" customHeight="false" outlineLevel="0" collapsed="false">
      <c r="A376" s="8"/>
      <c r="B376" s="6"/>
      <c r="C376" s="9" t="str">
        <f aca="false">IF($B376="","",IFERROR(INDEX(직원목록!$B$3:$B$202,MATCH($B376,직원목록!$A$3:$A$202,0)),""))</f>
        <v/>
      </c>
      <c r="D376" s="9" t="str">
        <f aca="false">IF($B376="","",IFERROR(INDEX(직원목록!$C$3:$C$202,MATCH($B376,직원목록!$A$3:$A$202,0)),""))</f>
        <v/>
      </c>
      <c r="E376" s="6"/>
      <c r="F376" s="6"/>
      <c r="G376" s="10"/>
      <c r="H376" s="6"/>
      <c r="I376" s="9" t="str">
        <f aca="false">IF($A376="","",TEXT($A376,"yyyy-mm"))</f>
        <v/>
      </c>
    </row>
    <row r="377" customFormat="false" ht="15" hidden="false" customHeight="false" outlineLevel="0" collapsed="false">
      <c r="A377" s="8"/>
      <c r="B377" s="6"/>
      <c r="C377" s="9" t="str">
        <f aca="false">IF($B377="","",IFERROR(INDEX(직원목록!$B$3:$B$202,MATCH($B377,직원목록!$A$3:$A$202,0)),""))</f>
        <v/>
      </c>
      <c r="D377" s="9" t="str">
        <f aca="false">IF($B377="","",IFERROR(INDEX(직원목록!$C$3:$C$202,MATCH($B377,직원목록!$A$3:$A$202,0)),""))</f>
        <v/>
      </c>
      <c r="E377" s="6"/>
      <c r="F377" s="6"/>
      <c r="G377" s="10"/>
      <c r="H377" s="6"/>
      <c r="I377" s="9" t="str">
        <f aca="false">IF($A377="","",TEXT($A377,"yyyy-mm"))</f>
        <v/>
      </c>
    </row>
    <row r="378" customFormat="false" ht="15" hidden="false" customHeight="false" outlineLevel="0" collapsed="false">
      <c r="A378" s="8"/>
      <c r="B378" s="6"/>
      <c r="C378" s="9" t="str">
        <f aca="false">IF($B378="","",IFERROR(INDEX(직원목록!$B$3:$B$202,MATCH($B378,직원목록!$A$3:$A$202,0)),""))</f>
        <v/>
      </c>
      <c r="D378" s="9" t="str">
        <f aca="false">IF($B378="","",IFERROR(INDEX(직원목록!$C$3:$C$202,MATCH($B378,직원목록!$A$3:$A$202,0)),""))</f>
        <v/>
      </c>
      <c r="E378" s="6"/>
      <c r="F378" s="6"/>
      <c r="G378" s="10"/>
      <c r="H378" s="6"/>
      <c r="I378" s="9" t="str">
        <f aca="false">IF($A378="","",TEXT($A378,"yyyy-mm"))</f>
        <v/>
      </c>
    </row>
    <row r="379" customFormat="false" ht="15" hidden="false" customHeight="false" outlineLevel="0" collapsed="false">
      <c r="A379" s="8"/>
      <c r="B379" s="6"/>
      <c r="C379" s="9" t="str">
        <f aca="false">IF($B379="","",IFERROR(INDEX(직원목록!$B$3:$B$202,MATCH($B379,직원목록!$A$3:$A$202,0)),""))</f>
        <v/>
      </c>
      <c r="D379" s="9" t="str">
        <f aca="false">IF($B379="","",IFERROR(INDEX(직원목록!$C$3:$C$202,MATCH($B379,직원목록!$A$3:$A$202,0)),""))</f>
        <v/>
      </c>
      <c r="E379" s="6"/>
      <c r="F379" s="6"/>
      <c r="G379" s="10"/>
      <c r="H379" s="6"/>
      <c r="I379" s="9" t="str">
        <f aca="false">IF($A379="","",TEXT($A379,"yyyy-mm"))</f>
        <v/>
      </c>
    </row>
    <row r="380" customFormat="false" ht="15" hidden="false" customHeight="false" outlineLevel="0" collapsed="false">
      <c r="A380" s="8"/>
      <c r="B380" s="6"/>
      <c r="C380" s="9" t="str">
        <f aca="false">IF($B380="","",IFERROR(INDEX(직원목록!$B$3:$B$202,MATCH($B380,직원목록!$A$3:$A$202,0)),""))</f>
        <v/>
      </c>
      <c r="D380" s="9" t="str">
        <f aca="false">IF($B380="","",IFERROR(INDEX(직원목록!$C$3:$C$202,MATCH($B380,직원목록!$A$3:$A$202,0)),""))</f>
        <v/>
      </c>
      <c r="E380" s="6"/>
      <c r="F380" s="6"/>
      <c r="G380" s="10"/>
      <c r="H380" s="6"/>
      <c r="I380" s="9" t="str">
        <f aca="false">IF($A380="","",TEXT($A380,"yyyy-mm"))</f>
        <v/>
      </c>
    </row>
    <row r="381" customFormat="false" ht="15" hidden="false" customHeight="false" outlineLevel="0" collapsed="false">
      <c r="A381" s="8"/>
      <c r="B381" s="6"/>
      <c r="C381" s="9" t="str">
        <f aca="false">IF($B381="","",IFERROR(INDEX(직원목록!$B$3:$B$202,MATCH($B381,직원목록!$A$3:$A$202,0)),""))</f>
        <v/>
      </c>
      <c r="D381" s="9" t="str">
        <f aca="false">IF($B381="","",IFERROR(INDEX(직원목록!$C$3:$C$202,MATCH($B381,직원목록!$A$3:$A$202,0)),""))</f>
        <v/>
      </c>
      <c r="E381" s="6"/>
      <c r="F381" s="6"/>
      <c r="G381" s="10"/>
      <c r="H381" s="6"/>
      <c r="I381" s="9" t="str">
        <f aca="false">IF($A381="","",TEXT($A381,"yyyy-mm"))</f>
        <v/>
      </c>
    </row>
    <row r="382" customFormat="false" ht="15" hidden="false" customHeight="false" outlineLevel="0" collapsed="false">
      <c r="A382" s="8"/>
      <c r="B382" s="6"/>
      <c r="C382" s="9" t="str">
        <f aca="false">IF($B382="","",IFERROR(INDEX(직원목록!$B$3:$B$202,MATCH($B382,직원목록!$A$3:$A$202,0)),""))</f>
        <v/>
      </c>
      <c r="D382" s="9" t="str">
        <f aca="false">IF($B382="","",IFERROR(INDEX(직원목록!$C$3:$C$202,MATCH($B382,직원목록!$A$3:$A$202,0)),""))</f>
        <v/>
      </c>
      <c r="E382" s="6"/>
      <c r="F382" s="6"/>
      <c r="G382" s="10"/>
      <c r="H382" s="6"/>
      <c r="I382" s="9" t="str">
        <f aca="false">IF($A382="","",TEXT($A382,"yyyy-mm"))</f>
        <v/>
      </c>
    </row>
    <row r="383" customFormat="false" ht="15" hidden="false" customHeight="false" outlineLevel="0" collapsed="false">
      <c r="A383" s="8"/>
      <c r="B383" s="6"/>
      <c r="C383" s="9" t="str">
        <f aca="false">IF($B383="","",IFERROR(INDEX(직원목록!$B$3:$B$202,MATCH($B383,직원목록!$A$3:$A$202,0)),""))</f>
        <v/>
      </c>
      <c r="D383" s="9" t="str">
        <f aca="false">IF($B383="","",IFERROR(INDEX(직원목록!$C$3:$C$202,MATCH($B383,직원목록!$A$3:$A$202,0)),""))</f>
        <v/>
      </c>
      <c r="E383" s="6"/>
      <c r="F383" s="6"/>
      <c r="G383" s="10"/>
      <c r="H383" s="6"/>
      <c r="I383" s="9" t="str">
        <f aca="false">IF($A383="","",TEXT($A383,"yyyy-mm"))</f>
        <v/>
      </c>
    </row>
    <row r="384" customFormat="false" ht="15" hidden="false" customHeight="false" outlineLevel="0" collapsed="false">
      <c r="A384" s="8"/>
      <c r="B384" s="6"/>
      <c r="C384" s="9" t="str">
        <f aca="false">IF($B384="","",IFERROR(INDEX(직원목록!$B$3:$B$202,MATCH($B384,직원목록!$A$3:$A$202,0)),""))</f>
        <v/>
      </c>
      <c r="D384" s="9" t="str">
        <f aca="false">IF($B384="","",IFERROR(INDEX(직원목록!$C$3:$C$202,MATCH($B384,직원목록!$A$3:$A$202,0)),""))</f>
        <v/>
      </c>
      <c r="E384" s="6"/>
      <c r="F384" s="6"/>
      <c r="G384" s="10"/>
      <c r="H384" s="6"/>
      <c r="I384" s="9" t="str">
        <f aca="false">IF($A384="","",TEXT($A384,"yyyy-mm"))</f>
        <v/>
      </c>
    </row>
    <row r="385" customFormat="false" ht="15" hidden="false" customHeight="false" outlineLevel="0" collapsed="false">
      <c r="A385" s="8"/>
      <c r="B385" s="6"/>
      <c r="C385" s="9" t="str">
        <f aca="false">IF($B385="","",IFERROR(INDEX(직원목록!$B$3:$B$202,MATCH($B385,직원목록!$A$3:$A$202,0)),""))</f>
        <v/>
      </c>
      <c r="D385" s="9" t="str">
        <f aca="false">IF($B385="","",IFERROR(INDEX(직원목록!$C$3:$C$202,MATCH($B385,직원목록!$A$3:$A$202,0)),""))</f>
        <v/>
      </c>
      <c r="E385" s="6"/>
      <c r="F385" s="6"/>
      <c r="G385" s="10"/>
      <c r="H385" s="6"/>
      <c r="I385" s="9" t="str">
        <f aca="false">IF($A385="","",TEXT($A385,"yyyy-mm"))</f>
        <v/>
      </c>
    </row>
    <row r="386" customFormat="false" ht="15" hidden="false" customHeight="false" outlineLevel="0" collapsed="false">
      <c r="A386" s="8"/>
      <c r="B386" s="6"/>
      <c r="C386" s="9" t="str">
        <f aca="false">IF($B386="","",IFERROR(INDEX(직원목록!$B$3:$B$202,MATCH($B386,직원목록!$A$3:$A$202,0)),""))</f>
        <v/>
      </c>
      <c r="D386" s="9" t="str">
        <f aca="false">IF($B386="","",IFERROR(INDEX(직원목록!$C$3:$C$202,MATCH($B386,직원목록!$A$3:$A$202,0)),""))</f>
        <v/>
      </c>
      <c r="E386" s="6"/>
      <c r="F386" s="6"/>
      <c r="G386" s="10"/>
      <c r="H386" s="6"/>
      <c r="I386" s="9" t="str">
        <f aca="false">IF($A386="","",TEXT($A386,"yyyy-mm"))</f>
        <v/>
      </c>
    </row>
    <row r="387" customFormat="false" ht="15" hidden="false" customHeight="false" outlineLevel="0" collapsed="false">
      <c r="A387" s="8"/>
      <c r="B387" s="6"/>
      <c r="C387" s="9" t="str">
        <f aca="false">IF($B387="","",IFERROR(INDEX(직원목록!$B$3:$B$202,MATCH($B387,직원목록!$A$3:$A$202,0)),""))</f>
        <v/>
      </c>
      <c r="D387" s="9" t="str">
        <f aca="false">IF($B387="","",IFERROR(INDEX(직원목록!$C$3:$C$202,MATCH($B387,직원목록!$A$3:$A$202,0)),""))</f>
        <v/>
      </c>
      <c r="E387" s="6"/>
      <c r="F387" s="6"/>
      <c r="G387" s="10"/>
      <c r="H387" s="6"/>
      <c r="I387" s="9" t="str">
        <f aca="false">IF($A387="","",TEXT($A387,"yyyy-mm"))</f>
        <v/>
      </c>
    </row>
    <row r="388" customFormat="false" ht="15" hidden="false" customHeight="false" outlineLevel="0" collapsed="false">
      <c r="A388" s="8"/>
      <c r="B388" s="6"/>
      <c r="C388" s="9" t="str">
        <f aca="false">IF($B388="","",IFERROR(INDEX(직원목록!$B$3:$B$202,MATCH($B388,직원목록!$A$3:$A$202,0)),""))</f>
        <v/>
      </c>
      <c r="D388" s="9" t="str">
        <f aca="false">IF($B388="","",IFERROR(INDEX(직원목록!$C$3:$C$202,MATCH($B388,직원목록!$A$3:$A$202,0)),""))</f>
        <v/>
      </c>
      <c r="E388" s="6"/>
      <c r="F388" s="6"/>
      <c r="G388" s="10"/>
      <c r="H388" s="6"/>
      <c r="I388" s="9" t="str">
        <f aca="false">IF($A388="","",TEXT($A388,"yyyy-mm"))</f>
        <v/>
      </c>
    </row>
    <row r="389" customFormat="false" ht="15" hidden="false" customHeight="false" outlineLevel="0" collapsed="false">
      <c r="A389" s="8"/>
      <c r="B389" s="6"/>
      <c r="C389" s="9" t="str">
        <f aca="false">IF($B389="","",IFERROR(INDEX(직원목록!$B$3:$B$202,MATCH($B389,직원목록!$A$3:$A$202,0)),""))</f>
        <v/>
      </c>
      <c r="D389" s="9" t="str">
        <f aca="false">IF($B389="","",IFERROR(INDEX(직원목록!$C$3:$C$202,MATCH($B389,직원목록!$A$3:$A$202,0)),""))</f>
        <v/>
      </c>
      <c r="E389" s="6"/>
      <c r="F389" s="6"/>
      <c r="G389" s="10"/>
      <c r="H389" s="6"/>
      <c r="I389" s="9" t="str">
        <f aca="false">IF($A389="","",TEXT($A389,"yyyy-mm"))</f>
        <v/>
      </c>
    </row>
    <row r="390" customFormat="false" ht="15" hidden="false" customHeight="false" outlineLevel="0" collapsed="false">
      <c r="A390" s="8"/>
      <c r="B390" s="6"/>
      <c r="C390" s="9" t="str">
        <f aca="false">IF($B390="","",IFERROR(INDEX(직원목록!$B$3:$B$202,MATCH($B390,직원목록!$A$3:$A$202,0)),""))</f>
        <v/>
      </c>
      <c r="D390" s="9" t="str">
        <f aca="false">IF($B390="","",IFERROR(INDEX(직원목록!$C$3:$C$202,MATCH($B390,직원목록!$A$3:$A$202,0)),""))</f>
        <v/>
      </c>
      <c r="E390" s="6"/>
      <c r="F390" s="6"/>
      <c r="G390" s="10"/>
      <c r="H390" s="6"/>
      <c r="I390" s="9" t="str">
        <f aca="false">IF($A390="","",TEXT($A390,"yyyy-mm"))</f>
        <v/>
      </c>
    </row>
    <row r="391" customFormat="false" ht="15" hidden="false" customHeight="false" outlineLevel="0" collapsed="false">
      <c r="A391" s="8"/>
      <c r="B391" s="6"/>
      <c r="C391" s="9" t="str">
        <f aca="false">IF($B391="","",IFERROR(INDEX(직원목록!$B$3:$B$202,MATCH($B391,직원목록!$A$3:$A$202,0)),""))</f>
        <v/>
      </c>
      <c r="D391" s="9" t="str">
        <f aca="false">IF($B391="","",IFERROR(INDEX(직원목록!$C$3:$C$202,MATCH($B391,직원목록!$A$3:$A$202,0)),""))</f>
        <v/>
      </c>
      <c r="E391" s="6"/>
      <c r="F391" s="6"/>
      <c r="G391" s="10"/>
      <c r="H391" s="6"/>
      <c r="I391" s="9" t="str">
        <f aca="false">IF($A391="","",TEXT($A391,"yyyy-mm"))</f>
        <v/>
      </c>
    </row>
    <row r="392" customFormat="false" ht="15" hidden="false" customHeight="false" outlineLevel="0" collapsed="false">
      <c r="A392" s="8"/>
      <c r="B392" s="6"/>
      <c r="C392" s="9" t="str">
        <f aca="false">IF($B392="","",IFERROR(INDEX(직원목록!$B$3:$B$202,MATCH($B392,직원목록!$A$3:$A$202,0)),""))</f>
        <v/>
      </c>
      <c r="D392" s="9" t="str">
        <f aca="false">IF($B392="","",IFERROR(INDEX(직원목록!$C$3:$C$202,MATCH($B392,직원목록!$A$3:$A$202,0)),""))</f>
        <v/>
      </c>
      <c r="E392" s="6"/>
      <c r="F392" s="6"/>
      <c r="G392" s="10"/>
      <c r="H392" s="6"/>
      <c r="I392" s="9" t="str">
        <f aca="false">IF($A392="","",TEXT($A392,"yyyy-mm"))</f>
        <v/>
      </c>
    </row>
    <row r="393" customFormat="false" ht="15" hidden="false" customHeight="false" outlineLevel="0" collapsed="false">
      <c r="A393" s="8"/>
      <c r="B393" s="6"/>
      <c r="C393" s="9" t="str">
        <f aca="false">IF($B393="","",IFERROR(INDEX(직원목록!$B$3:$B$202,MATCH($B393,직원목록!$A$3:$A$202,0)),""))</f>
        <v/>
      </c>
      <c r="D393" s="9" t="str">
        <f aca="false">IF($B393="","",IFERROR(INDEX(직원목록!$C$3:$C$202,MATCH($B393,직원목록!$A$3:$A$202,0)),""))</f>
        <v/>
      </c>
      <c r="E393" s="6"/>
      <c r="F393" s="6"/>
      <c r="G393" s="10"/>
      <c r="H393" s="6"/>
      <c r="I393" s="9" t="str">
        <f aca="false">IF($A393="","",TEXT($A393,"yyyy-mm"))</f>
        <v/>
      </c>
    </row>
    <row r="394" customFormat="false" ht="15" hidden="false" customHeight="false" outlineLevel="0" collapsed="false">
      <c r="A394" s="8"/>
      <c r="B394" s="6"/>
      <c r="C394" s="9" t="str">
        <f aca="false">IF($B394="","",IFERROR(INDEX(직원목록!$B$3:$B$202,MATCH($B394,직원목록!$A$3:$A$202,0)),""))</f>
        <v/>
      </c>
      <c r="D394" s="9" t="str">
        <f aca="false">IF($B394="","",IFERROR(INDEX(직원목록!$C$3:$C$202,MATCH($B394,직원목록!$A$3:$A$202,0)),""))</f>
        <v/>
      </c>
      <c r="E394" s="6"/>
      <c r="F394" s="6"/>
      <c r="G394" s="10"/>
      <c r="H394" s="6"/>
      <c r="I394" s="9" t="str">
        <f aca="false">IF($A394="","",TEXT($A394,"yyyy-mm"))</f>
        <v/>
      </c>
    </row>
    <row r="395" customFormat="false" ht="15" hidden="false" customHeight="false" outlineLevel="0" collapsed="false">
      <c r="A395" s="8"/>
      <c r="B395" s="6"/>
      <c r="C395" s="9" t="str">
        <f aca="false">IF($B395="","",IFERROR(INDEX(직원목록!$B$3:$B$202,MATCH($B395,직원목록!$A$3:$A$202,0)),""))</f>
        <v/>
      </c>
      <c r="D395" s="9" t="str">
        <f aca="false">IF($B395="","",IFERROR(INDEX(직원목록!$C$3:$C$202,MATCH($B395,직원목록!$A$3:$A$202,0)),""))</f>
        <v/>
      </c>
      <c r="E395" s="6"/>
      <c r="F395" s="6"/>
      <c r="G395" s="10"/>
      <c r="H395" s="6"/>
      <c r="I395" s="9" t="str">
        <f aca="false">IF($A395="","",TEXT($A395,"yyyy-mm"))</f>
        <v/>
      </c>
    </row>
    <row r="396" customFormat="false" ht="15" hidden="false" customHeight="false" outlineLevel="0" collapsed="false">
      <c r="A396" s="8"/>
      <c r="B396" s="6"/>
      <c r="C396" s="9" t="str">
        <f aca="false">IF($B396="","",IFERROR(INDEX(직원목록!$B$3:$B$202,MATCH($B396,직원목록!$A$3:$A$202,0)),""))</f>
        <v/>
      </c>
      <c r="D396" s="9" t="str">
        <f aca="false">IF($B396="","",IFERROR(INDEX(직원목록!$C$3:$C$202,MATCH($B396,직원목록!$A$3:$A$202,0)),""))</f>
        <v/>
      </c>
      <c r="E396" s="6"/>
      <c r="F396" s="6"/>
      <c r="G396" s="10"/>
      <c r="H396" s="6"/>
      <c r="I396" s="9" t="str">
        <f aca="false">IF($A396="","",TEXT($A396,"yyyy-mm"))</f>
        <v/>
      </c>
    </row>
    <row r="397" customFormat="false" ht="15" hidden="false" customHeight="false" outlineLevel="0" collapsed="false">
      <c r="A397" s="8"/>
      <c r="B397" s="6"/>
      <c r="C397" s="9" t="str">
        <f aca="false">IF($B397="","",IFERROR(INDEX(직원목록!$B$3:$B$202,MATCH($B397,직원목록!$A$3:$A$202,0)),""))</f>
        <v/>
      </c>
      <c r="D397" s="9" t="str">
        <f aca="false">IF($B397="","",IFERROR(INDEX(직원목록!$C$3:$C$202,MATCH($B397,직원목록!$A$3:$A$202,0)),""))</f>
        <v/>
      </c>
      <c r="E397" s="6"/>
      <c r="F397" s="6"/>
      <c r="G397" s="10"/>
      <c r="H397" s="6"/>
      <c r="I397" s="9" t="str">
        <f aca="false">IF($A397="","",TEXT($A397,"yyyy-mm"))</f>
        <v/>
      </c>
    </row>
    <row r="398" customFormat="false" ht="15" hidden="false" customHeight="false" outlineLevel="0" collapsed="false">
      <c r="A398" s="8"/>
      <c r="B398" s="6"/>
      <c r="C398" s="9" t="str">
        <f aca="false">IF($B398="","",IFERROR(INDEX(직원목록!$B$3:$B$202,MATCH($B398,직원목록!$A$3:$A$202,0)),""))</f>
        <v/>
      </c>
      <c r="D398" s="9" t="str">
        <f aca="false">IF($B398="","",IFERROR(INDEX(직원목록!$C$3:$C$202,MATCH($B398,직원목록!$A$3:$A$202,0)),""))</f>
        <v/>
      </c>
      <c r="E398" s="6"/>
      <c r="F398" s="6"/>
      <c r="G398" s="10"/>
      <c r="H398" s="6"/>
      <c r="I398" s="9" t="str">
        <f aca="false">IF($A398="","",TEXT($A398,"yyyy-mm"))</f>
        <v/>
      </c>
    </row>
    <row r="399" customFormat="false" ht="15" hidden="false" customHeight="false" outlineLevel="0" collapsed="false">
      <c r="A399" s="8"/>
      <c r="B399" s="6"/>
      <c r="C399" s="9" t="str">
        <f aca="false">IF($B399="","",IFERROR(INDEX(직원목록!$B$3:$B$202,MATCH($B399,직원목록!$A$3:$A$202,0)),""))</f>
        <v/>
      </c>
      <c r="D399" s="9" t="str">
        <f aca="false">IF($B399="","",IFERROR(INDEX(직원목록!$C$3:$C$202,MATCH($B399,직원목록!$A$3:$A$202,0)),""))</f>
        <v/>
      </c>
      <c r="E399" s="6"/>
      <c r="F399" s="6"/>
      <c r="G399" s="10"/>
      <c r="H399" s="6"/>
      <c r="I399" s="9" t="str">
        <f aca="false">IF($A399="","",TEXT($A399,"yyyy-mm"))</f>
        <v/>
      </c>
    </row>
    <row r="400" customFormat="false" ht="15" hidden="false" customHeight="false" outlineLevel="0" collapsed="false">
      <c r="A400" s="8"/>
      <c r="B400" s="6"/>
      <c r="C400" s="9" t="str">
        <f aca="false">IF($B400="","",IFERROR(INDEX(직원목록!$B$3:$B$202,MATCH($B400,직원목록!$A$3:$A$202,0)),""))</f>
        <v/>
      </c>
      <c r="D400" s="9" t="str">
        <f aca="false">IF($B400="","",IFERROR(INDEX(직원목록!$C$3:$C$202,MATCH($B400,직원목록!$A$3:$A$202,0)),""))</f>
        <v/>
      </c>
      <c r="E400" s="6"/>
      <c r="F400" s="6"/>
      <c r="G400" s="10"/>
      <c r="H400" s="6"/>
      <c r="I400" s="9" t="str">
        <f aca="false">IF($A400="","",TEXT($A400,"yyyy-mm"))</f>
        <v/>
      </c>
    </row>
    <row r="401" customFormat="false" ht="15" hidden="false" customHeight="false" outlineLevel="0" collapsed="false">
      <c r="A401" s="8"/>
      <c r="B401" s="6"/>
      <c r="C401" s="9" t="str">
        <f aca="false">IF($B401="","",IFERROR(INDEX(직원목록!$B$3:$B$202,MATCH($B401,직원목록!$A$3:$A$202,0)),""))</f>
        <v/>
      </c>
      <c r="D401" s="9" t="str">
        <f aca="false">IF($B401="","",IFERROR(INDEX(직원목록!$C$3:$C$202,MATCH($B401,직원목록!$A$3:$A$202,0)),""))</f>
        <v/>
      </c>
      <c r="E401" s="6"/>
      <c r="F401" s="6"/>
      <c r="G401" s="10"/>
      <c r="H401" s="6"/>
      <c r="I401" s="9" t="str">
        <f aca="false">IF($A401="","",TEXT($A401,"yyyy-mm"))</f>
        <v/>
      </c>
    </row>
    <row r="402" customFormat="false" ht="15" hidden="false" customHeight="false" outlineLevel="0" collapsed="false">
      <c r="A402" s="8"/>
      <c r="B402" s="6"/>
      <c r="C402" s="9" t="str">
        <f aca="false">IF($B402="","",IFERROR(INDEX(직원목록!$B$3:$B$202,MATCH($B402,직원목록!$A$3:$A$202,0)),""))</f>
        <v/>
      </c>
      <c r="D402" s="9" t="str">
        <f aca="false">IF($B402="","",IFERROR(INDEX(직원목록!$C$3:$C$202,MATCH($B402,직원목록!$A$3:$A$202,0)),""))</f>
        <v/>
      </c>
      <c r="E402" s="6"/>
      <c r="F402" s="6"/>
      <c r="G402" s="10"/>
      <c r="H402" s="6"/>
      <c r="I402" s="9" t="str">
        <f aca="false">IF($A402="","",TEXT($A402,"yyyy-mm"))</f>
        <v/>
      </c>
    </row>
    <row r="403" customFormat="false" ht="15" hidden="false" customHeight="false" outlineLevel="0" collapsed="false">
      <c r="A403" s="8"/>
      <c r="B403" s="6"/>
      <c r="C403" s="9" t="str">
        <f aca="false">IF($B403="","",IFERROR(INDEX(직원목록!$B$3:$B$202,MATCH($B403,직원목록!$A$3:$A$202,0)),""))</f>
        <v/>
      </c>
      <c r="D403" s="9" t="str">
        <f aca="false">IF($B403="","",IFERROR(INDEX(직원목록!$C$3:$C$202,MATCH($B403,직원목록!$A$3:$A$202,0)),""))</f>
        <v/>
      </c>
      <c r="E403" s="6"/>
      <c r="F403" s="6"/>
      <c r="G403" s="10"/>
      <c r="H403" s="6"/>
      <c r="I403" s="9" t="str">
        <f aca="false">IF($A403="","",TEXT($A403,"yyyy-mm"))</f>
        <v/>
      </c>
    </row>
    <row r="404" customFormat="false" ht="15" hidden="false" customHeight="false" outlineLevel="0" collapsed="false">
      <c r="A404" s="8"/>
      <c r="B404" s="6"/>
      <c r="C404" s="9" t="str">
        <f aca="false">IF($B404="","",IFERROR(INDEX(직원목록!$B$3:$B$202,MATCH($B404,직원목록!$A$3:$A$202,0)),""))</f>
        <v/>
      </c>
      <c r="D404" s="9" t="str">
        <f aca="false">IF($B404="","",IFERROR(INDEX(직원목록!$C$3:$C$202,MATCH($B404,직원목록!$A$3:$A$202,0)),""))</f>
        <v/>
      </c>
      <c r="E404" s="6"/>
      <c r="F404" s="6"/>
      <c r="G404" s="10"/>
      <c r="H404" s="6"/>
      <c r="I404" s="9" t="str">
        <f aca="false">IF($A404="","",TEXT($A404,"yyyy-mm"))</f>
        <v/>
      </c>
    </row>
    <row r="405" customFormat="false" ht="15" hidden="false" customHeight="false" outlineLevel="0" collapsed="false">
      <c r="A405" s="8"/>
      <c r="B405" s="6"/>
      <c r="C405" s="9" t="str">
        <f aca="false">IF($B405="","",IFERROR(INDEX(직원목록!$B$3:$B$202,MATCH($B405,직원목록!$A$3:$A$202,0)),""))</f>
        <v/>
      </c>
      <c r="D405" s="9" t="str">
        <f aca="false">IF($B405="","",IFERROR(INDEX(직원목록!$C$3:$C$202,MATCH($B405,직원목록!$A$3:$A$202,0)),""))</f>
        <v/>
      </c>
      <c r="E405" s="6"/>
      <c r="F405" s="6"/>
      <c r="G405" s="10"/>
      <c r="H405" s="6"/>
      <c r="I405" s="9" t="str">
        <f aca="false">IF($A405="","",TEXT($A405,"yyyy-mm"))</f>
        <v/>
      </c>
    </row>
    <row r="406" customFormat="false" ht="15" hidden="false" customHeight="false" outlineLevel="0" collapsed="false">
      <c r="A406" s="8"/>
      <c r="B406" s="6"/>
      <c r="C406" s="9" t="str">
        <f aca="false">IF($B406="","",IFERROR(INDEX(직원목록!$B$3:$B$202,MATCH($B406,직원목록!$A$3:$A$202,0)),""))</f>
        <v/>
      </c>
      <c r="D406" s="9" t="str">
        <f aca="false">IF($B406="","",IFERROR(INDEX(직원목록!$C$3:$C$202,MATCH($B406,직원목록!$A$3:$A$202,0)),""))</f>
        <v/>
      </c>
      <c r="E406" s="6"/>
      <c r="F406" s="6"/>
      <c r="G406" s="10"/>
      <c r="H406" s="6"/>
      <c r="I406" s="9" t="str">
        <f aca="false">IF($A406="","",TEXT($A406,"yyyy-mm"))</f>
        <v/>
      </c>
    </row>
    <row r="407" customFormat="false" ht="15" hidden="false" customHeight="false" outlineLevel="0" collapsed="false">
      <c r="A407" s="8"/>
      <c r="B407" s="6"/>
      <c r="C407" s="9" t="str">
        <f aca="false">IF($B407="","",IFERROR(INDEX(직원목록!$B$3:$B$202,MATCH($B407,직원목록!$A$3:$A$202,0)),""))</f>
        <v/>
      </c>
      <c r="D407" s="9" t="str">
        <f aca="false">IF($B407="","",IFERROR(INDEX(직원목록!$C$3:$C$202,MATCH($B407,직원목록!$A$3:$A$202,0)),""))</f>
        <v/>
      </c>
      <c r="E407" s="6"/>
      <c r="F407" s="6"/>
      <c r="G407" s="10"/>
      <c r="H407" s="6"/>
      <c r="I407" s="9" t="str">
        <f aca="false">IF($A407="","",TEXT($A407,"yyyy-mm"))</f>
        <v/>
      </c>
    </row>
    <row r="408" customFormat="false" ht="15" hidden="false" customHeight="false" outlineLevel="0" collapsed="false">
      <c r="A408" s="8"/>
      <c r="B408" s="6"/>
      <c r="C408" s="9" t="str">
        <f aca="false">IF($B408="","",IFERROR(INDEX(직원목록!$B$3:$B$202,MATCH($B408,직원목록!$A$3:$A$202,0)),""))</f>
        <v/>
      </c>
      <c r="D408" s="9" t="str">
        <f aca="false">IF($B408="","",IFERROR(INDEX(직원목록!$C$3:$C$202,MATCH($B408,직원목록!$A$3:$A$202,0)),""))</f>
        <v/>
      </c>
      <c r="E408" s="6"/>
      <c r="F408" s="6"/>
      <c r="G408" s="10"/>
      <c r="H408" s="6"/>
      <c r="I408" s="9" t="str">
        <f aca="false">IF($A408="","",TEXT($A408,"yyyy-mm"))</f>
        <v/>
      </c>
    </row>
    <row r="409" customFormat="false" ht="15" hidden="false" customHeight="false" outlineLevel="0" collapsed="false">
      <c r="A409" s="8"/>
      <c r="B409" s="6"/>
      <c r="C409" s="9" t="str">
        <f aca="false">IF($B409="","",IFERROR(INDEX(직원목록!$B$3:$B$202,MATCH($B409,직원목록!$A$3:$A$202,0)),""))</f>
        <v/>
      </c>
      <c r="D409" s="9" t="str">
        <f aca="false">IF($B409="","",IFERROR(INDEX(직원목록!$C$3:$C$202,MATCH($B409,직원목록!$A$3:$A$202,0)),""))</f>
        <v/>
      </c>
      <c r="E409" s="6"/>
      <c r="F409" s="6"/>
      <c r="G409" s="10"/>
      <c r="H409" s="6"/>
      <c r="I409" s="9" t="str">
        <f aca="false">IF($A409="","",TEXT($A409,"yyyy-mm"))</f>
        <v/>
      </c>
    </row>
    <row r="410" customFormat="false" ht="15" hidden="false" customHeight="false" outlineLevel="0" collapsed="false">
      <c r="A410" s="8"/>
      <c r="B410" s="6"/>
      <c r="C410" s="9" t="str">
        <f aca="false">IF($B410="","",IFERROR(INDEX(직원목록!$B$3:$B$202,MATCH($B410,직원목록!$A$3:$A$202,0)),""))</f>
        <v/>
      </c>
      <c r="D410" s="9" t="str">
        <f aca="false">IF($B410="","",IFERROR(INDEX(직원목록!$C$3:$C$202,MATCH($B410,직원목록!$A$3:$A$202,0)),""))</f>
        <v/>
      </c>
      <c r="E410" s="6"/>
      <c r="F410" s="6"/>
      <c r="G410" s="10"/>
      <c r="H410" s="6"/>
      <c r="I410" s="9" t="str">
        <f aca="false">IF($A410="","",TEXT($A410,"yyyy-mm"))</f>
        <v/>
      </c>
    </row>
    <row r="411" customFormat="false" ht="15" hidden="false" customHeight="false" outlineLevel="0" collapsed="false">
      <c r="A411" s="8"/>
      <c r="B411" s="6"/>
      <c r="C411" s="9" t="str">
        <f aca="false">IF($B411="","",IFERROR(INDEX(직원목록!$B$3:$B$202,MATCH($B411,직원목록!$A$3:$A$202,0)),""))</f>
        <v/>
      </c>
      <c r="D411" s="9" t="str">
        <f aca="false">IF($B411="","",IFERROR(INDEX(직원목록!$C$3:$C$202,MATCH($B411,직원목록!$A$3:$A$202,0)),""))</f>
        <v/>
      </c>
      <c r="E411" s="6"/>
      <c r="F411" s="6"/>
      <c r="G411" s="10"/>
      <c r="H411" s="6"/>
      <c r="I411" s="9" t="str">
        <f aca="false">IF($A411="","",TEXT($A411,"yyyy-mm"))</f>
        <v/>
      </c>
    </row>
    <row r="412" customFormat="false" ht="15" hidden="false" customHeight="false" outlineLevel="0" collapsed="false">
      <c r="A412" s="8"/>
      <c r="B412" s="6"/>
      <c r="C412" s="9" t="str">
        <f aca="false">IF($B412="","",IFERROR(INDEX(직원목록!$B$3:$B$202,MATCH($B412,직원목록!$A$3:$A$202,0)),""))</f>
        <v/>
      </c>
      <c r="D412" s="9" t="str">
        <f aca="false">IF($B412="","",IFERROR(INDEX(직원목록!$C$3:$C$202,MATCH($B412,직원목록!$A$3:$A$202,0)),""))</f>
        <v/>
      </c>
      <c r="E412" s="6"/>
      <c r="F412" s="6"/>
      <c r="G412" s="10"/>
      <c r="H412" s="6"/>
      <c r="I412" s="9" t="str">
        <f aca="false">IF($A412="","",TEXT($A412,"yyyy-mm"))</f>
        <v/>
      </c>
    </row>
    <row r="413" customFormat="false" ht="15" hidden="false" customHeight="false" outlineLevel="0" collapsed="false">
      <c r="A413" s="8"/>
      <c r="B413" s="6"/>
      <c r="C413" s="9" t="str">
        <f aca="false">IF($B413="","",IFERROR(INDEX(직원목록!$B$3:$B$202,MATCH($B413,직원목록!$A$3:$A$202,0)),""))</f>
        <v/>
      </c>
      <c r="D413" s="9" t="str">
        <f aca="false">IF($B413="","",IFERROR(INDEX(직원목록!$C$3:$C$202,MATCH($B413,직원목록!$A$3:$A$202,0)),""))</f>
        <v/>
      </c>
      <c r="E413" s="6"/>
      <c r="F413" s="6"/>
      <c r="G413" s="10"/>
      <c r="H413" s="6"/>
      <c r="I413" s="9" t="str">
        <f aca="false">IF($A413="","",TEXT($A413,"yyyy-mm"))</f>
        <v/>
      </c>
    </row>
    <row r="414" customFormat="false" ht="15" hidden="false" customHeight="false" outlineLevel="0" collapsed="false">
      <c r="A414" s="8"/>
      <c r="B414" s="6"/>
      <c r="C414" s="9" t="str">
        <f aca="false">IF($B414="","",IFERROR(INDEX(직원목록!$B$3:$B$202,MATCH($B414,직원목록!$A$3:$A$202,0)),""))</f>
        <v/>
      </c>
      <c r="D414" s="9" t="str">
        <f aca="false">IF($B414="","",IFERROR(INDEX(직원목록!$C$3:$C$202,MATCH($B414,직원목록!$A$3:$A$202,0)),""))</f>
        <v/>
      </c>
      <c r="E414" s="6"/>
      <c r="F414" s="6"/>
      <c r="G414" s="10"/>
      <c r="H414" s="6"/>
      <c r="I414" s="9" t="str">
        <f aca="false">IF($A414="","",TEXT($A414,"yyyy-mm"))</f>
        <v/>
      </c>
    </row>
    <row r="415" customFormat="false" ht="15" hidden="false" customHeight="false" outlineLevel="0" collapsed="false">
      <c r="A415" s="8"/>
      <c r="B415" s="6"/>
      <c r="C415" s="9" t="str">
        <f aca="false">IF($B415="","",IFERROR(INDEX(직원목록!$B$3:$B$202,MATCH($B415,직원목록!$A$3:$A$202,0)),""))</f>
        <v/>
      </c>
      <c r="D415" s="9" t="str">
        <f aca="false">IF($B415="","",IFERROR(INDEX(직원목록!$C$3:$C$202,MATCH($B415,직원목록!$A$3:$A$202,0)),""))</f>
        <v/>
      </c>
      <c r="E415" s="6"/>
      <c r="F415" s="6"/>
      <c r="G415" s="10"/>
      <c r="H415" s="6"/>
      <c r="I415" s="9" t="str">
        <f aca="false">IF($A415="","",TEXT($A415,"yyyy-mm"))</f>
        <v/>
      </c>
    </row>
    <row r="416" customFormat="false" ht="15" hidden="false" customHeight="false" outlineLevel="0" collapsed="false">
      <c r="A416" s="8"/>
      <c r="B416" s="6"/>
      <c r="C416" s="9" t="str">
        <f aca="false">IF($B416="","",IFERROR(INDEX(직원목록!$B$3:$B$202,MATCH($B416,직원목록!$A$3:$A$202,0)),""))</f>
        <v/>
      </c>
      <c r="D416" s="9" t="str">
        <f aca="false">IF($B416="","",IFERROR(INDEX(직원목록!$C$3:$C$202,MATCH($B416,직원목록!$A$3:$A$202,0)),""))</f>
        <v/>
      </c>
      <c r="E416" s="6"/>
      <c r="F416" s="6"/>
      <c r="G416" s="10"/>
      <c r="H416" s="6"/>
      <c r="I416" s="9" t="str">
        <f aca="false">IF($A416="","",TEXT($A416,"yyyy-mm"))</f>
        <v/>
      </c>
    </row>
    <row r="417" customFormat="false" ht="15" hidden="false" customHeight="false" outlineLevel="0" collapsed="false">
      <c r="A417" s="8"/>
      <c r="B417" s="6"/>
      <c r="C417" s="9" t="str">
        <f aca="false">IF($B417="","",IFERROR(INDEX(직원목록!$B$3:$B$202,MATCH($B417,직원목록!$A$3:$A$202,0)),""))</f>
        <v/>
      </c>
      <c r="D417" s="9" t="str">
        <f aca="false">IF($B417="","",IFERROR(INDEX(직원목록!$C$3:$C$202,MATCH($B417,직원목록!$A$3:$A$202,0)),""))</f>
        <v/>
      </c>
      <c r="E417" s="6"/>
      <c r="F417" s="6"/>
      <c r="G417" s="10"/>
      <c r="H417" s="6"/>
      <c r="I417" s="9" t="str">
        <f aca="false">IF($A417="","",TEXT($A417,"yyyy-mm"))</f>
        <v/>
      </c>
    </row>
    <row r="418" customFormat="false" ht="15" hidden="false" customHeight="false" outlineLevel="0" collapsed="false">
      <c r="A418" s="8"/>
      <c r="B418" s="6"/>
      <c r="C418" s="9" t="str">
        <f aca="false">IF($B418="","",IFERROR(INDEX(직원목록!$B$3:$B$202,MATCH($B418,직원목록!$A$3:$A$202,0)),""))</f>
        <v/>
      </c>
      <c r="D418" s="9" t="str">
        <f aca="false">IF($B418="","",IFERROR(INDEX(직원목록!$C$3:$C$202,MATCH($B418,직원목록!$A$3:$A$202,0)),""))</f>
        <v/>
      </c>
      <c r="E418" s="6"/>
      <c r="F418" s="6"/>
      <c r="G418" s="10"/>
      <c r="H418" s="6"/>
      <c r="I418" s="9" t="str">
        <f aca="false">IF($A418="","",TEXT($A418,"yyyy-mm"))</f>
        <v/>
      </c>
    </row>
    <row r="419" customFormat="false" ht="15" hidden="false" customHeight="false" outlineLevel="0" collapsed="false">
      <c r="A419" s="8"/>
      <c r="B419" s="6"/>
      <c r="C419" s="9" t="str">
        <f aca="false">IF($B419="","",IFERROR(INDEX(직원목록!$B$3:$B$202,MATCH($B419,직원목록!$A$3:$A$202,0)),""))</f>
        <v/>
      </c>
      <c r="D419" s="9" t="str">
        <f aca="false">IF($B419="","",IFERROR(INDEX(직원목록!$C$3:$C$202,MATCH($B419,직원목록!$A$3:$A$202,0)),""))</f>
        <v/>
      </c>
      <c r="E419" s="6"/>
      <c r="F419" s="6"/>
      <c r="G419" s="10"/>
      <c r="H419" s="6"/>
      <c r="I419" s="9" t="str">
        <f aca="false">IF($A419="","",TEXT($A419,"yyyy-mm"))</f>
        <v/>
      </c>
    </row>
    <row r="420" customFormat="false" ht="15" hidden="false" customHeight="false" outlineLevel="0" collapsed="false">
      <c r="A420" s="8"/>
      <c r="B420" s="6"/>
      <c r="C420" s="9" t="str">
        <f aca="false">IF($B420="","",IFERROR(INDEX(직원목록!$B$3:$B$202,MATCH($B420,직원목록!$A$3:$A$202,0)),""))</f>
        <v/>
      </c>
      <c r="D420" s="9" t="str">
        <f aca="false">IF($B420="","",IFERROR(INDEX(직원목록!$C$3:$C$202,MATCH($B420,직원목록!$A$3:$A$202,0)),""))</f>
        <v/>
      </c>
      <c r="E420" s="6"/>
      <c r="F420" s="6"/>
      <c r="G420" s="10"/>
      <c r="H420" s="6"/>
      <c r="I420" s="9" t="str">
        <f aca="false">IF($A420="","",TEXT($A420,"yyyy-mm"))</f>
        <v/>
      </c>
    </row>
    <row r="421" customFormat="false" ht="15" hidden="false" customHeight="false" outlineLevel="0" collapsed="false">
      <c r="A421" s="8"/>
      <c r="B421" s="6"/>
      <c r="C421" s="9" t="str">
        <f aca="false">IF($B421="","",IFERROR(INDEX(직원목록!$B$3:$B$202,MATCH($B421,직원목록!$A$3:$A$202,0)),""))</f>
        <v/>
      </c>
      <c r="D421" s="9" t="str">
        <f aca="false">IF($B421="","",IFERROR(INDEX(직원목록!$C$3:$C$202,MATCH($B421,직원목록!$A$3:$A$202,0)),""))</f>
        <v/>
      </c>
      <c r="E421" s="6"/>
      <c r="F421" s="6"/>
      <c r="G421" s="10"/>
      <c r="H421" s="6"/>
      <c r="I421" s="9" t="str">
        <f aca="false">IF($A421="","",TEXT($A421,"yyyy-mm"))</f>
        <v/>
      </c>
    </row>
    <row r="422" customFormat="false" ht="15" hidden="false" customHeight="false" outlineLevel="0" collapsed="false">
      <c r="A422" s="8"/>
      <c r="B422" s="6"/>
      <c r="C422" s="9" t="str">
        <f aca="false">IF($B422="","",IFERROR(INDEX(직원목록!$B$3:$B$202,MATCH($B422,직원목록!$A$3:$A$202,0)),""))</f>
        <v/>
      </c>
      <c r="D422" s="9" t="str">
        <f aca="false">IF($B422="","",IFERROR(INDEX(직원목록!$C$3:$C$202,MATCH($B422,직원목록!$A$3:$A$202,0)),""))</f>
        <v/>
      </c>
      <c r="E422" s="6"/>
      <c r="F422" s="6"/>
      <c r="G422" s="10"/>
      <c r="H422" s="6"/>
      <c r="I422" s="9" t="str">
        <f aca="false">IF($A422="","",TEXT($A422,"yyyy-mm"))</f>
        <v/>
      </c>
    </row>
    <row r="423" customFormat="false" ht="15" hidden="false" customHeight="false" outlineLevel="0" collapsed="false">
      <c r="A423" s="8"/>
      <c r="B423" s="6"/>
      <c r="C423" s="9" t="str">
        <f aca="false">IF($B423="","",IFERROR(INDEX(직원목록!$B$3:$B$202,MATCH($B423,직원목록!$A$3:$A$202,0)),""))</f>
        <v/>
      </c>
      <c r="D423" s="9" t="str">
        <f aca="false">IF($B423="","",IFERROR(INDEX(직원목록!$C$3:$C$202,MATCH($B423,직원목록!$A$3:$A$202,0)),""))</f>
        <v/>
      </c>
      <c r="E423" s="6"/>
      <c r="F423" s="6"/>
      <c r="G423" s="10"/>
      <c r="H423" s="6"/>
      <c r="I423" s="9" t="str">
        <f aca="false">IF($A423="","",TEXT($A423,"yyyy-mm"))</f>
        <v/>
      </c>
    </row>
    <row r="424" customFormat="false" ht="15" hidden="false" customHeight="false" outlineLevel="0" collapsed="false">
      <c r="A424" s="8"/>
      <c r="B424" s="6"/>
      <c r="C424" s="9" t="str">
        <f aca="false">IF($B424="","",IFERROR(INDEX(직원목록!$B$3:$B$202,MATCH($B424,직원목록!$A$3:$A$202,0)),""))</f>
        <v/>
      </c>
      <c r="D424" s="9" t="str">
        <f aca="false">IF($B424="","",IFERROR(INDEX(직원목록!$C$3:$C$202,MATCH($B424,직원목록!$A$3:$A$202,0)),""))</f>
        <v/>
      </c>
      <c r="E424" s="6"/>
      <c r="F424" s="6"/>
      <c r="G424" s="10"/>
      <c r="H424" s="6"/>
      <c r="I424" s="9" t="str">
        <f aca="false">IF($A424="","",TEXT($A424,"yyyy-mm"))</f>
        <v/>
      </c>
    </row>
    <row r="425" customFormat="false" ht="15" hidden="false" customHeight="false" outlineLevel="0" collapsed="false">
      <c r="A425" s="8"/>
      <c r="B425" s="6"/>
      <c r="C425" s="9" t="str">
        <f aca="false">IF($B425="","",IFERROR(INDEX(직원목록!$B$3:$B$202,MATCH($B425,직원목록!$A$3:$A$202,0)),""))</f>
        <v/>
      </c>
      <c r="D425" s="9" t="str">
        <f aca="false">IF($B425="","",IFERROR(INDEX(직원목록!$C$3:$C$202,MATCH($B425,직원목록!$A$3:$A$202,0)),""))</f>
        <v/>
      </c>
      <c r="E425" s="6"/>
      <c r="F425" s="6"/>
      <c r="G425" s="10"/>
      <c r="H425" s="6"/>
      <c r="I425" s="9" t="str">
        <f aca="false">IF($A425="","",TEXT($A425,"yyyy-mm"))</f>
        <v/>
      </c>
    </row>
    <row r="426" customFormat="false" ht="15" hidden="false" customHeight="false" outlineLevel="0" collapsed="false">
      <c r="A426" s="8"/>
      <c r="B426" s="6"/>
      <c r="C426" s="9" t="str">
        <f aca="false">IF($B426="","",IFERROR(INDEX(직원목록!$B$3:$B$202,MATCH($B426,직원목록!$A$3:$A$202,0)),""))</f>
        <v/>
      </c>
      <c r="D426" s="9" t="str">
        <f aca="false">IF($B426="","",IFERROR(INDEX(직원목록!$C$3:$C$202,MATCH($B426,직원목록!$A$3:$A$202,0)),""))</f>
        <v/>
      </c>
      <c r="E426" s="6"/>
      <c r="F426" s="6"/>
      <c r="G426" s="10"/>
      <c r="H426" s="6"/>
      <c r="I426" s="9" t="str">
        <f aca="false">IF($A426="","",TEXT($A426,"yyyy-mm"))</f>
        <v/>
      </c>
    </row>
    <row r="427" customFormat="false" ht="15" hidden="false" customHeight="false" outlineLevel="0" collapsed="false">
      <c r="A427" s="8"/>
      <c r="B427" s="6"/>
      <c r="C427" s="9" t="str">
        <f aca="false">IF($B427="","",IFERROR(INDEX(직원목록!$B$3:$B$202,MATCH($B427,직원목록!$A$3:$A$202,0)),""))</f>
        <v/>
      </c>
      <c r="D427" s="9" t="str">
        <f aca="false">IF($B427="","",IFERROR(INDEX(직원목록!$C$3:$C$202,MATCH($B427,직원목록!$A$3:$A$202,0)),""))</f>
        <v/>
      </c>
      <c r="E427" s="6"/>
      <c r="F427" s="6"/>
      <c r="G427" s="10"/>
      <c r="H427" s="6"/>
      <c r="I427" s="9" t="str">
        <f aca="false">IF($A427="","",TEXT($A427,"yyyy-mm"))</f>
        <v/>
      </c>
    </row>
    <row r="428" customFormat="false" ht="15" hidden="false" customHeight="false" outlineLevel="0" collapsed="false">
      <c r="A428" s="8"/>
      <c r="B428" s="6"/>
      <c r="C428" s="9" t="str">
        <f aca="false">IF($B428="","",IFERROR(INDEX(직원목록!$B$3:$B$202,MATCH($B428,직원목록!$A$3:$A$202,0)),""))</f>
        <v/>
      </c>
      <c r="D428" s="9" t="str">
        <f aca="false">IF($B428="","",IFERROR(INDEX(직원목록!$C$3:$C$202,MATCH($B428,직원목록!$A$3:$A$202,0)),""))</f>
        <v/>
      </c>
      <c r="E428" s="6"/>
      <c r="F428" s="6"/>
      <c r="G428" s="10"/>
      <c r="H428" s="6"/>
      <c r="I428" s="9" t="str">
        <f aca="false">IF($A428="","",TEXT($A428,"yyyy-mm"))</f>
        <v/>
      </c>
    </row>
    <row r="429" customFormat="false" ht="15" hidden="false" customHeight="false" outlineLevel="0" collapsed="false">
      <c r="A429" s="8"/>
      <c r="B429" s="6"/>
      <c r="C429" s="9" t="str">
        <f aca="false">IF($B429="","",IFERROR(INDEX(직원목록!$B$3:$B$202,MATCH($B429,직원목록!$A$3:$A$202,0)),""))</f>
        <v/>
      </c>
      <c r="D429" s="9" t="str">
        <f aca="false">IF($B429="","",IFERROR(INDEX(직원목록!$C$3:$C$202,MATCH($B429,직원목록!$A$3:$A$202,0)),""))</f>
        <v/>
      </c>
      <c r="E429" s="6"/>
      <c r="F429" s="6"/>
      <c r="G429" s="10"/>
      <c r="H429" s="6"/>
      <c r="I429" s="9" t="str">
        <f aca="false">IF($A429="","",TEXT($A429,"yyyy-mm"))</f>
        <v/>
      </c>
    </row>
    <row r="430" customFormat="false" ht="15" hidden="false" customHeight="false" outlineLevel="0" collapsed="false">
      <c r="A430" s="8"/>
      <c r="B430" s="6"/>
      <c r="C430" s="9" t="str">
        <f aca="false">IF($B430="","",IFERROR(INDEX(직원목록!$B$3:$B$202,MATCH($B430,직원목록!$A$3:$A$202,0)),""))</f>
        <v/>
      </c>
      <c r="D430" s="9" t="str">
        <f aca="false">IF($B430="","",IFERROR(INDEX(직원목록!$C$3:$C$202,MATCH($B430,직원목록!$A$3:$A$202,0)),""))</f>
        <v/>
      </c>
      <c r="E430" s="6"/>
      <c r="F430" s="6"/>
      <c r="G430" s="10"/>
      <c r="H430" s="6"/>
      <c r="I430" s="9" t="str">
        <f aca="false">IF($A430="","",TEXT($A430,"yyyy-mm"))</f>
        <v/>
      </c>
    </row>
    <row r="431" customFormat="false" ht="15" hidden="false" customHeight="false" outlineLevel="0" collapsed="false">
      <c r="A431" s="8"/>
      <c r="B431" s="6"/>
      <c r="C431" s="9" t="str">
        <f aca="false">IF($B431="","",IFERROR(INDEX(직원목록!$B$3:$B$202,MATCH($B431,직원목록!$A$3:$A$202,0)),""))</f>
        <v/>
      </c>
      <c r="D431" s="9" t="str">
        <f aca="false">IF($B431="","",IFERROR(INDEX(직원목록!$C$3:$C$202,MATCH($B431,직원목록!$A$3:$A$202,0)),""))</f>
        <v/>
      </c>
      <c r="E431" s="6"/>
      <c r="F431" s="6"/>
      <c r="G431" s="10"/>
      <c r="H431" s="6"/>
      <c r="I431" s="9" t="str">
        <f aca="false">IF($A431="","",TEXT($A431,"yyyy-mm"))</f>
        <v/>
      </c>
    </row>
    <row r="432" customFormat="false" ht="15" hidden="false" customHeight="false" outlineLevel="0" collapsed="false">
      <c r="A432" s="8"/>
      <c r="B432" s="6"/>
      <c r="C432" s="9" t="str">
        <f aca="false">IF($B432="","",IFERROR(INDEX(직원목록!$B$3:$B$202,MATCH($B432,직원목록!$A$3:$A$202,0)),""))</f>
        <v/>
      </c>
      <c r="D432" s="9" t="str">
        <f aca="false">IF($B432="","",IFERROR(INDEX(직원목록!$C$3:$C$202,MATCH($B432,직원목록!$A$3:$A$202,0)),""))</f>
        <v/>
      </c>
      <c r="E432" s="6"/>
      <c r="F432" s="6"/>
      <c r="G432" s="10"/>
      <c r="H432" s="6"/>
      <c r="I432" s="9" t="str">
        <f aca="false">IF($A432="","",TEXT($A432,"yyyy-mm"))</f>
        <v/>
      </c>
    </row>
    <row r="433" customFormat="false" ht="15" hidden="false" customHeight="false" outlineLevel="0" collapsed="false">
      <c r="A433" s="8"/>
      <c r="B433" s="6"/>
      <c r="C433" s="9" t="str">
        <f aca="false">IF($B433="","",IFERROR(INDEX(직원목록!$B$3:$B$202,MATCH($B433,직원목록!$A$3:$A$202,0)),""))</f>
        <v/>
      </c>
      <c r="D433" s="9" t="str">
        <f aca="false">IF($B433="","",IFERROR(INDEX(직원목록!$C$3:$C$202,MATCH($B433,직원목록!$A$3:$A$202,0)),""))</f>
        <v/>
      </c>
      <c r="E433" s="6"/>
      <c r="F433" s="6"/>
      <c r="G433" s="10"/>
      <c r="H433" s="6"/>
      <c r="I433" s="9" t="str">
        <f aca="false">IF($A433="","",TEXT($A433,"yyyy-mm"))</f>
        <v/>
      </c>
    </row>
    <row r="434" customFormat="false" ht="15" hidden="false" customHeight="false" outlineLevel="0" collapsed="false">
      <c r="A434" s="8"/>
      <c r="B434" s="6"/>
      <c r="C434" s="9" t="str">
        <f aca="false">IF($B434="","",IFERROR(INDEX(직원목록!$B$3:$B$202,MATCH($B434,직원목록!$A$3:$A$202,0)),""))</f>
        <v/>
      </c>
      <c r="D434" s="9" t="str">
        <f aca="false">IF($B434="","",IFERROR(INDEX(직원목록!$C$3:$C$202,MATCH($B434,직원목록!$A$3:$A$202,0)),""))</f>
        <v/>
      </c>
      <c r="E434" s="6"/>
      <c r="F434" s="6"/>
      <c r="G434" s="10"/>
      <c r="H434" s="6"/>
      <c r="I434" s="9" t="str">
        <f aca="false">IF($A434="","",TEXT($A434,"yyyy-mm"))</f>
        <v/>
      </c>
    </row>
    <row r="435" customFormat="false" ht="15" hidden="false" customHeight="false" outlineLevel="0" collapsed="false">
      <c r="A435" s="8"/>
      <c r="B435" s="6"/>
      <c r="C435" s="9" t="str">
        <f aca="false">IF($B435="","",IFERROR(INDEX(직원목록!$B$3:$B$202,MATCH($B435,직원목록!$A$3:$A$202,0)),""))</f>
        <v/>
      </c>
      <c r="D435" s="9" t="str">
        <f aca="false">IF($B435="","",IFERROR(INDEX(직원목록!$C$3:$C$202,MATCH($B435,직원목록!$A$3:$A$202,0)),""))</f>
        <v/>
      </c>
      <c r="E435" s="6"/>
      <c r="F435" s="6"/>
      <c r="G435" s="10"/>
      <c r="H435" s="6"/>
      <c r="I435" s="9" t="str">
        <f aca="false">IF($A435="","",TEXT($A435,"yyyy-mm"))</f>
        <v/>
      </c>
    </row>
    <row r="436" customFormat="false" ht="15" hidden="false" customHeight="false" outlineLevel="0" collapsed="false">
      <c r="A436" s="8"/>
      <c r="B436" s="6"/>
      <c r="C436" s="9" t="str">
        <f aca="false">IF($B436="","",IFERROR(INDEX(직원목록!$B$3:$B$202,MATCH($B436,직원목록!$A$3:$A$202,0)),""))</f>
        <v/>
      </c>
      <c r="D436" s="9" t="str">
        <f aca="false">IF($B436="","",IFERROR(INDEX(직원목록!$C$3:$C$202,MATCH($B436,직원목록!$A$3:$A$202,0)),""))</f>
        <v/>
      </c>
      <c r="E436" s="6"/>
      <c r="F436" s="6"/>
      <c r="G436" s="10"/>
      <c r="H436" s="6"/>
      <c r="I436" s="9" t="str">
        <f aca="false">IF($A436="","",TEXT($A436,"yyyy-mm"))</f>
        <v/>
      </c>
    </row>
    <row r="437" customFormat="false" ht="15" hidden="false" customHeight="false" outlineLevel="0" collapsed="false">
      <c r="A437" s="8"/>
      <c r="B437" s="6"/>
      <c r="C437" s="9" t="str">
        <f aca="false">IF($B437="","",IFERROR(INDEX(직원목록!$B$3:$B$202,MATCH($B437,직원목록!$A$3:$A$202,0)),""))</f>
        <v/>
      </c>
      <c r="D437" s="9" t="str">
        <f aca="false">IF($B437="","",IFERROR(INDEX(직원목록!$C$3:$C$202,MATCH($B437,직원목록!$A$3:$A$202,0)),""))</f>
        <v/>
      </c>
      <c r="E437" s="6"/>
      <c r="F437" s="6"/>
      <c r="G437" s="10"/>
      <c r="H437" s="6"/>
      <c r="I437" s="9" t="str">
        <f aca="false">IF($A437="","",TEXT($A437,"yyyy-mm"))</f>
        <v/>
      </c>
    </row>
    <row r="438" customFormat="false" ht="15" hidden="false" customHeight="false" outlineLevel="0" collapsed="false">
      <c r="A438" s="8"/>
      <c r="B438" s="6"/>
      <c r="C438" s="9" t="str">
        <f aca="false">IF($B438="","",IFERROR(INDEX(직원목록!$B$3:$B$202,MATCH($B438,직원목록!$A$3:$A$202,0)),""))</f>
        <v/>
      </c>
      <c r="D438" s="9" t="str">
        <f aca="false">IF($B438="","",IFERROR(INDEX(직원목록!$C$3:$C$202,MATCH($B438,직원목록!$A$3:$A$202,0)),""))</f>
        <v/>
      </c>
      <c r="E438" s="6"/>
      <c r="F438" s="6"/>
      <c r="G438" s="10"/>
      <c r="H438" s="6"/>
      <c r="I438" s="9" t="str">
        <f aca="false">IF($A438="","",TEXT($A438,"yyyy-mm"))</f>
        <v/>
      </c>
    </row>
    <row r="439" customFormat="false" ht="15" hidden="false" customHeight="false" outlineLevel="0" collapsed="false">
      <c r="A439" s="8"/>
      <c r="B439" s="6"/>
      <c r="C439" s="9" t="str">
        <f aca="false">IF($B439="","",IFERROR(INDEX(직원목록!$B$3:$B$202,MATCH($B439,직원목록!$A$3:$A$202,0)),""))</f>
        <v/>
      </c>
      <c r="D439" s="9" t="str">
        <f aca="false">IF($B439="","",IFERROR(INDEX(직원목록!$C$3:$C$202,MATCH($B439,직원목록!$A$3:$A$202,0)),""))</f>
        <v/>
      </c>
      <c r="E439" s="6"/>
      <c r="F439" s="6"/>
      <c r="G439" s="10"/>
      <c r="H439" s="6"/>
      <c r="I439" s="9" t="str">
        <f aca="false">IF($A439="","",TEXT($A439,"yyyy-mm"))</f>
        <v/>
      </c>
    </row>
    <row r="440" customFormat="false" ht="15" hidden="false" customHeight="false" outlineLevel="0" collapsed="false">
      <c r="A440" s="8"/>
      <c r="B440" s="6"/>
      <c r="C440" s="9" t="str">
        <f aca="false">IF($B440="","",IFERROR(INDEX(직원목록!$B$3:$B$202,MATCH($B440,직원목록!$A$3:$A$202,0)),""))</f>
        <v/>
      </c>
      <c r="D440" s="9" t="str">
        <f aca="false">IF($B440="","",IFERROR(INDEX(직원목록!$C$3:$C$202,MATCH($B440,직원목록!$A$3:$A$202,0)),""))</f>
        <v/>
      </c>
      <c r="E440" s="6"/>
      <c r="F440" s="6"/>
      <c r="G440" s="10"/>
      <c r="H440" s="6"/>
      <c r="I440" s="9" t="str">
        <f aca="false">IF($A440="","",TEXT($A440,"yyyy-mm"))</f>
        <v/>
      </c>
    </row>
    <row r="441" customFormat="false" ht="15" hidden="false" customHeight="false" outlineLevel="0" collapsed="false">
      <c r="A441" s="8"/>
      <c r="B441" s="6"/>
      <c r="C441" s="9" t="str">
        <f aca="false">IF($B441="","",IFERROR(INDEX(직원목록!$B$3:$B$202,MATCH($B441,직원목록!$A$3:$A$202,0)),""))</f>
        <v/>
      </c>
      <c r="D441" s="9" t="str">
        <f aca="false">IF($B441="","",IFERROR(INDEX(직원목록!$C$3:$C$202,MATCH($B441,직원목록!$A$3:$A$202,0)),""))</f>
        <v/>
      </c>
      <c r="E441" s="6"/>
      <c r="F441" s="6"/>
      <c r="G441" s="10"/>
      <c r="H441" s="6"/>
      <c r="I441" s="9" t="str">
        <f aca="false">IF($A441="","",TEXT($A441,"yyyy-mm"))</f>
        <v/>
      </c>
    </row>
    <row r="442" customFormat="false" ht="15" hidden="false" customHeight="false" outlineLevel="0" collapsed="false">
      <c r="A442" s="8"/>
      <c r="B442" s="6"/>
      <c r="C442" s="9" t="str">
        <f aca="false">IF($B442="","",IFERROR(INDEX(직원목록!$B$3:$B$202,MATCH($B442,직원목록!$A$3:$A$202,0)),""))</f>
        <v/>
      </c>
      <c r="D442" s="9" t="str">
        <f aca="false">IF($B442="","",IFERROR(INDEX(직원목록!$C$3:$C$202,MATCH($B442,직원목록!$A$3:$A$202,0)),""))</f>
        <v/>
      </c>
      <c r="E442" s="6"/>
      <c r="F442" s="6"/>
      <c r="G442" s="10"/>
      <c r="H442" s="6"/>
      <c r="I442" s="9" t="str">
        <f aca="false">IF($A442="","",TEXT($A442,"yyyy-mm"))</f>
        <v/>
      </c>
    </row>
    <row r="443" customFormat="false" ht="15" hidden="false" customHeight="false" outlineLevel="0" collapsed="false">
      <c r="A443" s="8"/>
      <c r="B443" s="6"/>
      <c r="C443" s="9" t="str">
        <f aca="false">IF($B443="","",IFERROR(INDEX(직원목록!$B$3:$B$202,MATCH($B443,직원목록!$A$3:$A$202,0)),""))</f>
        <v/>
      </c>
      <c r="D443" s="9" t="str">
        <f aca="false">IF($B443="","",IFERROR(INDEX(직원목록!$C$3:$C$202,MATCH($B443,직원목록!$A$3:$A$202,0)),""))</f>
        <v/>
      </c>
      <c r="E443" s="6"/>
      <c r="F443" s="6"/>
      <c r="G443" s="10"/>
      <c r="H443" s="6"/>
      <c r="I443" s="9" t="str">
        <f aca="false">IF($A443="","",TEXT($A443,"yyyy-mm"))</f>
        <v/>
      </c>
    </row>
    <row r="444" customFormat="false" ht="15" hidden="false" customHeight="false" outlineLevel="0" collapsed="false">
      <c r="A444" s="8"/>
      <c r="B444" s="6"/>
      <c r="C444" s="9" t="str">
        <f aca="false">IF($B444="","",IFERROR(INDEX(직원목록!$B$3:$B$202,MATCH($B444,직원목록!$A$3:$A$202,0)),""))</f>
        <v/>
      </c>
      <c r="D444" s="9" t="str">
        <f aca="false">IF($B444="","",IFERROR(INDEX(직원목록!$C$3:$C$202,MATCH($B444,직원목록!$A$3:$A$202,0)),""))</f>
        <v/>
      </c>
      <c r="E444" s="6"/>
      <c r="F444" s="6"/>
      <c r="G444" s="10"/>
      <c r="H444" s="6"/>
      <c r="I444" s="9" t="str">
        <f aca="false">IF($A444="","",TEXT($A444,"yyyy-mm"))</f>
        <v/>
      </c>
    </row>
    <row r="445" customFormat="false" ht="15" hidden="false" customHeight="false" outlineLevel="0" collapsed="false">
      <c r="A445" s="8"/>
      <c r="B445" s="6"/>
      <c r="C445" s="9" t="str">
        <f aca="false">IF($B445="","",IFERROR(INDEX(직원목록!$B$3:$B$202,MATCH($B445,직원목록!$A$3:$A$202,0)),""))</f>
        <v/>
      </c>
      <c r="D445" s="9" t="str">
        <f aca="false">IF($B445="","",IFERROR(INDEX(직원목록!$C$3:$C$202,MATCH($B445,직원목록!$A$3:$A$202,0)),""))</f>
        <v/>
      </c>
      <c r="E445" s="6"/>
      <c r="F445" s="6"/>
      <c r="G445" s="10"/>
      <c r="H445" s="6"/>
      <c r="I445" s="9" t="str">
        <f aca="false">IF($A445="","",TEXT($A445,"yyyy-mm"))</f>
        <v/>
      </c>
    </row>
    <row r="446" customFormat="false" ht="15" hidden="false" customHeight="false" outlineLevel="0" collapsed="false">
      <c r="A446" s="8"/>
      <c r="B446" s="6"/>
      <c r="C446" s="9" t="str">
        <f aca="false">IF($B446="","",IFERROR(INDEX(직원목록!$B$3:$B$202,MATCH($B446,직원목록!$A$3:$A$202,0)),""))</f>
        <v/>
      </c>
      <c r="D446" s="9" t="str">
        <f aca="false">IF($B446="","",IFERROR(INDEX(직원목록!$C$3:$C$202,MATCH($B446,직원목록!$A$3:$A$202,0)),""))</f>
        <v/>
      </c>
      <c r="E446" s="6"/>
      <c r="F446" s="6"/>
      <c r="G446" s="10"/>
      <c r="H446" s="6"/>
      <c r="I446" s="9" t="str">
        <f aca="false">IF($A446="","",TEXT($A446,"yyyy-mm"))</f>
        <v/>
      </c>
    </row>
    <row r="447" customFormat="false" ht="15" hidden="false" customHeight="false" outlineLevel="0" collapsed="false">
      <c r="A447" s="8"/>
      <c r="B447" s="6"/>
      <c r="C447" s="9" t="str">
        <f aca="false">IF($B447="","",IFERROR(INDEX(직원목록!$B$3:$B$202,MATCH($B447,직원목록!$A$3:$A$202,0)),""))</f>
        <v/>
      </c>
      <c r="D447" s="9" t="str">
        <f aca="false">IF($B447="","",IFERROR(INDEX(직원목록!$C$3:$C$202,MATCH($B447,직원목록!$A$3:$A$202,0)),""))</f>
        <v/>
      </c>
      <c r="E447" s="6"/>
      <c r="F447" s="6"/>
      <c r="G447" s="10"/>
      <c r="H447" s="6"/>
      <c r="I447" s="9" t="str">
        <f aca="false">IF($A447="","",TEXT($A447,"yyyy-mm"))</f>
        <v/>
      </c>
    </row>
    <row r="448" customFormat="false" ht="15" hidden="false" customHeight="false" outlineLevel="0" collapsed="false">
      <c r="A448" s="8"/>
      <c r="B448" s="6"/>
      <c r="C448" s="9" t="str">
        <f aca="false">IF($B448="","",IFERROR(INDEX(직원목록!$B$3:$B$202,MATCH($B448,직원목록!$A$3:$A$202,0)),""))</f>
        <v/>
      </c>
      <c r="D448" s="9" t="str">
        <f aca="false">IF($B448="","",IFERROR(INDEX(직원목록!$C$3:$C$202,MATCH($B448,직원목록!$A$3:$A$202,0)),""))</f>
        <v/>
      </c>
      <c r="E448" s="6"/>
      <c r="F448" s="6"/>
      <c r="G448" s="10"/>
      <c r="H448" s="6"/>
      <c r="I448" s="9" t="str">
        <f aca="false">IF($A448="","",TEXT($A448,"yyyy-mm"))</f>
        <v/>
      </c>
    </row>
    <row r="449" customFormat="false" ht="15" hidden="false" customHeight="false" outlineLevel="0" collapsed="false">
      <c r="A449" s="8"/>
      <c r="B449" s="6"/>
      <c r="C449" s="9" t="str">
        <f aca="false">IF($B449="","",IFERROR(INDEX(직원목록!$B$3:$B$202,MATCH($B449,직원목록!$A$3:$A$202,0)),""))</f>
        <v/>
      </c>
      <c r="D449" s="9" t="str">
        <f aca="false">IF($B449="","",IFERROR(INDEX(직원목록!$C$3:$C$202,MATCH($B449,직원목록!$A$3:$A$202,0)),""))</f>
        <v/>
      </c>
      <c r="E449" s="6"/>
      <c r="F449" s="6"/>
      <c r="G449" s="10"/>
      <c r="H449" s="6"/>
      <c r="I449" s="9" t="str">
        <f aca="false">IF($A449="","",TEXT($A449,"yyyy-mm"))</f>
        <v/>
      </c>
    </row>
    <row r="450" customFormat="false" ht="15" hidden="false" customHeight="false" outlineLevel="0" collapsed="false">
      <c r="A450" s="8"/>
      <c r="B450" s="6"/>
      <c r="C450" s="9" t="str">
        <f aca="false">IF($B450="","",IFERROR(INDEX(직원목록!$B$3:$B$202,MATCH($B450,직원목록!$A$3:$A$202,0)),""))</f>
        <v/>
      </c>
      <c r="D450" s="9" t="str">
        <f aca="false">IF($B450="","",IFERROR(INDEX(직원목록!$C$3:$C$202,MATCH($B450,직원목록!$A$3:$A$202,0)),""))</f>
        <v/>
      </c>
      <c r="E450" s="6"/>
      <c r="F450" s="6"/>
      <c r="G450" s="10"/>
      <c r="H450" s="6"/>
      <c r="I450" s="9" t="str">
        <f aca="false">IF($A450="","",TEXT($A450,"yyyy-mm"))</f>
        <v/>
      </c>
    </row>
    <row r="451" customFormat="false" ht="15" hidden="false" customHeight="false" outlineLevel="0" collapsed="false">
      <c r="A451" s="8"/>
      <c r="B451" s="6"/>
      <c r="C451" s="9" t="str">
        <f aca="false">IF($B451="","",IFERROR(INDEX(직원목록!$B$3:$B$202,MATCH($B451,직원목록!$A$3:$A$202,0)),""))</f>
        <v/>
      </c>
      <c r="D451" s="9" t="str">
        <f aca="false">IF($B451="","",IFERROR(INDEX(직원목록!$C$3:$C$202,MATCH($B451,직원목록!$A$3:$A$202,0)),""))</f>
        <v/>
      </c>
      <c r="E451" s="6"/>
      <c r="F451" s="6"/>
      <c r="G451" s="10"/>
      <c r="H451" s="6"/>
      <c r="I451" s="9" t="str">
        <f aca="false">IF($A451="","",TEXT($A451,"yyyy-mm"))</f>
        <v/>
      </c>
    </row>
    <row r="452" customFormat="false" ht="15" hidden="false" customHeight="false" outlineLevel="0" collapsed="false">
      <c r="A452" s="8"/>
      <c r="B452" s="6"/>
      <c r="C452" s="9" t="str">
        <f aca="false">IF($B452="","",IFERROR(INDEX(직원목록!$B$3:$B$202,MATCH($B452,직원목록!$A$3:$A$202,0)),""))</f>
        <v/>
      </c>
      <c r="D452" s="9" t="str">
        <f aca="false">IF($B452="","",IFERROR(INDEX(직원목록!$C$3:$C$202,MATCH($B452,직원목록!$A$3:$A$202,0)),""))</f>
        <v/>
      </c>
      <c r="E452" s="6"/>
      <c r="F452" s="6"/>
      <c r="G452" s="10"/>
      <c r="H452" s="6"/>
      <c r="I452" s="9" t="str">
        <f aca="false">IF($A452="","",TEXT($A452,"yyyy-mm"))</f>
        <v/>
      </c>
    </row>
    <row r="453" customFormat="false" ht="15" hidden="false" customHeight="false" outlineLevel="0" collapsed="false">
      <c r="A453" s="8"/>
      <c r="B453" s="6"/>
      <c r="C453" s="9" t="str">
        <f aca="false">IF($B453="","",IFERROR(INDEX(직원목록!$B$3:$B$202,MATCH($B453,직원목록!$A$3:$A$202,0)),""))</f>
        <v/>
      </c>
      <c r="D453" s="9" t="str">
        <f aca="false">IF($B453="","",IFERROR(INDEX(직원목록!$C$3:$C$202,MATCH($B453,직원목록!$A$3:$A$202,0)),""))</f>
        <v/>
      </c>
      <c r="E453" s="6"/>
      <c r="F453" s="6"/>
      <c r="G453" s="10"/>
      <c r="H453" s="6"/>
      <c r="I453" s="9" t="str">
        <f aca="false">IF($A453="","",TEXT($A453,"yyyy-mm"))</f>
        <v/>
      </c>
    </row>
    <row r="454" customFormat="false" ht="15" hidden="false" customHeight="false" outlineLevel="0" collapsed="false">
      <c r="A454" s="8"/>
      <c r="B454" s="6"/>
      <c r="C454" s="9" t="str">
        <f aca="false">IF($B454="","",IFERROR(INDEX(직원목록!$B$3:$B$202,MATCH($B454,직원목록!$A$3:$A$202,0)),""))</f>
        <v/>
      </c>
      <c r="D454" s="9" t="str">
        <f aca="false">IF($B454="","",IFERROR(INDEX(직원목록!$C$3:$C$202,MATCH($B454,직원목록!$A$3:$A$202,0)),""))</f>
        <v/>
      </c>
      <c r="E454" s="6"/>
      <c r="F454" s="6"/>
      <c r="G454" s="10"/>
      <c r="H454" s="6"/>
      <c r="I454" s="9" t="str">
        <f aca="false">IF($A454="","",TEXT($A454,"yyyy-mm"))</f>
        <v/>
      </c>
    </row>
    <row r="455" customFormat="false" ht="15" hidden="false" customHeight="false" outlineLevel="0" collapsed="false">
      <c r="A455" s="8"/>
      <c r="B455" s="6"/>
      <c r="C455" s="9" t="str">
        <f aca="false">IF($B455="","",IFERROR(INDEX(직원목록!$B$3:$B$202,MATCH($B455,직원목록!$A$3:$A$202,0)),""))</f>
        <v/>
      </c>
      <c r="D455" s="9" t="str">
        <f aca="false">IF($B455="","",IFERROR(INDEX(직원목록!$C$3:$C$202,MATCH($B455,직원목록!$A$3:$A$202,0)),""))</f>
        <v/>
      </c>
      <c r="E455" s="6"/>
      <c r="F455" s="6"/>
      <c r="G455" s="10"/>
      <c r="H455" s="6"/>
      <c r="I455" s="9" t="str">
        <f aca="false">IF($A455="","",TEXT($A455,"yyyy-mm"))</f>
        <v/>
      </c>
    </row>
    <row r="456" customFormat="false" ht="15" hidden="false" customHeight="false" outlineLevel="0" collapsed="false">
      <c r="A456" s="8"/>
      <c r="B456" s="6"/>
      <c r="C456" s="9" t="str">
        <f aca="false">IF($B456="","",IFERROR(INDEX(직원목록!$B$3:$B$202,MATCH($B456,직원목록!$A$3:$A$202,0)),""))</f>
        <v/>
      </c>
      <c r="D456" s="9" t="str">
        <f aca="false">IF($B456="","",IFERROR(INDEX(직원목록!$C$3:$C$202,MATCH($B456,직원목록!$A$3:$A$202,0)),""))</f>
        <v/>
      </c>
      <c r="E456" s="6"/>
      <c r="F456" s="6"/>
      <c r="G456" s="10"/>
      <c r="H456" s="6"/>
      <c r="I456" s="9" t="str">
        <f aca="false">IF($A456="","",TEXT($A456,"yyyy-mm"))</f>
        <v/>
      </c>
    </row>
    <row r="457" customFormat="false" ht="15" hidden="false" customHeight="false" outlineLevel="0" collapsed="false">
      <c r="A457" s="8"/>
      <c r="B457" s="6"/>
      <c r="C457" s="9" t="str">
        <f aca="false">IF($B457="","",IFERROR(INDEX(직원목록!$B$3:$B$202,MATCH($B457,직원목록!$A$3:$A$202,0)),""))</f>
        <v/>
      </c>
      <c r="D457" s="9" t="str">
        <f aca="false">IF($B457="","",IFERROR(INDEX(직원목록!$C$3:$C$202,MATCH($B457,직원목록!$A$3:$A$202,0)),""))</f>
        <v/>
      </c>
      <c r="E457" s="6"/>
      <c r="F457" s="6"/>
      <c r="G457" s="10"/>
      <c r="H457" s="6"/>
      <c r="I457" s="9" t="str">
        <f aca="false">IF($A457="","",TEXT($A457,"yyyy-mm"))</f>
        <v/>
      </c>
    </row>
    <row r="458" customFormat="false" ht="15" hidden="false" customHeight="false" outlineLevel="0" collapsed="false">
      <c r="A458" s="8"/>
      <c r="B458" s="6"/>
      <c r="C458" s="9" t="str">
        <f aca="false">IF($B458="","",IFERROR(INDEX(직원목록!$B$3:$B$202,MATCH($B458,직원목록!$A$3:$A$202,0)),""))</f>
        <v/>
      </c>
      <c r="D458" s="9" t="str">
        <f aca="false">IF($B458="","",IFERROR(INDEX(직원목록!$C$3:$C$202,MATCH($B458,직원목록!$A$3:$A$202,0)),""))</f>
        <v/>
      </c>
      <c r="E458" s="6"/>
      <c r="F458" s="6"/>
      <c r="G458" s="10"/>
      <c r="H458" s="6"/>
      <c r="I458" s="9" t="str">
        <f aca="false">IF($A458="","",TEXT($A458,"yyyy-mm"))</f>
        <v/>
      </c>
    </row>
    <row r="459" customFormat="false" ht="15" hidden="false" customHeight="false" outlineLevel="0" collapsed="false">
      <c r="A459" s="8"/>
      <c r="B459" s="6"/>
      <c r="C459" s="9" t="str">
        <f aca="false">IF($B459="","",IFERROR(INDEX(직원목록!$B$3:$B$202,MATCH($B459,직원목록!$A$3:$A$202,0)),""))</f>
        <v/>
      </c>
      <c r="D459" s="9" t="str">
        <f aca="false">IF($B459="","",IFERROR(INDEX(직원목록!$C$3:$C$202,MATCH($B459,직원목록!$A$3:$A$202,0)),""))</f>
        <v/>
      </c>
      <c r="E459" s="6"/>
      <c r="F459" s="6"/>
      <c r="G459" s="10"/>
      <c r="H459" s="6"/>
      <c r="I459" s="9" t="str">
        <f aca="false">IF($A459="","",TEXT($A459,"yyyy-mm"))</f>
        <v/>
      </c>
    </row>
    <row r="460" customFormat="false" ht="15" hidden="false" customHeight="false" outlineLevel="0" collapsed="false">
      <c r="A460" s="8"/>
      <c r="B460" s="6"/>
      <c r="C460" s="9" t="str">
        <f aca="false">IF($B460="","",IFERROR(INDEX(직원목록!$B$3:$B$202,MATCH($B460,직원목록!$A$3:$A$202,0)),""))</f>
        <v/>
      </c>
      <c r="D460" s="9" t="str">
        <f aca="false">IF($B460="","",IFERROR(INDEX(직원목록!$C$3:$C$202,MATCH($B460,직원목록!$A$3:$A$202,0)),""))</f>
        <v/>
      </c>
      <c r="E460" s="6"/>
      <c r="F460" s="6"/>
      <c r="G460" s="10"/>
      <c r="H460" s="6"/>
      <c r="I460" s="9" t="str">
        <f aca="false">IF($A460="","",TEXT($A460,"yyyy-mm"))</f>
        <v/>
      </c>
    </row>
    <row r="461" customFormat="false" ht="15" hidden="false" customHeight="false" outlineLevel="0" collapsed="false">
      <c r="A461" s="8"/>
      <c r="B461" s="6"/>
      <c r="C461" s="9" t="str">
        <f aca="false">IF($B461="","",IFERROR(INDEX(직원목록!$B$3:$B$202,MATCH($B461,직원목록!$A$3:$A$202,0)),""))</f>
        <v/>
      </c>
      <c r="D461" s="9" t="str">
        <f aca="false">IF($B461="","",IFERROR(INDEX(직원목록!$C$3:$C$202,MATCH($B461,직원목록!$A$3:$A$202,0)),""))</f>
        <v/>
      </c>
      <c r="E461" s="6"/>
      <c r="F461" s="6"/>
      <c r="G461" s="10"/>
      <c r="H461" s="6"/>
      <c r="I461" s="9" t="str">
        <f aca="false">IF($A461="","",TEXT($A461,"yyyy-mm"))</f>
        <v/>
      </c>
    </row>
    <row r="462" customFormat="false" ht="15" hidden="false" customHeight="false" outlineLevel="0" collapsed="false">
      <c r="A462" s="8"/>
      <c r="B462" s="6"/>
      <c r="C462" s="9" t="str">
        <f aca="false">IF($B462="","",IFERROR(INDEX(직원목록!$B$3:$B$202,MATCH($B462,직원목록!$A$3:$A$202,0)),""))</f>
        <v/>
      </c>
      <c r="D462" s="9" t="str">
        <f aca="false">IF($B462="","",IFERROR(INDEX(직원목록!$C$3:$C$202,MATCH($B462,직원목록!$A$3:$A$202,0)),""))</f>
        <v/>
      </c>
      <c r="E462" s="6"/>
      <c r="F462" s="6"/>
      <c r="G462" s="10"/>
      <c r="H462" s="6"/>
      <c r="I462" s="9" t="str">
        <f aca="false">IF($A462="","",TEXT($A462,"yyyy-mm"))</f>
        <v/>
      </c>
    </row>
    <row r="463" customFormat="false" ht="15" hidden="false" customHeight="false" outlineLevel="0" collapsed="false">
      <c r="A463" s="8"/>
      <c r="B463" s="6"/>
      <c r="C463" s="9" t="str">
        <f aca="false">IF($B463="","",IFERROR(INDEX(직원목록!$B$3:$B$202,MATCH($B463,직원목록!$A$3:$A$202,0)),""))</f>
        <v/>
      </c>
      <c r="D463" s="9" t="str">
        <f aca="false">IF($B463="","",IFERROR(INDEX(직원목록!$C$3:$C$202,MATCH($B463,직원목록!$A$3:$A$202,0)),""))</f>
        <v/>
      </c>
      <c r="E463" s="6"/>
      <c r="F463" s="6"/>
      <c r="G463" s="10"/>
      <c r="H463" s="6"/>
      <c r="I463" s="9" t="str">
        <f aca="false">IF($A463="","",TEXT($A463,"yyyy-mm"))</f>
        <v/>
      </c>
    </row>
    <row r="464" customFormat="false" ht="15" hidden="false" customHeight="false" outlineLevel="0" collapsed="false">
      <c r="A464" s="8"/>
      <c r="B464" s="6"/>
      <c r="C464" s="9" t="str">
        <f aca="false">IF($B464="","",IFERROR(INDEX(직원목록!$B$3:$B$202,MATCH($B464,직원목록!$A$3:$A$202,0)),""))</f>
        <v/>
      </c>
      <c r="D464" s="9" t="str">
        <f aca="false">IF($B464="","",IFERROR(INDEX(직원목록!$C$3:$C$202,MATCH($B464,직원목록!$A$3:$A$202,0)),""))</f>
        <v/>
      </c>
      <c r="E464" s="6"/>
      <c r="F464" s="6"/>
      <c r="G464" s="10"/>
      <c r="H464" s="6"/>
      <c r="I464" s="9" t="str">
        <f aca="false">IF($A464="","",TEXT($A464,"yyyy-mm"))</f>
        <v/>
      </c>
    </row>
    <row r="465" customFormat="false" ht="15" hidden="false" customHeight="false" outlineLevel="0" collapsed="false">
      <c r="A465" s="8"/>
      <c r="B465" s="6"/>
      <c r="C465" s="9" t="str">
        <f aca="false">IF($B465="","",IFERROR(INDEX(직원목록!$B$3:$B$202,MATCH($B465,직원목록!$A$3:$A$202,0)),""))</f>
        <v/>
      </c>
      <c r="D465" s="9" t="str">
        <f aca="false">IF($B465="","",IFERROR(INDEX(직원목록!$C$3:$C$202,MATCH($B465,직원목록!$A$3:$A$202,0)),""))</f>
        <v/>
      </c>
      <c r="E465" s="6"/>
      <c r="F465" s="6"/>
      <c r="G465" s="10"/>
      <c r="H465" s="6"/>
      <c r="I465" s="9" t="str">
        <f aca="false">IF($A465="","",TEXT($A465,"yyyy-mm"))</f>
        <v/>
      </c>
    </row>
    <row r="466" customFormat="false" ht="15" hidden="false" customHeight="false" outlineLevel="0" collapsed="false">
      <c r="A466" s="8"/>
      <c r="B466" s="6"/>
      <c r="C466" s="9" t="str">
        <f aca="false">IF($B466="","",IFERROR(INDEX(직원목록!$B$3:$B$202,MATCH($B466,직원목록!$A$3:$A$202,0)),""))</f>
        <v/>
      </c>
      <c r="D466" s="9" t="str">
        <f aca="false">IF($B466="","",IFERROR(INDEX(직원목록!$C$3:$C$202,MATCH($B466,직원목록!$A$3:$A$202,0)),""))</f>
        <v/>
      </c>
      <c r="E466" s="6"/>
      <c r="F466" s="6"/>
      <c r="G466" s="10"/>
      <c r="H466" s="6"/>
      <c r="I466" s="9" t="str">
        <f aca="false">IF($A466="","",TEXT($A466,"yyyy-mm"))</f>
        <v/>
      </c>
    </row>
    <row r="467" customFormat="false" ht="15" hidden="false" customHeight="false" outlineLevel="0" collapsed="false">
      <c r="A467" s="8"/>
      <c r="B467" s="6"/>
      <c r="C467" s="9" t="str">
        <f aca="false">IF($B467="","",IFERROR(INDEX(직원목록!$B$3:$B$202,MATCH($B467,직원목록!$A$3:$A$202,0)),""))</f>
        <v/>
      </c>
      <c r="D467" s="9" t="str">
        <f aca="false">IF($B467="","",IFERROR(INDEX(직원목록!$C$3:$C$202,MATCH($B467,직원목록!$A$3:$A$202,0)),""))</f>
        <v/>
      </c>
      <c r="E467" s="6"/>
      <c r="F467" s="6"/>
      <c r="G467" s="10"/>
      <c r="H467" s="6"/>
      <c r="I467" s="9" t="str">
        <f aca="false">IF($A467="","",TEXT($A467,"yyyy-mm"))</f>
        <v/>
      </c>
    </row>
    <row r="468" customFormat="false" ht="15" hidden="false" customHeight="false" outlineLevel="0" collapsed="false">
      <c r="A468" s="8"/>
      <c r="B468" s="6"/>
      <c r="C468" s="9" t="str">
        <f aca="false">IF($B468="","",IFERROR(INDEX(직원목록!$B$3:$B$202,MATCH($B468,직원목록!$A$3:$A$202,0)),""))</f>
        <v/>
      </c>
      <c r="D468" s="9" t="str">
        <f aca="false">IF($B468="","",IFERROR(INDEX(직원목록!$C$3:$C$202,MATCH($B468,직원목록!$A$3:$A$202,0)),""))</f>
        <v/>
      </c>
      <c r="E468" s="6"/>
      <c r="F468" s="6"/>
      <c r="G468" s="10"/>
      <c r="H468" s="6"/>
      <c r="I468" s="9" t="str">
        <f aca="false">IF($A468="","",TEXT($A468,"yyyy-mm"))</f>
        <v/>
      </c>
    </row>
    <row r="469" customFormat="false" ht="15" hidden="false" customHeight="false" outlineLevel="0" collapsed="false">
      <c r="A469" s="8"/>
      <c r="B469" s="6"/>
      <c r="C469" s="9" t="str">
        <f aca="false">IF($B469="","",IFERROR(INDEX(직원목록!$B$3:$B$202,MATCH($B469,직원목록!$A$3:$A$202,0)),""))</f>
        <v/>
      </c>
      <c r="D469" s="9" t="str">
        <f aca="false">IF($B469="","",IFERROR(INDEX(직원목록!$C$3:$C$202,MATCH($B469,직원목록!$A$3:$A$202,0)),""))</f>
        <v/>
      </c>
      <c r="E469" s="6"/>
      <c r="F469" s="6"/>
      <c r="G469" s="10"/>
      <c r="H469" s="6"/>
      <c r="I469" s="9" t="str">
        <f aca="false">IF($A469="","",TEXT($A469,"yyyy-mm"))</f>
        <v/>
      </c>
    </row>
    <row r="470" customFormat="false" ht="15" hidden="false" customHeight="false" outlineLevel="0" collapsed="false">
      <c r="A470" s="8"/>
      <c r="B470" s="6"/>
      <c r="C470" s="9" t="str">
        <f aca="false">IF($B470="","",IFERROR(INDEX(직원목록!$B$3:$B$202,MATCH($B470,직원목록!$A$3:$A$202,0)),""))</f>
        <v/>
      </c>
      <c r="D470" s="9" t="str">
        <f aca="false">IF($B470="","",IFERROR(INDEX(직원목록!$C$3:$C$202,MATCH($B470,직원목록!$A$3:$A$202,0)),""))</f>
        <v/>
      </c>
      <c r="E470" s="6"/>
      <c r="F470" s="6"/>
      <c r="G470" s="10"/>
      <c r="H470" s="6"/>
      <c r="I470" s="9" t="str">
        <f aca="false">IF($A470="","",TEXT($A470,"yyyy-mm"))</f>
        <v/>
      </c>
    </row>
    <row r="471" customFormat="false" ht="15" hidden="false" customHeight="false" outlineLevel="0" collapsed="false">
      <c r="A471" s="8"/>
      <c r="B471" s="6"/>
      <c r="C471" s="9" t="str">
        <f aca="false">IF($B471="","",IFERROR(INDEX(직원목록!$B$3:$B$202,MATCH($B471,직원목록!$A$3:$A$202,0)),""))</f>
        <v/>
      </c>
      <c r="D471" s="9" t="str">
        <f aca="false">IF($B471="","",IFERROR(INDEX(직원목록!$C$3:$C$202,MATCH($B471,직원목록!$A$3:$A$202,0)),""))</f>
        <v/>
      </c>
      <c r="E471" s="6"/>
      <c r="F471" s="6"/>
      <c r="G471" s="10"/>
      <c r="H471" s="6"/>
      <c r="I471" s="9" t="str">
        <f aca="false">IF($A471="","",TEXT($A471,"yyyy-mm"))</f>
        <v/>
      </c>
    </row>
    <row r="472" customFormat="false" ht="15" hidden="false" customHeight="false" outlineLevel="0" collapsed="false">
      <c r="A472" s="8"/>
      <c r="B472" s="6"/>
      <c r="C472" s="9" t="str">
        <f aca="false">IF($B472="","",IFERROR(INDEX(직원목록!$B$3:$B$202,MATCH($B472,직원목록!$A$3:$A$202,0)),""))</f>
        <v/>
      </c>
      <c r="D472" s="9" t="str">
        <f aca="false">IF($B472="","",IFERROR(INDEX(직원목록!$C$3:$C$202,MATCH($B472,직원목록!$A$3:$A$202,0)),""))</f>
        <v/>
      </c>
      <c r="E472" s="6"/>
      <c r="F472" s="6"/>
      <c r="G472" s="10"/>
      <c r="H472" s="6"/>
      <c r="I472" s="9" t="str">
        <f aca="false">IF($A472="","",TEXT($A472,"yyyy-mm"))</f>
        <v/>
      </c>
    </row>
    <row r="473" customFormat="false" ht="15" hidden="false" customHeight="false" outlineLevel="0" collapsed="false">
      <c r="A473" s="8"/>
      <c r="B473" s="6"/>
      <c r="C473" s="9" t="str">
        <f aca="false">IF($B473="","",IFERROR(INDEX(직원목록!$B$3:$B$202,MATCH($B473,직원목록!$A$3:$A$202,0)),""))</f>
        <v/>
      </c>
      <c r="D473" s="9" t="str">
        <f aca="false">IF($B473="","",IFERROR(INDEX(직원목록!$C$3:$C$202,MATCH($B473,직원목록!$A$3:$A$202,0)),""))</f>
        <v/>
      </c>
      <c r="E473" s="6"/>
      <c r="F473" s="6"/>
      <c r="G473" s="10"/>
      <c r="H473" s="6"/>
      <c r="I473" s="9" t="str">
        <f aca="false">IF($A473="","",TEXT($A473,"yyyy-mm"))</f>
        <v/>
      </c>
    </row>
    <row r="474" customFormat="false" ht="15" hidden="false" customHeight="false" outlineLevel="0" collapsed="false">
      <c r="A474" s="8"/>
      <c r="B474" s="6"/>
      <c r="C474" s="9" t="str">
        <f aca="false">IF($B474="","",IFERROR(INDEX(직원목록!$B$3:$B$202,MATCH($B474,직원목록!$A$3:$A$202,0)),""))</f>
        <v/>
      </c>
      <c r="D474" s="9" t="str">
        <f aca="false">IF($B474="","",IFERROR(INDEX(직원목록!$C$3:$C$202,MATCH($B474,직원목록!$A$3:$A$202,0)),""))</f>
        <v/>
      </c>
      <c r="E474" s="6"/>
      <c r="F474" s="6"/>
      <c r="G474" s="10"/>
      <c r="H474" s="6"/>
      <c r="I474" s="9" t="str">
        <f aca="false">IF($A474="","",TEXT($A474,"yyyy-mm"))</f>
        <v/>
      </c>
    </row>
    <row r="475" customFormat="false" ht="15" hidden="false" customHeight="false" outlineLevel="0" collapsed="false">
      <c r="A475" s="8"/>
      <c r="B475" s="6"/>
      <c r="C475" s="9" t="str">
        <f aca="false">IF($B475="","",IFERROR(INDEX(직원목록!$B$3:$B$202,MATCH($B475,직원목록!$A$3:$A$202,0)),""))</f>
        <v/>
      </c>
      <c r="D475" s="9" t="str">
        <f aca="false">IF($B475="","",IFERROR(INDEX(직원목록!$C$3:$C$202,MATCH($B475,직원목록!$A$3:$A$202,0)),""))</f>
        <v/>
      </c>
      <c r="E475" s="6"/>
      <c r="F475" s="6"/>
      <c r="G475" s="10"/>
      <c r="H475" s="6"/>
      <c r="I475" s="9" t="str">
        <f aca="false">IF($A475="","",TEXT($A475,"yyyy-mm"))</f>
        <v/>
      </c>
    </row>
    <row r="476" customFormat="false" ht="15" hidden="false" customHeight="false" outlineLevel="0" collapsed="false">
      <c r="A476" s="8"/>
      <c r="B476" s="6"/>
      <c r="C476" s="9" t="str">
        <f aca="false">IF($B476="","",IFERROR(INDEX(직원목록!$B$3:$B$202,MATCH($B476,직원목록!$A$3:$A$202,0)),""))</f>
        <v/>
      </c>
      <c r="D476" s="9" t="str">
        <f aca="false">IF($B476="","",IFERROR(INDEX(직원목록!$C$3:$C$202,MATCH($B476,직원목록!$A$3:$A$202,0)),""))</f>
        <v/>
      </c>
      <c r="E476" s="6"/>
      <c r="F476" s="6"/>
      <c r="G476" s="10"/>
      <c r="H476" s="6"/>
      <c r="I476" s="9" t="str">
        <f aca="false">IF($A476="","",TEXT($A476,"yyyy-mm"))</f>
        <v/>
      </c>
    </row>
    <row r="477" customFormat="false" ht="15" hidden="false" customHeight="false" outlineLevel="0" collapsed="false">
      <c r="A477" s="8"/>
      <c r="B477" s="6"/>
      <c r="C477" s="9" t="str">
        <f aca="false">IF($B477="","",IFERROR(INDEX(직원목록!$B$3:$B$202,MATCH($B477,직원목록!$A$3:$A$202,0)),""))</f>
        <v/>
      </c>
      <c r="D477" s="9" t="str">
        <f aca="false">IF($B477="","",IFERROR(INDEX(직원목록!$C$3:$C$202,MATCH($B477,직원목록!$A$3:$A$202,0)),""))</f>
        <v/>
      </c>
      <c r="E477" s="6"/>
      <c r="F477" s="6"/>
      <c r="G477" s="10"/>
      <c r="H477" s="6"/>
      <c r="I477" s="9" t="str">
        <f aca="false">IF($A477="","",TEXT($A477,"yyyy-mm"))</f>
        <v/>
      </c>
    </row>
    <row r="478" customFormat="false" ht="15" hidden="false" customHeight="false" outlineLevel="0" collapsed="false">
      <c r="A478" s="8"/>
      <c r="B478" s="6"/>
      <c r="C478" s="9" t="str">
        <f aca="false">IF($B478="","",IFERROR(INDEX(직원목록!$B$3:$B$202,MATCH($B478,직원목록!$A$3:$A$202,0)),""))</f>
        <v/>
      </c>
      <c r="D478" s="9" t="str">
        <f aca="false">IF($B478="","",IFERROR(INDEX(직원목록!$C$3:$C$202,MATCH($B478,직원목록!$A$3:$A$202,0)),""))</f>
        <v/>
      </c>
      <c r="E478" s="6"/>
      <c r="F478" s="6"/>
      <c r="G478" s="10"/>
      <c r="H478" s="6"/>
      <c r="I478" s="9" t="str">
        <f aca="false">IF($A478="","",TEXT($A478,"yyyy-mm"))</f>
        <v/>
      </c>
    </row>
    <row r="479" customFormat="false" ht="15" hidden="false" customHeight="false" outlineLevel="0" collapsed="false">
      <c r="A479" s="8"/>
      <c r="B479" s="6"/>
      <c r="C479" s="9" t="str">
        <f aca="false">IF($B479="","",IFERROR(INDEX(직원목록!$B$3:$B$202,MATCH($B479,직원목록!$A$3:$A$202,0)),""))</f>
        <v/>
      </c>
      <c r="D479" s="9" t="str">
        <f aca="false">IF($B479="","",IFERROR(INDEX(직원목록!$C$3:$C$202,MATCH($B479,직원목록!$A$3:$A$202,0)),""))</f>
        <v/>
      </c>
      <c r="E479" s="6"/>
      <c r="F479" s="6"/>
      <c r="G479" s="10"/>
      <c r="H479" s="6"/>
      <c r="I479" s="9" t="str">
        <f aca="false">IF($A479="","",TEXT($A479,"yyyy-mm"))</f>
        <v/>
      </c>
    </row>
    <row r="480" customFormat="false" ht="15" hidden="false" customHeight="false" outlineLevel="0" collapsed="false">
      <c r="A480" s="8"/>
      <c r="B480" s="6"/>
      <c r="C480" s="9" t="str">
        <f aca="false">IF($B480="","",IFERROR(INDEX(직원목록!$B$3:$B$202,MATCH($B480,직원목록!$A$3:$A$202,0)),""))</f>
        <v/>
      </c>
      <c r="D480" s="9" t="str">
        <f aca="false">IF($B480="","",IFERROR(INDEX(직원목록!$C$3:$C$202,MATCH($B480,직원목록!$A$3:$A$202,0)),""))</f>
        <v/>
      </c>
      <c r="E480" s="6"/>
      <c r="F480" s="6"/>
      <c r="G480" s="10"/>
      <c r="H480" s="6"/>
      <c r="I480" s="9" t="str">
        <f aca="false">IF($A480="","",TEXT($A480,"yyyy-mm"))</f>
        <v/>
      </c>
    </row>
    <row r="481" customFormat="false" ht="15" hidden="false" customHeight="false" outlineLevel="0" collapsed="false">
      <c r="A481" s="8"/>
      <c r="B481" s="6"/>
      <c r="C481" s="9" t="str">
        <f aca="false">IF($B481="","",IFERROR(INDEX(직원목록!$B$3:$B$202,MATCH($B481,직원목록!$A$3:$A$202,0)),""))</f>
        <v/>
      </c>
      <c r="D481" s="9" t="str">
        <f aca="false">IF($B481="","",IFERROR(INDEX(직원목록!$C$3:$C$202,MATCH($B481,직원목록!$A$3:$A$202,0)),""))</f>
        <v/>
      </c>
      <c r="E481" s="6"/>
      <c r="F481" s="6"/>
      <c r="G481" s="10"/>
      <c r="H481" s="6"/>
      <c r="I481" s="9" t="str">
        <f aca="false">IF($A481="","",TEXT($A481,"yyyy-mm"))</f>
        <v/>
      </c>
    </row>
    <row r="482" customFormat="false" ht="15" hidden="false" customHeight="false" outlineLevel="0" collapsed="false">
      <c r="A482" s="8"/>
      <c r="B482" s="6"/>
      <c r="C482" s="9" t="str">
        <f aca="false">IF($B482="","",IFERROR(INDEX(직원목록!$B$3:$B$202,MATCH($B482,직원목록!$A$3:$A$202,0)),""))</f>
        <v/>
      </c>
      <c r="D482" s="9" t="str">
        <f aca="false">IF($B482="","",IFERROR(INDEX(직원목록!$C$3:$C$202,MATCH($B482,직원목록!$A$3:$A$202,0)),""))</f>
        <v/>
      </c>
      <c r="E482" s="6"/>
      <c r="F482" s="6"/>
      <c r="G482" s="10"/>
      <c r="H482" s="6"/>
      <c r="I482" s="9" t="str">
        <f aca="false">IF($A482="","",TEXT($A482,"yyyy-mm"))</f>
        <v/>
      </c>
    </row>
    <row r="483" customFormat="false" ht="15" hidden="false" customHeight="false" outlineLevel="0" collapsed="false">
      <c r="A483" s="8"/>
      <c r="B483" s="6"/>
      <c r="C483" s="9" t="str">
        <f aca="false">IF($B483="","",IFERROR(INDEX(직원목록!$B$3:$B$202,MATCH($B483,직원목록!$A$3:$A$202,0)),""))</f>
        <v/>
      </c>
      <c r="D483" s="9" t="str">
        <f aca="false">IF($B483="","",IFERROR(INDEX(직원목록!$C$3:$C$202,MATCH($B483,직원목록!$A$3:$A$202,0)),""))</f>
        <v/>
      </c>
      <c r="E483" s="6"/>
      <c r="F483" s="6"/>
      <c r="G483" s="10"/>
      <c r="H483" s="6"/>
      <c r="I483" s="9" t="str">
        <f aca="false">IF($A483="","",TEXT($A483,"yyyy-mm"))</f>
        <v/>
      </c>
    </row>
    <row r="484" customFormat="false" ht="15" hidden="false" customHeight="false" outlineLevel="0" collapsed="false">
      <c r="A484" s="8"/>
      <c r="B484" s="6"/>
      <c r="C484" s="9" t="str">
        <f aca="false">IF($B484="","",IFERROR(INDEX(직원목록!$B$3:$B$202,MATCH($B484,직원목록!$A$3:$A$202,0)),""))</f>
        <v/>
      </c>
      <c r="D484" s="9" t="str">
        <f aca="false">IF($B484="","",IFERROR(INDEX(직원목록!$C$3:$C$202,MATCH($B484,직원목록!$A$3:$A$202,0)),""))</f>
        <v/>
      </c>
      <c r="E484" s="6"/>
      <c r="F484" s="6"/>
      <c r="G484" s="10"/>
      <c r="H484" s="6"/>
      <c r="I484" s="9" t="str">
        <f aca="false">IF($A484="","",TEXT($A484,"yyyy-mm"))</f>
        <v/>
      </c>
    </row>
    <row r="485" customFormat="false" ht="15" hidden="false" customHeight="false" outlineLevel="0" collapsed="false">
      <c r="A485" s="8"/>
      <c r="B485" s="6"/>
      <c r="C485" s="9" t="str">
        <f aca="false">IF($B485="","",IFERROR(INDEX(직원목록!$B$3:$B$202,MATCH($B485,직원목록!$A$3:$A$202,0)),""))</f>
        <v/>
      </c>
      <c r="D485" s="9" t="str">
        <f aca="false">IF($B485="","",IFERROR(INDEX(직원목록!$C$3:$C$202,MATCH($B485,직원목록!$A$3:$A$202,0)),""))</f>
        <v/>
      </c>
      <c r="E485" s="6"/>
      <c r="F485" s="6"/>
      <c r="G485" s="10"/>
      <c r="H485" s="6"/>
      <c r="I485" s="9" t="str">
        <f aca="false">IF($A485="","",TEXT($A485,"yyyy-mm"))</f>
        <v/>
      </c>
    </row>
    <row r="486" customFormat="false" ht="15" hidden="false" customHeight="false" outlineLevel="0" collapsed="false">
      <c r="A486" s="8"/>
      <c r="B486" s="6"/>
      <c r="C486" s="9" t="str">
        <f aca="false">IF($B486="","",IFERROR(INDEX(직원목록!$B$3:$B$202,MATCH($B486,직원목록!$A$3:$A$202,0)),""))</f>
        <v/>
      </c>
      <c r="D486" s="9" t="str">
        <f aca="false">IF($B486="","",IFERROR(INDEX(직원목록!$C$3:$C$202,MATCH($B486,직원목록!$A$3:$A$202,0)),""))</f>
        <v/>
      </c>
      <c r="E486" s="6"/>
      <c r="F486" s="6"/>
      <c r="G486" s="10"/>
      <c r="H486" s="6"/>
      <c r="I486" s="9" t="str">
        <f aca="false">IF($A486="","",TEXT($A486,"yyyy-mm"))</f>
        <v/>
      </c>
    </row>
    <row r="487" customFormat="false" ht="15" hidden="false" customHeight="false" outlineLevel="0" collapsed="false">
      <c r="A487" s="8"/>
      <c r="B487" s="6"/>
      <c r="C487" s="9" t="str">
        <f aca="false">IF($B487="","",IFERROR(INDEX(직원목록!$B$3:$B$202,MATCH($B487,직원목록!$A$3:$A$202,0)),""))</f>
        <v/>
      </c>
      <c r="D487" s="9" t="str">
        <f aca="false">IF($B487="","",IFERROR(INDEX(직원목록!$C$3:$C$202,MATCH($B487,직원목록!$A$3:$A$202,0)),""))</f>
        <v/>
      </c>
      <c r="E487" s="6"/>
      <c r="F487" s="6"/>
      <c r="G487" s="10"/>
      <c r="H487" s="6"/>
      <c r="I487" s="9" t="str">
        <f aca="false">IF($A487="","",TEXT($A487,"yyyy-mm"))</f>
        <v/>
      </c>
    </row>
    <row r="488" customFormat="false" ht="15" hidden="false" customHeight="false" outlineLevel="0" collapsed="false">
      <c r="A488" s="8"/>
      <c r="B488" s="6"/>
      <c r="C488" s="9" t="str">
        <f aca="false">IF($B488="","",IFERROR(INDEX(직원목록!$B$3:$B$202,MATCH($B488,직원목록!$A$3:$A$202,0)),""))</f>
        <v/>
      </c>
      <c r="D488" s="9" t="str">
        <f aca="false">IF($B488="","",IFERROR(INDEX(직원목록!$C$3:$C$202,MATCH($B488,직원목록!$A$3:$A$202,0)),""))</f>
        <v/>
      </c>
      <c r="E488" s="6"/>
      <c r="F488" s="6"/>
      <c r="G488" s="10"/>
      <c r="H488" s="6"/>
      <c r="I488" s="9" t="str">
        <f aca="false">IF($A488="","",TEXT($A488,"yyyy-mm"))</f>
        <v/>
      </c>
    </row>
    <row r="489" customFormat="false" ht="15" hidden="false" customHeight="false" outlineLevel="0" collapsed="false">
      <c r="A489" s="8"/>
      <c r="B489" s="6"/>
      <c r="C489" s="9" t="str">
        <f aca="false">IF($B489="","",IFERROR(INDEX(직원목록!$B$3:$B$202,MATCH($B489,직원목록!$A$3:$A$202,0)),""))</f>
        <v/>
      </c>
      <c r="D489" s="9" t="str">
        <f aca="false">IF($B489="","",IFERROR(INDEX(직원목록!$C$3:$C$202,MATCH($B489,직원목록!$A$3:$A$202,0)),""))</f>
        <v/>
      </c>
      <c r="E489" s="6"/>
      <c r="F489" s="6"/>
      <c r="G489" s="10"/>
      <c r="H489" s="6"/>
      <c r="I489" s="9" t="str">
        <f aca="false">IF($A489="","",TEXT($A489,"yyyy-mm"))</f>
        <v/>
      </c>
    </row>
    <row r="490" customFormat="false" ht="15" hidden="false" customHeight="false" outlineLevel="0" collapsed="false">
      <c r="A490" s="8"/>
      <c r="B490" s="6"/>
      <c r="C490" s="9" t="str">
        <f aca="false">IF($B490="","",IFERROR(INDEX(직원목록!$B$3:$B$202,MATCH($B490,직원목록!$A$3:$A$202,0)),""))</f>
        <v/>
      </c>
      <c r="D490" s="9" t="str">
        <f aca="false">IF($B490="","",IFERROR(INDEX(직원목록!$C$3:$C$202,MATCH($B490,직원목록!$A$3:$A$202,0)),""))</f>
        <v/>
      </c>
      <c r="E490" s="6"/>
      <c r="F490" s="6"/>
      <c r="G490" s="10"/>
      <c r="H490" s="6"/>
      <c r="I490" s="9" t="str">
        <f aca="false">IF($A490="","",TEXT($A490,"yyyy-mm"))</f>
        <v/>
      </c>
    </row>
    <row r="491" customFormat="false" ht="15" hidden="false" customHeight="false" outlineLevel="0" collapsed="false">
      <c r="A491" s="8"/>
      <c r="B491" s="6"/>
      <c r="C491" s="9" t="str">
        <f aca="false">IF($B491="","",IFERROR(INDEX(직원목록!$B$3:$B$202,MATCH($B491,직원목록!$A$3:$A$202,0)),""))</f>
        <v/>
      </c>
      <c r="D491" s="9" t="str">
        <f aca="false">IF($B491="","",IFERROR(INDEX(직원목록!$C$3:$C$202,MATCH($B491,직원목록!$A$3:$A$202,0)),""))</f>
        <v/>
      </c>
      <c r="E491" s="6"/>
      <c r="F491" s="6"/>
      <c r="G491" s="10"/>
      <c r="H491" s="6"/>
      <c r="I491" s="9" t="str">
        <f aca="false">IF($A491="","",TEXT($A491,"yyyy-mm"))</f>
        <v/>
      </c>
    </row>
    <row r="492" customFormat="false" ht="15" hidden="false" customHeight="false" outlineLevel="0" collapsed="false">
      <c r="A492" s="8"/>
      <c r="B492" s="6"/>
      <c r="C492" s="9" t="str">
        <f aca="false">IF($B492="","",IFERROR(INDEX(직원목록!$B$3:$B$202,MATCH($B492,직원목록!$A$3:$A$202,0)),""))</f>
        <v/>
      </c>
      <c r="D492" s="9" t="str">
        <f aca="false">IF($B492="","",IFERROR(INDEX(직원목록!$C$3:$C$202,MATCH($B492,직원목록!$A$3:$A$202,0)),""))</f>
        <v/>
      </c>
      <c r="E492" s="6"/>
      <c r="F492" s="6"/>
      <c r="G492" s="10"/>
      <c r="H492" s="6"/>
      <c r="I492" s="9" t="str">
        <f aca="false">IF($A492="","",TEXT($A492,"yyyy-mm"))</f>
        <v/>
      </c>
    </row>
    <row r="493" customFormat="false" ht="15" hidden="false" customHeight="false" outlineLevel="0" collapsed="false">
      <c r="A493" s="8"/>
      <c r="B493" s="6"/>
      <c r="C493" s="9" t="str">
        <f aca="false">IF($B493="","",IFERROR(INDEX(직원목록!$B$3:$B$202,MATCH($B493,직원목록!$A$3:$A$202,0)),""))</f>
        <v/>
      </c>
      <c r="D493" s="9" t="str">
        <f aca="false">IF($B493="","",IFERROR(INDEX(직원목록!$C$3:$C$202,MATCH($B493,직원목록!$A$3:$A$202,0)),""))</f>
        <v/>
      </c>
      <c r="E493" s="6"/>
      <c r="F493" s="6"/>
      <c r="G493" s="10"/>
      <c r="H493" s="6"/>
      <c r="I493" s="9" t="str">
        <f aca="false">IF($A493="","",TEXT($A493,"yyyy-mm"))</f>
        <v/>
      </c>
    </row>
    <row r="494" customFormat="false" ht="15" hidden="false" customHeight="false" outlineLevel="0" collapsed="false">
      <c r="A494" s="8"/>
      <c r="B494" s="6"/>
      <c r="C494" s="9" t="str">
        <f aca="false">IF($B494="","",IFERROR(INDEX(직원목록!$B$3:$B$202,MATCH($B494,직원목록!$A$3:$A$202,0)),""))</f>
        <v/>
      </c>
      <c r="D494" s="9" t="str">
        <f aca="false">IF($B494="","",IFERROR(INDEX(직원목록!$C$3:$C$202,MATCH($B494,직원목록!$A$3:$A$202,0)),""))</f>
        <v/>
      </c>
      <c r="E494" s="6"/>
      <c r="F494" s="6"/>
      <c r="G494" s="10"/>
      <c r="H494" s="6"/>
      <c r="I494" s="9" t="str">
        <f aca="false">IF($A494="","",TEXT($A494,"yyyy-mm"))</f>
        <v/>
      </c>
    </row>
    <row r="495" customFormat="false" ht="15" hidden="false" customHeight="false" outlineLevel="0" collapsed="false">
      <c r="A495" s="8"/>
      <c r="B495" s="6"/>
      <c r="C495" s="9" t="str">
        <f aca="false">IF($B495="","",IFERROR(INDEX(직원목록!$B$3:$B$202,MATCH($B495,직원목록!$A$3:$A$202,0)),""))</f>
        <v/>
      </c>
      <c r="D495" s="9" t="str">
        <f aca="false">IF($B495="","",IFERROR(INDEX(직원목록!$C$3:$C$202,MATCH($B495,직원목록!$A$3:$A$202,0)),""))</f>
        <v/>
      </c>
      <c r="E495" s="6"/>
      <c r="F495" s="6"/>
      <c r="G495" s="10"/>
      <c r="H495" s="6"/>
      <c r="I495" s="9" t="str">
        <f aca="false">IF($A495="","",TEXT($A495,"yyyy-mm"))</f>
        <v/>
      </c>
    </row>
    <row r="496" customFormat="false" ht="15" hidden="false" customHeight="false" outlineLevel="0" collapsed="false">
      <c r="A496" s="8"/>
      <c r="B496" s="6"/>
      <c r="C496" s="9" t="str">
        <f aca="false">IF($B496="","",IFERROR(INDEX(직원목록!$B$3:$B$202,MATCH($B496,직원목록!$A$3:$A$202,0)),""))</f>
        <v/>
      </c>
      <c r="D496" s="9" t="str">
        <f aca="false">IF($B496="","",IFERROR(INDEX(직원목록!$C$3:$C$202,MATCH($B496,직원목록!$A$3:$A$202,0)),""))</f>
        <v/>
      </c>
      <c r="E496" s="6"/>
      <c r="F496" s="6"/>
      <c r="G496" s="10"/>
      <c r="H496" s="6"/>
      <c r="I496" s="9" t="str">
        <f aca="false">IF($A496="","",TEXT($A496,"yyyy-mm"))</f>
        <v/>
      </c>
    </row>
    <row r="497" customFormat="false" ht="15" hidden="false" customHeight="false" outlineLevel="0" collapsed="false">
      <c r="A497" s="8"/>
      <c r="B497" s="6"/>
      <c r="C497" s="9" t="str">
        <f aca="false">IF($B497="","",IFERROR(INDEX(직원목록!$B$3:$B$202,MATCH($B497,직원목록!$A$3:$A$202,0)),""))</f>
        <v/>
      </c>
      <c r="D497" s="9" t="str">
        <f aca="false">IF($B497="","",IFERROR(INDEX(직원목록!$C$3:$C$202,MATCH($B497,직원목록!$A$3:$A$202,0)),""))</f>
        <v/>
      </c>
      <c r="E497" s="6"/>
      <c r="F497" s="6"/>
      <c r="G497" s="10"/>
      <c r="H497" s="6"/>
      <c r="I497" s="9" t="str">
        <f aca="false">IF($A497="","",TEXT($A497,"yyyy-mm"))</f>
        <v/>
      </c>
    </row>
    <row r="498" customFormat="false" ht="15" hidden="false" customHeight="false" outlineLevel="0" collapsed="false">
      <c r="A498" s="8"/>
      <c r="B498" s="6"/>
      <c r="C498" s="9" t="str">
        <f aca="false">IF($B498="","",IFERROR(INDEX(직원목록!$B$3:$B$202,MATCH($B498,직원목록!$A$3:$A$202,0)),""))</f>
        <v/>
      </c>
      <c r="D498" s="9" t="str">
        <f aca="false">IF($B498="","",IFERROR(INDEX(직원목록!$C$3:$C$202,MATCH($B498,직원목록!$A$3:$A$202,0)),""))</f>
        <v/>
      </c>
      <c r="E498" s="6"/>
      <c r="F498" s="6"/>
      <c r="G498" s="10"/>
      <c r="H498" s="6"/>
      <c r="I498" s="9" t="str">
        <f aca="false">IF($A498="","",TEXT($A498,"yyyy-mm"))</f>
        <v/>
      </c>
    </row>
    <row r="499" customFormat="false" ht="15" hidden="false" customHeight="false" outlineLevel="0" collapsed="false">
      <c r="A499" s="8"/>
      <c r="B499" s="6"/>
      <c r="C499" s="9" t="str">
        <f aca="false">IF($B499="","",IFERROR(INDEX(직원목록!$B$3:$B$202,MATCH($B499,직원목록!$A$3:$A$202,0)),""))</f>
        <v/>
      </c>
      <c r="D499" s="9" t="str">
        <f aca="false">IF($B499="","",IFERROR(INDEX(직원목록!$C$3:$C$202,MATCH($B499,직원목록!$A$3:$A$202,0)),""))</f>
        <v/>
      </c>
      <c r="E499" s="6"/>
      <c r="F499" s="6"/>
      <c r="G499" s="10"/>
      <c r="H499" s="6"/>
      <c r="I499" s="9" t="str">
        <f aca="false">IF($A499="","",TEXT($A499,"yyyy-mm"))</f>
        <v/>
      </c>
    </row>
    <row r="500" customFormat="false" ht="15" hidden="false" customHeight="false" outlineLevel="0" collapsed="false">
      <c r="A500" s="8"/>
      <c r="B500" s="6"/>
      <c r="C500" s="9" t="str">
        <f aca="false">IF($B500="","",IFERROR(INDEX(직원목록!$B$3:$B$202,MATCH($B500,직원목록!$A$3:$A$202,0)),""))</f>
        <v/>
      </c>
      <c r="D500" s="9" t="str">
        <f aca="false">IF($B500="","",IFERROR(INDEX(직원목록!$C$3:$C$202,MATCH($B500,직원목록!$A$3:$A$202,0)),""))</f>
        <v/>
      </c>
      <c r="E500" s="6"/>
      <c r="F500" s="6"/>
      <c r="G500" s="10"/>
      <c r="H500" s="6"/>
      <c r="I500" s="9" t="str">
        <f aca="false">IF($A500="","",TEXT($A500,"yyyy-mm"))</f>
        <v/>
      </c>
    </row>
    <row r="501" customFormat="false" ht="15" hidden="false" customHeight="false" outlineLevel="0" collapsed="false">
      <c r="A501" s="8"/>
      <c r="B501" s="6"/>
      <c r="C501" s="9" t="str">
        <f aca="false">IF($B501="","",IFERROR(INDEX(직원목록!$B$3:$B$202,MATCH($B501,직원목록!$A$3:$A$202,0)),""))</f>
        <v/>
      </c>
      <c r="D501" s="9" t="str">
        <f aca="false">IF($B501="","",IFERROR(INDEX(직원목록!$C$3:$C$202,MATCH($B501,직원목록!$A$3:$A$202,0)),""))</f>
        <v/>
      </c>
      <c r="E501" s="6"/>
      <c r="F501" s="6"/>
      <c r="G501" s="10"/>
      <c r="H501" s="6"/>
      <c r="I501" s="9" t="str">
        <f aca="false">IF($A501="","",TEXT($A501,"yyyy-mm"))</f>
        <v/>
      </c>
    </row>
    <row r="502" customFormat="false" ht="15" hidden="false" customHeight="false" outlineLevel="0" collapsed="false">
      <c r="A502" s="8"/>
      <c r="B502" s="6"/>
      <c r="C502" s="9" t="str">
        <f aca="false">IF($B502="","",IFERROR(INDEX(직원목록!$B$3:$B$202,MATCH($B502,직원목록!$A$3:$A$202,0)),""))</f>
        <v/>
      </c>
      <c r="D502" s="9" t="str">
        <f aca="false">IF($B502="","",IFERROR(INDEX(직원목록!$C$3:$C$202,MATCH($B502,직원목록!$A$3:$A$202,0)),""))</f>
        <v/>
      </c>
      <c r="E502" s="6"/>
      <c r="F502" s="6"/>
      <c r="G502" s="10"/>
      <c r="H502" s="6"/>
      <c r="I502" s="9" t="str">
        <f aca="false">IF($A502="","",TEXT($A502,"yyyy-mm"))</f>
        <v/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2" min="1" style="0" width="8.35"/>
    <col collapsed="false" customWidth="true" hidden="false" outlineLevel="0" max="3" min="3" style="0" width="10.02"/>
    <col collapsed="false" customWidth="true" hidden="false" outlineLevel="0" max="6" min="4" style="0" width="8.35"/>
    <col collapsed="false" customWidth="true" hidden="false" outlineLevel="0" max="7" min="7" style="0" width="10.02"/>
    <col collapsed="false" customWidth="true" hidden="false" outlineLevel="0" max="9" min="8" style="0" width="8.35"/>
    <col collapsed="false" customWidth="true" hidden="false" outlineLevel="0" max="10" min="10" style="0" width="10.02"/>
  </cols>
  <sheetData>
    <row r="1" customFormat="false" ht="25.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5" t="s">
        <v>17</v>
      </c>
      <c r="B2" s="5" t="s">
        <v>18</v>
      </c>
      <c r="C2" s="5" t="s">
        <v>19</v>
      </c>
      <c r="D2" s="5" t="s">
        <v>41</v>
      </c>
      <c r="E2" s="5" t="s">
        <v>43</v>
      </c>
      <c r="F2" s="5" t="s">
        <v>45</v>
      </c>
      <c r="G2" s="5" t="s">
        <v>47</v>
      </c>
      <c r="H2" s="5" t="s">
        <v>49</v>
      </c>
      <c r="I2" s="5" t="s">
        <v>51</v>
      </c>
      <c r="J2" s="5" t="s">
        <v>73</v>
      </c>
    </row>
    <row r="3" customFormat="false" ht="15" hidden="false" customHeight="false" outlineLevel="0" collapsed="false">
      <c r="A3" s="9" t="str">
        <f aca="false">IF(직원목록!$A3="","",직원목록!$A3)</f>
        <v>E101</v>
      </c>
      <c r="B3" s="9" t="str">
        <f aca="false">IF($A3="","",직원목록!$B3)</f>
        <v>김민준</v>
      </c>
      <c r="C3" s="9" t="str">
        <f aca="false">IF($A3="","",직원목록!$C3)</f>
        <v>영업1팀</v>
      </c>
      <c r="D3" s="11" t="n">
        <f aca="false">IF($A3="","",SUMIFS(지출내역!$G$3:$G$502,지출내역!$B$3:$B$502,$A3,지출내역!$E$3:$E$502,D$2))</f>
        <v>45000</v>
      </c>
      <c r="E3" s="11" t="n">
        <f aca="false">IF($A3="","",SUMIFS(지출내역!$G$3:$G$502,지출내역!$B$3:$B$502,$A3,지출내역!$E$3:$E$502,E$2))</f>
        <v>18000</v>
      </c>
      <c r="F3" s="11" t="n">
        <f aca="false">IF($A3="","",SUMIFS(지출내역!$G$3:$G$502,지출내역!$B$3:$B$502,$A3,지출내역!$E$3:$E$502,F$2))</f>
        <v>0</v>
      </c>
      <c r="G3" s="11" t="n">
        <f aca="false">IF($A3="","",SUMIFS(지출내역!$G$3:$G$502,지출내역!$B$3:$B$502,$A3,지출내역!$E$3:$E$502,G$2))</f>
        <v>0</v>
      </c>
      <c r="H3" s="11" t="n">
        <f aca="false">IF($A3="","",SUMIFS(지출내역!$G$3:$G$502,지출내역!$B$3:$B$502,$A3,지출내역!$E$3:$E$502,H$2))</f>
        <v>0</v>
      </c>
      <c r="I3" s="11" t="n">
        <f aca="false">IF($A3="","",SUMIFS(지출내역!$G$3:$G$502,지출내역!$B$3:$B$502,$A3,지출내역!$E$3:$E$502,I$2))</f>
        <v>5000</v>
      </c>
      <c r="J3" s="11" t="n">
        <f aca="false">IF($A3="","",SUM(D3:I3))</f>
        <v>68000</v>
      </c>
    </row>
    <row r="4" customFormat="false" ht="15" hidden="false" customHeight="false" outlineLevel="0" collapsed="false">
      <c r="A4" s="9" t="str">
        <f aca="false">IF(직원목록!$A4="","",직원목록!$A4)</f>
        <v>E102</v>
      </c>
      <c r="B4" s="9" t="str">
        <f aca="false">IF($A4="","",직원목록!$B4)</f>
        <v>이서연</v>
      </c>
      <c r="C4" s="9" t="str">
        <f aca="false">IF($A4="","",직원목록!$C4)</f>
        <v>영업1팀</v>
      </c>
      <c r="D4" s="11" t="n">
        <f aca="false">IF($A4="","",SUMIFS(지출내역!$G$3:$G$502,지출내역!$B$3:$B$502,$A4,지출내역!$E$3:$E$502,D$2))</f>
        <v>0</v>
      </c>
      <c r="E4" s="11" t="n">
        <f aca="false">IF($A4="","",SUMIFS(지출내역!$G$3:$G$502,지출내역!$B$3:$B$502,$A4,지출내역!$E$3:$E$502,E$2))</f>
        <v>0</v>
      </c>
      <c r="F4" s="11" t="n">
        <f aca="false">IF($A4="","",SUMIFS(지출내역!$G$3:$G$502,지출내역!$B$3:$B$502,$A4,지출내역!$E$3:$E$502,F$2))</f>
        <v>0</v>
      </c>
      <c r="G4" s="11" t="n">
        <f aca="false">IF($A4="","",SUMIFS(지출내역!$G$3:$G$502,지출내역!$B$3:$B$502,$A4,지출내역!$E$3:$E$502,G$2))</f>
        <v>23000</v>
      </c>
      <c r="H4" s="11" t="n">
        <f aca="false">IF($A4="","",SUMIFS(지출내역!$G$3:$G$502,지출내역!$B$3:$B$502,$A4,지출내역!$E$3:$E$502,H$2))</f>
        <v>0</v>
      </c>
      <c r="I4" s="11" t="n">
        <f aca="false">IF($A4="","",SUMIFS(지출내역!$G$3:$G$502,지출내역!$B$3:$B$502,$A4,지출내역!$E$3:$E$502,I$2))</f>
        <v>0</v>
      </c>
      <c r="J4" s="11" t="n">
        <f aca="false">IF($A4="","",SUM(D4:I4))</f>
        <v>23000</v>
      </c>
    </row>
    <row r="5" customFormat="false" ht="15" hidden="false" customHeight="false" outlineLevel="0" collapsed="false">
      <c r="A5" s="9" t="str">
        <f aca="false">IF(직원목록!$A5="","",직원목록!$A5)</f>
        <v>E103</v>
      </c>
      <c r="B5" s="9" t="str">
        <f aca="false">IF($A5="","",직원목록!$B5)</f>
        <v>박도윤</v>
      </c>
      <c r="C5" s="9" t="str">
        <f aca="false">IF($A5="","",직원목록!$C5)</f>
        <v>마케팅팀</v>
      </c>
      <c r="D5" s="11" t="n">
        <f aca="false">IF($A5="","",SUMIFS(지출내역!$G$3:$G$502,지출내역!$B$3:$B$502,$A5,지출내역!$E$3:$E$502,D$2))</f>
        <v>0</v>
      </c>
      <c r="E5" s="11" t="n">
        <f aca="false">IF($A5="","",SUMIFS(지출내역!$G$3:$G$502,지출내역!$B$3:$B$502,$A5,지출내역!$E$3:$E$502,E$2))</f>
        <v>0</v>
      </c>
      <c r="F5" s="11" t="n">
        <f aca="false">IF($A5="","",SUMIFS(지출내역!$G$3:$G$502,지출내역!$B$3:$B$502,$A5,지출내역!$E$3:$E$502,F$2))</f>
        <v>90000</v>
      </c>
      <c r="G5" s="11" t="n">
        <f aca="false">IF($A5="","",SUMIFS(지출내역!$G$3:$G$502,지출내역!$B$3:$B$502,$A5,지출내역!$E$3:$E$502,G$2))</f>
        <v>0</v>
      </c>
      <c r="H5" s="11" t="n">
        <f aca="false">IF($A5="","",SUMIFS(지출내역!$G$3:$G$502,지출내역!$B$3:$B$502,$A5,지출내역!$E$3:$E$502,H$2))</f>
        <v>0</v>
      </c>
      <c r="I5" s="11" t="n">
        <f aca="false">IF($A5="","",SUMIFS(지출내역!$G$3:$G$502,지출내역!$B$3:$B$502,$A5,지출내역!$E$3:$E$502,I$2))</f>
        <v>0</v>
      </c>
      <c r="J5" s="11" t="n">
        <f aca="false">IF($A5="","",SUM(D5:I5))</f>
        <v>90000</v>
      </c>
    </row>
    <row r="6" customFormat="false" ht="15" hidden="false" customHeight="false" outlineLevel="0" collapsed="false">
      <c r="A6" s="9" t="str">
        <f aca="false">IF(직원목록!$A6="","",직원목록!$A6)</f>
        <v>E104</v>
      </c>
      <c r="B6" s="9" t="str">
        <f aca="false">IF($A6="","",직원목록!$B6)</f>
        <v>최지우</v>
      </c>
      <c r="C6" s="9" t="str">
        <f aca="false">IF($A6="","",직원목록!$C6)</f>
        <v>총무팀</v>
      </c>
      <c r="D6" s="11" t="n">
        <f aca="false">IF($A6="","",SUMIFS(지출내역!$G$3:$G$502,지출내역!$B$3:$B$502,$A6,지출내역!$E$3:$E$502,D$2))</f>
        <v>0</v>
      </c>
      <c r="E6" s="11" t="n">
        <f aca="false">IF($A6="","",SUMIFS(지출내역!$G$3:$G$502,지출내역!$B$3:$B$502,$A6,지출내역!$E$3:$E$502,E$2))</f>
        <v>0</v>
      </c>
      <c r="F6" s="11" t="n">
        <f aca="false">IF($A6="","",SUMIFS(지출내역!$G$3:$G$502,지출내역!$B$3:$B$502,$A6,지출내역!$E$3:$E$502,F$2))</f>
        <v>0</v>
      </c>
      <c r="G6" s="11" t="n">
        <f aca="false">IF($A6="","",SUMIFS(지출내역!$G$3:$G$502,지출내역!$B$3:$B$502,$A6,지출내역!$E$3:$E$502,G$2))</f>
        <v>0</v>
      </c>
      <c r="H6" s="11" t="n">
        <f aca="false">IF($A6="","",SUMIFS(지출내역!$G$3:$G$502,지출내역!$B$3:$B$502,$A6,지출내역!$E$3:$E$502,H$2))</f>
        <v>35000</v>
      </c>
      <c r="I6" s="11" t="n">
        <f aca="false">IF($A6="","",SUMIFS(지출내역!$G$3:$G$502,지출내역!$B$3:$B$502,$A6,지출내역!$E$3:$E$502,I$2))</f>
        <v>0</v>
      </c>
      <c r="J6" s="11" t="n">
        <f aca="false">IF($A6="","",SUM(D6:I6))</f>
        <v>35000</v>
      </c>
    </row>
    <row r="7" customFormat="false" ht="15" hidden="false" customHeight="false" outlineLevel="0" collapsed="false">
      <c r="A7" s="9" t="str">
        <f aca="false">IF(직원목록!$A7="","",직원목록!$A7)</f>
        <v>E105</v>
      </c>
      <c r="B7" s="9" t="str">
        <f aca="false">IF($A7="","",직원목록!$B7)</f>
        <v>정하늘</v>
      </c>
      <c r="C7" s="9" t="str">
        <f aca="false">IF($A7="","",직원목록!$C7)</f>
        <v>개발팀</v>
      </c>
      <c r="D7" s="11" t="n">
        <f aca="false">IF($A7="","",SUMIFS(지출내역!$G$3:$G$502,지출내역!$B$3:$B$502,$A7,지출내역!$E$3:$E$502,D$2))</f>
        <v>60000</v>
      </c>
      <c r="E7" s="11" t="n">
        <f aca="false">IF($A7="","",SUMIFS(지출내역!$G$3:$G$502,지출내역!$B$3:$B$502,$A7,지출내역!$E$3:$E$502,E$2))</f>
        <v>0</v>
      </c>
      <c r="F7" s="11" t="n">
        <f aca="false">IF($A7="","",SUMIFS(지출내역!$G$3:$G$502,지출내역!$B$3:$B$502,$A7,지출내역!$E$3:$E$502,F$2))</f>
        <v>0</v>
      </c>
      <c r="G7" s="11" t="n">
        <f aca="false">IF($A7="","",SUMIFS(지출내역!$G$3:$G$502,지출내역!$B$3:$B$502,$A7,지출내역!$E$3:$E$502,G$2))</f>
        <v>0</v>
      </c>
      <c r="H7" s="11" t="n">
        <f aca="false">IF($A7="","",SUMIFS(지출내역!$G$3:$G$502,지출내역!$B$3:$B$502,$A7,지출내역!$E$3:$E$502,H$2))</f>
        <v>0</v>
      </c>
      <c r="I7" s="11" t="n">
        <f aca="false">IF($A7="","",SUMIFS(지출내역!$G$3:$G$502,지출내역!$B$3:$B$502,$A7,지출내역!$E$3:$E$502,I$2))</f>
        <v>0</v>
      </c>
      <c r="J7" s="11" t="n">
        <f aca="false">IF($A7="","",SUM(D7:I7))</f>
        <v>60000</v>
      </c>
    </row>
    <row r="8" customFormat="false" ht="15" hidden="false" customHeight="false" outlineLevel="0" collapsed="false">
      <c r="A8" s="9" t="str">
        <f aca="false">IF(직원목록!$A8="","",직원목록!$A8)</f>
        <v/>
      </c>
      <c r="B8" s="9" t="str">
        <f aca="false">IF($A8="","",직원목록!$B8)</f>
        <v/>
      </c>
      <c r="C8" s="9" t="str">
        <f aca="false">IF($A8="","",직원목록!$C8)</f>
        <v/>
      </c>
      <c r="D8" s="11" t="str">
        <f aca="false">IF($A8="","",SUMIFS(지출내역!$G$3:$G$502,지출내역!$B$3:$B$502,$A8,지출내역!$E$3:$E$502,D$2))</f>
        <v/>
      </c>
      <c r="E8" s="11" t="str">
        <f aca="false">IF($A8="","",SUMIFS(지출내역!$G$3:$G$502,지출내역!$B$3:$B$502,$A8,지출내역!$E$3:$E$502,E$2))</f>
        <v/>
      </c>
      <c r="F8" s="11" t="str">
        <f aca="false">IF($A8="","",SUMIFS(지출내역!$G$3:$G$502,지출내역!$B$3:$B$502,$A8,지출내역!$E$3:$E$502,F$2))</f>
        <v/>
      </c>
      <c r="G8" s="11" t="str">
        <f aca="false">IF($A8="","",SUMIFS(지출내역!$G$3:$G$502,지출내역!$B$3:$B$502,$A8,지출내역!$E$3:$E$502,G$2))</f>
        <v/>
      </c>
      <c r="H8" s="11" t="str">
        <f aca="false">IF($A8="","",SUMIFS(지출내역!$G$3:$G$502,지출내역!$B$3:$B$502,$A8,지출내역!$E$3:$E$502,H$2))</f>
        <v/>
      </c>
      <c r="I8" s="11" t="str">
        <f aca="false">IF($A8="","",SUMIFS(지출내역!$G$3:$G$502,지출내역!$B$3:$B$502,$A8,지출내역!$E$3:$E$502,I$2))</f>
        <v/>
      </c>
      <c r="J8" s="11" t="str">
        <f aca="false">IF($A8="","",SUM(D8:I8))</f>
        <v/>
      </c>
    </row>
    <row r="9" customFormat="false" ht="15" hidden="false" customHeight="false" outlineLevel="0" collapsed="false">
      <c r="A9" s="9" t="str">
        <f aca="false">IF(직원목록!$A9="","",직원목록!$A9)</f>
        <v/>
      </c>
      <c r="B9" s="9" t="str">
        <f aca="false">IF($A9="","",직원목록!$B9)</f>
        <v/>
      </c>
      <c r="C9" s="9" t="str">
        <f aca="false">IF($A9="","",직원목록!$C9)</f>
        <v/>
      </c>
      <c r="D9" s="11" t="str">
        <f aca="false">IF($A9="","",SUMIFS(지출내역!$G$3:$G$502,지출내역!$B$3:$B$502,$A9,지출내역!$E$3:$E$502,D$2))</f>
        <v/>
      </c>
      <c r="E9" s="11" t="str">
        <f aca="false">IF($A9="","",SUMIFS(지출내역!$G$3:$G$502,지출내역!$B$3:$B$502,$A9,지출내역!$E$3:$E$502,E$2))</f>
        <v/>
      </c>
      <c r="F9" s="11" t="str">
        <f aca="false">IF($A9="","",SUMIFS(지출내역!$G$3:$G$502,지출내역!$B$3:$B$502,$A9,지출내역!$E$3:$E$502,F$2))</f>
        <v/>
      </c>
      <c r="G9" s="11" t="str">
        <f aca="false">IF($A9="","",SUMIFS(지출내역!$G$3:$G$502,지출내역!$B$3:$B$502,$A9,지출내역!$E$3:$E$502,G$2))</f>
        <v/>
      </c>
      <c r="H9" s="11" t="str">
        <f aca="false">IF($A9="","",SUMIFS(지출내역!$G$3:$G$502,지출내역!$B$3:$B$502,$A9,지출내역!$E$3:$E$502,H$2))</f>
        <v/>
      </c>
      <c r="I9" s="11" t="str">
        <f aca="false">IF($A9="","",SUMIFS(지출내역!$G$3:$G$502,지출내역!$B$3:$B$502,$A9,지출내역!$E$3:$E$502,I$2))</f>
        <v/>
      </c>
      <c r="J9" s="11" t="str">
        <f aca="false">IF($A9="","",SUM(D9:I9))</f>
        <v/>
      </c>
    </row>
    <row r="10" customFormat="false" ht="15" hidden="false" customHeight="false" outlineLevel="0" collapsed="false">
      <c r="A10" s="9" t="str">
        <f aca="false">IF(직원목록!$A10="","",직원목록!$A10)</f>
        <v/>
      </c>
      <c r="B10" s="9" t="str">
        <f aca="false">IF($A10="","",직원목록!$B10)</f>
        <v/>
      </c>
      <c r="C10" s="9" t="str">
        <f aca="false">IF($A10="","",직원목록!$C10)</f>
        <v/>
      </c>
      <c r="D10" s="11" t="str">
        <f aca="false">IF($A10="","",SUMIFS(지출내역!$G$3:$G$502,지출내역!$B$3:$B$502,$A10,지출내역!$E$3:$E$502,D$2))</f>
        <v/>
      </c>
      <c r="E10" s="11" t="str">
        <f aca="false">IF($A10="","",SUMIFS(지출내역!$G$3:$G$502,지출내역!$B$3:$B$502,$A10,지출내역!$E$3:$E$502,E$2))</f>
        <v/>
      </c>
      <c r="F10" s="11" t="str">
        <f aca="false">IF($A10="","",SUMIFS(지출내역!$G$3:$G$502,지출내역!$B$3:$B$502,$A10,지출내역!$E$3:$E$502,F$2))</f>
        <v/>
      </c>
      <c r="G10" s="11" t="str">
        <f aca="false">IF($A10="","",SUMIFS(지출내역!$G$3:$G$502,지출내역!$B$3:$B$502,$A10,지출내역!$E$3:$E$502,G$2))</f>
        <v/>
      </c>
      <c r="H10" s="11" t="str">
        <f aca="false">IF($A10="","",SUMIFS(지출내역!$G$3:$G$502,지출내역!$B$3:$B$502,$A10,지출내역!$E$3:$E$502,H$2))</f>
        <v/>
      </c>
      <c r="I10" s="11" t="str">
        <f aca="false">IF($A10="","",SUMIFS(지출내역!$G$3:$G$502,지출내역!$B$3:$B$502,$A10,지출내역!$E$3:$E$502,I$2))</f>
        <v/>
      </c>
      <c r="J10" s="11" t="str">
        <f aca="false">IF($A10="","",SUM(D10:I10))</f>
        <v/>
      </c>
    </row>
    <row r="11" customFormat="false" ht="15" hidden="false" customHeight="false" outlineLevel="0" collapsed="false">
      <c r="A11" s="9" t="str">
        <f aca="false">IF(직원목록!$A11="","",직원목록!$A11)</f>
        <v/>
      </c>
      <c r="B11" s="9" t="str">
        <f aca="false">IF($A11="","",직원목록!$B11)</f>
        <v/>
      </c>
      <c r="C11" s="9" t="str">
        <f aca="false">IF($A11="","",직원목록!$C11)</f>
        <v/>
      </c>
      <c r="D11" s="11" t="str">
        <f aca="false">IF($A11="","",SUMIFS(지출내역!$G$3:$G$502,지출내역!$B$3:$B$502,$A11,지출내역!$E$3:$E$502,D$2))</f>
        <v/>
      </c>
      <c r="E11" s="11" t="str">
        <f aca="false">IF($A11="","",SUMIFS(지출내역!$G$3:$G$502,지출내역!$B$3:$B$502,$A11,지출내역!$E$3:$E$502,E$2))</f>
        <v/>
      </c>
      <c r="F11" s="11" t="str">
        <f aca="false">IF($A11="","",SUMIFS(지출내역!$G$3:$G$502,지출내역!$B$3:$B$502,$A11,지출내역!$E$3:$E$502,F$2))</f>
        <v/>
      </c>
      <c r="G11" s="11" t="str">
        <f aca="false">IF($A11="","",SUMIFS(지출내역!$G$3:$G$502,지출내역!$B$3:$B$502,$A11,지출내역!$E$3:$E$502,G$2))</f>
        <v/>
      </c>
      <c r="H11" s="11" t="str">
        <f aca="false">IF($A11="","",SUMIFS(지출내역!$G$3:$G$502,지출내역!$B$3:$B$502,$A11,지출내역!$E$3:$E$502,H$2))</f>
        <v/>
      </c>
      <c r="I11" s="11" t="str">
        <f aca="false">IF($A11="","",SUMIFS(지출내역!$G$3:$G$502,지출내역!$B$3:$B$502,$A11,지출내역!$E$3:$E$502,I$2))</f>
        <v/>
      </c>
      <c r="J11" s="11" t="str">
        <f aca="false">IF($A11="","",SUM(D11:I11))</f>
        <v/>
      </c>
    </row>
    <row r="12" customFormat="false" ht="15" hidden="false" customHeight="false" outlineLevel="0" collapsed="false">
      <c r="A12" s="9" t="str">
        <f aca="false">IF(직원목록!$A12="","",직원목록!$A12)</f>
        <v/>
      </c>
      <c r="B12" s="9" t="str">
        <f aca="false">IF($A12="","",직원목록!$B12)</f>
        <v/>
      </c>
      <c r="C12" s="9" t="str">
        <f aca="false">IF($A12="","",직원목록!$C12)</f>
        <v/>
      </c>
      <c r="D12" s="11" t="str">
        <f aca="false">IF($A12="","",SUMIFS(지출내역!$G$3:$G$502,지출내역!$B$3:$B$502,$A12,지출내역!$E$3:$E$502,D$2))</f>
        <v/>
      </c>
      <c r="E12" s="11" t="str">
        <f aca="false">IF($A12="","",SUMIFS(지출내역!$G$3:$G$502,지출내역!$B$3:$B$502,$A12,지출내역!$E$3:$E$502,E$2))</f>
        <v/>
      </c>
      <c r="F12" s="11" t="str">
        <f aca="false">IF($A12="","",SUMIFS(지출내역!$G$3:$G$502,지출내역!$B$3:$B$502,$A12,지출내역!$E$3:$E$502,F$2))</f>
        <v/>
      </c>
      <c r="G12" s="11" t="str">
        <f aca="false">IF($A12="","",SUMIFS(지출내역!$G$3:$G$502,지출내역!$B$3:$B$502,$A12,지출내역!$E$3:$E$502,G$2))</f>
        <v/>
      </c>
      <c r="H12" s="11" t="str">
        <f aca="false">IF($A12="","",SUMIFS(지출내역!$G$3:$G$502,지출내역!$B$3:$B$502,$A12,지출내역!$E$3:$E$502,H$2))</f>
        <v/>
      </c>
      <c r="I12" s="11" t="str">
        <f aca="false">IF($A12="","",SUMIFS(지출내역!$G$3:$G$502,지출내역!$B$3:$B$502,$A12,지출내역!$E$3:$E$502,I$2))</f>
        <v/>
      </c>
      <c r="J12" s="11" t="str">
        <f aca="false">IF($A12="","",SUM(D12:I12))</f>
        <v/>
      </c>
    </row>
    <row r="13" customFormat="false" ht="15" hidden="false" customHeight="false" outlineLevel="0" collapsed="false">
      <c r="A13" s="9" t="str">
        <f aca="false">IF(직원목록!$A13="","",직원목록!$A13)</f>
        <v/>
      </c>
      <c r="B13" s="9" t="str">
        <f aca="false">IF($A13="","",직원목록!$B13)</f>
        <v/>
      </c>
      <c r="C13" s="9" t="str">
        <f aca="false">IF($A13="","",직원목록!$C13)</f>
        <v/>
      </c>
      <c r="D13" s="11" t="str">
        <f aca="false">IF($A13="","",SUMIFS(지출내역!$G$3:$G$502,지출내역!$B$3:$B$502,$A13,지출내역!$E$3:$E$502,D$2))</f>
        <v/>
      </c>
      <c r="E13" s="11" t="str">
        <f aca="false">IF($A13="","",SUMIFS(지출내역!$G$3:$G$502,지출내역!$B$3:$B$502,$A13,지출내역!$E$3:$E$502,E$2))</f>
        <v/>
      </c>
      <c r="F13" s="11" t="str">
        <f aca="false">IF($A13="","",SUMIFS(지출내역!$G$3:$G$502,지출내역!$B$3:$B$502,$A13,지출내역!$E$3:$E$502,F$2))</f>
        <v/>
      </c>
      <c r="G13" s="11" t="str">
        <f aca="false">IF($A13="","",SUMIFS(지출내역!$G$3:$G$502,지출내역!$B$3:$B$502,$A13,지출내역!$E$3:$E$502,G$2))</f>
        <v/>
      </c>
      <c r="H13" s="11" t="str">
        <f aca="false">IF($A13="","",SUMIFS(지출내역!$G$3:$G$502,지출내역!$B$3:$B$502,$A13,지출내역!$E$3:$E$502,H$2))</f>
        <v/>
      </c>
      <c r="I13" s="11" t="str">
        <f aca="false">IF($A13="","",SUMIFS(지출내역!$G$3:$G$502,지출내역!$B$3:$B$502,$A13,지출내역!$E$3:$E$502,I$2))</f>
        <v/>
      </c>
      <c r="J13" s="11" t="str">
        <f aca="false">IF($A13="","",SUM(D13:I13))</f>
        <v/>
      </c>
    </row>
    <row r="14" customFormat="false" ht="15" hidden="false" customHeight="false" outlineLevel="0" collapsed="false">
      <c r="A14" s="9" t="str">
        <f aca="false">IF(직원목록!$A14="","",직원목록!$A14)</f>
        <v/>
      </c>
      <c r="B14" s="9" t="str">
        <f aca="false">IF($A14="","",직원목록!$B14)</f>
        <v/>
      </c>
      <c r="C14" s="9" t="str">
        <f aca="false">IF($A14="","",직원목록!$C14)</f>
        <v/>
      </c>
      <c r="D14" s="11" t="str">
        <f aca="false">IF($A14="","",SUMIFS(지출내역!$G$3:$G$502,지출내역!$B$3:$B$502,$A14,지출내역!$E$3:$E$502,D$2))</f>
        <v/>
      </c>
      <c r="E14" s="11" t="str">
        <f aca="false">IF($A14="","",SUMIFS(지출내역!$G$3:$G$502,지출내역!$B$3:$B$502,$A14,지출내역!$E$3:$E$502,E$2))</f>
        <v/>
      </c>
      <c r="F14" s="11" t="str">
        <f aca="false">IF($A14="","",SUMIFS(지출내역!$G$3:$G$502,지출내역!$B$3:$B$502,$A14,지출내역!$E$3:$E$502,F$2))</f>
        <v/>
      </c>
      <c r="G14" s="11" t="str">
        <f aca="false">IF($A14="","",SUMIFS(지출내역!$G$3:$G$502,지출내역!$B$3:$B$502,$A14,지출내역!$E$3:$E$502,G$2))</f>
        <v/>
      </c>
      <c r="H14" s="11" t="str">
        <f aca="false">IF($A14="","",SUMIFS(지출내역!$G$3:$G$502,지출내역!$B$3:$B$502,$A14,지출내역!$E$3:$E$502,H$2))</f>
        <v/>
      </c>
      <c r="I14" s="11" t="str">
        <f aca="false">IF($A14="","",SUMIFS(지출내역!$G$3:$G$502,지출내역!$B$3:$B$502,$A14,지출내역!$E$3:$E$502,I$2))</f>
        <v/>
      </c>
      <c r="J14" s="11" t="str">
        <f aca="false">IF($A14="","",SUM(D14:I14))</f>
        <v/>
      </c>
    </row>
    <row r="15" customFormat="false" ht="15" hidden="false" customHeight="false" outlineLevel="0" collapsed="false">
      <c r="A15" s="9" t="str">
        <f aca="false">IF(직원목록!$A15="","",직원목록!$A15)</f>
        <v/>
      </c>
      <c r="B15" s="9" t="str">
        <f aca="false">IF($A15="","",직원목록!$B15)</f>
        <v/>
      </c>
      <c r="C15" s="9" t="str">
        <f aca="false">IF($A15="","",직원목록!$C15)</f>
        <v/>
      </c>
      <c r="D15" s="11" t="str">
        <f aca="false">IF($A15="","",SUMIFS(지출내역!$G$3:$G$502,지출내역!$B$3:$B$502,$A15,지출내역!$E$3:$E$502,D$2))</f>
        <v/>
      </c>
      <c r="E15" s="11" t="str">
        <f aca="false">IF($A15="","",SUMIFS(지출내역!$G$3:$G$502,지출내역!$B$3:$B$502,$A15,지출내역!$E$3:$E$502,E$2))</f>
        <v/>
      </c>
      <c r="F15" s="11" t="str">
        <f aca="false">IF($A15="","",SUMIFS(지출내역!$G$3:$G$502,지출내역!$B$3:$B$502,$A15,지출내역!$E$3:$E$502,F$2))</f>
        <v/>
      </c>
      <c r="G15" s="11" t="str">
        <f aca="false">IF($A15="","",SUMIFS(지출내역!$G$3:$G$502,지출내역!$B$3:$B$502,$A15,지출내역!$E$3:$E$502,G$2))</f>
        <v/>
      </c>
      <c r="H15" s="11" t="str">
        <f aca="false">IF($A15="","",SUMIFS(지출내역!$G$3:$G$502,지출내역!$B$3:$B$502,$A15,지출내역!$E$3:$E$502,H$2))</f>
        <v/>
      </c>
      <c r="I15" s="11" t="str">
        <f aca="false">IF($A15="","",SUMIFS(지출내역!$G$3:$G$502,지출내역!$B$3:$B$502,$A15,지출내역!$E$3:$E$502,I$2))</f>
        <v/>
      </c>
      <c r="J15" s="11" t="str">
        <f aca="false">IF($A15="","",SUM(D15:I15))</f>
        <v/>
      </c>
    </row>
    <row r="16" customFormat="false" ht="15" hidden="false" customHeight="false" outlineLevel="0" collapsed="false">
      <c r="A16" s="9" t="str">
        <f aca="false">IF(직원목록!$A16="","",직원목록!$A16)</f>
        <v/>
      </c>
      <c r="B16" s="9" t="str">
        <f aca="false">IF($A16="","",직원목록!$B16)</f>
        <v/>
      </c>
      <c r="C16" s="9" t="str">
        <f aca="false">IF($A16="","",직원목록!$C16)</f>
        <v/>
      </c>
      <c r="D16" s="11" t="str">
        <f aca="false">IF($A16="","",SUMIFS(지출내역!$G$3:$G$502,지출내역!$B$3:$B$502,$A16,지출내역!$E$3:$E$502,D$2))</f>
        <v/>
      </c>
      <c r="E16" s="11" t="str">
        <f aca="false">IF($A16="","",SUMIFS(지출내역!$G$3:$G$502,지출내역!$B$3:$B$502,$A16,지출내역!$E$3:$E$502,E$2))</f>
        <v/>
      </c>
      <c r="F16" s="11" t="str">
        <f aca="false">IF($A16="","",SUMIFS(지출내역!$G$3:$G$502,지출내역!$B$3:$B$502,$A16,지출내역!$E$3:$E$502,F$2))</f>
        <v/>
      </c>
      <c r="G16" s="11" t="str">
        <f aca="false">IF($A16="","",SUMIFS(지출내역!$G$3:$G$502,지출내역!$B$3:$B$502,$A16,지출내역!$E$3:$E$502,G$2))</f>
        <v/>
      </c>
      <c r="H16" s="11" t="str">
        <f aca="false">IF($A16="","",SUMIFS(지출내역!$G$3:$G$502,지출내역!$B$3:$B$502,$A16,지출내역!$E$3:$E$502,H$2))</f>
        <v/>
      </c>
      <c r="I16" s="11" t="str">
        <f aca="false">IF($A16="","",SUMIFS(지출내역!$G$3:$G$502,지출내역!$B$3:$B$502,$A16,지출내역!$E$3:$E$502,I$2))</f>
        <v/>
      </c>
      <c r="J16" s="11" t="str">
        <f aca="false">IF($A16="","",SUM(D16:I16))</f>
        <v/>
      </c>
    </row>
    <row r="17" customFormat="false" ht="15" hidden="false" customHeight="false" outlineLevel="0" collapsed="false">
      <c r="A17" s="9" t="str">
        <f aca="false">IF(직원목록!$A17="","",직원목록!$A17)</f>
        <v/>
      </c>
      <c r="B17" s="9" t="str">
        <f aca="false">IF($A17="","",직원목록!$B17)</f>
        <v/>
      </c>
      <c r="C17" s="9" t="str">
        <f aca="false">IF($A17="","",직원목록!$C17)</f>
        <v/>
      </c>
      <c r="D17" s="11" t="str">
        <f aca="false">IF($A17="","",SUMIFS(지출내역!$G$3:$G$502,지출내역!$B$3:$B$502,$A17,지출내역!$E$3:$E$502,D$2))</f>
        <v/>
      </c>
      <c r="E17" s="11" t="str">
        <f aca="false">IF($A17="","",SUMIFS(지출내역!$G$3:$G$502,지출내역!$B$3:$B$502,$A17,지출내역!$E$3:$E$502,E$2))</f>
        <v/>
      </c>
      <c r="F17" s="11" t="str">
        <f aca="false">IF($A17="","",SUMIFS(지출내역!$G$3:$G$502,지출내역!$B$3:$B$502,$A17,지출내역!$E$3:$E$502,F$2))</f>
        <v/>
      </c>
      <c r="G17" s="11" t="str">
        <f aca="false">IF($A17="","",SUMIFS(지출내역!$G$3:$G$502,지출내역!$B$3:$B$502,$A17,지출내역!$E$3:$E$502,G$2))</f>
        <v/>
      </c>
      <c r="H17" s="11" t="str">
        <f aca="false">IF($A17="","",SUMIFS(지출내역!$G$3:$G$502,지출내역!$B$3:$B$502,$A17,지출내역!$E$3:$E$502,H$2))</f>
        <v/>
      </c>
      <c r="I17" s="11" t="str">
        <f aca="false">IF($A17="","",SUMIFS(지출내역!$G$3:$G$502,지출내역!$B$3:$B$502,$A17,지출내역!$E$3:$E$502,I$2))</f>
        <v/>
      </c>
      <c r="J17" s="11" t="str">
        <f aca="false">IF($A17="","",SUM(D17:I17))</f>
        <v/>
      </c>
    </row>
    <row r="18" customFormat="false" ht="15" hidden="false" customHeight="false" outlineLevel="0" collapsed="false">
      <c r="A18" s="9" t="str">
        <f aca="false">IF(직원목록!$A18="","",직원목록!$A18)</f>
        <v/>
      </c>
      <c r="B18" s="9" t="str">
        <f aca="false">IF($A18="","",직원목록!$B18)</f>
        <v/>
      </c>
      <c r="C18" s="9" t="str">
        <f aca="false">IF($A18="","",직원목록!$C18)</f>
        <v/>
      </c>
      <c r="D18" s="11" t="str">
        <f aca="false">IF($A18="","",SUMIFS(지출내역!$G$3:$G$502,지출내역!$B$3:$B$502,$A18,지출내역!$E$3:$E$502,D$2))</f>
        <v/>
      </c>
      <c r="E18" s="11" t="str">
        <f aca="false">IF($A18="","",SUMIFS(지출내역!$G$3:$G$502,지출내역!$B$3:$B$502,$A18,지출내역!$E$3:$E$502,E$2))</f>
        <v/>
      </c>
      <c r="F18" s="11" t="str">
        <f aca="false">IF($A18="","",SUMIFS(지출내역!$G$3:$G$502,지출내역!$B$3:$B$502,$A18,지출내역!$E$3:$E$502,F$2))</f>
        <v/>
      </c>
      <c r="G18" s="11" t="str">
        <f aca="false">IF($A18="","",SUMIFS(지출내역!$G$3:$G$502,지출내역!$B$3:$B$502,$A18,지출내역!$E$3:$E$502,G$2))</f>
        <v/>
      </c>
      <c r="H18" s="11" t="str">
        <f aca="false">IF($A18="","",SUMIFS(지출내역!$G$3:$G$502,지출내역!$B$3:$B$502,$A18,지출내역!$E$3:$E$502,H$2))</f>
        <v/>
      </c>
      <c r="I18" s="11" t="str">
        <f aca="false">IF($A18="","",SUMIFS(지출내역!$G$3:$G$502,지출내역!$B$3:$B$502,$A18,지출내역!$E$3:$E$502,I$2))</f>
        <v/>
      </c>
      <c r="J18" s="11" t="str">
        <f aca="false">IF($A18="","",SUM(D18:I18))</f>
        <v/>
      </c>
    </row>
    <row r="19" customFormat="false" ht="15" hidden="false" customHeight="false" outlineLevel="0" collapsed="false">
      <c r="A19" s="9" t="str">
        <f aca="false">IF(직원목록!$A19="","",직원목록!$A19)</f>
        <v/>
      </c>
      <c r="B19" s="9" t="str">
        <f aca="false">IF($A19="","",직원목록!$B19)</f>
        <v/>
      </c>
      <c r="C19" s="9" t="str">
        <f aca="false">IF($A19="","",직원목록!$C19)</f>
        <v/>
      </c>
      <c r="D19" s="11" t="str">
        <f aca="false">IF($A19="","",SUMIFS(지출내역!$G$3:$G$502,지출내역!$B$3:$B$502,$A19,지출내역!$E$3:$E$502,D$2))</f>
        <v/>
      </c>
      <c r="E19" s="11" t="str">
        <f aca="false">IF($A19="","",SUMIFS(지출내역!$G$3:$G$502,지출내역!$B$3:$B$502,$A19,지출내역!$E$3:$E$502,E$2))</f>
        <v/>
      </c>
      <c r="F19" s="11" t="str">
        <f aca="false">IF($A19="","",SUMIFS(지출내역!$G$3:$G$502,지출내역!$B$3:$B$502,$A19,지출내역!$E$3:$E$502,F$2))</f>
        <v/>
      </c>
      <c r="G19" s="11" t="str">
        <f aca="false">IF($A19="","",SUMIFS(지출내역!$G$3:$G$502,지출내역!$B$3:$B$502,$A19,지출내역!$E$3:$E$502,G$2))</f>
        <v/>
      </c>
      <c r="H19" s="11" t="str">
        <f aca="false">IF($A19="","",SUMIFS(지출내역!$G$3:$G$502,지출내역!$B$3:$B$502,$A19,지출내역!$E$3:$E$502,H$2))</f>
        <v/>
      </c>
      <c r="I19" s="11" t="str">
        <f aca="false">IF($A19="","",SUMIFS(지출내역!$G$3:$G$502,지출내역!$B$3:$B$502,$A19,지출내역!$E$3:$E$502,I$2))</f>
        <v/>
      </c>
      <c r="J19" s="11" t="str">
        <f aca="false">IF($A19="","",SUM(D19:I19))</f>
        <v/>
      </c>
    </row>
    <row r="20" customFormat="false" ht="15" hidden="false" customHeight="false" outlineLevel="0" collapsed="false">
      <c r="A20" s="9" t="str">
        <f aca="false">IF(직원목록!$A20="","",직원목록!$A20)</f>
        <v/>
      </c>
      <c r="B20" s="9" t="str">
        <f aca="false">IF($A20="","",직원목록!$B20)</f>
        <v/>
      </c>
      <c r="C20" s="9" t="str">
        <f aca="false">IF($A20="","",직원목록!$C20)</f>
        <v/>
      </c>
      <c r="D20" s="11" t="str">
        <f aca="false">IF($A20="","",SUMIFS(지출내역!$G$3:$G$502,지출내역!$B$3:$B$502,$A20,지출내역!$E$3:$E$502,D$2))</f>
        <v/>
      </c>
      <c r="E20" s="11" t="str">
        <f aca="false">IF($A20="","",SUMIFS(지출내역!$G$3:$G$502,지출내역!$B$3:$B$502,$A20,지출내역!$E$3:$E$502,E$2))</f>
        <v/>
      </c>
      <c r="F20" s="11" t="str">
        <f aca="false">IF($A20="","",SUMIFS(지출내역!$G$3:$G$502,지출내역!$B$3:$B$502,$A20,지출내역!$E$3:$E$502,F$2))</f>
        <v/>
      </c>
      <c r="G20" s="11" t="str">
        <f aca="false">IF($A20="","",SUMIFS(지출내역!$G$3:$G$502,지출내역!$B$3:$B$502,$A20,지출내역!$E$3:$E$502,G$2))</f>
        <v/>
      </c>
      <c r="H20" s="11" t="str">
        <f aca="false">IF($A20="","",SUMIFS(지출내역!$G$3:$G$502,지출내역!$B$3:$B$502,$A20,지출내역!$E$3:$E$502,H$2))</f>
        <v/>
      </c>
      <c r="I20" s="11" t="str">
        <f aca="false">IF($A20="","",SUMIFS(지출내역!$G$3:$G$502,지출내역!$B$3:$B$502,$A20,지출내역!$E$3:$E$502,I$2))</f>
        <v/>
      </c>
      <c r="J20" s="11" t="str">
        <f aca="false">IF($A20="","",SUM(D20:I20))</f>
        <v/>
      </c>
    </row>
    <row r="21" customFormat="false" ht="15" hidden="false" customHeight="false" outlineLevel="0" collapsed="false">
      <c r="A21" s="9" t="str">
        <f aca="false">IF(직원목록!$A21="","",직원목록!$A21)</f>
        <v/>
      </c>
      <c r="B21" s="9" t="str">
        <f aca="false">IF($A21="","",직원목록!$B21)</f>
        <v/>
      </c>
      <c r="C21" s="9" t="str">
        <f aca="false">IF($A21="","",직원목록!$C21)</f>
        <v/>
      </c>
      <c r="D21" s="11" t="str">
        <f aca="false">IF($A21="","",SUMIFS(지출내역!$G$3:$G$502,지출내역!$B$3:$B$502,$A21,지출내역!$E$3:$E$502,D$2))</f>
        <v/>
      </c>
      <c r="E21" s="11" t="str">
        <f aca="false">IF($A21="","",SUMIFS(지출내역!$G$3:$G$502,지출내역!$B$3:$B$502,$A21,지출내역!$E$3:$E$502,E$2))</f>
        <v/>
      </c>
      <c r="F21" s="11" t="str">
        <f aca="false">IF($A21="","",SUMIFS(지출내역!$G$3:$G$502,지출내역!$B$3:$B$502,$A21,지출내역!$E$3:$E$502,F$2))</f>
        <v/>
      </c>
      <c r="G21" s="11" t="str">
        <f aca="false">IF($A21="","",SUMIFS(지출내역!$G$3:$G$502,지출내역!$B$3:$B$502,$A21,지출내역!$E$3:$E$502,G$2))</f>
        <v/>
      </c>
      <c r="H21" s="11" t="str">
        <f aca="false">IF($A21="","",SUMIFS(지출내역!$G$3:$G$502,지출내역!$B$3:$B$502,$A21,지출내역!$E$3:$E$502,H$2))</f>
        <v/>
      </c>
      <c r="I21" s="11" t="str">
        <f aca="false">IF($A21="","",SUMIFS(지출내역!$G$3:$G$502,지출내역!$B$3:$B$502,$A21,지출내역!$E$3:$E$502,I$2))</f>
        <v/>
      </c>
      <c r="J21" s="11" t="str">
        <f aca="false">IF($A21="","",SUM(D21:I21))</f>
        <v/>
      </c>
    </row>
    <row r="22" customFormat="false" ht="15" hidden="false" customHeight="false" outlineLevel="0" collapsed="false">
      <c r="A22" s="9" t="str">
        <f aca="false">IF(직원목록!$A22="","",직원목록!$A22)</f>
        <v/>
      </c>
      <c r="B22" s="9" t="str">
        <f aca="false">IF($A22="","",직원목록!$B22)</f>
        <v/>
      </c>
      <c r="C22" s="9" t="str">
        <f aca="false">IF($A22="","",직원목록!$C22)</f>
        <v/>
      </c>
      <c r="D22" s="11" t="str">
        <f aca="false">IF($A22="","",SUMIFS(지출내역!$G$3:$G$502,지출내역!$B$3:$B$502,$A22,지출내역!$E$3:$E$502,D$2))</f>
        <v/>
      </c>
      <c r="E22" s="11" t="str">
        <f aca="false">IF($A22="","",SUMIFS(지출내역!$G$3:$G$502,지출내역!$B$3:$B$502,$A22,지출내역!$E$3:$E$502,E$2))</f>
        <v/>
      </c>
      <c r="F22" s="11" t="str">
        <f aca="false">IF($A22="","",SUMIFS(지출내역!$G$3:$G$502,지출내역!$B$3:$B$502,$A22,지출내역!$E$3:$E$502,F$2))</f>
        <v/>
      </c>
      <c r="G22" s="11" t="str">
        <f aca="false">IF($A22="","",SUMIFS(지출내역!$G$3:$G$502,지출내역!$B$3:$B$502,$A22,지출내역!$E$3:$E$502,G$2))</f>
        <v/>
      </c>
      <c r="H22" s="11" t="str">
        <f aca="false">IF($A22="","",SUMIFS(지출내역!$G$3:$G$502,지출내역!$B$3:$B$502,$A22,지출내역!$E$3:$E$502,H$2))</f>
        <v/>
      </c>
      <c r="I22" s="11" t="str">
        <f aca="false">IF($A22="","",SUMIFS(지출내역!$G$3:$G$502,지출내역!$B$3:$B$502,$A22,지출내역!$E$3:$E$502,I$2))</f>
        <v/>
      </c>
      <c r="J22" s="11" t="str">
        <f aca="false">IF($A22="","",SUM(D22:I22))</f>
        <v/>
      </c>
    </row>
    <row r="23" customFormat="false" ht="15" hidden="false" customHeight="false" outlineLevel="0" collapsed="false">
      <c r="A23" s="9" t="str">
        <f aca="false">IF(직원목록!$A23="","",직원목록!$A23)</f>
        <v/>
      </c>
      <c r="B23" s="9" t="str">
        <f aca="false">IF($A23="","",직원목록!$B23)</f>
        <v/>
      </c>
      <c r="C23" s="9" t="str">
        <f aca="false">IF($A23="","",직원목록!$C23)</f>
        <v/>
      </c>
      <c r="D23" s="11" t="str">
        <f aca="false">IF($A23="","",SUMIFS(지출내역!$G$3:$G$502,지출내역!$B$3:$B$502,$A23,지출내역!$E$3:$E$502,D$2))</f>
        <v/>
      </c>
      <c r="E23" s="11" t="str">
        <f aca="false">IF($A23="","",SUMIFS(지출내역!$G$3:$G$502,지출내역!$B$3:$B$502,$A23,지출내역!$E$3:$E$502,E$2))</f>
        <v/>
      </c>
      <c r="F23" s="11" t="str">
        <f aca="false">IF($A23="","",SUMIFS(지출내역!$G$3:$G$502,지출내역!$B$3:$B$502,$A23,지출내역!$E$3:$E$502,F$2))</f>
        <v/>
      </c>
      <c r="G23" s="11" t="str">
        <f aca="false">IF($A23="","",SUMIFS(지출내역!$G$3:$G$502,지출내역!$B$3:$B$502,$A23,지출내역!$E$3:$E$502,G$2))</f>
        <v/>
      </c>
      <c r="H23" s="11" t="str">
        <f aca="false">IF($A23="","",SUMIFS(지출내역!$G$3:$G$502,지출내역!$B$3:$B$502,$A23,지출내역!$E$3:$E$502,H$2))</f>
        <v/>
      </c>
      <c r="I23" s="11" t="str">
        <f aca="false">IF($A23="","",SUMIFS(지출내역!$G$3:$G$502,지출내역!$B$3:$B$502,$A23,지출내역!$E$3:$E$502,I$2))</f>
        <v/>
      </c>
      <c r="J23" s="11" t="str">
        <f aca="false">IF($A23="","",SUM(D23:I23))</f>
        <v/>
      </c>
    </row>
    <row r="24" customFormat="false" ht="15" hidden="false" customHeight="false" outlineLevel="0" collapsed="false">
      <c r="A24" s="9" t="str">
        <f aca="false">IF(직원목록!$A24="","",직원목록!$A24)</f>
        <v/>
      </c>
      <c r="B24" s="9" t="str">
        <f aca="false">IF($A24="","",직원목록!$B24)</f>
        <v/>
      </c>
      <c r="C24" s="9" t="str">
        <f aca="false">IF($A24="","",직원목록!$C24)</f>
        <v/>
      </c>
      <c r="D24" s="11" t="str">
        <f aca="false">IF($A24="","",SUMIFS(지출내역!$G$3:$G$502,지출내역!$B$3:$B$502,$A24,지출내역!$E$3:$E$502,D$2))</f>
        <v/>
      </c>
      <c r="E24" s="11" t="str">
        <f aca="false">IF($A24="","",SUMIFS(지출내역!$G$3:$G$502,지출내역!$B$3:$B$502,$A24,지출내역!$E$3:$E$502,E$2))</f>
        <v/>
      </c>
      <c r="F24" s="11" t="str">
        <f aca="false">IF($A24="","",SUMIFS(지출내역!$G$3:$G$502,지출내역!$B$3:$B$502,$A24,지출내역!$E$3:$E$502,F$2))</f>
        <v/>
      </c>
      <c r="G24" s="11" t="str">
        <f aca="false">IF($A24="","",SUMIFS(지출내역!$G$3:$G$502,지출내역!$B$3:$B$502,$A24,지출내역!$E$3:$E$502,G$2))</f>
        <v/>
      </c>
      <c r="H24" s="11" t="str">
        <f aca="false">IF($A24="","",SUMIFS(지출내역!$G$3:$G$502,지출내역!$B$3:$B$502,$A24,지출내역!$E$3:$E$502,H$2))</f>
        <v/>
      </c>
      <c r="I24" s="11" t="str">
        <f aca="false">IF($A24="","",SUMIFS(지출내역!$G$3:$G$502,지출내역!$B$3:$B$502,$A24,지출내역!$E$3:$E$502,I$2))</f>
        <v/>
      </c>
      <c r="J24" s="11" t="str">
        <f aca="false">IF($A24="","",SUM(D24:I24))</f>
        <v/>
      </c>
    </row>
    <row r="25" customFormat="false" ht="15" hidden="false" customHeight="false" outlineLevel="0" collapsed="false">
      <c r="A25" s="9" t="str">
        <f aca="false">IF(직원목록!$A25="","",직원목록!$A25)</f>
        <v/>
      </c>
      <c r="B25" s="9" t="str">
        <f aca="false">IF($A25="","",직원목록!$B25)</f>
        <v/>
      </c>
      <c r="C25" s="9" t="str">
        <f aca="false">IF($A25="","",직원목록!$C25)</f>
        <v/>
      </c>
      <c r="D25" s="11" t="str">
        <f aca="false">IF($A25="","",SUMIFS(지출내역!$G$3:$G$502,지출내역!$B$3:$B$502,$A25,지출내역!$E$3:$E$502,D$2))</f>
        <v/>
      </c>
      <c r="E25" s="11" t="str">
        <f aca="false">IF($A25="","",SUMIFS(지출내역!$G$3:$G$502,지출내역!$B$3:$B$502,$A25,지출내역!$E$3:$E$502,E$2))</f>
        <v/>
      </c>
      <c r="F25" s="11" t="str">
        <f aca="false">IF($A25="","",SUMIFS(지출내역!$G$3:$G$502,지출내역!$B$3:$B$502,$A25,지출내역!$E$3:$E$502,F$2))</f>
        <v/>
      </c>
      <c r="G25" s="11" t="str">
        <f aca="false">IF($A25="","",SUMIFS(지출내역!$G$3:$G$502,지출내역!$B$3:$B$502,$A25,지출내역!$E$3:$E$502,G$2))</f>
        <v/>
      </c>
      <c r="H25" s="11" t="str">
        <f aca="false">IF($A25="","",SUMIFS(지출내역!$G$3:$G$502,지출내역!$B$3:$B$502,$A25,지출내역!$E$3:$E$502,H$2))</f>
        <v/>
      </c>
      <c r="I25" s="11" t="str">
        <f aca="false">IF($A25="","",SUMIFS(지출내역!$G$3:$G$502,지출내역!$B$3:$B$502,$A25,지출내역!$E$3:$E$502,I$2))</f>
        <v/>
      </c>
      <c r="J25" s="11" t="str">
        <f aca="false">IF($A25="","",SUM(D25:I25))</f>
        <v/>
      </c>
    </row>
    <row r="26" customFormat="false" ht="15" hidden="false" customHeight="false" outlineLevel="0" collapsed="false">
      <c r="A26" s="9" t="str">
        <f aca="false">IF(직원목록!$A26="","",직원목록!$A26)</f>
        <v/>
      </c>
      <c r="B26" s="9" t="str">
        <f aca="false">IF($A26="","",직원목록!$B26)</f>
        <v/>
      </c>
      <c r="C26" s="9" t="str">
        <f aca="false">IF($A26="","",직원목록!$C26)</f>
        <v/>
      </c>
      <c r="D26" s="11" t="str">
        <f aca="false">IF($A26="","",SUMIFS(지출내역!$G$3:$G$502,지출내역!$B$3:$B$502,$A26,지출내역!$E$3:$E$502,D$2))</f>
        <v/>
      </c>
      <c r="E26" s="11" t="str">
        <f aca="false">IF($A26="","",SUMIFS(지출내역!$G$3:$G$502,지출내역!$B$3:$B$502,$A26,지출내역!$E$3:$E$502,E$2))</f>
        <v/>
      </c>
      <c r="F26" s="11" t="str">
        <f aca="false">IF($A26="","",SUMIFS(지출내역!$G$3:$G$502,지출내역!$B$3:$B$502,$A26,지출내역!$E$3:$E$502,F$2))</f>
        <v/>
      </c>
      <c r="G26" s="11" t="str">
        <f aca="false">IF($A26="","",SUMIFS(지출내역!$G$3:$G$502,지출내역!$B$3:$B$502,$A26,지출내역!$E$3:$E$502,G$2))</f>
        <v/>
      </c>
      <c r="H26" s="11" t="str">
        <f aca="false">IF($A26="","",SUMIFS(지출내역!$G$3:$G$502,지출내역!$B$3:$B$502,$A26,지출내역!$E$3:$E$502,H$2))</f>
        <v/>
      </c>
      <c r="I26" s="11" t="str">
        <f aca="false">IF($A26="","",SUMIFS(지출내역!$G$3:$G$502,지출내역!$B$3:$B$502,$A26,지출내역!$E$3:$E$502,I$2))</f>
        <v/>
      </c>
      <c r="J26" s="11" t="str">
        <f aca="false">IF($A26="","",SUM(D26:I26))</f>
        <v/>
      </c>
    </row>
    <row r="27" customFormat="false" ht="15" hidden="false" customHeight="false" outlineLevel="0" collapsed="false">
      <c r="A27" s="9" t="str">
        <f aca="false">IF(직원목록!$A27="","",직원목록!$A27)</f>
        <v/>
      </c>
      <c r="B27" s="9" t="str">
        <f aca="false">IF($A27="","",직원목록!$B27)</f>
        <v/>
      </c>
      <c r="C27" s="9" t="str">
        <f aca="false">IF($A27="","",직원목록!$C27)</f>
        <v/>
      </c>
      <c r="D27" s="11" t="str">
        <f aca="false">IF($A27="","",SUMIFS(지출내역!$G$3:$G$502,지출내역!$B$3:$B$502,$A27,지출내역!$E$3:$E$502,D$2))</f>
        <v/>
      </c>
      <c r="E27" s="11" t="str">
        <f aca="false">IF($A27="","",SUMIFS(지출내역!$G$3:$G$502,지출내역!$B$3:$B$502,$A27,지출내역!$E$3:$E$502,E$2))</f>
        <v/>
      </c>
      <c r="F27" s="11" t="str">
        <f aca="false">IF($A27="","",SUMIFS(지출내역!$G$3:$G$502,지출내역!$B$3:$B$502,$A27,지출내역!$E$3:$E$502,F$2))</f>
        <v/>
      </c>
      <c r="G27" s="11" t="str">
        <f aca="false">IF($A27="","",SUMIFS(지출내역!$G$3:$G$502,지출내역!$B$3:$B$502,$A27,지출내역!$E$3:$E$502,G$2))</f>
        <v/>
      </c>
      <c r="H27" s="11" t="str">
        <f aca="false">IF($A27="","",SUMIFS(지출내역!$G$3:$G$502,지출내역!$B$3:$B$502,$A27,지출내역!$E$3:$E$502,H$2))</f>
        <v/>
      </c>
      <c r="I27" s="11" t="str">
        <f aca="false">IF($A27="","",SUMIFS(지출내역!$G$3:$G$502,지출내역!$B$3:$B$502,$A27,지출내역!$E$3:$E$502,I$2))</f>
        <v/>
      </c>
      <c r="J27" s="11" t="str">
        <f aca="false">IF($A27="","",SUM(D27:I27))</f>
        <v/>
      </c>
    </row>
    <row r="28" customFormat="false" ht="15" hidden="false" customHeight="false" outlineLevel="0" collapsed="false">
      <c r="A28" s="9" t="str">
        <f aca="false">IF(직원목록!$A28="","",직원목록!$A28)</f>
        <v/>
      </c>
      <c r="B28" s="9" t="str">
        <f aca="false">IF($A28="","",직원목록!$B28)</f>
        <v/>
      </c>
      <c r="C28" s="9" t="str">
        <f aca="false">IF($A28="","",직원목록!$C28)</f>
        <v/>
      </c>
      <c r="D28" s="11" t="str">
        <f aca="false">IF($A28="","",SUMIFS(지출내역!$G$3:$G$502,지출내역!$B$3:$B$502,$A28,지출내역!$E$3:$E$502,D$2))</f>
        <v/>
      </c>
      <c r="E28" s="11" t="str">
        <f aca="false">IF($A28="","",SUMIFS(지출내역!$G$3:$G$502,지출내역!$B$3:$B$502,$A28,지출내역!$E$3:$E$502,E$2))</f>
        <v/>
      </c>
      <c r="F28" s="11" t="str">
        <f aca="false">IF($A28="","",SUMIFS(지출내역!$G$3:$G$502,지출내역!$B$3:$B$502,$A28,지출내역!$E$3:$E$502,F$2))</f>
        <v/>
      </c>
      <c r="G28" s="11" t="str">
        <f aca="false">IF($A28="","",SUMIFS(지출내역!$G$3:$G$502,지출내역!$B$3:$B$502,$A28,지출내역!$E$3:$E$502,G$2))</f>
        <v/>
      </c>
      <c r="H28" s="11" t="str">
        <f aca="false">IF($A28="","",SUMIFS(지출내역!$G$3:$G$502,지출내역!$B$3:$B$502,$A28,지출내역!$E$3:$E$502,H$2))</f>
        <v/>
      </c>
      <c r="I28" s="11" t="str">
        <f aca="false">IF($A28="","",SUMIFS(지출내역!$G$3:$G$502,지출내역!$B$3:$B$502,$A28,지출내역!$E$3:$E$502,I$2))</f>
        <v/>
      </c>
      <c r="J28" s="11" t="str">
        <f aca="false">IF($A28="","",SUM(D28:I28))</f>
        <v/>
      </c>
    </row>
    <row r="29" customFormat="false" ht="15" hidden="false" customHeight="false" outlineLevel="0" collapsed="false">
      <c r="A29" s="9" t="str">
        <f aca="false">IF(직원목록!$A29="","",직원목록!$A29)</f>
        <v/>
      </c>
      <c r="B29" s="9" t="str">
        <f aca="false">IF($A29="","",직원목록!$B29)</f>
        <v/>
      </c>
      <c r="C29" s="9" t="str">
        <f aca="false">IF($A29="","",직원목록!$C29)</f>
        <v/>
      </c>
      <c r="D29" s="11" t="str">
        <f aca="false">IF($A29="","",SUMIFS(지출내역!$G$3:$G$502,지출내역!$B$3:$B$502,$A29,지출내역!$E$3:$E$502,D$2))</f>
        <v/>
      </c>
      <c r="E29" s="11" t="str">
        <f aca="false">IF($A29="","",SUMIFS(지출내역!$G$3:$G$502,지출내역!$B$3:$B$502,$A29,지출내역!$E$3:$E$502,E$2))</f>
        <v/>
      </c>
      <c r="F29" s="11" t="str">
        <f aca="false">IF($A29="","",SUMIFS(지출내역!$G$3:$G$502,지출내역!$B$3:$B$502,$A29,지출내역!$E$3:$E$502,F$2))</f>
        <v/>
      </c>
      <c r="G29" s="11" t="str">
        <f aca="false">IF($A29="","",SUMIFS(지출내역!$G$3:$G$502,지출내역!$B$3:$B$502,$A29,지출내역!$E$3:$E$502,G$2))</f>
        <v/>
      </c>
      <c r="H29" s="11" t="str">
        <f aca="false">IF($A29="","",SUMIFS(지출내역!$G$3:$G$502,지출내역!$B$3:$B$502,$A29,지출내역!$E$3:$E$502,H$2))</f>
        <v/>
      </c>
      <c r="I29" s="11" t="str">
        <f aca="false">IF($A29="","",SUMIFS(지출내역!$G$3:$G$502,지출내역!$B$3:$B$502,$A29,지출내역!$E$3:$E$502,I$2))</f>
        <v/>
      </c>
      <c r="J29" s="11" t="str">
        <f aca="false">IF($A29="","",SUM(D29:I29))</f>
        <v/>
      </c>
    </row>
    <row r="30" customFormat="false" ht="15" hidden="false" customHeight="false" outlineLevel="0" collapsed="false">
      <c r="A30" s="9" t="str">
        <f aca="false">IF(직원목록!$A30="","",직원목록!$A30)</f>
        <v/>
      </c>
      <c r="B30" s="9" t="str">
        <f aca="false">IF($A30="","",직원목록!$B30)</f>
        <v/>
      </c>
      <c r="C30" s="9" t="str">
        <f aca="false">IF($A30="","",직원목록!$C30)</f>
        <v/>
      </c>
      <c r="D30" s="11" t="str">
        <f aca="false">IF($A30="","",SUMIFS(지출내역!$G$3:$G$502,지출내역!$B$3:$B$502,$A30,지출내역!$E$3:$E$502,D$2))</f>
        <v/>
      </c>
      <c r="E30" s="11" t="str">
        <f aca="false">IF($A30="","",SUMIFS(지출내역!$G$3:$G$502,지출내역!$B$3:$B$502,$A30,지출내역!$E$3:$E$502,E$2))</f>
        <v/>
      </c>
      <c r="F30" s="11" t="str">
        <f aca="false">IF($A30="","",SUMIFS(지출내역!$G$3:$G$502,지출내역!$B$3:$B$502,$A30,지출내역!$E$3:$E$502,F$2))</f>
        <v/>
      </c>
      <c r="G30" s="11" t="str">
        <f aca="false">IF($A30="","",SUMIFS(지출내역!$G$3:$G$502,지출내역!$B$3:$B$502,$A30,지출내역!$E$3:$E$502,G$2))</f>
        <v/>
      </c>
      <c r="H30" s="11" t="str">
        <f aca="false">IF($A30="","",SUMIFS(지출내역!$G$3:$G$502,지출내역!$B$3:$B$502,$A30,지출내역!$E$3:$E$502,H$2))</f>
        <v/>
      </c>
      <c r="I30" s="11" t="str">
        <f aca="false">IF($A30="","",SUMIFS(지출내역!$G$3:$G$502,지출내역!$B$3:$B$502,$A30,지출내역!$E$3:$E$502,I$2))</f>
        <v/>
      </c>
      <c r="J30" s="11" t="str">
        <f aca="false">IF($A30="","",SUM(D30:I30))</f>
        <v/>
      </c>
    </row>
    <row r="31" customFormat="false" ht="15" hidden="false" customHeight="false" outlineLevel="0" collapsed="false">
      <c r="A31" s="9" t="str">
        <f aca="false">IF(직원목록!$A31="","",직원목록!$A31)</f>
        <v/>
      </c>
      <c r="B31" s="9" t="str">
        <f aca="false">IF($A31="","",직원목록!$B31)</f>
        <v/>
      </c>
      <c r="C31" s="9" t="str">
        <f aca="false">IF($A31="","",직원목록!$C31)</f>
        <v/>
      </c>
      <c r="D31" s="11" t="str">
        <f aca="false">IF($A31="","",SUMIFS(지출내역!$G$3:$G$502,지출내역!$B$3:$B$502,$A31,지출내역!$E$3:$E$502,D$2))</f>
        <v/>
      </c>
      <c r="E31" s="11" t="str">
        <f aca="false">IF($A31="","",SUMIFS(지출내역!$G$3:$G$502,지출내역!$B$3:$B$502,$A31,지출내역!$E$3:$E$502,E$2))</f>
        <v/>
      </c>
      <c r="F31" s="11" t="str">
        <f aca="false">IF($A31="","",SUMIFS(지출내역!$G$3:$G$502,지출내역!$B$3:$B$502,$A31,지출내역!$E$3:$E$502,F$2))</f>
        <v/>
      </c>
      <c r="G31" s="11" t="str">
        <f aca="false">IF($A31="","",SUMIFS(지출내역!$G$3:$G$502,지출내역!$B$3:$B$502,$A31,지출내역!$E$3:$E$502,G$2))</f>
        <v/>
      </c>
      <c r="H31" s="11" t="str">
        <f aca="false">IF($A31="","",SUMIFS(지출내역!$G$3:$G$502,지출내역!$B$3:$B$502,$A31,지출내역!$E$3:$E$502,H$2))</f>
        <v/>
      </c>
      <c r="I31" s="11" t="str">
        <f aca="false">IF($A31="","",SUMIFS(지출내역!$G$3:$G$502,지출내역!$B$3:$B$502,$A31,지출내역!$E$3:$E$502,I$2))</f>
        <v/>
      </c>
      <c r="J31" s="11" t="str">
        <f aca="false">IF($A31="","",SUM(D31:I31))</f>
        <v/>
      </c>
    </row>
    <row r="32" customFormat="false" ht="15" hidden="false" customHeight="false" outlineLevel="0" collapsed="false">
      <c r="A32" s="9" t="str">
        <f aca="false">IF(직원목록!$A32="","",직원목록!$A32)</f>
        <v/>
      </c>
      <c r="B32" s="9" t="str">
        <f aca="false">IF($A32="","",직원목록!$B32)</f>
        <v/>
      </c>
      <c r="C32" s="9" t="str">
        <f aca="false">IF($A32="","",직원목록!$C32)</f>
        <v/>
      </c>
      <c r="D32" s="11" t="str">
        <f aca="false">IF($A32="","",SUMIFS(지출내역!$G$3:$G$502,지출내역!$B$3:$B$502,$A32,지출내역!$E$3:$E$502,D$2))</f>
        <v/>
      </c>
      <c r="E32" s="11" t="str">
        <f aca="false">IF($A32="","",SUMIFS(지출내역!$G$3:$G$502,지출내역!$B$3:$B$502,$A32,지출내역!$E$3:$E$502,E$2))</f>
        <v/>
      </c>
      <c r="F32" s="11" t="str">
        <f aca="false">IF($A32="","",SUMIFS(지출내역!$G$3:$G$502,지출내역!$B$3:$B$502,$A32,지출내역!$E$3:$E$502,F$2))</f>
        <v/>
      </c>
      <c r="G32" s="11" t="str">
        <f aca="false">IF($A32="","",SUMIFS(지출내역!$G$3:$G$502,지출내역!$B$3:$B$502,$A32,지출내역!$E$3:$E$502,G$2))</f>
        <v/>
      </c>
      <c r="H32" s="11" t="str">
        <f aca="false">IF($A32="","",SUMIFS(지출내역!$G$3:$G$502,지출내역!$B$3:$B$502,$A32,지출내역!$E$3:$E$502,H$2))</f>
        <v/>
      </c>
      <c r="I32" s="11" t="str">
        <f aca="false">IF($A32="","",SUMIFS(지출내역!$G$3:$G$502,지출내역!$B$3:$B$502,$A32,지출내역!$E$3:$E$502,I$2))</f>
        <v/>
      </c>
      <c r="J32" s="11" t="str">
        <f aca="false">IF($A32="","",SUM(D32:I32))</f>
        <v/>
      </c>
    </row>
    <row r="33" customFormat="false" ht="15" hidden="false" customHeight="false" outlineLevel="0" collapsed="false">
      <c r="A33" s="9" t="str">
        <f aca="false">IF(직원목록!$A33="","",직원목록!$A33)</f>
        <v/>
      </c>
      <c r="B33" s="9" t="str">
        <f aca="false">IF($A33="","",직원목록!$B33)</f>
        <v/>
      </c>
      <c r="C33" s="9" t="str">
        <f aca="false">IF($A33="","",직원목록!$C33)</f>
        <v/>
      </c>
      <c r="D33" s="11" t="str">
        <f aca="false">IF($A33="","",SUMIFS(지출내역!$G$3:$G$502,지출내역!$B$3:$B$502,$A33,지출내역!$E$3:$E$502,D$2))</f>
        <v/>
      </c>
      <c r="E33" s="11" t="str">
        <f aca="false">IF($A33="","",SUMIFS(지출내역!$G$3:$G$502,지출내역!$B$3:$B$502,$A33,지출내역!$E$3:$E$502,E$2))</f>
        <v/>
      </c>
      <c r="F33" s="11" t="str">
        <f aca="false">IF($A33="","",SUMIFS(지출내역!$G$3:$G$502,지출내역!$B$3:$B$502,$A33,지출내역!$E$3:$E$502,F$2))</f>
        <v/>
      </c>
      <c r="G33" s="11" t="str">
        <f aca="false">IF($A33="","",SUMIFS(지출내역!$G$3:$G$502,지출내역!$B$3:$B$502,$A33,지출내역!$E$3:$E$502,G$2))</f>
        <v/>
      </c>
      <c r="H33" s="11" t="str">
        <f aca="false">IF($A33="","",SUMIFS(지출내역!$G$3:$G$502,지출내역!$B$3:$B$502,$A33,지출내역!$E$3:$E$502,H$2))</f>
        <v/>
      </c>
      <c r="I33" s="11" t="str">
        <f aca="false">IF($A33="","",SUMIFS(지출내역!$G$3:$G$502,지출내역!$B$3:$B$502,$A33,지출내역!$E$3:$E$502,I$2))</f>
        <v/>
      </c>
      <c r="J33" s="11" t="str">
        <f aca="false">IF($A33="","",SUM(D33:I33))</f>
        <v/>
      </c>
    </row>
    <row r="34" customFormat="false" ht="15" hidden="false" customHeight="false" outlineLevel="0" collapsed="false">
      <c r="A34" s="9" t="str">
        <f aca="false">IF(직원목록!$A34="","",직원목록!$A34)</f>
        <v/>
      </c>
      <c r="B34" s="9" t="str">
        <f aca="false">IF($A34="","",직원목록!$B34)</f>
        <v/>
      </c>
      <c r="C34" s="9" t="str">
        <f aca="false">IF($A34="","",직원목록!$C34)</f>
        <v/>
      </c>
      <c r="D34" s="11" t="str">
        <f aca="false">IF($A34="","",SUMIFS(지출내역!$G$3:$G$502,지출내역!$B$3:$B$502,$A34,지출내역!$E$3:$E$502,D$2))</f>
        <v/>
      </c>
      <c r="E34" s="11" t="str">
        <f aca="false">IF($A34="","",SUMIFS(지출내역!$G$3:$G$502,지출내역!$B$3:$B$502,$A34,지출내역!$E$3:$E$502,E$2))</f>
        <v/>
      </c>
      <c r="F34" s="11" t="str">
        <f aca="false">IF($A34="","",SUMIFS(지출내역!$G$3:$G$502,지출내역!$B$3:$B$502,$A34,지출내역!$E$3:$E$502,F$2))</f>
        <v/>
      </c>
      <c r="G34" s="11" t="str">
        <f aca="false">IF($A34="","",SUMIFS(지출내역!$G$3:$G$502,지출내역!$B$3:$B$502,$A34,지출내역!$E$3:$E$502,G$2))</f>
        <v/>
      </c>
      <c r="H34" s="11" t="str">
        <f aca="false">IF($A34="","",SUMIFS(지출내역!$G$3:$G$502,지출내역!$B$3:$B$502,$A34,지출내역!$E$3:$E$502,H$2))</f>
        <v/>
      </c>
      <c r="I34" s="11" t="str">
        <f aca="false">IF($A34="","",SUMIFS(지출내역!$G$3:$G$502,지출내역!$B$3:$B$502,$A34,지출내역!$E$3:$E$502,I$2))</f>
        <v/>
      </c>
      <c r="J34" s="11" t="str">
        <f aca="false">IF($A34="","",SUM(D34:I34))</f>
        <v/>
      </c>
    </row>
    <row r="35" customFormat="false" ht="15" hidden="false" customHeight="false" outlineLevel="0" collapsed="false">
      <c r="A35" s="9" t="str">
        <f aca="false">IF(직원목록!$A35="","",직원목록!$A35)</f>
        <v/>
      </c>
      <c r="B35" s="9" t="str">
        <f aca="false">IF($A35="","",직원목록!$B35)</f>
        <v/>
      </c>
      <c r="C35" s="9" t="str">
        <f aca="false">IF($A35="","",직원목록!$C35)</f>
        <v/>
      </c>
      <c r="D35" s="11" t="str">
        <f aca="false">IF($A35="","",SUMIFS(지출내역!$G$3:$G$502,지출내역!$B$3:$B$502,$A35,지출내역!$E$3:$E$502,D$2))</f>
        <v/>
      </c>
      <c r="E35" s="11" t="str">
        <f aca="false">IF($A35="","",SUMIFS(지출내역!$G$3:$G$502,지출내역!$B$3:$B$502,$A35,지출내역!$E$3:$E$502,E$2))</f>
        <v/>
      </c>
      <c r="F35" s="11" t="str">
        <f aca="false">IF($A35="","",SUMIFS(지출내역!$G$3:$G$502,지출내역!$B$3:$B$502,$A35,지출내역!$E$3:$E$502,F$2))</f>
        <v/>
      </c>
      <c r="G35" s="11" t="str">
        <f aca="false">IF($A35="","",SUMIFS(지출내역!$G$3:$G$502,지출내역!$B$3:$B$502,$A35,지출내역!$E$3:$E$502,G$2))</f>
        <v/>
      </c>
      <c r="H35" s="11" t="str">
        <f aca="false">IF($A35="","",SUMIFS(지출내역!$G$3:$G$502,지출내역!$B$3:$B$502,$A35,지출내역!$E$3:$E$502,H$2))</f>
        <v/>
      </c>
      <c r="I35" s="11" t="str">
        <f aca="false">IF($A35="","",SUMIFS(지출내역!$G$3:$G$502,지출내역!$B$3:$B$502,$A35,지출내역!$E$3:$E$502,I$2))</f>
        <v/>
      </c>
      <c r="J35" s="11" t="str">
        <f aca="false">IF($A35="","",SUM(D35:I35))</f>
        <v/>
      </c>
    </row>
    <row r="36" customFormat="false" ht="15" hidden="false" customHeight="false" outlineLevel="0" collapsed="false">
      <c r="A36" s="9" t="str">
        <f aca="false">IF(직원목록!$A36="","",직원목록!$A36)</f>
        <v/>
      </c>
      <c r="B36" s="9" t="str">
        <f aca="false">IF($A36="","",직원목록!$B36)</f>
        <v/>
      </c>
      <c r="C36" s="9" t="str">
        <f aca="false">IF($A36="","",직원목록!$C36)</f>
        <v/>
      </c>
      <c r="D36" s="11" t="str">
        <f aca="false">IF($A36="","",SUMIFS(지출내역!$G$3:$G$502,지출내역!$B$3:$B$502,$A36,지출내역!$E$3:$E$502,D$2))</f>
        <v/>
      </c>
      <c r="E36" s="11" t="str">
        <f aca="false">IF($A36="","",SUMIFS(지출내역!$G$3:$G$502,지출내역!$B$3:$B$502,$A36,지출내역!$E$3:$E$502,E$2))</f>
        <v/>
      </c>
      <c r="F36" s="11" t="str">
        <f aca="false">IF($A36="","",SUMIFS(지출내역!$G$3:$G$502,지출내역!$B$3:$B$502,$A36,지출내역!$E$3:$E$502,F$2))</f>
        <v/>
      </c>
      <c r="G36" s="11" t="str">
        <f aca="false">IF($A36="","",SUMIFS(지출내역!$G$3:$G$502,지출내역!$B$3:$B$502,$A36,지출내역!$E$3:$E$502,G$2))</f>
        <v/>
      </c>
      <c r="H36" s="11" t="str">
        <f aca="false">IF($A36="","",SUMIFS(지출내역!$G$3:$G$502,지출내역!$B$3:$B$502,$A36,지출내역!$E$3:$E$502,H$2))</f>
        <v/>
      </c>
      <c r="I36" s="11" t="str">
        <f aca="false">IF($A36="","",SUMIFS(지출내역!$G$3:$G$502,지출내역!$B$3:$B$502,$A36,지출내역!$E$3:$E$502,I$2))</f>
        <v/>
      </c>
      <c r="J36" s="11" t="str">
        <f aca="false">IF($A36="","",SUM(D36:I36))</f>
        <v/>
      </c>
    </row>
    <row r="37" customFormat="false" ht="15" hidden="false" customHeight="false" outlineLevel="0" collapsed="false">
      <c r="A37" s="9" t="str">
        <f aca="false">IF(직원목록!$A37="","",직원목록!$A37)</f>
        <v/>
      </c>
      <c r="B37" s="9" t="str">
        <f aca="false">IF($A37="","",직원목록!$B37)</f>
        <v/>
      </c>
      <c r="C37" s="9" t="str">
        <f aca="false">IF($A37="","",직원목록!$C37)</f>
        <v/>
      </c>
      <c r="D37" s="11" t="str">
        <f aca="false">IF($A37="","",SUMIFS(지출내역!$G$3:$G$502,지출내역!$B$3:$B$502,$A37,지출내역!$E$3:$E$502,D$2))</f>
        <v/>
      </c>
      <c r="E37" s="11" t="str">
        <f aca="false">IF($A37="","",SUMIFS(지출내역!$G$3:$G$502,지출내역!$B$3:$B$502,$A37,지출내역!$E$3:$E$502,E$2))</f>
        <v/>
      </c>
      <c r="F37" s="11" t="str">
        <f aca="false">IF($A37="","",SUMIFS(지출내역!$G$3:$G$502,지출내역!$B$3:$B$502,$A37,지출내역!$E$3:$E$502,F$2))</f>
        <v/>
      </c>
      <c r="G37" s="11" t="str">
        <f aca="false">IF($A37="","",SUMIFS(지출내역!$G$3:$G$502,지출내역!$B$3:$B$502,$A37,지출내역!$E$3:$E$502,G$2))</f>
        <v/>
      </c>
      <c r="H37" s="11" t="str">
        <f aca="false">IF($A37="","",SUMIFS(지출내역!$G$3:$G$502,지출내역!$B$3:$B$502,$A37,지출내역!$E$3:$E$502,H$2))</f>
        <v/>
      </c>
      <c r="I37" s="11" t="str">
        <f aca="false">IF($A37="","",SUMIFS(지출내역!$G$3:$G$502,지출내역!$B$3:$B$502,$A37,지출내역!$E$3:$E$502,I$2))</f>
        <v/>
      </c>
      <c r="J37" s="11" t="str">
        <f aca="false">IF($A37="","",SUM(D37:I37))</f>
        <v/>
      </c>
    </row>
    <row r="38" customFormat="false" ht="15" hidden="false" customHeight="false" outlineLevel="0" collapsed="false">
      <c r="A38" s="9" t="str">
        <f aca="false">IF(직원목록!$A38="","",직원목록!$A38)</f>
        <v/>
      </c>
      <c r="B38" s="9" t="str">
        <f aca="false">IF($A38="","",직원목록!$B38)</f>
        <v/>
      </c>
      <c r="C38" s="9" t="str">
        <f aca="false">IF($A38="","",직원목록!$C38)</f>
        <v/>
      </c>
      <c r="D38" s="11" t="str">
        <f aca="false">IF($A38="","",SUMIFS(지출내역!$G$3:$G$502,지출내역!$B$3:$B$502,$A38,지출내역!$E$3:$E$502,D$2))</f>
        <v/>
      </c>
      <c r="E38" s="11" t="str">
        <f aca="false">IF($A38="","",SUMIFS(지출내역!$G$3:$G$502,지출내역!$B$3:$B$502,$A38,지출내역!$E$3:$E$502,E$2))</f>
        <v/>
      </c>
      <c r="F38" s="11" t="str">
        <f aca="false">IF($A38="","",SUMIFS(지출내역!$G$3:$G$502,지출내역!$B$3:$B$502,$A38,지출내역!$E$3:$E$502,F$2))</f>
        <v/>
      </c>
      <c r="G38" s="11" t="str">
        <f aca="false">IF($A38="","",SUMIFS(지출내역!$G$3:$G$502,지출내역!$B$3:$B$502,$A38,지출내역!$E$3:$E$502,G$2))</f>
        <v/>
      </c>
      <c r="H38" s="11" t="str">
        <f aca="false">IF($A38="","",SUMIFS(지출내역!$G$3:$G$502,지출내역!$B$3:$B$502,$A38,지출내역!$E$3:$E$502,H$2))</f>
        <v/>
      </c>
      <c r="I38" s="11" t="str">
        <f aca="false">IF($A38="","",SUMIFS(지출내역!$G$3:$G$502,지출내역!$B$3:$B$502,$A38,지출내역!$E$3:$E$502,I$2))</f>
        <v/>
      </c>
      <c r="J38" s="11" t="str">
        <f aca="false">IF($A38="","",SUM(D38:I38))</f>
        <v/>
      </c>
    </row>
    <row r="39" customFormat="false" ht="15" hidden="false" customHeight="false" outlineLevel="0" collapsed="false">
      <c r="A39" s="9" t="str">
        <f aca="false">IF(직원목록!$A39="","",직원목록!$A39)</f>
        <v/>
      </c>
      <c r="B39" s="9" t="str">
        <f aca="false">IF($A39="","",직원목록!$B39)</f>
        <v/>
      </c>
      <c r="C39" s="9" t="str">
        <f aca="false">IF($A39="","",직원목록!$C39)</f>
        <v/>
      </c>
      <c r="D39" s="11" t="str">
        <f aca="false">IF($A39="","",SUMIFS(지출내역!$G$3:$G$502,지출내역!$B$3:$B$502,$A39,지출내역!$E$3:$E$502,D$2))</f>
        <v/>
      </c>
      <c r="E39" s="11" t="str">
        <f aca="false">IF($A39="","",SUMIFS(지출내역!$G$3:$G$502,지출내역!$B$3:$B$502,$A39,지출내역!$E$3:$E$502,E$2))</f>
        <v/>
      </c>
      <c r="F39" s="11" t="str">
        <f aca="false">IF($A39="","",SUMIFS(지출내역!$G$3:$G$502,지출내역!$B$3:$B$502,$A39,지출내역!$E$3:$E$502,F$2))</f>
        <v/>
      </c>
      <c r="G39" s="11" t="str">
        <f aca="false">IF($A39="","",SUMIFS(지출내역!$G$3:$G$502,지출내역!$B$3:$B$502,$A39,지출내역!$E$3:$E$502,G$2))</f>
        <v/>
      </c>
      <c r="H39" s="11" t="str">
        <f aca="false">IF($A39="","",SUMIFS(지출내역!$G$3:$G$502,지출내역!$B$3:$B$502,$A39,지출내역!$E$3:$E$502,H$2))</f>
        <v/>
      </c>
      <c r="I39" s="11" t="str">
        <f aca="false">IF($A39="","",SUMIFS(지출내역!$G$3:$G$502,지출내역!$B$3:$B$502,$A39,지출내역!$E$3:$E$502,I$2))</f>
        <v/>
      </c>
      <c r="J39" s="11" t="str">
        <f aca="false">IF($A39="","",SUM(D39:I39))</f>
        <v/>
      </c>
    </row>
    <row r="40" customFormat="false" ht="15" hidden="false" customHeight="false" outlineLevel="0" collapsed="false">
      <c r="A40" s="9" t="str">
        <f aca="false">IF(직원목록!$A40="","",직원목록!$A40)</f>
        <v/>
      </c>
      <c r="B40" s="9" t="str">
        <f aca="false">IF($A40="","",직원목록!$B40)</f>
        <v/>
      </c>
      <c r="C40" s="9" t="str">
        <f aca="false">IF($A40="","",직원목록!$C40)</f>
        <v/>
      </c>
      <c r="D40" s="11" t="str">
        <f aca="false">IF($A40="","",SUMIFS(지출내역!$G$3:$G$502,지출내역!$B$3:$B$502,$A40,지출내역!$E$3:$E$502,D$2))</f>
        <v/>
      </c>
      <c r="E40" s="11" t="str">
        <f aca="false">IF($A40="","",SUMIFS(지출내역!$G$3:$G$502,지출내역!$B$3:$B$502,$A40,지출내역!$E$3:$E$502,E$2))</f>
        <v/>
      </c>
      <c r="F40" s="11" t="str">
        <f aca="false">IF($A40="","",SUMIFS(지출내역!$G$3:$G$502,지출내역!$B$3:$B$502,$A40,지출내역!$E$3:$E$502,F$2))</f>
        <v/>
      </c>
      <c r="G40" s="11" t="str">
        <f aca="false">IF($A40="","",SUMIFS(지출내역!$G$3:$G$502,지출내역!$B$3:$B$502,$A40,지출내역!$E$3:$E$502,G$2))</f>
        <v/>
      </c>
      <c r="H40" s="11" t="str">
        <f aca="false">IF($A40="","",SUMIFS(지출내역!$G$3:$G$502,지출내역!$B$3:$B$502,$A40,지출내역!$E$3:$E$502,H$2))</f>
        <v/>
      </c>
      <c r="I40" s="11" t="str">
        <f aca="false">IF($A40="","",SUMIFS(지출내역!$G$3:$G$502,지출내역!$B$3:$B$502,$A40,지출내역!$E$3:$E$502,I$2))</f>
        <v/>
      </c>
      <c r="J40" s="11" t="str">
        <f aca="false">IF($A40="","",SUM(D40:I40))</f>
        <v/>
      </c>
    </row>
    <row r="41" customFormat="false" ht="15" hidden="false" customHeight="false" outlineLevel="0" collapsed="false">
      <c r="A41" s="9" t="str">
        <f aca="false">IF(직원목록!$A41="","",직원목록!$A41)</f>
        <v/>
      </c>
      <c r="B41" s="9" t="str">
        <f aca="false">IF($A41="","",직원목록!$B41)</f>
        <v/>
      </c>
      <c r="C41" s="9" t="str">
        <f aca="false">IF($A41="","",직원목록!$C41)</f>
        <v/>
      </c>
      <c r="D41" s="11" t="str">
        <f aca="false">IF($A41="","",SUMIFS(지출내역!$G$3:$G$502,지출내역!$B$3:$B$502,$A41,지출내역!$E$3:$E$502,D$2))</f>
        <v/>
      </c>
      <c r="E41" s="11" t="str">
        <f aca="false">IF($A41="","",SUMIFS(지출내역!$G$3:$G$502,지출내역!$B$3:$B$502,$A41,지출내역!$E$3:$E$502,E$2))</f>
        <v/>
      </c>
      <c r="F41" s="11" t="str">
        <f aca="false">IF($A41="","",SUMIFS(지출내역!$G$3:$G$502,지출내역!$B$3:$B$502,$A41,지출내역!$E$3:$E$502,F$2))</f>
        <v/>
      </c>
      <c r="G41" s="11" t="str">
        <f aca="false">IF($A41="","",SUMIFS(지출내역!$G$3:$G$502,지출내역!$B$3:$B$502,$A41,지출내역!$E$3:$E$502,G$2))</f>
        <v/>
      </c>
      <c r="H41" s="11" t="str">
        <f aca="false">IF($A41="","",SUMIFS(지출내역!$G$3:$G$502,지출내역!$B$3:$B$502,$A41,지출내역!$E$3:$E$502,H$2))</f>
        <v/>
      </c>
      <c r="I41" s="11" t="str">
        <f aca="false">IF($A41="","",SUMIFS(지출내역!$G$3:$G$502,지출내역!$B$3:$B$502,$A41,지출내역!$E$3:$E$502,I$2))</f>
        <v/>
      </c>
      <c r="J41" s="11" t="str">
        <f aca="false">IF($A41="","",SUM(D41:I41))</f>
        <v/>
      </c>
    </row>
    <row r="42" customFormat="false" ht="15" hidden="false" customHeight="false" outlineLevel="0" collapsed="false">
      <c r="A42" s="9" t="str">
        <f aca="false">IF(직원목록!$A42="","",직원목록!$A42)</f>
        <v/>
      </c>
      <c r="B42" s="9" t="str">
        <f aca="false">IF($A42="","",직원목록!$B42)</f>
        <v/>
      </c>
      <c r="C42" s="9" t="str">
        <f aca="false">IF($A42="","",직원목록!$C42)</f>
        <v/>
      </c>
      <c r="D42" s="11" t="str">
        <f aca="false">IF($A42="","",SUMIFS(지출내역!$G$3:$G$502,지출내역!$B$3:$B$502,$A42,지출내역!$E$3:$E$502,D$2))</f>
        <v/>
      </c>
      <c r="E42" s="11" t="str">
        <f aca="false">IF($A42="","",SUMIFS(지출내역!$G$3:$G$502,지출내역!$B$3:$B$502,$A42,지출내역!$E$3:$E$502,E$2))</f>
        <v/>
      </c>
      <c r="F42" s="11" t="str">
        <f aca="false">IF($A42="","",SUMIFS(지출내역!$G$3:$G$502,지출내역!$B$3:$B$502,$A42,지출내역!$E$3:$E$502,F$2))</f>
        <v/>
      </c>
      <c r="G42" s="11" t="str">
        <f aca="false">IF($A42="","",SUMIFS(지출내역!$G$3:$G$502,지출내역!$B$3:$B$502,$A42,지출내역!$E$3:$E$502,G$2))</f>
        <v/>
      </c>
      <c r="H42" s="11" t="str">
        <f aca="false">IF($A42="","",SUMIFS(지출내역!$G$3:$G$502,지출내역!$B$3:$B$502,$A42,지출내역!$E$3:$E$502,H$2))</f>
        <v/>
      </c>
      <c r="I42" s="11" t="str">
        <f aca="false">IF($A42="","",SUMIFS(지출내역!$G$3:$G$502,지출내역!$B$3:$B$502,$A42,지출내역!$E$3:$E$502,I$2))</f>
        <v/>
      </c>
      <c r="J42" s="11" t="str">
        <f aca="false">IF($A42="","",SUM(D42:I42))</f>
        <v/>
      </c>
    </row>
    <row r="43" customFormat="false" ht="15" hidden="false" customHeight="false" outlineLevel="0" collapsed="false">
      <c r="A43" s="9" t="str">
        <f aca="false">IF(직원목록!$A43="","",직원목록!$A43)</f>
        <v/>
      </c>
      <c r="B43" s="9" t="str">
        <f aca="false">IF($A43="","",직원목록!$B43)</f>
        <v/>
      </c>
      <c r="C43" s="9" t="str">
        <f aca="false">IF($A43="","",직원목록!$C43)</f>
        <v/>
      </c>
      <c r="D43" s="11" t="str">
        <f aca="false">IF($A43="","",SUMIFS(지출내역!$G$3:$G$502,지출내역!$B$3:$B$502,$A43,지출내역!$E$3:$E$502,D$2))</f>
        <v/>
      </c>
      <c r="E43" s="11" t="str">
        <f aca="false">IF($A43="","",SUMIFS(지출내역!$G$3:$G$502,지출내역!$B$3:$B$502,$A43,지출내역!$E$3:$E$502,E$2))</f>
        <v/>
      </c>
      <c r="F43" s="11" t="str">
        <f aca="false">IF($A43="","",SUMIFS(지출내역!$G$3:$G$502,지출내역!$B$3:$B$502,$A43,지출내역!$E$3:$E$502,F$2))</f>
        <v/>
      </c>
      <c r="G43" s="11" t="str">
        <f aca="false">IF($A43="","",SUMIFS(지출내역!$G$3:$G$502,지출내역!$B$3:$B$502,$A43,지출내역!$E$3:$E$502,G$2))</f>
        <v/>
      </c>
      <c r="H43" s="11" t="str">
        <f aca="false">IF($A43="","",SUMIFS(지출내역!$G$3:$G$502,지출내역!$B$3:$B$502,$A43,지출내역!$E$3:$E$502,H$2))</f>
        <v/>
      </c>
      <c r="I43" s="11" t="str">
        <f aca="false">IF($A43="","",SUMIFS(지출내역!$G$3:$G$502,지출내역!$B$3:$B$502,$A43,지출내역!$E$3:$E$502,I$2))</f>
        <v/>
      </c>
      <c r="J43" s="11" t="str">
        <f aca="false">IF($A43="","",SUM(D43:I43))</f>
        <v/>
      </c>
    </row>
    <row r="44" customFormat="false" ht="15" hidden="false" customHeight="false" outlineLevel="0" collapsed="false">
      <c r="A44" s="9" t="str">
        <f aca="false">IF(직원목록!$A44="","",직원목록!$A44)</f>
        <v/>
      </c>
      <c r="B44" s="9" t="str">
        <f aca="false">IF($A44="","",직원목록!$B44)</f>
        <v/>
      </c>
      <c r="C44" s="9" t="str">
        <f aca="false">IF($A44="","",직원목록!$C44)</f>
        <v/>
      </c>
      <c r="D44" s="11" t="str">
        <f aca="false">IF($A44="","",SUMIFS(지출내역!$G$3:$G$502,지출내역!$B$3:$B$502,$A44,지출내역!$E$3:$E$502,D$2))</f>
        <v/>
      </c>
      <c r="E44" s="11" t="str">
        <f aca="false">IF($A44="","",SUMIFS(지출내역!$G$3:$G$502,지출내역!$B$3:$B$502,$A44,지출내역!$E$3:$E$502,E$2))</f>
        <v/>
      </c>
      <c r="F44" s="11" t="str">
        <f aca="false">IF($A44="","",SUMIFS(지출내역!$G$3:$G$502,지출내역!$B$3:$B$502,$A44,지출내역!$E$3:$E$502,F$2))</f>
        <v/>
      </c>
      <c r="G44" s="11" t="str">
        <f aca="false">IF($A44="","",SUMIFS(지출내역!$G$3:$G$502,지출내역!$B$3:$B$502,$A44,지출내역!$E$3:$E$502,G$2))</f>
        <v/>
      </c>
      <c r="H44" s="11" t="str">
        <f aca="false">IF($A44="","",SUMIFS(지출내역!$G$3:$G$502,지출내역!$B$3:$B$502,$A44,지출내역!$E$3:$E$502,H$2))</f>
        <v/>
      </c>
      <c r="I44" s="11" t="str">
        <f aca="false">IF($A44="","",SUMIFS(지출내역!$G$3:$G$502,지출내역!$B$3:$B$502,$A44,지출내역!$E$3:$E$502,I$2))</f>
        <v/>
      </c>
      <c r="J44" s="11" t="str">
        <f aca="false">IF($A44="","",SUM(D44:I44))</f>
        <v/>
      </c>
    </row>
    <row r="45" customFormat="false" ht="15" hidden="false" customHeight="false" outlineLevel="0" collapsed="false">
      <c r="A45" s="9" t="str">
        <f aca="false">IF(직원목록!$A45="","",직원목록!$A45)</f>
        <v/>
      </c>
      <c r="B45" s="9" t="str">
        <f aca="false">IF($A45="","",직원목록!$B45)</f>
        <v/>
      </c>
      <c r="C45" s="9" t="str">
        <f aca="false">IF($A45="","",직원목록!$C45)</f>
        <v/>
      </c>
      <c r="D45" s="11" t="str">
        <f aca="false">IF($A45="","",SUMIFS(지출내역!$G$3:$G$502,지출내역!$B$3:$B$502,$A45,지출내역!$E$3:$E$502,D$2))</f>
        <v/>
      </c>
      <c r="E45" s="11" t="str">
        <f aca="false">IF($A45="","",SUMIFS(지출내역!$G$3:$G$502,지출내역!$B$3:$B$502,$A45,지출내역!$E$3:$E$502,E$2))</f>
        <v/>
      </c>
      <c r="F45" s="11" t="str">
        <f aca="false">IF($A45="","",SUMIFS(지출내역!$G$3:$G$502,지출내역!$B$3:$B$502,$A45,지출내역!$E$3:$E$502,F$2))</f>
        <v/>
      </c>
      <c r="G45" s="11" t="str">
        <f aca="false">IF($A45="","",SUMIFS(지출내역!$G$3:$G$502,지출내역!$B$3:$B$502,$A45,지출내역!$E$3:$E$502,G$2))</f>
        <v/>
      </c>
      <c r="H45" s="11" t="str">
        <f aca="false">IF($A45="","",SUMIFS(지출내역!$G$3:$G$502,지출내역!$B$3:$B$502,$A45,지출내역!$E$3:$E$502,H$2))</f>
        <v/>
      </c>
      <c r="I45" s="11" t="str">
        <f aca="false">IF($A45="","",SUMIFS(지출내역!$G$3:$G$502,지출내역!$B$3:$B$502,$A45,지출내역!$E$3:$E$502,I$2))</f>
        <v/>
      </c>
      <c r="J45" s="11" t="str">
        <f aca="false">IF($A45="","",SUM(D45:I45))</f>
        <v/>
      </c>
    </row>
    <row r="46" customFormat="false" ht="15" hidden="false" customHeight="false" outlineLevel="0" collapsed="false">
      <c r="A46" s="9" t="str">
        <f aca="false">IF(직원목록!$A46="","",직원목록!$A46)</f>
        <v/>
      </c>
      <c r="B46" s="9" t="str">
        <f aca="false">IF($A46="","",직원목록!$B46)</f>
        <v/>
      </c>
      <c r="C46" s="9" t="str">
        <f aca="false">IF($A46="","",직원목록!$C46)</f>
        <v/>
      </c>
      <c r="D46" s="11" t="str">
        <f aca="false">IF($A46="","",SUMIFS(지출내역!$G$3:$G$502,지출내역!$B$3:$B$502,$A46,지출내역!$E$3:$E$502,D$2))</f>
        <v/>
      </c>
      <c r="E46" s="11" t="str">
        <f aca="false">IF($A46="","",SUMIFS(지출내역!$G$3:$G$502,지출내역!$B$3:$B$502,$A46,지출내역!$E$3:$E$502,E$2))</f>
        <v/>
      </c>
      <c r="F46" s="11" t="str">
        <f aca="false">IF($A46="","",SUMIFS(지출내역!$G$3:$G$502,지출내역!$B$3:$B$502,$A46,지출내역!$E$3:$E$502,F$2))</f>
        <v/>
      </c>
      <c r="G46" s="11" t="str">
        <f aca="false">IF($A46="","",SUMIFS(지출내역!$G$3:$G$502,지출내역!$B$3:$B$502,$A46,지출내역!$E$3:$E$502,G$2))</f>
        <v/>
      </c>
      <c r="H46" s="11" t="str">
        <f aca="false">IF($A46="","",SUMIFS(지출내역!$G$3:$G$502,지출내역!$B$3:$B$502,$A46,지출내역!$E$3:$E$502,H$2))</f>
        <v/>
      </c>
      <c r="I46" s="11" t="str">
        <f aca="false">IF($A46="","",SUMIFS(지출내역!$G$3:$G$502,지출내역!$B$3:$B$502,$A46,지출내역!$E$3:$E$502,I$2))</f>
        <v/>
      </c>
      <c r="J46" s="11" t="str">
        <f aca="false">IF($A46="","",SUM(D46:I46))</f>
        <v/>
      </c>
    </row>
    <row r="47" customFormat="false" ht="15" hidden="false" customHeight="false" outlineLevel="0" collapsed="false">
      <c r="A47" s="9" t="str">
        <f aca="false">IF(직원목록!$A47="","",직원목록!$A47)</f>
        <v/>
      </c>
      <c r="B47" s="9" t="str">
        <f aca="false">IF($A47="","",직원목록!$B47)</f>
        <v/>
      </c>
      <c r="C47" s="9" t="str">
        <f aca="false">IF($A47="","",직원목록!$C47)</f>
        <v/>
      </c>
      <c r="D47" s="11" t="str">
        <f aca="false">IF($A47="","",SUMIFS(지출내역!$G$3:$G$502,지출내역!$B$3:$B$502,$A47,지출내역!$E$3:$E$502,D$2))</f>
        <v/>
      </c>
      <c r="E47" s="11" t="str">
        <f aca="false">IF($A47="","",SUMIFS(지출내역!$G$3:$G$502,지출내역!$B$3:$B$502,$A47,지출내역!$E$3:$E$502,E$2))</f>
        <v/>
      </c>
      <c r="F47" s="11" t="str">
        <f aca="false">IF($A47="","",SUMIFS(지출내역!$G$3:$G$502,지출내역!$B$3:$B$502,$A47,지출내역!$E$3:$E$502,F$2))</f>
        <v/>
      </c>
      <c r="G47" s="11" t="str">
        <f aca="false">IF($A47="","",SUMIFS(지출내역!$G$3:$G$502,지출내역!$B$3:$B$502,$A47,지출내역!$E$3:$E$502,G$2))</f>
        <v/>
      </c>
      <c r="H47" s="11" t="str">
        <f aca="false">IF($A47="","",SUMIFS(지출내역!$G$3:$G$502,지출내역!$B$3:$B$502,$A47,지출내역!$E$3:$E$502,H$2))</f>
        <v/>
      </c>
      <c r="I47" s="11" t="str">
        <f aca="false">IF($A47="","",SUMIFS(지출내역!$G$3:$G$502,지출내역!$B$3:$B$502,$A47,지출내역!$E$3:$E$502,I$2))</f>
        <v/>
      </c>
      <c r="J47" s="11" t="str">
        <f aca="false">IF($A47="","",SUM(D47:I47))</f>
        <v/>
      </c>
    </row>
    <row r="48" customFormat="false" ht="15" hidden="false" customHeight="false" outlineLevel="0" collapsed="false">
      <c r="A48" s="9" t="str">
        <f aca="false">IF(직원목록!$A48="","",직원목록!$A48)</f>
        <v/>
      </c>
      <c r="B48" s="9" t="str">
        <f aca="false">IF($A48="","",직원목록!$B48)</f>
        <v/>
      </c>
      <c r="C48" s="9" t="str">
        <f aca="false">IF($A48="","",직원목록!$C48)</f>
        <v/>
      </c>
      <c r="D48" s="11" t="str">
        <f aca="false">IF($A48="","",SUMIFS(지출내역!$G$3:$G$502,지출내역!$B$3:$B$502,$A48,지출내역!$E$3:$E$502,D$2))</f>
        <v/>
      </c>
      <c r="E48" s="11" t="str">
        <f aca="false">IF($A48="","",SUMIFS(지출내역!$G$3:$G$502,지출내역!$B$3:$B$502,$A48,지출내역!$E$3:$E$502,E$2))</f>
        <v/>
      </c>
      <c r="F48" s="11" t="str">
        <f aca="false">IF($A48="","",SUMIFS(지출내역!$G$3:$G$502,지출내역!$B$3:$B$502,$A48,지출내역!$E$3:$E$502,F$2))</f>
        <v/>
      </c>
      <c r="G48" s="11" t="str">
        <f aca="false">IF($A48="","",SUMIFS(지출내역!$G$3:$G$502,지출내역!$B$3:$B$502,$A48,지출내역!$E$3:$E$502,G$2))</f>
        <v/>
      </c>
      <c r="H48" s="11" t="str">
        <f aca="false">IF($A48="","",SUMIFS(지출내역!$G$3:$G$502,지출내역!$B$3:$B$502,$A48,지출내역!$E$3:$E$502,H$2))</f>
        <v/>
      </c>
      <c r="I48" s="11" t="str">
        <f aca="false">IF($A48="","",SUMIFS(지출내역!$G$3:$G$502,지출내역!$B$3:$B$502,$A48,지출내역!$E$3:$E$502,I$2))</f>
        <v/>
      </c>
      <c r="J48" s="11" t="str">
        <f aca="false">IF($A48="","",SUM(D48:I48))</f>
        <v/>
      </c>
    </row>
    <row r="49" customFormat="false" ht="15" hidden="false" customHeight="false" outlineLevel="0" collapsed="false">
      <c r="A49" s="9" t="str">
        <f aca="false">IF(직원목록!$A49="","",직원목록!$A49)</f>
        <v/>
      </c>
      <c r="B49" s="9" t="str">
        <f aca="false">IF($A49="","",직원목록!$B49)</f>
        <v/>
      </c>
      <c r="C49" s="9" t="str">
        <f aca="false">IF($A49="","",직원목록!$C49)</f>
        <v/>
      </c>
      <c r="D49" s="11" t="str">
        <f aca="false">IF($A49="","",SUMIFS(지출내역!$G$3:$G$502,지출내역!$B$3:$B$502,$A49,지출내역!$E$3:$E$502,D$2))</f>
        <v/>
      </c>
      <c r="E49" s="11" t="str">
        <f aca="false">IF($A49="","",SUMIFS(지출내역!$G$3:$G$502,지출내역!$B$3:$B$502,$A49,지출내역!$E$3:$E$502,E$2))</f>
        <v/>
      </c>
      <c r="F49" s="11" t="str">
        <f aca="false">IF($A49="","",SUMIFS(지출내역!$G$3:$G$502,지출내역!$B$3:$B$502,$A49,지출내역!$E$3:$E$502,F$2))</f>
        <v/>
      </c>
      <c r="G49" s="11" t="str">
        <f aca="false">IF($A49="","",SUMIFS(지출내역!$G$3:$G$502,지출내역!$B$3:$B$502,$A49,지출내역!$E$3:$E$502,G$2))</f>
        <v/>
      </c>
      <c r="H49" s="11" t="str">
        <f aca="false">IF($A49="","",SUMIFS(지출내역!$G$3:$G$502,지출내역!$B$3:$B$502,$A49,지출내역!$E$3:$E$502,H$2))</f>
        <v/>
      </c>
      <c r="I49" s="11" t="str">
        <f aca="false">IF($A49="","",SUMIFS(지출내역!$G$3:$G$502,지출내역!$B$3:$B$502,$A49,지출내역!$E$3:$E$502,I$2))</f>
        <v/>
      </c>
      <c r="J49" s="11" t="str">
        <f aca="false">IF($A49="","",SUM(D49:I49))</f>
        <v/>
      </c>
    </row>
    <row r="50" customFormat="false" ht="15" hidden="false" customHeight="false" outlineLevel="0" collapsed="false">
      <c r="A50" s="9" t="str">
        <f aca="false">IF(직원목록!$A50="","",직원목록!$A50)</f>
        <v/>
      </c>
      <c r="B50" s="9" t="str">
        <f aca="false">IF($A50="","",직원목록!$B50)</f>
        <v/>
      </c>
      <c r="C50" s="9" t="str">
        <f aca="false">IF($A50="","",직원목록!$C50)</f>
        <v/>
      </c>
      <c r="D50" s="11" t="str">
        <f aca="false">IF($A50="","",SUMIFS(지출내역!$G$3:$G$502,지출내역!$B$3:$B$502,$A50,지출내역!$E$3:$E$502,D$2))</f>
        <v/>
      </c>
      <c r="E50" s="11" t="str">
        <f aca="false">IF($A50="","",SUMIFS(지출내역!$G$3:$G$502,지출내역!$B$3:$B$502,$A50,지출내역!$E$3:$E$502,E$2))</f>
        <v/>
      </c>
      <c r="F50" s="11" t="str">
        <f aca="false">IF($A50="","",SUMIFS(지출내역!$G$3:$G$502,지출내역!$B$3:$B$502,$A50,지출내역!$E$3:$E$502,F$2))</f>
        <v/>
      </c>
      <c r="G50" s="11" t="str">
        <f aca="false">IF($A50="","",SUMIFS(지출내역!$G$3:$G$502,지출내역!$B$3:$B$502,$A50,지출내역!$E$3:$E$502,G$2))</f>
        <v/>
      </c>
      <c r="H50" s="11" t="str">
        <f aca="false">IF($A50="","",SUMIFS(지출내역!$G$3:$G$502,지출내역!$B$3:$B$502,$A50,지출내역!$E$3:$E$502,H$2))</f>
        <v/>
      </c>
      <c r="I50" s="11" t="str">
        <f aca="false">IF($A50="","",SUMIFS(지출내역!$G$3:$G$502,지출내역!$B$3:$B$502,$A50,지출내역!$E$3:$E$502,I$2))</f>
        <v/>
      </c>
      <c r="J50" s="11" t="str">
        <f aca="false">IF($A50="","",SUM(D50:I50))</f>
        <v/>
      </c>
    </row>
    <row r="51" customFormat="false" ht="15" hidden="false" customHeight="false" outlineLevel="0" collapsed="false">
      <c r="A51" s="9" t="str">
        <f aca="false">IF(직원목록!$A51="","",직원목록!$A51)</f>
        <v/>
      </c>
      <c r="B51" s="9" t="str">
        <f aca="false">IF($A51="","",직원목록!$B51)</f>
        <v/>
      </c>
      <c r="C51" s="9" t="str">
        <f aca="false">IF($A51="","",직원목록!$C51)</f>
        <v/>
      </c>
      <c r="D51" s="11" t="str">
        <f aca="false">IF($A51="","",SUMIFS(지출내역!$G$3:$G$502,지출내역!$B$3:$B$502,$A51,지출내역!$E$3:$E$502,D$2))</f>
        <v/>
      </c>
      <c r="E51" s="11" t="str">
        <f aca="false">IF($A51="","",SUMIFS(지출내역!$G$3:$G$502,지출내역!$B$3:$B$502,$A51,지출내역!$E$3:$E$502,E$2))</f>
        <v/>
      </c>
      <c r="F51" s="11" t="str">
        <f aca="false">IF($A51="","",SUMIFS(지출내역!$G$3:$G$502,지출내역!$B$3:$B$502,$A51,지출내역!$E$3:$E$502,F$2))</f>
        <v/>
      </c>
      <c r="G51" s="11" t="str">
        <f aca="false">IF($A51="","",SUMIFS(지출내역!$G$3:$G$502,지출내역!$B$3:$B$502,$A51,지출내역!$E$3:$E$502,G$2))</f>
        <v/>
      </c>
      <c r="H51" s="11" t="str">
        <f aca="false">IF($A51="","",SUMIFS(지출내역!$G$3:$G$502,지출내역!$B$3:$B$502,$A51,지출내역!$E$3:$E$502,H$2))</f>
        <v/>
      </c>
      <c r="I51" s="11" t="str">
        <f aca="false">IF($A51="","",SUMIFS(지출내역!$G$3:$G$502,지출내역!$B$3:$B$502,$A51,지출내역!$E$3:$E$502,I$2))</f>
        <v/>
      </c>
      <c r="J51" s="11" t="str">
        <f aca="false">IF($A51="","",SUM(D51:I51))</f>
        <v/>
      </c>
    </row>
    <row r="52" customFormat="false" ht="15" hidden="false" customHeight="false" outlineLevel="0" collapsed="false">
      <c r="A52" s="9" t="str">
        <f aca="false">IF(직원목록!$A52="","",직원목록!$A52)</f>
        <v/>
      </c>
      <c r="B52" s="9" t="str">
        <f aca="false">IF($A52="","",직원목록!$B52)</f>
        <v/>
      </c>
      <c r="C52" s="9" t="str">
        <f aca="false">IF($A52="","",직원목록!$C52)</f>
        <v/>
      </c>
      <c r="D52" s="11" t="str">
        <f aca="false">IF($A52="","",SUMIFS(지출내역!$G$3:$G$502,지출내역!$B$3:$B$502,$A52,지출내역!$E$3:$E$502,D$2))</f>
        <v/>
      </c>
      <c r="E52" s="11" t="str">
        <f aca="false">IF($A52="","",SUMIFS(지출내역!$G$3:$G$502,지출내역!$B$3:$B$502,$A52,지출내역!$E$3:$E$502,E$2))</f>
        <v/>
      </c>
      <c r="F52" s="11" t="str">
        <f aca="false">IF($A52="","",SUMIFS(지출내역!$G$3:$G$502,지출내역!$B$3:$B$502,$A52,지출내역!$E$3:$E$502,F$2))</f>
        <v/>
      </c>
      <c r="G52" s="11" t="str">
        <f aca="false">IF($A52="","",SUMIFS(지출내역!$G$3:$G$502,지출내역!$B$3:$B$502,$A52,지출내역!$E$3:$E$502,G$2))</f>
        <v/>
      </c>
      <c r="H52" s="11" t="str">
        <f aca="false">IF($A52="","",SUMIFS(지출내역!$G$3:$G$502,지출내역!$B$3:$B$502,$A52,지출내역!$E$3:$E$502,H$2))</f>
        <v/>
      </c>
      <c r="I52" s="11" t="str">
        <f aca="false">IF($A52="","",SUMIFS(지출내역!$G$3:$G$502,지출내역!$B$3:$B$502,$A52,지출내역!$E$3:$E$502,I$2))</f>
        <v/>
      </c>
      <c r="J52" s="11" t="str">
        <f aca="false">IF($A52="","",SUM(D52:I52))</f>
        <v/>
      </c>
    </row>
    <row r="53" customFormat="false" ht="15" hidden="false" customHeight="false" outlineLevel="0" collapsed="false">
      <c r="A53" s="9" t="str">
        <f aca="false">IF(직원목록!$A53="","",직원목록!$A53)</f>
        <v/>
      </c>
      <c r="B53" s="9" t="str">
        <f aca="false">IF($A53="","",직원목록!$B53)</f>
        <v/>
      </c>
      <c r="C53" s="9" t="str">
        <f aca="false">IF($A53="","",직원목록!$C53)</f>
        <v/>
      </c>
      <c r="D53" s="11" t="str">
        <f aca="false">IF($A53="","",SUMIFS(지출내역!$G$3:$G$502,지출내역!$B$3:$B$502,$A53,지출내역!$E$3:$E$502,D$2))</f>
        <v/>
      </c>
      <c r="E53" s="11" t="str">
        <f aca="false">IF($A53="","",SUMIFS(지출내역!$G$3:$G$502,지출내역!$B$3:$B$502,$A53,지출내역!$E$3:$E$502,E$2))</f>
        <v/>
      </c>
      <c r="F53" s="11" t="str">
        <f aca="false">IF($A53="","",SUMIFS(지출내역!$G$3:$G$502,지출내역!$B$3:$B$502,$A53,지출내역!$E$3:$E$502,F$2))</f>
        <v/>
      </c>
      <c r="G53" s="11" t="str">
        <f aca="false">IF($A53="","",SUMIFS(지출내역!$G$3:$G$502,지출내역!$B$3:$B$502,$A53,지출내역!$E$3:$E$502,G$2))</f>
        <v/>
      </c>
      <c r="H53" s="11" t="str">
        <f aca="false">IF($A53="","",SUMIFS(지출내역!$G$3:$G$502,지출내역!$B$3:$B$502,$A53,지출내역!$E$3:$E$502,H$2))</f>
        <v/>
      </c>
      <c r="I53" s="11" t="str">
        <f aca="false">IF($A53="","",SUMIFS(지출내역!$G$3:$G$502,지출내역!$B$3:$B$502,$A53,지출내역!$E$3:$E$502,I$2))</f>
        <v/>
      </c>
      <c r="J53" s="11" t="str">
        <f aca="false">IF($A53="","",SUM(D53:I53))</f>
        <v/>
      </c>
    </row>
    <row r="54" customFormat="false" ht="15" hidden="false" customHeight="false" outlineLevel="0" collapsed="false">
      <c r="A54" s="9" t="str">
        <f aca="false">IF(직원목록!$A54="","",직원목록!$A54)</f>
        <v/>
      </c>
      <c r="B54" s="9" t="str">
        <f aca="false">IF($A54="","",직원목록!$B54)</f>
        <v/>
      </c>
      <c r="C54" s="9" t="str">
        <f aca="false">IF($A54="","",직원목록!$C54)</f>
        <v/>
      </c>
      <c r="D54" s="11" t="str">
        <f aca="false">IF($A54="","",SUMIFS(지출내역!$G$3:$G$502,지출내역!$B$3:$B$502,$A54,지출내역!$E$3:$E$502,D$2))</f>
        <v/>
      </c>
      <c r="E54" s="11" t="str">
        <f aca="false">IF($A54="","",SUMIFS(지출내역!$G$3:$G$502,지출내역!$B$3:$B$502,$A54,지출내역!$E$3:$E$502,E$2))</f>
        <v/>
      </c>
      <c r="F54" s="11" t="str">
        <f aca="false">IF($A54="","",SUMIFS(지출내역!$G$3:$G$502,지출내역!$B$3:$B$502,$A54,지출내역!$E$3:$E$502,F$2))</f>
        <v/>
      </c>
      <c r="G54" s="11" t="str">
        <f aca="false">IF($A54="","",SUMIFS(지출내역!$G$3:$G$502,지출내역!$B$3:$B$502,$A54,지출내역!$E$3:$E$502,G$2))</f>
        <v/>
      </c>
      <c r="H54" s="11" t="str">
        <f aca="false">IF($A54="","",SUMIFS(지출내역!$G$3:$G$502,지출내역!$B$3:$B$502,$A54,지출내역!$E$3:$E$502,H$2))</f>
        <v/>
      </c>
      <c r="I54" s="11" t="str">
        <f aca="false">IF($A54="","",SUMIFS(지출내역!$G$3:$G$502,지출내역!$B$3:$B$502,$A54,지출내역!$E$3:$E$502,I$2))</f>
        <v/>
      </c>
      <c r="J54" s="11" t="str">
        <f aca="false">IF($A54="","",SUM(D54:I54))</f>
        <v/>
      </c>
    </row>
    <row r="55" customFormat="false" ht="15" hidden="false" customHeight="false" outlineLevel="0" collapsed="false">
      <c r="A55" s="9" t="str">
        <f aca="false">IF(직원목록!$A55="","",직원목록!$A55)</f>
        <v/>
      </c>
      <c r="B55" s="9" t="str">
        <f aca="false">IF($A55="","",직원목록!$B55)</f>
        <v/>
      </c>
      <c r="C55" s="9" t="str">
        <f aca="false">IF($A55="","",직원목록!$C55)</f>
        <v/>
      </c>
      <c r="D55" s="11" t="str">
        <f aca="false">IF($A55="","",SUMIFS(지출내역!$G$3:$G$502,지출내역!$B$3:$B$502,$A55,지출내역!$E$3:$E$502,D$2))</f>
        <v/>
      </c>
      <c r="E55" s="11" t="str">
        <f aca="false">IF($A55="","",SUMIFS(지출내역!$G$3:$G$502,지출내역!$B$3:$B$502,$A55,지출내역!$E$3:$E$502,E$2))</f>
        <v/>
      </c>
      <c r="F55" s="11" t="str">
        <f aca="false">IF($A55="","",SUMIFS(지출내역!$G$3:$G$502,지출내역!$B$3:$B$502,$A55,지출내역!$E$3:$E$502,F$2))</f>
        <v/>
      </c>
      <c r="G55" s="11" t="str">
        <f aca="false">IF($A55="","",SUMIFS(지출내역!$G$3:$G$502,지출내역!$B$3:$B$502,$A55,지출내역!$E$3:$E$502,G$2))</f>
        <v/>
      </c>
      <c r="H55" s="11" t="str">
        <f aca="false">IF($A55="","",SUMIFS(지출내역!$G$3:$G$502,지출내역!$B$3:$B$502,$A55,지출내역!$E$3:$E$502,H$2))</f>
        <v/>
      </c>
      <c r="I55" s="11" t="str">
        <f aca="false">IF($A55="","",SUMIFS(지출내역!$G$3:$G$502,지출내역!$B$3:$B$502,$A55,지출내역!$E$3:$E$502,I$2))</f>
        <v/>
      </c>
      <c r="J55" s="11" t="str">
        <f aca="false">IF($A55="","",SUM(D55:I55))</f>
        <v/>
      </c>
    </row>
    <row r="56" customFormat="false" ht="15" hidden="false" customHeight="false" outlineLevel="0" collapsed="false">
      <c r="A56" s="9" t="str">
        <f aca="false">IF(직원목록!$A56="","",직원목록!$A56)</f>
        <v/>
      </c>
      <c r="B56" s="9" t="str">
        <f aca="false">IF($A56="","",직원목록!$B56)</f>
        <v/>
      </c>
      <c r="C56" s="9" t="str">
        <f aca="false">IF($A56="","",직원목록!$C56)</f>
        <v/>
      </c>
      <c r="D56" s="11" t="str">
        <f aca="false">IF($A56="","",SUMIFS(지출내역!$G$3:$G$502,지출내역!$B$3:$B$502,$A56,지출내역!$E$3:$E$502,D$2))</f>
        <v/>
      </c>
      <c r="E56" s="11" t="str">
        <f aca="false">IF($A56="","",SUMIFS(지출내역!$G$3:$G$502,지출내역!$B$3:$B$502,$A56,지출내역!$E$3:$E$502,E$2))</f>
        <v/>
      </c>
      <c r="F56" s="11" t="str">
        <f aca="false">IF($A56="","",SUMIFS(지출내역!$G$3:$G$502,지출내역!$B$3:$B$502,$A56,지출내역!$E$3:$E$502,F$2))</f>
        <v/>
      </c>
      <c r="G56" s="11" t="str">
        <f aca="false">IF($A56="","",SUMIFS(지출내역!$G$3:$G$502,지출내역!$B$3:$B$502,$A56,지출내역!$E$3:$E$502,G$2))</f>
        <v/>
      </c>
      <c r="H56" s="11" t="str">
        <f aca="false">IF($A56="","",SUMIFS(지출내역!$G$3:$G$502,지출내역!$B$3:$B$502,$A56,지출내역!$E$3:$E$502,H$2))</f>
        <v/>
      </c>
      <c r="I56" s="11" t="str">
        <f aca="false">IF($A56="","",SUMIFS(지출내역!$G$3:$G$502,지출내역!$B$3:$B$502,$A56,지출내역!$E$3:$E$502,I$2))</f>
        <v/>
      </c>
      <c r="J56" s="11" t="str">
        <f aca="false">IF($A56="","",SUM(D56:I56))</f>
        <v/>
      </c>
    </row>
    <row r="57" customFormat="false" ht="15" hidden="false" customHeight="false" outlineLevel="0" collapsed="false">
      <c r="A57" s="9" t="str">
        <f aca="false">IF(직원목록!$A57="","",직원목록!$A57)</f>
        <v/>
      </c>
      <c r="B57" s="9" t="str">
        <f aca="false">IF($A57="","",직원목록!$B57)</f>
        <v/>
      </c>
      <c r="C57" s="9" t="str">
        <f aca="false">IF($A57="","",직원목록!$C57)</f>
        <v/>
      </c>
      <c r="D57" s="11" t="str">
        <f aca="false">IF($A57="","",SUMIFS(지출내역!$G$3:$G$502,지출내역!$B$3:$B$502,$A57,지출내역!$E$3:$E$502,D$2))</f>
        <v/>
      </c>
      <c r="E57" s="11" t="str">
        <f aca="false">IF($A57="","",SUMIFS(지출내역!$G$3:$G$502,지출내역!$B$3:$B$502,$A57,지출내역!$E$3:$E$502,E$2))</f>
        <v/>
      </c>
      <c r="F57" s="11" t="str">
        <f aca="false">IF($A57="","",SUMIFS(지출내역!$G$3:$G$502,지출내역!$B$3:$B$502,$A57,지출내역!$E$3:$E$502,F$2))</f>
        <v/>
      </c>
      <c r="G57" s="11" t="str">
        <f aca="false">IF($A57="","",SUMIFS(지출내역!$G$3:$G$502,지출내역!$B$3:$B$502,$A57,지출내역!$E$3:$E$502,G$2))</f>
        <v/>
      </c>
      <c r="H57" s="11" t="str">
        <f aca="false">IF($A57="","",SUMIFS(지출내역!$G$3:$G$502,지출내역!$B$3:$B$502,$A57,지출내역!$E$3:$E$502,H$2))</f>
        <v/>
      </c>
      <c r="I57" s="11" t="str">
        <f aca="false">IF($A57="","",SUMIFS(지출내역!$G$3:$G$502,지출내역!$B$3:$B$502,$A57,지출내역!$E$3:$E$502,I$2))</f>
        <v/>
      </c>
      <c r="J57" s="11" t="str">
        <f aca="false">IF($A57="","",SUM(D57:I57))</f>
        <v/>
      </c>
    </row>
    <row r="58" customFormat="false" ht="15" hidden="false" customHeight="false" outlineLevel="0" collapsed="false">
      <c r="A58" s="9" t="str">
        <f aca="false">IF(직원목록!$A58="","",직원목록!$A58)</f>
        <v/>
      </c>
      <c r="B58" s="9" t="str">
        <f aca="false">IF($A58="","",직원목록!$B58)</f>
        <v/>
      </c>
      <c r="C58" s="9" t="str">
        <f aca="false">IF($A58="","",직원목록!$C58)</f>
        <v/>
      </c>
      <c r="D58" s="11" t="str">
        <f aca="false">IF($A58="","",SUMIFS(지출내역!$G$3:$G$502,지출내역!$B$3:$B$502,$A58,지출내역!$E$3:$E$502,D$2))</f>
        <v/>
      </c>
      <c r="E58" s="11" t="str">
        <f aca="false">IF($A58="","",SUMIFS(지출내역!$G$3:$G$502,지출내역!$B$3:$B$502,$A58,지출내역!$E$3:$E$502,E$2))</f>
        <v/>
      </c>
      <c r="F58" s="11" t="str">
        <f aca="false">IF($A58="","",SUMIFS(지출내역!$G$3:$G$502,지출내역!$B$3:$B$502,$A58,지출내역!$E$3:$E$502,F$2))</f>
        <v/>
      </c>
      <c r="G58" s="11" t="str">
        <f aca="false">IF($A58="","",SUMIFS(지출내역!$G$3:$G$502,지출내역!$B$3:$B$502,$A58,지출내역!$E$3:$E$502,G$2))</f>
        <v/>
      </c>
      <c r="H58" s="11" t="str">
        <f aca="false">IF($A58="","",SUMIFS(지출내역!$G$3:$G$502,지출내역!$B$3:$B$502,$A58,지출내역!$E$3:$E$502,H$2))</f>
        <v/>
      </c>
      <c r="I58" s="11" t="str">
        <f aca="false">IF($A58="","",SUMIFS(지출내역!$G$3:$G$502,지출내역!$B$3:$B$502,$A58,지출내역!$E$3:$E$502,I$2))</f>
        <v/>
      </c>
      <c r="J58" s="11" t="str">
        <f aca="false">IF($A58="","",SUM(D58:I58))</f>
        <v/>
      </c>
    </row>
    <row r="59" customFormat="false" ht="15" hidden="false" customHeight="false" outlineLevel="0" collapsed="false">
      <c r="A59" s="9" t="str">
        <f aca="false">IF(직원목록!$A59="","",직원목록!$A59)</f>
        <v/>
      </c>
      <c r="B59" s="9" t="str">
        <f aca="false">IF($A59="","",직원목록!$B59)</f>
        <v/>
      </c>
      <c r="C59" s="9" t="str">
        <f aca="false">IF($A59="","",직원목록!$C59)</f>
        <v/>
      </c>
      <c r="D59" s="11" t="str">
        <f aca="false">IF($A59="","",SUMIFS(지출내역!$G$3:$G$502,지출내역!$B$3:$B$502,$A59,지출내역!$E$3:$E$502,D$2))</f>
        <v/>
      </c>
      <c r="E59" s="11" t="str">
        <f aca="false">IF($A59="","",SUMIFS(지출내역!$G$3:$G$502,지출내역!$B$3:$B$502,$A59,지출내역!$E$3:$E$502,E$2))</f>
        <v/>
      </c>
      <c r="F59" s="11" t="str">
        <f aca="false">IF($A59="","",SUMIFS(지출내역!$G$3:$G$502,지출내역!$B$3:$B$502,$A59,지출내역!$E$3:$E$502,F$2))</f>
        <v/>
      </c>
      <c r="G59" s="11" t="str">
        <f aca="false">IF($A59="","",SUMIFS(지출내역!$G$3:$G$502,지출내역!$B$3:$B$502,$A59,지출내역!$E$3:$E$502,G$2))</f>
        <v/>
      </c>
      <c r="H59" s="11" t="str">
        <f aca="false">IF($A59="","",SUMIFS(지출내역!$G$3:$G$502,지출내역!$B$3:$B$502,$A59,지출내역!$E$3:$E$502,H$2))</f>
        <v/>
      </c>
      <c r="I59" s="11" t="str">
        <f aca="false">IF($A59="","",SUMIFS(지출내역!$G$3:$G$502,지출내역!$B$3:$B$502,$A59,지출내역!$E$3:$E$502,I$2))</f>
        <v/>
      </c>
      <c r="J59" s="11" t="str">
        <f aca="false">IF($A59="","",SUM(D59:I59))</f>
        <v/>
      </c>
    </row>
    <row r="60" customFormat="false" ht="15" hidden="false" customHeight="false" outlineLevel="0" collapsed="false">
      <c r="A60" s="9" t="str">
        <f aca="false">IF(직원목록!$A60="","",직원목록!$A60)</f>
        <v/>
      </c>
      <c r="B60" s="9" t="str">
        <f aca="false">IF($A60="","",직원목록!$B60)</f>
        <v/>
      </c>
      <c r="C60" s="9" t="str">
        <f aca="false">IF($A60="","",직원목록!$C60)</f>
        <v/>
      </c>
      <c r="D60" s="11" t="str">
        <f aca="false">IF($A60="","",SUMIFS(지출내역!$G$3:$G$502,지출내역!$B$3:$B$502,$A60,지출내역!$E$3:$E$502,D$2))</f>
        <v/>
      </c>
      <c r="E60" s="11" t="str">
        <f aca="false">IF($A60="","",SUMIFS(지출내역!$G$3:$G$502,지출내역!$B$3:$B$502,$A60,지출내역!$E$3:$E$502,E$2))</f>
        <v/>
      </c>
      <c r="F60" s="11" t="str">
        <f aca="false">IF($A60="","",SUMIFS(지출내역!$G$3:$G$502,지출내역!$B$3:$B$502,$A60,지출내역!$E$3:$E$502,F$2))</f>
        <v/>
      </c>
      <c r="G60" s="11" t="str">
        <f aca="false">IF($A60="","",SUMIFS(지출내역!$G$3:$G$502,지출내역!$B$3:$B$502,$A60,지출내역!$E$3:$E$502,G$2))</f>
        <v/>
      </c>
      <c r="H60" s="11" t="str">
        <f aca="false">IF($A60="","",SUMIFS(지출내역!$G$3:$G$502,지출내역!$B$3:$B$502,$A60,지출내역!$E$3:$E$502,H$2))</f>
        <v/>
      </c>
      <c r="I60" s="11" t="str">
        <f aca="false">IF($A60="","",SUMIFS(지출내역!$G$3:$G$502,지출내역!$B$3:$B$502,$A60,지출내역!$E$3:$E$502,I$2))</f>
        <v/>
      </c>
      <c r="J60" s="11" t="str">
        <f aca="false">IF($A60="","",SUM(D60:I60))</f>
        <v/>
      </c>
    </row>
    <row r="61" customFormat="false" ht="15" hidden="false" customHeight="false" outlineLevel="0" collapsed="false">
      <c r="A61" s="9" t="str">
        <f aca="false">IF(직원목록!$A61="","",직원목록!$A61)</f>
        <v/>
      </c>
      <c r="B61" s="9" t="str">
        <f aca="false">IF($A61="","",직원목록!$B61)</f>
        <v/>
      </c>
      <c r="C61" s="9" t="str">
        <f aca="false">IF($A61="","",직원목록!$C61)</f>
        <v/>
      </c>
      <c r="D61" s="11" t="str">
        <f aca="false">IF($A61="","",SUMIFS(지출내역!$G$3:$G$502,지출내역!$B$3:$B$502,$A61,지출내역!$E$3:$E$502,D$2))</f>
        <v/>
      </c>
      <c r="E61" s="11" t="str">
        <f aca="false">IF($A61="","",SUMIFS(지출내역!$G$3:$G$502,지출내역!$B$3:$B$502,$A61,지출내역!$E$3:$E$502,E$2))</f>
        <v/>
      </c>
      <c r="F61" s="11" t="str">
        <f aca="false">IF($A61="","",SUMIFS(지출내역!$G$3:$G$502,지출내역!$B$3:$B$502,$A61,지출내역!$E$3:$E$502,F$2))</f>
        <v/>
      </c>
      <c r="G61" s="11" t="str">
        <f aca="false">IF($A61="","",SUMIFS(지출내역!$G$3:$G$502,지출내역!$B$3:$B$502,$A61,지출내역!$E$3:$E$502,G$2))</f>
        <v/>
      </c>
      <c r="H61" s="11" t="str">
        <f aca="false">IF($A61="","",SUMIFS(지출내역!$G$3:$G$502,지출내역!$B$3:$B$502,$A61,지출내역!$E$3:$E$502,H$2))</f>
        <v/>
      </c>
      <c r="I61" s="11" t="str">
        <f aca="false">IF($A61="","",SUMIFS(지출내역!$G$3:$G$502,지출내역!$B$3:$B$502,$A61,지출내역!$E$3:$E$502,I$2))</f>
        <v/>
      </c>
      <c r="J61" s="11" t="str">
        <f aca="false">IF($A61="","",SUM(D61:I61))</f>
        <v/>
      </c>
    </row>
    <row r="62" customFormat="false" ht="15" hidden="false" customHeight="false" outlineLevel="0" collapsed="false">
      <c r="A62" s="9" t="str">
        <f aca="false">IF(직원목록!$A62="","",직원목록!$A62)</f>
        <v/>
      </c>
      <c r="B62" s="9" t="str">
        <f aca="false">IF($A62="","",직원목록!$B62)</f>
        <v/>
      </c>
      <c r="C62" s="9" t="str">
        <f aca="false">IF($A62="","",직원목록!$C62)</f>
        <v/>
      </c>
      <c r="D62" s="11" t="str">
        <f aca="false">IF($A62="","",SUMIFS(지출내역!$G$3:$G$502,지출내역!$B$3:$B$502,$A62,지출내역!$E$3:$E$502,D$2))</f>
        <v/>
      </c>
      <c r="E62" s="11" t="str">
        <f aca="false">IF($A62="","",SUMIFS(지출내역!$G$3:$G$502,지출내역!$B$3:$B$502,$A62,지출내역!$E$3:$E$502,E$2))</f>
        <v/>
      </c>
      <c r="F62" s="11" t="str">
        <f aca="false">IF($A62="","",SUMIFS(지출내역!$G$3:$G$502,지출내역!$B$3:$B$502,$A62,지출내역!$E$3:$E$502,F$2))</f>
        <v/>
      </c>
      <c r="G62" s="11" t="str">
        <f aca="false">IF($A62="","",SUMIFS(지출내역!$G$3:$G$502,지출내역!$B$3:$B$502,$A62,지출내역!$E$3:$E$502,G$2))</f>
        <v/>
      </c>
      <c r="H62" s="11" t="str">
        <f aca="false">IF($A62="","",SUMIFS(지출내역!$G$3:$G$502,지출내역!$B$3:$B$502,$A62,지출내역!$E$3:$E$502,H$2))</f>
        <v/>
      </c>
      <c r="I62" s="11" t="str">
        <f aca="false">IF($A62="","",SUMIFS(지출내역!$G$3:$G$502,지출내역!$B$3:$B$502,$A62,지출내역!$E$3:$E$502,I$2))</f>
        <v/>
      </c>
      <c r="J62" s="11" t="str">
        <f aca="false">IF($A62="","",SUM(D62:I62))</f>
        <v/>
      </c>
    </row>
    <row r="63" customFormat="false" ht="15" hidden="false" customHeight="false" outlineLevel="0" collapsed="false">
      <c r="A63" s="9" t="str">
        <f aca="false">IF(직원목록!$A63="","",직원목록!$A63)</f>
        <v/>
      </c>
      <c r="B63" s="9" t="str">
        <f aca="false">IF($A63="","",직원목록!$B63)</f>
        <v/>
      </c>
      <c r="C63" s="9" t="str">
        <f aca="false">IF($A63="","",직원목록!$C63)</f>
        <v/>
      </c>
      <c r="D63" s="11" t="str">
        <f aca="false">IF($A63="","",SUMIFS(지출내역!$G$3:$G$502,지출내역!$B$3:$B$502,$A63,지출내역!$E$3:$E$502,D$2))</f>
        <v/>
      </c>
      <c r="E63" s="11" t="str">
        <f aca="false">IF($A63="","",SUMIFS(지출내역!$G$3:$G$502,지출내역!$B$3:$B$502,$A63,지출내역!$E$3:$E$502,E$2))</f>
        <v/>
      </c>
      <c r="F63" s="11" t="str">
        <f aca="false">IF($A63="","",SUMIFS(지출내역!$G$3:$G$502,지출내역!$B$3:$B$502,$A63,지출내역!$E$3:$E$502,F$2))</f>
        <v/>
      </c>
      <c r="G63" s="11" t="str">
        <f aca="false">IF($A63="","",SUMIFS(지출내역!$G$3:$G$502,지출내역!$B$3:$B$502,$A63,지출내역!$E$3:$E$502,G$2))</f>
        <v/>
      </c>
      <c r="H63" s="11" t="str">
        <f aca="false">IF($A63="","",SUMIFS(지출내역!$G$3:$G$502,지출내역!$B$3:$B$502,$A63,지출내역!$E$3:$E$502,H$2))</f>
        <v/>
      </c>
      <c r="I63" s="11" t="str">
        <f aca="false">IF($A63="","",SUMIFS(지출내역!$G$3:$G$502,지출내역!$B$3:$B$502,$A63,지출내역!$E$3:$E$502,I$2))</f>
        <v/>
      </c>
      <c r="J63" s="11" t="str">
        <f aca="false">IF($A63="","",SUM(D63:I63))</f>
        <v/>
      </c>
    </row>
    <row r="64" customFormat="false" ht="15" hidden="false" customHeight="false" outlineLevel="0" collapsed="false">
      <c r="A64" s="9" t="str">
        <f aca="false">IF(직원목록!$A64="","",직원목록!$A64)</f>
        <v/>
      </c>
      <c r="B64" s="9" t="str">
        <f aca="false">IF($A64="","",직원목록!$B64)</f>
        <v/>
      </c>
      <c r="C64" s="9" t="str">
        <f aca="false">IF($A64="","",직원목록!$C64)</f>
        <v/>
      </c>
      <c r="D64" s="11" t="str">
        <f aca="false">IF($A64="","",SUMIFS(지출내역!$G$3:$G$502,지출내역!$B$3:$B$502,$A64,지출내역!$E$3:$E$502,D$2))</f>
        <v/>
      </c>
      <c r="E64" s="11" t="str">
        <f aca="false">IF($A64="","",SUMIFS(지출내역!$G$3:$G$502,지출내역!$B$3:$B$502,$A64,지출내역!$E$3:$E$502,E$2))</f>
        <v/>
      </c>
      <c r="F64" s="11" t="str">
        <f aca="false">IF($A64="","",SUMIFS(지출내역!$G$3:$G$502,지출내역!$B$3:$B$502,$A64,지출내역!$E$3:$E$502,F$2))</f>
        <v/>
      </c>
      <c r="G64" s="11" t="str">
        <f aca="false">IF($A64="","",SUMIFS(지출내역!$G$3:$G$502,지출내역!$B$3:$B$502,$A64,지출내역!$E$3:$E$502,G$2))</f>
        <v/>
      </c>
      <c r="H64" s="11" t="str">
        <f aca="false">IF($A64="","",SUMIFS(지출내역!$G$3:$G$502,지출내역!$B$3:$B$502,$A64,지출내역!$E$3:$E$502,H$2))</f>
        <v/>
      </c>
      <c r="I64" s="11" t="str">
        <f aca="false">IF($A64="","",SUMIFS(지출내역!$G$3:$G$502,지출내역!$B$3:$B$502,$A64,지출내역!$E$3:$E$502,I$2))</f>
        <v/>
      </c>
      <c r="J64" s="11" t="str">
        <f aca="false">IF($A64="","",SUM(D64:I64))</f>
        <v/>
      </c>
    </row>
    <row r="65" customFormat="false" ht="15" hidden="false" customHeight="false" outlineLevel="0" collapsed="false">
      <c r="A65" s="9" t="str">
        <f aca="false">IF(직원목록!$A65="","",직원목록!$A65)</f>
        <v/>
      </c>
      <c r="B65" s="9" t="str">
        <f aca="false">IF($A65="","",직원목록!$B65)</f>
        <v/>
      </c>
      <c r="C65" s="9" t="str">
        <f aca="false">IF($A65="","",직원목록!$C65)</f>
        <v/>
      </c>
      <c r="D65" s="11" t="str">
        <f aca="false">IF($A65="","",SUMIFS(지출내역!$G$3:$G$502,지출내역!$B$3:$B$502,$A65,지출내역!$E$3:$E$502,D$2))</f>
        <v/>
      </c>
      <c r="E65" s="11" t="str">
        <f aca="false">IF($A65="","",SUMIFS(지출내역!$G$3:$G$502,지출내역!$B$3:$B$502,$A65,지출내역!$E$3:$E$502,E$2))</f>
        <v/>
      </c>
      <c r="F65" s="11" t="str">
        <f aca="false">IF($A65="","",SUMIFS(지출내역!$G$3:$G$502,지출내역!$B$3:$B$502,$A65,지출내역!$E$3:$E$502,F$2))</f>
        <v/>
      </c>
      <c r="G65" s="11" t="str">
        <f aca="false">IF($A65="","",SUMIFS(지출내역!$G$3:$G$502,지출내역!$B$3:$B$502,$A65,지출내역!$E$3:$E$502,G$2))</f>
        <v/>
      </c>
      <c r="H65" s="11" t="str">
        <f aca="false">IF($A65="","",SUMIFS(지출내역!$G$3:$G$502,지출내역!$B$3:$B$502,$A65,지출내역!$E$3:$E$502,H$2))</f>
        <v/>
      </c>
      <c r="I65" s="11" t="str">
        <f aca="false">IF($A65="","",SUMIFS(지출내역!$G$3:$G$502,지출내역!$B$3:$B$502,$A65,지출내역!$E$3:$E$502,I$2))</f>
        <v/>
      </c>
      <c r="J65" s="11" t="str">
        <f aca="false">IF($A65="","",SUM(D65:I65))</f>
        <v/>
      </c>
    </row>
    <row r="66" customFormat="false" ht="15" hidden="false" customHeight="false" outlineLevel="0" collapsed="false">
      <c r="A66" s="9" t="str">
        <f aca="false">IF(직원목록!$A66="","",직원목록!$A66)</f>
        <v/>
      </c>
      <c r="B66" s="9" t="str">
        <f aca="false">IF($A66="","",직원목록!$B66)</f>
        <v/>
      </c>
      <c r="C66" s="9" t="str">
        <f aca="false">IF($A66="","",직원목록!$C66)</f>
        <v/>
      </c>
      <c r="D66" s="11" t="str">
        <f aca="false">IF($A66="","",SUMIFS(지출내역!$G$3:$G$502,지출내역!$B$3:$B$502,$A66,지출내역!$E$3:$E$502,D$2))</f>
        <v/>
      </c>
      <c r="E66" s="11" t="str">
        <f aca="false">IF($A66="","",SUMIFS(지출내역!$G$3:$G$502,지출내역!$B$3:$B$502,$A66,지출내역!$E$3:$E$502,E$2))</f>
        <v/>
      </c>
      <c r="F66" s="11" t="str">
        <f aca="false">IF($A66="","",SUMIFS(지출내역!$G$3:$G$502,지출내역!$B$3:$B$502,$A66,지출내역!$E$3:$E$502,F$2))</f>
        <v/>
      </c>
      <c r="G66" s="11" t="str">
        <f aca="false">IF($A66="","",SUMIFS(지출내역!$G$3:$G$502,지출내역!$B$3:$B$502,$A66,지출내역!$E$3:$E$502,G$2))</f>
        <v/>
      </c>
      <c r="H66" s="11" t="str">
        <f aca="false">IF($A66="","",SUMIFS(지출내역!$G$3:$G$502,지출내역!$B$3:$B$502,$A66,지출내역!$E$3:$E$502,H$2))</f>
        <v/>
      </c>
      <c r="I66" s="11" t="str">
        <f aca="false">IF($A66="","",SUMIFS(지출내역!$G$3:$G$502,지출내역!$B$3:$B$502,$A66,지출내역!$E$3:$E$502,I$2))</f>
        <v/>
      </c>
      <c r="J66" s="11" t="str">
        <f aca="false">IF($A66="","",SUM(D66:I66))</f>
        <v/>
      </c>
    </row>
    <row r="67" customFormat="false" ht="15" hidden="false" customHeight="false" outlineLevel="0" collapsed="false">
      <c r="A67" s="9" t="str">
        <f aca="false">IF(직원목록!$A67="","",직원목록!$A67)</f>
        <v/>
      </c>
      <c r="B67" s="9" t="str">
        <f aca="false">IF($A67="","",직원목록!$B67)</f>
        <v/>
      </c>
      <c r="C67" s="9" t="str">
        <f aca="false">IF($A67="","",직원목록!$C67)</f>
        <v/>
      </c>
      <c r="D67" s="11" t="str">
        <f aca="false">IF($A67="","",SUMIFS(지출내역!$G$3:$G$502,지출내역!$B$3:$B$502,$A67,지출내역!$E$3:$E$502,D$2))</f>
        <v/>
      </c>
      <c r="E67" s="11" t="str">
        <f aca="false">IF($A67="","",SUMIFS(지출내역!$G$3:$G$502,지출내역!$B$3:$B$502,$A67,지출내역!$E$3:$E$502,E$2))</f>
        <v/>
      </c>
      <c r="F67" s="11" t="str">
        <f aca="false">IF($A67="","",SUMIFS(지출내역!$G$3:$G$502,지출내역!$B$3:$B$502,$A67,지출내역!$E$3:$E$502,F$2))</f>
        <v/>
      </c>
      <c r="G67" s="11" t="str">
        <f aca="false">IF($A67="","",SUMIFS(지출내역!$G$3:$G$502,지출내역!$B$3:$B$502,$A67,지출내역!$E$3:$E$502,G$2))</f>
        <v/>
      </c>
      <c r="H67" s="11" t="str">
        <f aca="false">IF($A67="","",SUMIFS(지출내역!$G$3:$G$502,지출내역!$B$3:$B$502,$A67,지출내역!$E$3:$E$502,H$2))</f>
        <v/>
      </c>
      <c r="I67" s="11" t="str">
        <f aca="false">IF($A67="","",SUMIFS(지출내역!$G$3:$G$502,지출내역!$B$3:$B$502,$A67,지출내역!$E$3:$E$502,I$2))</f>
        <v/>
      </c>
      <c r="J67" s="11" t="str">
        <f aca="false">IF($A67="","",SUM(D67:I67))</f>
        <v/>
      </c>
    </row>
    <row r="68" customFormat="false" ht="15" hidden="false" customHeight="false" outlineLevel="0" collapsed="false">
      <c r="A68" s="9" t="str">
        <f aca="false">IF(직원목록!$A68="","",직원목록!$A68)</f>
        <v/>
      </c>
      <c r="B68" s="9" t="str">
        <f aca="false">IF($A68="","",직원목록!$B68)</f>
        <v/>
      </c>
      <c r="C68" s="9" t="str">
        <f aca="false">IF($A68="","",직원목록!$C68)</f>
        <v/>
      </c>
      <c r="D68" s="11" t="str">
        <f aca="false">IF($A68="","",SUMIFS(지출내역!$G$3:$G$502,지출내역!$B$3:$B$502,$A68,지출내역!$E$3:$E$502,D$2))</f>
        <v/>
      </c>
      <c r="E68" s="11" t="str">
        <f aca="false">IF($A68="","",SUMIFS(지출내역!$G$3:$G$502,지출내역!$B$3:$B$502,$A68,지출내역!$E$3:$E$502,E$2))</f>
        <v/>
      </c>
      <c r="F68" s="11" t="str">
        <f aca="false">IF($A68="","",SUMIFS(지출내역!$G$3:$G$502,지출내역!$B$3:$B$502,$A68,지출내역!$E$3:$E$502,F$2))</f>
        <v/>
      </c>
      <c r="G68" s="11" t="str">
        <f aca="false">IF($A68="","",SUMIFS(지출내역!$G$3:$G$502,지출내역!$B$3:$B$502,$A68,지출내역!$E$3:$E$502,G$2))</f>
        <v/>
      </c>
      <c r="H68" s="11" t="str">
        <f aca="false">IF($A68="","",SUMIFS(지출내역!$G$3:$G$502,지출내역!$B$3:$B$502,$A68,지출내역!$E$3:$E$502,H$2))</f>
        <v/>
      </c>
      <c r="I68" s="11" t="str">
        <f aca="false">IF($A68="","",SUMIFS(지출내역!$G$3:$G$502,지출내역!$B$3:$B$502,$A68,지출내역!$E$3:$E$502,I$2))</f>
        <v/>
      </c>
      <c r="J68" s="11" t="str">
        <f aca="false">IF($A68="","",SUM(D68:I68))</f>
        <v/>
      </c>
    </row>
    <row r="69" customFormat="false" ht="15" hidden="false" customHeight="false" outlineLevel="0" collapsed="false">
      <c r="A69" s="9" t="str">
        <f aca="false">IF(직원목록!$A69="","",직원목록!$A69)</f>
        <v/>
      </c>
      <c r="B69" s="9" t="str">
        <f aca="false">IF($A69="","",직원목록!$B69)</f>
        <v/>
      </c>
      <c r="C69" s="9" t="str">
        <f aca="false">IF($A69="","",직원목록!$C69)</f>
        <v/>
      </c>
      <c r="D69" s="11" t="str">
        <f aca="false">IF($A69="","",SUMIFS(지출내역!$G$3:$G$502,지출내역!$B$3:$B$502,$A69,지출내역!$E$3:$E$502,D$2))</f>
        <v/>
      </c>
      <c r="E69" s="11" t="str">
        <f aca="false">IF($A69="","",SUMIFS(지출내역!$G$3:$G$502,지출내역!$B$3:$B$502,$A69,지출내역!$E$3:$E$502,E$2))</f>
        <v/>
      </c>
      <c r="F69" s="11" t="str">
        <f aca="false">IF($A69="","",SUMIFS(지출내역!$G$3:$G$502,지출내역!$B$3:$B$502,$A69,지출내역!$E$3:$E$502,F$2))</f>
        <v/>
      </c>
      <c r="G69" s="11" t="str">
        <f aca="false">IF($A69="","",SUMIFS(지출내역!$G$3:$G$502,지출내역!$B$3:$B$502,$A69,지출내역!$E$3:$E$502,G$2))</f>
        <v/>
      </c>
      <c r="H69" s="11" t="str">
        <f aca="false">IF($A69="","",SUMIFS(지출내역!$G$3:$G$502,지출내역!$B$3:$B$502,$A69,지출내역!$E$3:$E$502,H$2))</f>
        <v/>
      </c>
      <c r="I69" s="11" t="str">
        <f aca="false">IF($A69="","",SUMIFS(지출내역!$G$3:$G$502,지출내역!$B$3:$B$502,$A69,지출내역!$E$3:$E$502,I$2))</f>
        <v/>
      </c>
      <c r="J69" s="11" t="str">
        <f aca="false">IF($A69="","",SUM(D69:I69))</f>
        <v/>
      </c>
    </row>
    <row r="70" customFormat="false" ht="15" hidden="false" customHeight="false" outlineLevel="0" collapsed="false">
      <c r="A70" s="9" t="str">
        <f aca="false">IF(직원목록!$A70="","",직원목록!$A70)</f>
        <v/>
      </c>
      <c r="B70" s="9" t="str">
        <f aca="false">IF($A70="","",직원목록!$B70)</f>
        <v/>
      </c>
      <c r="C70" s="9" t="str">
        <f aca="false">IF($A70="","",직원목록!$C70)</f>
        <v/>
      </c>
      <c r="D70" s="11" t="str">
        <f aca="false">IF($A70="","",SUMIFS(지출내역!$G$3:$G$502,지출내역!$B$3:$B$502,$A70,지출내역!$E$3:$E$502,D$2))</f>
        <v/>
      </c>
      <c r="E70" s="11" t="str">
        <f aca="false">IF($A70="","",SUMIFS(지출내역!$G$3:$G$502,지출내역!$B$3:$B$502,$A70,지출내역!$E$3:$E$502,E$2))</f>
        <v/>
      </c>
      <c r="F70" s="11" t="str">
        <f aca="false">IF($A70="","",SUMIFS(지출내역!$G$3:$G$502,지출내역!$B$3:$B$502,$A70,지출내역!$E$3:$E$502,F$2))</f>
        <v/>
      </c>
      <c r="G70" s="11" t="str">
        <f aca="false">IF($A70="","",SUMIFS(지출내역!$G$3:$G$502,지출내역!$B$3:$B$502,$A70,지출내역!$E$3:$E$502,G$2))</f>
        <v/>
      </c>
      <c r="H70" s="11" t="str">
        <f aca="false">IF($A70="","",SUMIFS(지출내역!$G$3:$G$502,지출내역!$B$3:$B$502,$A70,지출내역!$E$3:$E$502,H$2))</f>
        <v/>
      </c>
      <c r="I70" s="11" t="str">
        <f aca="false">IF($A70="","",SUMIFS(지출내역!$G$3:$G$502,지출내역!$B$3:$B$502,$A70,지출내역!$E$3:$E$502,I$2))</f>
        <v/>
      </c>
      <c r="J70" s="11" t="str">
        <f aca="false">IF($A70="","",SUM(D70:I70))</f>
        <v/>
      </c>
    </row>
    <row r="71" customFormat="false" ht="15" hidden="false" customHeight="false" outlineLevel="0" collapsed="false">
      <c r="A71" s="9" t="str">
        <f aca="false">IF(직원목록!$A71="","",직원목록!$A71)</f>
        <v/>
      </c>
      <c r="B71" s="9" t="str">
        <f aca="false">IF($A71="","",직원목록!$B71)</f>
        <v/>
      </c>
      <c r="C71" s="9" t="str">
        <f aca="false">IF($A71="","",직원목록!$C71)</f>
        <v/>
      </c>
      <c r="D71" s="11" t="str">
        <f aca="false">IF($A71="","",SUMIFS(지출내역!$G$3:$G$502,지출내역!$B$3:$B$502,$A71,지출내역!$E$3:$E$502,D$2))</f>
        <v/>
      </c>
      <c r="E71" s="11" t="str">
        <f aca="false">IF($A71="","",SUMIFS(지출내역!$G$3:$G$502,지출내역!$B$3:$B$502,$A71,지출내역!$E$3:$E$502,E$2))</f>
        <v/>
      </c>
      <c r="F71" s="11" t="str">
        <f aca="false">IF($A71="","",SUMIFS(지출내역!$G$3:$G$502,지출내역!$B$3:$B$502,$A71,지출내역!$E$3:$E$502,F$2))</f>
        <v/>
      </c>
      <c r="G71" s="11" t="str">
        <f aca="false">IF($A71="","",SUMIFS(지출내역!$G$3:$G$502,지출내역!$B$3:$B$502,$A71,지출내역!$E$3:$E$502,G$2))</f>
        <v/>
      </c>
      <c r="H71" s="11" t="str">
        <f aca="false">IF($A71="","",SUMIFS(지출내역!$G$3:$G$502,지출내역!$B$3:$B$502,$A71,지출내역!$E$3:$E$502,H$2))</f>
        <v/>
      </c>
      <c r="I71" s="11" t="str">
        <f aca="false">IF($A71="","",SUMIFS(지출내역!$G$3:$G$502,지출내역!$B$3:$B$502,$A71,지출내역!$E$3:$E$502,I$2))</f>
        <v/>
      </c>
      <c r="J71" s="11" t="str">
        <f aca="false">IF($A71="","",SUM(D71:I71))</f>
        <v/>
      </c>
    </row>
    <row r="72" customFormat="false" ht="15" hidden="false" customHeight="false" outlineLevel="0" collapsed="false">
      <c r="A72" s="9" t="str">
        <f aca="false">IF(직원목록!$A72="","",직원목록!$A72)</f>
        <v/>
      </c>
      <c r="B72" s="9" t="str">
        <f aca="false">IF($A72="","",직원목록!$B72)</f>
        <v/>
      </c>
      <c r="C72" s="9" t="str">
        <f aca="false">IF($A72="","",직원목록!$C72)</f>
        <v/>
      </c>
      <c r="D72" s="11" t="str">
        <f aca="false">IF($A72="","",SUMIFS(지출내역!$G$3:$G$502,지출내역!$B$3:$B$502,$A72,지출내역!$E$3:$E$502,D$2))</f>
        <v/>
      </c>
      <c r="E72" s="11" t="str">
        <f aca="false">IF($A72="","",SUMIFS(지출내역!$G$3:$G$502,지출내역!$B$3:$B$502,$A72,지출내역!$E$3:$E$502,E$2))</f>
        <v/>
      </c>
      <c r="F72" s="11" t="str">
        <f aca="false">IF($A72="","",SUMIFS(지출내역!$G$3:$G$502,지출내역!$B$3:$B$502,$A72,지출내역!$E$3:$E$502,F$2))</f>
        <v/>
      </c>
      <c r="G72" s="11" t="str">
        <f aca="false">IF($A72="","",SUMIFS(지출내역!$G$3:$G$502,지출내역!$B$3:$B$502,$A72,지출내역!$E$3:$E$502,G$2))</f>
        <v/>
      </c>
      <c r="H72" s="11" t="str">
        <f aca="false">IF($A72="","",SUMIFS(지출내역!$G$3:$G$502,지출내역!$B$3:$B$502,$A72,지출내역!$E$3:$E$502,H$2))</f>
        <v/>
      </c>
      <c r="I72" s="11" t="str">
        <f aca="false">IF($A72="","",SUMIFS(지출내역!$G$3:$G$502,지출내역!$B$3:$B$502,$A72,지출내역!$E$3:$E$502,I$2))</f>
        <v/>
      </c>
      <c r="J72" s="11" t="str">
        <f aca="false">IF($A72="","",SUM(D72:I72))</f>
        <v/>
      </c>
    </row>
    <row r="73" customFormat="false" ht="15" hidden="false" customHeight="false" outlineLevel="0" collapsed="false">
      <c r="A73" s="9" t="str">
        <f aca="false">IF(직원목록!$A73="","",직원목록!$A73)</f>
        <v/>
      </c>
      <c r="B73" s="9" t="str">
        <f aca="false">IF($A73="","",직원목록!$B73)</f>
        <v/>
      </c>
      <c r="C73" s="9" t="str">
        <f aca="false">IF($A73="","",직원목록!$C73)</f>
        <v/>
      </c>
      <c r="D73" s="11" t="str">
        <f aca="false">IF($A73="","",SUMIFS(지출내역!$G$3:$G$502,지출내역!$B$3:$B$502,$A73,지출내역!$E$3:$E$502,D$2))</f>
        <v/>
      </c>
      <c r="E73" s="11" t="str">
        <f aca="false">IF($A73="","",SUMIFS(지출내역!$G$3:$G$502,지출내역!$B$3:$B$502,$A73,지출내역!$E$3:$E$502,E$2))</f>
        <v/>
      </c>
      <c r="F73" s="11" t="str">
        <f aca="false">IF($A73="","",SUMIFS(지출내역!$G$3:$G$502,지출내역!$B$3:$B$502,$A73,지출내역!$E$3:$E$502,F$2))</f>
        <v/>
      </c>
      <c r="G73" s="11" t="str">
        <f aca="false">IF($A73="","",SUMIFS(지출내역!$G$3:$G$502,지출내역!$B$3:$B$502,$A73,지출내역!$E$3:$E$502,G$2))</f>
        <v/>
      </c>
      <c r="H73" s="11" t="str">
        <f aca="false">IF($A73="","",SUMIFS(지출내역!$G$3:$G$502,지출내역!$B$3:$B$502,$A73,지출내역!$E$3:$E$502,H$2))</f>
        <v/>
      </c>
      <c r="I73" s="11" t="str">
        <f aca="false">IF($A73="","",SUMIFS(지출내역!$G$3:$G$502,지출내역!$B$3:$B$502,$A73,지출내역!$E$3:$E$502,I$2))</f>
        <v/>
      </c>
      <c r="J73" s="11" t="str">
        <f aca="false">IF($A73="","",SUM(D73:I73))</f>
        <v/>
      </c>
    </row>
    <row r="74" customFormat="false" ht="15" hidden="false" customHeight="false" outlineLevel="0" collapsed="false">
      <c r="A74" s="9" t="str">
        <f aca="false">IF(직원목록!$A74="","",직원목록!$A74)</f>
        <v/>
      </c>
      <c r="B74" s="9" t="str">
        <f aca="false">IF($A74="","",직원목록!$B74)</f>
        <v/>
      </c>
      <c r="C74" s="9" t="str">
        <f aca="false">IF($A74="","",직원목록!$C74)</f>
        <v/>
      </c>
      <c r="D74" s="11" t="str">
        <f aca="false">IF($A74="","",SUMIFS(지출내역!$G$3:$G$502,지출내역!$B$3:$B$502,$A74,지출내역!$E$3:$E$502,D$2))</f>
        <v/>
      </c>
      <c r="E74" s="11" t="str">
        <f aca="false">IF($A74="","",SUMIFS(지출내역!$G$3:$G$502,지출내역!$B$3:$B$502,$A74,지출내역!$E$3:$E$502,E$2))</f>
        <v/>
      </c>
      <c r="F74" s="11" t="str">
        <f aca="false">IF($A74="","",SUMIFS(지출내역!$G$3:$G$502,지출내역!$B$3:$B$502,$A74,지출내역!$E$3:$E$502,F$2))</f>
        <v/>
      </c>
      <c r="G74" s="11" t="str">
        <f aca="false">IF($A74="","",SUMIFS(지출내역!$G$3:$G$502,지출내역!$B$3:$B$502,$A74,지출내역!$E$3:$E$502,G$2))</f>
        <v/>
      </c>
      <c r="H74" s="11" t="str">
        <f aca="false">IF($A74="","",SUMIFS(지출내역!$G$3:$G$502,지출내역!$B$3:$B$502,$A74,지출내역!$E$3:$E$502,H$2))</f>
        <v/>
      </c>
      <c r="I74" s="11" t="str">
        <f aca="false">IF($A74="","",SUMIFS(지출내역!$G$3:$G$502,지출내역!$B$3:$B$502,$A74,지출내역!$E$3:$E$502,I$2))</f>
        <v/>
      </c>
      <c r="J74" s="11" t="str">
        <f aca="false">IF($A74="","",SUM(D74:I74))</f>
        <v/>
      </c>
    </row>
    <row r="75" customFormat="false" ht="15" hidden="false" customHeight="false" outlineLevel="0" collapsed="false">
      <c r="A75" s="9" t="str">
        <f aca="false">IF(직원목록!$A75="","",직원목록!$A75)</f>
        <v/>
      </c>
      <c r="B75" s="9" t="str">
        <f aca="false">IF($A75="","",직원목록!$B75)</f>
        <v/>
      </c>
      <c r="C75" s="9" t="str">
        <f aca="false">IF($A75="","",직원목록!$C75)</f>
        <v/>
      </c>
      <c r="D75" s="11" t="str">
        <f aca="false">IF($A75="","",SUMIFS(지출내역!$G$3:$G$502,지출내역!$B$3:$B$502,$A75,지출내역!$E$3:$E$502,D$2))</f>
        <v/>
      </c>
      <c r="E75" s="11" t="str">
        <f aca="false">IF($A75="","",SUMIFS(지출내역!$G$3:$G$502,지출내역!$B$3:$B$502,$A75,지출내역!$E$3:$E$502,E$2))</f>
        <v/>
      </c>
      <c r="F75" s="11" t="str">
        <f aca="false">IF($A75="","",SUMIFS(지출내역!$G$3:$G$502,지출내역!$B$3:$B$502,$A75,지출내역!$E$3:$E$502,F$2))</f>
        <v/>
      </c>
      <c r="G75" s="11" t="str">
        <f aca="false">IF($A75="","",SUMIFS(지출내역!$G$3:$G$502,지출내역!$B$3:$B$502,$A75,지출내역!$E$3:$E$502,G$2))</f>
        <v/>
      </c>
      <c r="H75" s="11" t="str">
        <f aca="false">IF($A75="","",SUMIFS(지출내역!$G$3:$G$502,지출내역!$B$3:$B$502,$A75,지출내역!$E$3:$E$502,H$2))</f>
        <v/>
      </c>
      <c r="I75" s="11" t="str">
        <f aca="false">IF($A75="","",SUMIFS(지출내역!$G$3:$G$502,지출내역!$B$3:$B$502,$A75,지출내역!$E$3:$E$502,I$2))</f>
        <v/>
      </c>
      <c r="J75" s="11" t="str">
        <f aca="false">IF($A75="","",SUM(D75:I75))</f>
        <v/>
      </c>
    </row>
    <row r="76" customFormat="false" ht="15" hidden="false" customHeight="false" outlineLevel="0" collapsed="false">
      <c r="A76" s="9" t="str">
        <f aca="false">IF(직원목록!$A76="","",직원목록!$A76)</f>
        <v/>
      </c>
      <c r="B76" s="9" t="str">
        <f aca="false">IF($A76="","",직원목록!$B76)</f>
        <v/>
      </c>
      <c r="C76" s="9" t="str">
        <f aca="false">IF($A76="","",직원목록!$C76)</f>
        <v/>
      </c>
      <c r="D76" s="11" t="str">
        <f aca="false">IF($A76="","",SUMIFS(지출내역!$G$3:$G$502,지출내역!$B$3:$B$502,$A76,지출내역!$E$3:$E$502,D$2))</f>
        <v/>
      </c>
      <c r="E76" s="11" t="str">
        <f aca="false">IF($A76="","",SUMIFS(지출내역!$G$3:$G$502,지출내역!$B$3:$B$502,$A76,지출내역!$E$3:$E$502,E$2))</f>
        <v/>
      </c>
      <c r="F76" s="11" t="str">
        <f aca="false">IF($A76="","",SUMIFS(지출내역!$G$3:$G$502,지출내역!$B$3:$B$502,$A76,지출내역!$E$3:$E$502,F$2))</f>
        <v/>
      </c>
      <c r="G76" s="11" t="str">
        <f aca="false">IF($A76="","",SUMIFS(지출내역!$G$3:$G$502,지출내역!$B$3:$B$502,$A76,지출내역!$E$3:$E$502,G$2))</f>
        <v/>
      </c>
      <c r="H76" s="11" t="str">
        <f aca="false">IF($A76="","",SUMIFS(지출내역!$G$3:$G$502,지출내역!$B$3:$B$502,$A76,지출내역!$E$3:$E$502,H$2))</f>
        <v/>
      </c>
      <c r="I76" s="11" t="str">
        <f aca="false">IF($A76="","",SUMIFS(지출내역!$G$3:$G$502,지출내역!$B$3:$B$502,$A76,지출내역!$E$3:$E$502,I$2))</f>
        <v/>
      </c>
      <c r="J76" s="11" t="str">
        <f aca="false">IF($A76="","",SUM(D76:I76))</f>
        <v/>
      </c>
    </row>
    <row r="77" customFormat="false" ht="15" hidden="false" customHeight="false" outlineLevel="0" collapsed="false">
      <c r="A77" s="9" t="str">
        <f aca="false">IF(직원목록!$A77="","",직원목록!$A77)</f>
        <v/>
      </c>
      <c r="B77" s="9" t="str">
        <f aca="false">IF($A77="","",직원목록!$B77)</f>
        <v/>
      </c>
      <c r="C77" s="9" t="str">
        <f aca="false">IF($A77="","",직원목록!$C77)</f>
        <v/>
      </c>
      <c r="D77" s="11" t="str">
        <f aca="false">IF($A77="","",SUMIFS(지출내역!$G$3:$G$502,지출내역!$B$3:$B$502,$A77,지출내역!$E$3:$E$502,D$2))</f>
        <v/>
      </c>
      <c r="E77" s="11" t="str">
        <f aca="false">IF($A77="","",SUMIFS(지출내역!$G$3:$G$502,지출내역!$B$3:$B$502,$A77,지출내역!$E$3:$E$502,E$2))</f>
        <v/>
      </c>
      <c r="F77" s="11" t="str">
        <f aca="false">IF($A77="","",SUMIFS(지출내역!$G$3:$G$502,지출내역!$B$3:$B$502,$A77,지출내역!$E$3:$E$502,F$2))</f>
        <v/>
      </c>
      <c r="G77" s="11" t="str">
        <f aca="false">IF($A77="","",SUMIFS(지출내역!$G$3:$G$502,지출내역!$B$3:$B$502,$A77,지출내역!$E$3:$E$502,G$2))</f>
        <v/>
      </c>
      <c r="H77" s="11" t="str">
        <f aca="false">IF($A77="","",SUMIFS(지출내역!$G$3:$G$502,지출내역!$B$3:$B$502,$A77,지출내역!$E$3:$E$502,H$2))</f>
        <v/>
      </c>
      <c r="I77" s="11" t="str">
        <f aca="false">IF($A77="","",SUMIFS(지출내역!$G$3:$G$502,지출내역!$B$3:$B$502,$A77,지출내역!$E$3:$E$502,I$2))</f>
        <v/>
      </c>
      <c r="J77" s="11" t="str">
        <f aca="false">IF($A77="","",SUM(D77:I77))</f>
        <v/>
      </c>
    </row>
    <row r="78" customFormat="false" ht="15" hidden="false" customHeight="false" outlineLevel="0" collapsed="false">
      <c r="A78" s="9" t="str">
        <f aca="false">IF(직원목록!$A78="","",직원목록!$A78)</f>
        <v/>
      </c>
      <c r="B78" s="9" t="str">
        <f aca="false">IF($A78="","",직원목록!$B78)</f>
        <v/>
      </c>
      <c r="C78" s="9" t="str">
        <f aca="false">IF($A78="","",직원목록!$C78)</f>
        <v/>
      </c>
      <c r="D78" s="11" t="str">
        <f aca="false">IF($A78="","",SUMIFS(지출내역!$G$3:$G$502,지출내역!$B$3:$B$502,$A78,지출내역!$E$3:$E$502,D$2))</f>
        <v/>
      </c>
      <c r="E78" s="11" t="str">
        <f aca="false">IF($A78="","",SUMIFS(지출내역!$G$3:$G$502,지출내역!$B$3:$B$502,$A78,지출내역!$E$3:$E$502,E$2))</f>
        <v/>
      </c>
      <c r="F78" s="11" t="str">
        <f aca="false">IF($A78="","",SUMIFS(지출내역!$G$3:$G$502,지출내역!$B$3:$B$502,$A78,지출내역!$E$3:$E$502,F$2))</f>
        <v/>
      </c>
      <c r="G78" s="11" t="str">
        <f aca="false">IF($A78="","",SUMIFS(지출내역!$G$3:$G$502,지출내역!$B$3:$B$502,$A78,지출내역!$E$3:$E$502,G$2))</f>
        <v/>
      </c>
      <c r="H78" s="11" t="str">
        <f aca="false">IF($A78="","",SUMIFS(지출내역!$G$3:$G$502,지출내역!$B$3:$B$502,$A78,지출내역!$E$3:$E$502,H$2))</f>
        <v/>
      </c>
      <c r="I78" s="11" t="str">
        <f aca="false">IF($A78="","",SUMIFS(지출내역!$G$3:$G$502,지출내역!$B$3:$B$502,$A78,지출내역!$E$3:$E$502,I$2))</f>
        <v/>
      </c>
      <c r="J78" s="11" t="str">
        <f aca="false">IF($A78="","",SUM(D78:I78))</f>
        <v/>
      </c>
    </row>
    <row r="79" customFormat="false" ht="15" hidden="false" customHeight="false" outlineLevel="0" collapsed="false">
      <c r="A79" s="9" t="str">
        <f aca="false">IF(직원목록!$A79="","",직원목록!$A79)</f>
        <v/>
      </c>
      <c r="B79" s="9" t="str">
        <f aca="false">IF($A79="","",직원목록!$B79)</f>
        <v/>
      </c>
      <c r="C79" s="9" t="str">
        <f aca="false">IF($A79="","",직원목록!$C79)</f>
        <v/>
      </c>
      <c r="D79" s="11" t="str">
        <f aca="false">IF($A79="","",SUMIFS(지출내역!$G$3:$G$502,지출내역!$B$3:$B$502,$A79,지출내역!$E$3:$E$502,D$2))</f>
        <v/>
      </c>
      <c r="E79" s="11" t="str">
        <f aca="false">IF($A79="","",SUMIFS(지출내역!$G$3:$G$502,지출내역!$B$3:$B$502,$A79,지출내역!$E$3:$E$502,E$2))</f>
        <v/>
      </c>
      <c r="F79" s="11" t="str">
        <f aca="false">IF($A79="","",SUMIFS(지출내역!$G$3:$G$502,지출내역!$B$3:$B$502,$A79,지출내역!$E$3:$E$502,F$2))</f>
        <v/>
      </c>
      <c r="G79" s="11" t="str">
        <f aca="false">IF($A79="","",SUMIFS(지출내역!$G$3:$G$502,지출내역!$B$3:$B$502,$A79,지출내역!$E$3:$E$502,G$2))</f>
        <v/>
      </c>
      <c r="H79" s="11" t="str">
        <f aca="false">IF($A79="","",SUMIFS(지출내역!$G$3:$G$502,지출내역!$B$3:$B$502,$A79,지출내역!$E$3:$E$502,H$2))</f>
        <v/>
      </c>
      <c r="I79" s="11" t="str">
        <f aca="false">IF($A79="","",SUMIFS(지출내역!$G$3:$G$502,지출내역!$B$3:$B$502,$A79,지출내역!$E$3:$E$502,I$2))</f>
        <v/>
      </c>
      <c r="J79" s="11" t="str">
        <f aca="false">IF($A79="","",SUM(D79:I79))</f>
        <v/>
      </c>
    </row>
    <row r="80" customFormat="false" ht="15" hidden="false" customHeight="false" outlineLevel="0" collapsed="false">
      <c r="A80" s="9" t="str">
        <f aca="false">IF(직원목록!$A80="","",직원목록!$A80)</f>
        <v/>
      </c>
      <c r="B80" s="9" t="str">
        <f aca="false">IF($A80="","",직원목록!$B80)</f>
        <v/>
      </c>
      <c r="C80" s="9" t="str">
        <f aca="false">IF($A80="","",직원목록!$C80)</f>
        <v/>
      </c>
      <c r="D80" s="11" t="str">
        <f aca="false">IF($A80="","",SUMIFS(지출내역!$G$3:$G$502,지출내역!$B$3:$B$502,$A80,지출내역!$E$3:$E$502,D$2))</f>
        <v/>
      </c>
      <c r="E80" s="11" t="str">
        <f aca="false">IF($A80="","",SUMIFS(지출내역!$G$3:$G$502,지출내역!$B$3:$B$502,$A80,지출내역!$E$3:$E$502,E$2))</f>
        <v/>
      </c>
      <c r="F80" s="11" t="str">
        <f aca="false">IF($A80="","",SUMIFS(지출내역!$G$3:$G$502,지출내역!$B$3:$B$502,$A80,지출내역!$E$3:$E$502,F$2))</f>
        <v/>
      </c>
      <c r="G80" s="11" t="str">
        <f aca="false">IF($A80="","",SUMIFS(지출내역!$G$3:$G$502,지출내역!$B$3:$B$502,$A80,지출내역!$E$3:$E$502,G$2))</f>
        <v/>
      </c>
      <c r="H80" s="11" t="str">
        <f aca="false">IF($A80="","",SUMIFS(지출내역!$G$3:$G$502,지출내역!$B$3:$B$502,$A80,지출내역!$E$3:$E$502,H$2))</f>
        <v/>
      </c>
      <c r="I80" s="11" t="str">
        <f aca="false">IF($A80="","",SUMIFS(지출내역!$G$3:$G$502,지출내역!$B$3:$B$502,$A80,지출내역!$E$3:$E$502,I$2))</f>
        <v/>
      </c>
      <c r="J80" s="11" t="str">
        <f aca="false">IF($A80="","",SUM(D80:I80))</f>
        <v/>
      </c>
    </row>
    <row r="81" customFormat="false" ht="15" hidden="false" customHeight="false" outlineLevel="0" collapsed="false">
      <c r="A81" s="9" t="str">
        <f aca="false">IF(직원목록!$A81="","",직원목록!$A81)</f>
        <v/>
      </c>
      <c r="B81" s="9" t="str">
        <f aca="false">IF($A81="","",직원목록!$B81)</f>
        <v/>
      </c>
      <c r="C81" s="9" t="str">
        <f aca="false">IF($A81="","",직원목록!$C81)</f>
        <v/>
      </c>
      <c r="D81" s="11" t="str">
        <f aca="false">IF($A81="","",SUMIFS(지출내역!$G$3:$G$502,지출내역!$B$3:$B$502,$A81,지출내역!$E$3:$E$502,D$2))</f>
        <v/>
      </c>
      <c r="E81" s="11" t="str">
        <f aca="false">IF($A81="","",SUMIFS(지출내역!$G$3:$G$502,지출내역!$B$3:$B$502,$A81,지출내역!$E$3:$E$502,E$2))</f>
        <v/>
      </c>
      <c r="F81" s="11" t="str">
        <f aca="false">IF($A81="","",SUMIFS(지출내역!$G$3:$G$502,지출내역!$B$3:$B$502,$A81,지출내역!$E$3:$E$502,F$2))</f>
        <v/>
      </c>
      <c r="G81" s="11" t="str">
        <f aca="false">IF($A81="","",SUMIFS(지출내역!$G$3:$G$502,지출내역!$B$3:$B$502,$A81,지출내역!$E$3:$E$502,G$2))</f>
        <v/>
      </c>
      <c r="H81" s="11" t="str">
        <f aca="false">IF($A81="","",SUMIFS(지출내역!$G$3:$G$502,지출내역!$B$3:$B$502,$A81,지출내역!$E$3:$E$502,H$2))</f>
        <v/>
      </c>
      <c r="I81" s="11" t="str">
        <f aca="false">IF($A81="","",SUMIFS(지출내역!$G$3:$G$502,지출내역!$B$3:$B$502,$A81,지출내역!$E$3:$E$502,I$2))</f>
        <v/>
      </c>
      <c r="J81" s="11" t="str">
        <f aca="false">IF($A81="","",SUM(D81:I81))</f>
        <v/>
      </c>
    </row>
    <row r="82" customFormat="false" ht="15" hidden="false" customHeight="false" outlineLevel="0" collapsed="false">
      <c r="A82" s="9" t="str">
        <f aca="false">IF(직원목록!$A82="","",직원목록!$A82)</f>
        <v/>
      </c>
      <c r="B82" s="9" t="str">
        <f aca="false">IF($A82="","",직원목록!$B82)</f>
        <v/>
      </c>
      <c r="C82" s="9" t="str">
        <f aca="false">IF($A82="","",직원목록!$C82)</f>
        <v/>
      </c>
      <c r="D82" s="11" t="str">
        <f aca="false">IF($A82="","",SUMIFS(지출내역!$G$3:$G$502,지출내역!$B$3:$B$502,$A82,지출내역!$E$3:$E$502,D$2))</f>
        <v/>
      </c>
      <c r="E82" s="11" t="str">
        <f aca="false">IF($A82="","",SUMIFS(지출내역!$G$3:$G$502,지출내역!$B$3:$B$502,$A82,지출내역!$E$3:$E$502,E$2))</f>
        <v/>
      </c>
      <c r="F82" s="11" t="str">
        <f aca="false">IF($A82="","",SUMIFS(지출내역!$G$3:$G$502,지출내역!$B$3:$B$502,$A82,지출내역!$E$3:$E$502,F$2))</f>
        <v/>
      </c>
      <c r="G82" s="11" t="str">
        <f aca="false">IF($A82="","",SUMIFS(지출내역!$G$3:$G$502,지출내역!$B$3:$B$502,$A82,지출내역!$E$3:$E$502,G$2))</f>
        <v/>
      </c>
      <c r="H82" s="11" t="str">
        <f aca="false">IF($A82="","",SUMIFS(지출내역!$G$3:$G$502,지출내역!$B$3:$B$502,$A82,지출내역!$E$3:$E$502,H$2))</f>
        <v/>
      </c>
      <c r="I82" s="11" t="str">
        <f aca="false">IF($A82="","",SUMIFS(지출내역!$G$3:$G$502,지출내역!$B$3:$B$502,$A82,지출내역!$E$3:$E$502,I$2))</f>
        <v/>
      </c>
      <c r="J82" s="11" t="str">
        <f aca="false">IF($A82="","",SUM(D82:I82))</f>
        <v/>
      </c>
    </row>
    <row r="83" customFormat="false" ht="15" hidden="false" customHeight="false" outlineLevel="0" collapsed="false">
      <c r="A83" s="9" t="str">
        <f aca="false">IF(직원목록!$A83="","",직원목록!$A83)</f>
        <v/>
      </c>
      <c r="B83" s="9" t="str">
        <f aca="false">IF($A83="","",직원목록!$B83)</f>
        <v/>
      </c>
      <c r="C83" s="9" t="str">
        <f aca="false">IF($A83="","",직원목록!$C83)</f>
        <v/>
      </c>
      <c r="D83" s="11" t="str">
        <f aca="false">IF($A83="","",SUMIFS(지출내역!$G$3:$G$502,지출내역!$B$3:$B$502,$A83,지출내역!$E$3:$E$502,D$2))</f>
        <v/>
      </c>
      <c r="E83" s="11" t="str">
        <f aca="false">IF($A83="","",SUMIFS(지출내역!$G$3:$G$502,지출내역!$B$3:$B$502,$A83,지출내역!$E$3:$E$502,E$2))</f>
        <v/>
      </c>
      <c r="F83" s="11" t="str">
        <f aca="false">IF($A83="","",SUMIFS(지출내역!$G$3:$G$502,지출내역!$B$3:$B$502,$A83,지출내역!$E$3:$E$502,F$2))</f>
        <v/>
      </c>
      <c r="G83" s="11" t="str">
        <f aca="false">IF($A83="","",SUMIFS(지출내역!$G$3:$G$502,지출내역!$B$3:$B$502,$A83,지출내역!$E$3:$E$502,G$2))</f>
        <v/>
      </c>
      <c r="H83" s="11" t="str">
        <f aca="false">IF($A83="","",SUMIFS(지출내역!$G$3:$G$502,지출내역!$B$3:$B$502,$A83,지출내역!$E$3:$E$502,H$2))</f>
        <v/>
      </c>
      <c r="I83" s="11" t="str">
        <f aca="false">IF($A83="","",SUMIFS(지출내역!$G$3:$G$502,지출내역!$B$3:$B$502,$A83,지출내역!$E$3:$E$502,I$2))</f>
        <v/>
      </c>
      <c r="J83" s="11" t="str">
        <f aca="false">IF($A83="","",SUM(D83:I83))</f>
        <v/>
      </c>
    </row>
    <row r="84" customFormat="false" ht="15" hidden="false" customHeight="false" outlineLevel="0" collapsed="false">
      <c r="A84" s="9" t="str">
        <f aca="false">IF(직원목록!$A84="","",직원목록!$A84)</f>
        <v/>
      </c>
      <c r="B84" s="9" t="str">
        <f aca="false">IF($A84="","",직원목록!$B84)</f>
        <v/>
      </c>
      <c r="C84" s="9" t="str">
        <f aca="false">IF($A84="","",직원목록!$C84)</f>
        <v/>
      </c>
      <c r="D84" s="11" t="str">
        <f aca="false">IF($A84="","",SUMIFS(지출내역!$G$3:$G$502,지출내역!$B$3:$B$502,$A84,지출내역!$E$3:$E$502,D$2))</f>
        <v/>
      </c>
      <c r="E84" s="11" t="str">
        <f aca="false">IF($A84="","",SUMIFS(지출내역!$G$3:$G$502,지출내역!$B$3:$B$502,$A84,지출내역!$E$3:$E$502,E$2))</f>
        <v/>
      </c>
      <c r="F84" s="11" t="str">
        <f aca="false">IF($A84="","",SUMIFS(지출내역!$G$3:$G$502,지출내역!$B$3:$B$502,$A84,지출내역!$E$3:$E$502,F$2))</f>
        <v/>
      </c>
      <c r="G84" s="11" t="str">
        <f aca="false">IF($A84="","",SUMIFS(지출내역!$G$3:$G$502,지출내역!$B$3:$B$502,$A84,지출내역!$E$3:$E$502,G$2))</f>
        <v/>
      </c>
      <c r="H84" s="11" t="str">
        <f aca="false">IF($A84="","",SUMIFS(지출내역!$G$3:$G$502,지출내역!$B$3:$B$502,$A84,지출내역!$E$3:$E$502,H$2))</f>
        <v/>
      </c>
      <c r="I84" s="11" t="str">
        <f aca="false">IF($A84="","",SUMIFS(지출내역!$G$3:$G$502,지출내역!$B$3:$B$502,$A84,지출내역!$E$3:$E$502,I$2))</f>
        <v/>
      </c>
      <c r="J84" s="11" t="str">
        <f aca="false">IF($A84="","",SUM(D84:I84))</f>
        <v/>
      </c>
    </row>
    <row r="85" customFormat="false" ht="15" hidden="false" customHeight="false" outlineLevel="0" collapsed="false">
      <c r="A85" s="9" t="str">
        <f aca="false">IF(직원목록!$A85="","",직원목록!$A85)</f>
        <v/>
      </c>
      <c r="B85" s="9" t="str">
        <f aca="false">IF($A85="","",직원목록!$B85)</f>
        <v/>
      </c>
      <c r="C85" s="9" t="str">
        <f aca="false">IF($A85="","",직원목록!$C85)</f>
        <v/>
      </c>
      <c r="D85" s="11" t="str">
        <f aca="false">IF($A85="","",SUMIFS(지출내역!$G$3:$G$502,지출내역!$B$3:$B$502,$A85,지출내역!$E$3:$E$502,D$2))</f>
        <v/>
      </c>
      <c r="E85" s="11" t="str">
        <f aca="false">IF($A85="","",SUMIFS(지출내역!$G$3:$G$502,지출내역!$B$3:$B$502,$A85,지출내역!$E$3:$E$502,E$2))</f>
        <v/>
      </c>
      <c r="F85" s="11" t="str">
        <f aca="false">IF($A85="","",SUMIFS(지출내역!$G$3:$G$502,지출내역!$B$3:$B$502,$A85,지출내역!$E$3:$E$502,F$2))</f>
        <v/>
      </c>
      <c r="G85" s="11" t="str">
        <f aca="false">IF($A85="","",SUMIFS(지출내역!$G$3:$G$502,지출내역!$B$3:$B$502,$A85,지출내역!$E$3:$E$502,G$2))</f>
        <v/>
      </c>
      <c r="H85" s="11" t="str">
        <f aca="false">IF($A85="","",SUMIFS(지출내역!$G$3:$G$502,지출내역!$B$3:$B$502,$A85,지출내역!$E$3:$E$502,H$2))</f>
        <v/>
      </c>
      <c r="I85" s="11" t="str">
        <f aca="false">IF($A85="","",SUMIFS(지출내역!$G$3:$G$502,지출내역!$B$3:$B$502,$A85,지출내역!$E$3:$E$502,I$2))</f>
        <v/>
      </c>
      <c r="J85" s="11" t="str">
        <f aca="false">IF($A85="","",SUM(D85:I85))</f>
        <v/>
      </c>
    </row>
    <row r="86" customFormat="false" ht="15" hidden="false" customHeight="false" outlineLevel="0" collapsed="false">
      <c r="A86" s="9" t="str">
        <f aca="false">IF(직원목록!$A86="","",직원목록!$A86)</f>
        <v/>
      </c>
      <c r="B86" s="9" t="str">
        <f aca="false">IF($A86="","",직원목록!$B86)</f>
        <v/>
      </c>
      <c r="C86" s="9" t="str">
        <f aca="false">IF($A86="","",직원목록!$C86)</f>
        <v/>
      </c>
      <c r="D86" s="11" t="str">
        <f aca="false">IF($A86="","",SUMIFS(지출내역!$G$3:$G$502,지출내역!$B$3:$B$502,$A86,지출내역!$E$3:$E$502,D$2))</f>
        <v/>
      </c>
      <c r="E86" s="11" t="str">
        <f aca="false">IF($A86="","",SUMIFS(지출내역!$G$3:$G$502,지출내역!$B$3:$B$502,$A86,지출내역!$E$3:$E$502,E$2))</f>
        <v/>
      </c>
      <c r="F86" s="11" t="str">
        <f aca="false">IF($A86="","",SUMIFS(지출내역!$G$3:$G$502,지출내역!$B$3:$B$502,$A86,지출내역!$E$3:$E$502,F$2))</f>
        <v/>
      </c>
      <c r="G86" s="11" t="str">
        <f aca="false">IF($A86="","",SUMIFS(지출내역!$G$3:$G$502,지출내역!$B$3:$B$502,$A86,지출내역!$E$3:$E$502,G$2))</f>
        <v/>
      </c>
      <c r="H86" s="11" t="str">
        <f aca="false">IF($A86="","",SUMIFS(지출내역!$G$3:$G$502,지출내역!$B$3:$B$502,$A86,지출내역!$E$3:$E$502,H$2))</f>
        <v/>
      </c>
      <c r="I86" s="11" t="str">
        <f aca="false">IF($A86="","",SUMIFS(지출내역!$G$3:$G$502,지출내역!$B$3:$B$502,$A86,지출내역!$E$3:$E$502,I$2))</f>
        <v/>
      </c>
      <c r="J86" s="11" t="str">
        <f aca="false">IF($A86="","",SUM(D86:I86))</f>
        <v/>
      </c>
    </row>
    <row r="87" customFormat="false" ht="15" hidden="false" customHeight="false" outlineLevel="0" collapsed="false">
      <c r="A87" s="9" t="str">
        <f aca="false">IF(직원목록!$A87="","",직원목록!$A87)</f>
        <v/>
      </c>
      <c r="B87" s="9" t="str">
        <f aca="false">IF($A87="","",직원목록!$B87)</f>
        <v/>
      </c>
      <c r="C87" s="9" t="str">
        <f aca="false">IF($A87="","",직원목록!$C87)</f>
        <v/>
      </c>
      <c r="D87" s="11" t="str">
        <f aca="false">IF($A87="","",SUMIFS(지출내역!$G$3:$G$502,지출내역!$B$3:$B$502,$A87,지출내역!$E$3:$E$502,D$2))</f>
        <v/>
      </c>
      <c r="E87" s="11" t="str">
        <f aca="false">IF($A87="","",SUMIFS(지출내역!$G$3:$G$502,지출내역!$B$3:$B$502,$A87,지출내역!$E$3:$E$502,E$2))</f>
        <v/>
      </c>
      <c r="F87" s="11" t="str">
        <f aca="false">IF($A87="","",SUMIFS(지출내역!$G$3:$G$502,지출내역!$B$3:$B$502,$A87,지출내역!$E$3:$E$502,F$2))</f>
        <v/>
      </c>
      <c r="G87" s="11" t="str">
        <f aca="false">IF($A87="","",SUMIFS(지출내역!$G$3:$G$502,지출내역!$B$3:$B$502,$A87,지출내역!$E$3:$E$502,G$2))</f>
        <v/>
      </c>
      <c r="H87" s="11" t="str">
        <f aca="false">IF($A87="","",SUMIFS(지출내역!$G$3:$G$502,지출내역!$B$3:$B$502,$A87,지출내역!$E$3:$E$502,H$2))</f>
        <v/>
      </c>
      <c r="I87" s="11" t="str">
        <f aca="false">IF($A87="","",SUMIFS(지출내역!$G$3:$G$502,지출내역!$B$3:$B$502,$A87,지출내역!$E$3:$E$502,I$2))</f>
        <v/>
      </c>
      <c r="J87" s="11" t="str">
        <f aca="false">IF($A87="","",SUM(D87:I87))</f>
        <v/>
      </c>
    </row>
    <row r="88" customFormat="false" ht="15" hidden="false" customHeight="false" outlineLevel="0" collapsed="false">
      <c r="A88" s="9" t="str">
        <f aca="false">IF(직원목록!$A88="","",직원목록!$A88)</f>
        <v/>
      </c>
      <c r="B88" s="9" t="str">
        <f aca="false">IF($A88="","",직원목록!$B88)</f>
        <v/>
      </c>
      <c r="C88" s="9" t="str">
        <f aca="false">IF($A88="","",직원목록!$C88)</f>
        <v/>
      </c>
      <c r="D88" s="11" t="str">
        <f aca="false">IF($A88="","",SUMIFS(지출내역!$G$3:$G$502,지출내역!$B$3:$B$502,$A88,지출내역!$E$3:$E$502,D$2))</f>
        <v/>
      </c>
      <c r="E88" s="11" t="str">
        <f aca="false">IF($A88="","",SUMIFS(지출내역!$G$3:$G$502,지출내역!$B$3:$B$502,$A88,지출내역!$E$3:$E$502,E$2))</f>
        <v/>
      </c>
      <c r="F88" s="11" t="str">
        <f aca="false">IF($A88="","",SUMIFS(지출내역!$G$3:$G$502,지출내역!$B$3:$B$502,$A88,지출내역!$E$3:$E$502,F$2))</f>
        <v/>
      </c>
      <c r="G88" s="11" t="str">
        <f aca="false">IF($A88="","",SUMIFS(지출내역!$G$3:$G$502,지출내역!$B$3:$B$502,$A88,지출내역!$E$3:$E$502,G$2))</f>
        <v/>
      </c>
      <c r="H88" s="11" t="str">
        <f aca="false">IF($A88="","",SUMIFS(지출내역!$G$3:$G$502,지출내역!$B$3:$B$502,$A88,지출내역!$E$3:$E$502,H$2))</f>
        <v/>
      </c>
      <c r="I88" s="11" t="str">
        <f aca="false">IF($A88="","",SUMIFS(지출내역!$G$3:$G$502,지출내역!$B$3:$B$502,$A88,지출내역!$E$3:$E$502,I$2))</f>
        <v/>
      </c>
      <c r="J88" s="11" t="str">
        <f aca="false">IF($A88="","",SUM(D88:I88))</f>
        <v/>
      </c>
    </row>
    <row r="89" customFormat="false" ht="15" hidden="false" customHeight="false" outlineLevel="0" collapsed="false">
      <c r="A89" s="9" t="str">
        <f aca="false">IF(직원목록!$A89="","",직원목록!$A89)</f>
        <v/>
      </c>
      <c r="B89" s="9" t="str">
        <f aca="false">IF($A89="","",직원목록!$B89)</f>
        <v/>
      </c>
      <c r="C89" s="9" t="str">
        <f aca="false">IF($A89="","",직원목록!$C89)</f>
        <v/>
      </c>
      <c r="D89" s="11" t="str">
        <f aca="false">IF($A89="","",SUMIFS(지출내역!$G$3:$G$502,지출내역!$B$3:$B$502,$A89,지출내역!$E$3:$E$502,D$2))</f>
        <v/>
      </c>
      <c r="E89" s="11" t="str">
        <f aca="false">IF($A89="","",SUMIFS(지출내역!$G$3:$G$502,지출내역!$B$3:$B$502,$A89,지출내역!$E$3:$E$502,E$2))</f>
        <v/>
      </c>
      <c r="F89" s="11" t="str">
        <f aca="false">IF($A89="","",SUMIFS(지출내역!$G$3:$G$502,지출내역!$B$3:$B$502,$A89,지출내역!$E$3:$E$502,F$2))</f>
        <v/>
      </c>
      <c r="G89" s="11" t="str">
        <f aca="false">IF($A89="","",SUMIFS(지출내역!$G$3:$G$502,지출내역!$B$3:$B$502,$A89,지출내역!$E$3:$E$502,G$2))</f>
        <v/>
      </c>
      <c r="H89" s="11" t="str">
        <f aca="false">IF($A89="","",SUMIFS(지출내역!$G$3:$G$502,지출내역!$B$3:$B$502,$A89,지출내역!$E$3:$E$502,H$2))</f>
        <v/>
      </c>
      <c r="I89" s="11" t="str">
        <f aca="false">IF($A89="","",SUMIFS(지출내역!$G$3:$G$502,지출내역!$B$3:$B$502,$A89,지출내역!$E$3:$E$502,I$2))</f>
        <v/>
      </c>
      <c r="J89" s="11" t="str">
        <f aca="false">IF($A89="","",SUM(D89:I89))</f>
        <v/>
      </c>
    </row>
    <row r="90" customFormat="false" ht="15" hidden="false" customHeight="false" outlineLevel="0" collapsed="false">
      <c r="A90" s="9" t="str">
        <f aca="false">IF(직원목록!$A90="","",직원목록!$A90)</f>
        <v/>
      </c>
      <c r="B90" s="9" t="str">
        <f aca="false">IF($A90="","",직원목록!$B90)</f>
        <v/>
      </c>
      <c r="C90" s="9" t="str">
        <f aca="false">IF($A90="","",직원목록!$C90)</f>
        <v/>
      </c>
      <c r="D90" s="11" t="str">
        <f aca="false">IF($A90="","",SUMIFS(지출내역!$G$3:$G$502,지출내역!$B$3:$B$502,$A90,지출내역!$E$3:$E$502,D$2))</f>
        <v/>
      </c>
      <c r="E90" s="11" t="str">
        <f aca="false">IF($A90="","",SUMIFS(지출내역!$G$3:$G$502,지출내역!$B$3:$B$502,$A90,지출내역!$E$3:$E$502,E$2))</f>
        <v/>
      </c>
      <c r="F90" s="11" t="str">
        <f aca="false">IF($A90="","",SUMIFS(지출내역!$G$3:$G$502,지출내역!$B$3:$B$502,$A90,지출내역!$E$3:$E$502,F$2))</f>
        <v/>
      </c>
      <c r="G90" s="11" t="str">
        <f aca="false">IF($A90="","",SUMIFS(지출내역!$G$3:$G$502,지출내역!$B$3:$B$502,$A90,지출내역!$E$3:$E$502,G$2))</f>
        <v/>
      </c>
      <c r="H90" s="11" t="str">
        <f aca="false">IF($A90="","",SUMIFS(지출내역!$G$3:$G$502,지출내역!$B$3:$B$502,$A90,지출내역!$E$3:$E$502,H$2))</f>
        <v/>
      </c>
      <c r="I90" s="11" t="str">
        <f aca="false">IF($A90="","",SUMIFS(지출내역!$G$3:$G$502,지출내역!$B$3:$B$502,$A90,지출내역!$E$3:$E$502,I$2))</f>
        <v/>
      </c>
      <c r="J90" s="11" t="str">
        <f aca="false">IF($A90="","",SUM(D90:I90))</f>
        <v/>
      </c>
    </row>
    <row r="91" customFormat="false" ht="15" hidden="false" customHeight="false" outlineLevel="0" collapsed="false">
      <c r="A91" s="9" t="str">
        <f aca="false">IF(직원목록!$A91="","",직원목록!$A91)</f>
        <v/>
      </c>
      <c r="B91" s="9" t="str">
        <f aca="false">IF($A91="","",직원목록!$B91)</f>
        <v/>
      </c>
      <c r="C91" s="9" t="str">
        <f aca="false">IF($A91="","",직원목록!$C91)</f>
        <v/>
      </c>
      <c r="D91" s="11" t="str">
        <f aca="false">IF($A91="","",SUMIFS(지출내역!$G$3:$G$502,지출내역!$B$3:$B$502,$A91,지출내역!$E$3:$E$502,D$2))</f>
        <v/>
      </c>
      <c r="E91" s="11" t="str">
        <f aca="false">IF($A91="","",SUMIFS(지출내역!$G$3:$G$502,지출내역!$B$3:$B$502,$A91,지출내역!$E$3:$E$502,E$2))</f>
        <v/>
      </c>
      <c r="F91" s="11" t="str">
        <f aca="false">IF($A91="","",SUMIFS(지출내역!$G$3:$G$502,지출내역!$B$3:$B$502,$A91,지출내역!$E$3:$E$502,F$2))</f>
        <v/>
      </c>
      <c r="G91" s="11" t="str">
        <f aca="false">IF($A91="","",SUMIFS(지출내역!$G$3:$G$502,지출내역!$B$3:$B$502,$A91,지출내역!$E$3:$E$502,G$2))</f>
        <v/>
      </c>
      <c r="H91" s="11" t="str">
        <f aca="false">IF($A91="","",SUMIFS(지출내역!$G$3:$G$502,지출내역!$B$3:$B$502,$A91,지출내역!$E$3:$E$502,H$2))</f>
        <v/>
      </c>
      <c r="I91" s="11" t="str">
        <f aca="false">IF($A91="","",SUMIFS(지출내역!$G$3:$G$502,지출내역!$B$3:$B$502,$A91,지출내역!$E$3:$E$502,I$2))</f>
        <v/>
      </c>
      <c r="J91" s="11" t="str">
        <f aca="false">IF($A91="","",SUM(D91:I91))</f>
        <v/>
      </c>
    </row>
    <row r="92" customFormat="false" ht="15" hidden="false" customHeight="false" outlineLevel="0" collapsed="false">
      <c r="A92" s="9" t="str">
        <f aca="false">IF(직원목록!$A92="","",직원목록!$A92)</f>
        <v/>
      </c>
      <c r="B92" s="9" t="str">
        <f aca="false">IF($A92="","",직원목록!$B92)</f>
        <v/>
      </c>
      <c r="C92" s="9" t="str">
        <f aca="false">IF($A92="","",직원목록!$C92)</f>
        <v/>
      </c>
      <c r="D92" s="11" t="str">
        <f aca="false">IF($A92="","",SUMIFS(지출내역!$G$3:$G$502,지출내역!$B$3:$B$502,$A92,지출내역!$E$3:$E$502,D$2))</f>
        <v/>
      </c>
      <c r="E92" s="11" t="str">
        <f aca="false">IF($A92="","",SUMIFS(지출내역!$G$3:$G$502,지출내역!$B$3:$B$502,$A92,지출내역!$E$3:$E$502,E$2))</f>
        <v/>
      </c>
      <c r="F92" s="11" t="str">
        <f aca="false">IF($A92="","",SUMIFS(지출내역!$G$3:$G$502,지출내역!$B$3:$B$502,$A92,지출내역!$E$3:$E$502,F$2))</f>
        <v/>
      </c>
      <c r="G92" s="11" t="str">
        <f aca="false">IF($A92="","",SUMIFS(지출내역!$G$3:$G$502,지출내역!$B$3:$B$502,$A92,지출내역!$E$3:$E$502,G$2))</f>
        <v/>
      </c>
      <c r="H92" s="11" t="str">
        <f aca="false">IF($A92="","",SUMIFS(지출내역!$G$3:$G$502,지출내역!$B$3:$B$502,$A92,지출내역!$E$3:$E$502,H$2))</f>
        <v/>
      </c>
      <c r="I92" s="11" t="str">
        <f aca="false">IF($A92="","",SUMIFS(지출내역!$G$3:$G$502,지출내역!$B$3:$B$502,$A92,지출내역!$E$3:$E$502,I$2))</f>
        <v/>
      </c>
      <c r="J92" s="11" t="str">
        <f aca="false">IF($A92="","",SUM(D92:I92))</f>
        <v/>
      </c>
    </row>
    <row r="93" customFormat="false" ht="15" hidden="false" customHeight="false" outlineLevel="0" collapsed="false">
      <c r="A93" s="9" t="str">
        <f aca="false">IF(직원목록!$A93="","",직원목록!$A93)</f>
        <v/>
      </c>
      <c r="B93" s="9" t="str">
        <f aca="false">IF($A93="","",직원목록!$B93)</f>
        <v/>
      </c>
      <c r="C93" s="9" t="str">
        <f aca="false">IF($A93="","",직원목록!$C93)</f>
        <v/>
      </c>
      <c r="D93" s="11" t="str">
        <f aca="false">IF($A93="","",SUMIFS(지출내역!$G$3:$G$502,지출내역!$B$3:$B$502,$A93,지출내역!$E$3:$E$502,D$2))</f>
        <v/>
      </c>
      <c r="E93" s="11" t="str">
        <f aca="false">IF($A93="","",SUMIFS(지출내역!$G$3:$G$502,지출내역!$B$3:$B$502,$A93,지출내역!$E$3:$E$502,E$2))</f>
        <v/>
      </c>
      <c r="F93" s="11" t="str">
        <f aca="false">IF($A93="","",SUMIFS(지출내역!$G$3:$G$502,지출내역!$B$3:$B$502,$A93,지출내역!$E$3:$E$502,F$2))</f>
        <v/>
      </c>
      <c r="G93" s="11" t="str">
        <f aca="false">IF($A93="","",SUMIFS(지출내역!$G$3:$G$502,지출내역!$B$3:$B$502,$A93,지출내역!$E$3:$E$502,G$2))</f>
        <v/>
      </c>
      <c r="H93" s="11" t="str">
        <f aca="false">IF($A93="","",SUMIFS(지출내역!$G$3:$G$502,지출내역!$B$3:$B$502,$A93,지출내역!$E$3:$E$502,H$2))</f>
        <v/>
      </c>
      <c r="I93" s="11" t="str">
        <f aca="false">IF($A93="","",SUMIFS(지출내역!$G$3:$G$502,지출내역!$B$3:$B$502,$A93,지출내역!$E$3:$E$502,I$2))</f>
        <v/>
      </c>
      <c r="J93" s="11" t="str">
        <f aca="false">IF($A93="","",SUM(D93:I93))</f>
        <v/>
      </c>
    </row>
    <row r="94" customFormat="false" ht="15" hidden="false" customHeight="false" outlineLevel="0" collapsed="false">
      <c r="A94" s="9" t="str">
        <f aca="false">IF(직원목록!$A94="","",직원목록!$A94)</f>
        <v/>
      </c>
      <c r="B94" s="9" t="str">
        <f aca="false">IF($A94="","",직원목록!$B94)</f>
        <v/>
      </c>
      <c r="C94" s="9" t="str">
        <f aca="false">IF($A94="","",직원목록!$C94)</f>
        <v/>
      </c>
      <c r="D94" s="11" t="str">
        <f aca="false">IF($A94="","",SUMIFS(지출내역!$G$3:$G$502,지출내역!$B$3:$B$502,$A94,지출내역!$E$3:$E$502,D$2))</f>
        <v/>
      </c>
      <c r="E94" s="11" t="str">
        <f aca="false">IF($A94="","",SUMIFS(지출내역!$G$3:$G$502,지출내역!$B$3:$B$502,$A94,지출내역!$E$3:$E$502,E$2))</f>
        <v/>
      </c>
      <c r="F94" s="11" t="str">
        <f aca="false">IF($A94="","",SUMIFS(지출내역!$G$3:$G$502,지출내역!$B$3:$B$502,$A94,지출내역!$E$3:$E$502,F$2))</f>
        <v/>
      </c>
      <c r="G94" s="11" t="str">
        <f aca="false">IF($A94="","",SUMIFS(지출내역!$G$3:$G$502,지출내역!$B$3:$B$502,$A94,지출내역!$E$3:$E$502,G$2))</f>
        <v/>
      </c>
      <c r="H94" s="11" t="str">
        <f aca="false">IF($A94="","",SUMIFS(지출내역!$G$3:$G$502,지출내역!$B$3:$B$502,$A94,지출내역!$E$3:$E$502,H$2))</f>
        <v/>
      </c>
      <c r="I94" s="11" t="str">
        <f aca="false">IF($A94="","",SUMIFS(지출내역!$G$3:$G$502,지출내역!$B$3:$B$502,$A94,지출내역!$E$3:$E$502,I$2))</f>
        <v/>
      </c>
      <c r="J94" s="11" t="str">
        <f aca="false">IF($A94="","",SUM(D94:I94))</f>
        <v/>
      </c>
    </row>
    <row r="95" customFormat="false" ht="15" hidden="false" customHeight="false" outlineLevel="0" collapsed="false">
      <c r="A95" s="9" t="str">
        <f aca="false">IF(직원목록!$A95="","",직원목록!$A95)</f>
        <v/>
      </c>
      <c r="B95" s="9" t="str">
        <f aca="false">IF($A95="","",직원목록!$B95)</f>
        <v/>
      </c>
      <c r="C95" s="9" t="str">
        <f aca="false">IF($A95="","",직원목록!$C95)</f>
        <v/>
      </c>
      <c r="D95" s="11" t="str">
        <f aca="false">IF($A95="","",SUMIFS(지출내역!$G$3:$G$502,지출내역!$B$3:$B$502,$A95,지출내역!$E$3:$E$502,D$2))</f>
        <v/>
      </c>
      <c r="E95" s="11" t="str">
        <f aca="false">IF($A95="","",SUMIFS(지출내역!$G$3:$G$502,지출내역!$B$3:$B$502,$A95,지출내역!$E$3:$E$502,E$2))</f>
        <v/>
      </c>
      <c r="F95" s="11" t="str">
        <f aca="false">IF($A95="","",SUMIFS(지출내역!$G$3:$G$502,지출내역!$B$3:$B$502,$A95,지출내역!$E$3:$E$502,F$2))</f>
        <v/>
      </c>
      <c r="G95" s="11" t="str">
        <f aca="false">IF($A95="","",SUMIFS(지출내역!$G$3:$G$502,지출내역!$B$3:$B$502,$A95,지출내역!$E$3:$E$502,G$2))</f>
        <v/>
      </c>
      <c r="H95" s="11" t="str">
        <f aca="false">IF($A95="","",SUMIFS(지출내역!$G$3:$G$502,지출내역!$B$3:$B$502,$A95,지출내역!$E$3:$E$502,H$2))</f>
        <v/>
      </c>
      <c r="I95" s="11" t="str">
        <f aca="false">IF($A95="","",SUMIFS(지출내역!$G$3:$G$502,지출내역!$B$3:$B$502,$A95,지출내역!$E$3:$E$502,I$2))</f>
        <v/>
      </c>
      <c r="J95" s="11" t="str">
        <f aca="false">IF($A95="","",SUM(D95:I95))</f>
        <v/>
      </c>
    </row>
    <row r="96" customFormat="false" ht="15" hidden="false" customHeight="false" outlineLevel="0" collapsed="false">
      <c r="A96" s="9" t="str">
        <f aca="false">IF(직원목록!$A96="","",직원목록!$A96)</f>
        <v/>
      </c>
      <c r="B96" s="9" t="str">
        <f aca="false">IF($A96="","",직원목록!$B96)</f>
        <v/>
      </c>
      <c r="C96" s="9" t="str">
        <f aca="false">IF($A96="","",직원목록!$C96)</f>
        <v/>
      </c>
      <c r="D96" s="11" t="str">
        <f aca="false">IF($A96="","",SUMIFS(지출내역!$G$3:$G$502,지출내역!$B$3:$B$502,$A96,지출내역!$E$3:$E$502,D$2))</f>
        <v/>
      </c>
      <c r="E96" s="11" t="str">
        <f aca="false">IF($A96="","",SUMIFS(지출내역!$G$3:$G$502,지출내역!$B$3:$B$502,$A96,지출내역!$E$3:$E$502,E$2))</f>
        <v/>
      </c>
      <c r="F96" s="11" t="str">
        <f aca="false">IF($A96="","",SUMIFS(지출내역!$G$3:$G$502,지출내역!$B$3:$B$502,$A96,지출내역!$E$3:$E$502,F$2))</f>
        <v/>
      </c>
      <c r="G96" s="11" t="str">
        <f aca="false">IF($A96="","",SUMIFS(지출내역!$G$3:$G$502,지출내역!$B$3:$B$502,$A96,지출내역!$E$3:$E$502,G$2))</f>
        <v/>
      </c>
      <c r="H96" s="11" t="str">
        <f aca="false">IF($A96="","",SUMIFS(지출내역!$G$3:$G$502,지출내역!$B$3:$B$502,$A96,지출내역!$E$3:$E$502,H$2))</f>
        <v/>
      </c>
      <c r="I96" s="11" t="str">
        <f aca="false">IF($A96="","",SUMIFS(지출내역!$G$3:$G$502,지출내역!$B$3:$B$502,$A96,지출내역!$E$3:$E$502,I$2))</f>
        <v/>
      </c>
      <c r="J96" s="11" t="str">
        <f aca="false">IF($A96="","",SUM(D96:I96))</f>
        <v/>
      </c>
    </row>
    <row r="97" customFormat="false" ht="15" hidden="false" customHeight="false" outlineLevel="0" collapsed="false">
      <c r="A97" s="9" t="str">
        <f aca="false">IF(직원목록!$A97="","",직원목록!$A97)</f>
        <v/>
      </c>
      <c r="B97" s="9" t="str">
        <f aca="false">IF($A97="","",직원목록!$B97)</f>
        <v/>
      </c>
      <c r="C97" s="9" t="str">
        <f aca="false">IF($A97="","",직원목록!$C97)</f>
        <v/>
      </c>
      <c r="D97" s="11" t="str">
        <f aca="false">IF($A97="","",SUMIFS(지출내역!$G$3:$G$502,지출내역!$B$3:$B$502,$A97,지출내역!$E$3:$E$502,D$2))</f>
        <v/>
      </c>
      <c r="E97" s="11" t="str">
        <f aca="false">IF($A97="","",SUMIFS(지출내역!$G$3:$G$502,지출내역!$B$3:$B$502,$A97,지출내역!$E$3:$E$502,E$2))</f>
        <v/>
      </c>
      <c r="F97" s="11" t="str">
        <f aca="false">IF($A97="","",SUMIFS(지출내역!$G$3:$G$502,지출내역!$B$3:$B$502,$A97,지출내역!$E$3:$E$502,F$2))</f>
        <v/>
      </c>
      <c r="G97" s="11" t="str">
        <f aca="false">IF($A97="","",SUMIFS(지출내역!$G$3:$G$502,지출내역!$B$3:$B$502,$A97,지출내역!$E$3:$E$502,G$2))</f>
        <v/>
      </c>
      <c r="H97" s="11" t="str">
        <f aca="false">IF($A97="","",SUMIFS(지출내역!$G$3:$G$502,지출내역!$B$3:$B$502,$A97,지출내역!$E$3:$E$502,H$2))</f>
        <v/>
      </c>
      <c r="I97" s="11" t="str">
        <f aca="false">IF($A97="","",SUMIFS(지출내역!$G$3:$G$502,지출내역!$B$3:$B$502,$A97,지출내역!$E$3:$E$502,I$2))</f>
        <v/>
      </c>
      <c r="J97" s="11" t="str">
        <f aca="false">IF($A97="","",SUM(D97:I97))</f>
        <v/>
      </c>
    </row>
    <row r="98" customFormat="false" ht="15" hidden="false" customHeight="false" outlineLevel="0" collapsed="false">
      <c r="A98" s="9" t="str">
        <f aca="false">IF(직원목록!$A98="","",직원목록!$A98)</f>
        <v/>
      </c>
      <c r="B98" s="9" t="str">
        <f aca="false">IF($A98="","",직원목록!$B98)</f>
        <v/>
      </c>
      <c r="C98" s="9" t="str">
        <f aca="false">IF($A98="","",직원목록!$C98)</f>
        <v/>
      </c>
      <c r="D98" s="11" t="str">
        <f aca="false">IF($A98="","",SUMIFS(지출내역!$G$3:$G$502,지출내역!$B$3:$B$502,$A98,지출내역!$E$3:$E$502,D$2))</f>
        <v/>
      </c>
      <c r="E98" s="11" t="str">
        <f aca="false">IF($A98="","",SUMIFS(지출내역!$G$3:$G$502,지출내역!$B$3:$B$502,$A98,지출내역!$E$3:$E$502,E$2))</f>
        <v/>
      </c>
      <c r="F98" s="11" t="str">
        <f aca="false">IF($A98="","",SUMIFS(지출내역!$G$3:$G$502,지출내역!$B$3:$B$502,$A98,지출내역!$E$3:$E$502,F$2))</f>
        <v/>
      </c>
      <c r="G98" s="11" t="str">
        <f aca="false">IF($A98="","",SUMIFS(지출내역!$G$3:$G$502,지출내역!$B$3:$B$502,$A98,지출내역!$E$3:$E$502,G$2))</f>
        <v/>
      </c>
      <c r="H98" s="11" t="str">
        <f aca="false">IF($A98="","",SUMIFS(지출내역!$G$3:$G$502,지출내역!$B$3:$B$502,$A98,지출내역!$E$3:$E$502,H$2))</f>
        <v/>
      </c>
      <c r="I98" s="11" t="str">
        <f aca="false">IF($A98="","",SUMIFS(지출내역!$G$3:$G$502,지출내역!$B$3:$B$502,$A98,지출내역!$E$3:$E$502,I$2))</f>
        <v/>
      </c>
      <c r="J98" s="11" t="str">
        <f aca="false">IF($A98="","",SUM(D98:I98))</f>
        <v/>
      </c>
    </row>
    <row r="99" customFormat="false" ht="15" hidden="false" customHeight="false" outlineLevel="0" collapsed="false">
      <c r="A99" s="9" t="str">
        <f aca="false">IF(직원목록!$A99="","",직원목록!$A99)</f>
        <v/>
      </c>
      <c r="B99" s="9" t="str">
        <f aca="false">IF($A99="","",직원목록!$B99)</f>
        <v/>
      </c>
      <c r="C99" s="9" t="str">
        <f aca="false">IF($A99="","",직원목록!$C99)</f>
        <v/>
      </c>
      <c r="D99" s="11" t="str">
        <f aca="false">IF($A99="","",SUMIFS(지출내역!$G$3:$G$502,지출내역!$B$3:$B$502,$A99,지출내역!$E$3:$E$502,D$2))</f>
        <v/>
      </c>
      <c r="E99" s="11" t="str">
        <f aca="false">IF($A99="","",SUMIFS(지출내역!$G$3:$G$502,지출내역!$B$3:$B$502,$A99,지출내역!$E$3:$E$502,E$2))</f>
        <v/>
      </c>
      <c r="F99" s="11" t="str">
        <f aca="false">IF($A99="","",SUMIFS(지출내역!$G$3:$G$502,지출내역!$B$3:$B$502,$A99,지출내역!$E$3:$E$502,F$2))</f>
        <v/>
      </c>
      <c r="G99" s="11" t="str">
        <f aca="false">IF($A99="","",SUMIFS(지출내역!$G$3:$G$502,지출내역!$B$3:$B$502,$A99,지출내역!$E$3:$E$502,G$2))</f>
        <v/>
      </c>
      <c r="H99" s="11" t="str">
        <f aca="false">IF($A99="","",SUMIFS(지출내역!$G$3:$G$502,지출내역!$B$3:$B$502,$A99,지출내역!$E$3:$E$502,H$2))</f>
        <v/>
      </c>
      <c r="I99" s="11" t="str">
        <f aca="false">IF($A99="","",SUMIFS(지출내역!$G$3:$G$502,지출내역!$B$3:$B$502,$A99,지출내역!$E$3:$E$502,I$2))</f>
        <v/>
      </c>
      <c r="J99" s="11" t="str">
        <f aca="false">IF($A99="","",SUM(D99:I99))</f>
        <v/>
      </c>
    </row>
    <row r="100" customFormat="false" ht="15" hidden="false" customHeight="false" outlineLevel="0" collapsed="false">
      <c r="A100" s="9" t="str">
        <f aca="false">IF(직원목록!$A100="","",직원목록!$A100)</f>
        <v/>
      </c>
      <c r="B100" s="9" t="str">
        <f aca="false">IF($A100="","",직원목록!$B100)</f>
        <v/>
      </c>
      <c r="C100" s="9" t="str">
        <f aca="false">IF($A100="","",직원목록!$C100)</f>
        <v/>
      </c>
      <c r="D100" s="11" t="str">
        <f aca="false">IF($A100="","",SUMIFS(지출내역!$G$3:$G$502,지출내역!$B$3:$B$502,$A100,지출내역!$E$3:$E$502,D$2))</f>
        <v/>
      </c>
      <c r="E100" s="11" t="str">
        <f aca="false">IF($A100="","",SUMIFS(지출내역!$G$3:$G$502,지출내역!$B$3:$B$502,$A100,지출내역!$E$3:$E$502,E$2))</f>
        <v/>
      </c>
      <c r="F100" s="11" t="str">
        <f aca="false">IF($A100="","",SUMIFS(지출내역!$G$3:$G$502,지출내역!$B$3:$B$502,$A100,지출내역!$E$3:$E$502,F$2))</f>
        <v/>
      </c>
      <c r="G100" s="11" t="str">
        <f aca="false">IF($A100="","",SUMIFS(지출내역!$G$3:$G$502,지출내역!$B$3:$B$502,$A100,지출내역!$E$3:$E$502,G$2))</f>
        <v/>
      </c>
      <c r="H100" s="11" t="str">
        <f aca="false">IF($A100="","",SUMIFS(지출내역!$G$3:$G$502,지출내역!$B$3:$B$502,$A100,지출내역!$E$3:$E$502,H$2))</f>
        <v/>
      </c>
      <c r="I100" s="11" t="str">
        <f aca="false">IF($A100="","",SUMIFS(지출내역!$G$3:$G$502,지출내역!$B$3:$B$502,$A100,지출내역!$E$3:$E$502,I$2))</f>
        <v/>
      </c>
      <c r="J100" s="11" t="str">
        <f aca="false">IF($A100="","",SUM(D100:I100))</f>
        <v/>
      </c>
    </row>
    <row r="101" customFormat="false" ht="15" hidden="false" customHeight="false" outlineLevel="0" collapsed="false">
      <c r="A101" s="9" t="str">
        <f aca="false">IF(직원목록!$A101="","",직원목록!$A101)</f>
        <v/>
      </c>
      <c r="B101" s="9" t="str">
        <f aca="false">IF($A101="","",직원목록!$B101)</f>
        <v/>
      </c>
      <c r="C101" s="9" t="str">
        <f aca="false">IF($A101="","",직원목록!$C101)</f>
        <v/>
      </c>
      <c r="D101" s="11" t="str">
        <f aca="false">IF($A101="","",SUMIFS(지출내역!$G$3:$G$502,지출내역!$B$3:$B$502,$A101,지출내역!$E$3:$E$502,D$2))</f>
        <v/>
      </c>
      <c r="E101" s="11" t="str">
        <f aca="false">IF($A101="","",SUMIFS(지출내역!$G$3:$G$502,지출내역!$B$3:$B$502,$A101,지출내역!$E$3:$E$502,E$2))</f>
        <v/>
      </c>
      <c r="F101" s="11" t="str">
        <f aca="false">IF($A101="","",SUMIFS(지출내역!$G$3:$G$502,지출내역!$B$3:$B$502,$A101,지출내역!$E$3:$E$502,F$2))</f>
        <v/>
      </c>
      <c r="G101" s="11" t="str">
        <f aca="false">IF($A101="","",SUMIFS(지출내역!$G$3:$G$502,지출내역!$B$3:$B$502,$A101,지출내역!$E$3:$E$502,G$2))</f>
        <v/>
      </c>
      <c r="H101" s="11" t="str">
        <f aca="false">IF($A101="","",SUMIFS(지출내역!$G$3:$G$502,지출내역!$B$3:$B$502,$A101,지출내역!$E$3:$E$502,H$2))</f>
        <v/>
      </c>
      <c r="I101" s="11" t="str">
        <f aca="false">IF($A101="","",SUMIFS(지출내역!$G$3:$G$502,지출내역!$B$3:$B$502,$A101,지출내역!$E$3:$E$502,I$2))</f>
        <v/>
      </c>
      <c r="J101" s="11" t="str">
        <f aca="false">IF($A101="","",SUM(D101:I101))</f>
        <v/>
      </c>
    </row>
    <row r="102" customFormat="false" ht="15" hidden="false" customHeight="false" outlineLevel="0" collapsed="false">
      <c r="A102" s="9" t="str">
        <f aca="false">IF(직원목록!$A102="","",직원목록!$A102)</f>
        <v/>
      </c>
      <c r="B102" s="9" t="str">
        <f aca="false">IF($A102="","",직원목록!$B102)</f>
        <v/>
      </c>
      <c r="C102" s="9" t="str">
        <f aca="false">IF($A102="","",직원목록!$C102)</f>
        <v/>
      </c>
      <c r="D102" s="11" t="str">
        <f aca="false">IF($A102="","",SUMIFS(지출내역!$G$3:$G$502,지출내역!$B$3:$B$502,$A102,지출내역!$E$3:$E$502,D$2))</f>
        <v/>
      </c>
      <c r="E102" s="11" t="str">
        <f aca="false">IF($A102="","",SUMIFS(지출내역!$G$3:$G$502,지출내역!$B$3:$B$502,$A102,지출내역!$E$3:$E$502,E$2))</f>
        <v/>
      </c>
      <c r="F102" s="11" t="str">
        <f aca="false">IF($A102="","",SUMIFS(지출내역!$G$3:$G$502,지출내역!$B$3:$B$502,$A102,지출내역!$E$3:$E$502,F$2))</f>
        <v/>
      </c>
      <c r="G102" s="11" t="str">
        <f aca="false">IF($A102="","",SUMIFS(지출내역!$G$3:$G$502,지출내역!$B$3:$B$502,$A102,지출내역!$E$3:$E$502,G$2))</f>
        <v/>
      </c>
      <c r="H102" s="11" t="str">
        <f aca="false">IF($A102="","",SUMIFS(지출내역!$G$3:$G$502,지출내역!$B$3:$B$502,$A102,지출내역!$E$3:$E$502,H$2))</f>
        <v/>
      </c>
      <c r="I102" s="11" t="str">
        <f aca="false">IF($A102="","",SUMIFS(지출내역!$G$3:$G$502,지출내역!$B$3:$B$502,$A102,지출내역!$E$3:$E$502,I$2))</f>
        <v/>
      </c>
      <c r="J102" s="11" t="str">
        <f aca="false">IF($A102="","",SUM(D102:I102))</f>
        <v/>
      </c>
    </row>
    <row r="103" customFormat="false" ht="15" hidden="false" customHeight="false" outlineLevel="0" collapsed="false">
      <c r="A103" s="9" t="str">
        <f aca="false">IF(직원목록!$A103="","",직원목록!$A103)</f>
        <v/>
      </c>
      <c r="B103" s="9" t="str">
        <f aca="false">IF($A103="","",직원목록!$B103)</f>
        <v/>
      </c>
      <c r="C103" s="9" t="str">
        <f aca="false">IF($A103="","",직원목록!$C103)</f>
        <v/>
      </c>
      <c r="D103" s="11" t="str">
        <f aca="false">IF($A103="","",SUMIFS(지출내역!$G$3:$G$502,지출내역!$B$3:$B$502,$A103,지출내역!$E$3:$E$502,D$2))</f>
        <v/>
      </c>
      <c r="E103" s="11" t="str">
        <f aca="false">IF($A103="","",SUMIFS(지출내역!$G$3:$G$502,지출내역!$B$3:$B$502,$A103,지출내역!$E$3:$E$502,E$2))</f>
        <v/>
      </c>
      <c r="F103" s="11" t="str">
        <f aca="false">IF($A103="","",SUMIFS(지출내역!$G$3:$G$502,지출내역!$B$3:$B$502,$A103,지출내역!$E$3:$E$502,F$2))</f>
        <v/>
      </c>
      <c r="G103" s="11" t="str">
        <f aca="false">IF($A103="","",SUMIFS(지출내역!$G$3:$G$502,지출내역!$B$3:$B$502,$A103,지출내역!$E$3:$E$502,G$2))</f>
        <v/>
      </c>
      <c r="H103" s="11" t="str">
        <f aca="false">IF($A103="","",SUMIFS(지출내역!$G$3:$G$502,지출내역!$B$3:$B$502,$A103,지출내역!$E$3:$E$502,H$2))</f>
        <v/>
      </c>
      <c r="I103" s="11" t="str">
        <f aca="false">IF($A103="","",SUMIFS(지출내역!$G$3:$G$502,지출내역!$B$3:$B$502,$A103,지출내역!$E$3:$E$502,I$2))</f>
        <v/>
      </c>
      <c r="J103" s="11" t="str">
        <f aca="false">IF($A103="","",SUM(D103:I103))</f>
        <v/>
      </c>
    </row>
    <row r="104" customFormat="false" ht="15" hidden="false" customHeight="false" outlineLevel="0" collapsed="false">
      <c r="A104" s="9" t="str">
        <f aca="false">IF(직원목록!$A104="","",직원목록!$A104)</f>
        <v/>
      </c>
      <c r="B104" s="9" t="str">
        <f aca="false">IF($A104="","",직원목록!$B104)</f>
        <v/>
      </c>
      <c r="C104" s="9" t="str">
        <f aca="false">IF($A104="","",직원목록!$C104)</f>
        <v/>
      </c>
      <c r="D104" s="11" t="str">
        <f aca="false">IF($A104="","",SUMIFS(지출내역!$G$3:$G$502,지출내역!$B$3:$B$502,$A104,지출내역!$E$3:$E$502,D$2))</f>
        <v/>
      </c>
      <c r="E104" s="11" t="str">
        <f aca="false">IF($A104="","",SUMIFS(지출내역!$G$3:$G$502,지출내역!$B$3:$B$502,$A104,지출내역!$E$3:$E$502,E$2))</f>
        <v/>
      </c>
      <c r="F104" s="11" t="str">
        <f aca="false">IF($A104="","",SUMIFS(지출내역!$G$3:$G$502,지출내역!$B$3:$B$502,$A104,지출내역!$E$3:$E$502,F$2))</f>
        <v/>
      </c>
      <c r="G104" s="11" t="str">
        <f aca="false">IF($A104="","",SUMIFS(지출내역!$G$3:$G$502,지출내역!$B$3:$B$502,$A104,지출내역!$E$3:$E$502,G$2))</f>
        <v/>
      </c>
      <c r="H104" s="11" t="str">
        <f aca="false">IF($A104="","",SUMIFS(지출내역!$G$3:$G$502,지출내역!$B$3:$B$502,$A104,지출내역!$E$3:$E$502,H$2))</f>
        <v/>
      </c>
      <c r="I104" s="11" t="str">
        <f aca="false">IF($A104="","",SUMIFS(지출내역!$G$3:$G$502,지출내역!$B$3:$B$502,$A104,지출내역!$E$3:$E$502,I$2))</f>
        <v/>
      </c>
      <c r="J104" s="11" t="str">
        <f aca="false">IF($A104="","",SUM(D104:I104))</f>
        <v/>
      </c>
    </row>
    <row r="105" customFormat="false" ht="15" hidden="false" customHeight="false" outlineLevel="0" collapsed="false">
      <c r="A105" s="9" t="str">
        <f aca="false">IF(직원목록!$A105="","",직원목록!$A105)</f>
        <v/>
      </c>
      <c r="B105" s="9" t="str">
        <f aca="false">IF($A105="","",직원목록!$B105)</f>
        <v/>
      </c>
      <c r="C105" s="9" t="str">
        <f aca="false">IF($A105="","",직원목록!$C105)</f>
        <v/>
      </c>
      <c r="D105" s="11" t="str">
        <f aca="false">IF($A105="","",SUMIFS(지출내역!$G$3:$G$502,지출내역!$B$3:$B$502,$A105,지출내역!$E$3:$E$502,D$2))</f>
        <v/>
      </c>
      <c r="E105" s="11" t="str">
        <f aca="false">IF($A105="","",SUMIFS(지출내역!$G$3:$G$502,지출내역!$B$3:$B$502,$A105,지출내역!$E$3:$E$502,E$2))</f>
        <v/>
      </c>
      <c r="F105" s="11" t="str">
        <f aca="false">IF($A105="","",SUMIFS(지출내역!$G$3:$G$502,지출내역!$B$3:$B$502,$A105,지출내역!$E$3:$E$502,F$2))</f>
        <v/>
      </c>
      <c r="G105" s="11" t="str">
        <f aca="false">IF($A105="","",SUMIFS(지출내역!$G$3:$G$502,지출내역!$B$3:$B$502,$A105,지출내역!$E$3:$E$502,G$2))</f>
        <v/>
      </c>
      <c r="H105" s="11" t="str">
        <f aca="false">IF($A105="","",SUMIFS(지출내역!$G$3:$G$502,지출내역!$B$3:$B$502,$A105,지출내역!$E$3:$E$502,H$2))</f>
        <v/>
      </c>
      <c r="I105" s="11" t="str">
        <f aca="false">IF($A105="","",SUMIFS(지출내역!$G$3:$G$502,지출내역!$B$3:$B$502,$A105,지출내역!$E$3:$E$502,I$2))</f>
        <v/>
      </c>
      <c r="J105" s="11" t="str">
        <f aca="false">IF($A105="","",SUM(D105:I105))</f>
        <v/>
      </c>
    </row>
    <row r="106" customFormat="false" ht="15" hidden="false" customHeight="false" outlineLevel="0" collapsed="false">
      <c r="A106" s="9" t="str">
        <f aca="false">IF(직원목록!$A106="","",직원목록!$A106)</f>
        <v/>
      </c>
      <c r="B106" s="9" t="str">
        <f aca="false">IF($A106="","",직원목록!$B106)</f>
        <v/>
      </c>
      <c r="C106" s="9" t="str">
        <f aca="false">IF($A106="","",직원목록!$C106)</f>
        <v/>
      </c>
      <c r="D106" s="11" t="str">
        <f aca="false">IF($A106="","",SUMIFS(지출내역!$G$3:$G$502,지출내역!$B$3:$B$502,$A106,지출내역!$E$3:$E$502,D$2))</f>
        <v/>
      </c>
      <c r="E106" s="11" t="str">
        <f aca="false">IF($A106="","",SUMIFS(지출내역!$G$3:$G$502,지출내역!$B$3:$B$502,$A106,지출내역!$E$3:$E$502,E$2))</f>
        <v/>
      </c>
      <c r="F106" s="11" t="str">
        <f aca="false">IF($A106="","",SUMIFS(지출내역!$G$3:$G$502,지출내역!$B$3:$B$502,$A106,지출내역!$E$3:$E$502,F$2))</f>
        <v/>
      </c>
      <c r="G106" s="11" t="str">
        <f aca="false">IF($A106="","",SUMIFS(지출내역!$G$3:$G$502,지출내역!$B$3:$B$502,$A106,지출내역!$E$3:$E$502,G$2))</f>
        <v/>
      </c>
      <c r="H106" s="11" t="str">
        <f aca="false">IF($A106="","",SUMIFS(지출내역!$G$3:$G$502,지출내역!$B$3:$B$502,$A106,지출내역!$E$3:$E$502,H$2))</f>
        <v/>
      </c>
      <c r="I106" s="11" t="str">
        <f aca="false">IF($A106="","",SUMIFS(지출내역!$G$3:$G$502,지출내역!$B$3:$B$502,$A106,지출내역!$E$3:$E$502,I$2))</f>
        <v/>
      </c>
      <c r="J106" s="11" t="str">
        <f aca="false">IF($A106="","",SUM(D106:I106))</f>
        <v/>
      </c>
    </row>
    <row r="107" customFormat="false" ht="15" hidden="false" customHeight="false" outlineLevel="0" collapsed="false">
      <c r="A107" s="9" t="str">
        <f aca="false">IF(직원목록!$A107="","",직원목록!$A107)</f>
        <v/>
      </c>
      <c r="B107" s="9" t="str">
        <f aca="false">IF($A107="","",직원목록!$B107)</f>
        <v/>
      </c>
      <c r="C107" s="9" t="str">
        <f aca="false">IF($A107="","",직원목록!$C107)</f>
        <v/>
      </c>
      <c r="D107" s="11" t="str">
        <f aca="false">IF($A107="","",SUMIFS(지출내역!$G$3:$G$502,지출내역!$B$3:$B$502,$A107,지출내역!$E$3:$E$502,D$2))</f>
        <v/>
      </c>
      <c r="E107" s="11" t="str">
        <f aca="false">IF($A107="","",SUMIFS(지출내역!$G$3:$G$502,지출내역!$B$3:$B$502,$A107,지출내역!$E$3:$E$502,E$2))</f>
        <v/>
      </c>
      <c r="F107" s="11" t="str">
        <f aca="false">IF($A107="","",SUMIFS(지출내역!$G$3:$G$502,지출내역!$B$3:$B$502,$A107,지출내역!$E$3:$E$502,F$2))</f>
        <v/>
      </c>
      <c r="G107" s="11" t="str">
        <f aca="false">IF($A107="","",SUMIFS(지출내역!$G$3:$G$502,지출내역!$B$3:$B$502,$A107,지출내역!$E$3:$E$502,G$2))</f>
        <v/>
      </c>
      <c r="H107" s="11" t="str">
        <f aca="false">IF($A107="","",SUMIFS(지출내역!$G$3:$G$502,지출내역!$B$3:$B$502,$A107,지출내역!$E$3:$E$502,H$2))</f>
        <v/>
      </c>
      <c r="I107" s="11" t="str">
        <f aca="false">IF($A107="","",SUMIFS(지출내역!$G$3:$G$502,지출내역!$B$3:$B$502,$A107,지출내역!$E$3:$E$502,I$2))</f>
        <v/>
      </c>
      <c r="J107" s="11" t="str">
        <f aca="false">IF($A107="","",SUM(D107:I107))</f>
        <v/>
      </c>
    </row>
    <row r="108" customFormat="false" ht="15" hidden="false" customHeight="false" outlineLevel="0" collapsed="false">
      <c r="A108" s="9" t="str">
        <f aca="false">IF(직원목록!$A108="","",직원목록!$A108)</f>
        <v/>
      </c>
      <c r="B108" s="9" t="str">
        <f aca="false">IF($A108="","",직원목록!$B108)</f>
        <v/>
      </c>
      <c r="C108" s="9" t="str">
        <f aca="false">IF($A108="","",직원목록!$C108)</f>
        <v/>
      </c>
      <c r="D108" s="11" t="str">
        <f aca="false">IF($A108="","",SUMIFS(지출내역!$G$3:$G$502,지출내역!$B$3:$B$502,$A108,지출내역!$E$3:$E$502,D$2))</f>
        <v/>
      </c>
      <c r="E108" s="11" t="str">
        <f aca="false">IF($A108="","",SUMIFS(지출내역!$G$3:$G$502,지출내역!$B$3:$B$502,$A108,지출내역!$E$3:$E$502,E$2))</f>
        <v/>
      </c>
      <c r="F108" s="11" t="str">
        <f aca="false">IF($A108="","",SUMIFS(지출내역!$G$3:$G$502,지출내역!$B$3:$B$502,$A108,지출내역!$E$3:$E$502,F$2))</f>
        <v/>
      </c>
      <c r="G108" s="11" t="str">
        <f aca="false">IF($A108="","",SUMIFS(지출내역!$G$3:$G$502,지출내역!$B$3:$B$502,$A108,지출내역!$E$3:$E$502,G$2))</f>
        <v/>
      </c>
      <c r="H108" s="11" t="str">
        <f aca="false">IF($A108="","",SUMIFS(지출내역!$G$3:$G$502,지출내역!$B$3:$B$502,$A108,지출내역!$E$3:$E$502,H$2))</f>
        <v/>
      </c>
      <c r="I108" s="11" t="str">
        <f aca="false">IF($A108="","",SUMIFS(지출내역!$G$3:$G$502,지출내역!$B$3:$B$502,$A108,지출내역!$E$3:$E$502,I$2))</f>
        <v/>
      </c>
      <c r="J108" s="11" t="str">
        <f aca="false">IF($A108="","",SUM(D108:I108))</f>
        <v/>
      </c>
    </row>
    <row r="109" customFormat="false" ht="15" hidden="false" customHeight="false" outlineLevel="0" collapsed="false">
      <c r="A109" s="9" t="str">
        <f aca="false">IF(직원목록!$A109="","",직원목록!$A109)</f>
        <v/>
      </c>
      <c r="B109" s="9" t="str">
        <f aca="false">IF($A109="","",직원목록!$B109)</f>
        <v/>
      </c>
      <c r="C109" s="9" t="str">
        <f aca="false">IF($A109="","",직원목록!$C109)</f>
        <v/>
      </c>
      <c r="D109" s="11" t="str">
        <f aca="false">IF($A109="","",SUMIFS(지출내역!$G$3:$G$502,지출내역!$B$3:$B$502,$A109,지출내역!$E$3:$E$502,D$2))</f>
        <v/>
      </c>
      <c r="E109" s="11" t="str">
        <f aca="false">IF($A109="","",SUMIFS(지출내역!$G$3:$G$502,지출내역!$B$3:$B$502,$A109,지출내역!$E$3:$E$502,E$2))</f>
        <v/>
      </c>
      <c r="F109" s="11" t="str">
        <f aca="false">IF($A109="","",SUMIFS(지출내역!$G$3:$G$502,지출내역!$B$3:$B$502,$A109,지출내역!$E$3:$E$502,F$2))</f>
        <v/>
      </c>
      <c r="G109" s="11" t="str">
        <f aca="false">IF($A109="","",SUMIFS(지출내역!$G$3:$G$502,지출내역!$B$3:$B$502,$A109,지출내역!$E$3:$E$502,G$2))</f>
        <v/>
      </c>
      <c r="H109" s="11" t="str">
        <f aca="false">IF($A109="","",SUMIFS(지출내역!$G$3:$G$502,지출내역!$B$3:$B$502,$A109,지출내역!$E$3:$E$502,H$2))</f>
        <v/>
      </c>
      <c r="I109" s="11" t="str">
        <f aca="false">IF($A109="","",SUMIFS(지출내역!$G$3:$G$502,지출내역!$B$3:$B$502,$A109,지출내역!$E$3:$E$502,I$2))</f>
        <v/>
      </c>
      <c r="J109" s="11" t="str">
        <f aca="false">IF($A109="","",SUM(D109:I109))</f>
        <v/>
      </c>
    </row>
    <row r="110" customFormat="false" ht="15" hidden="false" customHeight="false" outlineLevel="0" collapsed="false">
      <c r="A110" s="9" t="str">
        <f aca="false">IF(직원목록!$A110="","",직원목록!$A110)</f>
        <v/>
      </c>
      <c r="B110" s="9" t="str">
        <f aca="false">IF($A110="","",직원목록!$B110)</f>
        <v/>
      </c>
      <c r="C110" s="9" t="str">
        <f aca="false">IF($A110="","",직원목록!$C110)</f>
        <v/>
      </c>
      <c r="D110" s="11" t="str">
        <f aca="false">IF($A110="","",SUMIFS(지출내역!$G$3:$G$502,지출내역!$B$3:$B$502,$A110,지출내역!$E$3:$E$502,D$2))</f>
        <v/>
      </c>
      <c r="E110" s="11" t="str">
        <f aca="false">IF($A110="","",SUMIFS(지출내역!$G$3:$G$502,지출내역!$B$3:$B$502,$A110,지출내역!$E$3:$E$502,E$2))</f>
        <v/>
      </c>
      <c r="F110" s="11" t="str">
        <f aca="false">IF($A110="","",SUMIFS(지출내역!$G$3:$G$502,지출내역!$B$3:$B$502,$A110,지출내역!$E$3:$E$502,F$2))</f>
        <v/>
      </c>
      <c r="G110" s="11" t="str">
        <f aca="false">IF($A110="","",SUMIFS(지출내역!$G$3:$G$502,지출내역!$B$3:$B$502,$A110,지출내역!$E$3:$E$502,G$2))</f>
        <v/>
      </c>
      <c r="H110" s="11" t="str">
        <f aca="false">IF($A110="","",SUMIFS(지출내역!$G$3:$G$502,지출내역!$B$3:$B$502,$A110,지출내역!$E$3:$E$502,H$2))</f>
        <v/>
      </c>
      <c r="I110" s="11" t="str">
        <f aca="false">IF($A110="","",SUMIFS(지출내역!$G$3:$G$502,지출내역!$B$3:$B$502,$A110,지출내역!$E$3:$E$502,I$2))</f>
        <v/>
      </c>
      <c r="J110" s="11" t="str">
        <f aca="false">IF($A110="","",SUM(D110:I110))</f>
        <v/>
      </c>
    </row>
    <row r="111" customFormat="false" ht="15" hidden="false" customHeight="false" outlineLevel="0" collapsed="false">
      <c r="A111" s="9" t="str">
        <f aca="false">IF(직원목록!$A111="","",직원목록!$A111)</f>
        <v/>
      </c>
      <c r="B111" s="9" t="str">
        <f aca="false">IF($A111="","",직원목록!$B111)</f>
        <v/>
      </c>
      <c r="C111" s="9" t="str">
        <f aca="false">IF($A111="","",직원목록!$C111)</f>
        <v/>
      </c>
      <c r="D111" s="11" t="str">
        <f aca="false">IF($A111="","",SUMIFS(지출내역!$G$3:$G$502,지출내역!$B$3:$B$502,$A111,지출내역!$E$3:$E$502,D$2))</f>
        <v/>
      </c>
      <c r="E111" s="11" t="str">
        <f aca="false">IF($A111="","",SUMIFS(지출내역!$G$3:$G$502,지출내역!$B$3:$B$502,$A111,지출내역!$E$3:$E$502,E$2))</f>
        <v/>
      </c>
      <c r="F111" s="11" t="str">
        <f aca="false">IF($A111="","",SUMIFS(지출내역!$G$3:$G$502,지출내역!$B$3:$B$502,$A111,지출내역!$E$3:$E$502,F$2))</f>
        <v/>
      </c>
      <c r="G111" s="11" t="str">
        <f aca="false">IF($A111="","",SUMIFS(지출내역!$G$3:$G$502,지출내역!$B$3:$B$502,$A111,지출내역!$E$3:$E$502,G$2))</f>
        <v/>
      </c>
      <c r="H111" s="11" t="str">
        <f aca="false">IF($A111="","",SUMIFS(지출내역!$G$3:$G$502,지출내역!$B$3:$B$502,$A111,지출내역!$E$3:$E$502,H$2))</f>
        <v/>
      </c>
      <c r="I111" s="11" t="str">
        <f aca="false">IF($A111="","",SUMIFS(지출내역!$G$3:$G$502,지출내역!$B$3:$B$502,$A111,지출내역!$E$3:$E$502,I$2))</f>
        <v/>
      </c>
      <c r="J111" s="11" t="str">
        <f aca="false">IF($A111="","",SUM(D111:I111))</f>
        <v/>
      </c>
    </row>
    <row r="112" customFormat="false" ht="15" hidden="false" customHeight="false" outlineLevel="0" collapsed="false">
      <c r="A112" s="9" t="str">
        <f aca="false">IF(직원목록!$A112="","",직원목록!$A112)</f>
        <v/>
      </c>
      <c r="B112" s="9" t="str">
        <f aca="false">IF($A112="","",직원목록!$B112)</f>
        <v/>
      </c>
      <c r="C112" s="9" t="str">
        <f aca="false">IF($A112="","",직원목록!$C112)</f>
        <v/>
      </c>
      <c r="D112" s="11" t="str">
        <f aca="false">IF($A112="","",SUMIFS(지출내역!$G$3:$G$502,지출내역!$B$3:$B$502,$A112,지출내역!$E$3:$E$502,D$2))</f>
        <v/>
      </c>
      <c r="E112" s="11" t="str">
        <f aca="false">IF($A112="","",SUMIFS(지출내역!$G$3:$G$502,지출내역!$B$3:$B$502,$A112,지출내역!$E$3:$E$502,E$2))</f>
        <v/>
      </c>
      <c r="F112" s="11" t="str">
        <f aca="false">IF($A112="","",SUMIFS(지출내역!$G$3:$G$502,지출내역!$B$3:$B$502,$A112,지출내역!$E$3:$E$502,F$2))</f>
        <v/>
      </c>
      <c r="G112" s="11" t="str">
        <f aca="false">IF($A112="","",SUMIFS(지출내역!$G$3:$G$502,지출내역!$B$3:$B$502,$A112,지출내역!$E$3:$E$502,G$2))</f>
        <v/>
      </c>
      <c r="H112" s="11" t="str">
        <f aca="false">IF($A112="","",SUMIFS(지출내역!$G$3:$G$502,지출내역!$B$3:$B$502,$A112,지출내역!$E$3:$E$502,H$2))</f>
        <v/>
      </c>
      <c r="I112" s="11" t="str">
        <f aca="false">IF($A112="","",SUMIFS(지출내역!$G$3:$G$502,지출내역!$B$3:$B$502,$A112,지출내역!$E$3:$E$502,I$2))</f>
        <v/>
      </c>
      <c r="J112" s="11" t="str">
        <f aca="false">IF($A112="","",SUM(D112:I112))</f>
        <v/>
      </c>
    </row>
    <row r="113" customFormat="false" ht="15" hidden="false" customHeight="false" outlineLevel="0" collapsed="false">
      <c r="A113" s="9" t="str">
        <f aca="false">IF(직원목록!$A113="","",직원목록!$A113)</f>
        <v/>
      </c>
      <c r="B113" s="9" t="str">
        <f aca="false">IF($A113="","",직원목록!$B113)</f>
        <v/>
      </c>
      <c r="C113" s="9" t="str">
        <f aca="false">IF($A113="","",직원목록!$C113)</f>
        <v/>
      </c>
      <c r="D113" s="11" t="str">
        <f aca="false">IF($A113="","",SUMIFS(지출내역!$G$3:$G$502,지출내역!$B$3:$B$502,$A113,지출내역!$E$3:$E$502,D$2))</f>
        <v/>
      </c>
      <c r="E113" s="11" t="str">
        <f aca="false">IF($A113="","",SUMIFS(지출내역!$G$3:$G$502,지출내역!$B$3:$B$502,$A113,지출내역!$E$3:$E$502,E$2))</f>
        <v/>
      </c>
      <c r="F113" s="11" t="str">
        <f aca="false">IF($A113="","",SUMIFS(지출내역!$G$3:$G$502,지출내역!$B$3:$B$502,$A113,지출내역!$E$3:$E$502,F$2))</f>
        <v/>
      </c>
      <c r="G113" s="11" t="str">
        <f aca="false">IF($A113="","",SUMIFS(지출내역!$G$3:$G$502,지출내역!$B$3:$B$502,$A113,지출내역!$E$3:$E$502,G$2))</f>
        <v/>
      </c>
      <c r="H113" s="11" t="str">
        <f aca="false">IF($A113="","",SUMIFS(지출내역!$G$3:$G$502,지출내역!$B$3:$B$502,$A113,지출내역!$E$3:$E$502,H$2))</f>
        <v/>
      </c>
      <c r="I113" s="11" t="str">
        <f aca="false">IF($A113="","",SUMIFS(지출내역!$G$3:$G$502,지출내역!$B$3:$B$502,$A113,지출내역!$E$3:$E$502,I$2))</f>
        <v/>
      </c>
      <c r="J113" s="11" t="str">
        <f aca="false">IF($A113="","",SUM(D113:I113))</f>
        <v/>
      </c>
    </row>
    <row r="114" customFormat="false" ht="15" hidden="false" customHeight="false" outlineLevel="0" collapsed="false">
      <c r="A114" s="9" t="str">
        <f aca="false">IF(직원목록!$A114="","",직원목록!$A114)</f>
        <v/>
      </c>
      <c r="B114" s="9" t="str">
        <f aca="false">IF($A114="","",직원목록!$B114)</f>
        <v/>
      </c>
      <c r="C114" s="9" t="str">
        <f aca="false">IF($A114="","",직원목록!$C114)</f>
        <v/>
      </c>
      <c r="D114" s="11" t="str">
        <f aca="false">IF($A114="","",SUMIFS(지출내역!$G$3:$G$502,지출내역!$B$3:$B$502,$A114,지출내역!$E$3:$E$502,D$2))</f>
        <v/>
      </c>
      <c r="E114" s="11" t="str">
        <f aca="false">IF($A114="","",SUMIFS(지출내역!$G$3:$G$502,지출내역!$B$3:$B$502,$A114,지출내역!$E$3:$E$502,E$2))</f>
        <v/>
      </c>
      <c r="F114" s="11" t="str">
        <f aca="false">IF($A114="","",SUMIFS(지출내역!$G$3:$G$502,지출내역!$B$3:$B$502,$A114,지출내역!$E$3:$E$502,F$2))</f>
        <v/>
      </c>
      <c r="G114" s="11" t="str">
        <f aca="false">IF($A114="","",SUMIFS(지출내역!$G$3:$G$502,지출내역!$B$3:$B$502,$A114,지출내역!$E$3:$E$502,G$2))</f>
        <v/>
      </c>
      <c r="H114" s="11" t="str">
        <f aca="false">IF($A114="","",SUMIFS(지출내역!$G$3:$G$502,지출내역!$B$3:$B$502,$A114,지출내역!$E$3:$E$502,H$2))</f>
        <v/>
      </c>
      <c r="I114" s="11" t="str">
        <f aca="false">IF($A114="","",SUMIFS(지출내역!$G$3:$G$502,지출내역!$B$3:$B$502,$A114,지출내역!$E$3:$E$502,I$2))</f>
        <v/>
      </c>
      <c r="J114" s="11" t="str">
        <f aca="false">IF($A114="","",SUM(D114:I114))</f>
        <v/>
      </c>
    </row>
    <row r="115" customFormat="false" ht="15" hidden="false" customHeight="false" outlineLevel="0" collapsed="false">
      <c r="A115" s="9" t="str">
        <f aca="false">IF(직원목록!$A115="","",직원목록!$A115)</f>
        <v/>
      </c>
      <c r="B115" s="9" t="str">
        <f aca="false">IF($A115="","",직원목록!$B115)</f>
        <v/>
      </c>
      <c r="C115" s="9" t="str">
        <f aca="false">IF($A115="","",직원목록!$C115)</f>
        <v/>
      </c>
      <c r="D115" s="11" t="str">
        <f aca="false">IF($A115="","",SUMIFS(지출내역!$G$3:$G$502,지출내역!$B$3:$B$502,$A115,지출내역!$E$3:$E$502,D$2))</f>
        <v/>
      </c>
      <c r="E115" s="11" t="str">
        <f aca="false">IF($A115="","",SUMIFS(지출내역!$G$3:$G$502,지출내역!$B$3:$B$502,$A115,지출내역!$E$3:$E$502,E$2))</f>
        <v/>
      </c>
      <c r="F115" s="11" t="str">
        <f aca="false">IF($A115="","",SUMIFS(지출내역!$G$3:$G$502,지출내역!$B$3:$B$502,$A115,지출내역!$E$3:$E$502,F$2))</f>
        <v/>
      </c>
      <c r="G115" s="11" t="str">
        <f aca="false">IF($A115="","",SUMIFS(지출내역!$G$3:$G$502,지출내역!$B$3:$B$502,$A115,지출내역!$E$3:$E$502,G$2))</f>
        <v/>
      </c>
      <c r="H115" s="11" t="str">
        <f aca="false">IF($A115="","",SUMIFS(지출내역!$G$3:$G$502,지출내역!$B$3:$B$502,$A115,지출내역!$E$3:$E$502,H$2))</f>
        <v/>
      </c>
      <c r="I115" s="11" t="str">
        <f aca="false">IF($A115="","",SUMIFS(지출내역!$G$3:$G$502,지출내역!$B$3:$B$502,$A115,지출내역!$E$3:$E$502,I$2))</f>
        <v/>
      </c>
      <c r="J115" s="11" t="str">
        <f aca="false">IF($A115="","",SUM(D115:I115))</f>
        <v/>
      </c>
    </row>
    <row r="116" customFormat="false" ht="15" hidden="false" customHeight="false" outlineLevel="0" collapsed="false">
      <c r="A116" s="9" t="str">
        <f aca="false">IF(직원목록!$A116="","",직원목록!$A116)</f>
        <v/>
      </c>
      <c r="B116" s="9" t="str">
        <f aca="false">IF($A116="","",직원목록!$B116)</f>
        <v/>
      </c>
      <c r="C116" s="9" t="str">
        <f aca="false">IF($A116="","",직원목록!$C116)</f>
        <v/>
      </c>
      <c r="D116" s="11" t="str">
        <f aca="false">IF($A116="","",SUMIFS(지출내역!$G$3:$G$502,지출내역!$B$3:$B$502,$A116,지출내역!$E$3:$E$502,D$2))</f>
        <v/>
      </c>
      <c r="E116" s="11" t="str">
        <f aca="false">IF($A116="","",SUMIFS(지출내역!$G$3:$G$502,지출내역!$B$3:$B$502,$A116,지출내역!$E$3:$E$502,E$2))</f>
        <v/>
      </c>
      <c r="F116" s="11" t="str">
        <f aca="false">IF($A116="","",SUMIFS(지출내역!$G$3:$G$502,지출내역!$B$3:$B$502,$A116,지출내역!$E$3:$E$502,F$2))</f>
        <v/>
      </c>
      <c r="G116" s="11" t="str">
        <f aca="false">IF($A116="","",SUMIFS(지출내역!$G$3:$G$502,지출내역!$B$3:$B$502,$A116,지출내역!$E$3:$E$502,G$2))</f>
        <v/>
      </c>
      <c r="H116" s="11" t="str">
        <f aca="false">IF($A116="","",SUMIFS(지출내역!$G$3:$G$502,지출내역!$B$3:$B$502,$A116,지출내역!$E$3:$E$502,H$2))</f>
        <v/>
      </c>
      <c r="I116" s="11" t="str">
        <f aca="false">IF($A116="","",SUMIFS(지출내역!$G$3:$G$502,지출내역!$B$3:$B$502,$A116,지출내역!$E$3:$E$502,I$2))</f>
        <v/>
      </c>
      <c r="J116" s="11" t="str">
        <f aca="false">IF($A116="","",SUM(D116:I116))</f>
        <v/>
      </c>
    </row>
    <row r="117" customFormat="false" ht="15" hidden="false" customHeight="false" outlineLevel="0" collapsed="false">
      <c r="A117" s="9" t="str">
        <f aca="false">IF(직원목록!$A117="","",직원목록!$A117)</f>
        <v/>
      </c>
      <c r="B117" s="9" t="str">
        <f aca="false">IF($A117="","",직원목록!$B117)</f>
        <v/>
      </c>
      <c r="C117" s="9" t="str">
        <f aca="false">IF($A117="","",직원목록!$C117)</f>
        <v/>
      </c>
      <c r="D117" s="11" t="str">
        <f aca="false">IF($A117="","",SUMIFS(지출내역!$G$3:$G$502,지출내역!$B$3:$B$502,$A117,지출내역!$E$3:$E$502,D$2))</f>
        <v/>
      </c>
      <c r="E117" s="11" t="str">
        <f aca="false">IF($A117="","",SUMIFS(지출내역!$G$3:$G$502,지출내역!$B$3:$B$502,$A117,지출내역!$E$3:$E$502,E$2))</f>
        <v/>
      </c>
      <c r="F117" s="11" t="str">
        <f aca="false">IF($A117="","",SUMIFS(지출내역!$G$3:$G$502,지출내역!$B$3:$B$502,$A117,지출내역!$E$3:$E$502,F$2))</f>
        <v/>
      </c>
      <c r="G117" s="11" t="str">
        <f aca="false">IF($A117="","",SUMIFS(지출내역!$G$3:$G$502,지출내역!$B$3:$B$502,$A117,지출내역!$E$3:$E$502,G$2))</f>
        <v/>
      </c>
      <c r="H117" s="11" t="str">
        <f aca="false">IF($A117="","",SUMIFS(지출내역!$G$3:$G$502,지출내역!$B$3:$B$502,$A117,지출내역!$E$3:$E$502,H$2))</f>
        <v/>
      </c>
      <c r="I117" s="11" t="str">
        <f aca="false">IF($A117="","",SUMIFS(지출내역!$G$3:$G$502,지출내역!$B$3:$B$502,$A117,지출내역!$E$3:$E$502,I$2))</f>
        <v/>
      </c>
      <c r="J117" s="11" t="str">
        <f aca="false">IF($A117="","",SUM(D117:I117))</f>
        <v/>
      </c>
    </row>
    <row r="118" customFormat="false" ht="15" hidden="false" customHeight="false" outlineLevel="0" collapsed="false">
      <c r="A118" s="9" t="str">
        <f aca="false">IF(직원목록!$A118="","",직원목록!$A118)</f>
        <v/>
      </c>
      <c r="B118" s="9" t="str">
        <f aca="false">IF($A118="","",직원목록!$B118)</f>
        <v/>
      </c>
      <c r="C118" s="9" t="str">
        <f aca="false">IF($A118="","",직원목록!$C118)</f>
        <v/>
      </c>
      <c r="D118" s="11" t="str">
        <f aca="false">IF($A118="","",SUMIFS(지출내역!$G$3:$G$502,지출내역!$B$3:$B$502,$A118,지출내역!$E$3:$E$502,D$2))</f>
        <v/>
      </c>
      <c r="E118" s="11" t="str">
        <f aca="false">IF($A118="","",SUMIFS(지출내역!$G$3:$G$502,지출내역!$B$3:$B$502,$A118,지출내역!$E$3:$E$502,E$2))</f>
        <v/>
      </c>
      <c r="F118" s="11" t="str">
        <f aca="false">IF($A118="","",SUMIFS(지출내역!$G$3:$G$502,지출내역!$B$3:$B$502,$A118,지출내역!$E$3:$E$502,F$2))</f>
        <v/>
      </c>
      <c r="G118" s="11" t="str">
        <f aca="false">IF($A118="","",SUMIFS(지출내역!$G$3:$G$502,지출내역!$B$3:$B$502,$A118,지출내역!$E$3:$E$502,G$2))</f>
        <v/>
      </c>
      <c r="H118" s="11" t="str">
        <f aca="false">IF($A118="","",SUMIFS(지출내역!$G$3:$G$502,지출내역!$B$3:$B$502,$A118,지출내역!$E$3:$E$502,H$2))</f>
        <v/>
      </c>
      <c r="I118" s="11" t="str">
        <f aca="false">IF($A118="","",SUMIFS(지출내역!$G$3:$G$502,지출내역!$B$3:$B$502,$A118,지출내역!$E$3:$E$502,I$2))</f>
        <v/>
      </c>
      <c r="J118" s="11" t="str">
        <f aca="false">IF($A118="","",SUM(D118:I118))</f>
        <v/>
      </c>
    </row>
    <row r="119" customFormat="false" ht="15" hidden="false" customHeight="false" outlineLevel="0" collapsed="false">
      <c r="A119" s="9" t="str">
        <f aca="false">IF(직원목록!$A119="","",직원목록!$A119)</f>
        <v/>
      </c>
      <c r="B119" s="9" t="str">
        <f aca="false">IF($A119="","",직원목록!$B119)</f>
        <v/>
      </c>
      <c r="C119" s="9" t="str">
        <f aca="false">IF($A119="","",직원목록!$C119)</f>
        <v/>
      </c>
      <c r="D119" s="11" t="str">
        <f aca="false">IF($A119="","",SUMIFS(지출내역!$G$3:$G$502,지출내역!$B$3:$B$502,$A119,지출내역!$E$3:$E$502,D$2))</f>
        <v/>
      </c>
      <c r="E119" s="11" t="str">
        <f aca="false">IF($A119="","",SUMIFS(지출내역!$G$3:$G$502,지출내역!$B$3:$B$502,$A119,지출내역!$E$3:$E$502,E$2))</f>
        <v/>
      </c>
      <c r="F119" s="11" t="str">
        <f aca="false">IF($A119="","",SUMIFS(지출내역!$G$3:$G$502,지출내역!$B$3:$B$502,$A119,지출내역!$E$3:$E$502,F$2))</f>
        <v/>
      </c>
      <c r="G119" s="11" t="str">
        <f aca="false">IF($A119="","",SUMIFS(지출내역!$G$3:$G$502,지출내역!$B$3:$B$502,$A119,지출내역!$E$3:$E$502,G$2))</f>
        <v/>
      </c>
      <c r="H119" s="11" t="str">
        <f aca="false">IF($A119="","",SUMIFS(지출내역!$G$3:$G$502,지출내역!$B$3:$B$502,$A119,지출내역!$E$3:$E$502,H$2))</f>
        <v/>
      </c>
      <c r="I119" s="11" t="str">
        <f aca="false">IF($A119="","",SUMIFS(지출내역!$G$3:$G$502,지출내역!$B$3:$B$502,$A119,지출내역!$E$3:$E$502,I$2))</f>
        <v/>
      </c>
      <c r="J119" s="11" t="str">
        <f aca="false">IF($A119="","",SUM(D119:I119))</f>
        <v/>
      </c>
    </row>
    <row r="120" customFormat="false" ht="15" hidden="false" customHeight="false" outlineLevel="0" collapsed="false">
      <c r="A120" s="9" t="str">
        <f aca="false">IF(직원목록!$A120="","",직원목록!$A120)</f>
        <v/>
      </c>
      <c r="B120" s="9" t="str">
        <f aca="false">IF($A120="","",직원목록!$B120)</f>
        <v/>
      </c>
      <c r="C120" s="9" t="str">
        <f aca="false">IF($A120="","",직원목록!$C120)</f>
        <v/>
      </c>
      <c r="D120" s="11" t="str">
        <f aca="false">IF($A120="","",SUMIFS(지출내역!$G$3:$G$502,지출내역!$B$3:$B$502,$A120,지출내역!$E$3:$E$502,D$2))</f>
        <v/>
      </c>
      <c r="E120" s="11" t="str">
        <f aca="false">IF($A120="","",SUMIFS(지출내역!$G$3:$G$502,지출내역!$B$3:$B$502,$A120,지출내역!$E$3:$E$502,E$2))</f>
        <v/>
      </c>
      <c r="F120" s="11" t="str">
        <f aca="false">IF($A120="","",SUMIFS(지출내역!$G$3:$G$502,지출내역!$B$3:$B$502,$A120,지출내역!$E$3:$E$502,F$2))</f>
        <v/>
      </c>
      <c r="G120" s="11" t="str">
        <f aca="false">IF($A120="","",SUMIFS(지출내역!$G$3:$G$502,지출내역!$B$3:$B$502,$A120,지출내역!$E$3:$E$502,G$2))</f>
        <v/>
      </c>
      <c r="H120" s="11" t="str">
        <f aca="false">IF($A120="","",SUMIFS(지출내역!$G$3:$G$502,지출내역!$B$3:$B$502,$A120,지출내역!$E$3:$E$502,H$2))</f>
        <v/>
      </c>
      <c r="I120" s="11" t="str">
        <f aca="false">IF($A120="","",SUMIFS(지출내역!$G$3:$G$502,지출내역!$B$3:$B$502,$A120,지출내역!$E$3:$E$502,I$2))</f>
        <v/>
      </c>
      <c r="J120" s="11" t="str">
        <f aca="false">IF($A120="","",SUM(D120:I120))</f>
        <v/>
      </c>
    </row>
    <row r="121" customFormat="false" ht="15" hidden="false" customHeight="false" outlineLevel="0" collapsed="false">
      <c r="A121" s="9" t="str">
        <f aca="false">IF(직원목록!$A121="","",직원목록!$A121)</f>
        <v/>
      </c>
      <c r="B121" s="9" t="str">
        <f aca="false">IF($A121="","",직원목록!$B121)</f>
        <v/>
      </c>
      <c r="C121" s="9" t="str">
        <f aca="false">IF($A121="","",직원목록!$C121)</f>
        <v/>
      </c>
      <c r="D121" s="11" t="str">
        <f aca="false">IF($A121="","",SUMIFS(지출내역!$G$3:$G$502,지출내역!$B$3:$B$502,$A121,지출내역!$E$3:$E$502,D$2))</f>
        <v/>
      </c>
      <c r="E121" s="11" t="str">
        <f aca="false">IF($A121="","",SUMIFS(지출내역!$G$3:$G$502,지출내역!$B$3:$B$502,$A121,지출내역!$E$3:$E$502,E$2))</f>
        <v/>
      </c>
      <c r="F121" s="11" t="str">
        <f aca="false">IF($A121="","",SUMIFS(지출내역!$G$3:$G$502,지출내역!$B$3:$B$502,$A121,지출내역!$E$3:$E$502,F$2))</f>
        <v/>
      </c>
      <c r="G121" s="11" t="str">
        <f aca="false">IF($A121="","",SUMIFS(지출내역!$G$3:$G$502,지출내역!$B$3:$B$502,$A121,지출내역!$E$3:$E$502,G$2))</f>
        <v/>
      </c>
      <c r="H121" s="11" t="str">
        <f aca="false">IF($A121="","",SUMIFS(지출내역!$G$3:$G$502,지출내역!$B$3:$B$502,$A121,지출내역!$E$3:$E$502,H$2))</f>
        <v/>
      </c>
      <c r="I121" s="11" t="str">
        <f aca="false">IF($A121="","",SUMIFS(지출내역!$G$3:$G$502,지출내역!$B$3:$B$502,$A121,지출내역!$E$3:$E$502,I$2))</f>
        <v/>
      </c>
      <c r="J121" s="11" t="str">
        <f aca="false">IF($A121="","",SUM(D121:I121))</f>
        <v/>
      </c>
    </row>
    <row r="122" customFormat="false" ht="15" hidden="false" customHeight="false" outlineLevel="0" collapsed="false">
      <c r="A122" s="9" t="str">
        <f aca="false">IF(직원목록!$A122="","",직원목록!$A122)</f>
        <v/>
      </c>
      <c r="B122" s="9" t="str">
        <f aca="false">IF($A122="","",직원목록!$B122)</f>
        <v/>
      </c>
      <c r="C122" s="9" t="str">
        <f aca="false">IF($A122="","",직원목록!$C122)</f>
        <v/>
      </c>
      <c r="D122" s="11" t="str">
        <f aca="false">IF($A122="","",SUMIFS(지출내역!$G$3:$G$502,지출내역!$B$3:$B$502,$A122,지출내역!$E$3:$E$502,D$2))</f>
        <v/>
      </c>
      <c r="E122" s="11" t="str">
        <f aca="false">IF($A122="","",SUMIFS(지출내역!$G$3:$G$502,지출내역!$B$3:$B$502,$A122,지출내역!$E$3:$E$502,E$2))</f>
        <v/>
      </c>
      <c r="F122" s="11" t="str">
        <f aca="false">IF($A122="","",SUMIFS(지출내역!$G$3:$G$502,지출내역!$B$3:$B$502,$A122,지출내역!$E$3:$E$502,F$2))</f>
        <v/>
      </c>
      <c r="G122" s="11" t="str">
        <f aca="false">IF($A122="","",SUMIFS(지출내역!$G$3:$G$502,지출내역!$B$3:$B$502,$A122,지출내역!$E$3:$E$502,G$2))</f>
        <v/>
      </c>
      <c r="H122" s="11" t="str">
        <f aca="false">IF($A122="","",SUMIFS(지출내역!$G$3:$G$502,지출내역!$B$3:$B$502,$A122,지출내역!$E$3:$E$502,H$2))</f>
        <v/>
      </c>
      <c r="I122" s="11" t="str">
        <f aca="false">IF($A122="","",SUMIFS(지출내역!$G$3:$G$502,지출내역!$B$3:$B$502,$A122,지출내역!$E$3:$E$502,I$2))</f>
        <v/>
      </c>
      <c r="J122" s="11" t="str">
        <f aca="false">IF($A122="","",SUM(D122:I122))</f>
        <v/>
      </c>
    </row>
    <row r="123" customFormat="false" ht="15" hidden="false" customHeight="false" outlineLevel="0" collapsed="false">
      <c r="A123" s="9" t="str">
        <f aca="false">IF(직원목록!$A123="","",직원목록!$A123)</f>
        <v/>
      </c>
      <c r="B123" s="9" t="str">
        <f aca="false">IF($A123="","",직원목록!$B123)</f>
        <v/>
      </c>
      <c r="C123" s="9" t="str">
        <f aca="false">IF($A123="","",직원목록!$C123)</f>
        <v/>
      </c>
      <c r="D123" s="11" t="str">
        <f aca="false">IF($A123="","",SUMIFS(지출내역!$G$3:$G$502,지출내역!$B$3:$B$502,$A123,지출내역!$E$3:$E$502,D$2))</f>
        <v/>
      </c>
      <c r="E123" s="11" t="str">
        <f aca="false">IF($A123="","",SUMIFS(지출내역!$G$3:$G$502,지출내역!$B$3:$B$502,$A123,지출내역!$E$3:$E$502,E$2))</f>
        <v/>
      </c>
      <c r="F123" s="11" t="str">
        <f aca="false">IF($A123="","",SUMIFS(지출내역!$G$3:$G$502,지출내역!$B$3:$B$502,$A123,지출내역!$E$3:$E$502,F$2))</f>
        <v/>
      </c>
      <c r="G123" s="11" t="str">
        <f aca="false">IF($A123="","",SUMIFS(지출내역!$G$3:$G$502,지출내역!$B$3:$B$502,$A123,지출내역!$E$3:$E$502,G$2))</f>
        <v/>
      </c>
      <c r="H123" s="11" t="str">
        <f aca="false">IF($A123="","",SUMIFS(지출내역!$G$3:$G$502,지출내역!$B$3:$B$502,$A123,지출내역!$E$3:$E$502,H$2))</f>
        <v/>
      </c>
      <c r="I123" s="11" t="str">
        <f aca="false">IF($A123="","",SUMIFS(지출내역!$G$3:$G$502,지출내역!$B$3:$B$502,$A123,지출내역!$E$3:$E$502,I$2))</f>
        <v/>
      </c>
      <c r="J123" s="11" t="str">
        <f aca="false">IF($A123="","",SUM(D123:I123))</f>
        <v/>
      </c>
    </row>
    <row r="124" customFormat="false" ht="15" hidden="false" customHeight="false" outlineLevel="0" collapsed="false">
      <c r="A124" s="9" t="str">
        <f aca="false">IF(직원목록!$A124="","",직원목록!$A124)</f>
        <v/>
      </c>
      <c r="B124" s="9" t="str">
        <f aca="false">IF($A124="","",직원목록!$B124)</f>
        <v/>
      </c>
      <c r="C124" s="9" t="str">
        <f aca="false">IF($A124="","",직원목록!$C124)</f>
        <v/>
      </c>
      <c r="D124" s="11" t="str">
        <f aca="false">IF($A124="","",SUMIFS(지출내역!$G$3:$G$502,지출내역!$B$3:$B$502,$A124,지출내역!$E$3:$E$502,D$2))</f>
        <v/>
      </c>
      <c r="E124" s="11" t="str">
        <f aca="false">IF($A124="","",SUMIFS(지출내역!$G$3:$G$502,지출내역!$B$3:$B$502,$A124,지출내역!$E$3:$E$502,E$2))</f>
        <v/>
      </c>
      <c r="F124" s="11" t="str">
        <f aca="false">IF($A124="","",SUMIFS(지출내역!$G$3:$G$502,지출내역!$B$3:$B$502,$A124,지출내역!$E$3:$E$502,F$2))</f>
        <v/>
      </c>
      <c r="G124" s="11" t="str">
        <f aca="false">IF($A124="","",SUMIFS(지출내역!$G$3:$G$502,지출내역!$B$3:$B$502,$A124,지출내역!$E$3:$E$502,G$2))</f>
        <v/>
      </c>
      <c r="H124" s="11" t="str">
        <f aca="false">IF($A124="","",SUMIFS(지출내역!$G$3:$G$502,지출내역!$B$3:$B$502,$A124,지출내역!$E$3:$E$502,H$2))</f>
        <v/>
      </c>
      <c r="I124" s="11" t="str">
        <f aca="false">IF($A124="","",SUMIFS(지출내역!$G$3:$G$502,지출내역!$B$3:$B$502,$A124,지출내역!$E$3:$E$502,I$2))</f>
        <v/>
      </c>
      <c r="J124" s="11" t="str">
        <f aca="false">IF($A124="","",SUM(D124:I124))</f>
        <v/>
      </c>
    </row>
    <row r="125" customFormat="false" ht="15" hidden="false" customHeight="false" outlineLevel="0" collapsed="false">
      <c r="A125" s="9" t="str">
        <f aca="false">IF(직원목록!$A125="","",직원목록!$A125)</f>
        <v/>
      </c>
      <c r="B125" s="9" t="str">
        <f aca="false">IF($A125="","",직원목록!$B125)</f>
        <v/>
      </c>
      <c r="C125" s="9" t="str">
        <f aca="false">IF($A125="","",직원목록!$C125)</f>
        <v/>
      </c>
      <c r="D125" s="11" t="str">
        <f aca="false">IF($A125="","",SUMIFS(지출내역!$G$3:$G$502,지출내역!$B$3:$B$502,$A125,지출내역!$E$3:$E$502,D$2))</f>
        <v/>
      </c>
      <c r="E125" s="11" t="str">
        <f aca="false">IF($A125="","",SUMIFS(지출내역!$G$3:$G$502,지출내역!$B$3:$B$502,$A125,지출내역!$E$3:$E$502,E$2))</f>
        <v/>
      </c>
      <c r="F125" s="11" t="str">
        <f aca="false">IF($A125="","",SUMIFS(지출내역!$G$3:$G$502,지출내역!$B$3:$B$502,$A125,지출내역!$E$3:$E$502,F$2))</f>
        <v/>
      </c>
      <c r="G125" s="11" t="str">
        <f aca="false">IF($A125="","",SUMIFS(지출내역!$G$3:$G$502,지출내역!$B$3:$B$502,$A125,지출내역!$E$3:$E$502,G$2))</f>
        <v/>
      </c>
      <c r="H125" s="11" t="str">
        <f aca="false">IF($A125="","",SUMIFS(지출내역!$G$3:$G$502,지출내역!$B$3:$B$502,$A125,지출내역!$E$3:$E$502,H$2))</f>
        <v/>
      </c>
      <c r="I125" s="11" t="str">
        <f aca="false">IF($A125="","",SUMIFS(지출내역!$G$3:$G$502,지출내역!$B$3:$B$502,$A125,지출내역!$E$3:$E$502,I$2))</f>
        <v/>
      </c>
      <c r="J125" s="11" t="str">
        <f aca="false">IF($A125="","",SUM(D125:I125))</f>
        <v/>
      </c>
    </row>
    <row r="126" customFormat="false" ht="15" hidden="false" customHeight="false" outlineLevel="0" collapsed="false">
      <c r="A126" s="9" t="str">
        <f aca="false">IF(직원목록!$A126="","",직원목록!$A126)</f>
        <v/>
      </c>
      <c r="B126" s="9" t="str">
        <f aca="false">IF($A126="","",직원목록!$B126)</f>
        <v/>
      </c>
      <c r="C126" s="9" t="str">
        <f aca="false">IF($A126="","",직원목록!$C126)</f>
        <v/>
      </c>
      <c r="D126" s="11" t="str">
        <f aca="false">IF($A126="","",SUMIFS(지출내역!$G$3:$G$502,지출내역!$B$3:$B$502,$A126,지출내역!$E$3:$E$502,D$2))</f>
        <v/>
      </c>
      <c r="E126" s="11" t="str">
        <f aca="false">IF($A126="","",SUMIFS(지출내역!$G$3:$G$502,지출내역!$B$3:$B$502,$A126,지출내역!$E$3:$E$502,E$2))</f>
        <v/>
      </c>
      <c r="F126" s="11" t="str">
        <f aca="false">IF($A126="","",SUMIFS(지출내역!$G$3:$G$502,지출내역!$B$3:$B$502,$A126,지출내역!$E$3:$E$502,F$2))</f>
        <v/>
      </c>
      <c r="G126" s="11" t="str">
        <f aca="false">IF($A126="","",SUMIFS(지출내역!$G$3:$G$502,지출내역!$B$3:$B$502,$A126,지출내역!$E$3:$E$502,G$2))</f>
        <v/>
      </c>
      <c r="H126" s="11" t="str">
        <f aca="false">IF($A126="","",SUMIFS(지출내역!$G$3:$G$502,지출내역!$B$3:$B$502,$A126,지출내역!$E$3:$E$502,H$2))</f>
        <v/>
      </c>
      <c r="I126" s="11" t="str">
        <f aca="false">IF($A126="","",SUMIFS(지출내역!$G$3:$G$502,지출내역!$B$3:$B$502,$A126,지출내역!$E$3:$E$502,I$2))</f>
        <v/>
      </c>
      <c r="J126" s="11" t="str">
        <f aca="false">IF($A126="","",SUM(D126:I126))</f>
        <v/>
      </c>
    </row>
    <row r="127" customFormat="false" ht="15" hidden="false" customHeight="false" outlineLevel="0" collapsed="false">
      <c r="A127" s="9" t="str">
        <f aca="false">IF(직원목록!$A127="","",직원목록!$A127)</f>
        <v/>
      </c>
      <c r="B127" s="9" t="str">
        <f aca="false">IF($A127="","",직원목록!$B127)</f>
        <v/>
      </c>
      <c r="C127" s="9" t="str">
        <f aca="false">IF($A127="","",직원목록!$C127)</f>
        <v/>
      </c>
      <c r="D127" s="11" t="str">
        <f aca="false">IF($A127="","",SUMIFS(지출내역!$G$3:$G$502,지출내역!$B$3:$B$502,$A127,지출내역!$E$3:$E$502,D$2))</f>
        <v/>
      </c>
      <c r="E127" s="11" t="str">
        <f aca="false">IF($A127="","",SUMIFS(지출내역!$G$3:$G$502,지출내역!$B$3:$B$502,$A127,지출내역!$E$3:$E$502,E$2))</f>
        <v/>
      </c>
      <c r="F127" s="11" t="str">
        <f aca="false">IF($A127="","",SUMIFS(지출내역!$G$3:$G$502,지출내역!$B$3:$B$502,$A127,지출내역!$E$3:$E$502,F$2))</f>
        <v/>
      </c>
      <c r="G127" s="11" t="str">
        <f aca="false">IF($A127="","",SUMIFS(지출내역!$G$3:$G$502,지출내역!$B$3:$B$502,$A127,지출내역!$E$3:$E$502,G$2))</f>
        <v/>
      </c>
      <c r="H127" s="11" t="str">
        <f aca="false">IF($A127="","",SUMIFS(지출내역!$G$3:$G$502,지출내역!$B$3:$B$502,$A127,지출내역!$E$3:$E$502,H$2))</f>
        <v/>
      </c>
      <c r="I127" s="11" t="str">
        <f aca="false">IF($A127="","",SUMIFS(지출내역!$G$3:$G$502,지출내역!$B$3:$B$502,$A127,지출내역!$E$3:$E$502,I$2))</f>
        <v/>
      </c>
      <c r="J127" s="11" t="str">
        <f aca="false">IF($A127="","",SUM(D127:I127))</f>
        <v/>
      </c>
    </row>
    <row r="128" customFormat="false" ht="15" hidden="false" customHeight="false" outlineLevel="0" collapsed="false">
      <c r="A128" s="9" t="str">
        <f aca="false">IF(직원목록!$A128="","",직원목록!$A128)</f>
        <v/>
      </c>
      <c r="B128" s="9" t="str">
        <f aca="false">IF($A128="","",직원목록!$B128)</f>
        <v/>
      </c>
      <c r="C128" s="9" t="str">
        <f aca="false">IF($A128="","",직원목록!$C128)</f>
        <v/>
      </c>
      <c r="D128" s="11" t="str">
        <f aca="false">IF($A128="","",SUMIFS(지출내역!$G$3:$G$502,지출내역!$B$3:$B$502,$A128,지출내역!$E$3:$E$502,D$2))</f>
        <v/>
      </c>
      <c r="E128" s="11" t="str">
        <f aca="false">IF($A128="","",SUMIFS(지출내역!$G$3:$G$502,지출내역!$B$3:$B$502,$A128,지출내역!$E$3:$E$502,E$2))</f>
        <v/>
      </c>
      <c r="F128" s="11" t="str">
        <f aca="false">IF($A128="","",SUMIFS(지출내역!$G$3:$G$502,지출내역!$B$3:$B$502,$A128,지출내역!$E$3:$E$502,F$2))</f>
        <v/>
      </c>
      <c r="G128" s="11" t="str">
        <f aca="false">IF($A128="","",SUMIFS(지출내역!$G$3:$G$502,지출내역!$B$3:$B$502,$A128,지출내역!$E$3:$E$502,G$2))</f>
        <v/>
      </c>
      <c r="H128" s="11" t="str">
        <f aca="false">IF($A128="","",SUMIFS(지출내역!$G$3:$G$502,지출내역!$B$3:$B$502,$A128,지출내역!$E$3:$E$502,H$2))</f>
        <v/>
      </c>
      <c r="I128" s="11" t="str">
        <f aca="false">IF($A128="","",SUMIFS(지출내역!$G$3:$G$502,지출내역!$B$3:$B$502,$A128,지출내역!$E$3:$E$502,I$2))</f>
        <v/>
      </c>
      <c r="J128" s="11" t="str">
        <f aca="false">IF($A128="","",SUM(D128:I128))</f>
        <v/>
      </c>
    </row>
    <row r="129" customFormat="false" ht="15" hidden="false" customHeight="false" outlineLevel="0" collapsed="false">
      <c r="A129" s="9" t="str">
        <f aca="false">IF(직원목록!$A129="","",직원목록!$A129)</f>
        <v/>
      </c>
      <c r="B129" s="9" t="str">
        <f aca="false">IF($A129="","",직원목록!$B129)</f>
        <v/>
      </c>
      <c r="C129" s="9" t="str">
        <f aca="false">IF($A129="","",직원목록!$C129)</f>
        <v/>
      </c>
      <c r="D129" s="11" t="str">
        <f aca="false">IF($A129="","",SUMIFS(지출내역!$G$3:$G$502,지출내역!$B$3:$B$502,$A129,지출내역!$E$3:$E$502,D$2))</f>
        <v/>
      </c>
      <c r="E129" s="11" t="str">
        <f aca="false">IF($A129="","",SUMIFS(지출내역!$G$3:$G$502,지출내역!$B$3:$B$502,$A129,지출내역!$E$3:$E$502,E$2))</f>
        <v/>
      </c>
      <c r="F129" s="11" t="str">
        <f aca="false">IF($A129="","",SUMIFS(지출내역!$G$3:$G$502,지출내역!$B$3:$B$502,$A129,지출내역!$E$3:$E$502,F$2))</f>
        <v/>
      </c>
      <c r="G129" s="11" t="str">
        <f aca="false">IF($A129="","",SUMIFS(지출내역!$G$3:$G$502,지출내역!$B$3:$B$502,$A129,지출내역!$E$3:$E$502,G$2))</f>
        <v/>
      </c>
      <c r="H129" s="11" t="str">
        <f aca="false">IF($A129="","",SUMIFS(지출내역!$G$3:$G$502,지출내역!$B$3:$B$502,$A129,지출내역!$E$3:$E$502,H$2))</f>
        <v/>
      </c>
      <c r="I129" s="11" t="str">
        <f aca="false">IF($A129="","",SUMIFS(지출내역!$G$3:$G$502,지출내역!$B$3:$B$502,$A129,지출내역!$E$3:$E$502,I$2))</f>
        <v/>
      </c>
      <c r="J129" s="11" t="str">
        <f aca="false">IF($A129="","",SUM(D129:I129))</f>
        <v/>
      </c>
    </row>
    <row r="130" customFormat="false" ht="15" hidden="false" customHeight="false" outlineLevel="0" collapsed="false">
      <c r="A130" s="9" t="str">
        <f aca="false">IF(직원목록!$A130="","",직원목록!$A130)</f>
        <v/>
      </c>
      <c r="B130" s="9" t="str">
        <f aca="false">IF($A130="","",직원목록!$B130)</f>
        <v/>
      </c>
      <c r="C130" s="9" t="str">
        <f aca="false">IF($A130="","",직원목록!$C130)</f>
        <v/>
      </c>
      <c r="D130" s="11" t="str">
        <f aca="false">IF($A130="","",SUMIFS(지출내역!$G$3:$G$502,지출내역!$B$3:$B$502,$A130,지출내역!$E$3:$E$502,D$2))</f>
        <v/>
      </c>
      <c r="E130" s="11" t="str">
        <f aca="false">IF($A130="","",SUMIFS(지출내역!$G$3:$G$502,지출내역!$B$3:$B$502,$A130,지출내역!$E$3:$E$502,E$2))</f>
        <v/>
      </c>
      <c r="F130" s="11" t="str">
        <f aca="false">IF($A130="","",SUMIFS(지출내역!$G$3:$G$502,지출내역!$B$3:$B$502,$A130,지출내역!$E$3:$E$502,F$2))</f>
        <v/>
      </c>
      <c r="G130" s="11" t="str">
        <f aca="false">IF($A130="","",SUMIFS(지출내역!$G$3:$G$502,지출내역!$B$3:$B$502,$A130,지출내역!$E$3:$E$502,G$2))</f>
        <v/>
      </c>
      <c r="H130" s="11" t="str">
        <f aca="false">IF($A130="","",SUMIFS(지출내역!$G$3:$G$502,지출내역!$B$3:$B$502,$A130,지출내역!$E$3:$E$502,H$2))</f>
        <v/>
      </c>
      <c r="I130" s="11" t="str">
        <f aca="false">IF($A130="","",SUMIFS(지출내역!$G$3:$G$502,지출내역!$B$3:$B$502,$A130,지출내역!$E$3:$E$502,I$2))</f>
        <v/>
      </c>
      <c r="J130" s="11" t="str">
        <f aca="false">IF($A130="","",SUM(D130:I130))</f>
        <v/>
      </c>
    </row>
    <row r="131" customFormat="false" ht="15" hidden="false" customHeight="false" outlineLevel="0" collapsed="false">
      <c r="A131" s="9" t="str">
        <f aca="false">IF(직원목록!$A131="","",직원목록!$A131)</f>
        <v/>
      </c>
      <c r="B131" s="9" t="str">
        <f aca="false">IF($A131="","",직원목록!$B131)</f>
        <v/>
      </c>
      <c r="C131" s="9" t="str">
        <f aca="false">IF($A131="","",직원목록!$C131)</f>
        <v/>
      </c>
      <c r="D131" s="11" t="str">
        <f aca="false">IF($A131="","",SUMIFS(지출내역!$G$3:$G$502,지출내역!$B$3:$B$502,$A131,지출내역!$E$3:$E$502,D$2))</f>
        <v/>
      </c>
      <c r="E131" s="11" t="str">
        <f aca="false">IF($A131="","",SUMIFS(지출내역!$G$3:$G$502,지출내역!$B$3:$B$502,$A131,지출내역!$E$3:$E$502,E$2))</f>
        <v/>
      </c>
      <c r="F131" s="11" t="str">
        <f aca="false">IF($A131="","",SUMIFS(지출내역!$G$3:$G$502,지출내역!$B$3:$B$502,$A131,지출내역!$E$3:$E$502,F$2))</f>
        <v/>
      </c>
      <c r="G131" s="11" t="str">
        <f aca="false">IF($A131="","",SUMIFS(지출내역!$G$3:$G$502,지출내역!$B$3:$B$502,$A131,지출내역!$E$3:$E$502,G$2))</f>
        <v/>
      </c>
      <c r="H131" s="11" t="str">
        <f aca="false">IF($A131="","",SUMIFS(지출내역!$G$3:$G$502,지출내역!$B$3:$B$502,$A131,지출내역!$E$3:$E$502,H$2))</f>
        <v/>
      </c>
      <c r="I131" s="11" t="str">
        <f aca="false">IF($A131="","",SUMIFS(지출내역!$G$3:$G$502,지출내역!$B$3:$B$502,$A131,지출내역!$E$3:$E$502,I$2))</f>
        <v/>
      </c>
      <c r="J131" s="11" t="str">
        <f aca="false">IF($A131="","",SUM(D131:I131))</f>
        <v/>
      </c>
    </row>
    <row r="132" customFormat="false" ht="15" hidden="false" customHeight="false" outlineLevel="0" collapsed="false">
      <c r="A132" s="9" t="str">
        <f aca="false">IF(직원목록!$A132="","",직원목록!$A132)</f>
        <v/>
      </c>
      <c r="B132" s="9" t="str">
        <f aca="false">IF($A132="","",직원목록!$B132)</f>
        <v/>
      </c>
      <c r="C132" s="9" t="str">
        <f aca="false">IF($A132="","",직원목록!$C132)</f>
        <v/>
      </c>
      <c r="D132" s="11" t="str">
        <f aca="false">IF($A132="","",SUMIFS(지출내역!$G$3:$G$502,지출내역!$B$3:$B$502,$A132,지출내역!$E$3:$E$502,D$2))</f>
        <v/>
      </c>
      <c r="E132" s="11" t="str">
        <f aca="false">IF($A132="","",SUMIFS(지출내역!$G$3:$G$502,지출내역!$B$3:$B$502,$A132,지출내역!$E$3:$E$502,E$2))</f>
        <v/>
      </c>
      <c r="F132" s="11" t="str">
        <f aca="false">IF($A132="","",SUMIFS(지출내역!$G$3:$G$502,지출내역!$B$3:$B$502,$A132,지출내역!$E$3:$E$502,F$2))</f>
        <v/>
      </c>
      <c r="G132" s="11" t="str">
        <f aca="false">IF($A132="","",SUMIFS(지출내역!$G$3:$G$502,지출내역!$B$3:$B$502,$A132,지출내역!$E$3:$E$502,G$2))</f>
        <v/>
      </c>
      <c r="H132" s="11" t="str">
        <f aca="false">IF($A132="","",SUMIFS(지출내역!$G$3:$G$502,지출내역!$B$3:$B$502,$A132,지출내역!$E$3:$E$502,H$2))</f>
        <v/>
      </c>
      <c r="I132" s="11" t="str">
        <f aca="false">IF($A132="","",SUMIFS(지출내역!$G$3:$G$502,지출내역!$B$3:$B$502,$A132,지출내역!$E$3:$E$502,I$2))</f>
        <v/>
      </c>
      <c r="J132" s="11" t="str">
        <f aca="false">IF($A132="","",SUM(D132:I132))</f>
        <v/>
      </c>
    </row>
    <row r="133" customFormat="false" ht="15" hidden="false" customHeight="false" outlineLevel="0" collapsed="false">
      <c r="A133" s="9" t="str">
        <f aca="false">IF(직원목록!$A133="","",직원목록!$A133)</f>
        <v/>
      </c>
      <c r="B133" s="9" t="str">
        <f aca="false">IF($A133="","",직원목록!$B133)</f>
        <v/>
      </c>
      <c r="C133" s="9" t="str">
        <f aca="false">IF($A133="","",직원목록!$C133)</f>
        <v/>
      </c>
      <c r="D133" s="11" t="str">
        <f aca="false">IF($A133="","",SUMIFS(지출내역!$G$3:$G$502,지출내역!$B$3:$B$502,$A133,지출내역!$E$3:$E$502,D$2))</f>
        <v/>
      </c>
      <c r="E133" s="11" t="str">
        <f aca="false">IF($A133="","",SUMIFS(지출내역!$G$3:$G$502,지출내역!$B$3:$B$502,$A133,지출내역!$E$3:$E$502,E$2))</f>
        <v/>
      </c>
      <c r="F133" s="11" t="str">
        <f aca="false">IF($A133="","",SUMIFS(지출내역!$G$3:$G$502,지출내역!$B$3:$B$502,$A133,지출내역!$E$3:$E$502,F$2))</f>
        <v/>
      </c>
      <c r="G133" s="11" t="str">
        <f aca="false">IF($A133="","",SUMIFS(지출내역!$G$3:$G$502,지출내역!$B$3:$B$502,$A133,지출내역!$E$3:$E$502,G$2))</f>
        <v/>
      </c>
      <c r="H133" s="11" t="str">
        <f aca="false">IF($A133="","",SUMIFS(지출내역!$G$3:$G$502,지출내역!$B$3:$B$502,$A133,지출내역!$E$3:$E$502,H$2))</f>
        <v/>
      </c>
      <c r="I133" s="11" t="str">
        <f aca="false">IF($A133="","",SUMIFS(지출내역!$G$3:$G$502,지출내역!$B$3:$B$502,$A133,지출내역!$E$3:$E$502,I$2))</f>
        <v/>
      </c>
      <c r="J133" s="11" t="str">
        <f aca="false">IF($A133="","",SUM(D133:I133))</f>
        <v/>
      </c>
    </row>
    <row r="134" customFormat="false" ht="15" hidden="false" customHeight="false" outlineLevel="0" collapsed="false">
      <c r="A134" s="9" t="str">
        <f aca="false">IF(직원목록!$A134="","",직원목록!$A134)</f>
        <v/>
      </c>
      <c r="B134" s="9" t="str">
        <f aca="false">IF($A134="","",직원목록!$B134)</f>
        <v/>
      </c>
      <c r="C134" s="9" t="str">
        <f aca="false">IF($A134="","",직원목록!$C134)</f>
        <v/>
      </c>
      <c r="D134" s="11" t="str">
        <f aca="false">IF($A134="","",SUMIFS(지출내역!$G$3:$G$502,지출내역!$B$3:$B$502,$A134,지출내역!$E$3:$E$502,D$2))</f>
        <v/>
      </c>
      <c r="E134" s="11" t="str">
        <f aca="false">IF($A134="","",SUMIFS(지출내역!$G$3:$G$502,지출내역!$B$3:$B$502,$A134,지출내역!$E$3:$E$502,E$2))</f>
        <v/>
      </c>
      <c r="F134" s="11" t="str">
        <f aca="false">IF($A134="","",SUMIFS(지출내역!$G$3:$G$502,지출내역!$B$3:$B$502,$A134,지출내역!$E$3:$E$502,F$2))</f>
        <v/>
      </c>
      <c r="G134" s="11" t="str">
        <f aca="false">IF($A134="","",SUMIFS(지출내역!$G$3:$G$502,지출내역!$B$3:$B$502,$A134,지출내역!$E$3:$E$502,G$2))</f>
        <v/>
      </c>
      <c r="H134" s="11" t="str">
        <f aca="false">IF($A134="","",SUMIFS(지출내역!$G$3:$G$502,지출내역!$B$3:$B$502,$A134,지출내역!$E$3:$E$502,H$2))</f>
        <v/>
      </c>
      <c r="I134" s="11" t="str">
        <f aca="false">IF($A134="","",SUMIFS(지출내역!$G$3:$G$502,지출내역!$B$3:$B$502,$A134,지출내역!$E$3:$E$502,I$2))</f>
        <v/>
      </c>
      <c r="J134" s="11" t="str">
        <f aca="false">IF($A134="","",SUM(D134:I134))</f>
        <v/>
      </c>
    </row>
    <row r="135" customFormat="false" ht="15" hidden="false" customHeight="false" outlineLevel="0" collapsed="false">
      <c r="A135" s="9" t="str">
        <f aca="false">IF(직원목록!$A135="","",직원목록!$A135)</f>
        <v/>
      </c>
      <c r="B135" s="9" t="str">
        <f aca="false">IF($A135="","",직원목록!$B135)</f>
        <v/>
      </c>
      <c r="C135" s="9" t="str">
        <f aca="false">IF($A135="","",직원목록!$C135)</f>
        <v/>
      </c>
      <c r="D135" s="11" t="str">
        <f aca="false">IF($A135="","",SUMIFS(지출내역!$G$3:$G$502,지출내역!$B$3:$B$502,$A135,지출내역!$E$3:$E$502,D$2))</f>
        <v/>
      </c>
      <c r="E135" s="11" t="str">
        <f aca="false">IF($A135="","",SUMIFS(지출내역!$G$3:$G$502,지출내역!$B$3:$B$502,$A135,지출내역!$E$3:$E$502,E$2))</f>
        <v/>
      </c>
      <c r="F135" s="11" t="str">
        <f aca="false">IF($A135="","",SUMIFS(지출내역!$G$3:$G$502,지출내역!$B$3:$B$502,$A135,지출내역!$E$3:$E$502,F$2))</f>
        <v/>
      </c>
      <c r="G135" s="11" t="str">
        <f aca="false">IF($A135="","",SUMIFS(지출내역!$G$3:$G$502,지출내역!$B$3:$B$502,$A135,지출내역!$E$3:$E$502,G$2))</f>
        <v/>
      </c>
      <c r="H135" s="11" t="str">
        <f aca="false">IF($A135="","",SUMIFS(지출내역!$G$3:$G$502,지출내역!$B$3:$B$502,$A135,지출내역!$E$3:$E$502,H$2))</f>
        <v/>
      </c>
      <c r="I135" s="11" t="str">
        <f aca="false">IF($A135="","",SUMIFS(지출내역!$G$3:$G$502,지출내역!$B$3:$B$502,$A135,지출내역!$E$3:$E$502,I$2))</f>
        <v/>
      </c>
      <c r="J135" s="11" t="str">
        <f aca="false">IF($A135="","",SUM(D135:I135))</f>
        <v/>
      </c>
    </row>
    <row r="136" customFormat="false" ht="15" hidden="false" customHeight="false" outlineLevel="0" collapsed="false">
      <c r="A136" s="9" t="str">
        <f aca="false">IF(직원목록!$A136="","",직원목록!$A136)</f>
        <v/>
      </c>
      <c r="B136" s="9" t="str">
        <f aca="false">IF($A136="","",직원목록!$B136)</f>
        <v/>
      </c>
      <c r="C136" s="9" t="str">
        <f aca="false">IF($A136="","",직원목록!$C136)</f>
        <v/>
      </c>
      <c r="D136" s="11" t="str">
        <f aca="false">IF($A136="","",SUMIFS(지출내역!$G$3:$G$502,지출내역!$B$3:$B$502,$A136,지출내역!$E$3:$E$502,D$2))</f>
        <v/>
      </c>
      <c r="E136" s="11" t="str">
        <f aca="false">IF($A136="","",SUMIFS(지출내역!$G$3:$G$502,지출내역!$B$3:$B$502,$A136,지출내역!$E$3:$E$502,E$2))</f>
        <v/>
      </c>
      <c r="F136" s="11" t="str">
        <f aca="false">IF($A136="","",SUMIFS(지출내역!$G$3:$G$502,지출내역!$B$3:$B$502,$A136,지출내역!$E$3:$E$502,F$2))</f>
        <v/>
      </c>
      <c r="G136" s="11" t="str">
        <f aca="false">IF($A136="","",SUMIFS(지출내역!$G$3:$G$502,지출내역!$B$3:$B$502,$A136,지출내역!$E$3:$E$502,G$2))</f>
        <v/>
      </c>
      <c r="H136" s="11" t="str">
        <f aca="false">IF($A136="","",SUMIFS(지출내역!$G$3:$G$502,지출내역!$B$3:$B$502,$A136,지출내역!$E$3:$E$502,H$2))</f>
        <v/>
      </c>
      <c r="I136" s="11" t="str">
        <f aca="false">IF($A136="","",SUMIFS(지출내역!$G$3:$G$502,지출내역!$B$3:$B$502,$A136,지출내역!$E$3:$E$502,I$2))</f>
        <v/>
      </c>
      <c r="J136" s="11" t="str">
        <f aca="false">IF($A136="","",SUM(D136:I136))</f>
        <v/>
      </c>
    </row>
    <row r="137" customFormat="false" ht="15" hidden="false" customHeight="false" outlineLevel="0" collapsed="false">
      <c r="A137" s="9" t="str">
        <f aca="false">IF(직원목록!$A137="","",직원목록!$A137)</f>
        <v/>
      </c>
      <c r="B137" s="9" t="str">
        <f aca="false">IF($A137="","",직원목록!$B137)</f>
        <v/>
      </c>
      <c r="C137" s="9" t="str">
        <f aca="false">IF($A137="","",직원목록!$C137)</f>
        <v/>
      </c>
      <c r="D137" s="11" t="str">
        <f aca="false">IF($A137="","",SUMIFS(지출내역!$G$3:$G$502,지출내역!$B$3:$B$502,$A137,지출내역!$E$3:$E$502,D$2))</f>
        <v/>
      </c>
      <c r="E137" s="11" t="str">
        <f aca="false">IF($A137="","",SUMIFS(지출내역!$G$3:$G$502,지출내역!$B$3:$B$502,$A137,지출내역!$E$3:$E$502,E$2))</f>
        <v/>
      </c>
      <c r="F137" s="11" t="str">
        <f aca="false">IF($A137="","",SUMIFS(지출내역!$G$3:$G$502,지출내역!$B$3:$B$502,$A137,지출내역!$E$3:$E$502,F$2))</f>
        <v/>
      </c>
      <c r="G137" s="11" t="str">
        <f aca="false">IF($A137="","",SUMIFS(지출내역!$G$3:$G$502,지출내역!$B$3:$B$502,$A137,지출내역!$E$3:$E$502,G$2))</f>
        <v/>
      </c>
      <c r="H137" s="11" t="str">
        <f aca="false">IF($A137="","",SUMIFS(지출내역!$G$3:$G$502,지출내역!$B$3:$B$502,$A137,지출내역!$E$3:$E$502,H$2))</f>
        <v/>
      </c>
      <c r="I137" s="11" t="str">
        <f aca="false">IF($A137="","",SUMIFS(지출내역!$G$3:$G$502,지출내역!$B$3:$B$502,$A137,지출내역!$E$3:$E$502,I$2))</f>
        <v/>
      </c>
      <c r="J137" s="11" t="str">
        <f aca="false">IF($A137="","",SUM(D137:I137))</f>
        <v/>
      </c>
    </row>
    <row r="138" customFormat="false" ht="15" hidden="false" customHeight="false" outlineLevel="0" collapsed="false">
      <c r="A138" s="9" t="str">
        <f aca="false">IF(직원목록!$A138="","",직원목록!$A138)</f>
        <v/>
      </c>
      <c r="B138" s="9" t="str">
        <f aca="false">IF($A138="","",직원목록!$B138)</f>
        <v/>
      </c>
      <c r="C138" s="9" t="str">
        <f aca="false">IF($A138="","",직원목록!$C138)</f>
        <v/>
      </c>
      <c r="D138" s="11" t="str">
        <f aca="false">IF($A138="","",SUMIFS(지출내역!$G$3:$G$502,지출내역!$B$3:$B$502,$A138,지출내역!$E$3:$E$502,D$2))</f>
        <v/>
      </c>
      <c r="E138" s="11" t="str">
        <f aca="false">IF($A138="","",SUMIFS(지출내역!$G$3:$G$502,지출내역!$B$3:$B$502,$A138,지출내역!$E$3:$E$502,E$2))</f>
        <v/>
      </c>
      <c r="F138" s="11" t="str">
        <f aca="false">IF($A138="","",SUMIFS(지출내역!$G$3:$G$502,지출내역!$B$3:$B$502,$A138,지출내역!$E$3:$E$502,F$2))</f>
        <v/>
      </c>
      <c r="G138" s="11" t="str">
        <f aca="false">IF($A138="","",SUMIFS(지출내역!$G$3:$G$502,지출내역!$B$3:$B$502,$A138,지출내역!$E$3:$E$502,G$2))</f>
        <v/>
      </c>
      <c r="H138" s="11" t="str">
        <f aca="false">IF($A138="","",SUMIFS(지출내역!$G$3:$G$502,지출내역!$B$3:$B$502,$A138,지출내역!$E$3:$E$502,H$2))</f>
        <v/>
      </c>
      <c r="I138" s="11" t="str">
        <f aca="false">IF($A138="","",SUMIFS(지출내역!$G$3:$G$502,지출내역!$B$3:$B$502,$A138,지출내역!$E$3:$E$502,I$2))</f>
        <v/>
      </c>
      <c r="J138" s="11" t="str">
        <f aca="false">IF($A138="","",SUM(D138:I138))</f>
        <v/>
      </c>
    </row>
    <row r="139" customFormat="false" ht="15" hidden="false" customHeight="false" outlineLevel="0" collapsed="false">
      <c r="A139" s="9" t="str">
        <f aca="false">IF(직원목록!$A139="","",직원목록!$A139)</f>
        <v/>
      </c>
      <c r="B139" s="9" t="str">
        <f aca="false">IF($A139="","",직원목록!$B139)</f>
        <v/>
      </c>
      <c r="C139" s="9" t="str">
        <f aca="false">IF($A139="","",직원목록!$C139)</f>
        <v/>
      </c>
      <c r="D139" s="11" t="str">
        <f aca="false">IF($A139="","",SUMIFS(지출내역!$G$3:$G$502,지출내역!$B$3:$B$502,$A139,지출내역!$E$3:$E$502,D$2))</f>
        <v/>
      </c>
      <c r="E139" s="11" t="str">
        <f aca="false">IF($A139="","",SUMIFS(지출내역!$G$3:$G$502,지출내역!$B$3:$B$502,$A139,지출내역!$E$3:$E$502,E$2))</f>
        <v/>
      </c>
      <c r="F139" s="11" t="str">
        <f aca="false">IF($A139="","",SUMIFS(지출내역!$G$3:$G$502,지출내역!$B$3:$B$502,$A139,지출내역!$E$3:$E$502,F$2))</f>
        <v/>
      </c>
      <c r="G139" s="11" t="str">
        <f aca="false">IF($A139="","",SUMIFS(지출내역!$G$3:$G$502,지출내역!$B$3:$B$502,$A139,지출내역!$E$3:$E$502,G$2))</f>
        <v/>
      </c>
      <c r="H139" s="11" t="str">
        <f aca="false">IF($A139="","",SUMIFS(지출내역!$G$3:$G$502,지출내역!$B$3:$B$502,$A139,지출내역!$E$3:$E$502,H$2))</f>
        <v/>
      </c>
      <c r="I139" s="11" t="str">
        <f aca="false">IF($A139="","",SUMIFS(지출내역!$G$3:$G$502,지출내역!$B$3:$B$502,$A139,지출내역!$E$3:$E$502,I$2))</f>
        <v/>
      </c>
      <c r="J139" s="11" t="str">
        <f aca="false">IF($A139="","",SUM(D139:I139))</f>
        <v/>
      </c>
    </row>
    <row r="140" customFormat="false" ht="15" hidden="false" customHeight="false" outlineLevel="0" collapsed="false">
      <c r="A140" s="9" t="str">
        <f aca="false">IF(직원목록!$A140="","",직원목록!$A140)</f>
        <v/>
      </c>
      <c r="B140" s="9" t="str">
        <f aca="false">IF($A140="","",직원목록!$B140)</f>
        <v/>
      </c>
      <c r="C140" s="9" t="str">
        <f aca="false">IF($A140="","",직원목록!$C140)</f>
        <v/>
      </c>
      <c r="D140" s="11" t="str">
        <f aca="false">IF($A140="","",SUMIFS(지출내역!$G$3:$G$502,지출내역!$B$3:$B$502,$A140,지출내역!$E$3:$E$502,D$2))</f>
        <v/>
      </c>
      <c r="E140" s="11" t="str">
        <f aca="false">IF($A140="","",SUMIFS(지출내역!$G$3:$G$502,지출내역!$B$3:$B$502,$A140,지출내역!$E$3:$E$502,E$2))</f>
        <v/>
      </c>
      <c r="F140" s="11" t="str">
        <f aca="false">IF($A140="","",SUMIFS(지출내역!$G$3:$G$502,지출내역!$B$3:$B$502,$A140,지출내역!$E$3:$E$502,F$2))</f>
        <v/>
      </c>
      <c r="G140" s="11" t="str">
        <f aca="false">IF($A140="","",SUMIFS(지출내역!$G$3:$G$502,지출내역!$B$3:$B$502,$A140,지출내역!$E$3:$E$502,G$2))</f>
        <v/>
      </c>
      <c r="H140" s="11" t="str">
        <f aca="false">IF($A140="","",SUMIFS(지출내역!$G$3:$G$502,지출내역!$B$3:$B$502,$A140,지출내역!$E$3:$E$502,H$2))</f>
        <v/>
      </c>
      <c r="I140" s="11" t="str">
        <f aca="false">IF($A140="","",SUMIFS(지출내역!$G$3:$G$502,지출내역!$B$3:$B$502,$A140,지출내역!$E$3:$E$502,I$2))</f>
        <v/>
      </c>
      <c r="J140" s="11" t="str">
        <f aca="false">IF($A140="","",SUM(D140:I140))</f>
        <v/>
      </c>
    </row>
    <row r="141" customFormat="false" ht="15" hidden="false" customHeight="false" outlineLevel="0" collapsed="false">
      <c r="A141" s="9" t="str">
        <f aca="false">IF(직원목록!$A141="","",직원목록!$A141)</f>
        <v/>
      </c>
      <c r="B141" s="9" t="str">
        <f aca="false">IF($A141="","",직원목록!$B141)</f>
        <v/>
      </c>
      <c r="C141" s="9" t="str">
        <f aca="false">IF($A141="","",직원목록!$C141)</f>
        <v/>
      </c>
      <c r="D141" s="11" t="str">
        <f aca="false">IF($A141="","",SUMIFS(지출내역!$G$3:$G$502,지출내역!$B$3:$B$502,$A141,지출내역!$E$3:$E$502,D$2))</f>
        <v/>
      </c>
      <c r="E141" s="11" t="str">
        <f aca="false">IF($A141="","",SUMIFS(지출내역!$G$3:$G$502,지출내역!$B$3:$B$502,$A141,지출내역!$E$3:$E$502,E$2))</f>
        <v/>
      </c>
      <c r="F141" s="11" t="str">
        <f aca="false">IF($A141="","",SUMIFS(지출내역!$G$3:$G$502,지출내역!$B$3:$B$502,$A141,지출내역!$E$3:$E$502,F$2))</f>
        <v/>
      </c>
      <c r="G141" s="11" t="str">
        <f aca="false">IF($A141="","",SUMIFS(지출내역!$G$3:$G$502,지출내역!$B$3:$B$502,$A141,지출내역!$E$3:$E$502,G$2))</f>
        <v/>
      </c>
      <c r="H141" s="11" t="str">
        <f aca="false">IF($A141="","",SUMIFS(지출내역!$G$3:$G$502,지출내역!$B$3:$B$502,$A141,지출내역!$E$3:$E$502,H$2))</f>
        <v/>
      </c>
      <c r="I141" s="11" t="str">
        <f aca="false">IF($A141="","",SUMIFS(지출내역!$G$3:$G$502,지출내역!$B$3:$B$502,$A141,지출내역!$E$3:$E$502,I$2))</f>
        <v/>
      </c>
      <c r="J141" s="11" t="str">
        <f aca="false">IF($A141="","",SUM(D141:I141))</f>
        <v/>
      </c>
    </row>
    <row r="142" customFormat="false" ht="15" hidden="false" customHeight="false" outlineLevel="0" collapsed="false">
      <c r="A142" s="9" t="str">
        <f aca="false">IF(직원목록!$A142="","",직원목록!$A142)</f>
        <v/>
      </c>
      <c r="B142" s="9" t="str">
        <f aca="false">IF($A142="","",직원목록!$B142)</f>
        <v/>
      </c>
      <c r="C142" s="9" t="str">
        <f aca="false">IF($A142="","",직원목록!$C142)</f>
        <v/>
      </c>
      <c r="D142" s="11" t="str">
        <f aca="false">IF($A142="","",SUMIFS(지출내역!$G$3:$G$502,지출내역!$B$3:$B$502,$A142,지출내역!$E$3:$E$502,D$2))</f>
        <v/>
      </c>
      <c r="E142" s="11" t="str">
        <f aca="false">IF($A142="","",SUMIFS(지출내역!$G$3:$G$502,지출내역!$B$3:$B$502,$A142,지출내역!$E$3:$E$502,E$2))</f>
        <v/>
      </c>
      <c r="F142" s="11" t="str">
        <f aca="false">IF($A142="","",SUMIFS(지출내역!$G$3:$G$502,지출내역!$B$3:$B$502,$A142,지출내역!$E$3:$E$502,F$2))</f>
        <v/>
      </c>
      <c r="G142" s="11" t="str">
        <f aca="false">IF($A142="","",SUMIFS(지출내역!$G$3:$G$502,지출내역!$B$3:$B$502,$A142,지출내역!$E$3:$E$502,G$2))</f>
        <v/>
      </c>
      <c r="H142" s="11" t="str">
        <f aca="false">IF($A142="","",SUMIFS(지출내역!$G$3:$G$502,지출내역!$B$3:$B$502,$A142,지출내역!$E$3:$E$502,H$2))</f>
        <v/>
      </c>
      <c r="I142" s="11" t="str">
        <f aca="false">IF($A142="","",SUMIFS(지출내역!$G$3:$G$502,지출내역!$B$3:$B$502,$A142,지출내역!$E$3:$E$502,I$2))</f>
        <v/>
      </c>
      <c r="J142" s="11" t="str">
        <f aca="false">IF($A142="","",SUM(D142:I142))</f>
        <v/>
      </c>
    </row>
    <row r="143" customFormat="false" ht="15" hidden="false" customHeight="false" outlineLevel="0" collapsed="false">
      <c r="A143" s="9" t="str">
        <f aca="false">IF(직원목록!$A143="","",직원목록!$A143)</f>
        <v/>
      </c>
      <c r="B143" s="9" t="str">
        <f aca="false">IF($A143="","",직원목록!$B143)</f>
        <v/>
      </c>
      <c r="C143" s="9" t="str">
        <f aca="false">IF($A143="","",직원목록!$C143)</f>
        <v/>
      </c>
      <c r="D143" s="11" t="str">
        <f aca="false">IF($A143="","",SUMIFS(지출내역!$G$3:$G$502,지출내역!$B$3:$B$502,$A143,지출내역!$E$3:$E$502,D$2))</f>
        <v/>
      </c>
      <c r="E143" s="11" t="str">
        <f aca="false">IF($A143="","",SUMIFS(지출내역!$G$3:$G$502,지출내역!$B$3:$B$502,$A143,지출내역!$E$3:$E$502,E$2))</f>
        <v/>
      </c>
      <c r="F143" s="11" t="str">
        <f aca="false">IF($A143="","",SUMIFS(지출내역!$G$3:$G$502,지출내역!$B$3:$B$502,$A143,지출내역!$E$3:$E$502,F$2))</f>
        <v/>
      </c>
      <c r="G143" s="11" t="str">
        <f aca="false">IF($A143="","",SUMIFS(지출내역!$G$3:$G$502,지출내역!$B$3:$B$502,$A143,지출내역!$E$3:$E$502,G$2))</f>
        <v/>
      </c>
      <c r="H143" s="11" t="str">
        <f aca="false">IF($A143="","",SUMIFS(지출내역!$G$3:$G$502,지출내역!$B$3:$B$502,$A143,지출내역!$E$3:$E$502,H$2))</f>
        <v/>
      </c>
      <c r="I143" s="11" t="str">
        <f aca="false">IF($A143="","",SUMIFS(지출내역!$G$3:$G$502,지출내역!$B$3:$B$502,$A143,지출내역!$E$3:$E$502,I$2))</f>
        <v/>
      </c>
      <c r="J143" s="11" t="str">
        <f aca="false">IF($A143="","",SUM(D143:I143))</f>
        <v/>
      </c>
    </row>
    <row r="144" customFormat="false" ht="15" hidden="false" customHeight="false" outlineLevel="0" collapsed="false">
      <c r="A144" s="9" t="str">
        <f aca="false">IF(직원목록!$A144="","",직원목록!$A144)</f>
        <v/>
      </c>
      <c r="B144" s="9" t="str">
        <f aca="false">IF($A144="","",직원목록!$B144)</f>
        <v/>
      </c>
      <c r="C144" s="9" t="str">
        <f aca="false">IF($A144="","",직원목록!$C144)</f>
        <v/>
      </c>
      <c r="D144" s="11" t="str">
        <f aca="false">IF($A144="","",SUMIFS(지출내역!$G$3:$G$502,지출내역!$B$3:$B$502,$A144,지출내역!$E$3:$E$502,D$2))</f>
        <v/>
      </c>
      <c r="E144" s="11" t="str">
        <f aca="false">IF($A144="","",SUMIFS(지출내역!$G$3:$G$502,지출내역!$B$3:$B$502,$A144,지출내역!$E$3:$E$502,E$2))</f>
        <v/>
      </c>
      <c r="F144" s="11" t="str">
        <f aca="false">IF($A144="","",SUMIFS(지출내역!$G$3:$G$502,지출내역!$B$3:$B$502,$A144,지출내역!$E$3:$E$502,F$2))</f>
        <v/>
      </c>
      <c r="G144" s="11" t="str">
        <f aca="false">IF($A144="","",SUMIFS(지출내역!$G$3:$G$502,지출내역!$B$3:$B$502,$A144,지출내역!$E$3:$E$502,G$2))</f>
        <v/>
      </c>
      <c r="H144" s="11" t="str">
        <f aca="false">IF($A144="","",SUMIFS(지출내역!$G$3:$G$502,지출내역!$B$3:$B$502,$A144,지출내역!$E$3:$E$502,H$2))</f>
        <v/>
      </c>
      <c r="I144" s="11" t="str">
        <f aca="false">IF($A144="","",SUMIFS(지출내역!$G$3:$G$502,지출내역!$B$3:$B$502,$A144,지출내역!$E$3:$E$502,I$2))</f>
        <v/>
      </c>
      <c r="J144" s="11" t="str">
        <f aca="false">IF($A144="","",SUM(D144:I144))</f>
        <v/>
      </c>
    </row>
    <row r="145" customFormat="false" ht="15" hidden="false" customHeight="false" outlineLevel="0" collapsed="false">
      <c r="A145" s="9" t="str">
        <f aca="false">IF(직원목록!$A145="","",직원목록!$A145)</f>
        <v/>
      </c>
      <c r="B145" s="9" t="str">
        <f aca="false">IF($A145="","",직원목록!$B145)</f>
        <v/>
      </c>
      <c r="C145" s="9" t="str">
        <f aca="false">IF($A145="","",직원목록!$C145)</f>
        <v/>
      </c>
      <c r="D145" s="11" t="str">
        <f aca="false">IF($A145="","",SUMIFS(지출내역!$G$3:$G$502,지출내역!$B$3:$B$502,$A145,지출내역!$E$3:$E$502,D$2))</f>
        <v/>
      </c>
      <c r="E145" s="11" t="str">
        <f aca="false">IF($A145="","",SUMIFS(지출내역!$G$3:$G$502,지출내역!$B$3:$B$502,$A145,지출내역!$E$3:$E$502,E$2))</f>
        <v/>
      </c>
      <c r="F145" s="11" t="str">
        <f aca="false">IF($A145="","",SUMIFS(지출내역!$G$3:$G$502,지출내역!$B$3:$B$502,$A145,지출내역!$E$3:$E$502,F$2))</f>
        <v/>
      </c>
      <c r="G145" s="11" t="str">
        <f aca="false">IF($A145="","",SUMIFS(지출내역!$G$3:$G$502,지출내역!$B$3:$B$502,$A145,지출내역!$E$3:$E$502,G$2))</f>
        <v/>
      </c>
      <c r="H145" s="11" t="str">
        <f aca="false">IF($A145="","",SUMIFS(지출내역!$G$3:$G$502,지출내역!$B$3:$B$502,$A145,지출내역!$E$3:$E$502,H$2))</f>
        <v/>
      </c>
      <c r="I145" s="11" t="str">
        <f aca="false">IF($A145="","",SUMIFS(지출내역!$G$3:$G$502,지출내역!$B$3:$B$502,$A145,지출내역!$E$3:$E$502,I$2))</f>
        <v/>
      </c>
      <c r="J145" s="11" t="str">
        <f aca="false">IF($A145="","",SUM(D145:I145))</f>
        <v/>
      </c>
    </row>
    <row r="146" customFormat="false" ht="15" hidden="false" customHeight="false" outlineLevel="0" collapsed="false">
      <c r="A146" s="9" t="str">
        <f aca="false">IF(직원목록!$A146="","",직원목록!$A146)</f>
        <v/>
      </c>
      <c r="B146" s="9" t="str">
        <f aca="false">IF($A146="","",직원목록!$B146)</f>
        <v/>
      </c>
      <c r="C146" s="9" t="str">
        <f aca="false">IF($A146="","",직원목록!$C146)</f>
        <v/>
      </c>
      <c r="D146" s="11" t="str">
        <f aca="false">IF($A146="","",SUMIFS(지출내역!$G$3:$G$502,지출내역!$B$3:$B$502,$A146,지출내역!$E$3:$E$502,D$2))</f>
        <v/>
      </c>
      <c r="E146" s="11" t="str">
        <f aca="false">IF($A146="","",SUMIFS(지출내역!$G$3:$G$502,지출내역!$B$3:$B$502,$A146,지출내역!$E$3:$E$502,E$2))</f>
        <v/>
      </c>
      <c r="F146" s="11" t="str">
        <f aca="false">IF($A146="","",SUMIFS(지출내역!$G$3:$G$502,지출내역!$B$3:$B$502,$A146,지출내역!$E$3:$E$502,F$2))</f>
        <v/>
      </c>
      <c r="G146" s="11" t="str">
        <f aca="false">IF($A146="","",SUMIFS(지출내역!$G$3:$G$502,지출내역!$B$3:$B$502,$A146,지출내역!$E$3:$E$502,G$2))</f>
        <v/>
      </c>
      <c r="H146" s="11" t="str">
        <f aca="false">IF($A146="","",SUMIFS(지출내역!$G$3:$G$502,지출내역!$B$3:$B$502,$A146,지출내역!$E$3:$E$502,H$2))</f>
        <v/>
      </c>
      <c r="I146" s="11" t="str">
        <f aca="false">IF($A146="","",SUMIFS(지출내역!$G$3:$G$502,지출내역!$B$3:$B$502,$A146,지출내역!$E$3:$E$502,I$2))</f>
        <v/>
      </c>
      <c r="J146" s="11" t="str">
        <f aca="false">IF($A146="","",SUM(D146:I146))</f>
        <v/>
      </c>
    </row>
    <row r="147" customFormat="false" ht="15" hidden="false" customHeight="false" outlineLevel="0" collapsed="false">
      <c r="A147" s="9" t="str">
        <f aca="false">IF(직원목록!$A147="","",직원목록!$A147)</f>
        <v/>
      </c>
      <c r="B147" s="9" t="str">
        <f aca="false">IF($A147="","",직원목록!$B147)</f>
        <v/>
      </c>
      <c r="C147" s="9" t="str">
        <f aca="false">IF($A147="","",직원목록!$C147)</f>
        <v/>
      </c>
      <c r="D147" s="11" t="str">
        <f aca="false">IF($A147="","",SUMIFS(지출내역!$G$3:$G$502,지출내역!$B$3:$B$502,$A147,지출내역!$E$3:$E$502,D$2))</f>
        <v/>
      </c>
      <c r="E147" s="11" t="str">
        <f aca="false">IF($A147="","",SUMIFS(지출내역!$G$3:$G$502,지출내역!$B$3:$B$502,$A147,지출내역!$E$3:$E$502,E$2))</f>
        <v/>
      </c>
      <c r="F147" s="11" t="str">
        <f aca="false">IF($A147="","",SUMIFS(지출내역!$G$3:$G$502,지출내역!$B$3:$B$502,$A147,지출내역!$E$3:$E$502,F$2))</f>
        <v/>
      </c>
      <c r="G147" s="11" t="str">
        <f aca="false">IF($A147="","",SUMIFS(지출내역!$G$3:$G$502,지출내역!$B$3:$B$502,$A147,지출내역!$E$3:$E$502,G$2))</f>
        <v/>
      </c>
      <c r="H147" s="11" t="str">
        <f aca="false">IF($A147="","",SUMIFS(지출내역!$G$3:$G$502,지출내역!$B$3:$B$502,$A147,지출내역!$E$3:$E$502,H$2))</f>
        <v/>
      </c>
      <c r="I147" s="11" t="str">
        <f aca="false">IF($A147="","",SUMIFS(지출내역!$G$3:$G$502,지출내역!$B$3:$B$502,$A147,지출내역!$E$3:$E$502,I$2))</f>
        <v/>
      </c>
      <c r="J147" s="11" t="str">
        <f aca="false">IF($A147="","",SUM(D147:I147))</f>
        <v/>
      </c>
    </row>
    <row r="148" customFormat="false" ht="15" hidden="false" customHeight="false" outlineLevel="0" collapsed="false">
      <c r="A148" s="9" t="str">
        <f aca="false">IF(직원목록!$A148="","",직원목록!$A148)</f>
        <v/>
      </c>
      <c r="B148" s="9" t="str">
        <f aca="false">IF($A148="","",직원목록!$B148)</f>
        <v/>
      </c>
      <c r="C148" s="9" t="str">
        <f aca="false">IF($A148="","",직원목록!$C148)</f>
        <v/>
      </c>
      <c r="D148" s="11" t="str">
        <f aca="false">IF($A148="","",SUMIFS(지출내역!$G$3:$G$502,지출내역!$B$3:$B$502,$A148,지출내역!$E$3:$E$502,D$2))</f>
        <v/>
      </c>
      <c r="E148" s="11" t="str">
        <f aca="false">IF($A148="","",SUMIFS(지출내역!$G$3:$G$502,지출내역!$B$3:$B$502,$A148,지출내역!$E$3:$E$502,E$2))</f>
        <v/>
      </c>
      <c r="F148" s="11" t="str">
        <f aca="false">IF($A148="","",SUMIFS(지출내역!$G$3:$G$502,지출내역!$B$3:$B$502,$A148,지출내역!$E$3:$E$502,F$2))</f>
        <v/>
      </c>
      <c r="G148" s="11" t="str">
        <f aca="false">IF($A148="","",SUMIFS(지출내역!$G$3:$G$502,지출내역!$B$3:$B$502,$A148,지출내역!$E$3:$E$502,G$2))</f>
        <v/>
      </c>
      <c r="H148" s="11" t="str">
        <f aca="false">IF($A148="","",SUMIFS(지출내역!$G$3:$G$502,지출내역!$B$3:$B$502,$A148,지출내역!$E$3:$E$502,H$2))</f>
        <v/>
      </c>
      <c r="I148" s="11" t="str">
        <f aca="false">IF($A148="","",SUMIFS(지출내역!$G$3:$G$502,지출내역!$B$3:$B$502,$A148,지출내역!$E$3:$E$502,I$2))</f>
        <v/>
      </c>
      <c r="J148" s="11" t="str">
        <f aca="false">IF($A148="","",SUM(D148:I148))</f>
        <v/>
      </c>
    </row>
    <row r="149" customFormat="false" ht="15" hidden="false" customHeight="false" outlineLevel="0" collapsed="false">
      <c r="A149" s="9" t="str">
        <f aca="false">IF(직원목록!$A149="","",직원목록!$A149)</f>
        <v/>
      </c>
      <c r="B149" s="9" t="str">
        <f aca="false">IF($A149="","",직원목록!$B149)</f>
        <v/>
      </c>
      <c r="C149" s="9" t="str">
        <f aca="false">IF($A149="","",직원목록!$C149)</f>
        <v/>
      </c>
      <c r="D149" s="11" t="str">
        <f aca="false">IF($A149="","",SUMIFS(지출내역!$G$3:$G$502,지출내역!$B$3:$B$502,$A149,지출내역!$E$3:$E$502,D$2))</f>
        <v/>
      </c>
      <c r="E149" s="11" t="str">
        <f aca="false">IF($A149="","",SUMIFS(지출내역!$G$3:$G$502,지출내역!$B$3:$B$502,$A149,지출내역!$E$3:$E$502,E$2))</f>
        <v/>
      </c>
      <c r="F149" s="11" t="str">
        <f aca="false">IF($A149="","",SUMIFS(지출내역!$G$3:$G$502,지출내역!$B$3:$B$502,$A149,지출내역!$E$3:$E$502,F$2))</f>
        <v/>
      </c>
      <c r="G149" s="11" t="str">
        <f aca="false">IF($A149="","",SUMIFS(지출내역!$G$3:$G$502,지출내역!$B$3:$B$502,$A149,지출내역!$E$3:$E$502,G$2))</f>
        <v/>
      </c>
      <c r="H149" s="11" t="str">
        <f aca="false">IF($A149="","",SUMIFS(지출내역!$G$3:$G$502,지출내역!$B$3:$B$502,$A149,지출내역!$E$3:$E$502,H$2))</f>
        <v/>
      </c>
      <c r="I149" s="11" t="str">
        <f aca="false">IF($A149="","",SUMIFS(지출내역!$G$3:$G$502,지출내역!$B$3:$B$502,$A149,지출내역!$E$3:$E$502,I$2))</f>
        <v/>
      </c>
      <c r="J149" s="11" t="str">
        <f aca="false">IF($A149="","",SUM(D149:I149))</f>
        <v/>
      </c>
    </row>
    <row r="150" customFormat="false" ht="15" hidden="false" customHeight="false" outlineLevel="0" collapsed="false">
      <c r="A150" s="9" t="str">
        <f aca="false">IF(직원목록!$A150="","",직원목록!$A150)</f>
        <v/>
      </c>
      <c r="B150" s="9" t="str">
        <f aca="false">IF($A150="","",직원목록!$B150)</f>
        <v/>
      </c>
      <c r="C150" s="9" t="str">
        <f aca="false">IF($A150="","",직원목록!$C150)</f>
        <v/>
      </c>
      <c r="D150" s="11" t="str">
        <f aca="false">IF($A150="","",SUMIFS(지출내역!$G$3:$G$502,지출내역!$B$3:$B$502,$A150,지출내역!$E$3:$E$502,D$2))</f>
        <v/>
      </c>
      <c r="E150" s="11" t="str">
        <f aca="false">IF($A150="","",SUMIFS(지출내역!$G$3:$G$502,지출내역!$B$3:$B$502,$A150,지출내역!$E$3:$E$502,E$2))</f>
        <v/>
      </c>
      <c r="F150" s="11" t="str">
        <f aca="false">IF($A150="","",SUMIFS(지출내역!$G$3:$G$502,지출내역!$B$3:$B$502,$A150,지출내역!$E$3:$E$502,F$2))</f>
        <v/>
      </c>
      <c r="G150" s="11" t="str">
        <f aca="false">IF($A150="","",SUMIFS(지출내역!$G$3:$G$502,지출내역!$B$3:$B$502,$A150,지출내역!$E$3:$E$502,G$2))</f>
        <v/>
      </c>
      <c r="H150" s="11" t="str">
        <f aca="false">IF($A150="","",SUMIFS(지출내역!$G$3:$G$502,지출내역!$B$3:$B$502,$A150,지출내역!$E$3:$E$502,H$2))</f>
        <v/>
      </c>
      <c r="I150" s="11" t="str">
        <f aca="false">IF($A150="","",SUMIFS(지출내역!$G$3:$G$502,지출내역!$B$3:$B$502,$A150,지출내역!$E$3:$E$502,I$2))</f>
        <v/>
      </c>
      <c r="J150" s="11" t="str">
        <f aca="false">IF($A150="","",SUM(D150:I150))</f>
        <v/>
      </c>
    </row>
    <row r="151" customFormat="false" ht="15" hidden="false" customHeight="false" outlineLevel="0" collapsed="false">
      <c r="A151" s="9" t="str">
        <f aca="false">IF(직원목록!$A151="","",직원목록!$A151)</f>
        <v/>
      </c>
      <c r="B151" s="9" t="str">
        <f aca="false">IF($A151="","",직원목록!$B151)</f>
        <v/>
      </c>
      <c r="C151" s="9" t="str">
        <f aca="false">IF($A151="","",직원목록!$C151)</f>
        <v/>
      </c>
      <c r="D151" s="11" t="str">
        <f aca="false">IF($A151="","",SUMIFS(지출내역!$G$3:$G$502,지출내역!$B$3:$B$502,$A151,지출내역!$E$3:$E$502,D$2))</f>
        <v/>
      </c>
      <c r="E151" s="11" t="str">
        <f aca="false">IF($A151="","",SUMIFS(지출내역!$G$3:$G$502,지출내역!$B$3:$B$502,$A151,지출내역!$E$3:$E$502,E$2))</f>
        <v/>
      </c>
      <c r="F151" s="11" t="str">
        <f aca="false">IF($A151="","",SUMIFS(지출내역!$G$3:$G$502,지출내역!$B$3:$B$502,$A151,지출내역!$E$3:$E$502,F$2))</f>
        <v/>
      </c>
      <c r="G151" s="11" t="str">
        <f aca="false">IF($A151="","",SUMIFS(지출내역!$G$3:$G$502,지출내역!$B$3:$B$502,$A151,지출내역!$E$3:$E$502,G$2))</f>
        <v/>
      </c>
      <c r="H151" s="11" t="str">
        <f aca="false">IF($A151="","",SUMIFS(지출내역!$G$3:$G$502,지출내역!$B$3:$B$502,$A151,지출내역!$E$3:$E$502,H$2))</f>
        <v/>
      </c>
      <c r="I151" s="11" t="str">
        <f aca="false">IF($A151="","",SUMIFS(지출내역!$G$3:$G$502,지출내역!$B$3:$B$502,$A151,지출내역!$E$3:$E$502,I$2))</f>
        <v/>
      </c>
      <c r="J151" s="11" t="str">
        <f aca="false">IF($A151="","",SUM(D151:I151))</f>
        <v/>
      </c>
    </row>
    <row r="152" customFormat="false" ht="15" hidden="false" customHeight="false" outlineLevel="0" collapsed="false">
      <c r="A152" s="9" t="str">
        <f aca="false">IF(직원목록!$A152="","",직원목록!$A152)</f>
        <v/>
      </c>
      <c r="B152" s="9" t="str">
        <f aca="false">IF($A152="","",직원목록!$B152)</f>
        <v/>
      </c>
      <c r="C152" s="9" t="str">
        <f aca="false">IF($A152="","",직원목록!$C152)</f>
        <v/>
      </c>
      <c r="D152" s="11" t="str">
        <f aca="false">IF($A152="","",SUMIFS(지출내역!$G$3:$G$502,지출내역!$B$3:$B$502,$A152,지출내역!$E$3:$E$502,D$2))</f>
        <v/>
      </c>
      <c r="E152" s="11" t="str">
        <f aca="false">IF($A152="","",SUMIFS(지출내역!$G$3:$G$502,지출내역!$B$3:$B$502,$A152,지출내역!$E$3:$E$502,E$2))</f>
        <v/>
      </c>
      <c r="F152" s="11" t="str">
        <f aca="false">IF($A152="","",SUMIFS(지출내역!$G$3:$G$502,지출내역!$B$3:$B$502,$A152,지출내역!$E$3:$E$502,F$2))</f>
        <v/>
      </c>
      <c r="G152" s="11" t="str">
        <f aca="false">IF($A152="","",SUMIFS(지출내역!$G$3:$G$502,지출내역!$B$3:$B$502,$A152,지출내역!$E$3:$E$502,G$2))</f>
        <v/>
      </c>
      <c r="H152" s="11" t="str">
        <f aca="false">IF($A152="","",SUMIFS(지출내역!$G$3:$G$502,지출내역!$B$3:$B$502,$A152,지출내역!$E$3:$E$502,H$2))</f>
        <v/>
      </c>
      <c r="I152" s="11" t="str">
        <f aca="false">IF($A152="","",SUMIFS(지출내역!$G$3:$G$502,지출내역!$B$3:$B$502,$A152,지출내역!$E$3:$E$502,I$2))</f>
        <v/>
      </c>
      <c r="J152" s="11" t="str">
        <f aca="false">IF($A152="","",SUM(D152:I152))</f>
        <v/>
      </c>
    </row>
    <row r="153" customFormat="false" ht="15" hidden="false" customHeight="false" outlineLevel="0" collapsed="false">
      <c r="A153" s="9" t="str">
        <f aca="false">IF(직원목록!$A153="","",직원목록!$A153)</f>
        <v/>
      </c>
      <c r="B153" s="9" t="str">
        <f aca="false">IF($A153="","",직원목록!$B153)</f>
        <v/>
      </c>
      <c r="C153" s="9" t="str">
        <f aca="false">IF($A153="","",직원목록!$C153)</f>
        <v/>
      </c>
      <c r="D153" s="11" t="str">
        <f aca="false">IF($A153="","",SUMIFS(지출내역!$G$3:$G$502,지출내역!$B$3:$B$502,$A153,지출내역!$E$3:$E$502,D$2))</f>
        <v/>
      </c>
      <c r="E153" s="11" t="str">
        <f aca="false">IF($A153="","",SUMIFS(지출내역!$G$3:$G$502,지출내역!$B$3:$B$502,$A153,지출내역!$E$3:$E$502,E$2))</f>
        <v/>
      </c>
      <c r="F153" s="11" t="str">
        <f aca="false">IF($A153="","",SUMIFS(지출내역!$G$3:$G$502,지출내역!$B$3:$B$502,$A153,지출내역!$E$3:$E$502,F$2))</f>
        <v/>
      </c>
      <c r="G153" s="11" t="str">
        <f aca="false">IF($A153="","",SUMIFS(지출내역!$G$3:$G$502,지출내역!$B$3:$B$502,$A153,지출내역!$E$3:$E$502,G$2))</f>
        <v/>
      </c>
      <c r="H153" s="11" t="str">
        <f aca="false">IF($A153="","",SUMIFS(지출내역!$G$3:$G$502,지출내역!$B$3:$B$502,$A153,지출내역!$E$3:$E$502,H$2))</f>
        <v/>
      </c>
      <c r="I153" s="11" t="str">
        <f aca="false">IF($A153="","",SUMIFS(지출내역!$G$3:$G$502,지출내역!$B$3:$B$502,$A153,지출내역!$E$3:$E$502,I$2))</f>
        <v/>
      </c>
      <c r="J153" s="11" t="str">
        <f aca="false">IF($A153="","",SUM(D153:I153))</f>
        <v/>
      </c>
    </row>
    <row r="154" customFormat="false" ht="15" hidden="false" customHeight="false" outlineLevel="0" collapsed="false">
      <c r="A154" s="9" t="str">
        <f aca="false">IF(직원목록!$A154="","",직원목록!$A154)</f>
        <v/>
      </c>
      <c r="B154" s="9" t="str">
        <f aca="false">IF($A154="","",직원목록!$B154)</f>
        <v/>
      </c>
      <c r="C154" s="9" t="str">
        <f aca="false">IF($A154="","",직원목록!$C154)</f>
        <v/>
      </c>
      <c r="D154" s="11" t="str">
        <f aca="false">IF($A154="","",SUMIFS(지출내역!$G$3:$G$502,지출내역!$B$3:$B$502,$A154,지출내역!$E$3:$E$502,D$2))</f>
        <v/>
      </c>
      <c r="E154" s="11" t="str">
        <f aca="false">IF($A154="","",SUMIFS(지출내역!$G$3:$G$502,지출내역!$B$3:$B$502,$A154,지출내역!$E$3:$E$502,E$2))</f>
        <v/>
      </c>
      <c r="F154" s="11" t="str">
        <f aca="false">IF($A154="","",SUMIFS(지출내역!$G$3:$G$502,지출내역!$B$3:$B$502,$A154,지출내역!$E$3:$E$502,F$2))</f>
        <v/>
      </c>
      <c r="G154" s="11" t="str">
        <f aca="false">IF($A154="","",SUMIFS(지출내역!$G$3:$G$502,지출내역!$B$3:$B$502,$A154,지출내역!$E$3:$E$502,G$2))</f>
        <v/>
      </c>
      <c r="H154" s="11" t="str">
        <f aca="false">IF($A154="","",SUMIFS(지출내역!$G$3:$G$502,지출내역!$B$3:$B$502,$A154,지출내역!$E$3:$E$502,H$2))</f>
        <v/>
      </c>
      <c r="I154" s="11" t="str">
        <f aca="false">IF($A154="","",SUMIFS(지출내역!$G$3:$G$502,지출내역!$B$3:$B$502,$A154,지출내역!$E$3:$E$502,I$2))</f>
        <v/>
      </c>
      <c r="J154" s="11" t="str">
        <f aca="false">IF($A154="","",SUM(D154:I154))</f>
        <v/>
      </c>
    </row>
    <row r="155" customFormat="false" ht="15" hidden="false" customHeight="false" outlineLevel="0" collapsed="false">
      <c r="A155" s="9" t="str">
        <f aca="false">IF(직원목록!$A155="","",직원목록!$A155)</f>
        <v/>
      </c>
      <c r="B155" s="9" t="str">
        <f aca="false">IF($A155="","",직원목록!$B155)</f>
        <v/>
      </c>
      <c r="C155" s="9" t="str">
        <f aca="false">IF($A155="","",직원목록!$C155)</f>
        <v/>
      </c>
      <c r="D155" s="11" t="str">
        <f aca="false">IF($A155="","",SUMIFS(지출내역!$G$3:$G$502,지출내역!$B$3:$B$502,$A155,지출내역!$E$3:$E$502,D$2))</f>
        <v/>
      </c>
      <c r="E155" s="11" t="str">
        <f aca="false">IF($A155="","",SUMIFS(지출내역!$G$3:$G$502,지출내역!$B$3:$B$502,$A155,지출내역!$E$3:$E$502,E$2))</f>
        <v/>
      </c>
      <c r="F155" s="11" t="str">
        <f aca="false">IF($A155="","",SUMIFS(지출내역!$G$3:$G$502,지출내역!$B$3:$B$502,$A155,지출내역!$E$3:$E$502,F$2))</f>
        <v/>
      </c>
      <c r="G155" s="11" t="str">
        <f aca="false">IF($A155="","",SUMIFS(지출내역!$G$3:$G$502,지출내역!$B$3:$B$502,$A155,지출내역!$E$3:$E$502,G$2))</f>
        <v/>
      </c>
      <c r="H155" s="11" t="str">
        <f aca="false">IF($A155="","",SUMIFS(지출내역!$G$3:$G$502,지출내역!$B$3:$B$502,$A155,지출내역!$E$3:$E$502,H$2))</f>
        <v/>
      </c>
      <c r="I155" s="11" t="str">
        <f aca="false">IF($A155="","",SUMIFS(지출내역!$G$3:$G$502,지출내역!$B$3:$B$502,$A155,지출내역!$E$3:$E$502,I$2))</f>
        <v/>
      </c>
      <c r="J155" s="11" t="str">
        <f aca="false">IF($A155="","",SUM(D155:I155))</f>
        <v/>
      </c>
    </row>
    <row r="156" customFormat="false" ht="15" hidden="false" customHeight="false" outlineLevel="0" collapsed="false">
      <c r="A156" s="9" t="str">
        <f aca="false">IF(직원목록!$A156="","",직원목록!$A156)</f>
        <v/>
      </c>
      <c r="B156" s="9" t="str">
        <f aca="false">IF($A156="","",직원목록!$B156)</f>
        <v/>
      </c>
      <c r="C156" s="9" t="str">
        <f aca="false">IF($A156="","",직원목록!$C156)</f>
        <v/>
      </c>
      <c r="D156" s="11" t="str">
        <f aca="false">IF($A156="","",SUMIFS(지출내역!$G$3:$G$502,지출내역!$B$3:$B$502,$A156,지출내역!$E$3:$E$502,D$2))</f>
        <v/>
      </c>
      <c r="E156" s="11" t="str">
        <f aca="false">IF($A156="","",SUMIFS(지출내역!$G$3:$G$502,지출내역!$B$3:$B$502,$A156,지출내역!$E$3:$E$502,E$2))</f>
        <v/>
      </c>
      <c r="F156" s="11" t="str">
        <f aca="false">IF($A156="","",SUMIFS(지출내역!$G$3:$G$502,지출내역!$B$3:$B$502,$A156,지출내역!$E$3:$E$502,F$2))</f>
        <v/>
      </c>
      <c r="G156" s="11" t="str">
        <f aca="false">IF($A156="","",SUMIFS(지출내역!$G$3:$G$502,지출내역!$B$3:$B$502,$A156,지출내역!$E$3:$E$502,G$2))</f>
        <v/>
      </c>
      <c r="H156" s="11" t="str">
        <f aca="false">IF($A156="","",SUMIFS(지출내역!$G$3:$G$502,지출내역!$B$3:$B$502,$A156,지출내역!$E$3:$E$502,H$2))</f>
        <v/>
      </c>
      <c r="I156" s="11" t="str">
        <f aca="false">IF($A156="","",SUMIFS(지출내역!$G$3:$G$502,지출내역!$B$3:$B$502,$A156,지출내역!$E$3:$E$502,I$2))</f>
        <v/>
      </c>
      <c r="J156" s="11" t="str">
        <f aca="false">IF($A156="","",SUM(D156:I156))</f>
        <v/>
      </c>
    </row>
    <row r="157" customFormat="false" ht="15" hidden="false" customHeight="false" outlineLevel="0" collapsed="false">
      <c r="A157" s="9" t="str">
        <f aca="false">IF(직원목록!$A157="","",직원목록!$A157)</f>
        <v/>
      </c>
      <c r="B157" s="9" t="str">
        <f aca="false">IF($A157="","",직원목록!$B157)</f>
        <v/>
      </c>
      <c r="C157" s="9" t="str">
        <f aca="false">IF($A157="","",직원목록!$C157)</f>
        <v/>
      </c>
      <c r="D157" s="11" t="str">
        <f aca="false">IF($A157="","",SUMIFS(지출내역!$G$3:$G$502,지출내역!$B$3:$B$502,$A157,지출내역!$E$3:$E$502,D$2))</f>
        <v/>
      </c>
      <c r="E157" s="11" t="str">
        <f aca="false">IF($A157="","",SUMIFS(지출내역!$G$3:$G$502,지출내역!$B$3:$B$502,$A157,지출내역!$E$3:$E$502,E$2))</f>
        <v/>
      </c>
      <c r="F157" s="11" t="str">
        <f aca="false">IF($A157="","",SUMIFS(지출내역!$G$3:$G$502,지출내역!$B$3:$B$502,$A157,지출내역!$E$3:$E$502,F$2))</f>
        <v/>
      </c>
      <c r="G157" s="11" t="str">
        <f aca="false">IF($A157="","",SUMIFS(지출내역!$G$3:$G$502,지출내역!$B$3:$B$502,$A157,지출내역!$E$3:$E$502,G$2))</f>
        <v/>
      </c>
      <c r="H157" s="11" t="str">
        <f aca="false">IF($A157="","",SUMIFS(지출내역!$G$3:$G$502,지출내역!$B$3:$B$502,$A157,지출내역!$E$3:$E$502,H$2))</f>
        <v/>
      </c>
      <c r="I157" s="11" t="str">
        <f aca="false">IF($A157="","",SUMIFS(지출내역!$G$3:$G$502,지출내역!$B$3:$B$502,$A157,지출내역!$E$3:$E$502,I$2))</f>
        <v/>
      </c>
      <c r="J157" s="11" t="str">
        <f aca="false">IF($A157="","",SUM(D157:I157))</f>
        <v/>
      </c>
    </row>
    <row r="158" customFormat="false" ht="15" hidden="false" customHeight="false" outlineLevel="0" collapsed="false">
      <c r="A158" s="9" t="str">
        <f aca="false">IF(직원목록!$A158="","",직원목록!$A158)</f>
        <v/>
      </c>
      <c r="B158" s="9" t="str">
        <f aca="false">IF($A158="","",직원목록!$B158)</f>
        <v/>
      </c>
      <c r="C158" s="9" t="str">
        <f aca="false">IF($A158="","",직원목록!$C158)</f>
        <v/>
      </c>
      <c r="D158" s="11" t="str">
        <f aca="false">IF($A158="","",SUMIFS(지출내역!$G$3:$G$502,지출내역!$B$3:$B$502,$A158,지출내역!$E$3:$E$502,D$2))</f>
        <v/>
      </c>
      <c r="E158" s="11" t="str">
        <f aca="false">IF($A158="","",SUMIFS(지출내역!$G$3:$G$502,지출내역!$B$3:$B$502,$A158,지출내역!$E$3:$E$502,E$2))</f>
        <v/>
      </c>
      <c r="F158" s="11" t="str">
        <f aca="false">IF($A158="","",SUMIFS(지출내역!$G$3:$G$502,지출내역!$B$3:$B$502,$A158,지출내역!$E$3:$E$502,F$2))</f>
        <v/>
      </c>
      <c r="G158" s="11" t="str">
        <f aca="false">IF($A158="","",SUMIFS(지출내역!$G$3:$G$502,지출내역!$B$3:$B$502,$A158,지출내역!$E$3:$E$502,G$2))</f>
        <v/>
      </c>
      <c r="H158" s="11" t="str">
        <f aca="false">IF($A158="","",SUMIFS(지출내역!$G$3:$G$502,지출내역!$B$3:$B$502,$A158,지출내역!$E$3:$E$502,H$2))</f>
        <v/>
      </c>
      <c r="I158" s="11" t="str">
        <f aca="false">IF($A158="","",SUMIFS(지출내역!$G$3:$G$502,지출내역!$B$3:$B$502,$A158,지출내역!$E$3:$E$502,I$2))</f>
        <v/>
      </c>
      <c r="J158" s="11" t="str">
        <f aca="false">IF($A158="","",SUM(D158:I158))</f>
        <v/>
      </c>
    </row>
    <row r="159" customFormat="false" ht="15" hidden="false" customHeight="false" outlineLevel="0" collapsed="false">
      <c r="A159" s="9" t="str">
        <f aca="false">IF(직원목록!$A159="","",직원목록!$A159)</f>
        <v/>
      </c>
      <c r="B159" s="9" t="str">
        <f aca="false">IF($A159="","",직원목록!$B159)</f>
        <v/>
      </c>
      <c r="C159" s="9" t="str">
        <f aca="false">IF($A159="","",직원목록!$C159)</f>
        <v/>
      </c>
      <c r="D159" s="11" t="str">
        <f aca="false">IF($A159="","",SUMIFS(지출내역!$G$3:$G$502,지출내역!$B$3:$B$502,$A159,지출내역!$E$3:$E$502,D$2))</f>
        <v/>
      </c>
      <c r="E159" s="11" t="str">
        <f aca="false">IF($A159="","",SUMIFS(지출내역!$G$3:$G$502,지출내역!$B$3:$B$502,$A159,지출내역!$E$3:$E$502,E$2))</f>
        <v/>
      </c>
      <c r="F159" s="11" t="str">
        <f aca="false">IF($A159="","",SUMIFS(지출내역!$G$3:$G$502,지출내역!$B$3:$B$502,$A159,지출내역!$E$3:$E$502,F$2))</f>
        <v/>
      </c>
      <c r="G159" s="11" t="str">
        <f aca="false">IF($A159="","",SUMIFS(지출내역!$G$3:$G$502,지출내역!$B$3:$B$502,$A159,지출내역!$E$3:$E$502,G$2))</f>
        <v/>
      </c>
      <c r="H159" s="11" t="str">
        <f aca="false">IF($A159="","",SUMIFS(지출내역!$G$3:$G$502,지출내역!$B$3:$B$502,$A159,지출내역!$E$3:$E$502,H$2))</f>
        <v/>
      </c>
      <c r="I159" s="11" t="str">
        <f aca="false">IF($A159="","",SUMIFS(지출내역!$G$3:$G$502,지출내역!$B$3:$B$502,$A159,지출내역!$E$3:$E$502,I$2))</f>
        <v/>
      </c>
      <c r="J159" s="11" t="str">
        <f aca="false">IF($A159="","",SUM(D159:I159))</f>
        <v/>
      </c>
    </row>
    <row r="160" customFormat="false" ht="15" hidden="false" customHeight="false" outlineLevel="0" collapsed="false">
      <c r="A160" s="9" t="str">
        <f aca="false">IF(직원목록!$A160="","",직원목록!$A160)</f>
        <v/>
      </c>
      <c r="B160" s="9" t="str">
        <f aca="false">IF($A160="","",직원목록!$B160)</f>
        <v/>
      </c>
      <c r="C160" s="9" t="str">
        <f aca="false">IF($A160="","",직원목록!$C160)</f>
        <v/>
      </c>
      <c r="D160" s="11" t="str">
        <f aca="false">IF($A160="","",SUMIFS(지출내역!$G$3:$G$502,지출내역!$B$3:$B$502,$A160,지출내역!$E$3:$E$502,D$2))</f>
        <v/>
      </c>
      <c r="E160" s="11" t="str">
        <f aca="false">IF($A160="","",SUMIFS(지출내역!$G$3:$G$502,지출내역!$B$3:$B$502,$A160,지출내역!$E$3:$E$502,E$2))</f>
        <v/>
      </c>
      <c r="F160" s="11" t="str">
        <f aca="false">IF($A160="","",SUMIFS(지출내역!$G$3:$G$502,지출내역!$B$3:$B$502,$A160,지출내역!$E$3:$E$502,F$2))</f>
        <v/>
      </c>
      <c r="G160" s="11" t="str">
        <f aca="false">IF($A160="","",SUMIFS(지출내역!$G$3:$G$502,지출내역!$B$3:$B$502,$A160,지출내역!$E$3:$E$502,G$2))</f>
        <v/>
      </c>
      <c r="H160" s="11" t="str">
        <f aca="false">IF($A160="","",SUMIFS(지출내역!$G$3:$G$502,지출내역!$B$3:$B$502,$A160,지출내역!$E$3:$E$502,H$2))</f>
        <v/>
      </c>
      <c r="I160" s="11" t="str">
        <f aca="false">IF($A160="","",SUMIFS(지출내역!$G$3:$G$502,지출내역!$B$3:$B$502,$A160,지출내역!$E$3:$E$502,I$2))</f>
        <v/>
      </c>
      <c r="J160" s="11" t="str">
        <f aca="false">IF($A160="","",SUM(D160:I160))</f>
        <v/>
      </c>
    </row>
    <row r="161" customFormat="false" ht="15" hidden="false" customHeight="false" outlineLevel="0" collapsed="false">
      <c r="A161" s="9" t="str">
        <f aca="false">IF(직원목록!$A161="","",직원목록!$A161)</f>
        <v/>
      </c>
      <c r="B161" s="9" t="str">
        <f aca="false">IF($A161="","",직원목록!$B161)</f>
        <v/>
      </c>
      <c r="C161" s="9" t="str">
        <f aca="false">IF($A161="","",직원목록!$C161)</f>
        <v/>
      </c>
      <c r="D161" s="11" t="str">
        <f aca="false">IF($A161="","",SUMIFS(지출내역!$G$3:$G$502,지출내역!$B$3:$B$502,$A161,지출내역!$E$3:$E$502,D$2))</f>
        <v/>
      </c>
      <c r="E161" s="11" t="str">
        <f aca="false">IF($A161="","",SUMIFS(지출내역!$G$3:$G$502,지출내역!$B$3:$B$502,$A161,지출내역!$E$3:$E$502,E$2))</f>
        <v/>
      </c>
      <c r="F161" s="11" t="str">
        <f aca="false">IF($A161="","",SUMIFS(지출내역!$G$3:$G$502,지출내역!$B$3:$B$502,$A161,지출내역!$E$3:$E$502,F$2))</f>
        <v/>
      </c>
      <c r="G161" s="11" t="str">
        <f aca="false">IF($A161="","",SUMIFS(지출내역!$G$3:$G$502,지출내역!$B$3:$B$502,$A161,지출내역!$E$3:$E$502,G$2))</f>
        <v/>
      </c>
      <c r="H161" s="11" t="str">
        <f aca="false">IF($A161="","",SUMIFS(지출내역!$G$3:$G$502,지출내역!$B$3:$B$502,$A161,지출내역!$E$3:$E$502,H$2))</f>
        <v/>
      </c>
      <c r="I161" s="11" t="str">
        <f aca="false">IF($A161="","",SUMIFS(지출내역!$G$3:$G$502,지출내역!$B$3:$B$502,$A161,지출내역!$E$3:$E$502,I$2))</f>
        <v/>
      </c>
      <c r="J161" s="11" t="str">
        <f aca="false">IF($A161="","",SUM(D161:I161))</f>
        <v/>
      </c>
    </row>
    <row r="162" customFormat="false" ht="15" hidden="false" customHeight="false" outlineLevel="0" collapsed="false">
      <c r="A162" s="9" t="str">
        <f aca="false">IF(직원목록!$A162="","",직원목록!$A162)</f>
        <v/>
      </c>
      <c r="B162" s="9" t="str">
        <f aca="false">IF($A162="","",직원목록!$B162)</f>
        <v/>
      </c>
      <c r="C162" s="9" t="str">
        <f aca="false">IF($A162="","",직원목록!$C162)</f>
        <v/>
      </c>
      <c r="D162" s="11" t="str">
        <f aca="false">IF($A162="","",SUMIFS(지출내역!$G$3:$G$502,지출내역!$B$3:$B$502,$A162,지출내역!$E$3:$E$502,D$2))</f>
        <v/>
      </c>
      <c r="E162" s="11" t="str">
        <f aca="false">IF($A162="","",SUMIFS(지출내역!$G$3:$G$502,지출내역!$B$3:$B$502,$A162,지출내역!$E$3:$E$502,E$2))</f>
        <v/>
      </c>
      <c r="F162" s="11" t="str">
        <f aca="false">IF($A162="","",SUMIFS(지출내역!$G$3:$G$502,지출내역!$B$3:$B$502,$A162,지출내역!$E$3:$E$502,F$2))</f>
        <v/>
      </c>
      <c r="G162" s="11" t="str">
        <f aca="false">IF($A162="","",SUMIFS(지출내역!$G$3:$G$502,지출내역!$B$3:$B$502,$A162,지출내역!$E$3:$E$502,G$2))</f>
        <v/>
      </c>
      <c r="H162" s="11" t="str">
        <f aca="false">IF($A162="","",SUMIFS(지출내역!$G$3:$G$502,지출내역!$B$3:$B$502,$A162,지출내역!$E$3:$E$502,H$2))</f>
        <v/>
      </c>
      <c r="I162" s="11" t="str">
        <f aca="false">IF($A162="","",SUMIFS(지출내역!$G$3:$G$502,지출내역!$B$3:$B$502,$A162,지출내역!$E$3:$E$502,I$2))</f>
        <v/>
      </c>
      <c r="J162" s="11" t="str">
        <f aca="false">IF($A162="","",SUM(D162:I162))</f>
        <v/>
      </c>
    </row>
    <row r="163" customFormat="false" ht="15" hidden="false" customHeight="false" outlineLevel="0" collapsed="false">
      <c r="A163" s="9" t="str">
        <f aca="false">IF(직원목록!$A163="","",직원목록!$A163)</f>
        <v/>
      </c>
      <c r="B163" s="9" t="str">
        <f aca="false">IF($A163="","",직원목록!$B163)</f>
        <v/>
      </c>
      <c r="C163" s="9" t="str">
        <f aca="false">IF($A163="","",직원목록!$C163)</f>
        <v/>
      </c>
      <c r="D163" s="11" t="str">
        <f aca="false">IF($A163="","",SUMIFS(지출내역!$G$3:$G$502,지출내역!$B$3:$B$502,$A163,지출내역!$E$3:$E$502,D$2))</f>
        <v/>
      </c>
      <c r="E163" s="11" t="str">
        <f aca="false">IF($A163="","",SUMIFS(지출내역!$G$3:$G$502,지출내역!$B$3:$B$502,$A163,지출내역!$E$3:$E$502,E$2))</f>
        <v/>
      </c>
      <c r="F163" s="11" t="str">
        <f aca="false">IF($A163="","",SUMIFS(지출내역!$G$3:$G$502,지출내역!$B$3:$B$502,$A163,지출내역!$E$3:$E$502,F$2))</f>
        <v/>
      </c>
      <c r="G163" s="11" t="str">
        <f aca="false">IF($A163="","",SUMIFS(지출내역!$G$3:$G$502,지출내역!$B$3:$B$502,$A163,지출내역!$E$3:$E$502,G$2))</f>
        <v/>
      </c>
      <c r="H163" s="11" t="str">
        <f aca="false">IF($A163="","",SUMIFS(지출내역!$G$3:$G$502,지출내역!$B$3:$B$502,$A163,지출내역!$E$3:$E$502,H$2))</f>
        <v/>
      </c>
      <c r="I163" s="11" t="str">
        <f aca="false">IF($A163="","",SUMIFS(지출내역!$G$3:$G$502,지출내역!$B$3:$B$502,$A163,지출내역!$E$3:$E$502,I$2))</f>
        <v/>
      </c>
      <c r="J163" s="11" t="str">
        <f aca="false">IF($A163="","",SUM(D163:I163))</f>
        <v/>
      </c>
    </row>
    <row r="164" customFormat="false" ht="15" hidden="false" customHeight="false" outlineLevel="0" collapsed="false">
      <c r="A164" s="9" t="str">
        <f aca="false">IF(직원목록!$A164="","",직원목록!$A164)</f>
        <v/>
      </c>
      <c r="B164" s="9" t="str">
        <f aca="false">IF($A164="","",직원목록!$B164)</f>
        <v/>
      </c>
      <c r="C164" s="9" t="str">
        <f aca="false">IF($A164="","",직원목록!$C164)</f>
        <v/>
      </c>
      <c r="D164" s="11" t="str">
        <f aca="false">IF($A164="","",SUMIFS(지출내역!$G$3:$G$502,지출내역!$B$3:$B$502,$A164,지출내역!$E$3:$E$502,D$2))</f>
        <v/>
      </c>
      <c r="E164" s="11" t="str">
        <f aca="false">IF($A164="","",SUMIFS(지출내역!$G$3:$G$502,지출내역!$B$3:$B$502,$A164,지출내역!$E$3:$E$502,E$2))</f>
        <v/>
      </c>
      <c r="F164" s="11" t="str">
        <f aca="false">IF($A164="","",SUMIFS(지출내역!$G$3:$G$502,지출내역!$B$3:$B$502,$A164,지출내역!$E$3:$E$502,F$2))</f>
        <v/>
      </c>
      <c r="G164" s="11" t="str">
        <f aca="false">IF($A164="","",SUMIFS(지출내역!$G$3:$G$502,지출내역!$B$3:$B$502,$A164,지출내역!$E$3:$E$502,G$2))</f>
        <v/>
      </c>
      <c r="H164" s="11" t="str">
        <f aca="false">IF($A164="","",SUMIFS(지출내역!$G$3:$G$502,지출내역!$B$3:$B$502,$A164,지출내역!$E$3:$E$502,H$2))</f>
        <v/>
      </c>
      <c r="I164" s="11" t="str">
        <f aca="false">IF($A164="","",SUMIFS(지출내역!$G$3:$G$502,지출내역!$B$3:$B$502,$A164,지출내역!$E$3:$E$502,I$2))</f>
        <v/>
      </c>
      <c r="J164" s="11" t="str">
        <f aca="false">IF($A164="","",SUM(D164:I164))</f>
        <v/>
      </c>
    </row>
    <row r="165" customFormat="false" ht="15" hidden="false" customHeight="false" outlineLevel="0" collapsed="false">
      <c r="A165" s="9" t="str">
        <f aca="false">IF(직원목록!$A165="","",직원목록!$A165)</f>
        <v/>
      </c>
      <c r="B165" s="9" t="str">
        <f aca="false">IF($A165="","",직원목록!$B165)</f>
        <v/>
      </c>
      <c r="C165" s="9" t="str">
        <f aca="false">IF($A165="","",직원목록!$C165)</f>
        <v/>
      </c>
      <c r="D165" s="11" t="str">
        <f aca="false">IF($A165="","",SUMIFS(지출내역!$G$3:$G$502,지출내역!$B$3:$B$502,$A165,지출내역!$E$3:$E$502,D$2))</f>
        <v/>
      </c>
      <c r="E165" s="11" t="str">
        <f aca="false">IF($A165="","",SUMIFS(지출내역!$G$3:$G$502,지출내역!$B$3:$B$502,$A165,지출내역!$E$3:$E$502,E$2))</f>
        <v/>
      </c>
      <c r="F165" s="11" t="str">
        <f aca="false">IF($A165="","",SUMIFS(지출내역!$G$3:$G$502,지출내역!$B$3:$B$502,$A165,지출내역!$E$3:$E$502,F$2))</f>
        <v/>
      </c>
      <c r="G165" s="11" t="str">
        <f aca="false">IF($A165="","",SUMIFS(지출내역!$G$3:$G$502,지출내역!$B$3:$B$502,$A165,지출내역!$E$3:$E$502,G$2))</f>
        <v/>
      </c>
      <c r="H165" s="11" t="str">
        <f aca="false">IF($A165="","",SUMIFS(지출내역!$G$3:$G$502,지출내역!$B$3:$B$502,$A165,지출내역!$E$3:$E$502,H$2))</f>
        <v/>
      </c>
      <c r="I165" s="11" t="str">
        <f aca="false">IF($A165="","",SUMIFS(지출내역!$G$3:$G$502,지출내역!$B$3:$B$502,$A165,지출내역!$E$3:$E$502,I$2))</f>
        <v/>
      </c>
      <c r="J165" s="11" t="str">
        <f aca="false">IF($A165="","",SUM(D165:I165))</f>
        <v/>
      </c>
    </row>
    <row r="166" customFormat="false" ht="15" hidden="false" customHeight="false" outlineLevel="0" collapsed="false">
      <c r="A166" s="9" t="str">
        <f aca="false">IF(직원목록!$A166="","",직원목록!$A166)</f>
        <v/>
      </c>
      <c r="B166" s="9" t="str">
        <f aca="false">IF($A166="","",직원목록!$B166)</f>
        <v/>
      </c>
      <c r="C166" s="9" t="str">
        <f aca="false">IF($A166="","",직원목록!$C166)</f>
        <v/>
      </c>
      <c r="D166" s="11" t="str">
        <f aca="false">IF($A166="","",SUMIFS(지출내역!$G$3:$G$502,지출내역!$B$3:$B$502,$A166,지출내역!$E$3:$E$502,D$2))</f>
        <v/>
      </c>
      <c r="E166" s="11" t="str">
        <f aca="false">IF($A166="","",SUMIFS(지출내역!$G$3:$G$502,지출내역!$B$3:$B$502,$A166,지출내역!$E$3:$E$502,E$2))</f>
        <v/>
      </c>
      <c r="F166" s="11" t="str">
        <f aca="false">IF($A166="","",SUMIFS(지출내역!$G$3:$G$502,지출내역!$B$3:$B$502,$A166,지출내역!$E$3:$E$502,F$2))</f>
        <v/>
      </c>
      <c r="G166" s="11" t="str">
        <f aca="false">IF($A166="","",SUMIFS(지출내역!$G$3:$G$502,지출내역!$B$3:$B$502,$A166,지출내역!$E$3:$E$502,G$2))</f>
        <v/>
      </c>
      <c r="H166" s="11" t="str">
        <f aca="false">IF($A166="","",SUMIFS(지출내역!$G$3:$G$502,지출내역!$B$3:$B$502,$A166,지출내역!$E$3:$E$502,H$2))</f>
        <v/>
      </c>
      <c r="I166" s="11" t="str">
        <f aca="false">IF($A166="","",SUMIFS(지출내역!$G$3:$G$502,지출내역!$B$3:$B$502,$A166,지출내역!$E$3:$E$502,I$2))</f>
        <v/>
      </c>
      <c r="J166" s="11" t="str">
        <f aca="false">IF($A166="","",SUM(D166:I166))</f>
        <v/>
      </c>
    </row>
    <row r="167" customFormat="false" ht="15" hidden="false" customHeight="false" outlineLevel="0" collapsed="false">
      <c r="A167" s="9" t="str">
        <f aca="false">IF(직원목록!$A167="","",직원목록!$A167)</f>
        <v/>
      </c>
      <c r="B167" s="9" t="str">
        <f aca="false">IF($A167="","",직원목록!$B167)</f>
        <v/>
      </c>
      <c r="C167" s="9" t="str">
        <f aca="false">IF($A167="","",직원목록!$C167)</f>
        <v/>
      </c>
      <c r="D167" s="11" t="str">
        <f aca="false">IF($A167="","",SUMIFS(지출내역!$G$3:$G$502,지출내역!$B$3:$B$502,$A167,지출내역!$E$3:$E$502,D$2))</f>
        <v/>
      </c>
      <c r="E167" s="11" t="str">
        <f aca="false">IF($A167="","",SUMIFS(지출내역!$G$3:$G$502,지출내역!$B$3:$B$502,$A167,지출내역!$E$3:$E$502,E$2))</f>
        <v/>
      </c>
      <c r="F167" s="11" t="str">
        <f aca="false">IF($A167="","",SUMIFS(지출내역!$G$3:$G$502,지출내역!$B$3:$B$502,$A167,지출내역!$E$3:$E$502,F$2))</f>
        <v/>
      </c>
      <c r="G167" s="11" t="str">
        <f aca="false">IF($A167="","",SUMIFS(지출내역!$G$3:$G$502,지출내역!$B$3:$B$502,$A167,지출내역!$E$3:$E$502,G$2))</f>
        <v/>
      </c>
      <c r="H167" s="11" t="str">
        <f aca="false">IF($A167="","",SUMIFS(지출내역!$G$3:$G$502,지출내역!$B$3:$B$502,$A167,지출내역!$E$3:$E$502,H$2))</f>
        <v/>
      </c>
      <c r="I167" s="11" t="str">
        <f aca="false">IF($A167="","",SUMIFS(지출내역!$G$3:$G$502,지출내역!$B$3:$B$502,$A167,지출내역!$E$3:$E$502,I$2))</f>
        <v/>
      </c>
      <c r="J167" s="11" t="str">
        <f aca="false">IF($A167="","",SUM(D167:I167))</f>
        <v/>
      </c>
    </row>
    <row r="168" customFormat="false" ht="15" hidden="false" customHeight="false" outlineLevel="0" collapsed="false">
      <c r="A168" s="9" t="str">
        <f aca="false">IF(직원목록!$A168="","",직원목록!$A168)</f>
        <v/>
      </c>
      <c r="B168" s="9" t="str">
        <f aca="false">IF($A168="","",직원목록!$B168)</f>
        <v/>
      </c>
      <c r="C168" s="9" t="str">
        <f aca="false">IF($A168="","",직원목록!$C168)</f>
        <v/>
      </c>
      <c r="D168" s="11" t="str">
        <f aca="false">IF($A168="","",SUMIFS(지출내역!$G$3:$G$502,지출내역!$B$3:$B$502,$A168,지출내역!$E$3:$E$502,D$2))</f>
        <v/>
      </c>
      <c r="E168" s="11" t="str">
        <f aca="false">IF($A168="","",SUMIFS(지출내역!$G$3:$G$502,지출내역!$B$3:$B$502,$A168,지출내역!$E$3:$E$502,E$2))</f>
        <v/>
      </c>
      <c r="F168" s="11" t="str">
        <f aca="false">IF($A168="","",SUMIFS(지출내역!$G$3:$G$502,지출내역!$B$3:$B$502,$A168,지출내역!$E$3:$E$502,F$2))</f>
        <v/>
      </c>
      <c r="G168" s="11" t="str">
        <f aca="false">IF($A168="","",SUMIFS(지출내역!$G$3:$G$502,지출내역!$B$3:$B$502,$A168,지출내역!$E$3:$E$502,G$2))</f>
        <v/>
      </c>
      <c r="H168" s="11" t="str">
        <f aca="false">IF($A168="","",SUMIFS(지출내역!$G$3:$G$502,지출내역!$B$3:$B$502,$A168,지출내역!$E$3:$E$502,H$2))</f>
        <v/>
      </c>
      <c r="I168" s="11" t="str">
        <f aca="false">IF($A168="","",SUMIFS(지출내역!$G$3:$G$502,지출내역!$B$3:$B$502,$A168,지출내역!$E$3:$E$502,I$2))</f>
        <v/>
      </c>
      <c r="J168" s="11" t="str">
        <f aca="false">IF($A168="","",SUM(D168:I168))</f>
        <v/>
      </c>
    </row>
    <row r="169" customFormat="false" ht="15" hidden="false" customHeight="false" outlineLevel="0" collapsed="false">
      <c r="A169" s="9" t="str">
        <f aca="false">IF(직원목록!$A169="","",직원목록!$A169)</f>
        <v/>
      </c>
      <c r="B169" s="9" t="str">
        <f aca="false">IF($A169="","",직원목록!$B169)</f>
        <v/>
      </c>
      <c r="C169" s="9" t="str">
        <f aca="false">IF($A169="","",직원목록!$C169)</f>
        <v/>
      </c>
      <c r="D169" s="11" t="str">
        <f aca="false">IF($A169="","",SUMIFS(지출내역!$G$3:$G$502,지출내역!$B$3:$B$502,$A169,지출내역!$E$3:$E$502,D$2))</f>
        <v/>
      </c>
      <c r="E169" s="11" t="str">
        <f aca="false">IF($A169="","",SUMIFS(지출내역!$G$3:$G$502,지출내역!$B$3:$B$502,$A169,지출내역!$E$3:$E$502,E$2))</f>
        <v/>
      </c>
      <c r="F169" s="11" t="str">
        <f aca="false">IF($A169="","",SUMIFS(지출내역!$G$3:$G$502,지출내역!$B$3:$B$502,$A169,지출내역!$E$3:$E$502,F$2))</f>
        <v/>
      </c>
      <c r="G169" s="11" t="str">
        <f aca="false">IF($A169="","",SUMIFS(지출내역!$G$3:$G$502,지출내역!$B$3:$B$502,$A169,지출내역!$E$3:$E$502,G$2))</f>
        <v/>
      </c>
      <c r="H169" s="11" t="str">
        <f aca="false">IF($A169="","",SUMIFS(지출내역!$G$3:$G$502,지출내역!$B$3:$B$502,$A169,지출내역!$E$3:$E$502,H$2))</f>
        <v/>
      </c>
      <c r="I169" s="11" t="str">
        <f aca="false">IF($A169="","",SUMIFS(지출내역!$G$3:$G$502,지출내역!$B$3:$B$502,$A169,지출내역!$E$3:$E$502,I$2))</f>
        <v/>
      </c>
      <c r="J169" s="11" t="str">
        <f aca="false">IF($A169="","",SUM(D169:I169))</f>
        <v/>
      </c>
    </row>
    <row r="170" customFormat="false" ht="15" hidden="false" customHeight="false" outlineLevel="0" collapsed="false">
      <c r="A170" s="9" t="str">
        <f aca="false">IF(직원목록!$A170="","",직원목록!$A170)</f>
        <v/>
      </c>
      <c r="B170" s="9" t="str">
        <f aca="false">IF($A170="","",직원목록!$B170)</f>
        <v/>
      </c>
      <c r="C170" s="9" t="str">
        <f aca="false">IF($A170="","",직원목록!$C170)</f>
        <v/>
      </c>
      <c r="D170" s="11" t="str">
        <f aca="false">IF($A170="","",SUMIFS(지출내역!$G$3:$G$502,지출내역!$B$3:$B$502,$A170,지출내역!$E$3:$E$502,D$2))</f>
        <v/>
      </c>
      <c r="E170" s="11" t="str">
        <f aca="false">IF($A170="","",SUMIFS(지출내역!$G$3:$G$502,지출내역!$B$3:$B$502,$A170,지출내역!$E$3:$E$502,E$2))</f>
        <v/>
      </c>
      <c r="F170" s="11" t="str">
        <f aca="false">IF($A170="","",SUMIFS(지출내역!$G$3:$G$502,지출내역!$B$3:$B$502,$A170,지출내역!$E$3:$E$502,F$2))</f>
        <v/>
      </c>
      <c r="G170" s="11" t="str">
        <f aca="false">IF($A170="","",SUMIFS(지출내역!$G$3:$G$502,지출내역!$B$3:$B$502,$A170,지출내역!$E$3:$E$502,G$2))</f>
        <v/>
      </c>
      <c r="H170" s="11" t="str">
        <f aca="false">IF($A170="","",SUMIFS(지출내역!$G$3:$G$502,지출내역!$B$3:$B$502,$A170,지출내역!$E$3:$E$502,H$2))</f>
        <v/>
      </c>
      <c r="I170" s="11" t="str">
        <f aca="false">IF($A170="","",SUMIFS(지출내역!$G$3:$G$502,지출내역!$B$3:$B$502,$A170,지출내역!$E$3:$E$502,I$2))</f>
        <v/>
      </c>
      <c r="J170" s="11" t="str">
        <f aca="false">IF($A170="","",SUM(D170:I170))</f>
        <v/>
      </c>
    </row>
    <row r="171" customFormat="false" ht="15" hidden="false" customHeight="false" outlineLevel="0" collapsed="false">
      <c r="A171" s="9" t="str">
        <f aca="false">IF(직원목록!$A171="","",직원목록!$A171)</f>
        <v/>
      </c>
      <c r="B171" s="9" t="str">
        <f aca="false">IF($A171="","",직원목록!$B171)</f>
        <v/>
      </c>
      <c r="C171" s="9" t="str">
        <f aca="false">IF($A171="","",직원목록!$C171)</f>
        <v/>
      </c>
      <c r="D171" s="11" t="str">
        <f aca="false">IF($A171="","",SUMIFS(지출내역!$G$3:$G$502,지출내역!$B$3:$B$502,$A171,지출내역!$E$3:$E$502,D$2))</f>
        <v/>
      </c>
      <c r="E171" s="11" t="str">
        <f aca="false">IF($A171="","",SUMIFS(지출내역!$G$3:$G$502,지출내역!$B$3:$B$502,$A171,지출내역!$E$3:$E$502,E$2))</f>
        <v/>
      </c>
      <c r="F171" s="11" t="str">
        <f aca="false">IF($A171="","",SUMIFS(지출내역!$G$3:$G$502,지출내역!$B$3:$B$502,$A171,지출내역!$E$3:$E$502,F$2))</f>
        <v/>
      </c>
      <c r="G171" s="11" t="str">
        <f aca="false">IF($A171="","",SUMIFS(지출내역!$G$3:$G$502,지출내역!$B$3:$B$502,$A171,지출내역!$E$3:$E$502,G$2))</f>
        <v/>
      </c>
      <c r="H171" s="11" t="str">
        <f aca="false">IF($A171="","",SUMIFS(지출내역!$G$3:$G$502,지출내역!$B$3:$B$502,$A171,지출내역!$E$3:$E$502,H$2))</f>
        <v/>
      </c>
      <c r="I171" s="11" t="str">
        <f aca="false">IF($A171="","",SUMIFS(지출내역!$G$3:$G$502,지출내역!$B$3:$B$502,$A171,지출내역!$E$3:$E$502,I$2))</f>
        <v/>
      </c>
      <c r="J171" s="11" t="str">
        <f aca="false">IF($A171="","",SUM(D171:I171))</f>
        <v/>
      </c>
    </row>
    <row r="172" customFormat="false" ht="15" hidden="false" customHeight="false" outlineLevel="0" collapsed="false">
      <c r="A172" s="9" t="str">
        <f aca="false">IF(직원목록!$A172="","",직원목록!$A172)</f>
        <v/>
      </c>
      <c r="B172" s="9" t="str">
        <f aca="false">IF($A172="","",직원목록!$B172)</f>
        <v/>
      </c>
      <c r="C172" s="9" t="str">
        <f aca="false">IF($A172="","",직원목록!$C172)</f>
        <v/>
      </c>
      <c r="D172" s="11" t="str">
        <f aca="false">IF($A172="","",SUMIFS(지출내역!$G$3:$G$502,지출내역!$B$3:$B$502,$A172,지출내역!$E$3:$E$502,D$2))</f>
        <v/>
      </c>
      <c r="E172" s="11" t="str">
        <f aca="false">IF($A172="","",SUMIFS(지출내역!$G$3:$G$502,지출내역!$B$3:$B$502,$A172,지출내역!$E$3:$E$502,E$2))</f>
        <v/>
      </c>
      <c r="F172" s="11" t="str">
        <f aca="false">IF($A172="","",SUMIFS(지출내역!$G$3:$G$502,지출내역!$B$3:$B$502,$A172,지출내역!$E$3:$E$502,F$2))</f>
        <v/>
      </c>
      <c r="G172" s="11" t="str">
        <f aca="false">IF($A172="","",SUMIFS(지출내역!$G$3:$G$502,지출내역!$B$3:$B$502,$A172,지출내역!$E$3:$E$502,G$2))</f>
        <v/>
      </c>
      <c r="H172" s="11" t="str">
        <f aca="false">IF($A172="","",SUMIFS(지출내역!$G$3:$G$502,지출내역!$B$3:$B$502,$A172,지출내역!$E$3:$E$502,H$2))</f>
        <v/>
      </c>
      <c r="I172" s="11" t="str">
        <f aca="false">IF($A172="","",SUMIFS(지출내역!$G$3:$G$502,지출내역!$B$3:$B$502,$A172,지출내역!$E$3:$E$502,I$2))</f>
        <v/>
      </c>
      <c r="J172" s="11" t="str">
        <f aca="false">IF($A172="","",SUM(D172:I172))</f>
        <v/>
      </c>
    </row>
    <row r="173" customFormat="false" ht="15" hidden="false" customHeight="false" outlineLevel="0" collapsed="false">
      <c r="A173" s="9" t="str">
        <f aca="false">IF(직원목록!$A173="","",직원목록!$A173)</f>
        <v/>
      </c>
      <c r="B173" s="9" t="str">
        <f aca="false">IF($A173="","",직원목록!$B173)</f>
        <v/>
      </c>
      <c r="C173" s="9" t="str">
        <f aca="false">IF($A173="","",직원목록!$C173)</f>
        <v/>
      </c>
      <c r="D173" s="11" t="str">
        <f aca="false">IF($A173="","",SUMIFS(지출내역!$G$3:$G$502,지출내역!$B$3:$B$502,$A173,지출내역!$E$3:$E$502,D$2))</f>
        <v/>
      </c>
      <c r="E173" s="11" t="str">
        <f aca="false">IF($A173="","",SUMIFS(지출내역!$G$3:$G$502,지출내역!$B$3:$B$502,$A173,지출내역!$E$3:$E$502,E$2))</f>
        <v/>
      </c>
      <c r="F173" s="11" t="str">
        <f aca="false">IF($A173="","",SUMIFS(지출내역!$G$3:$G$502,지출내역!$B$3:$B$502,$A173,지출내역!$E$3:$E$502,F$2))</f>
        <v/>
      </c>
      <c r="G173" s="11" t="str">
        <f aca="false">IF($A173="","",SUMIFS(지출내역!$G$3:$G$502,지출내역!$B$3:$B$502,$A173,지출내역!$E$3:$E$502,G$2))</f>
        <v/>
      </c>
      <c r="H173" s="11" t="str">
        <f aca="false">IF($A173="","",SUMIFS(지출내역!$G$3:$G$502,지출내역!$B$3:$B$502,$A173,지출내역!$E$3:$E$502,H$2))</f>
        <v/>
      </c>
      <c r="I173" s="11" t="str">
        <f aca="false">IF($A173="","",SUMIFS(지출내역!$G$3:$G$502,지출내역!$B$3:$B$502,$A173,지출내역!$E$3:$E$502,I$2))</f>
        <v/>
      </c>
      <c r="J173" s="11" t="str">
        <f aca="false">IF($A173="","",SUM(D173:I173))</f>
        <v/>
      </c>
    </row>
    <row r="174" customFormat="false" ht="15" hidden="false" customHeight="false" outlineLevel="0" collapsed="false">
      <c r="A174" s="9" t="str">
        <f aca="false">IF(직원목록!$A174="","",직원목록!$A174)</f>
        <v/>
      </c>
      <c r="B174" s="9" t="str">
        <f aca="false">IF($A174="","",직원목록!$B174)</f>
        <v/>
      </c>
      <c r="C174" s="9" t="str">
        <f aca="false">IF($A174="","",직원목록!$C174)</f>
        <v/>
      </c>
      <c r="D174" s="11" t="str">
        <f aca="false">IF($A174="","",SUMIFS(지출내역!$G$3:$G$502,지출내역!$B$3:$B$502,$A174,지출내역!$E$3:$E$502,D$2))</f>
        <v/>
      </c>
      <c r="E174" s="11" t="str">
        <f aca="false">IF($A174="","",SUMIFS(지출내역!$G$3:$G$502,지출내역!$B$3:$B$502,$A174,지출내역!$E$3:$E$502,E$2))</f>
        <v/>
      </c>
      <c r="F174" s="11" t="str">
        <f aca="false">IF($A174="","",SUMIFS(지출내역!$G$3:$G$502,지출내역!$B$3:$B$502,$A174,지출내역!$E$3:$E$502,F$2))</f>
        <v/>
      </c>
      <c r="G174" s="11" t="str">
        <f aca="false">IF($A174="","",SUMIFS(지출내역!$G$3:$G$502,지출내역!$B$3:$B$502,$A174,지출내역!$E$3:$E$502,G$2))</f>
        <v/>
      </c>
      <c r="H174" s="11" t="str">
        <f aca="false">IF($A174="","",SUMIFS(지출내역!$G$3:$G$502,지출내역!$B$3:$B$502,$A174,지출내역!$E$3:$E$502,H$2))</f>
        <v/>
      </c>
      <c r="I174" s="11" t="str">
        <f aca="false">IF($A174="","",SUMIFS(지출내역!$G$3:$G$502,지출내역!$B$3:$B$502,$A174,지출내역!$E$3:$E$502,I$2))</f>
        <v/>
      </c>
      <c r="J174" s="11" t="str">
        <f aca="false">IF($A174="","",SUM(D174:I174))</f>
        <v/>
      </c>
    </row>
    <row r="175" customFormat="false" ht="15" hidden="false" customHeight="false" outlineLevel="0" collapsed="false">
      <c r="A175" s="9" t="str">
        <f aca="false">IF(직원목록!$A175="","",직원목록!$A175)</f>
        <v/>
      </c>
      <c r="B175" s="9" t="str">
        <f aca="false">IF($A175="","",직원목록!$B175)</f>
        <v/>
      </c>
      <c r="C175" s="9" t="str">
        <f aca="false">IF($A175="","",직원목록!$C175)</f>
        <v/>
      </c>
      <c r="D175" s="11" t="str">
        <f aca="false">IF($A175="","",SUMIFS(지출내역!$G$3:$G$502,지출내역!$B$3:$B$502,$A175,지출내역!$E$3:$E$502,D$2))</f>
        <v/>
      </c>
      <c r="E175" s="11" t="str">
        <f aca="false">IF($A175="","",SUMIFS(지출내역!$G$3:$G$502,지출내역!$B$3:$B$502,$A175,지출내역!$E$3:$E$502,E$2))</f>
        <v/>
      </c>
      <c r="F175" s="11" t="str">
        <f aca="false">IF($A175="","",SUMIFS(지출내역!$G$3:$G$502,지출내역!$B$3:$B$502,$A175,지출내역!$E$3:$E$502,F$2))</f>
        <v/>
      </c>
      <c r="G175" s="11" t="str">
        <f aca="false">IF($A175="","",SUMIFS(지출내역!$G$3:$G$502,지출내역!$B$3:$B$502,$A175,지출내역!$E$3:$E$502,G$2))</f>
        <v/>
      </c>
      <c r="H175" s="11" t="str">
        <f aca="false">IF($A175="","",SUMIFS(지출내역!$G$3:$G$502,지출내역!$B$3:$B$502,$A175,지출내역!$E$3:$E$502,H$2))</f>
        <v/>
      </c>
      <c r="I175" s="11" t="str">
        <f aca="false">IF($A175="","",SUMIFS(지출내역!$G$3:$G$502,지출내역!$B$3:$B$502,$A175,지출내역!$E$3:$E$502,I$2))</f>
        <v/>
      </c>
      <c r="J175" s="11" t="str">
        <f aca="false">IF($A175="","",SUM(D175:I175))</f>
        <v/>
      </c>
    </row>
    <row r="176" customFormat="false" ht="15" hidden="false" customHeight="false" outlineLevel="0" collapsed="false">
      <c r="A176" s="9" t="str">
        <f aca="false">IF(직원목록!$A176="","",직원목록!$A176)</f>
        <v/>
      </c>
      <c r="B176" s="9" t="str">
        <f aca="false">IF($A176="","",직원목록!$B176)</f>
        <v/>
      </c>
      <c r="C176" s="9" t="str">
        <f aca="false">IF($A176="","",직원목록!$C176)</f>
        <v/>
      </c>
      <c r="D176" s="11" t="str">
        <f aca="false">IF($A176="","",SUMIFS(지출내역!$G$3:$G$502,지출내역!$B$3:$B$502,$A176,지출내역!$E$3:$E$502,D$2))</f>
        <v/>
      </c>
      <c r="E176" s="11" t="str">
        <f aca="false">IF($A176="","",SUMIFS(지출내역!$G$3:$G$502,지출내역!$B$3:$B$502,$A176,지출내역!$E$3:$E$502,E$2))</f>
        <v/>
      </c>
      <c r="F176" s="11" t="str">
        <f aca="false">IF($A176="","",SUMIFS(지출내역!$G$3:$G$502,지출내역!$B$3:$B$502,$A176,지출내역!$E$3:$E$502,F$2))</f>
        <v/>
      </c>
      <c r="G176" s="11" t="str">
        <f aca="false">IF($A176="","",SUMIFS(지출내역!$G$3:$G$502,지출내역!$B$3:$B$502,$A176,지출내역!$E$3:$E$502,G$2))</f>
        <v/>
      </c>
      <c r="H176" s="11" t="str">
        <f aca="false">IF($A176="","",SUMIFS(지출내역!$G$3:$G$502,지출내역!$B$3:$B$502,$A176,지출내역!$E$3:$E$502,H$2))</f>
        <v/>
      </c>
      <c r="I176" s="11" t="str">
        <f aca="false">IF($A176="","",SUMIFS(지출내역!$G$3:$G$502,지출내역!$B$3:$B$502,$A176,지출내역!$E$3:$E$502,I$2))</f>
        <v/>
      </c>
      <c r="J176" s="11" t="str">
        <f aca="false">IF($A176="","",SUM(D176:I176))</f>
        <v/>
      </c>
    </row>
    <row r="177" customFormat="false" ht="15" hidden="false" customHeight="false" outlineLevel="0" collapsed="false">
      <c r="A177" s="9" t="str">
        <f aca="false">IF(직원목록!$A177="","",직원목록!$A177)</f>
        <v/>
      </c>
      <c r="B177" s="9" t="str">
        <f aca="false">IF($A177="","",직원목록!$B177)</f>
        <v/>
      </c>
      <c r="C177" s="9" t="str">
        <f aca="false">IF($A177="","",직원목록!$C177)</f>
        <v/>
      </c>
      <c r="D177" s="11" t="str">
        <f aca="false">IF($A177="","",SUMIFS(지출내역!$G$3:$G$502,지출내역!$B$3:$B$502,$A177,지출내역!$E$3:$E$502,D$2))</f>
        <v/>
      </c>
      <c r="E177" s="11" t="str">
        <f aca="false">IF($A177="","",SUMIFS(지출내역!$G$3:$G$502,지출내역!$B$3:$B$502,$A177,지출내역!$E$3:$E$502,E$2))</f>
        <v/>
      </c>
      <c r="F177" s="11" t="str">
        <f aca="false">IF($A177="","",SUMIFS(지출내역!$G$3:$G$502,지출내역!$B$3:$B$502,$A177,지출내역!$E$3:$E$502,F$2))</f>
        <v/>
      </c>
      <c r="G177" s="11" t="str">
        <f aca="false">IF($A177="","",SUMIFS(지출내역!$G$3:$G$502,지출내역!$B$3:$B$502,$A177,지출내역!$E$3:$E$502,G$2))</f>
        <v/>
      </c>
      <c r="H177" s="11" t="str">
        <f aca="false">IF($A177="","",SUMIFS(지출내역!$G$3:$G$502,지출내역!$B$3:$B$502,$A177,지출내역!$E$3:$E$502,H$2))</f>
        <v/>
      </c>
      <c r="I177" s="11" t="str">
        <f aca="false">IF($A177="","",SUMIFS(지출내역!$G$3:$G$502,지출내역!$B$3:$B$502,$A177,지출내역!$E$3:$E$502,I$2))</f>
        <v/>
      </c>
      <c r="J177" s="11" t="str">
        <f aca="false">IF($A177="","",SUM(D177:I177))</f>
        <v/>
      </c>
    </row>
    <row r="178" customFormat="false" ht="15" hidden="false" customHeight="false" outlineLevel="0" collapsed="false">
      <c r="A178" s="9" t="str">
        <f aca="false">IF(직원목록!$A178="","",직원목록!$A178)</f>
        <v/>
      </c>
      <c r="B178" s="9" t="str">
        <f aca="false">IF($A178="","",직원목록!$B178)</f>
        <v/>
      </c>
      <c r="C178" s="9" t="str">
        <f aca="false">IF($A178="","",직원목록!$C178)</f>
        <v/>
      </c>
      <c r="D178" s="11" t="str">
        <f aca="false">IF($A178="","",SUMIFS(지출내역!$G$3:$G$502,지출내역!$B$3:$B$502,$A178,지출내역!$E$3:$E$502,D$2))</f>
        <v/>
      </c>
      <c r="E178" s="11" t="str">
        <f aca="false">IF($A178="","",SUMIFS(지출내역!$G$3:$G$502,지출내역!$B$3:$B$502,$A178,지출내역!$E$3:$E$502,E$2))</f>
        <v/>
      </c>
      <c r="F178" s="11" t="str">
        <f aca="false">IF($A178="","",SUMIFS(지출내역!$G$3:$G$502,지출내역!$B$3:$B$502,$A178,지출내역!$E$3:$E$502,F$2))</f>
        <v/>
      </c>
      <c r="G178" s="11" t="str">
        <f aca="false">IF($A178="","",SUMIFS(지출내역!$G$3:$G$502,지출내역!$B$3:$B$502,$A178,지출내역!$E$3:$E$502,G$2))</f>
        <v/>
      </c>
      <c r="H178" s="11" t="str">
        <f aca="false">IF($A178="","",SUMIFS(지출내역!$G$3:$G$502,지출내역!$B$3:$B$502,$A178,지출내역!$E$3:$E$502,H$2))</f>
        <v/>
      </c>
      <c r="I178" s="11" t="str">
        <f aca="false">IF($A178="","",SUMIFS(지출내역!$G$3:$G$502,지출내역!$B$3:$B$502,$A178,지출내역!$E$3:$E$502,I$2))</f>
        <v/>
      </c>
      <c r="J178" s="11" t="str">
        <f aca="false">IF($A178="","",SUM(D178:I178))</f>
        <v/>
      </c>
    </row>
    <row r="179" customFormat="false" ht="15" hidden="false" customHeight="false" outlineLevel="0" collapsed="false">
      <c r="A179" s="9" t="str">
        <f aca="false">IF(직원목록!$A179="","",직원목록!$A179)</f>
        <v/>
      </c>
      <c r="B179" s="9" t="str">
        <f aca="false">IF($A179="","",직원목록!$B179)</f>
        <v/>
      </c>
      <c r="C179" s="9" t="str">
        <f aca="false">IF($A179="","",직원목록!$C179)</f>
        <v/>
      </c>
      <c r="D179" s="11" t="str">
        <f aca="false">IF($A179="","",SUMIFS(지출내역!$G$3:$G$502,지출내역!$B$3:$B$502,$A179,지출내역!$E$3:$E$502,D$2))</f>
        <v/>
      </c>
      <c r="E179" s="11" t="str">
        <f aca="false">IF($A179="","",SUMIFS(지출내역!$G$3:$G$502,지출내역!$B$3:$B$502,$A179,지출내역!$E$3:$E$502,E$2))</f>
        <v/>
      </c>
      <c r="F179" s="11" t="str">
        <f aca="false">IF($A179="","",SUMIFS(지출내역!$G$3:$G$502,지출내역!$B$3:$B$502,$A179,지출내역!$E$3:$E$502,F$2))</f>
        <v/>
      </c>
      <c r="G179" s="11" t="str">
        <f aca="false">IF($A179="","",SUMIFS(지출내역!$G$3:$G$502,지출내역!$B$3:$B$502,$A179,지출내역!$E$3:$E$502,G$2))</f>
        <v/>
      </c>
      <c r="H179" s="11" t="str">
        <f aca="false">IF($A179="","",SUMIFS(지출내역!$G$3:$G$502,지출내역!$B$3:$B$502,$A179,지출내역!$E$3:$E$502,H$2))</f>
        <v/>
      </c>
      <c r="I179" s="11" t="str">
        <f aca="false">IF($A179="","",SUMIFS(지출내역!$G$3:$G$502,지출내역!$B$3:$B$502,$A179,지출내역!$E$3:$E$502,I$2))</f>
        <v/>
      </c>
      <c r="J179" s="11" t="str">
        <f aca="false">IF($A179="","",SUM(D179:I179))</f>
        <v/>
      </c>
    </row>
    <row r="180" customFormat="false" ht="15" hidden="false" customHeight="false" outlineLevel="0" collapsed="false">
      <c r="A180" s="9" t="str">
        <f aca="false">IF(직원목록!$A180="","",직원목록!$A180)</f>
        <v/>
      </c>
      <c r="B180" s="9" t="str">
        <f aca="false">IF($A180="","",직원목록!$B180)</f>
        <v/>
      </c>
      <c r="C180" s="9" t="str">
        <f aca="false">IF($A180="","",직원목록!$C180)</f>
        <v/>
      </c>
      <c r="D180" s="11" t="str">
        <f aca="false">IF($A180="","",SUMIFS(지출내역!$G$3:$G$502,지출내역!$B$3:$B$502,$A180,지출내역!$E$3:$E$502,D$2))</f>
        <v/>
      </c>
      <c r="E180" s="11" t="str">
        <f aca="false">IF($A180="","",SUMIFS(지출내역!$G$3:$G$502,지출내역!$B$3:$B$502,$A180,지출내역!$E$3:$E$502,E$2))</f>
        <v/>
      </c>
      <c r="F180" s="11" t="str">
        <f aca="false">IF($A180="","",SUMIFS(지출내역!$G$3:$G$502,지출내역!$B$3:$B$502,$A180,지출내역!$E$3:$E$502,F$2))</f>
        <v/>
      </c>
      <c r="G180" s="11" t="str">
        <f aca="false">IF($A180="","",SUMIFS(지출내역!$G$3:$G$502,지출내역!$B$3:$B$502,$A180,지출내역!$E$3:$E$502,G$2))</f>
        <v/>
      </c>
      <c r="H180" s="11" t="str">
        <f aca="false">IF($A180="","",SUMIFS(지출내역!$G$3:$G$502,지출내역!$B$3:$B$502,$A180,지출내역!$E$3:$E$502,H$2))</f>
        <v/>
      </c>
      <c r="I180" s="11" t="str">
        <f aca="false">IF($A180="","",SUMIFS(지출내역!$G$3:$G$502,지출내역!$B$3:$B$502,$A180,지출내역!$E$3:$E$502,I$2))</f>
        <v/>
      </c>
      <c r="J180" s="11" t="str">
        <f aca="false">IF($A180="","",SUM(D180:I180))</f>
        <v/>
      </c>
    </row>
    <row r="181" customFormat="false" ht="15" hidden="false" customHeight="false" outlineLevel="0" collapsed="false">
      <c r="A181" s="9" t="str">
        <f aca="false">IF(직원목록!$A181="","",직원목록!$A181)</f>
        <v/>
      </c>
      <c r="B181" s="9" t="str">
        <f aca="false">IF($A181="","",직원목록!$B181)</f>
        <v/>
      </c>
      <c r="C181" s="9" t="str">
        <f aca="false">IF($A181="","",직원목록!$C181)</f>
        <v/>
      </c>
      <c r="D181" s="11" t="str">
        <f aca="false">IF($A181="","",SUMIFS(지출내역!$G$3:$G$502,지출내역!$B$3:$B$502,$A181,지출내역!$E$3:$E$502,D$2))</f>
        <v/>
      </c>
      <c r="E181" s="11" t="str">
        <f aca="false">IF($A181="","",SUMIFS(지출내역!$G$3:$G$502,지출내역!$B$3:$B$502,$A181,지출내역!$E$3:$E$502,E$2))</f>
        <v/>
      </c>
      <c r="F181" s="11" t="str">
        <f aca="false">IF($A181="","",SUMIFS(지출내역!$G$3:$G$502,지출내역!$B$3:$B$502,$A181,지출내역!$E$3:$E$502,F$2))</f>
        <v/>
      </c>
      <c r="G181" s="11" t="str">
        <f aca="false">IF($A181="","",SUMIFS(지출내역!$G$3:$G$502,지출내역!$B$3:$B$502,$A181,지출내역!$E$3:$E$502,G$2))</f>
        <v/>
      </c>
      <c r="H181" s="11" t="str">
        <f aca="false">IF($A181="","",SUMIFS(지출내역!$G$3:$G$502,지출내역!$B$3:$B$502,$A181,지출내역!$E$3:$E$502,H$2))</f>
        <v/>
      </c>
      <c r="I181" s="11" t="str">
        <f aca="false">IF($A181="","",SUMIFS(지출내역!$G$3:$G$502,지출내역!$B$3:$B$502,$A181,지출내역!$E$3:$E$502,I$2))</f>
        <v/>
      </c>
      <c r="J181" s="11" t="str">
        <f aca="false">IF($A181="","",SUM(D181:I181))</f>
        <v/>
      </c>
    </row>
    <row r="182" customFormat="false" ht="15" hidden="false" customHeight="false" outlineLevel="0" collapsed="false">
      <c r="A182" s="9" t="str">
        <f aca="false">IF(직원목록!$A182="","",직원목록!$A182)</f>
        <v/>
      </c>
      <c r="B182" s="9" t="str">
        <f aca="false">IF($A182="","",직원목록!$B182)</f>
        <v/>
      </c>
      <c r="C182" s="9" t="str">
        <f aca="false">IF($A182="","",직원목록!$C182)</f>
        <v/>
      </c>
      <c r="D182" s="11" t="str">
        <f aca="false">IF($A182="","",SUMIFS(지출내역!$G$3:$G$502,지출내역!$B$3:$B$502,$A182,지출내역!$E$3:$E$502,D$2))</f>
        <v/>
      </c>
      <c r="E182" s="11" t="str">
        <f aca="false">IF($A182="","",SUMIFS(지출내역!$G$3:$G$502,지출내역!$B$3:$B$502,$A182,지출내역!$E$3:$E$502,E$2))</f>
        <v/>
      </c>
      <c r="F182" s="11" t="str">
        <f aca="false">IF($A182="","",SUMIFS(지출내역!$G$3:$G$502,지출내역!$B$3:$B$502,$A182,지출내역!$E$3:$E$502,F$2))</f>
        <v/>
      </c>
      <c r="G182" s="11" t="str">
        <f aca="false">IF($A182="","",SUMIFS(지출내역!$G$3:$G$502,지출내역!$B$3:$B$502,$A182,지출내역!$E$3:$E$502,G$2))</f>
        <v/>
      </c>
      <c r="H182" s="11" t="str">
        <f aca="false">IF($A182="","",SUMIFS(지출내역!$G$3:$G$502,지출내역!$B$3:$B$502,$A182,지출내역!$E$3:$E$502,H$2))</f>
        <v/>
      </c>
      <c r="I182" s="11" t="str">
        <f aca="false">IF($A182="","",SUMIFS(지출내역!$G$3:$G$502,지출내역!$B$3:$B$502,$A182,지출내역!$E$3:$E$502,I$2))</f>
        <v/>
      </c>
      <c r="J182" s="11" t="str">
        <f aca="false">IF($A182="","",SUM(D182:I182))</f>
        <v/>
      </c>
    </row>
    <row r="183" customFormat="false" ht="15" hidden="false" customHeight="false" outlineLevel="0" collapsed="false">
      <c r="A183" s="9" t="str">
        <f aca="false">IF(직원목록!$A183="","",직원목록!$A183)</f>
        <v/>
      </c>
      <c r="B183" s="9" t="str">
        <f aca="false">IF($A183="","",직원목록!$B183)</f>
        <v/>
      </c>
      <c r="C183" s="9" t="str">
        <f aca="false">IF($A183="","",직원목록!$C183)</f>
        <v/>
      </c>
      <c r="D183" s="11" t="str">
        <f aca="false">IF($A183="","",SUMIFS(지출내역!$G$3:$G$502,지출내역!$B$3:$B$502,$A183,지출내역!$E$3:$E$502,D$2))</f>
        <v/>
      </c>
      <c r="E183" s="11" t="str">
        <f aca="false">IF($A183="","",SUMIFS(지출내역!$G$3:$G$502,지출내역!$B$3:$B$502,$A183,지출내역!$E$3:$E$502,E$2))</f>
        <v/>
      </c>
      <c r="F183" s="11" t="str">
        <f aca="false">IF($A183="","",SUMIFS(지출내역!$G$3:$G$502,지출내역!$B$3:$B$502,$A183,지출내역!$E$3:$E$502,F$2))</f>
        <v/>
      </c>
      <c r="G183" s="11" t="str">
        <f aca="false">IF($A183="","",SUMIFS(지출내역!$G$3:$G$502,지출내역!$B$3:$B$502,$A183,지출내역!$E$3:$E$502,G$2))</f>
        <v/>
      </c>
      <c r="H183" s="11" t="str">
        <f aca="false">IF($A183="","",SUMIFS(지출내역!$G$3:$G$502,지출내역!$B$3:$B$502,$A183,지출내역!$E$3:$E$502,H$2))</f>
        <v/>
      </c>
      <c r="I183" s="11" t="str">
        <f aca="false">IF($A183="","",SUMIFS(지출내역!$G$3:$G$502,지출내역!$B$3:$B$502,$A183,지출내역!$E$3:$E$502,I$2))</f>
        <v/>
      </c>
      <c r="J183" s="11" t="str">
        <f aca="false">IF($A183="","",SUM(D183:I183))</f>
        <v/>
      </c>
    </row>
    <row r="184" customFormat="false" ht="15" hidden="false" customHeight="false" outlineLevel="0" collapsed="false">
      <c r="A184" s="9" t="str">
        <f aca="false">IF(직원목록!$A184="","",직원목록!$A184)</f>
        <v/>
      </c>
      <c r="B184" s="9" t="str">
        <f aca="false">IF($A184="","",직원목록!$B184)</f>
        <v/>
      </c>
      <c r="C184" s="9" t="str">
        <f aca="false">IF($A184="","",직원목록!$C184)</f>
        <v/>
      </c>
      <c r="D184" s="11" t="str">
        <f aca="false">IF($A184="","",SUMIFS(지출내역!$G$3:$G$502,지출내역!$B$3:$B$502,$A184,지출내역!$E$3:$E$502,D$2))</f>
        <v/>
      </c>
      <c r="E184" s="11" t="str">
        <f aca="false">IF($A184="","",SUMIFS(지출내역!$G$3:$G$502,지출내역!$B$3:$B$502,$A184,지출내역!$E$3:$E$502,E$2))</f>
        <v/>
      </c>
      <c r="F184" s="11" t="str">
        <f aca="false">IF($A184="","",SUMIFS(지출내역!$G$3:$G$502,지출내역!$B$3:$B$502,$A184,지출내역!$E$3:$E$502,F$2))</f>
        <v/>
      </c>
      <c r="G184" s="11" t="str">
        <f aca="false">IF($A184="","",SUMIFS(지출내역!$G$3:$G$502,지출내역!$B$3:$B$502,$A184,지출내역!$E$3:$E$502,G$2))</f>
        <v/>
      </c>
      <c r="H184" s="11" t="str">
        <f aca="false">IF($A184="","",SUMIFS(지출내역!$G$3:$G$502,지출내역!$B$3:$B$502,$A184,지출내역!$E$3:$E$502,H$2))</f>
        <v/>
      </c>
      <c r="I184" s="11" t="str">
        <f aca="false">IF($A184="","",SUMIFS(지출내역!$G$3:$G$502,지출내역!$B$3:$B$502,$A184,지출내역!$E$3:$E$502,I$2))</f>
        <v/>
      </c>
      <c r="J184" s="11" t="str">
        <f aca="false">IF($A184="","",SUM(D184:I184))</f>
        <v/>
      </c>
    </row>
    <row r="185" customFormat="false" ht="15" hidden="false" customHeight="false" outlineLevel="0" collapsed="false">
      <c r="A185" s="9" t="str">
        <f aca="false">IF(직원목록!$A185="","",직원목록!$A185)</f>
        <v/>
      </c>
      <c r="B185" s="9" t="str">
        <f aca="false">IF($A185="","",직원목록!$B185)</f>
        <v/>
      </c>
      <c r="C185" s="9" t="str">
        <f aca="false">IF($A185="","",직원목록!$C185)</f>
        <v/>
      </c>
      <c r="D185" s="11" t="str">
        <f aca="false">IF($A185="","",SUMIFS(지출내역!$G$3:$G$502,지출내역!$B$3:$B$502,$A185,지출내역!$E$3:$E$502,D$2))</f>
        <v/>
      </c>
      <c r="E185" s="11" t="str">
        <f aca="false">IF($A185="","",SUMIFS(지출내역!$G$3:$G$502,지출내역!$B$3:$B$502,$A185,지출내역!$E$3:$E$502,E$2))</f>
        <v/>
      </c>
      <c r="F185" s="11" t="str">
        <f aca="false">IF($A185="","",SUMIFS(지출내역!$G$3:$G$502,지출내역!$B$3:$B$502,$A185,지출내역!$E$3:$E$502,F$2))</f>
        <v/>
      </c>
      <c r="G185" s="11" t="str">
        <f aca="false">IF($A185="","",SUMIFS(지출내역!$G$3:$G$502,지출내역!$B$3:$B$502,$A185,지출내역!$E$3:$E$502,G$2))</f>
        <v/>
      </c>
      <c r="H185" s="11" t="str">
        <f aca="false">IF($A185="","",SUMIFS(지출내역!$G$3:$G$502,지출내역!$B$3:$B$502,$A185,지출내역!$E$3:$E$502,H$2))</f>
        <v/>
      </c>
      <c r="I185" s="11" t="str">
        <f aca="false">IF($A185="","",SUMIFS(지출내역!$G$3:$G$502,지출내역!$B$3:$B$502,$A185,지출내역!$E$3:$E$502,I$2))</f>
        <v/>
      </c>
      <c r="J185" s="11" t="str">
        <f aca="false">IF($A185="","",SUM(D185:I185))</f>
        <v/>
      </c>
    </row>
    <row r="186" customFormat="false" ht="15" hidden="false" customHeight="false" outlineLevel="0" collapsed="false">
      <c r="A186" s="9" t="str">
        <f aca="false">IF(직원목록!$A186="","",직원목록!$A186)</f>
        <v/>
      </c>
      <c r="B186" s="9" t="str">
        <f aca="false">IF($A186="","",직원목록!$B186)</f>
        <v/>
      </c>
      <c r="C186" s="9" t="str">
        <f aca="false">IF($A186="","",직원목록!$C186)</f>
        <v/>
      </c>
      <c r="D186" s="11" t="str">
        <f aca="false">IF($A186="","",SUMIFS(지출내역!$G$3:$G$502,지출내역!$B$3:$B$502,$A186,지출내역!$E$3:$E$502,D$2))</f>
        <v/>
      </c>
      <c r="E186" s="11" t="str">
        <f aca="false">IF($A186="","",SUMIFS(지출내역!$G$3:$G$502,지출내역!$B$3:$B$502,$A186,지출내역!$E$3:$E$502,E$2))</f>
        <v/>
      </c>
      <c r="F186" s="11" t="str">
        <f aca="false">IF($A186="","",SUMIFS(지출내역!$G$3:$G$502,지출내역!$B$3:$B$502,$A186,지출내역!$E$3:$E$502,F$2))</f>
        <v/>
      </c>
      <c r="G186" s="11" t="str">
        <f aca="false">IF($A186="","",SUMIFS(지출내역!$G$3:$G$502,지출내역!$B$3:$B$502,$A186,지출내역!$E$3:$E$502,G$2))</f>
        <v/>
      </c>
      <c r="H186" s="11" t="str">
        <f aca="false">IF($A186="","",SUMIFS(지출내역!$G$3:$G$502,지출내역!$B$3:$B$502,$A186,지출내역!$E$3:$E$502,H$2))</f>
        <v/>
      </c>
      <c r="I186" s="11" t="str">
        <f aca="false">IF($A186="","",SUMIFS(지출내역!$G$3:$G$502,지출내역!$B$3:$B$502,$A186,지출내역!$E$3:$E$502,I$2))</f>
        <v/>
      </c>
      <c r="J186" s="11" t="str">
        <f aca="false">IF($A186="","",SUM(D186:I186))</f>
        <v/>
      </c>
    </row>
    <row r="187" customFormat="false" ht="15" hidden="false" customHeight="false" outlineLevel="0" collapsed="false">
      <c r="A187" s="9" t="str">
        <f aca="false">IF(직원목록!$A187="","",직원목록!$A187)</f>
        <v/>
      </c>
      <c r="B187" s="9" t="str">
        <f aca="false">IF($A187="","",직원목록!$B187)</f>
        <v/>
      </c>
      <c r="C187" s="9" t="str">
        <f aca="false">IF($A187="","",직원목록!$C187)</f>
        <v/>
      </c>
      <c r="D187" s="11" t="str">
        <f aca="false">IF($A187="","",SUMIFS(지출내역!$G$3:$G$502,지출내역!$B$3:$B$502,$A187,지출내역!$E$3:$E$502,D$2))</f>
        <v/>
      </c>
      <c r="E187" s="11" t="str">
        <f aca="false">IF($A187="","",SUMIFS(지출내역!$G$3:$G$502,지출내역!$B$3:$B$502,$A187,지출내역!$E$3:$E$502,E$2))</f>
        <v/>
      </c>
      <c r="F187" s="11" t="str">
        <f aca="false">IF($A187="","",SUMIFS(지출내역!$G$3:$G$502,지출내역!$B$3:$B$502,$A187,지출내역!$E$3:$E$502,F$2))</f>
        <v/>
      </c>
      <c r="G187" s="11" t="str">
        <f aca="false">IF($A187="","",SUMIFS(지출내역!$G$3:$G$502,지출내역!$B$3:$B$502,$A187,지출내역!$E$3:$E$502,G$2))</f>
        <v/>
      </c>
      <c r="H187" s="11" t="str">
        <f aca="false">IF($A187="","",SUMIFS(지출내역!$G$3:$G$502,지출내역!$B$3:$B$502,$A187,지출내역!$E$3:$E$502,H$2))</f>
        <v/>
      </c>
      <c r="I187" s="11" t="str">
        <f aca="false">IF($A187="","",SUMIFS(지출내역!$G$3:$G$502,지출내역!$B$3:$B$502,$A187,지출내역!$E$3:$E$502,I$2))</f>
        <v/>
      </c>
      <c r="J187" s="11" t="str">
        <f aca="false">IF($A187="","",SUM(D187:I187))</f>
        <v/>
      </c>
    </row>
    <row r="188" customFormat="false" ht="15" hidden="false" customHeight="false" outlineLevel="0" collapsed="false">
      <c r="A188" s="9" t="str">
        <f aca="false">IF(직원목록!$A188="","",직원목록!$A188)</f>
        <v/>
      </c>
      <c r="B188" s="9" t="str">
        <f aca="false">IF($A188="","",직원목록!$B188)</f>
        <v/>
      </c>
      <c r="C188" s="9" t="str">
        <f aca="false">IF($A188="","",직원목록!$C188)</f>
        <v/>
      </c>
      <c r="D188" s="11" t="str">
        <f aca="false">IF($A188="","",SUMIFS(지출내역!$G$3:$G$502,지출내역!$B$3:$B$502,$A188,지출내역!$E$3:$E$502,D$2))</f>
        <v/>
      </c>
      <c r="E188" s="11" t="str">
        <f aca="false">IF($A188="","",SUMIFS(지출내역!$G$3:$G$502,지출내역!$B$3:$B$502,$A188,지출내역!$E$3:$E$502,E$2))</f>
        <v/>
      </c>
      <c r="F188" s="11" t="str">
        <f aca="false">IF($A188="","",SUMIFS(지출내역!$G$3:$G$502,지출내역!$B$3:$B$502,$A188,지출내역!$E$3:$E$502,F$2))</f>
        <v/>
      </c>
      <c r="G188" s="11" t="str">
        <f aca="false">IF($A188="","",SUMIFS(지출내역!$G$3:$G$502,지출내역!$B$3:$B$502,$A188,지출내역!$E$3:$E$502,G$2))</f>
        <v/>
      </c>
      <c r="H188" s="11" t="str">
        <f aca="false">IF($A188="","",SUMIFS(지출내역!$G$3:$G$502,지출내역!$B$3:$B$502,$A188,지출내역!$E$3:$E$502,H$2))</f>
        <v/>
      </c>
      <c r="I188" s="11" t="str">
        <f aca="false">IF($A188="","",SUMIFS(지출내역!$G$3:$G$502,지출내역!$B$3:$B$502,$A188,지출내역!$E$3:$E$502,I$2))</f>
        <v/>
      </c>
      <c r="J188" s="11" t="str">
        <f aca="false">IF($A188="","",SUM(D188:I188))</f>
        <v/>
      </c>
    </row>
    <row r="189" customFormat="false" ht="15" hidden="false" customHeight="false" outlineLevel="0" collapsed="false">
      <c r="A189" s="9" t="str">
        <f aca="false">IF(직원목록!$A189="","",직원목록!$A189)</f>
        <v/>
      </c>
      <c r="B189" s="9" t="str">
        <f aca="false">IF($A189="","",직원목록!$B189)</f>
        <v/>
      </c>
      <c r="C189" s="9" t="str">
        <f aca="false">IF($A189="","",직원목록!$C189)</f>
        <v/>
      </c>
      <c r="D189" s="11" t="str">
        <f aca="false">IF($A189="","",SUMIFS(지출내역!$G$3:$G$502,지출내역!$B$3:$B$502,$A189,지출내역!$E$3:$E$502,D$2))</f>
        <v/>
      </c>
      <c r="E189" s="11" t="str">
        <f aca="false">IF($A189="","",SUMIFS(지출내역!$G$3:$G$502,지출내역!$B$3:$B$502,$A189,지출내역!$E$3:$E$502,E$2))</f>
        <v/>
      </c>
      <c r="F189" s="11" t="str">
        <f aca="false">IF($A189="","",SUMIFS(지출내역!$G$3:$G$502,지출내역!$B$3:$B$502,$A189,지출내역!$E$3:$E$502,F$2))</f>
        <v/>
      </c>
      <c r="G189" s="11" t="str">
        <f aca="false">IF($A189="","",SUMIFS(지출내역!$G$3:$G$502,지출내역!$B$3:$B$502,$A189,지출내역!$E$3:$E$502,G$2))</f>
        <v/>
      </c>
      <c r="H189" s="11" t="str">
        <f aca="false">IF($A189="","",SUMIFS(지출내역!$G$3:$G$502,지출내역!$B$3:$B$502,$A189,지출내역!$E$3:$E$502,H$2))</f>
        <v/>
      </c>
      <c r="I189" s="11" t="str">
        <f aca="false">IF($A189="","",SUMIFS(지출내역!$G$3:$G$502,지출내역!$B$3:$B$502,$A189,지출내역!$E$3:$E$502,I$2))</f>
        <v/>
      </c>
      <c r="J189" s="11" t="str">
        <f aca="false">IF($A189="","",SUM(D189:I189))</f>
        <v/>
      </c>
    </row>
    <row r="190" customFormat="false" ht="15" hidden="false" customHeight="false" outlineLevel="0" collapsed="false">
      <c r="A190" s="9" t="str">
        <f aca="false">IF(직원목록!$A190="","",직원목록!$A190)</f>
        <v/>
      </c>
      <c r="B190" s="9" t="str">
        <f aca="false">IF($A190="","",직원목록!$B190)</f>
        <v/>
      </c>
      <c r="C190" s="9" t="str">
        <f aca="false">IF($A190="","",직원목록!$C190)</f>
        <v/>
      </c>
      <c r="D190" s="11" t="str">
        <f aca="false">IF($A190="","",SUMIFS(지출내역!$G$3:$G$502,지출내역!$B$3:$B$502,$A190,지출내역!$E$3:$E$502,D$2))</f>
        <v/>
      </c>
      <c r="E190" s="11" t="str">
        <f aca="false">IF($A190="","",SUMIFS(지출내역!$G$3:$G$502,지출내역!$B$3:$B$502,$A190,지출내역!$E$3:$E$502,E$2))</f>
        <v/>
      </c>
      <c r="F190" s="11" t="str">
        <f aca="false">IF($A190="","",SUMIFS(지출내역!$G$3:$G$502,지출내역!$B$3:$B$502,$A190,지출내역!$E$3:$E$502,F$2))</f>
        <v/>
      </c>
      <c r="G190" s="11" t="str">
        <f aca="false">IF($A190="","",SUMIFS(지출내역!$G$3:$G$502,지출내역!$B$3:$B$502,$A190,지출내역!$E$3:$E$502,G$2))</f>
        <v/>
      </c>
      <c r="H190" s="11" t="str">
        <f aca="false">IF($A190="","",SUMIFS(지출내역!$G$3:$G$502,지출내역!$B$3:$B$502,$A190,지출내역!$E$3:$E$502,H$2))</f>
        <v/>
      </c>
      <c r="I190" s="11" t="str">
        <f aca="false">IF($A190="","",SUMIFS(지출내역!$G$3:$G$502,지출내역!$B$3:$B$502,$A190,지출내역!$E$3:$E$502,I$2))</f>
        <v/>
      </c>
      <c r="J190" s="11" t="str">
        <f aca="false">IF($A190="","",SUM(D190:I190))</f>
        <v/>
      </c>
    </row>
    <row r="191" customFormat="false" ht="15" hidden="false" customHeight="false" outlineLevel="0" collapsed="false">
      <c r="A191" s="9" t="str">
        <f aca="false">IF(직원목록!$A191="","",직원목록!$A191)</f>
        <v/>
      </c>
      <c r="B191" s="9" t="str">
        <f aca="false">IF($A191="","",직원목록!$B191)</f>
        <v/>
      </c>
      <c r="C191" s="9" t="str">
        <f aca="false">IF($A191="","",직원목록!$C191)</f>
        <v/>
      </c>
      <c r="D191" s="11" t="str">
        <f aca="false">IF($A191="","",SUMIFS(지출내역!$G$3:$G$502,지출내역!$B$3:$B$502,$A191,지출내역!$E$3:$E$502,D$2))</f>
        <v/>
      </c>
      <c r="E191" s="11" t="str">
        <f aca="false">IF($A191="","",SUMIFS(지출내역!$G$3:$G$502,지출내역!$B$3:$B$502,$A191,지출내역!$E$3:$E$502,E$2))</f>
        <v/>
      </c>
      <c r="F191" s="11" t="str">
        <f aca="false">IF($A191="","",SUMIFS(지출내역!$G$3:$G$502,지출내역!$B$3:$B$502,$A191,지출내역!$E$3:$E$502,F$2))</f>
        <v/>
      </c>
      <c r="G191" s="11" t="str">
        <f aca="false">IF($A191="","",SUMIFS(지출내역!$G$3:$G$502,지출내역!$B$3:$B$502,$A191,지출내역!$E$3:$E$502,G$2))</f>
        <v/>
      </c>
      <c r="H191" s="11" t="str">
        <f aca="false">IF($A191="","",SUMIFS(지출내역!$G$3:$G$502,지출내역!$B$3:$B$502,$A191,지출내역!$E$3:$E$502,H$2))</f>
        <v/>
      </c>
      <c r="I191" s="11" t="str">
        <f aca="false">IF($A191="","",SUMIFS(지출내역!$G$3:$G$502,지출내역!$B$3:$B$502,$A191,지출내역!$E$3:$E$502,I$2))</f>
        <v/>
      </c>
      <c r="J191" s="11" t="str">
        <f aca="false">IF($A191="","",SUM(D191:I191))</f>
        <v/>
      </c>
    </row>
    <row r="192" customFormat="false" ht="15" hidden="false" customHeight="false" outlineLevel="0" collapsed="false">
      <c r="A192" s="9" t="str">
        <f aca="false">IF(직원목록!$A192="","",직원목록!$A192)</f>
        <v/>
      </c>
      <c r="B192" s="9" t="str">
        <f aca="false">IF($A192="","",직원목록!$B192)</f>
        <v/>
      </c>
      <c r="C192" s="9" t="str">
        <f aca="false">IF($A192="","",직원목록!$C192)</f>
        <v/>
      </c>
      <c r="D192" s="11" t="str">
        <f aca="false">IF($A192="","",SUMIFS(지출내역!$G$3:$G$502,지출내역!$B$3:$B$502,$A192,지출내역!$E$3:$E$502,D$2))</f>
        <v/>
      </c>
      <c r="E192" s="11" t="str">
        <f aca="false">IF($A192="","",SUMIFS(지출내역!$G$3:$G$502,지출내역!$B$3:$B$502,$A192,지출내역!$E$3:$E$502,E$2))</f>
        <v/>
      </c>
      <c r="F192" s="11" t="str">
        <f aca="false">IF($A192="","",SUMIFS(지출내역!$G$3:$G$502,지출내역!$B$3:$B$502,$A192,지출내역!$E$3:$E$502,F$2))</f>
        <v/>
      </c>
      <c r="G192" s="11" t="str">
        <f aca="false">IF($A192="","",SUMIFS(지출내역!$G$3:$G$502,지출내역!$B$3:$B$502,$A192,지출내역!$E$3:$E$502,G$2))</f>
        <v/>
      </c>
      <c r="H192" s="11" t="str">
        <f aca="false">IF($A192="","",SUMIFS(지출내역!$G$3:$G$502,지출내역!$B$3:$B$502,$A192,지출내역!$E$3:$E$502,H$2))</f>
        <v/>
      </c>
      <c r="I192" s="11" t="str">
        <f aca="false">IF($A192="","",SUMIFS(지출내역!$G$3:$G$502,지출내역!$B$3:$B$502,$A192,지출내역!$E$3:$E$502,I$2))</f>
        <v/>
      </c>
      <c r="J192" s="11" t="str">
        <f aca="false">IF($A192="","",SUM(D192:I192))</f>
        <v/>
      </c>
    </row>
    <row r="193" customFormat="false" ht="15" hidden="false" customHeight="false" outlineLevel="0" collapsed="false">
      <c r="A193" s="9" t="str">
        <f aca="false">IF(직원목록!$A193="","",직원목록!$A193)</f>
        <v/>
      </c>
      <c r="B193" s="9" t="str">
        <f aca="false">IF($A193="","",직원목록!$B193)</f>
        <v/>
      </c>
      <c r="C193" s="9" t="str">
        <f aca="false">IF($A193="","",직원목록!$C193)</f>
        <v/>
      </c>
      <c r="D193" s="11" t="str">
        <f aca="false">IF($A193="","",SUMIFS(지출내역!$G$3:$G$502,지출내역!$B$3:$B$502,$A193,지출내역!$E$3:$E$502,D$2))</f>
        <v/>
      </c>
      <c r="E193" s="11" t="str">
        <f aca="false">IF($A193="","",SUMIFS(지출내역!$G$3:$G$502,지출내역!$B$3:$B$502,$A193,지출내역!$E$3:$E$502,E$2))</f>
        <v/>
      </c>
      <c r="F193" s="11" t="str">
        <f aca="false">IF($A193="","",SUMIFS(지출내역!$G$3:$G$502,지출내역!$B$3:$B$502,$A193,지출내역!$E$3:$E$502,F$2))</f>
        <v/>
      </c>
      <c r="G193" s="11" t="str">
        <f aca="false">IF($A193="","",SUMIFS(지출내역!$G$3:$G$502,지출내역!$B$3:$B$502,$A193,지출내역!$E$3:$E$502,G$2))</f>
        <v/>
      </c>
      <c r="H193" s="11" t="str">
        <f aca="false">IF($A193="","",SUMIFS(지출내역!$G$3:$G$502,지출내역!$B$3:$B$502,$A193,지출내역!$E$3:$E$502,H$2))</f>
        <v/>
      </c>
      <c r="I193" s="11" t="str">
        <f aca="false">IF($A193="","",SUMIFS(지출내역!$G$3:$G$502,지출내역!$B$3:$B$502,$A193,지출내역!$E$3:$E$502,I$2))</f>
        <v/>
      </c>
      <c r="J193" s="11" t="str">
        <f aca="false">IF($A193="","",SUM(D193:I193))</f>
        <v/>
      </c>
    </row>
    <row r="194" customFormat="false" ht="15" hidden="false" customHeight="false" outlineLevel="0" collapsed="false">
      <c r="A194" s="9" t="str">
        <f aca="false">IF(직원목록!$A194="","",직원목록!$A194)</f>
        <v/>
      </c>
      <c r="B194" s="9" t="str">
        <f aca="false">IF($A194="","",직원목록!$B194)</f>
        <v/>
      </c>
      <c r="C194" s="9" t="str">
        <f aca="false">IF($A194="","",직원목록!$C194)</f>
        <v/>
      </c>
      <c r="D194" s="11" t="str">
        <f aca="false">IF($A194="","",SUMIFS(지출내역!$G$3:$G$502,지출내역!$B$3:$B$502,$A194,지출내역!$E$3:$E$502,D$2))</f>
        <v/>
      </c>
      <c r="E194" s="11" t="str">
        <f aca="false">IF($A194="","",SUMIFS(지출내역!$G$3:$G$502,지출내역!$B$3:$B$502,$A194,지출내역!$E$3:$E$502,E$2))</f>
        <v/>
      </c>
      <c r="F194" s="11" t="str">
        <f aca="false">IF($A194="","",SUMIFS(지출내역!$G$3:$G$502,지출내역!$B$3:$B$502,$A194,지출내역!$E$3:$E$502,F$2))</f>
        <v/>
      </c>
      <c r="G194" s="11" t="str">
        <f aca="false">IF($A194="","",SUMIFS(지출내역!$G$3:$G$502,지출내역!$B$3:$B$502,$A194,지출내역!$E$3:$E$502,G$2))</f>
        <v/>
      </c>
      <c r="H194" s="11" t="str">
        <f aca="false">IF($A194="","",SUMIFS(지출내역!$G$3:$G$502,지출내역!$B$3:$B$502,$A194,지출내역!$E$3:$E$502,H$2))</f>
        <v/>
      </c>
      <c r="I194" s="11" t="str">
        <f aca="false">IF($A194="","",SUMIFS(지출내역!$G$3:$G$502,지출내역!$B$3:$B$502,$A194,지출내역!$E$3:$E$502,I$2))</f>
        <v/>
      </c>
      <c r="J194" s="11" t="str">
        <f aca="false">IF($A194="","",SUM(D194:I194))</f>
        <v/>
      </c>
    </row>
    <row r="195" customFormat="false" ht="15" hidden="false" customHeight="false" outlineLevel="0" collapsed="false">
      <c r="A195" s="9" t="str">
        <f aca="false">IF(직원목록!$A195="","",직원목록!$A195)</f>
        <v/>
      </c>
      <c r="B195" s="9" t="str">
        <f aca="false">IF($A195="","",직원목록!$B195)</f>
        <v/>
      </c>
      <c r="C195" s="9" t="str">
        <f aca="false">IF($A195="","",직원목록!$C195)</f>
        <v/>
      </c>
      <c r="D195" s="11" t="str">
        <f aca="false">IF($A195="","",SUMIFS(지출내역!$G$3:$G$502,지출내역!$B$3:$B$502,$A195,지출내역!$E$3:$E$502,D$2))</f>
        <v/>
      </c>
      <c r="E195" s="11" t="str">
        <f aca="false">IF($A195="","",SUMIFS(지출내역!$G$3:$G$502,지출내역!$B$3:$B$502,$A195,지출내역!$E$3:$E$502,E$2))</f>
        <v/>
      </c>
      <c r="F195" s="11" t="str">
        <f aca="false">IF($A195="","",SUMIFS(지출내역!$G$3:$G$502,지출내역!$B$3:$B$502,$A195,지출내역!$E$3:$E$502,F$2))</f>
        <v/>
      </c>
      <c r="G195" s="11" t="str">
        <f aca="false">IF($A195="","",SUMIFS(지출내역!$G$3:$G$502,지출내역!$B$3:$B$502,$A195,지출내역!$E$3:$E$502,G$2))</f>
        <v/>
      </c>
      <c r="H195" s="11" t="str">
        <f aca="false">IF($A195="","",SUMIFS(지출내역!$G$3:$G$502,지출내역!$B$3:$B$502,$A195,지출내역!$E$3:$E$502,H$2))</f>
        <v/>
      </c>
      <c r="I195" s="11" t="str">
        <f aca="false">IF($A195="","",SUMIFS(지출내역!$G$3:$G$502,지출내역!$B$3:$B$502,$A195,지출내역!$E$3:$E$502,I$2))</f>
        <v/>
      </c>
      <c r="J195" s="11" t="str">
        <f aca="false">IF($A195="","",SUM(D195:I195))</f>
        <v/>
      </c>
    </row>
    <row r="196" customFormat="false" ht="15" hidden="false" customHeight="false" outlineLevel="0" collapsed="false">
      <c r="A196" s="9" t="str">
        <f aca="false">IF(직원목록!$A196="","",직원목록!$A196)</f>
        <v/>
      </c>
      <c r="B196" s="9" t="str">
        <f aca="false">IF($A196="","",직원목록!$B196)</f>
        <v/>
      </c>
      <c r="C196" s="9" t="str">
        <f aca="false">IF($A196="","",직원목록!$C196)</f>
        <v/>
      </c>
      <c r="D196" s="11" t="str">
        <f aca="false">IF($A196="","",SUMIFS(지출내역!$G$3:$G$502,지출내역!$B$3:$B$502,$A196,지출내역!$E$3:$E$502,D$2))</f>
        <v/>
      </c>
      <c r="E196" s="11" t="str">
        <f aca="false">IF($A196="","",SUMIFS(지출내역!$G$3:$G$502,지출내역!$B$3:$B$502,$A196,지출내역!$E$3:$E$502,E$2))</f>
        <v/>
      </c>
      <c r="F196" s="11" t="str">
        <f aca="false">IF($A196="","",SUMIFS(지출내역!$G$3:$G$502,지출내역!$B$3:$B$502,$A196,지출내역!$E$3:$E$502,F$2))</f>
        <v/>
      </c>
      <c r="G196" s="11" t="str">
        <f aca="false">IF($A196="","",SUMIFS(지출내역!$G$3:$G$502,지출내역!$B$3:$B$502,$A196,지출내역!$E$3:$E$502,G$2))</f>
        <v/>
      </c>
      <c r="H196" s="11" t="str">
        <f aca="false">IF($A196="","",SUMIFS(지출내역!$G$3:$G$502,지출내역!$B$3:$B$502,$A196,지출내역!$E$3:$E$502,H$2))</f>
        <v/>
      </c>
      <c r="I196" s="11" t="str">
        <f aca="false">IF($A196="","",SUMIFS(지출내역!$G$3:$G$502,지출내역!$B$3:$B$502,$A196,지출내역!$E$3:$E$502,I$2))</f>
        <v/>
      </c>
      <c r="J196" s="11" t="str">
        <f aca="false">IF($A196="","",SUM(D196:I196))</f>
        <v/>
      </c>
    </row>
    <row r="197" customFormat="false" ht="15" hidden="false" customHeight="false" outlineLevel="0" collapsed="false">
      <c r="A197" s="9" t="str">
        <f aca="false">IF(직원목록!$A197="","",직원목록!$A197)</f>
        <v/>
      </c>
      <c r="B197" s="9" t="str">
        <f aca="false">IF($A197="","",직원목록!$B197)</f>
        <v/>
      </c>
      <c r="C197" s="9" t="str">
        <f aca="false">IF($A197="","",직원목록!$C197)</f>
        <v/>
      </c>
      <c r="D197" s="11" t="str">
        <f aca="false">IF($A197="","",SUMIFS(지출내역!$G$3:$G$502,지출내역!$B$3:$B$502,$A197,지출내역!$E$3:$E$502,D$2))</f>
        <v/>
      </c>
      <c r="E197" s="11" t="str">
        <f aca="false">IF($A197="","",SUMIFS(지출내역!$G$3:$G$502,지출내역!$B$3:$B$502,$A197,지출내역!$E$3:$E$502,E$2))</f>
        <v/>
      </c>
      <c r="F197" s="11" t="str">
        <f aca="false">IF($A197="","",SUMIFS(지출내역!$G$3:$G$502,지출내역!$B$3:$B$502,$A197,지출내역!$E$3:$E$502,F$2))</f>
        <v/>
      </c>
      <c r="G197" s="11" t="str">
        <f aca="false">IF($A197="","",SUMIFS(지출내역!$G$3:$G$502,지출내역!$B$3:$B$502,$A197,지출내역!$E$3:$E$502,G$2))</f>
        <v/>
      </c>
      <c r="H197" s="11" t="str">
        <f aca="false">IF($A197="","",SUMIFS(지출내역!$G$3:$G$502,지출내역!$B$3:$B$502,$A197,지출내역!$E$3:$E$502,H$2))</f>
        <v/>
      </c>
      <c r="I197" s="11" t="str">
        <f aca="false">IF($A197="","",SUMIFS(지출내역!$G$3:$G$502,지출내역!$B$3:$B$502,$A197,지출내역!$E$3:$E$502,I$2))</f>
        <v/>
      </c>
      <c r="J197" s="11" t="str">
        <f aca="false">IF($A197="","",SUM(D197:I197))</f>
        <v/>
      </c>
    </row>
    <row r="198" customFormat="false" ht="15" hidden="false" customHeight="false" outlineLevel="0" collapsed="false">
      <c r="A198" s="9" t="str">
        <f aca="false">IF(직원목록!$A198="","",직원목록!$A198)</f>
        <v/>
      </c>
      <c r="B198" s="9" t="str">
        <f aca="false">IF($A198="","",직원목록!$B198)</f>
        <v/>
      </c>
      <c r="C198" s="9" t="str">
        <f aca="false">IF($A198="","",직원목록!$C198)</f>
        <v/>
      </c>
      <c r="D198" s="11" t="str">
        <f aca="false">IF($A198="","",SUMIFS(지출내역!$G$3:$G$502,지출내역!$B$3:$B$502,$A198,지출내역!$E$3:$E$502,D$2))</f>
        <v/>
      </c>
      <c r="E198" s="11" t="str">
        <f aca="false">IF($A198="","",SUMIFS(지출내역!$G$3:$G$502,지출내역!$B$3:$B$502,$A198,지출내역!$E$3:$E$502,E$2))</f>
        <v/>
      </c>
      <c r="F198" s="11" t="str">
        <f aca="false">IF($A198="","",SUMIFS(지출내역!$G$3:$G$502,지출내역!$B$3:$B$502,$A198,지출내역!$E$3:$E$502,F$2))</f>
        <v/>
      </c>
      <c r="G198" s="11" t="str">
        <f aca="false">IF($A198="","",SUMIFS(지출내역!$G$3:$G$502,지출내역!$B$3:$B$502,$A198,지출내역!$E$3:$E$502,G$2))</f>
        <v/>
      </c>
      <c r="H198" s="11" t="str">
        <f aca="false">IF($A198="","",SUMIFS(지출내역!$G$3:$G$502,지출내역!$B$3:$B$502,$A198,지출내역!$E$3:$E$502,H$2))</f>
        <v/>
      </c>
      <c r="I198" s="11" t="str">
        <f aca="false">IF($A198="","",SUMIFS(지출내역!$G$3:$G$502,지출내역!$B$3:$B$502,$A198,지출내역!$E$3:$E$502,I$2))</f>
        <v/>
      </c>
      <c r="J198" s="11" t="str">
        <f aca="false">IF($A198="","",SUM(D198:I198))</f>
        <v/>
      </c>
    </row>
    <row r="199" customFormat="false" ht="15" hidden="false" customHeight="false" outlineLevel="0" collapsed="false">
      <c r="A199" s="9" t="str">
        <f aca="false">IF(직원목록!$A199="","",직원목록!$A199)</f>
        <v/>
      </c>
      <c r="B199" s="9" t="str">
        <f aca="false">IF($A199="","",직원목록!$B199)</f>
        <v/>
      </c>
      <c r="C199" s="9" t="str">
        <f aca="false">IF($A199="","",직원목록!$C199)</f>
        <v/>
      </c>
      <c r="D199" s="11" t="str">
        <f aca="false">IF($A199="","",SUMIFS(지출내역!$G$3:$G$502,지출내역!$B$3:$B$502,$A199,지출내역!$E$3:$E$502,D$2))</f>
        <v/>
      </c>
      <c r="E199" s="11" t="str">
        <f aca="false">IF($A199="","",SUMIFS(지출내역!$G$3:$G$502,지출내역!$B$3:$B$502,$A199,지출내역!$E$3:$E$502,E$2))</f>
        <v/>
      </c>
      <c r="F199" s="11" t="str">
        <f aca="false">IF($A199="","",SUMIFS(지출내역!$G$3:$G$502,지출내역!$B$3:$B$502,$A199,지출내역!$E$3:$E$502,F$2))</f>
        <v/>
      </c>
      <c r="G199" s="11" t="str">
        <f aca="false">IF($A199="","",SUMIFS(지출내역!$G$3:$G$502,지출내역!$B$3:$B$502,$A199,지출내역!$E$3:$E$502,G$2))</f>
        <v/>
      </c>
      <c r="H199" s="11" t="str">
        <f aca="false">IF($A199="","",SUMIFS(지출내역!$G$3:$G$502,지출내역!$B$3:$B$502,$A199,지출내역!$E$3:$E$502,H$2))</f>
        <v/>
      </c>
      <c r="I199" s="11" t="str">
        <f aca="false">IF($A199="","",SUMIFS(지출내역!$G$3:$G$502,지출내역!$B$3:$B$502,$A199,지출내역!$E$3:$E$502,I$2))</f>
        <v/>
      </c>
      <c r="J199" s="11" t="str">
        <f aca="false">IF($A199="","",SUM(D199:I199))</f>
        <v/>
      </c>
    </row>
    <row r="200" customFormat="false" ht="15" hidden="false" customHeight="false" outlineLevel="0" collapsed="false">
      <c r="A200" s="9" t="str">
        <f aca="false">IF(직원목록!$A200="","",직원목록!$A200)</f>
        <v/>
      </c>
      <c r="B200" s="9" t="str">
        <f aca="false">IF($A200="","",직원목록!$B200)</f>
        <v/>
      </c>
      <c r="C200" s="9" t="str">
        <f aca="false">IF($A200="","",직원목록!$C200)</f>
        <v/>
      </c>
      <c r="D200" s="11" t="str">
        <f aca="false">IF($A200="","",SUMIFS(지출내역!$G$3:$G$502,지출내역!$B$3:$B$502,$A200,지출내역!$E$3:$E$502,D$2))</f>
        <v/>
      </c>
      <c r="E200" s="11" t="str">
        <f aca="false">IF($A200="","",SUMIFS(지출내역!$G$3:$G$502,지출내역!$B$3:$B$502,$A200,지출내역!$E$3:$E$502,E$2))</f>
        <v/>
      </c>
      <c r="F200" s="11" t="str">
        <f aca="false">IF($A200="","",SUMIFS(지출내역!$G$3:$G$502,지출내역!$B$3:$B$502,$A200,지출내역!$E$3:$E$502,F$2))</f>
        <v/>
      </c>
      <c r="G200" s="11" t="str">
        <f aca="false">IF($A200="","",SUMIFS(지출내역!$G$3:$G$502,지출내역!$B$3:$B$502,$A200,지출내역!$E$3:$E$502,G$2))</f>
        <v/>
      </c>
      <c r="H200" s="11" t="str">
        <f aca="false">IF($A200="","",SUMIFS(지출내역!$G$3:$G$502,지출내역!$B$3:$B$502,$A200,지출내역!$E$3:$E$502,H$2))</f>
        <v/>
      </c>
      <c r="I200" s="11" t="str">
        <f aca="false">IF($A200="","",SUMIFS(지출내역!$G$3:$G$502,지출내역!$B$3:$B$502,$A200,지출내역!$E$3:$E$502,I$2))</f>
        <v/>
      </c>
      <c r="J200" s="11" t="str">
        <f aca="false">IF($A200="","",SUM(D200:I200))</f>
        <v/>
      </c>
    </row>
    <row r="201" customFormat="false" ht="15" hidden="false" customHeight="false" outlineLevel="0" collapsed="false">
      <c r="A201" s="9" t="str">
        <f aca="false">IF(직원목록!$A201="","",직원목록!$A201)</f>
        <v/>
      </c>
      <c r="B201" s="9" t="str">
        <f aca="false">IF($A201="","",직원목록!$B201)</f>
        <v/>
      </c>
      <c r="C201" s="9" t="str">
        <f aca="false">IF($A201="","",직원목록!$C201)</f>
        <v/>
      </c>
      <c r="D201" s="11" t="str">
        <f aca="false">IF($A201="","",SUMIFS(지출내역!$G$3:$G$502,지출내역!$B$3:$B$502,$A201,지출내역!$E$3:$E$502,D$2))</f>
        <v/>
      </c>
      <c r="E201" s="11" t="str">
        <f aca="false">IF($A201="","",SUMIFS(지출내역!$G$3:$G$502,지출내역!$B$3:$B$502,$A201,지출내역!$E$3:$E$502,E$2))</f>
        <v/>
      </c>
      <c r="F201" s="11" t="str">
        <f aca="false">IF($A201="","",SUMIFS(지출내역!$G$3:$G$502,지출내역!$B$3:$B$502,$A201,지출내역!$E$3:$E$502,F$2))</f>
        <v/>
      </c>
      <c r="G201" s="11" t="str">
        <f aca="false">IF($A201="","",SUMIFS(지출내역!$G$3:$G$502,지출내역!$B$3:$B$502,$A201,지출내역!$E$3:$E$502,G$2))</f>
        <v/>
      </c>
      <c r="H201" s="11" t="str">
        <f aca="false">IF($A201="","",SUMIFS(지출내역!$G$3:$G$502,지출내역!$B$3:$B$502,$A201,지출내역!$E$3:$E$502,H$2))</f>
        <v/>
      </c>
      <c r="I201" s="11" t="str">
        <f aca="false">IF($A201="","",SUMIFS(지출내역!$G$3:$G$502,지출내역!$B$3:$B$502,$A201,지출내역!$E$3:$E$502,I$2))</f>
        <v/>
      </c>
      <c r="J201" s="11" t="str">
        <f aca="false">IF($A201="","",SUM(D201:I201))</f>
        <v/>
      </c>
    </row>
    <row r="202" customFormat="false" ht="15" hidden="false" customHeight="false" outlineLevel="0" collapsed="false">
      <c r="A202" s="9" t="str">
        <f aca="false">IF(직원목록!$A202="","",직원목록!$A202)</f>
        <v/>
      </c>
      <c r="B202" s="9" t="str">
        <f aca="false">IF($A202="","",직원목록!$B202)</f>
        <v/>
      </c>
      <c r="C202" s="9" t="str">
        <f aca="false">IF($A202="","",직원목록!$C202)</f>
        <v/>
      </c>
      <c r="D202" s="11" t="str">
        <f aca="false">IF($A202="","",SUMIFS(지출내역!$G$3:$G$502,지출내역!$B$3:$B$502,$A202,지출내역!$E$3:$E$502,D$2))</f>
        <v/>
      </c>
      <c r="E202" s="11" t="str">
        <f aca="false">IF($A202="","",SUMIFS(지출내역!$G$3:$G$502,지출내역!$B$3:$B$502,$A202,지출내역!$E$3:$E$502,E$2))</f>
        <v/>
      </c>
      <c r="F202" s="11" t="str">
        <f aca="false">IF($A202="","",SUMIFS(지출내역!$G$3:$G$502,지출내역!$B$3:$B$502,$A202,지출내역!$E$3:$E$502,F$2))</f>
        <v/>
      </c>
      <c r="G202" s="11" t="str">
        <f aca="false">IF($A202="","",SUMIFS(지출내역!$G$3:$G$502,지출내역!$B$3:$B$502,$A202,지출내역!$E$3:$E$502,G$2))</f>
        <v/>
      </c>
      <c r="H202" s="11" t="str">
        <f aca="false">IF($A202="","",SUMIFS(지출내역!$G$3:$G$502,지출내역!$B$3:$B$502,$A202,지출내역!$E$3:$E$502,H$2))</f>
        <v/>
      </c>
      <c r="I202" s="11" t="str">
        <f aca="false">IF($A202="","",SUMIFS(지출내역!$G$3:$G$502,지출내역!$B$3:$B$502,$A202,지출내역!$E$3:$E$502,I$2))</f>
        <v/>
      </c>
      <c r="J202" s="11" t="str">
        <f aca="false">IF($A202="","",SUM(D202:I202))</f>
        <v/>
      </c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8" min="2" style="0" width="8.35"/>
    <col collapsed="false" customWidth="true" hidden="false" outlineLevel="0" max="9" min="9" style="0" width="10.02"/>
  </cols>
  <sheetData>
    <row r="1" customFormat="false" ht="25.5" hidden="false" customHeight="true" outlineLevel="0" collapsed="false">
      <c r="A1" s="1" t="s">
        <v>74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75</v>
      </c>
      <c r="B3" s="12" t="n">
        <v>46266</v>
      </c>
    </row>
    <row r="5" customFormat="false" ht="15" hidden="false" customHeight="false" outlineLevel="0" collapsed="false">
      <c r="A5" s="5" t="s">
        <v>76</v>
      </c>
      <c r="B5" s="5" t="s">
        <v>77</v>
      </c>
      <c r="C5" s="5" t="s">
        <v>41</v>
      </c>
      <c r="D5" s="5" t="s">
        <v>43</v>
      </c>
      <c r="E5" s="5" t="s">
        <v>45</v>
      </c>
      <c r="F5" s="5" t="s">
        <v>47</v>
      </c>
      <c r="G5" s="5" t="s">
        <v>49</v>
      </c>
      <c r="H5" s="5" t="s">
        <v>51</v>
      </c>
      <c r="I5" s="5" t="s">
        <v>73</v>
      </c>
    </row>
    <row r="6" customFormat="false" ht="15" hidden="false" customHeight="false" outlineLevel="0" collapsed="false">
      <c r="A6" s="13" t="n">
        <f aca="false">$B$3+0</f>
        <v>46266</v>
      </c>
      <c r="B6" s="9" t="n">
        <f aca="false">COUNTIFS(지출내역!$I$3:$I$502,TEXT($A6,"yyyy-mm"))</f>
        <v>7</v>
      </c>
      <c r="C6" s="11" t="n">
        <f aca="false">SUMIFS(지출내역!$G$3:$G$502,지출내역!$I$3:$I$502,TEXT($A6,"yyyy-mm"),지출내역!$E$3:$E$502,C$5)</f>
        <v>105000</v>
      </c>
      <c r="D6" s="11" t="n">
        <f aca="false">SUMIFS(지출내역!$G$3:$G$502,지출내역!$I$3:$I$502,TEXT($A6,"yyyy-mm"),지출내역!$E$3:$E$502,D$5)</f>
        <v>18000</v>
      </c>
      <c r="E6" s="11" t="n">
        <f aca="false">SUMIFS(지출내역!$G$3:$G$502,지출내역!$I$3:$I$502,TEXT($A6,"yyyy-mm"),지출내역!$E$3:$E$502,E$5)</f>
        <v>90000</v>
      </c>
      <c r="F6" s="11" t="n">
        <f aca="false">SUMIFS(지출내역!$G$3:$G$502,지출내역!$I$3:$I$502,TEXT($A6,"yyyy-mm"),지출내역!$E$3:$E$502,F$5)</f>
        <v>23000</v>
      </c>
      <c r="G6" s="11" t="n">
        <f aca="false">SUMIFS(지출내역!$G$3:$G$502,지출내역!$I$3:$I$502,TEXT($A6,"yyyy-mm"),지출내역!$E$3:$E$502,G$5)</f>
        <v>35000</v>
      </c>
      <c r="H6" s="11" t="n">
        <f aca="false">SUMIFS(지출내역!$G$3:$G$502,지출내역!$I$3:$I$502,TEXT($A6,"yyyy-mm"),지출내역!$E$3:$E$502,H$5)</f>
        <v>5000</v>
      </c>
      <c r="I6" s="11" t="n">
        <f aca="false">SUM(C6:H6)</f>
        <v>276000</v>
      </c>
    </row>
    <row r="7" customFormat="false" ht="15" hidden="false" customHeight="false" outlineLevel="0" collapsed="false">
      <c r="A7" s="13" t="n">
        <f aca="false">EDATE(A6,1)</f>
        <v>46296</v>
      </c>
      <c r="B7" s="9" t="n">
        <f aca="false">COUNTIFS(지출내역!$I$3:$I$502,TEXT($A7,"yyyy-mm"))</f>
        <v>0</v>
      </c>
      <c r="C7" s="11" t="n">
        <f aca="false">SUMIFS(지출내역!$G$3:$G$502,지출내역!$I$3:$I$502,TEXT($A7,"yyyy-mm"),지출내역!$E$3:$E$502,C$5)</f>
        <v>0</v>
      </c>
      <c r="D7" s="11" t="n">
        <f aca="false">SUMIFS(지출내역!$G$3:$G$502,지출내역!$I$3:$I$502,TEXT($A7,"yyyy-mm"),지출내역!$E$3:$E$502,D$5)</f>
        <v>0</v>
      </c>
      <c r="E7" s="11" t="n">
        <f aca="false">SUMIFS(지출내역!$G$3:$G$502,지출내역!$I$3:$I$502,TEXT($A7,"yyyy-mm"),지출내역!$E$3:$E$502,E$5)</f>
        <v>0</v>
      </c>
      <c r="F7" s="11" t="n">
        <f aca="false">SUMIFS(지출내역!$G$3:$G$502,지출내역!$I$3:$I$502,TEXT($A7,"yyyy-mm"),지출내역!$E$3:$E$502,F$5)</f>
        <v>0</v>
      </c>
      <c r="G7" s="11" t="n">
        <f aca="false">SUMIFS(지출내역!$G$3:$G$502,지출내역!$I$3:$I$502,TEXT($A7,"yyyy-mm"),지출내역!$E$3:$E$502,G$5)</f>
        <v>0</v>
      </c>
      <c r="H7" s="11" t="n">
        <f aca="false">SUMIFS(지출내역!$G$3:$G$502,지출내역!$I$3:$I$502,TEXT($A7,"yyyy-mm"),지출내역!$E$3:$E$502,H$5)</f>
        <v>0</v>
      </c>
      <c r="I7" s="11" t="n">
        <f aca="false">SUM(C7:H7)</f>
        <v>0</v>
      </c>
    </row>
    <row r="8" customFormat="false" ht="15" hidden="false" customHeight="false" outlineLevel="0" collapsed="false">
      <c r="A8" s="13" t="n">
        <f aca="false">EDATE(A7,1)</f>
        <v>46327</v>
      </c>
      <c r="B8" s="9" t="n">
        <f aca="false">COUNTIFS(지출내역!$I$3:$I$502,TEXT($A8,"yyyy-mm"))</f>
        <v>0</v>
      </c>
      <c r="C8" s="11" t="n">
        <f aca="false">SUMIFS(지출내역!$G$3:$G$502,지출내역!$I$3:$I$502,TEXT($A8,"yyyy-mm"),지출내역!$E$3:$E$502,C$5)</f>
        <v>0</v>
      </c>
      <c r="D8" s="11" t="n">
        <f aca="false">SUMIFS(지출내역!$G$3:$G$502,지출내역!$I$3:$I$502,TEXT($A8,"yyyy-mm"),지출내역!$E$3:$E$502,D$5)</f>
        <v>0</v>
      </c>
      <c r="E8" s="11" t="n">
        <f aca="false">SUMIFS(지출내역!$G$3:$G$502,지출내역!$I$3:$I$502,TEXT($A8,"yyyy-mm"),지출내역!$E$3:$E$502,E$5)</f>
        <v>0</v>
      </c>
      <c r="F8" s="11" t="n">
        <f aca="false">SUMIFS(지출내역!$G$3:$G$502,지출내역!$I$3:$I$502,TEXT($A8,"yyyy-mm"),지출내역!$E$3:$E$502,F$5)</f>
        <v>0</v>
      </c>
      <c r="G8" s="11" t="n">
        <f aca="false">SUMIFS(지출내역!$G$3:$G$502,지출내역!$I$3:$I$502,TEXT($A8,"yyyy-mm"),지출내역!$E$3:$E$502,G$5)</f>
        <v>0</v>
      </c>
      <c r="H8" s="11" t="n">
        <f aca="false">SUMIFS(지출내역!$G$3:$G$502,지출내역!$I$3:$I$502,TEXT($A8,"yyyy-mm"),지출내역!$E$3:$E$502,H$5)</f>
        <v>0</v>
      </c>
      <c r="I8" s="11" t="n">
        <f aca="false">SUM(C8:H8)</f>
        <v>0</v>
      </c>
    </row>
    <row r="9" customFormat="false" ht="15" hidden="false" customHeight="false" outlineLevel="0" collapsed="false">
      <c r="A9" s="13" t="n">
        <f aca="false">EDATE(A8,1)</f>
        <v>46357</v>
      </c>
      <c r="B9" s="9" t="n">
        <f aca="false">COUNTIFS(지출내역!$I$3:$I$502,TEXT($A9,"yyyy-mm"))</f>
        <v>0</v>
      </c>
      <c r="C9" s="11" t="n">
        <f aca="false">SUMIFS(지출내역!$G$3:$G$502,지출내역!$I$3:$I$502,TEXT($A9,"yyyy-mm"),지출내역!$E$3:$E$502,C$5)</f>
        <v>0</v>
      </c>
      <c r="D9" s="11" t="n">
        <f aca="false">SUMIFS(지출내역!$G$3:$G$502,지출내역!$I$3:$I$502,TEXT($A9,"yyyy-mm"),지출내역!$E$3:$E$502,D$5)</f>
        <v>0</v>
      </c>
      <c r="E9" s="11" t="n">
        <f aca="false">SUMIFS(지출내역!$G$3:$G$502,지출내역!$I$3:$I$502,TEXT($A9,"yyyy-mm"),지출내역!$E$3:$E$502,E$5)</f>
        <v>0</v>
      </c>
      <c r="F9" s="11" t="n">
        <f aca="false">SUMIFS(지출내역!$G$3:$G$502,지출내역!$I$3:$I$502,TEXT($A9,"yyyy-mm"),지출내역!$E$3:$E$502,F$5)</f>
        <v>0</v>
      </c>
      <c r="G9" s="11" t="n">
        <f aca="false">SUMIFS(지출내역!$G$3:$G$502,지출내역!$I$3:$I$502,TEXT($A9,"yyyy-mm"),지출내역!$E$3:$E$502,G$5)</f>
        <v>0</v>
      </c>
      <c r="H9" s="11" t="n">
        <f aca="false">SUMIFS(지출내역!$G$3:$G$502,지출내역!$I$3:$I$502,TEXT($A9,"yyyy-mm"),지출내역!$E$3:$E$502,H$5)</f>
        <v>0</v>
      </c>
      <c r="I9" s="11" t="n">
        <f aca="false">SUM(C9:H9)</f>
        <v>0</v>
      </c>
    </row>
    <row r="10" customFormat="false" ht="15" hidden="false" customHeight="false" outlineLevel="0" collapsed="false">
      <c r="A10" s="13" t="n">
        <f aca="false">EDATE(A9,1)</f>
        <v>46388</v>
      </c>
      <c r="B10" s="9" t="n">
        <f aca="false">COUNTIFS(지출내역!$I$3:$I$502,TEXT($A10,"yyyy-mm"))</f>
        <v>0</v>
      </c>
      <c r="C10" s="11" t="n">
        <f aca="false">SUMIFS(지출내역!$G$3:$G$502,지출내역!$I$3:$I$502,TEXT($A10,"yyyy-mm"),지출내역!$E$3:$E$502,C$5)</f>
        <v>0</v>
      </c>
      <c r="D10" s="11" t="n">
        <f aca="false">SUMIFS(지출내역!$G$3:$G$502,지출내역!$I$3:$I$502,TEXT($A10,"yyyy-mm"),지출내역!$E$3:$E$502,D$5)</f>
        <v>0</v>
      </c>
      <c r="E10" s="11" t="n">
        <f aca="false">SUMIFS(지출내역!$G$3:$G$502,지출내역!$I$3:$I$502,TEXT($A10,"yyyy-mm"),지출내역!$E$3:$E$502,E$5)</f>
        <v>0</v>
      </c>
      <c r="F10" s="11" t="n">
        <f aca="false">SUMIFS(지출내역!$G$3:$G$502,지출내역!$I$3:$I$502,TEXT($A10,"yyyy-mm"),지출내역!$E$3:$E$502,F$5)</f>
        <v>0</v>
      </c>
      <c r="G10" s="11" t="n">
        <f aca="false">SUMIFS(지출내역!$G$3:$G$502,지출내역!$I$3:$I$502,TEXT($A10,"yyyy-mm"),지출내역!$E$3:$E$502,G$5)</f>
        <v>0</v>
      </c>
      <c r="H10" s="11" t="n">
        <f aca="false">SUMIFS(지출내역!$G$3:$G$502,지출내역!$I$3:$I$502,TEXT($A10,"yyyy-mm"),지출내역!$E$3:$E$502,H$5)</f>
        <v>0</v>
      </c>
      <c r="I10" s="11" t="n">
        <f aca="false">SUM(C10:H10)</f>
        <v>0</v>
      </c>
    </row>
    <row r="11" customFormat="false" ht="15" hidden="false" customHeight="false" outlineLevel="0" collapsed="false">
      <c r="A11" s="13" t="n">
        <f aca="false">EDATE(A10,1)</f>
        <v>46419</v>
      </c>
      <c r="B11" s="9" t="n">
        <f aca="false">COUNTIFS(지출내역!$I$3:$I$502,TEXT($A11,"yyyy-mm"))</f>
        <v>0</v>
      </c>
      <c r="C11" s="11" t="n">
        <f aca="false">SUMIFS(지출내역!$G$3:$G$502,지출내역!$I$3:$I$502,TEXT($A11,"yyyy-mm"),지출내역!$E$3:$E$502,C$5)</f>
        <v>0</v>
      </c>
      <c r="D11" s="11" t="n">
        <f aca="false">SUMIFS(지출내역!$G$3:$G$502,지출내역!$I$3:$I$502,TEXT($A11,"yyyy-mm"),지출내역!$E$3:$E$502,D$5)</f>
        <v>0</v>
      </c>
      <c r="E11" s="11" t="n">
        <f aca="false">SUMIFS(지출내역!$G$3:$G$502,지출내역!$I$3:$I$502,TEXT($A11,"yyyy-mm"),지출내역!$E$3:$E$502,E$5)</f>
        <v>0</v>
      </c>
      <c r="F11" s="11" t="n">
        <f aca="false">SUMIFS(지출내역!$G$3:$G$502,지출내역!$I$3:$I$502,TEXT($A11,"yyyy-mm"),지출내역!$E$3:$E$502,F$5)</f>
        <v>0</v>
      </c>
      <c r="G11" s="11" t="n">
        <f aca="false">SUMIFS(지출내역!$G$3:$G$502,지출내역!$I$3:$I$502,TEXT($A11,"yyyy-mm"),지출내역!$E$3:$E$502,G$5)</f>
        <v>0</v>
      </c>
      <c r="H11" s="11" t="n">
        <f aca="false">SUMIFS(지출내역!$G$3:$G$502,지출내역!$I$3:$I$502,TEXT($A11,"yyyy-mm"),지출내역!$E$3:$E$502,H$5)</f>
        <v>0</v>
      </c>
      <c r="I11" s="11" t="n">
        <f aca="false">SUM(C11:H11)</f>
        <v>0</v>
      </c>
    </row>
    <row r="12" customFormat="false" ht="15" hidden="false" customHeight="false" outlineLevel="0" collapsed="false">
      <c r="A12" s="13" t="n">
        <f aca="false">EDATE(A11,1)</f>
        <v>46447</v>
      </c>
      <c r="B12" s="9" t="n">
        <f aca="false">COUNTIFS(지출내역!$I$3:$I$502,TEXT($A12,"yyyy-mm"))</f>
        <v>0</v>
      </c>
      <c r="C12" s="11" t="n">
        <f aca="false">SUMIFS(지출내역!$G$3:$G$502,지출내역!$I$3:$I$502,TEXT($A12,"yyyy-mm"),지출내역!$E$3:$E$502,C$5)</f>
        <v>0</v>
      </c>
      <c r="D12" s="11" t="n">
        <f aca="false">SUMIFS(지출내역!$G$3:$G$502,지출내역!$I$3:$I$502,TEXT($A12,"yyyy-mm"),지출내역!$E$3:$E$502,D$5)</f>
        <v>0</v>
      </c>
      <c r="E12" s="11" t="n">
        <f aca="false">SUMIFS(지출내역!$G$3:$G$502,지출내역!$I$3:$I$502,TEXT($A12,"yyyy-mm"),지출내역!$E$3:$E$502,E$5)</f>
        <v>0</v>
      </c>
      <c r="F12" s="11" t="n">
        <f aca="false">SUMIFS(지출내역!$G$3:$G$502,지출내역!$I$3:$I$502,TEXT($A12,"yyyy-mm"),지출내역!$E$3:$E$502,F$5)</f>
        <v>0</v>
      </c>
      <c r="G12" s="11" t="n">
        <f aca="false">SUMIFS(지출내역!$G$3:$G$502,지출내역!$I$3:$I$502,TEXT($A12,"yyyy-mm"),지출내역!$E$3:$E$502,G$5)</f>
        <v>0</v>
      </c>
      <c r="H12" s="11" t="n">
        <f aca="false">SUMIFS(지출내역!$G$3:$G$502,지출내역!$I$3:$I$502,TEXT($A12,"yyyy-mm"),지출내역!$E$3:$E$502,H$5)</f>
        <v>0</v>
      </c>
      <c r="I12" s="11" t="n">
        <f aca="false">SUM(C12:H12)</f>
        <v>0</v>
      </c>
    </row>
    <row r="13" customFormat="false" ht="15" hidden="false" customHeight="false" outlineLevel="0" collapsed="false">
      <c r="A13" s="13" t="n">
        <f aca="false">EDATE(A12,1)</f>
        <v>46478</v>
      </c>
      <c r="B13" s="9" t="n">
        <f aca="false">COUNTIFS(지출내역!$I$3:$I$502,TEXT($A13,"yyyy-mm"))</f>
        <v>0</v>
      </c>
      <c r="C13" s="11" t="n">
        <f aca="false">SUMIFS(지출내역!$G$3:$G$502,지출내역!$I$3:$I$502,TEXT($A13,"yyyy-mm"),지출내역!$E$3:$E$502,C$5)</f>
        <v>0</v>
      </c>
      <c r="D13" s="11" t="n">
        <f aca="false">SUMIFS(지출내역!$G$3:$G$502,지출내역!$I$3:$I$502,TEXT($A13,"yyyy-mm"),지출내역!$E$3:$E$502,D$5)</f>
        <v>0</v>
      </c>
      <c r="E13" s="11" t="n">
        <f aca="false">SUMIFS(지출내역!$G$3:$G$502,지출내역!$I$3:$I$502,TEXT($A13,"yyyy-mm"),지출내역!$E$3:$E$502,E$5)</f>
        <v>0</v>
      </c>
      <c r="F13" s="11" t="n">
        <f aca="false">SUMIFS(지출내역!$G$3:$G$502,지출내역!$I$3:$I$502,TEXT($A13,"yyyy-mm"),지출내역!$E$3:$E$502,F$5)</f>
        <v>0</v>
      </c>
      <c r="G13" s="11" t="n">
        <f aca="false">SUMIFS(지출내역!$G$3:$G$502,지출내역!$I$3:$I$502,TEXT($A13,"yyyy-mm"),지출내역!$E$3:$E$502,G$5)</f>
        <v>0</v>
      </c>
      <c r="H13" s="11" t="n">
        <f aca="false">SUMIFS(지출내역!$G$3:$G$502,지출내역!$I$3:$I$502,TEXT($A13,"yyyy-mm"),지출내역!$E$3:$E$502,H$5)</f>
        <v>0</v>
      </c>
      <c r="I13" s="11" t="n">
        <f aca="false">SUM(C13:H13)</f>
        <v>0</v>
      </c>
    </row>
    <row r="14" customFormat="false" ht="15" hidden="false" customHeight="false" outlineLevel="0" collapsed="false">
      <c r="A14" s="13" t="n">
        <f aca="false">EDATE(A13,1)</f>
        <v>46508</v>
      </c>
      <c r="B14" s="9" t="n">
        <f aca="false">COUNTIFS(지출내역!$I$3:$I$502,TEXT($A14,"yyyy-mm"))</f>
        <v>0</v>
      </c>
      <c r="C14" s="11" t="n">
        <f aca="false">SUMIFS(지출내역!$G$3:$G$502,지출내역!$I$3:$I$502,TEXT($A14,"yyyy-mm"),지출내역!$E$3:$E$502,C$5)</f>
        <v>0</v>
      </c>
      <c r="D14" s="11" t="n">
        <f aca="false">SUMIFS(지출내역!$G$3:$G$502,지출내역!$I$3:$I$502,TEXT($A14,"yyyy-mm"),지출내역!$E$3:$E$502,D$5)</f>
        <v>0</v>
      </c>
      <c r="E14" s="11" t="n">
        <f aca="false">SUMIFS(지출내역!$G$3:$G$502,지출내역!$I$3:$I$502,TEXT($A14,"yyyy-mm"),지출내역!$E$3:$E$502,E$5)</f>
        <v>0</v>
      </c>
      <c r="F14" s="11" t="n">
        <f aca="false">SUMIFS(지출내역!$G$3:$G$502,지출내역!$I$3:$I$502,TEXT($A14,"yyyy-mm"),지출내역!$E$3:$E$502,F$5)</f>
        <v>0</v>
      </c>
      <c r="G14" s="11" t="n">
        <f aca="false">SUMIFS(지출내역!$G$3:$G$502,지출내역!$I$3:$I$502,TEXT($A14,"yyyy-mm"),지출내역!$E$3:$E$502,G$5)</f>
        <v>0</v>
      </c>
      <c r="H14" s="11" t="n">
        <f aca="false">SUMIFS(지출내역!$G$3:$G$502,지출내역!$I$3:$I$502,TEXT($A14,"yyyy-mm"),지출내역!$E$3:$E$502,H$5)</f>
        <v>0</v>
      </c>
      <c r="I14" s="11" t="n">
        <f aca="false">SUM(C14:H14)</f>
        <v>0</v>
      </c>
    </row>
    <row r="15" customFormat="false" ht="15" hidden="false" customHeight="false" outlineLevel="0" collapsed="false">
      <c r="A15" s="13" t="n">
        <f aca="false">EDATE(A14,1)</f>
        <v>46539</v>
      </c>
      <c r="B15" s="9" t="n">
        <f aca="false">COUNTIFS(지출내역!$I$3:$I$502,TEXT($A15,"yyyy-mm"))</f>
        <v>0</v>
      </c>
      <c r="C15" s="11" t="n">
        <f aca="false">SUMIFS(지출내역!$G$3:$G$502,지출내역!$I$3:$I$502,TEXT($A15,"yyyy-mm"),지출내역!$E$3:$E$502,C$5)</f>
        <v>0</v>
      </c>
      <c r="D15" s="11" t="n">
        <f aca="false">SUMIFS(지출내역!$G$3:$G$502,지출내역!$I$3:$I$502,TEXT($A15,"yyyy-mm"),지출내역!$E$3:$E$502,D$5)</f>
        <v>0</v>
      </c>
      <c r="E15" s="11" t="n">
        <f aca="false">SUMIFS(지출내역!$G$3:$G$502,지출내역!$I$3:$I$502,TEXT($A15,"yyyy-mm"),지출내역!$E$3:$E$502,E$5)</f>
        <v>0</v>
      </c>
      <c r="F15" s="11" t="n">
        <f aca="false">SUMIFS(지출내역!$G$3:$G$502,지출내역!$I$3:$I$502,TEXT($A15,"yyyy-mm"),지출내역!$E$3:$E$502,F$5)</f>
        <v>0</v>
      </c>
      <c r="G15" s="11" t="n">
        <f aca="false">SUMIFS(지출내역!$G$3:$G$502,지출내역!$I$3:$I$502,TEXT($A15,"yyyy-mm"),지출내역!$E$3:$E$502,G$5)</f>
        <v>0</v>
      </c>
      <c r="H15" s="11" t="n">
        <f aca="false">SUMIFS(지출내역!$G$3:$G$502,지출내역!$I$3:$I$502,TEXT($A15,"yyyy-mm"),지출내역!$E$3:$E$502,H$5)</f>
        <v>0</v>
      </c>
      <c r="I15" s="11" t="n">
        <f aca="false">SUM(C15:H15)</f>
        <v>0</v>
      </c>
    </row>
    <row r="16" customFormat="false" ht="15" hidden="false" customHeight="false" outlineLevel="0" collapsed="false">
      <c r="A16" s="13" t="n">
        <f aca="false">EDATE(A15,1)</f>
        <v>46569</v>
      </c>
      <c r="B16" s="9" t="n">
        <f aca="false">COUNTIFS(지출내역!$I$3:$I$502,TEXT($A16,"yyyy-mm"))</f>
        <v>0</v>
      </c>
      <c r="C16" s="11" t="n">
        <f aca="false">SUMIFS(지출내역!$G$3:$G$502,지출내역!$I$3:$I$502,TEXT($A16,"yyyy-mm"),지출내역!$E$3:$E$502,C$5)</f>
        <v>0</v>
      </c>
      <c r="D16" s="11" t="n">
        <f aca="false">SUMIFS(지출내역!$G$3:$G$502,지출내역!$I$3:$I$502,TEXT($A16,"yyyy-mm"),지출내역!$E$3:$E$502,D$5)</f>
        <v>0</v>
      </c>
      <c r="E16" s="11" t="n">
        <f aca="false">SUMIFS(지출내역!$G$3:$G$502,지출내역!$I$3:$I$502,TEXT($A16,"yyyy-mm"),지출내역!$E$3:$E$502,E$5)</f>
        <v>0</v>
      </c>
      <c r="F16" s="11" t="n">
        <f aca="false">SUMIFS(지출내역!$G$3:$G$502,지출내역!$I$3:$I$502,TEXT($A16,"yyyy-mm"),지출내역!$E$3:$E$502,F$5)</f>
        <v>0</v>
      </c>
      <c r="G16" s="11" t="n">
        <f aca="false">SUMIFS(지출내역!$G$3:$G$502,지출내역!$I$3:$I$502,TEXT($A16,"yyyy-mm"),지출내역!$E$3:$E$502,G$5)</f>
        <v>0</v>
      </c>
      <c r="H16" s="11" t="n">
        <f aca="false">SUMIFS(지출내역!$G$3:$G$502,지출내역!$I$3:$I$502,TEXT($A16,"yyyy-mm"),지출내역!$E$3:$E$502,H$5)</f>
        <v>0</v>
      </c>
      <c r="I16" s="11" t="n">
        <f aca="false">SUM(C16:H16)</f>
        <v>0</v>
      </c>
    </row>
    <row r="17" customFormat="false" ht="15" hidden="false" customHeight="false" outlineLevel="0" collapsed="false">
      <c r="A17" s="13" t="n">
        <f aca="false">EDATE(A16,1)</f>
        <v>46600</v>
      </c>
      <c r="B17" s="9" t="n">
        <f aca="false">COUNTIFS(지출내역!$I$3:$I$502,TEXT($A17,"yyyy-mm"))</f>
        <v>0</v>
      </c>
      <c r="C17" s="11" t="n">
        <f aca="false">SUMIFS(지출내역!$G$3:$G$502,지출내역!$I$3:$I$502,TEXT($A17,"yyyy-mm"),지출내역!$E$3:$E$502,C$5)</f>
        <v>0</v>
      </c>
      <c r="D17" s="11" t="n">
        <f aca="false">SUMIFS(지출내역!$G$3:$G$502,지출내역!$I$3:$I$502,TEXT($A17,"yyyy-mm"),지출내역!$E$3:$E$502,D$5)</f>
        <v>0</v>
      </c>
      <c r="E17" s="11" t="n">
        <f aca="false">SUMIFS(지출내역!$G$3:$G$502,지출내역!$I$3:$I$502,TEXT($A17,"yyyy-mm"),지출내역!$E$3:$E$502,E$5)</f>
        <v>0</v>
      </c>
      <c r="F17" s="11" t="n">
        <f aca="false">SUMIFS(지출내역!$G$3:$G$502,지출내역!$I$3:$I$502,TEXT($A17,"yyyy-mm"),지출내역!$E$3:$E$502,F$5)</f>
        <v>0</v>
      </c>
      <c r="G17" s="11" t="n">
        <f aca="false">SUMIFS(지출내역!$G$3:$G$502,지출내역!$I$3:$I$502,TEXT($A17,"yyyy-mm"),지출내역!$E$3:$E$502,G$5)</f>
        <v>0</v>
      </c>
      <c r="H17" s="11" t="n">
        <f aca="false">SUMIFS(지출내역!$G$3:$G$502,지출내역!$I$3:$I$502,TEXT($A17,"yyyy-mm"),지출내역!$E$3:$E$502,H$5)</f>
        <v>0</v>
      </c>
      <c r="I17" s="11" t="n">
        <f aca="false">SUM(C17:H17)</f>
        <v>0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1" min="1" style="0" width="4.17"/>
    <col collapsed="false" customWidth="true" hidden="false" outlineLevel="0" max="2" min="2" style="0" width="18.36"/>
    <col collapsed="false" customWidth="true" hidden="false" outlineLevel="0" max="4" min="3" style="0" width="11.68"/>
    <col collapsed="false" customWidth="true" hidden="false" outlineLevel="0" max="5" min="5" style="0" width="13.35"/>
    <col collapsed="false" customWidth="true" hidden="false" outlineLevel="0" max="6" min="6" style="0" width="4.17"/>
  </cols>
  <sheetData>
    <row r="2" customFormat="false" ht="24.45" hidden="false" customHeight="false" outlineLevel="0" collapsed="false">
      <c r="B2" s="14" t="s">
        <v>78</v>
      </c>
      <c r="C2" s="14"/>
      <c r="D2" s="14"/>
      <c r="E2" s="14"/>
    </row>
    <row r="4" customFormat="false" ht="15" hidden="false" customHeight="false" outlineLevel="0" collapsed="false">
      <c r="B4" s="2" t="s">
        <v>17</v>
      </c>
      <c r="C4" s="15" t="s">
        <v>21</v>
      </c>
      <c r="D4" s="4" t="s">
        <v>79</v>
      </c>
    </row>
    <row r="5" customFormat="false" ht="15" hidden="false" customHeight="false" outlineLevel="0" collapsed="false">
      <c r="B5" s="2" t="s">
        <v>80</v>
      </c>
      <c r="C5" s="16" t="n">
        <v>46266</v>
      </c>
      <c r="D5" s="4" t="s">
        <v>79</v>
      </c>
    </row>
    <row r="7" customFormat="false" ht="15" hidden="false" customHeight="false" outlineLevel="0" collapsed="false">
      <c r="B7" s="2" t="s">
        <v>18</v>
      </c>
      <c r="C7" s="9" t="str">
        <f aca="false">IFERROR(INDEX(직원목록!$B$3:$B$202,MATCH($C$4,직원목록!$A$3:$A$202,0)),"")</f>
        <v>김민준</v>
      </c>
    </row>
    <row r="8" customFormat="false" ht="15" hidden="false" customHeight="false" outlineLevel="0" collapsed="false">
      <c r="B8" s="2" t="s">
        <v>19</v>
      </c>
      <c r="C8" s="9" t="str">
        <f aca="false">IFERROR(INDEX(직원목록!$C$3:$C$202,MATCH($C$4,직원목록!$A$3:$A$202,0)),"")</f>
        <v>영업1팀</v>
      </c>
    </row>
    <row r="10" customFormat="false" ht="15" hidden="false" customHeight="false" outlineLevel="0" collapsed="false">
      <c r="A10" s="5" t="s">
        <v>57</v>
      </c>
      <c r="B10" s="5" t="s">
        <v>59</v>
      </c>
    </row>
    <row r="11" customFormat="false" ht="15" hidden="false" customHeight="false" outlineLevel="0" collapsed="false">
      <c r="B11" s="9" t="s">
        <v>41</v>
      </c>
      <c r="C11" s="11" t="n">
        <f aca="false">SUMIFS(지출내역!$G$3:$G$502,지출내역!$B$3:$B$502,$C$4,지출내역!$I$3:$I$502,TEXT($C$5,"yyyy-mm"),지출내역!$E$3:$E$502,B11)</f>
        <v>45000</v>
      </c>
    </row>
    <row r="12" customFormat="false" ht="15" hidden="false" customHeight="false" outlineLevel="0" collapsed="false">
      <c r="B12" s="9" t="s">
        <v>43</v>
      </c>
      <c r="C12" s="11" t="n">
        <f aca="false">SUMIFS(지출내역!$G$3:$G$502,지출내역!$B$3:$B$502,$C$4,지출내역!$I$3:$I$502,TEXT($C$5,"yyyy-mm"),지출내역!$E$3:$E$502,B12)</f>
        <v>18000</v>
      </c>
    </row>
    <row r="13" customFormat="false" ht="15" hidden="false" customHeight="false" outlineLevel="0" collapsed="false">
      <c r="B13" s="9" t="s">
        <v>45</v>
      </c>
      <c r="C13" s="11" t="n">
        <f aca="false">SUMIFS(지출내역!$G$3:$G$502,지출내역!$B$3:$B$502,$C$4,지출내역!$I$3:$I$502,TEXT($C$5,"yyyy-mm"),지출내역!$E$3:$E$502,B13)</f>
        <v>0</v>
      </c>
    </row>
    <row r="14" customFormat="false" ht="15" hidden="false" customHeight="false" outlineLevel="0" collapsed="false">
      <c r="B14" s="9" t="s">
        <v>47</v>
      </c>
      <c r="C14" s="11" t="n">
        <f aca="false">SUMIFS(지출내역!$G$3:$G$502,지출내역!$B$3:$B$502,$C$4,지출내역!$I$3:$I$502,TEXT($C$5,"yyyy-mm"),지출내역!$E$3:$E$502,B14)</f>
        <v>0</v>
      </c>
    </row>
    <row r="15" customFormat="false" ht="15" hidden="false" customHeight="false" outlineLevel="0" collapsed="false">
      <c r="B15" s="9" t="s">
        <v>49</v>
      </c>
      <c r="C15" s="11" t="n">
        <f aca="false">SUMIFS(지출내역!$G$3:$G$502,지출내역!$B$3:$B$502,$C$4,지출내역!$I$3:$I$502,TEXT($C$5,"yyyy-mm"),지출내역!$E$3:$E$502,B15)</f>
        <v>0</v>
      </c>
    </row>
    <row r="16" customFormat="false" ht="15" hidden="false" customHeight="false" outlineLevel="0" collapsed="false">
      <c r="B16" s="9" t="s">
        <v>51</v>
      </c>
      <c r="C16" s="11" t="n">
        <f aca="false">SUMIFS(지출내역!$G$3:$G$502,지출내역!$B$3:$B$502,$C$4,지출내역!$I$3:$I$502,TEXT($C$5,"yyyy-mm"),지출내역!$E$3:$E$502,B16)</f>
        <v>5000</v>
      </c>
    </row>
    <row r="17" customFormat="false" ht="15" hidden="false" customHeight="false" outlineLevel="0" collapsed="false">
      <c r="B17" s="2" t="s">
        <v>81</v>
      </c>
      <c r="C17" s="17" t="n">
        <f aca="false">SUM(C11:C16)</f>
        <v>68000</v>
      </c>
    </row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2026-09-16T10:33:16Z</dcterms:created>
  <dc:creator>Unknown</dc:creator>
  <dc:description/>
  <dc:language>ko-KR</dc:language>
  <cp:lastModifiedBy>Unknown</cp:lastModifiedBy>
  <dcterms:modified xsi:type="dcterms:W3CDTF">2026-09-16T10:33:16Z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