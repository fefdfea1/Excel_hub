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설비목록" sheetId="2" state="visible" r:id="rId4"/>
    <sheet name="점검이력" sheetId="3" state="visible" r:id="rId5"/>
    <sheet name="점검현황" sheetId="4" state="visible" r:id="rId6"/>
    <sheet name="예비품목록" sheetId="5" state="visible" r:id="rId7"/>
    <sheet name="예비품입출고" sheetId="6" state="visible" r:id="rId8"/>
    <sheet name="예비품현황" sheetId="7" state="visible" r:id="rId9"/>
    <sheet name="만료관리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<sst xmlns="http://schemas.openxmlformats.org/spreadsheetml/2006/main" count="151" uniqueCount="125">
  <si>
    <t xml:space="preserve">설비점검 · 예비품 · 만료 관리</t>
  </si>
  <si>
    <t xml:space="preserve">핵심</t>
  </si>
  <si>
    <t xml:space="preserve">점검 주기를 등록해두면 다음 점검일과 남은 날짜가 자동으로 계산됩니다. 때를 놓치지 않게 하는 것이 목적입니다.</t>
  </si>
  <si>
    <t xml:space="preserve">입력 규칙</t>
  </si>
  <si>
    <t xml:space="preserve">파란색 글씨 칸만 입력하세요. 검은색은 자동 계산입니다.</t>
  </si>
  <si>
    <t xml:space="preserve">① 설비목록</t>
  </si>
  <si>
    <t xml:space="preserve">관리할 설비·기기를 등록합니다. 점검주기(일)를 반드시 넣으세요.</t>
  </si>
  <si>
    <t xml:space="preserve">예: 에어컨 필터 90일, 소화기 180일, 승강기 30일, 정수기 6개월=180일</t>
  </si>
  <si>
    <t xml:space="preserve">② 점검이력</t>
  </si>
  <si>
    <t xml:space="preserve">점검할 때마다 한 줄씩. 가장 최근 점검일 기준으로 다음 점검일이 다시 계산됩니다.</t>
  </si>
  <si>
    <t xml:space="preserve">③ 점검현황</t>
  </si>
  <si>
    <t xml:space="preserve">설비별 다음 점검일과 남은 날짜(D-Day)가 나옵니다. 기한이 임박하면 빨간색입니다.</t>
  </si>
  <si>
    <t xml:space="preserve">④ 예비품목록</t>
  </si>
  <si>
    <t xml:space="preserve">교체용 부품·소모품을 등록합니다. 적정재고를 넣으면 부족 여부를 알려줍니다.</t>
  </si>
  <si>
    <t xml:space="preserve">⑤ 예비품입출고</t>
  </si>
  <si>
    <t xml:space="preserve">구매(입고)와 사용(출고)을 기록합니다. 어느 설비에 썼는지 남겨두면 이력이 됩니다.</t>
  </si>
  <si>
    <t xml:space="preserve">⑥ 예비품현황</t>
  </si>
  <si>
    <t xml:space="preserve">현재고와 적정재고 대비 부족 수량이 나옵니다.</t>
  </si>
  <si>
    <t xml:space="preserve">⑦ 만료관리</t>
  </si>
  <si>
    <t xml:space="preserve">보험·정기검사·계약처럼 만료일이 있는 것을 등록합니다. 만료 임박 시 경고합니다.</t>
  </si>
  <si>
    <t xml:space="preserve">어디에 쓰나</t>
  </si>
  <si>
    <t xml:space="preserve">공장 설비, 건물 소방·승강기, 카페 기계 청소, 학원 기자재, 사무실 비품 등</t>
  </si>
  <si>
    <t xml:space="preserve">설정</t>
  </si>
  <si>
    <t xml:space="preserve">값을 바꾸면 모든 계산에 반영됩니다</t>
  </si>
  <si>
    <t xml:space="preserve">점검 경고 기준(일)</t>
  </si>
  <si>
    <t xml:space="preserve">만료 경고 기준(일)</t>
  </si>
  <si>
    <t xml:space="preserve">※ 법정 점검 주기(소방·승강기·전기 등)는 법으로 정해져 있습니다. 이 파일은 주기를 검증하지 않으니</t>
  </si>
  <si>
    <t xml:space="preserve">   해당 법령이나 관리업체의 안내에 따라 주기를 직접 입력하세요.</t>
  </si>
  <si>
    <t xml:space="preserve">설비목록  (점검주기를 반드시 넣으세요)</t>
  </si>
  <si>
    <t xml:space="preserve">설비코드</t>
  </si>
  <si>
    <t xml:space="preserve">설비명</t>
  </si>
  <si>
    <t xml:space="preserve">설치위치</t>
  </si>
  <si>
    <t xml:space="preserve">담당자</t>
  </si>
  <si>
    <t xml:space="preserve">점검주기(일)</t>
  </si>
  <si>
    <t xml:space="preserve">최초 점검일</t>
  </si>
  <si>
    <t xml:space="preserve">설치일</t>
  </si>
  <si>
    <t xml:space="preserve">비고</t>
  </si>
  <si>
    <t xml:space="preserve">EQ001</t>
  </si>
  <si>
    <t xml:space="preserve">천장형 에어컨 1호기</t>
  </si>
  <si>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층 사무실</t>
    </r>
  </si>
  <si>
    <t xml:space="preserve">김담당</t>
  </si>
  <si>
    <t xml:space="preserve">EQ002</t>
  </si>
  <si>
    <t xml:space="preserve">소화기 (분말 3.3kg)</t>
  </si>
  <si>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층 복도</t>
    </r>
  </si>
  <si>
    <t xml:space="preserve">이담당</t>
  </si>
  <si>
    <t xml:space="preserve">EQ003</t>
  </si>
  <si>
    <t xml:space="preserve">공기압축기</t>
  </si>
  <si>
    <t xml:space="preserve">공장동</t>
  </si>
  <si>
    <t xml:space="preserve">박담당</t>
  </si>
  <si>
    <t xml:space="preserve">EQ004</t>
  </si>
  <si>
    <t xml:space="preserve">정수기</t>
  </si>
  <si>
    <t xml:space="preserve">휴게실</t>
  </si>
  <si>
    <r>
      <rPr>
        <sz val="9"/>
        <color rgb="FF808080"/>
        <rFont val="맑은 고딕"/>
        <family val="0"/>
        <charset val="1"/>
      </rPr>
      <t xml:space="preserve">※ '</t>
    </r>
    <r>
      <rPr>
        <sz val="9"/>
        <color rgb="FF808080"/>
        <rFont val="Noto Sans CJK SC"/>
        <family val="2"/>
      </rPr>
      <t xml:space="preserve">최초 점검일</t>
    </r>
    <r>
      <rPr>
        <sz val="9"/>
        <color rgb="FF808080"/>
        <rFont val="맑은 고딕"/>
        <family val="0"/>
        <charset val="1"/>
      </rPr>
      <t xml:space="preserve">'</t>
    </r>
    <r>
      <rPr>
        <sz val="9"/>
        <color rgb="FF808080"/>
        <rFont val="Noto Sans CJK SC"/>
        <family val="2"/>
      </rPr>
      <t xml:space="preserve">은 점검이력이 아직 없을 때의 기준일입니다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점검이력이 쌓이면 최근 점검일이 우선합니다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</si>
  <si>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점검이력  (점검할 때마다 한 줄씩)</t>
  </si>
  <si>
    <t xml:space="preserve">점검일</t>
  </si>
  <si>
    <t xml:space="preserve">설비명(자동)</t>
  </si>
  <si>
    <t xml:space="preserve">점검구분</t>
  </si>
  <si>
    <t xml:space="preserve">점검자</t>
  </si>
  <si>
    <t xml:space="preserve">결과</t>
  </si>
  <si>
    <t xml:space="preserve">조치내용</t>
  </si>
  <si>
    <t xml:space="preserve">점검현황  (전부 자동 · 기한 임박 시 빨간색)</t>
  </si>
  <si>
    <t xml:space="preserve">오늘</t>
  </si>
  <si>
    <t xml:space="preserve">조치 필요 설비</t>
  </si>
  <si>
    <r>
      <rPr>
        <sz val="9"/>
        <color rgb="FF808080"/>
        <rFont val="맑은 고딕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기한초과 </t>
    </r>
    <r>
      <rPr>
        <sz val="9"/>
        <color rgb="FF808080"/>
        <rFont val="맑은 고딕"/>
        <family val="0"/>
        <charset val="1"/>
      </rPr>
      <t xml:space="preserve">+ </t>
    </r>
    <r>
      <rPr>
        <sz val="9"/>
        <color rgb="FF808080"/>
        <rFont val="Noto Sans CJK SC"/>
        <family val="2"/>
      </rPr>
      <t xml:space="preserve">임박 합계</t>
    </r>
    <r>
      <rPr>
        <sz val="9"/>
        <color rgb="FF808080"/>
        <rFont val="맑은 고딕"/>
        <family val="0"/>
        <charset val="1"/>
      </rPr>
      <t xml:space="preserve">)</t>
    </r>
  </si>
  <si>
    <t xml:space="preserve">최근 점검일</t>
  </si>
  <si>
    <t xml:space="preserve">다음 점검일</t>
  </si>
  <si>
    <t xml:space="preserve">D-Day</t>
  </si>
  <si>
    <t xml:space="preserve">점검횟수</t>
  </si>
  <si>
    <t xml:space="preserve">상태</t>
  </si>
  <si>
    <t xml:space="preserve">※ 다음 점검일 = 최근 점검일 + 점검주기(일). 점검이력이 없으면 설비목록의 '최초 점검일'을 씁니다.</t>
  </si>
  <si>
    <r>
      <rPr>
        <sz val="9"/>
        <color rgb="FF808080"/>
        <rFont val="맑은 고딕"/>
        <family val="0"/>
        <charset val="1"/>
      </rPr>
      <t xml:space="preserve">※ D-Day</t>
    </r>
    <r>
      <rPr>
        <sz val="9"/>
        <color rgb="FF808080"/>
        <rFont val="Noto Sans CJK SC"/>
        <family val="2"/>
      </rPr>
      <t xml:space="preserve">가 음수면 기한초과</t>
    </r>
    <r>
      <rPr>
        <sz val="9"/>
        <color rgb="FF808080"/>
        <rFont val="맑은 고딕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분홍</t>
    </r>
    <r>
      <rPr>
        <sz val="9"/>
        <color rgb="FF808080"/>
        <rFont val="맑은 고딕"/>
        <family val="0"/>
        <charset val="1"/>
      </rPr>
      <t xml:space="preserve">), </t>
    </r>
    <r>
      <rPr>
        <sz val="9"/>
        <color rgb="FF808080"/>
        <rFont val="Noto Sans CJK SC"/>
        <family val="2"/>
      </rPr>
      <t xml:space="preserve">기준일 이내면 임박</t>
    </r>
    <r>
      <rPr>
        <sz val="9"/>
        <color rgb="FF808080"/>
        <rFont val="맑은 고딕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노랑</t>
    </r>
    <r>
      <rPr>
        <sz val="9"/>
        <color rgb="FF808080"/>
        <rFont val="맑은 고딕"/>
        <family val="0"/>
        <charset val="1"/>
      </rPr>
      <t xml:space="preserve">)</t>
    </r>
    <r>
      <rPr>
        <sz val="9"/>
        <color rgb="FF808080"/>
        <rFont val="Noto Sans CJK SC"/>
        <family val="2"/>
      </rPr>
      <t xml:space="preserve">으로 표시됩니다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</si>
  <si>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예비품목록  (교체용 부품 · 소모품)</t>
  </si>
  <si>
    <t xml:space="preserve">품번</t>
  </si>
  <si>
    <t xml:space="preserve">품명</t>
  </si>
  <si>
    <t xml:space="preserve">규격</t>
  </si>
  <si>
    <t xml:space="preserve">단위</t>
  </si>
  <si>
    <t xml:space="preserve">초기재고</t>
  </si>
  <si>
    <t xml:space="preserve">적정재고</t>
  </si>
  <si>
    <t xml:space="preserve">SP001</t>
  </si>
  <si>
    <t xml:space="preserve">에어컨 필터</t>
  </si>
  <si>
    <t xml:space="preserve">600×600</t>
  </si>
  <si>
    <t xml:space="preserve">EA</t>
  </si>
  <si>
    <t xml:space="preserve">SP002</t>
  </si>
  <si>
    <t xml:space="preserve">압축기 오일</t>
  </si>
  <si>
    <t xml:space="preserve">4L</t>
  </si>
  <si>
    <t xml:space="preserve">통</t>
  </si>
  <si>
    <t xml:space="preserve">SP003</t>
  </si>
  <si>
    <t xml:space="preserve">정수기 필터 세트</t>
  </si>
  <si>
    <r>
      <rPr>
        <sz val="10"/>
        <color rgb="FF0000FF"/>
        <rFont val="맑은 고딕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단</t>
    </r>
  </si>
  <si>
    <t xml:space="preserve">SET</t>
  </si>
  <si>
    <t xml:space="preserve">예비품입출고  (구매는 입고 / 사용은 출고)</t>
  </si>
  <si>
    <t xml:space="preserve">일자</t>
  </si>
  <si>
    <t xml:space="preserve">구분</t>
  </si>
  <si>
    <t xml:space="preserve">품명(자동)</t>
  </si>
  <si>
    <t xml:space="preserve">단위(자동)</t>
  </si>
  <si>
    <t xml:space="preserve">수량</t>
  </si>
  <si>
    <t xml:space="preserve">사용 설비</t>
  </si>
  <si>
    <t xml:space="preserve">사용자</t>
  </si>
  <si>
    <t xml:space="preserve">증감(자동)</t>
  </si>
  <si>
    <t xml:space="preserve">이동후재고(자동)</t>
  </si>
  <si>
    <t xml:space="preserve">예비품현황</t>
  </si>
  <si>
    <t xml:space="preserve">부족 품목 수</t>
  </si>
  <si>
    <t xml:space="preserve">총입고</t>
  </si>
  <si>
    <t xml:space="preserve">총출고</t>
  </si>
  <si>
    <t xml:space="preserve">현재고</t>
  </si>
  <si>
    <t xml:space="preserve">부족수량</t>
  </si>
  <si>
    <t xml:space="preserve">※ 부족수량 = 적정재고 − 현재고 (음수면 0). 0보다 크면 빨간 배경입니다.</t>
  </si>
  <si>
    <t xml:space="preserve">만료관리  (보험 · 정기검사 · 계약 등 기한이 있는 것)</t>
  </si>
  <si>
    <t xml:space="preserve">임박 건수</t>
  </si>
  <si>
    <t xml:space="preserve">← 만료 경고 기준은 [사용안내]에서 바꿉니다</t>
  </si>
  <si>
    <t xml:space="preserve">항목명</t>
  </si>
  <si>
    <t xml:space="preserve">대상 설비/시설</t>
  </si>
  <si>
    <t xml:space="preserve">시작일</t>
  </si>
  <si>
    <t xml:space="preserve">만료일</t>
  </si>
  <si>
    <t xml:space="preserve">갱신완료</t>
  </si>
  <si>
    <t xml:space="preserve">화재보험</t>
  </si>
  <si>
    <t xml:space="preserve">보험</t>
  </si>
  <si>
    <t xml:space="preserve">건물 전체</t>
  </si>
  <si>
    <t xml:space="preserve">미갱신</t>
  </si>
  <si>
    <t xml:space="preserve">승강기 정기검사</t>
  </si>
  <si>
    <t xml:space="preserve">정기검사</t>
  </si>
  <si>
    <t xml:space="preserve">승객용 1호기</t>
  </si>
  <si>
    <t xml:space="preserve">소방시설 종합점검</t>
  </si>
  <si>
    <t xml:space="preserve">※ 갱신을 마치면 [갱신완료]로 바꾸고, 새 시작일·만료일로 새 줄을 추가하세요.</t>
  </si>
  <si>
    <r>
      <rPr>
        <sz val="9"/>
        <color rgb="FF808080"/>
        <rFont val="맑은 고딕"/>
        <family val="0"/>
        <charset val="1"/>
      </rPr>
      <t xml:space="preserve">※ D-Day</t>
    </r>
    <r>
      <rPr>
        <sz val="9"/>
        <color rgb="FF808080"/>
        <rFont val="Noto Sans CJK SC"/>
        <family val="2"/>
      </rPr>
      <t xml:space="preserve">가 음수면 기한초과</t>
    </r>
    <r>
      <rPr>
        <sz val="9"/>
        <color rgb="FF808080"/>
        <rFont val="맑은 고딕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분홍</t>
    </r>
    <r>
      <rPr>
        <sz val="9"/>
        <color rgb="FF808080"/>
        <rFont val="맑은 고딕"/>
        <family val="0"/>
        <charset val="1"/>
      </rPr>
      <t xml:space="preserve">), </t>
    </r>
    <r>
      <rPr>
        <sz val="9"/>
        <color rgb="FF808080"/>
        <rFont val="Noto Sans CJK SC"/>
        <family val="2"/>
      </rPr>
      <t xml:space="preserve">경고 기준 이내면 임박</t>
    </r>
    <r>
      <rPr>
        <sz val="9"/>
        <color rgb="FF808080"/>
        <rFont val="맑은 고딕"/>
        <family val="0"/>
        <charset val="1"/>
      </rPr>
      <t xml:space="preserve">(</t>
    </r>
    <r>
      <rPr>
        <sz val="9"/>
        <color rgb="FF808080"/>
        <rFont val="Noto Sans CJK SC"/>
        <family val="2"/>
      </rPr>
      <t xml:space="preserve">노랑</t>
    </r>
    <r>
      <rPr>
        <sz val="9"/>
        <color rgb="FF808080"/>
        <rFont val="맑은 고딕"/>
        <family val="0"/>
        <charset val="1"/>
      </rPr>
      <t xml:space="preserve">)</t>
    </r>
    <r>
      <rPr>
        <sz val="9"/>
        <color rgb="FF808080"/>
        <rFont val="Noto Sans CJK SC"/>
        <family val="2"/>
      </rPr>
      <t xml:space="preserve">입니다</t>
    </r>
    <r>
      <rPr>
        <sz val="9"/>
        <color rgb="FF80808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</si>
</sst>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yyyy\-mm\-dd"/>
    <numFmt numFmtId="168" formatCode="General"/>
    <numFmt numFmtId="169" formatCode="#,##0;[RED]\-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color rgb="FF0000FF"/>
      <name val="Noto Sans CJK SC"/>
      <family val="2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  <font>
      <sz val="10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6B7A8F"/>
        <bgColor rgb="FF808080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E4E4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E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/>
      <c r="C7" s="4" t="s">
        <v>7</v>
      </c>
    </row>
    <row r="8" customFormat="false" ht="15" hidden="false" customHeight="true" outlineLevel="0" collapsed="false">
      <c r="B8" s="3" t="s">
        <v>8</v>
      </c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4" customFormat="false" ht="15" hidden="false" customHeight="true" outlineLevel="0" collapsed="false">
      <c r="B14" s="3" t="s">
        <v>20</v>
      </c>
      <c r="C14" s="4" t="s">
        <v>21</v>
      </c>
    </row>
    <row r="16" customFormat="false" ht="15" hidden="false" customHeight="true" outlineLevel="0" collapsed="false">
      <c r="B16" s="5" t="s">
        <v>22</v>
      </c>
      <c r="C16" s="6" t="s">
        <v>23</v>
      </c>
    </row>
    <row r="17" customFormat="false" ht="15" hidden="false" customHeight="true" outlineLevel="0" collapsed="false">
      <c r="B17" s="4" t="s">
        <v>24</v>
      </c>
      <c r="C17" s="7" t="n">
        <v>7</v>
      </c>
    </row>
    <row r="18" customFormat="false" ht="15" hidden="false" customHeight="true" outlineLevel="0" collapsed="false">
      <c r="B18" s="4" t="s">
        <v>25</v>
      </c>
      <c r="C18" s="7" t="n">
        <v>30</v>
      </c>
    </row>
    <row r="20" customFormat="false" ht="15" hidden="false" customHeight="true" outlineLevel="0" collapsed="false">
      <c r="B20" s="6" t="s">
        <v>26</v>
      </c>
    </row>
    <row r="21" customFormat="false" ht="15" hidden="false" customHeight="true" outlineLevel="0" collapsed="false">
      <c r="B21" s="6" t="s">
        <v>27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6" min="5" style="1" width="14"/>
    <col collapsed="false" customWidth="true" hidden="false" outlineLevel="0" max="7" min="7" style="1" width="13"/>
    <col collapsed="false" customWidth="true" hidden="false" outlineLevel="0" max="8" min="8" style="1" width="22"/>
  </cols>
  <sheetData>
    <row r="1" customFormat="false" ht="25.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8" t="s">
        <v>29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  <c r="G2" s="8" t="s">
        <v>35</v>
      </c>
      <c r="H2" s="8" t="s">
        <v>36</v>
      </c>
    </row>
    <row r="3" customFormat="false" ht="15" hidden="false" customHeight="true" outlineLevel="0" collapsed="false">
      <c r="A3" s="9" t="s">
        <v>37</v>
      </c>
      <c r="B3" s="10" t="s">
        <v>38</v>
      </c>
      <c r="C3" s="9" t="s">
        <v>39</v>
      </c>
      <c r="D3" s="10" t="s">
        <v>40</v>
      </c>
      <c r="E3" s="11" t="n">
        <v>90</v>
      </c>
      <c r="F3" s="12" t="n">
        <v>46082</v>
      </c>
      <c r="G3" s="12" t="n">
        <v>45056</v>
      </c>
      <c r="H3" s="9"/>
    </row>
    <row r="4" customFormat="false" ht="15" hidden="false" customHeight="true" outlineLevel="0" collapsed="false">
      <c r="A4" s="9" t="s">
        <v>41</v>
      </c>
      <c r="B4" s="10" t="s">
        <v>42</v>
      </c>
      <c r="C4" s="9" t="s">
        <v>43</v>
      </c>
      <c r="D4" s="10" t="s">
        <v>44</v>
      </c>
      <c r="E4" s="11" t="n">
        <v>180</v>
      </c>
      <c r="F4" s="12" t="n">
        <v>46063</v>
      </c>
      <c r="G4" s="12" t="n">
        <v>44566</v>
      </c>
      <c r="H4" s="9"/>
    </row>
    <row r="5" customFormat="false" ht="15" hidden="false" customHeight="true" outlineLevel="0" collapsed="false">
      <c r="A5" s="9" t="s">
        <v>45</v>
      </c>
      <c r="B5" s="10" t="s">
        <v>46</v>
      </c>
      <c r="C5" s="10" t="s">
        <v>47</v>
      </c>
      <c r="D5" s="10" t="s">
        <v>48</v>
      </c>
      <c r="E5" s="11" t="n">
        <v>30</v>
      </c>
      <c r="F5" s="12" t="n">
        <v>46254</v>
      </c>
      <c r="G5" s="12" t="n">
        <v>44378</v>
      </c>
      <c r="H5" s="9"/>
    </row>
    <row r="6" customFormat="false" ht="15" hidden="false" customHeight="true" outlineLevel="0" collapsed="false">
      <c r="A6" s="9" t="s">
        <v>49</v>
      </c>
      <c r="B6" s="10" t="s">
        <v>50</v>
      </c>
      <c r="C6" s="10" t="s">
        <v>51</v>
      </c>
      <c r="D6" s="10" t="s">
        <v>40</v>
      </c>
      <c r="E6" s="11" t="n">
        <v>180</v>
      </c>
      <c r="F6" s="12" t="n">
        <v>46174</v>
      </c>
      <c r="G6" s="12" t="n">
        <v>45354</v>
      </c>
      <c r="H6" s="9"/>
    </row>
    <row r="7" customFormat="false" ht="15" hidden="false" customHeight="true" outlineLevel="0" collapsed="false">
      <c r="A7" s="9"/>
      <c r="B7" s="9"/>
      <c r="C7" s="9"/>
      <c r="D7" s="9"/>
      <c r="E7" s="11"/>
      <c r="F7" s="12"/>
      <c r="G7" s="12"/>
      <c r="H7" s="9"/>
    </row>
    <row r="8" customFormat="false" ht="15" hidden="false" customHeight="true" outlineLevel="0" collapsed="false">
      <c r="A8" s="9"/>
      <c r="B8" s="9"/>
      <c r="C8" s="9"/>
      <c r="D8" s="9"/>
      <c r="E8" s="11"/>
      <c r="F8" s="12"/>
      <c r="G8" s="12"/>
      <c r="H8" s="9"/>
    </row>
    <row r="9" customFormat="false" ht="15" hidden="false" customHeight="true" outlineLevel="0" collapsed="false">
      <c r="A9" s="9"/>
      <c r="B9" s="9"/>
      <c r="C9" s="9"/>
      <c r="D9" s="9"/>
      <c r="E9" s="11"/>
      <c r="F9" s="12"/>
      <c r="G9" s="12"/>
      <c r="H9" s="9"/>
    </row>
    <row r="10" customFormat="false" ht="15" hidden="false" customHeight="true" outlineLevel="0" collapsed="false">
      <c r="A10" s="9"/>
      <c r="B10" s="9"/>
      <c r="C10" s="9"/>
      <c r="D10" s="9"/>
      <c r="E10" s="11"/>
      <c r="F10" s="12"/>
      <c r="G10" s="12"/>
      <c r="H10" s="9"/>
    </row>
    <row r="11" customFormat="false" ht="15" hidden="false" customHeight="true" outlineLevel="0" collapsed="false">
      <c r="A11" s="9"/>
      <c r="B11" s="9"/>
      <c r="C11" s="9"/>
      <c r="D11" s="9"/>
      <c r="E11" s="11"/>
      <c r="F11" s="12"/>
      <c r="G11" s="12"/>
      <c r="H11" s="9"/>
    </row>
    <row r="12" customFormat="false" ht="15" hidden="false" customHeight="true" outlineLevel="0" collapsed="false">
      <c r="A12" s="9"/>
      <c r="B12" s="9"/>
      <c r="C12" s="9"/>
      <c r="D12" s="9"/>
      <c r="E12" s="11"/>
      <c r="F12" s="12"/>
      <c r="G12" s="12"/>
      <c r="H12" s="9"/>
    </row>
    <row r="13" customFormat="false" ht="15" hidden="false" customHeight="true" outlineLevel="0" collapsed="false">
      <c r="A13" s="9"/>
      <c r="B13" s="9"/>
      <c r="C13" s="9"/>
      <c r="D13" s="9"/>
      <c r="E13" s="11"/>
      <c r="F13" s="12"/>
      <c r="G13" s="12"/>
      <c r="H13" s="9"/>
    </row>
    <row r="14" customFormat="false" ht="15" hidden="false" customHeight="true" outlineLevel="0" collapsed="false">
      <c r="A14" s="9"/>
      <c r="B14" s="9"/>
      <c r="C14" s="9"/>
      <c r="D14" s="9"/>
      <c r="E14" s="11"/>
      <c r="F14" s="12"/>
      <c r="G14" s="12"/>
      <c r="H14" s="9"/>
    </row>
    <row r="15" customFormat="false" ht="15" hidden="false" customHeight="true" outlineLevel="0" collapsed="false">
      <c r="A15" s="9"/>
      <c r="B15" s="9"/>
      <c r="C15" s="9"/>
      <c r="D15" s="9"/>
      <c r="E15" s="11"/>
      <c r="F15" s="12"/>
      <c r="G15" s="12"/>
      <c r="H15" s="9"/>
    </row>
    <row r="16" customFormat="false" ht="15" hidden="false" customHeight="true" outlineLevel="0" collapsed="false">
      <c r="A16" s="9"/>
      <c r="B16" s="9"/>
      <c r="C16" s="9"/>
      <c r="D16" s="9"/>
      <c r="E16" s="11"/>
      <c r="F16" s="12"/>
      <c r="G16" s="12"/>
      <c r="H16" s="9"/>
    </row>
    <row r="17" customFormat="false" ht="15" hidden="false" customHeight="true" outlineLevel="0" collapsed="false">
      <c r="A17" s="9"/>
      <c r="B17" s="9"/>
      <c r="C17" s="9"/>
      <c r="D17" s="9"/>
      <c r="E17" s="11"/>
      <c r="F17" s="12"/>
      <c r="G17" s="12"/>
      <c r="H17" s="9"/>
    </row>
    <row r="18" customFormat="false" ht="15" hidden="false" customHeight="true" outlineLevel="0" collapsed="false">
      <c r="A18" s="9"/>
      <c r="B18" s="9"/>
      <c r="C18" s="9"/>
      <c r="D18" s="9"/>
      <c r="E18" s="11"/>
      <c r="F18" s="12"/>
      <c r="G18" s="12"/>
      <c r="H18" s="9"/>
    </row>
    <row r="19" customFormat="false" ht="15" hidden="false" customHeight="true" outlineLevel="0" collapsed="false">
      <c r="A19" s="9"/>
      <c r="B19" s="9"/>
      <c r="C19" s="9"/>
      <c r="D19" s="9"/>
      <c r="E19" s="11"/>
      <c r="F19" s="12"/>
      <c r="G19" s="12"/>
      <c r="H19" s="9"/>
    </row>
    <row r="20" customFormat="false" ht="15" hidden="false" customHeight="true" outlineLevel="0" collapsed="false">
      <c r="A20" s="9"/>
      <c r="B20" s="9"/>
      <c r="C20" s="9"/>
      <c r="D20" s="9"/>
      <c r="E20" s="11"/>
      <c r="F20" s="12"/>
      <c r="G20" s="12"/>
      <c r="H20" s="9"/>
    </row>
    <row r="21" customFormat="false" ht="15" hidden="false" customHeight="true" outlineLevel="0" collapsed="false">
      <c r="A21" s="9"/>
      <c r="B21" s="9"/>
      <c r="C21" s="9"/>
      <c r="D21" s="9"/>
      <c r="E21" s="11"/>
      <c r="F21" s="12"/>
      <c r="G21" s="12"/>
      <c r="H21" s="9"/>
    </row>
    <row r="22" customFormat="false" ht="15" hidden="false" customHeight="true" outlineLevel="0" collapsed="false">
      <c r="A22" s="9"/>
      <c r="B22" s="9"/>
      <c r="C22" s="9"/>
      <c r="D22" s="9"/>
      <c r="E22" s="11"/>
      <c r="F22" s="12"/>
      <c r="G22" s="12"/>
      <c r="H22" s="9"/>
    </row>
    <row r="23" customFormat="false" ht="15" hidden="false" customHeight="true" outlineLevel="0" collapsed="false">
      <c r="A23" s="9"/>
      <c r="B23" s="9"/>
      <c r="C23" s="9"/>
      <c r="D23" s="9"/>
      <c r="E23" s="11"/>
      <c r="F23" s="12"/>
      <c r="G23" s="12"/>
      <c r="H23" s="9"/>
    </row>
    <row r="24" customFormat="false" ht="15" hidden="false" customHeight="true" outlineLevel="0" collapsed="false">
      <c r="A24" s="9"/>
      <c r="B24" s="9"/>
      <c r="C24" s="9"/>
      <c r="D24" s="9"/>
      <c r="E24" s="11"/>
      <c r="F24" s="12"/>
      <c r="G24" s="12"/>
      <c r="H24" s="9"/>
    </row>
    <row r="25" customFormat="false" ht="15" hidden="false" customHeight="true" outlineLevel="0" collapsed="false">
      <c r="A25" s="9"/>
      <c r="B25" s="9"/>
      <c r="C25" s="9"/>
      <c r="D25" s="9"/>
      <c r="E25" s="11"/>
      <c r="F25" s="12"/>
      <c r="G25" s="12"/>
      <c r="H25" s="9"/>
    </row>
    <row r="26" customFormat="false" ht="15" hidden="false" customHeight="true" outlineLevel="0" collapsed="false">
      <c r="A26" s="9"/>
      <c r="B26" s="9"/>
      <c r="C26" s="9"/>
      <c r="D26" s="9"/>
      <c r="E26" s="11"/>
      <c r="F26" s="12"/>
      <c r="G26" s="12"/>
      <c r="H26" s="9"/>
    </row>
    <row r="27" customFormat="false" ht="15" hidden="false" customHeight="true" outlineLevel="0" collapsed="false">
      <c r="A27" s="9"/>
      <c r="B27" s="9"/>
      <c r="C27" s="9"/>
      <c r="D27" s="9"/>
      <c r="E27" s="11"/>
      <c r="F27" s="12"/>
      <c r="G27" s="12"/>
      <c r="H27" s="9"/>
    </row>
    <row r="28" customFormat="false" ht="15" hidden="false" customHeight="true" outlineLevel="0" collapsed="false">
      <c r="A28" s="9"/>
      <c r="B28" s="9"/>
      <c r="C28" s="9"/>
      <c r="D28" s="9"/>
      <c r="E28" s="11"/>
      <c r="F28" s="12"/>
      <c r="G28" s="12"/>
      <c r="H28" s="9"/>
    </row>
    <row r="29" customFormat="false" ht="15" hidden="false" customHeight="true" outlineLevel="0" collapsed="false">
      <c r="A29" s="9"/>
      <c r="B29" s="9"/>
      <c r="C29" s="9"/>
      <c r="D29" s="9"/>
      <c r="E29" s="11"/>
      <c r="F29" s="12"/>
      <c r="G29" s="12"/>
      <c r="H29" s="9"/>
    </row>
    <row r="30" customFormat="false" ht="15" hidden="false" customHeight="true" outlineLevel="0" collapsed="false">
      <c r="A30" s="9"/>
      <c r="B30" s="9"/>
      <c r="C30" s="9"/>
      <c r="D30" s="9"/>
      <c r="E30" s="11"/>
      <c r="F30" s="12"/>
      <c r="G30" s="12"/>
      <c r="H30" s="9"/>
    </row>
    <row r="31" customFormat="false" ht="15" hidden="false" customHeight="true" outlineLevel="0" collapsed="false">
      <c r="A31" s="9"/>
      <c r="B31" s="9"/>
      <c r="C31" s="9"/>
      <c r="D31" s="9"/>
      <c r="E31" s="11"/>
      <c r="F31" s="12"/>
      <c r="G31" s="12"/>
      <c r="H31" s="9"/>
    </row>
    <row r="32" customFormat="false" ht="15" hidden="false" customHeight="true" outlineLevel="0" collapsed="false">
      <c r="A32" s="9"/>
      <c r="B32" s="9"/>
      <c r="C32" s="9"/>
      <c r="D32" s="9"/>
      <c r="E32" s="11"/>
      <c r="F32" s="12"/>
      <c r="G32" s="12"/>
      <c r="H32" s="9"/>
    </row>
    <row r="33" customFormat="false" ht="15" hidden="false" customHeight="true" outlineLevel="0" collapsed="false">
      <c r="A33" s="9"/>
      <c r="B33" s="9"/>
      <c r="C33" s="9"/>
      <c r="D33" s="9"/>
      <c r="E33" s="11"/>
      <c r="F33" s="12"/>
      <c r="G33" s="12"/>
      <c r="H33" s="9"/>
    </row>
    <row r="34" customFormat="false" ht="15" hidden="false" customHeight="true" outlineLevel="0" collapsed="false">
      <c r="A34" s="9"/>
      <c r="B34" s="9"/>
      <c r="C34" s="9"/>
      <c r="D34" s="9"/>
      <c r="E34" s="11"/>
      <c r="F34" s="12"/>
      <c r="G34" s="12"/>
      <c r="H34" s="9"/>
    </row>
    <row r="35" customFormat="false" ht="15" hidden="false" customHeight="true" outlineLevel="0" collapsed="false">
      <c r="A35" s="9"/>
      <c r="B35" s="9"/>
      <c r="C35" s="9"/>
      <c r="D35" s="9"/>
      <c r="E35" s="11"/>
      <c r="F35" s="12"/>
      <c r="G35" s="12"/>
      <c r="H35" s="9"/>
    </row>
    <row r="36" customFormat="false" ht="15" hidden="false" customHeight="true" outlineLevel="0" collapsed="false">
      <c r="A36" s="9"/>
      <c r="B36" s="9"/>
      <c r="C36" s="9"/>
      <c r="D36" s="9"/>
      <c r="E36" s="11"/>
      <c r="F36" s="12"/>
      <c r="G36" s="12"/>
      <c r="H36" s="9"/>
    </row>
    <row r="37" customFormat="false" ht="15" hidden="false" customHeight="true" outlineLevel="0" collapsed="false">
      <c r="A37" s="9"/>
      <c r="B37" s="9"/>
      <c r="C37" s="9"/>
      <c r="D37" s="9"/>
      <c r="E37" s="11"/>
      <c r="F37" s="12"/>
      <c r="G37" s="12"/>
      <c r="H37" s="9"/>
    </row>
    <row r="38" customFormat="false" ht="15" hidden="false" customHeight="true" outlineLevel="0" collapsed="false">
      <c r="A38" s="9"/>
      <c r="B38" s="9"/>
      <c r="C38" s="9"/>
      <c r="D38" s="9"/>
      <c r="E38" s="11"/>
      <c r="F38" s="12"/>
      <c r="G38" s="12"/>
      <c r="H38" s="9"/>
    </row>
    <row r="39" customFormat="false" ht="15" hidden="false" customHeight="true" outlineLevel="0" collapsed="false">
      <c r="A39" s="9"/>
      <c r="B39" s="9"/>
      <c r="C39" s="9"/>
      <c r="D39" s="9"/>
      <c r="E39" s="11"/>
      <c r="F39" s="12"/>
      <c r="G39" s="12"/>
      <c r="H39" s="9"/>
    </row>
    <row r="40" customFormat="false" ht="15" hidden="false" customHeight="true" outlineLevel="0" collapsed="false">
      <c r="A40" s="9"/>
      <c r="B40" s="9"/>
      <c r="C40" s="9"/>
      <c r="D40" s="9"/>
      <c r="E40" s="11"/>
      <c r="F40" s="12"/>
      <c r="G40" s="12"/>
      <c r="H40" s="9"/>
    </row>
    <row r="41" customFormat="false" ht="15" hidden="false" customHeight="true" outlineLevel="0" collapsed="false">
      <c r="A41" s="9"/>
      <c r="B41" s="9"/>
      <c r="C41" s="9"/>
      <c r="D41" s="9"/>
      <c r="E41" s="11"/>
      <c r="F41" s="12"/>
      <c r="G41" s="12"/>
      <c r="H41" s="9"/>
    </row>
    <row r="42" customFormat="false" ht="15" hidden="false" customHeight="true" outlineLevel="0" collapsed="false">
      <c r="A42" s="9"/>
      <c r="B42" s="9"/>
      <c r="C42" s="9"/>
      <c r="D42" s="9"/>
      <c r="E42" s="11"/>
      <c r="F42" s="12"/>
      <c r="G42" s="12"/>
      <c r="H42" s="9"/>
    </row>
    <row r="43" customFormat="false" ht="15" hidden="false" customHeight="true" outlineLevel="0" collapsed="false">
      <c r="A43" s="9"/>
      <c r="B43" s="9"/>
      <c r="C43" s="9"/>
      <c r="D43" s="9"/>
      <c r="E43" s="11"/>
      <c r="F43" s="12"/>
      <c r="G43" s="12"/>
      <c r="H43" s="9"/>
    </row>
    <row r="44" customFormat="false" ht="15" hidden="false" customHeight="true" outlineLevel="0" collapsed="false">
      <c r="A44" s="9"/>
      <c r="B44" s="9"/>
      <c r="C44" s="9"/>
      <c r="D44" s="9"/>
      <c r="E44" s="11"/>
      <c r="F44" s="12"/>
      <c r="G44" s="12"/>
      <c r="H44" s="9"/>
    </row>
    <row r="45" customFormat="false" ht="15" hidden="false" customHeight="true" outlineLevel="0" collapsed="false">
      <c r="A45" s="9"/>
      <c r="B45" s="9"/>
      <c r="C45" s="9"/>
      <c r="D45" s="9"/>
      <c r="E45" s="11"/>
      <c r="F45" s="12"/>
      <c r="G45" s="12"/>
      <c r="H45" s="9"/>
    </row>
    <row r="46" customFormat="false" ht="15" hidden="false" customHeight="true" outlineLevel="0" collapsed="false">
      <c r="A46" s="9"/>
      <c r="B46" s="9"/>
      <c r="C46" s="9"/>
      <c r="D46" s="9"/>
      <c r="E46" s="11"/>
      <c r="F46" s="12"/>
      <c r="G46" s="12"/>
      <c r="H46" s="9"/>
    </row>
    <row r="47" customFormat="false" ht="15" hidden="false" customHeight="true" outlineLevel="0" collapsed="false">
      <c r="A47" s="9"/>
      <c r="B47" s="9"/>
      <c r="C47" s="9"/>
      <c r="D47" s="9"/>
      <c r="E47" s="11"/>
      <c r="F47" s="12"/>
      <c r="G47" s="12"/>
      <c r="H47" s="9"/>
    </row>
    <row r="48" customFormat="false" ht="15" hidden="false" customHeight="true" outlineLevel="0" collapsed="false">
      <c r="A48" s="9"/>
      <c r="B48" s="9"/>
      <c r="C48" s="9"/>
      <c r="D48" s="9"/>
      <c r="E48" s="11"/>
      <c r="F48" s="12"/>
      <c r="G48" s="12"/>
      <c r="H48" s="9"/>
    </row>
    <row r="49" customFormat="false" ht="15" hidden="false" customHeight="true" outlineLevel="0" collapsed="false">
      <c r="A49" s="9"/>
      <c r="B49" s="9"/>
      <c r="C49" s="9"/>
      <c r="D49" s="9"/>
      <c r="E49" s="11"/>
      <c r="F49" s="12"/>
      <c r="G49" s="12"/>
      <c r="H49" s="9"/>
    </row>
    <row r="50" customFormat="false" ht="15" hidden="false" customHeight="true" outlineLevel="0" collapsed="false">
      <c r="A50" s="9"/>
      <c r="B50" s="9"/>
      <c r="C50" s="9"/>
      <c r="D50" s="9"/>
      <c r="E50" s="11"/>
      <c r="F50" s="12"/>
      <c r="G50" s="12"/>
      <c r="H50" s="9"/>
    </row>
    <row r="51" customFormat="false" ht="15" hidden="false" customHeight="true" outlineLevel="0" collapsed="false">
      <c r="A51" s="9"/>
      <c r="B51" s="9"/>
      <c r="C51" s="9"/>
      <c r="D51" s="9"/>
      <c r="E51" s="11"/>
      <c r="F51" s="12"/>
      <c r="G51" s="12"/>
      <c r="H51" s="9"/>
    </row>
    <row r="52" customFormat="false" ht="15" hidden="false" customHeight="true" outlineLevel="0" collapsed="false">
      <c r="A52" s="9"/>
      <c r="B52" s="9"/>
      <c r="C52" s="9"/>
      <c r="D52" s="9"/>
      <c r="E52" s="11"/>
      <c r="F52" s="12"/>
      <c r="G52" s="12"/>
      <c r="H52" s="9"/>
    </row>
    <row r="53" customFormat="false" ht="15" hidden="false" customHeight="true" outlineLevel="0" collapsed="false">
      <c r="A53" s="9"/>
      <c r="B53" s="9"/>
      <c r="C53" s="9"/>
      <c r="D53" s="9"/>
      <c r="E53" s="11"/>
      <c r="F53" s="12"/>
      <c r="G53" s="12"/>
      <c r="H53" s="9"/>
    </row>
    <row r="54" customFormat="false" ht="15" hidden="false" customHeight="true" outlineLevel="0" collapsed="false">
      <c r="A54" s="9"/>
      <c r="B54" s="9"/>
      <c r="C54" s="9"/>
      <c r="D54" s="9"/>
      <c r="E54" s="11"/>
      <c r="F54" s="12"/>
      <c r="G54" s="12"/>
      <c r="H54" s="9"/>
    </row>
    <row r="55" customFormat="false" ht="15" hidden="false" customHeight="true" outlineLevel="0" collapsed="false">
      <c r="A55" s="9"/>
      <c r="B55" s="9"/>
      <c r="C55" s="9"/>
      <c r="D55" s="9"/>
      <c r="E55" s="11"/>
      <c r="F55" s="12"/>
      <c r="G55" s="12"/>
      <c r="H55" s="9"/>
    </row>
    <row r="56" customFormat="false" ht="15" hidden="false" customHeight="true" outlineLevel="0" collapsed="false">
      <c r="A56" s="9"/>
      <c r="B56" s="9"/>
      <c r="C56" s="9"/>
      <c r="D56" s="9"/>
      <c r="E56" s="11"/>
      <c r="F56" s="12"/>
      <c r="G56" s="12"/>
      <c r="H56" s="9"/>
    </row>
    <row r="57" customFormat="false" ht="15" hidden="false" customHeight="true" outlineLevel="0" collapsed="false">
      <c r="A57" s="9"/>
      <c r="B57" s="9"/>
      <c r="C57" s="9"/>
      <c r="D57" s="9"/>
      <c r="E57" s="11"/>
      <c r="F57" s="12"/>
      <c r="G57" s="12"/>
      <c r="H57" s="9"/>
    </row>
    <row r="58" customFormat="false" ht="15" hidden="false" customHeight="true" outlineLevel="0" collapsed="false">
      <c r="A58" s="9"/>
      <c r="B58" s="9"/>
      <c r="C58" s="9"/>
      <c r="D58" s="9"/>
      <c r="E58" s="11"/>
      <c r="F58" s="12"/>
      <c r="G58" s="12"/>
      <c r="H58" s="9"/>
    </row>
    <row r="59" customFormat="false" ht="15" hidden="false" customHeight="true" outlineLevel="0" collapsed="false">
      <c r="A59" s="9"/>
      <c r="B59" s="9"/>
      <c r="C59" s="9"/>
      <c r="D59" s="9"/>
      <c r="E59" s="11"/>
      <c r="F59" s="12"/>
      <c r="G59" s="12"/>
      <c r="H59" s="9"/>
    </row>
    <row r="60" customFormat="false" ht="15" hidden="false" customHeight="true" outlineLevel="0" collapsed="false">
      <c r="A60" s="9"/>
      <c r="B60" s="9"/>
      <c r="C60" s="9"/>
      <c r="D60" s="9"/>
      <c r="E60" s="11"/>
      <c r="F60" s="12"/>
      <c r="G60" s="12"/>
      <c r="H60" s="9"/>
    </row>
    <row r="61" customFormat="false" ht="15" hidden="false" customHeight="true" outlineLevel="0" collapsed="false">
      <c r="A61" s="9"/>
      <c r="B61" s="9"/>
      <c r="C61" s="9"/>
      <c r="D61" s="9"/>
      <c r="E61" s="11"/>
      <c r="F61" s="12"/>
      <c r="G61" s="12"/>
      <c r="H61" s="9"/>
    </row>
    <row r="62" customFormat="false" ht="15" hidden="false" customHeight="true" outlineLevel="0" collapsed="false">
      <c r="A62" s="9"/>
      <c r="B62" s="9"/>
      <c r="C62" s="9"/>
      <c r="D62" s="9"/>
      <c r="E62" s="11"/>
      <c r="F62" s="12"/>
      <c r="G62" s="12"/>
      <c r="H62" s="9"/>
    </row>
    <row r="63" customFormat="false" ht="15" hidden="false" customHeight="true" outlineLevel="0" collapsed="false">
      <c r="A63" s="9"/>
      <c r="B63" s="9"/>
      <c r="C63" s="9"/>
      <c r="D63" s="9"/>
      <c r="E63" s="11"/>
      <c r="F63" s="12"/>
      <c r="G63" s="12"/>
      <c r="H63" s="9"/>
    </row>
    <row r="64" customFormat="false" ht="15" hidden="false" customHeight="true" outlineLevel="0" collapsed="false">
      <c r="A64" s="9"/>
      <c r="B64" s="9"/>
      <c r="C64" s="9"/>
      <c r="D64" s="9"/>
      <c r="E64" s="11"/>
      <c r="F64" s="12"/>
      <c r="G64" s="12"/>
      <c r="H64" s="9"/>
    </row>
    <row r="65" customFormat="false" ht="15" hidden="false" customHeight="true" outlineLevel="0" collapsed="false">
      <c r="A65" s="9"/>
      <c r="B65" s="9"/>
      <c r="C65" s="9"/>
      <c r="D65" s="9"/>
      <c r="E65" s="11"/>
      <c r="F65" s="12"/>
      <c r="G65" s="12"/>
      <c r="H65" s="9"/>
    </row>
    <row r="66" customFormat="false" ht="15" hidden="false" customHeight="true" outlineLevel="0" collapsed="false">
      <c r="A66" s="9"/>
      <c r="B66" s="9"/>
      <c r="C66" s="9"/>
      <c r="D66" s="9"/>
      <c r="E66" s="11"/>
      <c r="F66" s="12"/>
      <c r="G66" s="12"/>
      <c r="H66" s="9"/>
    </row>
    <row r="67" customFormat="false" ht="15" hidden="false" customHeight="true" outlineLevel="0" collapsed="false">
      <c r="A67" s="9"/>
      <c r="B67" s="9"/>
      <c r="C67" s="9"/>
      <c r="D67" s="9"/>
      <c r="E67" s="11"/>
      <c r="F67" s="12"/>
      <c r="G67" s="12"/>
      <c r="H67" s="9"/>
    </row>
    <row r="68" customFormat="false" ht="15" hidden="false" customHeight="true" outlineLevel="0" collapsed="false">
      <c r="A68" s="9"/>
      <c r="B68" s="9"/>
      <c r="C68" s="9"/>
      <c r="D68" s="9"/>
      <c r="E68" s="11"/>
      <c r="F68" s="12"/>
      <c r="G68" s="12"/>
      <c r="H68" s="9"/>
    </row>
    <row r="69" customFormat="false" ht="15" hidden="false" customHeight="true" outlineLevel="0" collapsed="false">
      <c r="A69" s="9"/>
      <c r="B69" s="9"/>
      <c r="C69" s="9"/>
      <c r="D69" s="9"/>
      <c r="E69" s="11"/>
      <c r="F69" s="12"/>
      <c r="G69" s="12"/>
      <c r="H69" s="9"/>
    </row>
    <row r="70" customFormat="false" ht="15" hidden="false" customHeight="true" outlineLevel="0" collapsed="false">
      <c r="A70" s="9"/>
      <c r="B70" s="9"/>
      <c r="C70" s="9"/>
      <c r="D70" s="9"/>
      <c r="E70" s="11"/>
      <c r="F70" s="12"/>
      <c r="G70" s="12"/>
      <c r="H70" s="9"/>
    </row>
    <row r="71" customFormat="false" ht="15" hidden="false" customHeight="true" outlineLevel="0" collapsed="false">
      <c r="A71" s="9"/>
      <c r="B71" s="9"/>
      <c r="C71" s="9"/>
      <c r="D71" s="9"/>
      <c r="E71" s="11"/>
      <c r="F71" s="12"/>
      <c r="G71" s="12"/>
      <c r="H71" s="9"/>
    </row>
    <row r="72" customFormat="false" ht="15" hidden="false" customHeight="true" outlineLevel="0" collapsed="false">
      <c r="A72" s="9"/>
      <c r="B72" s="9"/>
      <c r="C72" s="9"/>
      <c r="D72" s="9"/>
      <c r="E72" s="11"/>
      <c r="F72" s="12"/>
      <c r="G72" s="12"/>
      <c r="H72" s="9"/>
    </row>
    <row r="73" customFormat="false" ht="15" hidden="false" customHeight="true" outlineLevel="0" collapsed="false">
      <c r="A73" s="9"/>
      <c r="B73" s="9"/>
      <c r="C73" s="9"/>
      <c r="D73" s="9"/>
      <c r="E73" s="11"/>
      <c r="F73" s="12"/>
      <c r="G73" s="12"/>
      <c r="H73" s="9"/>
    </row>
    <row r="74" customFormat="false" ht="15" hidden="false" customHeight="true" outlineLevel="0" collapsed="false">
      <c r="A74" s="9"/>
      <c r="B74" s="9"/>
      <c r="C74" s="9"/>
      <c r="D74" s="9"/>
      <c r="E74" s="11"/>
      <c r="F74" s="12"/>
      <c r="G74" s="12"/>
      <c r="H74" s="9"/>
    </row>
    <row r="75" customFormat="false" ht="15" hidden="false" customHeight="true" outlineLevel="0" collapsed="false">
      <c r="A75" s="9"/>
      <c r="B75" s="9"/>
      <c r="C75" s="9"/>
      <c r="D75" s="9"/>
      <c r="E75" s="11"/>
      <c r="F75" s="12"/>
      <c r="G75" s="12"/>
      <c r="H75" s="9"/>
    </row>
    <row r="76" customFormat="false" ht="15" hidden="false" customHeight="true" outlineLevel="0" collapsed="false">
      <c r="A76" s="9"/>
      <c r="B76" s="9"/>
      <c r="C76" s="9"/>
      <c r="D76" s="9"/>
      <c r="E76" s="11"/>
      <c r="F76" s="12"/>
      <c r="G76" s="12"/>
      <c r="H76" s="9"/>
    </row>
    <row r="77" customFormat="false" ht="15" hidden="false" customHeight="true" outlineLevel="0" collapsed="false">
      <c r="A77" s="9"/>
      <c r="B77" s="9"/>
      <c r="C77" s="9"/>
      <c r="D77" s="9"/>
      <c r="E77" s="11"/>
      <c r="F77" s="12"/>
      <c r="G77" s="12"/>
      <c r="H77" s="9"/>
    </row>
    <row r="78" customFormat="false" ht="15" hidden="false" customHeight="true" outlineLevel="0" collapsed="false">
      <c r="A78" s="9"/>
      <c r="B78" s="9"/>
      <c r="C78" s="9"/>
      <c r="D78" s="9"/>
      <c r="E78" s="11"/>
      <c r="F78" s="12"/>
      <c r="G78" s="12"/>
      <c r="H78" s="9"/>
    </row>
    <row r="79" customFormat="false" ht="15" hidden="false" customHeight="true" outlineLevel="0" collapsed="false">
      <c r="A79" s="9"/>
      <c r="B79" s="9"/>
      <c r="C79" s="9"/>
      <c r="D79" s="9"/>
      <c r="E79" s="11"/>
      <c r="F79" s="12"/>
      <c r="G79" s="12"/>
      <c r="H79" s="9"/>
    </row>
    <row r="80" customFormat="false" ht="15" hidden="false" customHeight="true" outlineLevel="0" collapsed="false">
      <c r="A80" s="9"/>
      <c r="B80" s="9"/>
      <c r="C80" s="9"/>
      <c r="D80" s="9"/>
      <c r="E80" s="11"/>
      <c r="F80" s="12"/>
      <c r="G80" s="12"/>
      <c r="H80" s="9"/>
    </row>
    <row r="81" customFormat="false" ht="15" hidden="false" customHeight="true" outlineLevel="0" collapsed="false">
      <c r="A81" s="9"/>
      <c r="B81" s="9"/>
      <c r="C81" s="9"/>
      <c r="D81" s="9"/>
      <c r="E81" s="11"/>
      <c r="F81" s="12"/>
      <c r="G81" s="12"/>
      <c r="H81" s="9"/>
    </row>
    <row r="82" customFormat="false" ht="15" hidden="false" customHeight="true" outlineLevel="0" collapsed="false">
      <c r="A82" s="9"/>
      <c r="B82" s="9"/>
      <c r="C82" s="9"/>
      <c r="D82" s="9"/>
      <c r="E82" s="11"/>
      <c r="F82" s="12"/>
      <c r="G82" s="12"/>
      <c r="H82" s="9"/>
    </row>
    <row r="83" customFormat="false" ht="15" hidden="false" customHeight="true" outlineLevel="0" collapsed="false">
      <c r="A83" s="9"/>
      <c r="B83" s="9"/>
      <c r="C83" s="9"/>
      <c r="D83" s="9"/>
      <c r="E83" s="11"/>
      <c r="F83" s="12"/>
      <c r="G83" s="12"/>
      <c r="H83" s="9"/>
    </row>
    <row r="84" customFormat="false" ht="15" hidden="false" customHeight="true" outlineLevel="0" collapsed="false">
      <c r="A84" s="9"/>
      <c r="B84" s="9"/>
      <c r="C84" s="9"/>
      <c r="D84" s="9"/>
      <c r="E84" s="11"/>
      <c r="F84" s="12"/>
      <c r="G84" s="12"/>
      <c r="H84" s="9"/>
    </row>
    <row r="85" customFormat="false" ht="15" hidden="false" customHeight="true" outlineLevel="0" collapsed="false">
      <c r="A85" s="9"/>
      <c r="B85" s="9"/>
      <c r="C85" s="9"/>
      <c r="D85" s="9"/>
      <c r="E85" s="11"/>
      <c r="F85" s="12"/>
      <c r="G85" s="12"/>
      <c r="H85" s="9"/>
    </row>
    <row r="86" customFormat="false" ht="15" hidden="false" customHeight="true" outlineLevel="0" collapsed="false">
      <c r="A86" s="9"/>
      <c r="B86" s="9"/>
      <c r="C86" s="9"/>
      <c r="D86" s="9"/>
      <c r="E86" s="11"/>
      <c r="F86" s="12"/>
      <c r="G86" s="12"/>
      <c r="H86" s="9"/>
    </row>
    <row r="87" customFormat="false" ht="15" hidden="false" customHeight="true" outlineLevel="0" collapsed="false">
      <c r="A87" s="9"/>
      <c r="B87" s="9"/>
      <c r="C87" s="9"/>
      <c r="D87" s="9"/>
      <c r="E87" s="11"/>
      <c r="F87" s="12"/>
      <c r="G87" s="12"/>
      <c r="H87" s="9"/>
    </row>
    <row r="88" customFormat="false" ht="15" hidden="false" customHeight="true" outlineLevel="0" collapsed="false">
      <c r="A88" s="9"/>
      <c r="B88" s="9"/>
      <c r="C88" s="9"/>
      <c r="D88" s="9"/>
      <c r="E88" s="11"/>
      <c r="F88" s="12"/>
      <c r="G88" s="12"/>
      <c r="H88" s="9"/>
    </row>
    <row r="89" customFormat="false" ht="15" hidden="false" customHeight="true" outlineLevel="0" collapsed="false">
      <c r="A89" s="9"/>
      <c r="B89" s="9"/>
      <c r="C89" s="9"/>
      <c r="D89" s="9"/>
      <c r="E89" s="11"/>
      <c r="F89" s="12"/>
      <c r="G89" s="12"/>
      <c r="H89" s="9"/>
    </row>
    <row r="90" customFormat="false" ht="15" hidden="false" customHeight="true" outlineLevel="0" collapsed="false">
      <c r="A90" s="9"/>
      <c r="B90" s="9"/>
      <c r="C90" s="9"/>
      <c r="D90" s="9"/>
      <c r="E90" s="11"/>
      <c r="F90" s="12"/>
      <c r="G90" s="12"/>
      <c r="H90" s="9"/>
    </row>
    <row r="91" customFormat="false" ht="15" hidden="false" customHeight="true" outlineLevel="0" collapsed="false">
      <c r="A91" s="9"/>
      <c r="B91" s="9"/>
      <c r="C91" s="9"/>
      <c r="D91" s="9"/>
      <c r="E91" s="11"/>
      <c r="F91" s="12"/>
      <c r="G91" s="12"/>
      <c r="H91" s="9"/>
    </row>
    <row r="92" customFormat="false" ht="15" hidden="false" customHeight="true" outlineLevel="0" collapsed="false">
      <c r="A92" s="9"/>
      <c r="B92" s="9"/>
      <c r="C92" s="9"/>
      <c r="D92" s="9"/>
      <c r="E92" s="11"/>
      <c r="F92" s="12"/>
      <c r="G92" s="12"/>
      <c r="H92" s="9"/>
    </row>
    <row r="93" customFormat="false" ht="15" hidden="false" customHeight="true" outlineLevel="0" collapsed="false">
      <c r="A93" s="9"/>
      <c r="B93" s="9"/>
      <c r="C93" s="9"/>
      <c r="D93" s="9"/>
      <c r="E93" s="11"/>
      <c r="F93" s="12"/>
      <c r="G93" s="12"/>
      <c r="H93" s="9"/>
    </row>
    <row r="94" customFormat="false" ht="15" hidden="false" customHeight="true" outlineLevel="0" collapsed="false">
      <c r="A94" s="9"/>
      <c r="B94" s="9"/>
      <c r="C94" s="9"/>
      <c r="D94" s="9"/>
      <c r="E94" s="11"/>
      <c r="F94" s="12"/>
      <c r="G94" s="12"/>
      <c r="H94" s="9"/>
    </row>
    <row r="95" customFormat="false" ht="15" hidden="false" customHeight="true" outlineLevel="0" collapsed="false">
      <c r="A95" s="9"/>
      <c r="B95" s="9"/>
      <c r="C95" s="9"/>
      <c r="D95" s="9"/>
      <c r="E95" s="11"/>
      <c r="F95" s="12"/>
      <c r="G95" s="12"/>
      <c r="H95" s="9"/>
    </row>
    <row r="96" customFormat="false" ht="15" hidden="false" customHeight="true" outlineLevel="0" collapsed="false">
      <c r="A96" s="9"/>
      <c r="B96" s="9"/>
      <c r="C96" s="9"/>
      <c r="D96" s="9"/>
      <c r="E96" s="11"/>
      <c r="F96" s="12"/>
      <c r="G96" s="12"/>
      <c r="H96" s="9"/>
    </row>
    <row r="97" customFormat="false" ht="15" hidden="false" customHeight="true" outlineLevel="0" collapsed="false">
      <c r="A97" s="9"/>
      <c r="B97" s="9"/>
      <c r="C97" s="9"/>
      <c r="D97" s="9"/>
      <c r="E97" s="11"/>
      <c r="F97" s="12"/>
      <c r="G97" s="12"/>
      <c r="H97" s="9"/>
    </row>
    <row r="98" customFormat="false" ht="15" hidden="false" customHeight="true" outlineLevel="0" collapsed="false">
      <c r="A98" s="9"/>
      <c r="B98" s="9"/>
      <c r="C98" s="9"/>
      <c r="D98" s="9"/>
      <c r="E98" s="11"/>
      <c r="F98" s="12"/>
      <c r="G98" s="12"/>
      <c r="H98" s="9"/>
    </row>
    <row r="99" customFormat="false" ht="15" hidden="false" customHeight="true" outlineLevel="0" collapsed="false">
      <c r="A99" s="9"/>
      <c r="B99" s="9"/>
      <c r="C99" s="9"/>
      <c r="D99" s="9"/>
      <c r="E99" s="11"/>
      <c r="F99" s="12"/>
      <c r="G99" s="12"/>
      <c r="H99" s="9"/>
    </row>
    <row r="100" customFormat="false" ht="15" hidden="false" customHeight="true" outlineLevel="0" collapsed="false">
      <c r="A100" s="9"/>
      <c r="B100" s="9"/>
      <c r="C100" s="9"/>
      <c r="D100" s="9"/>
      <c r="E100" s="11"/>
      <c r="F100" s="12"/>
      <c r="G100" s="12"/>
      <c r="H100" s="9"/>
    </row>
    <row r="101" customFormat="false" ht="15" hidden="false" customHeight="true" outlineLevel="0" collapsed="false">
      <c r="A101" s="9"/>
      <c r="B101" s="9"/>
      <c r="C101" s="9"/>
      <c r="D101" s="9"/>
      <c r="E101" s="11"/>
      <c r="F101" s="12"/>
      <c r="G101" s="12"/>
      <c r="H101" s="9"/>
    </row>
    <row r="102" customFormat="false" ht="15" hidden="false" customHeight="true" outlineLevel="0" collapsed="false">
      <c r="A102" s="9"/>
      <c r="B102" s="9"/>
      <c r="C102" s="9"/>
      <c r="D102" s="9"/>
      <c r="E102" s="11"/>
      <c r="F102" s="12"/>
      <c r="G102" s="12"/>
      <c r="H102" s="9"/>
    </row>
    <row r="103" customFormat="false" ht="15" hidden="false" customHeight="true" outlineLevel="0" collapsed="false">
      <c r="A103" s="9"/>
      <c r="B103" s="9"/>
      <c r="C103" s="9"/>
      <c r="D103" s="9"/>
      <c r="E103" s="11"/>
      <c r="F103" s="12"/>
      <c r="G103" s="12"/>
      <c r="H103" s="9"/>
    </row>
    <row r="104" customFormat="false" ht="15" hidden="false" customHeight="true" outlineLevel="0" collapsed="false">
      <c r="A104" s="9"/>
      <c r="B104" s="9"/>
      <c r="C104" s="9"/>
      <c r="D104" s="9"/>
      <c r="E104" s="11"/>
      <c r="F104" s="12"/>
      <c r="G104" s="12"/>
      <c r="H104" s="9"/>
    </row>
    <row r="105" customFormat="false" ht="15" hidden="false" customHeight="true" outlineLevel="0" collapsed="false">
      <c r="A105" s="9"/>
      <c r="B105" s="9"/>
      <c r="C105" s="9"/>
      <c r="D105" s="9"/>
      <c r="E105" s="11"/>
      <c r="F105" s="12"/>
      <c r="G105" s="12"/>
      <c r="H105" s="9"/>
    </row>
    <row r="106" customFormat="false" ht="15" hidden="false" customHeight="true" outlineLevel="0" collapsed="false">
      <c r="A106" s="9"/>
      <c r="B106" s="9"/>
      <c r="C106" s="9"/>
      <c r="D106" s="9"/>
      <c r="E106" s="11"/>
      <c r="F106" s="12"/>
      <c r="G106" s="12"/>
      <c r="H106" s="9"/>
    </row>
    <row r="107" customFormat="false" ht="15" hidden="false" customHeight="true" outlineLevel="0" collapsed="false">
      <c r="A107" s="9"/>
      <c r="B107" s="9"/>
      <c r="C107" s="9"/>
      <c r="D107" s="9"/>
      <c r="E107" s="11"/>
      <c r="F107" s="12"/>
      <c r="G107" s="12"/>
      <c r="H107" s="9"/>
    </row>
    <row r="108" customFormat="false" ht="15" hidden="false" customHeight="true" outlineLevel="0" collapsed="false">
      <c r="A108" s="9"/>
      <c r="B108" s="9"/>
      <c r="C108" s="9"/>
      <c r="D108" s="9"/>
      <c r="E108" s="11"/>
      <c r="F108" s="12"/>
      <c r="G108" s="12"/>
      <c r="H108" s="9"/>
    </row>
    <row r="109" customFormat="false" ht="15" hidden="false" customHeight="true" outlineLevel="0" collapsed="false">
      <c r="A109" s="9"/>
      <c r="B109" s="9"/>
      <c r="C109" s="9"/>
      <c r="D109" s="9"/>
      <c r="E109" s="11"/>
      <c r="F109" s="12"/>
      <c r="G109" s="12"/>
      <c r="H109" s="9"/>
    </row>
    <row r="110" customFormat="false" ht="15" hidden="false" customHeight="true" outlineLevel="0" collapsed="false">
      <c r="A110" s="9"/>
      <c r="B110" s="9"/>
      <c r="C110" s="9"/>
      <c r="D110" s="9"/>
      <c r="E110" s="11"/>
      <c r="F110" s="12"/>
      <c r="G110" s="12"/>
      <c r="H110" s="9"/>
    </row>
    <row r="111" customFormat="false" ht="15" hidden="false" customHeight="true" outlineLevel="0" collapsed="false">
      <c r="A111" s="9"/>
      <c r="B111" s="9"/>
      <c r="C111" s="9"/>
      <c r="D111" s="9"/>
      <c r="E111" s="11"/>
      <c r="F111" s="12"/>
      <c r="G111" s="12"/>
      <c r="H111" s="9"/>
    </row>
    <row r="112" customFormat="false" ht="15" hidden="false" customHeight="true" outlineLevel="0" collapsed="false">
      <c r="A112" s="9"/>
      <c r="B112" s="9"/>
      <c r="C112" s="9"/>
      <c r="D112" s="9"/>
      <c r="E112" s="11"/>
      <c r="F112" s="12"/>
      <c r="G112" s="12"/>
      <c r="H112" s="9"/>
    </row>
    <row r="113" customFormat="false" ht="15" hidden="false" customHeight="true" outlineLevel="0" collapsed="false">
      <c r="A113" s="9"/>
      <c r="B113" s="9"/>
      <c r="C113" s="9"/>
      <c r="D113" s="9"/>
      <c r="E113" s="11"/>
      <c r="F113" s="12"/>
      <c r="G113" s="12"/>
      <c r="H113" s="9"/>
    </row>
    <row r="114" customFormat="false" ht="15" hidden="false" customHeight="true" outlineLevel="0" collapsed="false">
      <c r="A114" s="9"/>
      <c r="B114" s="9"/>
      <c r="C114" s="9"/>
      <c r="D114" s="9"/>
      <c r="E114" s="11"/>
      <c r="F114" s="12"/>
      <c r="G114" s="12"/>
      <c r="H114" s="9"/>
    </row>
    <row r="115" customFormat="false" ht="15" hidden="false" customHeight="true" outlineLevel="0" collapsed="false">
      <c r="A115" s="9"/>
      <c r="B115" s="9"/>
      <c r="C115" s="9"/>
      <c r="D115" s="9"/>
      <c r="E115" s="11"/>
      <c r="F115" s="12"/>
      <c r="G115" s="12"/>
      <c r="H115" s="9"/>
    </row>
    <row r="116" customFormat="false" ht="15" hidden="false" customHeight="true" outlineLevel="0" collapsed="false">
      <c r="A116" s="9"/>
      <c r="B116" s="9"/>
      <c r="C116" s="9"/>
      <c r="D116" s="9"/>
      <c r="E116" s="11"/>
      <c r="F116" s="12"/>
      <c r="G116" s="12"/>
      <c r="H116" s="9"/>
    </row>
    <row r="117" customFormat="false" ht="15" hidden="false" customHeight="true" outlineLevel="0" collapsed="false">
      <c r="A117" s="9"/>
      <c r="B117" s="9"/>
      <c r="C117" s="9"/>
      <c r="D117" s="9"/>
      <c r="E117" s="11"/>
      <c r="F117" s="12"/>
      <c r="G117" s="12"/>
      <c r="H117" s="9"/>
    </row>
    <row r="118" customFormat="false" ht="15" hidden="false" customHeight="true" outlineLevel="0" collapsed="false">
      <c r="A118" s="9"/>
      <c r="B118" s="9"/>
      <c r="C118" s="9"/>
      <c r="D118" s="9"/>
      <c r="E118" s="11"/>
      <c r="F118" s="12"/>
      <c r="G118" s="12"/>
      <c r="H118" s="9"/>
    </row>
    <row r="119" customFormat="false" ht="15" hidden="false" customHeight="true" outlineLevel="0" collapsed="false">
      <c r="A119" s="9"/>
      <c r="B119" s="9"/>
      <c r="C119" s="9"/>
      <c r="D119" s="9"/>
      <c r="E119" s="11"/>
      <c r="F119" s="12"/>
      <c r="G119" s="12"/>
      <c r="H119" s="9"/>
    </row>
    <row r="120" customFormat="false" ht="15" hidden="false" customHeight="true" outlineLevel="0" collapsed="false">
      <c r="A120" s="9"/>
      <c r="B120" s="9"/>
      <c r="C120" s="9"/>
      <c r="D120" s="9"/>
      <c r="E120" s="11"/>
      <c r="F120" s="12"/>
      <c r="G120" s="12"/>
      <c r="H120" s="9"/>
    </row>
    <row r="121" customFormat="false" ht="15" hidden="false" customHeight="true" outlineLevel="0" collapsed="false">
      <c r="A121" s="9"/>
      <c r="B121" s="9"/>
      <c r="C121" s="9"/>
      <c r="D121" s="9"/>
      <c r="E121" s="11"/>
      <c r="F121" s="12"/>
      <c r="G121" s="12"/>
      <c r="H121" s="9"/>
    </row>
    <row r="122" customFormat="false" ht="15" hidden="false" customHeight="true" outlineLevel="0" collapsed="false">
      <c r="A122" s="9"/>
      <c r="B122" s="9"/>
      <c r="C122" s="9"/>
      <c r="D122" s="9"/>
      <c r="E122" s="11"/>
      <c r="F122" s="12"/>
      <c r="G122" s="12"/>
      <c r="H122" s="9"/>
    </row>
    <row r="123" customFormat="false" ht="15" hidden="false" customHeight="true" outlineLevel="0" collapsed="false">
      <c r="A123" s="9"/>
      <c r="B123" s="9"/>
      <c r="C123" s="9"/>
      <c r="D123" s="9"/>
      <c r="E123" s="11"/>
      <c r="F123" s="12"/>
      <c r="G123" s="12"/>
      <c r="H123" s="9"/>
    </row>
    <row r="124" customFormat="false" ht="15" hidden="false" customHeight="true" outlineLevel="0" collapsed="false">
      <c r="A124" s="9"/>
      <c r="B124" s="9"/>
      <c r="C124" s="9"/>
      <c r="D124" s="9"/>
      <c r="E124" s="11"/>
      <c r="F124" s="12"/>
      <c r="G124" s="12"/>
      <c r="H124" s="9"/>
    </row>
    <row r="125" customFormat="false" ht="15" hidden="false" customHeight="true" outlineLevel="0" collapsed="false">
      <c r="A125" s="9"/>
      <c r="B125" s="9"/>
      <c r="C125" s="9"/>
      <c r="D125" s="9"/>
      <c r="E125" s="11"/>
      <c r="F125" s="12"/>
      <c r="G125" s="12"/>
      <c r="H125" s="9"/>
    </row>
    <row r="126" customFormat="false" ht="15" hidden="false" customHeight="true" outlineLevel="0" collapsed="false">
      <c r="A126" s="9"/>
      <c r="B126" s="9"/>
      <c r="C126" s="9"/>
      <c r="D126" s="9"/>
      <c r="E126" s="11"/>
      <c r="F126" s="12"/>
      <c r="G126" s="12"/>
      <c r="H126" s="9"/>
    </row>
    <row r="127" customFormat="false" ht="15" hidden="false" customHeight="true" outlineLevel="0" collapsed="false">
      <c r="A127" s="9"/>
      <c r="B127" s="9"/>
      <c r="C127" s="9"/>
      <c r="D127" s="9"/>
      <c r="E127" s="11"/>
      <c r="F127" s="12"/>
      <c r="G127" s="12"/>
      <c r="H127" s="9"/>
    </row>
    <row r="128" customFormat="false" ht="15" hidden="false" customHeight="true" outlineLevel="0" collapsed="false">
      <c r="A128" s="9"/>
      <c r="B128" s="9"/>
      <c r="C128" s="9"/>
      <c r="D128" s="9"/>
      <c r="E128" s="11"/>
      <c r="F128" s="12"/>
      <c r="G128" s="12"/>
      <c r="H128" s="9"/>
    </row>
    <row r="129" customFormat="false" ht="15" hidden="false" customHeight="true" outlineLevel="0" collapsed="false">
      <c r="A129" s="9"/>
      <c r="B129" s="9"/>
      <c r="C129" s="9"/>
      <c r="D129" s="9"/>
      <c r="E129" s="11"/>
      <c r="F129" s="12"/>
      <c r="G129" s="12"/>
      <c r="H129" s="9"/>
    </row>
    <row r="130" customFormat="false" ht="15" hidden="false" customHeight="true" outlineLevel="0" collapsed="false">
      <c r="A130" s="9"/>
      <c r="B130" s="9"/>
      <c r="C130" s="9"/>
      <c r="D130" s="9"/>
      <c r="E130" s="11"/>
      <c r="F130" s="12"/>
      <c r="G130" s="12"/>
      <c r="H130" s="9"/>
    </row>
    <row r="131" customFormat="false" ht="15" hidden="false" customHeight="true" outlineLevel="0" collapsed="false">
      <c r="A131" s="9"/>
      <c r="B131" s="9"/>
      <c r="C131" s="9"/>
      <c r="D131" s="9"/>
      <c r="E131" s="11"/>
      <c r="F131" s="12"/>
      <c r="G131" s="12"/>
      <c r="H131" s="9"/>
    </row>
    <row r="132" customFormat="false" ht="15" hidden="false" customHeight="true" outlineLevel="0" collapsed="false">
      <c r="A132" s="9"/>
      <c r="B132" s="9"/>
      <c r="C132" s="9"/>
      <c r="D132" s="9"/>
      <c r="E132" s="11"/>
      <c r="F132" s="12"/>
      <c r="G132" s="12"/>
      <c r="H132" s="9"/>
    </row>
    <row r="133" customFormat="false" ht="15" hidden="false" customHeight="true" outlineLevel="0" collapsed="false">
      <c r="A133" s="9"/>
      <c r="B133" s="9"/>
      <c r="C133" s="9"/>
      <c r="D133" s="9"/>
      <c r="E133" s="11"/>
      <c r="F133" s="12"/>
      <c r="G133" s="12"/>
      <c r="H133" s="9"/>
    </row>
    <row r="134" customFormat="false" ht="15" hidden="false" customHeight="true" outlineLevel="0" collapsed="false">
      <c r="A134" s="9"/>
      <c r="B134" s="9"/>
      <c r="C134" s="9"/>
      <c r="D134" s="9"/>
      <c r="E134" s="11"/>
      <c r="F134" s="12"/>
      <c r="G134" s="12"/>
      <c r="H134" s="9"/>
    </row>
    <row r="135" customFormat="false" ht="15" hidden="false" customHeight="true" outlineLevel="0" collapsed="false">
      <c r="A135" s="9"/>
      <c r="B135" s="9"/>
      <c r="C135" s="9"/>
      <c r="D135" s="9"/>
      <c r="E135" s="11"/>
      <c r="F135" s="12"/>
      <c r="G135" s="12"/>
      <c r="H135" s="9"/>
    </row>
    <row r="136" customFormat="false" ht="15" hidden="false" customHeight="true" outlineLevel="0" collapsed="false">
      <c r="A136" s="9"/>
      <c r="B136" s="9"/>
      <c r="C136" s="9"/>
      <c r="D136" s="9"/>
      <c r="E136" s="11"/>
      <c r="F136" s="12"/>
      <c r="G136" s="12"/>
      <c r="H136" s="9"/>
    </row>
    <row r="137" customFormat="false" ht="15" hidden="false" customHeight="true" outlineLevel="0" collapsed="false">
      <c r="A137" s="9"/>
      <c r="B137" s="9"/>
      <c r="C137" s="9"/>
      <c r="D137" s="9"/>
      <c r="E137" s="11"/>
      <c r="F137" s="12"/>
      <c r="G137" s="12"/>
      <c r="H137" s="9"/>
    </row>
    <row r="138" customFormat="false" ht="15" hidden="false" customHeight="true" outlineLevel="0" collapsed="false">
      <c r="A138" s="9"/>
      <c r="B138" s="9"/>
      <c r="C138" s="9"/>
      <c r="D138" s="9"/>
      <c r="E138" s="11"/>
      <c r="F138" s="12"/>
      <c r="G138" s="12"/>
      <c r="H138" s="9"/>
    </row>
    <row r="139" customFormat="false" ht="15" hidden="false" customHeight="true" outlineLevel="0" collapsed="false">
      <c r="A139" s="9"/>
      <c r="B139" s="9"/>
      <c r="C139" s="9"/>
      <c r="D139" s="9"/>
      <c r="E139" s="11"/>
      <c r="F139" s="12"/>
      <c r="G139" s="12"/>
      <c r="H139" s="9"/>
    </row>
    <row r="140" customFormat="false" ht="15" hidden="false" customHeight="true" outlineLevel="0" collapsed="false">
      <c r="A140" s="9"/>
      <c r="B140" s="9"/>
      <c r="C140" s="9"/>
      <c r="D140" s="9"/>
      <c r="E140" s="11"/>
      <c r="F140" s="12"/>
      <c r="G140" s="12"/>
      <c r="H140" s="9"/>
    </row>
    <row r="141" customFormat="false" ht="15" hidden="false" customHeight="true" outlineLevel="0" collapsed="false">
      <c r="A141" s="9"/>
      <c r="B141" s="9"/>
      <c r="C141" s="9"/>
      <c r="D141" s="9"/>
      <c r="E141" s="11"/>
      <c r="F141" s="12"/>
      <c r="G141" s="12"/>
      <c r="H141" s="9"/>
    </row>
    <row r="142" customFormat="false" ht="15" hidden="false" customHeight="true" outlineLevel="0" collapsed="false">
      <c r="A142" s="9"/>
      <c r="B142" s="9"/>
      <c r="C142" s="9"/>
      <c r="D142" s="9"/>
      <c r="E142" s="11"/>
      <c r="F142" s="12"/>
      <c r="G142" s="12"/>
      <c r="H142" s="9"/>
    </row>
    <row r="143" customFormat="false" ht="15" hidden="false" customHeight="true" outlineLevel="0" collapsed="false">
      <c r="A143" s="9"/>
      <c r="B143" s="9"/>
      <c r="C143" s="9"/>
      <c r="D143" s="9"/>
      <c r="E143" s="11"/>
      <c r="F143" s="12"/>
      <c r="G143" s="12"/>
      <c r="H143" s="9"/>
    </row>
    <row r="144" customFormat="false" ht="15" hidden="false" customHeight="true" outlineLevel="0" collapsed="false">
      <c r="A144" s="9"/>
      <c r="B144" s="9"/>
      <c r="C144" s="9"/>
      <c r="D144" s="9"/>
      <c r="E144" s="11"/>
      <c r="F144" s="12"/>
      <c r="G144" s="12"/>
      <c r="H144" s="9"/>
    </row>
    <row r="145" customFormat="false" ht="15" hidden="false" customHeight="true" outlineLevel="0" collapsed="false">
      <c r="A145" s="9"/>
      <c r="B145" s="9"/>
      <c r="C145" s="9"/>
      <c r="D145" s="9"/>
      <c r="E145" s="11"/>
      <c r="F145" s="12"/>
      <c r="G145" s="12"/>
      <c r="H145" s="9"/>
    </row>
    <row r="146" customFormat="false" ht="15" hidden="false" customHeight="true" outlineLevel="0" collapsed="false">
      <c r="A146" s="9"/>
      <c r="B146" s="9"/>
      <c r="C146" s="9"/>
      <c r="D146" s="9"/>
      <c r="E146" s="11"/>
      <c r="F146" s="12"/>
      <c r="G146" s="12"/>
      <c r="H146" s="9"/>
    </row>
    <row r="147" customFormat="false" ht="15" hidden="false" customHeight="true" outlineLevel="0" collapsed="false">
      <c r="A147" s="9"/>
      <c r="B147" s="9"/>
      <c r="C147" s="9"/>
      <c r="D147" s="9"/>
      <c r="E147" s="11"/>
      <c r="F147" s="12"/>
      <c r="G147" s="12"/>
      <c r="H147" s="9"/>
    </row>
    <row r="148" customFormat="false" ht="15" hidden="false" customHeight="true" outlineLevel="0" collapsed="false">
      <c r="A148" s="9"/>
      <c r="B148" s="9"/>
      <c r="C148" s="9"/>
      <c r="D148" s="9"/>
      <c r="E148" s="11"/>
      <c r="F148" s="12"/>
      <c r="G148" s="12"/>
      <c r="H148" s="9"/>
    </row>
    <row r="149" customFormat="false" ht="15" hidden="false" customHeight="true" outlineLevel="0" collapsed="false">
      <c r="A149" s="9"/>
      <c r="B149" s="9"/>
      <c r="C149" s="9"/>
      <c r="D149" s="9"/>
      <c r="E149" s="11"/>
      <c r="F149" s="12"/>
      <c r="G149" s="12"/>
      <c r="H149" s="9"/>
    </row>
    <row r="150" customFormat="false" ht="15" hidden="false" customHeight="true" outlineLevel="0" collapsed="false">
      <c r="A150" s="9"/>
      <c r="B150" s="9"/>
      <c r="C150" s="9"/>
      <c r="D150" s="9"/>
      <c r="E150" s="11"/>
      <c r="F150" s="12"/>
      <c r="G150" s="12"/>
      <c r="H150" s="9"/>
    </row>
    <row r="151" customFormat="false" ht="15" hidden="false" customHeight="true" outlineLevel="0" collapsed="false">
      <c r="A151" s="9"/>
      <c r="B151" s="9"/>
      <c r="C151" s="9"/>
      <c r="D151" s="9"/>
      <c r="E151" s="11"/>
      <c r="F151" s="12"/>
      <c r="G151" s="12"/>
      <c r="H151" s="9"/>
    </row>
    <row r="152" customFormat="false" ht="15" hidden="false" customHeight="true" outlineLevel="0" collapsed="false">
      <c r="A152" s="9"/>
      <c r="B152" s="9"/>
      <c r="C152" s="9"/>
      <c r="D152" s="9"/>
      <c r="E152" s="11"/>
      <c r="F152" s="12"/>
      <c r="G152" s="12"/>
      <c r="H152" s="9"/>
    </row>
    <row r="153" customFormat="false" ht="15" hidden="false" customHeight="true" outlineLevel="0" collapsed="false">
      <c r="A153" s="9"/>
      <c r="B153" s="9"/>
      <c r="C153" s="9"/>
      <c r="D153" s="9"/>
      <c r="E153" s="11"/>
      <c r="F153" s="12"/>
      <c r="G153" s="12"/>
      <c r="H153" s="9"/>
    </row>
    <row r="154" customFormat="false" ht="15" hidden="false" customHeight="true" outlineLevel="0" collapsed="false">
      <c r="A154" s="9"/>
      <c r="B154" s="9"/>
      <c r="C154" s="9"/>
      <c r="D154" s="9"/>
      <c r="E154" s="11"/>
      <c r="F154" s="12"/>
      <c r="G154" s="12"/>
      <c r="H154" s="9"/>
    </row>
    <row r="155" customFormat="false" ht="15" hidden="false" customHeight="true" outlineLevel="0" collapsed="false">
      <c r="A155" s="9"/>
      <c r="B155" s="9"/>
      <c r="C155" s="9"/>
      <c r="D155" s="9"/>
      <c r="E155" s="11"/>
      <c r="F155" s="12"/>
      <c r="G155" s="12"/>
      <c r="H155" s="9"/>
    </row>
    <row r="156" customFormat="false" ht="15" hidden="false" customHeight="true" outlineLevel="0" collapsed="false">
      <c r="A156" s="9"/>
      <c r="B156" s="9"/>
      <c r="C156" s="9"/>
      <c r="D156" s="9"/>
      <c r="E156" s="11"/>
      <c r="F156" s="12"/>
      <c r="G156" s="12"/>
      <c r="H156" s="9"/>
    </row>
    <row r="157" customFormat="false" ht="15" hidden="false" customHeight="true" outlineLevel="0" collapsed="false">
      <c r="A157" s="9"/>
      <c r="B157" s="9"/>
      <c r="C157" s="9"/>
      <c r="D157" s="9"/>
      <c r="E157" s="11"/>
      <c r="F157" s="12"/>
      <c r="G157" s="12"/>
      <c r="H157" s="9"/>
    </row>
    <row r="158" customFormat="false" ht="15" hidden="false" customHeight="true" outlineLevel="0" collapsed="false">
      <c r="A158" s="9"/>
      <c r="B158" s="9"/>
      <c r="C158" s="9"/>
      <c r="D158" s="9"/>
      <c r="E158" s="11"/>
      <c r="F158" s="12"/>
      <c r="G158" s="12"/>
      <c r="H158" s="9"/>
    </row>
    <row r="159" customFormat="false" ht="15" hidden="false" customHeight="true" outlineLevel="0" collapsed="false">
      <c r="A159" s="9"/>
      <c r="B159" s="9"/>
      <c r="C159" s="9"/>
      <c r="D159" s="9"/>
      <c r="E159" s="11"/>
      <c r="F159" s="12"/>
      <c r="G159" s="12"/>
      <c r="H159" s="9"/>
    </row>
    <row r="160" customFormat="false" ht="15" hidden="false" customHeight="true" outlineLevel="0" collapsed="false">
      <c r="A160" s="9"/>
      <c r="B160" s="9"/>
      <c r="C160" s="9"/>
      <c r="D160" s="9"/>
      <c r="E160" s="11"/>
      <c r="F160" s="12"/>
      <c r="G160" s="12"/>
      <c r="H160" s="9"/>
    </row>
    <row r="161" customFormat="false" ht="15" hidden="false" customHeight="true" outlineLevel="0" collapsed="false">
      <c r="A161" s="9"/>
      <c r="B161" s="9"/>
      <c r="C161" s="9"/>
      <c r="D161" s="9"/>
      <c r="E161" s="11"/>
      <c r="F161" s="12"/>
      <c r="G161" s="12"/>
      <c r="H161" s="9"/>
    </row>
    <row r="162" customFormat="false" ht="15" hidden="false" customHeight="true" outlineLevel="0" collapsed="false">
      <c r="A162" s="9"/>
      <c r="B162" s="9"/>
      <c r="C162" s="9"/>
      <c r="D162" s="9"/>
      <c r="E162" s="11"/>
      <c r="F162" s="12"/>
      <c r="G162" s="12"/>
      <c r="H162" s="9"/>
    </row>
    <row r="163" customFormat="false" ht="15" hidden="false" customHeight="true" outlineLevel="0" collapsed="false">
      <c r="A163" s="9"/>
      <c r="B163" s="9"/>
      <c r="C163" s="9"/>
      <c r="D163" s="9"/>
      <c r="E163" s="11"/>
      <c r="F163" s="12"/>
      <c r="G163" s="12"/>
      <c r="H163" s="9"/>
    </row>
    <row r="164" customFormat="false" ht="15" hidden="false" customHeight="true" outlineLevel="0" collapsed="false">
      <c r="A164" s="9"/>
      <c r="B164" s="9"/>
      <c r="C164" s="9"/>
      <c r="D164" s="9"/>
      <c r="E164" s="11"/>
      <c r="F164" s="12"/>
      <c r="G164" s="12"/>
      <c r="H164" s="9"/>
    </row>
    <row r="165" customFormat="false" ht="15" hidden="false" customHeight="true" outlineLevel="0" collapsed="false">
      <c r="A165" s="9"/>
      <c r="B165" s="9"/>
      <c r="C165" s="9"/>
      <c r="D165" s="9"/>
      <c r="E165" s="11"/>
      <c r="F165" s="12"/>
      <c r="G165" s="12"/>
      <c r="H165" s="9"/>
    </row>
    <row r="166" customFormat="false" ht="15" hidden="false" customHeight="true" outlineLevel="0" collapsed="false">
      <c r="A166" s="9"/>
      <c r="B166" s="9"/>
      <c r="C166" s="9"/>
      <c r="D166" s="9"/>
      <c r="E166" s="11"/>
      <c r="F166" s="12"/>
      <c r="G166" s="12"/>
      <c r="H166" s="9"/>
    </row>
    <row r="167" customFormat="false" ht="15" hidden="false" customHeight="true" outlineLevel="0" collapsed="false">
      <c r="A167" s="9"/>
      <c r="B167" s="9"/>
      <c r="C167" s="9"/>
      <c r="D167" s="9"/>
      <c r="E167" s="11"/>
      <c r="F167" s="12"/>
      <c r="G167" s="12"/>
      <c r="H167" s="9"/>
    </row>
    <row r="168" customFormat="false" ht="15" hidden="false" customHeight="true" outlineLevel="0" collapsed="false">
      <c r="A168" s="9"/>
      <c r="B168" s="9"/>
      <c r="C168" s="9"/>
      <c r="D168" s="9"/>
      <c r="E168" s="11"/>
      <c r="F168" s="12"/>
      <c r="G168" s="12"/>
      <c r="H168" s="9"/>
    </row>
    <row r="169" customFormat="false" ht="15" hidden="false" customHeight="true" outlineLevel="0" collapsed="false">
      <c r="A169" s="9"/>
      <c r="B169" s="9"/>
      <c r="C169" s="9"/>
      <c r="D169" s="9"/>
      <c r="E169" s="11"/>
      <c r="F169" s="12"/>
      <c r="G169" s="12"/>
      <c r="H169" s="9"/>
    </row>
    <row r="170" customFormat="false" ht="15" hidden="false" customHeight="true" outlineLevel="0" collapsed="false">
      <c r="A170" s="9"/>
      <c r="B170" s="9"/>
      <c r="C170" s="9"/>
      <c r="D170" s="9"/>
      <c r="E170" s="11"/>
      <c r="F170" s="12"/>
      <c r="G170" s="12"/>
      <c r="H170" s="9"/>
    </row>
    <row r="171" customFormat="false" ht="15" hidden="false" customHeight="true" outlineLevel="0" collapsed="false">
      <c r="A171" s="9"/>
      <c r="B171" s="9"/>
      <c r="C171" s="9"/>
      <c r="D171" s="9"/>
      <c r="E171" s="11"/>
      <c r="F171" s="12"/>
      <c r="G171" s="12"/>
      <c r="H171" s="9"/>
    </row>
    <row r="172" customFormat="false" ht="15" hidden="false" customHeight="true" outlineLevel="0" collapsed="false">
      <c r="A172" s="9"/>
      <c r="B172" s="9"/>
      <c r="C172" s="9"/>
      <c r="D172" s="9"/>
      <c r="E172" s="11"/>
      <c r="F172" s="12"/>
      <c r="G172" s="12"/>
      <c r="H172" s="9"/>
    </row>
    <row r="173" customFormat="false" ht="15" hidden="false" customHeight="true" outlineLevel="0" collapsed="false">
      <c r="A173" s="9"/>
      <c r="B173" s="9"/>
      <c r="C173" s="9"/>
      <c r="D173" s="9"/>
      <c r="E173" s="11"/>
      <c r="F173" s="12"/>
      <c r="G173" s="12"/>
      <c r="H173" s="9"/>
    </row>
    <row r="174" customFormat="false" ht="15" hidden="false" customHeight="true" outlineLevel="0" collapsed="false">
      <c r="A174" s="9"/>
      <c r="B174" s="9"/>
      <c r="C174" s="9"/>
      <c r="D174" s="9"/>
      <c r="E174" s="11"/>
      <c r="F174" s="12"/>
      <c r="G174" s="12"/>
      <c r="H174" s="9"/>
    </row>
    <row r="175" customFormat="false" ht="15" hidden="false" customHeight="true" outlineLevel="0" collapsed="false">
      <c r="A175" s="9"/>
      <c r="B175" s="9"/>
      <c r="C175" s="9"/>
      <c r="D175" s="9"/>
      <c r="E175" s="11"/>
      <c r="F175" s="12"/>
      <c r="G175" s="12"/>
      <c r="H175" s="9"/>
    </row>
    <row r="176" customFormat="false" ht="15" hidden="false" customHeight="true" outlineLevel="0" collapsed="false">
      <c r="A176" s="9"/>
      <c r="B176" s="9"/>
      <c r="C176" s="9"/>
      <c r="D176" s="9"/>
      <c r="E176" s="11"/>
      <c r="F176" s="12"/>
      <c r="G176" s="12"/>
      <c r="H176" s="9"/>
    </row>
    <row r="177" customFormat="false" ht="15" hidden="false" customHeight="true" outlineLevel="0" collapsed="false">
      <c r="A177" s="9"/>
      <c r="B177" s="9"/>
      <c r="C177" s="9"/>
      <c r="D177" s="9"/>
      <c r="E177" s="11"/>
      <c r="F177" s="12"/>
      <c r="G177" s="12"/>
      <c r="H177" s="9"/>
    </row>
    <row r="178" customFormat="false" ht="15" hidden="false" customHeight="true" outlineLevel="0" collapsed="false">
      <c r="A178" s="9"/>
      <c r="B178" s="9"/>
      <c r="C178" s="9"/>
      <c r="D178" s="9"/>
      <c r="E178" s="11"/>
      <c r="F178" s="12"/>
      <c r="G178" s="12"/>
      <c r="H178" s="9"/>
    </row>
    <row r="179" customFormat="false" ht="15" hidden="false" customHeight="true" outlineLevel="0" collapsed="false">
      <c r="A179" s="9"/>
      <c r="B179" s="9"/>
      <c r="C179" s="9"/>
      <c r="D179" s="9"/>
      <c r="E179" s="11"/>
      <c r="F179" s="12"/>
      <c r="G179" s="12"/>
      <c r="H179" s="9"/>
    </row>
    <row r="180" customFormat="false" ht="15" hidden="false" customHeight="true" outlineLevel="0" collapsed="false">
      <c r="A180" s="9"/>
      <c r="B180" s="9"/>
      <c r="C180" s="9"/>
      <c r="D180" s="9"/>
      <c r="E180" s="11"/>
      <c r="F180" s="12"/>
      <c r="G180" s="12"/>
      <c r="H180" s="9"/>
    </row>
    <row r="181" customFormat="false" ht="15" hidden="false" customHeight="true" outlineLevel="0" collapsed="false">
      <c r="A181" s="9"/>
      <c r="B181" s="9"/>
      <c r="C181" s="9"/>
      <c r="D181" s="9"/>
      <c r="E181" s="11"/>
      <c r="F181" s="12"/>
      <c r="G181" s="12"/>
      <c r="H181" s="9"/>
    </row>
    <row r="182" customFormat="false" ht="15" hidden="false" customHeight="true" outlineLevel="0" collapsed="false">
      <c r="A182" s="9"/>
      <c r="B182" s="9"/>
      <c r="C182" s="9"/>
      <c r="D182" s="9"/>
      <c r="E182" s="11"/>
      <c r="F182" s="12"/>
      <c r="G182" s="12"/>
      <c r="H182" s="9"/>
    </row>
    <row r="183" customFormat="false" ht="15" hidden="false" customHeight="true" outlineLevel="0" collapsed="false">
      <c r="A183" s="9"/>
      <c r="B183" s="9"/>
      <c r="C183" s="9"/>
      <c r="D183" s="9"/>
      <c r="E183" s="11"/>
      <c r="F183" s="12"/>
      <c r="G183" s="12"/>
      <c r="H183" s="9"/>
    </row>
    <row r="184" customFormat="false" ht="15" hidden="false" customHeight="true" outlineLevel="0" collapsed="false">
      <c r="A184" s="9"/>
      <c r="B184" s="9"/>
      <c r="C184" s="9"/>
      <c r="D184" s="9"/>
      <c r="E184" s="11"/>
      <c r="F184" s="12"/>
      <c r="G184" s="12"/>
      <c r="H184" s="9"/>
    </row>
    <row r="185" customFormat="false" ht="15" hidden="false" customHeight="true" outlineLevel="0" collapsed="false">
      <c r="A185" s="9"/>
      <c r="B185" s="9"/>
      <c r="C185" s="9"/>
      <c r="D185" s="9"/>
      <c r="E185" s="11"/>
      <c r="F185" s="12"/>
      <c r="G185" s="12"/>
      <c r="H185" s="9"/>
    </row>
    <row r="186" customFormat="false" ht="15" hidden="false" customHeight="true" outlineLevel="0" collapsed="false">
      <c r="A186" s="9"/>
      <c r="B186" s="9"/>
      <c r="C186" s="9"/>
      <c r="D186" s="9"/>
      <c r="E186" s="11"/>
      <c r="F186" s="12"/>
      <c r="G186" s="12"/>
      <c r="H186" s="9"/>
    </row>
    <row r="187" customFormat="false" ht="15" hidden="false" customHeight="true" outlineLevel="0" collapsed="false">
      <c r="A187" s="9"/>
      <c r="B187" s="9"/>
      <c r="C187" s="9"/>
      <c r="D187" s="9"/>
      <c r="E187" s="11"/>
      <c r="F187" s="12"/>
      <c r="G187" s="12"/>
      <c r="H187" s="9"/>
    </row>
    <row r="188" customFormat="false" ht="15" hidden="false" customHeight="true" outlineLevel="0" collapsed="false">
      <c r="A188" s="9"/>
      <c r="B188" s="9"/>
      <c r="C188" s="9"/>
      <c r="D188" s="9"/>
      <c r="E188" s="11"/>
      <c r="F188" s="12"/>
      <c r="G188" s="12"/>
      <c r="H188" s="9"/>
    </row>
    <row r="189" customFormat="false" ht="15" hidden="false" customHeight="true" outlineLevel="0" collapsed="false">
      <c r="A189" s="9"/>
      <c r="B189" s="9"/>
      <c r="C189" s="9"/>
      <c r="D189" s="9"/>
      <c r="E189" s="11"/>
      <c r="F189" s="12"/>
      <c r="G189" s="12"/>
      <c r="H189" s="9"/>
    </row>
    <row r="190" customFormat="false" ht="15" hidden="false" customHeight="true" outlineLevel="0" collapsed="false">
      <c r="A190" s="9"/>
      <c r="B190" s="9"/>
      <c r="C190" s="9"/>
      <c r="D190" s="9"/>
      <c r="E190" s="11"/>
      <c r="F190" s="12"/>
      <c r="G190" s="12"/>
      <c r="H190" s="9"/>
    </row>
    <row r="191" customFormat="false" ht="15" hidden="false" customHeight="true" outlineLevel="0" collapsed="false">
      <c r="A191" s="9"/>
      <c r="B191" s="9"/>
      <c r="C191" s="9"/>
      <c r="D191" s="9"/>
      <c r="E191" s="11"/>
      <c r="F191" s="12"/>
      <c r="G191" s="12"/>
      <c r="H191" s="9"/>
    </row>
    <row r="192" customFormat="false" ht="15" hidden="false" customHeight="true" outlineLevel="0" collapsed="false">
      <c r="A192" s="9"/>
      <c r="B192" s="9"/>
      <c r="C192" s="9"/>
      <c r="D192" s="9"/>
      <c r="E192" s="11"/>
      <c r="F192" s="12"/>
      <c r="G192" s="12"/>
      <c r="H192" s="9"/>
    </row>
    <row r="193" customFormat="false" ht="15" hidden="false" customHeight="true" outlineLevel="0" collapsed="false">
      <c r="A193" s="9"/>
      <c r="B193" s="9"/>
      <c r="C193" s="9"/>
      <c r="D193" s="9"/>
      <c r="E193" s="11"/>
      <c r="F193" s="12"/>
      <c r="G193" s="12"/>
      <c r="H193" s="9"/>
    </row>
    <row r="194" customFormat="false" ht="15" hidden="false" customHeight="true" outlineLevel="0" collapsed="false">
      <c r="A194" s="9"/>
      <c r="B194" s="9"/>
      <c r="C194" s="9"/>
      <c r="D194" s="9"/>
      <c r="E194" s="11"/>
      <c r="F194" s="12"/>
      <c r="G194" s="12"/>
      <c r="H194" s="9"/>
    </row>
    <row r="195" customFormat="false" ht="15" hidden="false" customHeight="true" outlineLevel="0" collapsed="false">
      <c r="A195" s="9"/>
      <c r="B195" s="9"/>
      <c r="C195" s="9"/>
      <c r="D195" s="9"/>
      <c r="E195" s="11"/>
      <c r="F195" s="12"/>
      <c r="G195" s="12"/>
      <c r="H195" s="9"/>
    </row>
    <row r="196" customFormat="false" ht="15" hidden="false" customHeight="true" outlineLevel="0" collapsed="false">
      <c r="A196" s="9"/>
      <c r="B196" s="9"/>
      <c r="C196" s="9"/>
      <c r="D196" s="9"/>
      <c r="E196" s="11"/>
      <c r="F196" s="12"/>
      <c r="G196" s="12"/>
      <c r="H196" s="9"/>
    </row>
    <row r="197" customFormat="false" ht="15" hidden="false" customHeight="true" outlineLevel="0" collapsed="false">
      <c r="A197" s="9"/>
      <c r="B197" s="9"/>
      <c r="C197" s="9"/>
      <c r="D197" s="9"/>
      <c r="E197" s="11"/>
      <c r="F197" s="12"/>
      <c r="G197" s="12"/>
      <c r="H197" s="9"/>
    </row>
    <row r="198" customFormat="false" ht="15" hidden="false" customHeight="true" outlineLevel="0" collapsed="false">
      <c r="A198" s="9"/>
      <c r="B198" s="9"/>
      <c r="C198" s="9"/>
      <c r="D198" s="9"/>
      <c r="E198" s="11"/>
      <c r="F198" s="12"/>
      <c r="G198" s="12"/>
      <c r="H198" s="9"/>
    </row>
    <row r="199" customFormat="false" ht="15" hidden="false" customHeight="true" outlineLevel="0" collapsed="false">
      <c r="A199" s="9"/>
      <c r="B199" s="9"/>
      <c r="C199" s="9"/>
      <c r="D199" s="9"/>
      <c r="E199" s="11"/>
      <c r="F199" s="12"/>
      <c r="G199" s="12"/>
      <c r="H199" s="9"/>
    </row>
    <row r="200" customFormat="false" ht="15" hidden="false" customHeight="true" outlineLevel="0" collapsed="false">
      <c r="A200" s="9"/>
      <c r="B200" s="9"/>
      <c r="C200" s="9"/>
      <c r="D200" s="9"/>
      <c r="E200" s="11"/>
      <c r="F200" s="12"/>
      <c r="G200" s="12"/>
      <c r="H200" s="9"/>
    </row>
    <row r="201" customFormat="false" ht="15" hidden="false" customHeight="true" outlineLevel="0" collapsed="false">
      <c r="A201" s="9"/>
      <c r="B201" s="9"/>
      <c r="C201" s="9"/>
      <c r="D201" s="9"/>
      <c r="E201" s="11"/>
      <c r="F201" s="12"/>
      <c r="G201" s="12"/>
      <c r="H201" s="9"/>
    </row>
    <row r="202" customFormat="false" ht="15" hidden="false" customHeight="true" outlineLevel="0" collapsed="false">
      <c r="A202" s="9"/>
      <c r="B202" s="9"/>
      <c r="C202" s="9"/>
      <c r="D202" s="9"/>
      <c r="E202" s="11"/>
      <c r="F202" s="12"/>
      <c r="G202" s="12"/>
      <c r="H202" s="9"/>
    </row>
    <row r="204" customFormat="false" ht="15" hidden="false" customHeight="true" outlineLevel="0" collapsed="false">
      <c r="A204" s="13" t="s">
        <v>52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34"/>
    <col collapsed="false" customWidth="true" hidden="false" outlineLevel="0" max="8" min="8" style="1" width="20"/>
  </cols>
  <sheetData>
    <row r="1" customFormat="false" ht="25.5" hidden="false" customHeight="true" outlineLevel="0" collapsed="false">
      <c r="A1" s="2" t="s">
        <v>53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8" t="s">
        <v>54</v>
      </c>
      <c r="B2" s="8" t="s">
        <v>29</v>
      </c>
      <c r="C2" s="14" t="s">
        <v>55</v>
      </c>
      <c r="D2" s="8" t="s">
        <v>56</v>
      </c>
      <c r="E2" s="8" t="s">
        <v>57</v>
      </c>
      <c r="F2" s="8" t="s">
        <v>58</v>
      </c>
      <c r="G2" s="8" t="s">
        <v>59</v>
      </c>
      <c r="H2" s="8" t="s">
        <v>36</v>
      </c>
    </row>
    <row r="3" customFormat="false" ht="15" hidden="false" customHeight="true" outlineLevel="0" collapsed="false">
      <c r="A3" s="12"/>
      <c r="B3" s="9"/>
      <c r="C3" s="15" t="str">
        <f aca="false">IF($B3="","",IFERROR(INDEX(설비목록!$B$3:$B$202,MATCH($B3,설비목록!$A$3:$A$202,0)),"미등록설비"))</f>
        <v/>
      </c>
      <c r="D3" s="9"/>
      <c r="E3" s="9"/>
      <c r="F3" s="9"/>
      <c r="G3" s="9"/>
      <c r="H3" s="9"/>
    </row>
    <row r="4" customFormat="false" ht="15" hidden="false" customHeight="true" outlineLevel="0" collapsed="false">
      <c r="A4" s="12"/>
      <c r="B4" s="9"/>
      <c r="C4" s="15" t="str">
        <f aca="false">IF($B4="","",IFERROR(INDEX(설비목록!$B$3:$B$202,MATCH($B4,설비목록!$A$3:$A$202,0)),"미등록설비"))</f>
        <v/>
      </c>
      <c r="D4" s="9"/>
      <c r="E4" s="9"/>
      <c r="F4" s="9"/>
      <c r="G4" s="9"/>
      <c r="H4" s="9"/>
    </row>
    <row r="5" customFormat="false" ht="15" hidden="false" customHeight="true" outlineLevel="0" collapsed="false">
      <c r="A5" s="12"/>
      <c r="B5" s="9"/>
      <c r="C5" s="15" t="str">
        <f aca="false">IF($B5="","",IFERROR(INDEX(설비목록!$B$3:$B$202,MATCH($B5,설비목록!$A$3:$A$202,0)),"미등록설비"))</f>
        <v/>
      </c>
      <c r="D5" s="9"/>
      <c r="E5" s="9"/>
      <c r="F5" s="9"/>
      <c r="G5" s="9"/>
      <c r="H5" s="9"/>
    </row>
    <row r="6" customFormat="false" ht="15" hidden="false" customHeight="true" outlineLevel="0" collapsed="false">
      <c r="A6" s="12"/>
      <c r="B6" s="9"/>
      <c r="C6" s="15" t="str">
        <f aca="false">IF($B6="","",IFERROR(INDEX(설비목록!$B$3:$B$202,MATCH($B6,설비목록!$A$3:$A$202,0)),"미등록설비"))</f>
        <v/>
      </c>
      <c r="D6" s="9"/>
      <c r="E6" s="9"/>
      <c r="F6" s="9"/>
      <c r="G6" s="9"/>
      <c r="H6" s="9"/>
    </row>
    <row r="7" customFormat="false" ht="15" hidden="false" customHeight="true" outlineLevel="0" collapsed="false">
      <c r="A7" s="12"/>
      <c r="B7" s="9"/>
      <c r="C7" s="15" t="str">
        <f aca="false">IF($B7="","",IFERROR(INDEX(설비목록!$B$3:$B$202,MATCH($B7,설비목록!$A$3:$A$202,0)),"미등록설비"))</f>
        <v/>
      </c>
      <c r="D7" s="9"/>
      <c r="E7" s="9"/>
      <c r="F7" s="9"/>
      <c r="G7" s="9"/>
      <c r="H7" s="9"/>
    </row>
    <row r="8" customFormat="false" ht="15" hidden="false" customHeight="true" outlineLevel="0" collapsed="false">
      <c r="A8" s="12"/>
      <c r="B8" s="9"/>
      <c r="C8" s="15" t="str">
        <f aca="false">IF($B8="","",IFERROR(INDEX(설비목록!$B$3:$B$202,MATCH($B8,설비목록!$A$3:$A$202,0)),"미등록설비"))</f>
        <v/>
      </c>
      <c r="D8" s="9"/>
      <c r="E8" s="9"/>
      <c r="F8" s="9"/>
      <c r="G8" s="9"/>
      <c r="H8" s="9"/>
    </row>
    <row r="9" customFormat="false" ht="15" hidden="false" customHeight="true" outlineLevel="0" collapsed="false">
      <c r="A9" s="12"/>
      <c r="B9" s="9"/>
      <c r="C9" s="15" t="str">
        <f aca="false">IF($B9="","",IFERROR(INDEX(설비목록!$B$3:$B$202,MATCH($B9,설비목록!$A$3:$A$202,0)),"미등록설비"))</f>
        <v/>
      </c>
      <c r="D9" s="9"/>
      <c r="E9" s="9"/>
      <c r="F9" s="9"/>
      <c r="G9" s="9"/>
      <c r="H9" s="9"/>
    </row>
    <row r="10" customFormat="false" ht="15" hidden="false" customHeight="true" outlineLevel="0" collapsed="false">
      <c r="A10" s="12"/>
      <c r="B10" s="9"/>
      <c r="C10" s="15" t="str">
        <f aca="false">IF($B10="","",IFERROR(INDEX(설비목록!$B$3:$B$202,MATCH($B10,설비목록!$A$3:$A$202,0)),"미등록설비"))</f>
        <v/>
      </c>
      <c r="D10" s="9"/>
      <c r="E10" s="9"/>
      <c r="F10" s="9"/>
      <c r="G10" s="9"/>
      <c r="H10" s="9"/>
    </row>
    <row r="11" customFormat="false" ht="15" hidden="false" customHeight="true" outlineLevel="0" collapsed="false">
      <c r="A11" s="12"/>
      <c r="B11" s="9"/>
      <c r="C11" s="15" t="str">
        <f aca="false">IF($B11="","",IFERROR(INDEX(설비목록!$B$3:$B$202,MATCH($B11,설비목록!$A$3:$A$202,0)),"미등록설비"))</f>
        <v/>
      </c>
      <c r="D11" s="9"/>
      <c r="E11" s="9"/>
      <c r="F11" s="9"/>
      <c r="G11" s="9"/>
      <c r="H11" s="9"/>
    </row>
    <row r="12" customFormat="false" ht="15" hidden="false" customHeight="true" outlineLevel="0" collapsed="false">
      <c r="A12" s="12"/>
      <c r="B12" s="9"/>
      <c r="C12" s="15" t="str">
        <f aca="false">IF($B12="","",IFERROR(INDEX(설비목록!$B$3:$B$202,MATCH($B12,설비목록!$A$3:$A$202,0)),"미등록설비"))</f>
        <v/>
      </c>
      <c r="D12" s="9"/>
      <c r="E12" s="9"/>
      <c r="F12" s="9"/>
      <c r="G12" s="9"/>
      <c r="H12" s="9"/>
    </row>
    <row r="13" customFormat="false" ht="15" hidden="false" customHeight="true" outlineLevel="0" collapsed="false">
      <c r="A13" s="12"/>
      <c r="B13" s="9"/>
      <c r="C13" s="15" t="str">
        <f aca="false">IF($B13="","",IFERROR(INDEX(설비목록!$B$3:$B$202,MATCH($B13,설비목록!$A$3:$A$202,0)),"미등록설비"))</f>
        <v/>
      </c>
      <c r="D13" s="9"/>
      <c r="E13" s="9"/>
      <c r="F13" s="9"/>
      <c r="G13" s="9"/>
      <c r="H13" s="9"/>
    </row>
    <row r="14" customFormat="false" ht="15" hidden="false" customHeight="true" outlineLevel="0" collapsed="false">
      <c r="A14" s="12"/>
      <c r="B14" s="9"/>
      <c r="C14" s="15" t="str">
        <f aca="false">IF($B14="","",IFERROR(INDEX(설비목록!$B$3:$B$202,MATCH($B14,설비목록!$A$3:$A$202,0)),"미등록설비"))</f>
        <v/>
      </c>
      <c r="D14" s="9"/>
      <c r="E14" s="9"/>
      <c r="F14" s="9"/>
      <c r="G14" s="9"/>
      <c r="H14" s="9"/>
    </row>
    <row r="15" customFormat="false" ht="15" hidden="false" customHeight="true" outlineLevel="0" collapsed="false">
      <c r="A15" s="12"/>
      <c r="B15" s="9"/>
      <c r="C15" s="15" t="str">
        <f aca="false">IF($B15="","",IFERROR(INDEX(설비목록!$B$3:$B$202,MATCH($B15,설비목록!$A$3:$A$202,0)),"미등록설비"))</f>
        <v/>
      </c>
      <c r="D15" s="9"/>
      <c r="E15" s="9"/>
      <c r="F15" s="9"/>
      <c r="G15" s="9"/>
      <c r="H15" s="9"/>
    </row>
    <row r="16" customFormat="false" ht="15" hidden="false" customHeight="true" outlineLevel="0" collapsed="false">
      <c r="A16" s="12"/>
      <c r="B16" s="9"/>
      <c r="C16" s="15" t="str">
        <f aca="false">IF($B16="","",IFERROR(INDEX(설비목록!$B$3:$B$202,MATCH($B16,설비목록!$A$3:$A$202,0)),"미등록설비"))</f>
        <v/>
      </c>
      <c r="D16" s="9"/>
      <c r="E16" s="9"/>
      <c r="F16" s="9"/>
      <c r="G16" s="9"/>
      <c r="H16" s="9"/>
    </row>
    <row r="17" customFormat="false" ht="15" hidden="false" customHeight="true" outlineLevel="0" collapsed="false">
      <c r="A17" s="12"/>
      <c r="B17" s="9"/>
      <c r="C17" s="15" t="str">
        <f aca="false">IF($B17="","",IFERROR(INDEX(설비목록!$B$3:$B$202,MATCH($B17,설비목록!$A$3:$A$202,0)),"미등록설비"))</f>
        <v/>
      </c>
      <c r="D17" s="9"/>
      <c r="E17" s="9"/>
      <c r="F17" s="9"/>
      <c r="G17" s="9"/>
      <c r="H17" s="9"/>
    </row>
    <row r="18" customFormat="false" ht="15" hidden="false" customHeight="true" outlineLevel="0" collapsed="false">
      <c r="A18" s="12"/>
      <c r="B18" s="9"/>
      <c r="C18" s="15" t="str">
        <f aca="false">IF($B18="","",IFERROR(INDEX(설비목록!$B$3:$B$202,MATCH($B18,설비목록!$A$3:$A$202,0)),"미등록설비"))</f>
        <v/>
      </c>
      <c r="D18" s="9"/>
      <c r="E18" s="9"/>
      <c r="F18" s="9"/>
      <c r="G18" s="9"/>
      <c r="H18" s="9"/>
    </row>
    <row r="19" customFormat="false" ht="15" hidden="false" customHeight="true" outlineLevel="0" collapsed="false">
      <c r="A19" s="12"/>
      <c r="B19" s="9"/>
      <c r="C19" s="15" t="str">
        <f aca="false">IF($B19="","",IFERROR(INDEX(설비목록!$B$3:$B$202,MATCH($B19,설비목록!$A$3:$A$202,0)),"미등록설비"))</f>
        <v/>
      </c>
      <c r="D19" s="9"/>
      <c r="E19" s="9"/>
      <c r="F19" s="9"/>
      <c r="G19" s="9"/>
      <c r="H19" s="9"/>
    </row>
    <row r="20" customFormat="false" ht="15" hidden="false" customHeight="true" outlineLevel="0" collapsed="false">
      <c r="A20" s="12"/>
      <c r="B20" s="9"/>
      <c r="C20" s="15" t="str">
        <f aca="false">IF($B20="","",IFERROR(INDEX(설비목록!$B$3:$B$202,MATCH($B20,설비목록!$A$3:$A$202,0)),"미등록설비"))</f>
        <v/>
      </c>
      <c r="D20" s="9"/>
      <c r="E20" s="9"/>
      <c r="F20" s="9"/>
      <c r="G20" s="9"/>
      <c r="H20" s="9"/>
    </row>
    <row r="21" customFormat="false" ht="15" hidden="false" customHeight="true" outlineLevel="0" collapsed="false">
      <c r="A21" s="12"/>
      <c r="B21" s="9"/>
      <c r="C21" s="15" t="str">
        <f aca="false">IF($B21="","",IFERROR(INDEX(설비목록!$B$3:$B$202,MATCH($B21,설비목록!$A$3:$A$202,0)),"미등록설비"))</f>
        <v/>
      </c>
      <c r="D21" s="9"/>
      <c r="E21" s="9"/>
      <c r="F21" s="9"/>
      <c r="G21" s="9"/>
      <c r="H21" s="9"/>
    </row>
    <row r="22" customFormat="false" ht="15" hidden="false" customHeight="true" outlineLevel="0" collapsed="false">
      <c r="A22" s="12"/>
      <c r="B22" s="9"/>
      <c r="C22" s="15" t="str">
        <f aca="false">IF($B22="","",IFERROR(INDEX(설비목록!$B$3:$B$202,MATCH($B22,설비목록!$A$3:$A$202,0)),"미등록설비"))</f>
        <v/>
      </c>
      <c r="D22" s="9"/>
      <c r="E22" s="9"/>
      <c r="F22" s="9"/>
      <c r="G22" s="9"/>
      <c r="H22" s="9"/>
    </row>
    <row r="23" customFormat="false" ht="15" hidden="false" customHeight="true" outlineLevel="0" collapsed="false">
      <c r="A23" s="12"/>
      <c r="B23" s="9"/>
      <c r="C23" s="15" t="str">
        <f aca="false">IF($B23="","",IFERROR(INDEX(설비목록!$B$3:$B$202,MATCH($B23,설비목록!$A$3:$A$202,0)),"미등록설비"))</f>
        <v/>
      </c>
      <c r="D23" s="9"/>
      <c r="E23" s="9"/>
      <c r="F23" s="9"/>
      <c r="G23" s="9"/>
      <c r="H23" s="9"/>
    </row>
    <row r="24" customFormat="false" ht="15" hidden="false" customHeight="true" outlineLevel="0" collapsed="false">
      <c r="A24" s="12"/>
      <c r="B24" s="9"/>
      <c r="C24" s="15" t="str">
        <f aca="false">IF($B24="","",IFERROR(INDEX(설비목록!$B$3:$B$202,MATCH($B24,설비목록!$A$3:$A$202,0)),"미등록설비"))</f>
        <v/>
      </c>
      <c r="D24" s="9"/>
      <c r="E24" s="9"/>
      <c r="F24" s="9"/>
      <c r="G24" s="9"/>
      <c r="H24" s="9"/>
    </row>
    <row r="25" customFormat="false" ht="15" hidden="false" customHeight="true" outlineLevel="0" collapsed="false">
      <c r="A25" s="12"/>
      <c r="B25" s="9"/>
      <c r="C25" s="15" t="str">
        <f aca="false">IF($B25="","",IFERROR(INDEX(설비목록!$B$3:$B$202,MATCH($B25,설비목록!$A$3:$A$202,0)),"미등록설비"))</f>
        <v/>
      </c>
      <c r="D25" s="9"/>
      <c r="E25" s="9"/>
      <c r="F25" s="9"/>
      <c r="G25" s="9"/>
      <c r="H25" s="9"/>
    </row>
    <row r="26" customFormat="false" ht="15" hidden="false" customHeight="true" outlineLevel="0" collapsed="false">
      <c r="A26" s="12"/>
      <c r="B26" s="9"/>
      <c r="C26" s="15" t="str">
        <f aca="false">IF($B26="","",IFERROR(INDEX(설비목록!$B$3:$B$202,MATCH($B26,설비목록!$A$3:$A$202,0)),"미등록설비"))</f>
        <v/>
      </c>
      <c r="D26" s="9"/>
      <c r="E26" s="9"/>
      <c r="F26" s="9"/>
      <c r="G26" s="9"/>
      <c r="H26" s="9"/>
    </row>
    <row r="27" customFormat="false" ht="15" hidden="false" customHeight="true" outlineLevel="0" collapsed="false">
      <c r="A27" s="12"/>
      <c r="B27" s="9"/>
      <c r="C27" s="15" t="str">
        <f aca="false">IF($B27="","",IFERROR(INDEX(설비목록!$B$3:$B$202,MATCH($B27,설비목록!$A$3:$A$202,0)),"미등록설비"))</f>
        <v/>
      </c>
      <c r="D27" s="9"/>
      <c r="E27" s="9"/>
      <c r="F27" s="9"/>
      <c r="G27" s="9"/>
      <c r="H27" s="9"/>
    </row>
    <row r="28" customFormat="false" ht="15" hidden="false" customHeight="true" outlineLevel="0" collapsed="false">
      <c r="A28" s="12"/>
      <c r="B28" s="9"/>
      <c r="C28" s="15" t="str">
        <f aca="false">IF($B28="","",IFERROR(INDEX(설비목록!$B$3:$B$202,MATCH($B28,설비목록!$A$3:$A$202,0)),"미등록설비"))</f>
        <v/>
      </c>
      <c r="D28" s="9"/>
      <c r="E28" s="9"/>
      <c r="F28" s="9"/>
      <c r="G28" s="9"/>
      <c r="H28" s="9"/>
    </row>
    <row r="29" customFormat="false" ht="15" hidden="false" customHeight="true" outlineLevel="0" collapsed="false">
      <c r="A29" s="12"/>
      <c r="B29" s="9"/>
      <c r="C29" s="15" t="str">
        <f aca="false">IF($B29="","",IFERROR(INDEX(설비목록!$B$3:$B$202,MATCH($B29,설비목록!$A$3:$A$202,0)),"미등록설비"))</f>
        <v/>
      </c>
      <c r="D29" s="9"/>
      <c r="E29" s="9"/>
      <c r="F29" s="9"/>
      <c r="G29" s="9"/>
      <c r="H29" s="9"/>
    </row>
    <row r="30" customFormat="false" ht="15" hidden="false" customHeight="true" outlineLevel="0" collapsed="false">
      <c r="A30" s="12"/>
      <c r="B30" s="9"/>
      <c r="C30" s="15" t="str">
        <f aca="false">IF($B30="","",IFERROR(INDEX(설비목록!$B$3:$B$202,MATCH($B30,설비목록!$A$3:$A$202,0)),"미등록설비"))</f>
        <v/>
      </c>
      <c r="D30" s="9"/>
      <c r="E30" s="9"/>
      <c r="F30" s="9"/>
      <c r="G30" s="9"/>
      <c r="H30" s="9"/>
    </row>
    <row r="31" customFormat="false" ht="15" hidden="false" customHeight="true" outlineLevel="0" collapsed="false">
      <c r="A31" s="12"/>
      <c r="B31" s="9"/>
      <c r="C31" s="15" t="str">
        <f aca="false">IF($B31="","",IFERROR(INDEX(설비목록!$B$3:$B$202,MATCH($B31,설비목록!$A$3:$A$202,0)),"미등록설비"))</f>
        <v/>
      </c>
      <c r="D31" s="9"/>
      <c r="E31" s="9"/>
      <c r="F31" s="9"/>
      <c r="G31" s="9"/>
      <c r="H31" s="9"/>
    </row>
    <row r="32" customFormat="false" ht="15" hidden="false" customHeight="true" outlineLevel="0" collapsed="false">
      <c r="A32" s="12"/>
      <c r="B32" s="9"/>
      <c r="C32" s="15" t="str">
        <f aca="false">IF($B32="","",IFERROR(INDEX(설비목록!$B$3:$B$202,MATCH($B32,설비목록!$A$3:$A$202,0)),"미등록설비"))</f>
        <v/>
      </c>
      <c r="D32" s="9"/>
      <c r="E32" s="9"/>
      <c r="F32" s="9"/>
      <c r="G32" s="9"/>
      <c r="H32" s="9"/>
    </row>
    <row r="33" customFormat="false" ht="15" hidden="false" customHeight="true" outlineLevel="0" collapsed="false">
      <c r="A33" s="12"/>
      <c r="B33" s="9"/>
      <c r="C33" s="15" t="str">
        <f aca="false">IF($B33="","",IFERROR(INDEX(설비목록!$B$3:$B$202,MATCH($B33,설비목록!$A$3:$A$202,0)),"미등록설비"))</f>
        <v/>
      </c>
      <c r="D33" s="9"/>
      <c r="E33" s="9"/>
      <c r="F33" s="9"/>
      <c r="G33" s="9"/>
      <c r="H33" s="9"/>
    </row>
    <row r="34" customFormat="false" ht="15" hidden="false" customHeight="true" outlineLevel="0" collapsed="false">
      <c r="A34" s="12"/>
      <c r="B34" s="9"/>
      <c r="C34" s="15" t="str">
        <f aca="false">IF($B34="","",IFERROR(INDEX(설비목록!$B$3:$B$202,MATCH($B34,설비목록!$A$3:$A$202,0)),"미등록설비"))</f>
        <v/>
      </c>
      <c r="D34" s="9"/>
      <c r="E34" s="9"/>
      <c r="F34" s="9"/>
      <c r="G34" s="9"/>
      <c r="H34" s="9"/>
    </row>
    <row r="35" customFormat="false" ht="15" hidden="false" customHeight="true" outlineLevel="0" collapsed="false">
      <c r="A35" s="12"/>
      <c r="B35" s="9"/>
      <c r="C35" s="15" t="str">
        <f aca="false">IF($B35="","",IFERROR(INDEX(설비목록!$B$3:$B$202,MATCH($B35,설비목록!$A$3:$A$202,0)),"미등록설비"))</f>
        <v/>
      </c>
      <c r="D35" s="9"/>
      <c r="E35" s="9"/>
      <c r="F35" s="9"/>
      <c r="G35" s="9"/>
      <c r="H35" s="9"/>
    </row>
    <row r="36" customFormat="false" ht="15" hidden="false" customHeight="true" outlineLevel="0" collapsed="false">
      <c r="A36" s="12"/>
      <c r="B36" s="9"/>
      <c r="C36" s="15" t="str">
        <f aca="false">IF($B36="","",IFERROR(INDEX(설비목록!$B$3:$B$202,MATCH($B36,설비목록!$A$3:$A$202,0)),"미등록설비"))</f>
        <v/>
      </c>
      <c r="D36" s="9"/>
      <c r="E36" s="9"/>
      <c r="F36" s="9"/>
      <c r="G36" s="9"/>
      <c r="H36" s="9"/>
    </row>
    <row r="37" customFormat="false" ht="15" hidden="false" customHeight="true" outlineLevel="0" collapsed="false">
      <c r="A37" s="12"/>
      <c r="B37" s="9"/>
      <c r="C37" s="15" t="str">
        <f aca="false">IF($B37="","",IFERROR(INDEX(설비목록!$B$3:$B$202,MATCH($B37,설비목록!$A$3:$A$202,0)),"미등록설비"))</f>
        <v/>
      </c>
      <c r="D37" s="9"/>
      <c r="E37" s="9"/>
      <c r="F37" s="9"/>
      <c r="G37" s="9"/>
      <c r="H37" s="9"/>
    </row>
    <row r="38" customFormat="false" ht="15" hidden="false" customHeight="true" outlineLevel="0" collapsed="false">
      <c r="A38" s="12"/>
      <c r="B38" s="9"/>
      <c r="C38" s="15" t="str">
        <f aca="false">IF($B38="","",IFERROR(INDEX(설비목록!$B$3:$B$202,MATCH($B38,설비목록!$A$3:$A$202,0)),"미등록설비"))</f>
        <v/>
      </c>
      <c r="D38" s="9"/>
      <c r="E38" s="9"/>
      <c r="F38" s="9"/>
      <c r="G38" s="9"/>
      <c r="H38" s="9"/>
    </row>
    <row r="39" customFormat="false" ht="15" hidden="false" customHeight="true" outlineLevel="0" collapsed="false">
      <c r="A39" s="12"/>
      <c r="B39" s="9"/>
      <c r="C39" s="15" t="str">
        <f aca="false">IF($B39="","",IFERROR(INDEX(설비목록!$B$3:$B$202,MATCH($B39,설비목록!$A$3:$A$202,0)),"미등록설비"))</f>
        <v/>
      </c>
      <c r="D39" s="9"/>
      <c r="E39" s="9"/>
      <c r="F39" s="9"/>
      <c r="G39" s="9"/>
      <c r="H39" s="9"/>
    </row>
    <row r="40" customFormat="false" ht="15" hidden="false" customHeight="true" outlineLevel="0" collapsed="false">
      <c r="A40" s="12"/>
      <c r="B40" s="9"/>
      <c r="C40" s="15" t="str">
        <f aca="false">IF($B40="","",IFERROR(INDEX(설비목록!$B$3:$B$202,MATCH($B40,설비목록!$A$3:$A$202,0)),"미등록설비"))</f>
        <v/>
      </c>
      <c r="D40" s="9"/>
      <c r="E40" s="9"/>
      <c r="F40" s="9"/>
      <c r="G40" s="9"/>
      <c r="H40" s="9"/>
    </row>
    <row r="41" customFormat="false" ht="15" hidden="false" customHeight="true" outlineLevel="0" collapsed="false">
      <c r="A41" s="12"/>
      <c r="B41" s="9"/>
      <c r="C41" s="15" t="str">
        <f aca="false">IF($B41="","",IFERROR(INDEX(설비목록!$B$3:$B$202,MATCH($B41,설비목록!$A$3:$A$202,0)),"미등록설비"))</f>
        <v/>
      </c>
      <c r="D41" s="9"/>
      <c r="E41" s="9"/>
      <c r="F41" s="9"/>
      <c r="G41" s="9"/>
      <c r="H41" s="9"/>
    </row>
    <row r="42" customFormat="false" ht="15" hidden="false" customHeight="true" outlineLevel="0" collapsed="false">
      <c r="A42" s="12"/>
      <c r="B42" s="9"/>
      <c r="C42" s="15" t="str">
        <f aca="false">IF($B42="","",IFERROR(INDEX(설비목록!$B$3:$B$202,MATCH($B42,설비목록!$A$3:$A$202,0)),"미등록설비"))</f>
        <v/>
      </c>
      <c r="D42" s="9"/>
      <c r="E42" s="9"/>
      <c r="F42" s="9"/>
      <c r="G42" s="9"/>
      <c r="H42" s="9"/>
    </row>
    <row r="43" customFormat="false" ht="15" hidden="false" customHeight="true" outlineLevel="0" collapsed="false">
      <c r="A43" s="12"/>
      <c r="B43" s="9"/>
      <c r="C43" s="15" t="str">
        <f aca="false">IF($B43="","",IFERROR(INDEX(설비목록!$B$3:$B$202,MATCH($B43,설비목록!$A$3:$A$202,0)),"미등록설비"))</f>
        <v/>
      </c>
      <c r="D43" s="9"/>
      <c r="E43" s="9"/>
      <c r="F43" s="9"/>
      <c r="G43" s="9"/>
      <c r="H43" s="9"/>
    </row>
    <row r="44" customFormat="false" ht="15" hidden="false" customHeight="true" outlineLevel="0" collapsed="false">
      <c r="A44" s="12"/>
      <c r="B44" s="9"/>
      <c r="C44" s="15" t="str">
        <f aca="false">IF($B44="","",IFERROR(INDEX(설비목록!$B$3:$B$202,MATCH($B44,설비목록!$A$3:$A$202,0)),"미등록설비"))</f>
        <v/>
      </c>
      <c r="D44" s="9"/>
      <c r="E44" s="9"/>
      <c r="F44" s="9"/>
      <c r="G44" s="9"/>
      <c r="H44" s="9"/>
    </row>
    <row r="45" customFormat="false" ht="15" hidden="false" customHeight="true" outlineLevel="0" collapsed="false">
      <c r="A45" s="12"/>
      <c r="B45" s="9"/>
      <c r="C45" s="15" t="str">
        <f aca="false">IF($B45="","",IFERROR(INDEX(설비목록!$B$3:$B$202,MATCH($B45,설비목록!$A$3:$A$202,0)),"미등록설비"))</f>
        <v/>
      </c>
      <c r="D45" s="9"/>
      <c r="E45" s="9"/>
      <c r="F45" s="9"/>
      <c r="G45" s="9"/>
      <c r="H45" s="9"/>
    </row>
    <row r="46" customFormat="false" ht="15" hidden="false" customHeight="true" outlineLevel="0" collapsed="false">
      <c r="A46" s="12"/>
      <c r="B46" s="9"/>
      <c r="C46" s="15" t="str">
        <f aca="false">IF($B46="","",IFERROR(INDEX(설비목록!$B$3:$B$202,MATCH($B46,설비목록!$A$3:$A$202,0)),"미등록설비"))</f>
        <v/>
      </c>
      <c r="D46" s="9"/>
      <c r="E46" s="9"/>
      <c r="F46" s="9"/>
      <c r="G46" s="9"/>
      <c r="H46" s="9"/>
    </row>
    <row r="47" customFormat="false" ht="15" hidden="false" customHeight="true" outlineLevel="0" collapsed="false">
      <c r="A47" s="12"/>
      <c r="B47" s="9"/>
      <c r="C47" s="15" t="str">
        <f aca="false">IF($B47="","",IFERROR(INDEX(설비목록!$B$3:$B$202,MATCH($B47,설비목록!$A$3:$A$202,0)),"미등록설비"))</f>
        <v/>
      </c>
      <c r="D47" s="9"/>
      <c r="E47" s="9"/>
      <c r="F47" s="9"/>
      <c r="G47" s="9"/>
      <c r="H47" s="9"/>
    </row>
    <row r="48" customFormat="false" ht="15" hidden="false" customHeight="true" outlineLevel="0" collapsed="false">
      <c r="A48" s="12"/>
      <c r="B48" s="9"/>
      <c r="C48" s="15" t="str">
        <f aca="false">IF($B48="","",IFERROR(INDEX(설비목록!$B$3:$B$202,MATCH($B48,설비목록!$A$3:$A$202,0)),"미등록설비"))</f>
        <v/>
      </c>
      <c r="D48" s="9"/>
      <c r="E48" s="9"/>
      <c r="F48" s="9"/>
      <c r="G48" s="9"/>
      <c r="H48" s="9"/>
    </row>
    <row r="49" customFormat="false" ht="15" hidden="false" customHeight="true" outlineLevel="0" collapsed="false">
      <c r="A49" s="12"/>
      <c r="B49" s="9"/>
      <c r="C49" s="15" t="str">
        <f aca="false">IF($B49="","",IFERROR(INDEX(설비목록!$B$3:$B$202,MATCH($B49,설비목록!$A$3:$A$202,0)),"미등록설비"))</f>
        <v/>
      </c>
      <c r="D49" s="9"/>
      <c r="E49" s="9"/>
      <c r="F49" s="9"/>
      <c r="G49" s="9"/>
      <c r="H49" s="9"/>
    </row>
    <row r="50" customFormat="false" ht="15" hidden="false" customHeight="true" outlineLevel="0" collapsed="false">
      <c r="A50" s="12"/>
      <c r="B50" s="9"/>
      <c r="C50" s="15" t="str">
        <f aca="false">IF($B50="","",IFERROR(INDEX(설비목록!$B$3:$B$202,MATCH($B50,설비목록!$A$3:$A$202,0)),"미등록설비"))</f>
        <v/>
      </c>
      <c r="D50" s="9"/>
      <c r="E50" s="9"/>
      <c r="F50" s="9"/>
      <c r="G50" s="9"/>
      <c r="H50" s="9"/>
    </row>
    <row r="51" customFormat="false" ht="15" hidden="false" customHeight="true" outlineLevel="0" collapsed="false">
      <c r="A51" s="12"/>
      <c r="B51" s="9"/>
      <c r="C51" s="15" t="str">
        <f aca="false">IF($B51="","",IFERROR(INDEX(설비목록!$B$3:$B$202,MATCH($B51,설비목록!$A$3:$A$202,0)),"미등록설비"))</f>
        <v/>
      </c>
      <c r="D51" s="9"/>
      <c r="E51" s="9"/>
      <c r="F51" s="9"/>
      <c r="G51" s="9"/>
      <c r="H51" s="9"/>
    </row>
    <row r="52" customFormat="false" ht="15" hidden="false" customHeight="true" outlineLevel="0" collapsed="false">
      <c r="A52" s="12"/>
      <c r="B52" s="9"/>
      <c r="C52" s="15" t="str">
        <f aca="false">IF($B52="","",IFERROR(INDEX(설비목록!$B$3:$B$202,MATCH($B52,설비목록!$A$3:$A$202,0)),"미등록설비"))</f>
        <v/>
      </c>
      <c r="D52" s="9"/>
      <c r="E52" s="9"/>
      <c r="F52" s="9"/>
      <c r="G52" s="9"/>
      <c r="H52" s="9"/>
    </row>
    <row r="53" customFormat="false" ht="15" hidden="false" customHeight="true" outlineLevel="0" collapsed="false">
      <c r="A53" s="12"/>
      <c r="B53" s="9"/>
      <c r="C53" s="15" t="str">
        <f aca="false">IF($B53="","",IFERROR(INDEX(설비목록!$B$3:$B$202,MATCH($B53,설비목록!$A$3:$A$202,0)),"미등록설비"))</f>
        <v/>
      </c>
      <c r="D53" s="9"/>
      <c r="E53" s="9"/>
      <c r="F53" s="9"/>
      <c r="G53" s="9"/>
      <c r="H53" s="9"/>
    </row>
    <row r="54" customFormat="false" ht="15" hidden="false" customHeight="true" outlineLevel="0" collapsed="false">
      <c r="A54" s="12"/>
      <c r="B54" s="9"/>
      <c r="C54" s="15" t="str">
        <f aca="false">IF($B54="","",IFERROR(INDEX(설비목록!$B$3:$B$202,MATCH($B54,설비목록!$A$3:$A$202,0)),"미등록설비"))</f>
        <v/>
      </c>
      <c r="D54" s="9"/>
      <c r="E54" s="9"/>
      <c r="F54" s="9"/>
      <c r="G54" s="9"/>
      <c r="H54" s="9"/>
    </row>
    <row r="55" customFormat="false" ht="15" hidden="false" customHeight="true" outlineLevel="0" collapsed="false">
      <c r="A55" s="12"/>
      <c r="B55" s="9"/>
      <c r="C55" s="15" t="str">
        <f aca="false">IF($B55="","",IFERROR(INDEX(설비목록!$B$3:$B$202,MATCH($B55,설비목록!$A$3:$A$202,0)),"미등록설비"))</f>
        <v/>
      </c>
      <c r="D55" s="9"/>
      <c r="E55" s="9"/>
      <c r="F55" s="9"/>
      <c r="G55" s="9"/>
      <c r="H55" s="9"/>
    </row>
    <row r="56" customFormat="false" ht="15" hidden="false" customHeight="true" outlineLevel="0" collapsed="false">
      <c r="A56" s="12"/>
      <c r="B56" s="9"/>
      <c r="C56" s="15" t="str">
        <f aca="false">IF($B56="","",IFERROR(INDEX(설비목록!$B$3:$B$202,MATCH($B56,설비목록!$A$3:$A$202,0)),"미등록설비"))</f>
        <v/>
      </c>
      <c r="D56" s="9"/>
      <c r="E56" s="9"/>
      <c r="F56" s="9"/>
      <c r="G56" s="9"/>
      <c r="H56" s="9"/>
    </row>
    <row r="57" customFormat="false" ht="15" hidden="false" customHeight="true" outlineLevel="0" collapsed="false">
      <c r="A57" s="12"/>
      <c r="B57" s="9"/>
      <c r="C57" s="15" t="str">
        <f aca="false">IF($B57="","",IFERROR(INDEX(설비목록!$B$3:$B$202,MATCH($B57,설비목록!$A$3:$A$202,0)),"미등록설비"))</f>
        <v/>
      </c>
      <c r="D57" s="9"/>
      <c r="E57" s="9"/>
      <c r="F57" s="9"/>
      <c r="G57" s="9"/>
      <c r="H57" s="9"/>
    </row>
    <row r="58" customFormat="false" ht="15" hidden="false" customHeight="true" outlineLevel="0" collapsed="false">
      <c r="A58" s="12"/>
      <c r="B58" s="9"/>
      <c r="C58" s="15" t="str">
        <f aca="false">IF($B58="","",IFERROR(INDEX(설비목록!$B$3:$B$202,MATCH($B58,설비목록!$A$3:$A$202,0)),"미등록설비"))</f>
        <v/>
      </c>
      <c r="D58" s="9"/>
      <c r="E58" s="9"/>
      <c r="F58" s="9"/>
      <c r="G58" s="9"/>
      <c r="H58" s="9"/>
    </row>
    <row r="59" customFormat="false" ht="15" hidden="false" customHeight="true" outlineLevel="0" collapsed="false">
      <c r="A59" s="12"/>
      <c r="B59" s="9"/>
      <c r="C59" s="15" t="str">
        <f aca="false">IF($B59="","",IFERROR(INDEX(설비목록!$B$3:$B$202,MATCH($B59,설비목록!$A$3:$A$202,0)),"미등록설비"))</f>
        <v/>
      </c>
      <c r="D59" s="9"/>
      <c r="E59" s="9"/>
      <c r="F59" s="9"/>
      <c r="G59" s="9"/>
      <c r="H59" s="9"/>
    </row>
    <row r="60" customFormat="false" ht="15" hidden="false" customHeight="true" outlineLevel="0" collapsed="false">
      <c r="A60" s="12"/>
      <c r="B60" s="9"/>
      <c r="C60" s="15" t="str">
        <f aca="false">IF($B60="","",IFERROR(INDEX(설비목록!$B$3:$B$202,MATCH($B60,설비목록!$A$3:$A$202,0)),"미등록설비"))</f>
        <v/>
      </c>
      <c r="D60" s="9"/>
      <c r="E60" s="9"/>
      <c r="F60" s="9"/>
      <c r="G60" s="9"/>
      <c r="H60" s="9"/>
    </row>
    <row r="61" customFormat="false" ht="15" hidden="false" customHeight="true" outlineLevel="0" collapsed="false">
      <c r="A61" s="12"/>
      <c r="B61" s="9"/>
      <c r="C61" s="15" t="str">
        <f aca="false">IF($B61="","",IFERROR(INDEX(설비목록!$B$3:$B$202,MATCH($B61,설비목록!$A$3:$A$202,0)),"미등록설비"))</f>
        <v/>
      </c>
      <c r="D61" s="9"/>
      <c r="E61" s="9"/>
      <c r="F61" s="9"/>
      <c r="G61" s="9"/>
      <c r="H61" s="9"/>
    </row>
    <row r="62" customFormat="false" ht="15" hidden="false" customHeight="true" outlineLevel="0" collapsed="false">
      <c r="A62" s="12"/>
      <c r="B62" s="9"/>
      <c r="C62" s="15" t="str">
        <f aca="false">IF($B62="","",IFERROR(INDEX(설비목록!$B$3:$B$202,MATCH($B62,설비목록!$A$3:$A$202,0)),"미등록설비"))</f>
        <v/>
      </c>
      <c r="D62" s="9"/>
      <c r="E62" s="9"/>
      <c r="F62" s="9"/>
      <c r="G62" s="9"/>
      <c r="H62" s="9"/>
    </row>
    <row r="63" customFormat="false" ht="15" hidden="false" customHeight="true" outlineLevel="0" collapsed="false">
      <c r="A63" s="12"/>
      <c r="B63" s="9"/>
      <c r="C63" s="15" t="str">
        <f aca="false">IF($B63="","",IFERROR(INDEX(설비목록!$B$3:$B$202,MATCH($B63,설비목록!$A$3:$A$202,0)),"미등록설비"))</f>
        <v/>
      </c>
      <c r="D63" s="9"/>
      <c r="E63" s="9"/>
      <c r="F63" s="9"/>
      <c r="G63" s="9"/>
      <c r="H63" s="9"/>
    </row>
    <row r="64" customFormat="false" ht="15" hidden="false" customHeight="true" outlineLevel="0" collapsed="false">
      <c r="A64" s="12"/>
      <c r="B64" s="9"/>
      <c r="C64" s="15" t="str">
        <f aca="false">IF($B64="","",IFERROR(INDEX(설비목록!$B$3:$B$202,MATCH($B64,설비목록!$A$3:$A$202,0)),"미등록설비"))</f>
        <v/>
      </c>
      <c r="D64" s="9"/>
      <c r="E64" s="9"/>
      <c r="F64" s="9"/>
      <c r="G64" s="9"/>
      <c r="H64" s="9"/>
    </row>
    <row r="65" customFormat="false" ht="15" hidden="false" customHeight="true" outlineLevel="0" collapsed="false">
      <c r="A65" s="12"/>
      <c r="B65" s="9"/>
      <c r="C65" s="15" t="str">
        <f aca="false">IF($B65="","",IFERROR(INDEX(설비목록!$B$3:$B$202,MATCH($B65,설비목록!$A$3:$A$202,0)),"미등록설비"))</f>
        <v/>
      </c>
      <c r="D65" s="9"/>
      <c r="E65" s="9"/>
      <c r="F65" s="9"/>
      <c r="G65" s="9"/>
      <c r="H65" s="9"/>
    </row>
    <row r="66" customFormat="false" ht="15" hidden="false" customHeight="true" outlineLevel="0" collapsed="false">
      <c r="A66" s="12"/>
      <c r="B66" s="9"/>
      <c r="C66" s="15" t="str">
        <f aca="false">IF($B66="","",IFERROR(INDEX(설비목록!$B$3:$B$202,MATCH($B66,설비목록!$A$3:$A$202,0)),"미등록설비"))</f>
        <v/>
      </c>
      <c r="D66" s="9"/>
      <c r="E66" s="9"/>
      <c r="F66" s="9"/>
      <c r="G66" s="9"/>
      <c r="H66" s="9"/>
    </row>
    <row r="67" customFormat="false" ht="15" hidden="false" customHeight="true" outlineLevel="0" collapsed="false">
      <c r="A67" s="12"/>
      <c r="B67" s="9"/>
      <c r="C67" s="15" t="str">
        <f aca="false">IF($B67="","",IFERROR(INDEX(설비목록!$B$3:$B$202,MATCH($B67,설비목록!$A$3:$A$202,0)),"미등록설비"))</f>
        <v/>
      </c>
      <c r="D67" s="9"/>
      <c r="E67" s="9"/>
      <c r="F67" s="9"/>
      <c r="G67" s="9"/>
      <c r="H67" s="9"/>
    </row>
    <row r="68" customFormat="false" ht="15" hidden="false" customHeight="true" outlineLevel="0" collapsed="false">
      <c r="A68" s="12"/>
      <c r="B68" s="9"/>
      <c r="C68" s="15" t="str">
        <f aca="false">IF($B68="","",IFERROR(INDEX(설비목록!$B$3:$B$202,MATCH($B68,설비목록!$A$3:$A$202,0)),"미등록설비"))</f>
        <v/>
      </c>
      <c r="D68" s="9"/>
      <c r="E68" s="9"/>
      <c r="F68" s="9"/>
      <c r="G68" s="9"/>
      <c r="H68" s="9"/>
    </row>
    <row r="69" customFormat="false" ht="15" hidden="false" customHeight="true" outlineLevel="0" collapsed="false">
      <c r="A69" s="12"/>
      <c r="B69" s="9"/>
      <c r="C69" s="15" t="str">
        <f aca="false">IF($B69="","",IFERROR(INDEX(설비목록!$B$3:$B$202,MATCH($B69,설비목록!$A$3:$A$202,0)),"미등록설비"))</f>
        <v/>
      </c>
      <c r="D69" s="9"/>
      <c r="E69" s="9"/>
      <c r="F69" s="9"/>
      <c r="G69" s="9"/>
      <c r="H69" s="9"/>
    </row>
    <row r="70" customFormat="false" ht="15" hidden="false" customHeight="true" outlineLevel="0" collapsed="false">
      <c r="A70" s="12"/>
      <c r="B70" s="9"/>
      <c r="C70" s="15" t="str">
        <f aca="false">IF($B70="","",IFERROR(INDEX(설비목록!$B$3:$B$202,MATCH($B70,설비목록!$A$3:$A$202,0)),"미등록설비"))</f>
        <v/>
      </c>
      <c r="D70" s="9"/>
      <c r="E70" s="9"/>
      <c r="F70" s="9"/>
      <c r="G70" s="9"/>
      <c r="H70" s="9"/>
    </row>
    <row r="71" customFormat="false" ht="15" hidden="false" customHeight="true" outlineLevel="0" collapsed="false">
      <c r="A71" s="12"/>
      <c r="B71" s="9"/>
      <c r="C71" s="15" t="str">
        <f aca="false">IF($B71="","",IFERROR(INDEX(설비목록!$B$3:$B$202,MATCH($B71,설비목록!$A$3:$A$202,0)),"미등록설비"))</f>
        <v/>
      </c>
      <c r="D71" s="9"/>
      <c r="E71" s="9"/>
      <c r="F71" s="9"/>
      <c r="G71" s="9"/>
      <c r="H71" s="9"/>
    </row>
    <row r="72" customFormat="false" ht="15" hidden="false" customHeight="true" outlineLevel="0" collapsed="false">
      <c r="A72" s="12"/>
      <c r="B72" s="9"/>
      <c r="C72" s="15" t="str">
        <f aca="false">IF($B72="","",IFERROR(INDEX(설비목록!$B$3:$B$202,MATCH($B72,설비목록!$A$3:$A$202,0)),"미등록설비"))</f>
        <v/>
      </c>
      <c r="D72" s="9"/>
      <c r="E72" s="9"/>
      <c r="F72" s="9"/>
      <c r="G72" s="9"/>
      <c r="H72" s="9"/>
    </row>
    <row r="73" customFormat="false" ht="15" hidden="false" customHeight="true" outlineLevel="0" collapsed="false">
      <c r="A73" s="12"/>
      <c r="B73" s="9"/>
      <c r="C73" s="15" t="str">
        <f aca="false">IF($B73="","",IFERROR(INDEX(설비목록!$B$3:$B$202,MATCH($B73,설비목록!$A$3:$A$202,0)),"미등록설비"))</f>
        <v/>
      </c>
      <c r="D73" s="9"/>
      <c r="E73" s="9"/>
      <c r="F73" s="9"/>
      <c r="G73" s="9"/>
      <c r="H73" s="9"/>
    </row>
    <row r="74" customFormat="false" ht="15" hidden="false" customHeight="true" outlineLevel="0" collapsed="false">
      <c r="A74" s="12"/>
      <c r="B74" s="9"/>
      <c r="C74" s="15" t="str">
        <f aca="false">IF($B74="","",IFERROR(INDEX(설비목록!$B$3:$B$202,MATCH($B74,설비목록!$A$3:$A$202,0)),"미등록설비"))</f>
        <v/>
      </c>
      <c r="D74" s="9"/>
      <c r="E74" s="9"/>
      <c r="F74" s="9"/>
      <c r="G74" s="9"/>
      <c r="H74" s="9"/>
    </row>
    <row r="75" customFormat="false" ht="15" hidden="false" customHeight="true" outlineLevel="0" collapsed="false">
      <c r="A75" s="12"/>
      <c r="B75" s="9"/>
      <c r="C75" s="15" t="str">
        <f aca="false">IF($B75="","",IFERROR(INDEX(설비목록!$B$3:$B$202,MATCH($B75,설비목록!$A$3:$A$202,0)),"미등록설비"))</f>
        <v/>
      </c>
      <c r="D75" s="9"/>
      <c r="E75" s="9"/>
      <c r="F75" s="9"/>
      <c r="G75" s="9"/>
      <c r="H75" s="9"/>
    </row>
    <row r="76" customFormat="false" ht="15" hidden="false" customHeight="true" outlineLevel="0" collapsed="false">
      <c r="A76" s="12"/>
      <c r="B76" s="9"/>
      <c r="C76" s="15" t="str">
        <f aca="false">IF($B76="","",IFERROR(INDEX(설비목록!$B$3:$B$202,MATCH($B76,설비목록!$A$3:$A$202,0)),"미등록설비"))</f>
        <v/>
      </c>
      <c r="D76" s="9"/>
      <c r="E76" s="9"/>
      <c r="F76" s="9"/>
      <c r="G76" s="9"/>
      <c r="H76" s="9"/>
    </row>
    <row r="77" customFormat="false" ht="15" hidden="false" customHeight="true" outlineLevel="0" collapsed="false">
      <c r="A77" s="12"/>
      <c r="B77" s="9"/>
      <c r="C77" s="15" t="str">
        <f aca="false">IF($B77="","",IFERROR(INDEX(설비목록!$B$3:$B$202,MATCH($B77,설비목록!$A$3:$A$202,0)),"미등록설비"))</f>
        <v/>
      </c>
      <c r="D77" s="9"/>
      <c r="E77" s="9"/>
      <c r="F77" s="9"/>
      <c r="G77" s="9"/>
      <c r="H77" s="9"/>
    </row>
    <row r="78" customFormat="false" ht="15" hidden="false" customHeight="true" outlineLevel="0" collapsed="false">
      <c r="A78" s="12"/>
      <c r="B78" s="9"/>
      <c r="C78" s="15" t="str">
        <f aca="false">IF($B78="","",IFERROR(INDEX(설비목록!$B$3:$B$202,MATCH($B78,설비목록!$A$3:$A$202,0)),"미등록설비"))</f>
        <v/>
      </c>
      <c r="D78" s="9"/>
      <c r="E78" s="9"/>
      <c r="F78" s="9"/>
      <c r="G78" s="9"/>
      <c r="H78" s="9"/>
    </row>
    <row r="79" customFormat="false" ht="15" hidden="false" customHeight="true" outlineLevel="0" collapsed="false">
      <c r="A79" s="12"/>
      <c r="B79" s="9"/>
      <c r="C79" s="15" t="str">
        <f aca="false">IF($B79="","",IFERROR(INDEX(설비목록!$B$3:$B$202,MATCH($B79,설비목록!$A$3:$A$202,0)),"미등록설비"))</f>
        <v/>
      </c>
      <c r="D79" s="9"/>
      <c r="E79" s="9"/>
      <c r="F79" s="9"/>
      <c r="G79" s="9"/>
      <c r="H79" s="9"/>
    </row>
    <row r="80" customFormat="false" ht="15" hidden="false" customHeight="true" outlineLevel="0" collapsed="false">
      <c r="A80" s="12"/>
      <c r="B80" s="9"/>
      <c r="C80" s="15" t="str">
        <f aca="false">IF($B80="","",IFERROR(INDEX(설비목록!$B$3:$B$202,MATCH($B80,설비목록!$A$3:$A$202,0)),"미등록설비"))</f>
        <v/>
      </c>
      <c r="D80" s="9"/>
      <c r="E80" s="9"/>
      <c r="F80" s="9"/>
      <c r="G80" s="9"/>
      <c r="H80" s="9"/>
    </row>
    <row r="81" customFormat="false" ht="15" hidden="false" customHeight="true" outlineLevel="0" collapsed="false">
      <c r="A81" s="12"/>
      <c r="B81" s="9"/>
      <c r="C81" s="15" t="str">
        <f aca="false">IF($B81="","",IFERROR(INDEX(설비목록!$B$3:$B$202,MATCH($B81,설비목록!$A$3:$A$202,0)),"미등록설비"))</f>
        <v/>
      </c>
      <c r="D81" s="9"/>
      <c r="E81" s="9"/>
      <c r="F81" s="9"/>
      <c r="G81" s="9"/>
      <c r="H81" s="9"/>
    </row>
    <row r="82" customFormat="false" ht="15" hidden="false" customHeight="true" outlineLevel="0" collapsed="false">
      <c r="A82" s="12"/>
      <c r="B82" s="9"/>
      <c r="C82" s="15" t="str">
        <f aca="false">IF($B82="","",IFERROR(INDEX(설비목록!$B$3:$B$202,MATCH($B82,설비목록!$A$3:$A$202,0)),"미등록설비"))</f>
        <v/>
      </c>
      <c r="D82" s="9"/>
      <c r="E82" s="9"/>
      <c r="F82" s="9"/>
      <c r="G82" s="9"/>
      <c r="H82" s="9"/>
    </row>
    <row r="83" customFormat="false" ht="15" hidden="false" customHeight="true" outlineLevel="0" collapsed="false">
      <c r="A83" s="12"/>
      <c r="B83" s="9"/>
      <c r="C83" s="15" t="str">
        <f aca="false">IF($B83="","",IFERROR(INDEX(설비목록!$B$3:$B$202,MATCH($B83,설비목록!$A$3:$A$202,0)),"미등록설비"))</f>
        <v/>
      </c>
      <c r="D83" s="9"/>
      <c r="E83" s="9"/>
      <c r="F83" s="9"/>
      <c r="G83" s="9"/>
      <c r="H83" s="9"/>
    </row>
    <row r="84" customFormat="false" ht="15" hidden="false" customHeight="true" outlineLevel="0" collapsed="false">
      <c r="A84" s="12"/>
      <c r="B84" s="9"/>
      <c r="C84" s="15" t="str">
        <f aca="false">IF($B84="","",IFERROR(INDEX(설비목록!$B$3:$B$202,MATCH($B84,설비목록!$A$3:$A$202,0)),"미등록설비"))</f>
        <v/>
      </c>
      <c r="D84" s="9"/>
      <c r="E84" s="9"/>
      <c r="F84" s="9"/>
      <c r="G84" s="9"/>
      <c r="H84" s="9"/>
    </row>
    <row r="85" customFormat="false" ht="15" hidden="false" customHeight="true" outlineLevel="0" collapsed="false">
      <c r="A85" s="12"/>
      <c r="B85" s="9"/>
      <c r="C85" s="15" t="str">
        <f aca="false">IF($B85="","",IFERROR(INDEX(설비목록!$B$3:$B$202,MATCH($B85,설비목록!$A$3:$A$202,0)),"미등록설비"))</f>
        <v/>
      </c>
      <c r="D85" s="9"/>
      <c r="E85" s="9"/>
      <c r="F85" s="9"/>
      <c r="G85" s="9"/>
      <c r="H85" s="9"/>
    </row>
    <row r="86" customFormat="false" ht="15" hidden="false" customHeight="true" outlineLevel="0" collapsed="false">
      <c r="A86" s="12"/>
      <c r="B86" s="9"/>
      <c r="C86" s="15" t="str">
        <f aca="false">IF($B86="","",IFERROR(INDEX(설비목록!$B$3:$B$202,MATCH($B86,설비목록!$A$3:$A$202,0)),"미등록설비"))</f>
        <v/>
      </c>
      <c r="D86" s="9"/>
      <c r="E86" s="9"/>
      <c r="F86" s="9"/>
      <c r="G86" s="9"/>
      <c r="H86" s="9"/>
    </row>
    <row r="87" customFormat="false" ht="15" hidden="false" customHeight="true" outlineLevel="0" collapsed="false">
      <c r="A87" s="12"/>
      <c r="B87" s="9"/>
      <c r="C87" s="15" t="str">
        <f aca="false">IF($B87="","",IFERROR(INDEX(설비목록!$B$3:$B$202,MATCH($B87,설비목록!$A$3:$A$202,0)),"미등록설비"))</f>
        <v/>
      </c>
      <c r="D87" s="9"/>
      <c r="E87" s="9"/>
      <c r="F87" s="9"/>
      <c r="G87" s="9"/>
      <c r="H87" s="9"/>
    </row>
    <row r="88" customFormat="false" ht="15" hidden="false" customHeight="true" outlineLevel="0" collapsed="false">
      <c r="A88" s="12"/>
      <c r="B88" s="9"/>
      <c r="C88" s="15" t="str">
        <f aca="false">IF($B88="","",IFERROR(INDEX(설비목록!$B$3:$B$202,MATCH($B88,설비목록!$A$3:$A$202,0)),"미등록설비"))</f>
        <v/>
      </c>
      <c r="D88" s="9"/>
      <c r="E88" s="9"/>
      <c r="F88" s="9"/>
      <c r="G88" s="9"/>
      <c r="H88" s="9"/>
    </row>
    <row r="89" customFormat="false" ht="15" hidden="false" customHeight="true" outlineLevel="0" collapsed="false">
      <c r="A89" s="12"/>
      <c r="B89" s="9"/>
      <c r="C89" s="15" t="str">
        <f aca="false">IF($B89="","",IFERROR(INDEX(설비목록!$B$3:$B$202,MATCH($B89,설비목록!$A$3:$A$202,0)),"미등록설비"))</f>
        <v/>
      </c>
      <c r="D89" s="9"/>
      <c r="E89" s="9"/>
      <c r="F89" s="9"/>
      <c r="G89" s="9"/>
      <c r="H89" s="9"/>
    </row>
    <row r="90" customFormat="false" ht="15" hidden="false" customHeight="true" outlineLevel="0" collapsed="false">
      <c r="A90" s="12"/>
      <c r="B90" s="9"/>
      <c r="C90" s="15" t="str">
        <f aca="false">IF($B90="","",IFERROR(INDEX(설비목록!$B$3:$B$202,MATCH($B90,설비목록!$A$3:$A$202,0)),"미등록설비"))</f>
        <v/>
      </c>
      <c r="D90" s="9"/>
      <c r="E90" s="9"/>
      <c r="F90" s="9"/>
      <c r="G90" s="9"/>
      <c r="H90" s="9"/>
    </row>
    <row r="91" customFormat="false" ht="15" hidden="false" customHeight="true" outlineLevel="0" collapsed="false">
      <c r="A91" s="12"/>
      <c r="B91" s="9"/>
      <c r="C91" s="15" t="str">
        <f aca="false">IF($B91="","",IFERROR(INDEX(설비목록!$B$3:$B$202,MATCH($B91,설비목록!$A$3:$A$202,0)),"미등록설비"))</f>
        <v/>
      </c>
      <c r="D91" s="9"/>
      <c r="E91" s="9"/>
      <c r="F91" s="9"/>
      <c r="G91" s="9"/>
      <c r="H91" s="9"/>
    </row>
    <row r="92" customFormat="false" ht="15" hidden="false" customHeight="true" outlineLevel="0" collapsed="false">
      <c r="A92" s="12"/>
      <c r="B92" s="9"/>
      <c r="C92" s="15" t="str">
        <f aca="false">IF($B92="","",IFERROR(INDEX(설비목록!$B$3:$B$202,MATCH($B92,설비목록!$A$3:$A$202,0)),"미등록설비"))</f>
        <v/>
      </c>
      <c r="D92" s="9"/>
      <c r="E92" s="9"/>
      <c r="F92" s="9"/>
      <c r="G92" s="9"/>
      <c r="H92" s="9"/>
    </row>
    <row r="93" customFormat="false" ht="15" hidden="false" customHeight="true" outlineLevel="0" collapsed="false">
      <c r="A93" s="12"/>
      <c r="B93" s="9"/>
      <c r="C93" s="15" t="str">
        <f aca="false">IF($B93="","",IFERROR(INDEX(설비목록!$B$3:$B$202,MATCH($B93,설비목록!$A$3:$A$202,0)),"미등록설비"))</f>
        <v/>
      </c>
      <c r="D93" s="9"/>
      <c r="E93" s="9"/>
      <c r="F93" s="9"/>
      <c r="G93" s="9"/>
      <c r="H93" s="9"/>
    </row>
    <row r="94" customFormat="false" ht="15" hidden="false" customHeight="true" outlineLevel="0" collapsed="false">
      <c r="A94" s="12"/>
      <c r="B94" s="9"/>
      <c r="C94" s="15" t="str">
        <f aca="false">IF($B94="","",IFERROR(INDEX(설비목록!$B$3:$B$202,MATCH($B94,설비목록!$A$3:$A$202,0)),"미등록설비"))</f>
        <v/>
      </c>
      <c r="D94" s="9"/>
      <c r="E94" s="9"/>
      <c r="F94" s="9"/>
      <c r="G94" s="9"/>
      <c r="H94" s="9"/>
    </row>
    <row r="95" customFormat="false" ht="15" hidden="false" customHeight="true" outlineLevel="0" collapsed="false">
      <c r="A95" s="12"/>
      <c r="B95" s="9"/>
      <c r="C95" s="15" t="str">
        <f aca="false">IF($B95="","",IFERROR(INDEX(설비목록!$B$3:$B$202,MATCH($B95,설비목록!$A$3:$A$202,0)),"미등록설비"))</f>
        <v/>
      </c>
      <c r="D95" s="9"/>
      <c r="E95" s="9"/>
      <c r="F95" s="9"/>
      <c r="G95" s="9"/>
      <c r="H95" s="9"/>
    </row>
    <row r="96" customFormat="false" ht="15" hidden="false" customHeight="true" outlineLevel="0" collapsed="false">
      <c r="A96" s="12"/>
      <c r="B96" s="9"/>
      <c r="C96" s="15" t="str">
        <f aca="false">IF($B96="","",IFERROR(INDEX(설비목록!$B$3:$B$202,MATCH($B96,설비목록!$A$3:$A$202,0)),"미등록설비"))</f>
        <v/>
      </c>
      <c r="D96" s="9"/>
      <c r="E96" s="9"/>
      <c r="F96" s="9"/>
      <c r="G96" s="9"/>
      <c r="H96" s="9"/>
    </row>
    <row r="97" customFormat="false" ht="15" hidden="false" customHeight="true" outlineLevel="0" collapsed="false">
      <c r="A97" s="12"/>
      <c r="B97" s="9"/>
      <c r="C97" s="15" t="str">
        <f aca="false">IF($B97="","",IFERROR(INDEX(설비목록!$B$3:$B$202,MATCH($B97,설비목록!$A$3:$A$202,0)),"미등록설비"))</f>
        <v/>
      </c>
      <c r="D97" s="9"/>
      <c r="E97" s="9"/>
      <c r="F97" s="9"/>
      <c r="G97" s="9"/>
      <c r="H97" s="9"/>
    </row>
    <row r="98" customFormat="false" ht="15" hidden="false" customHeight="true" outlineLevel="0" collapsed="false">
      <c r="A98" s="12"/>
      <c r="B98" s="9"/>
      <c r="C98" s="15" t="str">
        <f aca="false">IF($B98="","",IFERROR(INDEX(설비목록!$B$3:$B$202,MATCH($B98,설비목록!$A$3:$A$202,0)),"미등록설비"))</f>
        <v/>
      </c>
      <c r="D98" s="9"/>
      <c r="E98" s="9"/>
      <c r="F98" s="9"/>
      <c r="G98" s="9"/>
      <c r="H98" s="9"/>
    </row>
    <row r="99" customFormat="false" ht="15" hidden="false" customHeight="true" outlineLevel="0" collapsed="false">
      <c r="A99" s="12"/>
      <c r="B99" s="9"/>
      <c r="C99" s="15" t="str">
        <f aca="false">IF($B99="","",IFERROR(INDEX(설비목록!$B$3:$B$202,MATCH($B99,설비목록!$A$3:$A$202,0)),"미등록설비"))</f>
        <v/>
      </c>
      <c r="D99" s="9"/>
      <c r="E99" s="9"/>
      <c r="F99" s="9"/>
      <c r="G99" s="9"/>
      <c r="H99" s="9"/>
    </row>
    <row r="100" customFormat="false" ht="15" hidden="false" customHeight="true" outlineLevel="0" collapsed="false">
      <c r="A100" s="12"/>
      <c r="B100" s="9"/>
      <c r="C100" s="15" t="str">
        <f aca="false">IF($B100="","",IFERROR(INDEX(설비목록!$B$3:$B$202,MATCH($B100,설비목록!$A$3:$A$202,0)),"미등록설비"))</f>
        <v/>
      </c>
      <c r="D100" s="9"/>
      <c r="E100" s="9"/>
      <c r="F100" s="9"/>
      <c r="G100" s="9"/>
      <c r="H100" s="9"/>
    </row>
    <row r="101" customFormat="false" ht="15" hidden="false" customHeight="true" outlineLevel="0" collapsed="false">
      <c r="A101" s="12"/>
      <c r="B101" s="9"/>
      <c r="C101" s="15" t="str">
        <f aca="false">IF($B101="","",IFERROR(INDEX(설비목록!$B$3:$B$202,MATCH($B101,설비목록!$A$3:$A$202,0)),"미등록설비"))</f>
        <v/>
      </c>
      <c r="D101" s="9"/>
      <c r="E101" s="9"/>
      <c r="F101" s="9"/>
      <c r="G101" s="9"/>
      <c r="H101" s="9"/>
    </row>
    <row r="102" customFormat="false" ht="15" hidden="false" customHeight="true" outlineLevel="0" collapsed="false">
      <c r="A102" s="12"/>
      <c r="B102" s="9"/>
      <c r="C102" s="15" t="str">
        <f aca="false">IF($B102="","",IFERROR(INDEX(설비목록!$B$3:$B$202,MATCH($B102,설비목록!$A$3:$A$202,0)),"미등록설비"))</f>
        <v/>
      </c>
      <c r="D102" s="9"/>
      <c r="E102" s="9"/>
      <c r="F102" s="9"/>
      <c r="G102" s="9"/>
      <c r="H102" s="9"/>
    </row>
    <row r="103" customFormat="false" ht="15" hidden="false" customHeight="true" outlineLevel="0" collapsed="false">
      <c r="A103" s="12"/>
      <c r="B103" s="9"/>
      <c r="C103" s="15" t="str">
        <f aca="false">IF($B103="","",IFERROR(INDEX(설비목록!$B$3:$B$202,MATCH($B103,설비목록!$A$3:$A$202,0)),"미등록설비"))</f>
        <v/>
      </c>
      <c r="D103" s="9"/>
      <c r="E103" s="9"/>
      <c r="F103" s="9"/>
      <c r="G103" s="9"/>
      <c r="H103" s="9"/>
    </row>
    <row r="104" customFormat="false" ht="15" hidden="false" customHeight="true" outlineLevel="0" collapsed="false">
      <c r="A104" s="12"/>
      <c r="B104" s="9"/>
      <c r="C104" s="15" t="str">
        <f aca="false">IF($B104="","",IFERROR(INDEX(설비목록!$B$3:$B$202,MATCH($B104,설비목록!$A$3:$A$202,0)),"미등록설비"))</f>
        <v/>
      </c>
      <c r="D104" s="9"/>
      <c r="E104" s="9"/>
      <c r="F104" s="9"/>
      <c r="G104" s="9"/>
      <c r="H104" s="9"/>
    </row>
    <row r="105" customFormat="false" ht="15" hidden="false" customHeight="true" outlineLevel="0" collapsed="false">
      <c r="A105" s="12"/>
      <c r="B105" s="9"/>
      <c r="C105" s="15" t="str">
        <f aca="false">IF($B105="","",IFERROR(INDEX(설비목록!$B$3:$B$202,MATCH($B105,설비목록!$A$3:$A$202,0)),"미등록설비"))</f>
        <v/>
      </c>
      <c r="D105" s="9"/>
      <c r="E105" s="9"/>
      <c r="F105" s="9"/>
      <c r="G105" s="9"/>
      <c r="H105" s="9"/>
    </row>
    <row r="106" customFormat="false" ht="15" hidden="false" customHeight="true" outlineLevel="0" collapsed="false">
      <c r="A106" s="12"/>
      <c r="B106" s="9"/>
      <c r="C106" s="15" t="str">
        <f aca="false">IF($B106="","",IFERROR(INDEX(설비목록!$B$3:$B$202,MATCH($B106,설비목록!$A$3:$A$202,0)),"미등록설비"))</f>
        <v/>
      </c>
      <c r="D106" s="9"/>
      <c r="E106" s="9"/>
      <c r="F106" s="9"/>
      <c r="G106" s="9"/>
      <c r="H106" s="9"/>
    </row>
    <row r="107" customFormat="false" ht="15" hidden="false" customHeight="true" outlineLevel="0" collapsed="false">
      <c r="A107" s="12"/>
      <c r="B107" s="9"/>
      <c r="C107" s="15" t="str">
        <f aca="false">IF($B107="","",IFERROR(INDEX(설비목록!$B$3:$B$202,MATCH($B107,설비목록!$A$3:$A$202,0)),"미등록설비"))</f>
        <v/>
      </c>
      <c r="D107" s="9"/>
      <c r="E107" s="9"/>
      <c r="F107" s="9"/>
      <c r="G107" s="9"/>
      <c r="H107" s="9"/>
    </row>
    <row r="108" customFormat="false" ht="15" hidden="false" customHeight="true" outlineLevel="0" collapsed="false">
      <c r="A108" s="12"/>
      <c r="B108" s="9"/>
      <c r="C108" s="15" t="str">
        <f aca="false">IF($B108="","",IFERROR(INDEX(설비목록!$B$3:$B$202,MATCH($B108,설비목록!$A$3:$A$202,0)),"미등록설비"))</f>
        <v/>
      </c>
      <c r="D108" s="9"/>
      <c r="E108" s="9"/>
      <c r="F108" s="9"/>
      <c r="G108" s="9"/>
      <c r="H108" s="9"/>
    </row>
    <row r="109" customFormat="false" ht="15" hidden="false" customHeight="true" outlineLevel="0" collapsed="false">
      <c r="A109" s="12"/>
      <c r="B109" s="9"/>
      <c r="C109" s="15" t="str">
        <f aca="false">IF($B109="","",IFERROR(INDEX(설비목록!$B$3:$B$202,MATCH($B109,설비목록!$A$3:$A$202,0)),"미등록설비"))</f>
        <v/>
      </c>
      <c r="D109" s="9"/>
      <c r="E109" s="9"/>
      <c r="F109" s="9"/>
      <c r="G109" s="9"/>
      <c r="H109" s="9"/>
    </row>
    <row r="110" customFormat="false" ht="15" hidden="false" customHeight="true" outlineLevel="0" collapsed="false">
      <c r="A110" s="12"/>
      <c r="B110" s="9"/>
      <c r="C110" s="15" t="str">
        <f aca="false">IF($B110="","",IFERROR(INDEX(설비목록!$B$3:$B$202,MATCH($B110,설비목록!$A$3:$A$202,0)),"미등록설비"))</f>
        <v/>
      </c>
      <c r="D110" s="9"/>
      <c r="E110" s="9"/>
      <c r="F110" s="9"/>
      <c r="G110" s="9"/>
      <c r="H110" s="9"/>
    </row>
    <row r="111" customFormat="false" ht="15" hidden="false" customHeight="true" outlineLevel="0" collapsed="false">
      <c r="A111" s="12"/>
      <c r="B111" s="9"/>
      <c r="C111" s="15" t="str">
        <f aca="false">IF($B111="","",IFERROR(INDEX(설비목록!$B$3:$B$202,MATCH($B111,설비목록!$A$3:$A$202,0)),"미등록설비"))</f>
        <v/>
      </c>
      <c r="D111" s="9"/>
      <c r="E111" s="9"/>
      <c r="F111" s="9"/>
      <c r="G111" s="9"/>
      <c r="H111" s="9"/>
    </row>
    <row r="112" customFormat="false" ht="15" hidden="false" customHeight="true" outlineLevel="0" collapsed="false">
      <c r="A112" s="12"/>
      <c r="B112" s="9"/>
      <c r="C112" s="15" t="str">
        <f aca="false">IF($B112="","",IFERROR(INDEX(설비목록!$B$3:$B$202,MATCH($B112,설비목록!$A$3:$A$202,0)),"미등록설비"))</f>
        <v/>
      </c>
      <c r="D112" s="9"/>
      <c r="E112" s="9"/>
      <c r="F112" s="9"/>
      <c r="G112" s="9"/>
      <c r="H112" s="9"/>
    </row>
    <row r="113" customFormat="false" ht="15" hidden="false" customHeight="true" outlineLevel="0" collapsed="false">
      <c r="A113" s="12"/>
      <c r="B113" s="9"/>
      <c r="C113" s="15" t="str">
        <f aca="false">IF($B113="","",IFERROR(INDEX(설비목록!$B$3:$B$202,MATCH($B113,설비목록!$A$3:$A$202,0)),"미등록설비"))</f>
        <v/>
      </c>
      <c r="D113" s="9"/>
      <c r="E113" s="9"/>
      <c r="F113" s="9"/>
      <c r="G113" s="9"/>
      <c r="H113" s="9"/>
    </row>
    <row r="114" customFormat="false" ht="15" hidden="false" customHeight="true" outlineLevel="0" collapsed="false">
      <c r="A114" s="12"/>
      <c r="B114" s="9"/>
      <c r="C114" s="15" t="str">
        <f aca="false">IF($B114="","",IFERROR(INDEX(설비목록!$B$3:$B$202,MATCH($B114,설비목록!$A$3:$A$202,0)),"미등록설비"))</f>
        <v/>
      </c>
      <c r="D114" s="9"/>
      <c r="E114" s="9"/>
      <c r="F114" s="9"/>
      <c r="G114" s="9"/>
      <c r="H114" s="9"/>
    </row>
    <row r="115" customFormat="false" ht="15" hidden="false" customHeight="true" outlineLevel="0" collapsed="false">
      <c r="A115" s="12"/>
      <c r="B115" s="9"/>
      <c r="C115" s="15" t="str">
        <f aca="false">IF($B115="","",IFERROR(INDEX(설비목록!$B$3:$B$202,MATCH($B115,설비목록!$A$3:$A$202,0)),"미등록설비"))</f>
        <v/>
      </c>
      <c r="D115" s="9"/>
      <c r="E115" s="9"/>
      <c r="F115" s="9"/>
      <c r="G115" s="9"/>
      <c r="H115" s="9"/>
    </row>
    <row r="116" customFormat="false" ht="15" hidden="false" customHeight="true" outlineLevel="0" collapsed="false">
      <c r="A116" s="12"/>
      <c r="B116" s="9"/>
      <c r="C116" s="15" t="str">
        <f aca="false">IF($B116="","",IFERROR(INDEX(설비목록!$B$3:$B$202,MATCH($B116,설비목록!$A$3:$A$202,0)),"미등록설비"))</f>
        <v/>
      </c>
      <c r="D116" s="9"/>
      <c r="E116" s="9"/>
      <c r="F116" s="9"/>
      <c r="G116" s="9"/>
      <c r="H116" s="9"/>
    </row>
    <row r="117" customFormat="false" ht="15" hidden="false" customHeight="true" outlineLevel="0" collapsed="false">
      <c r="A117" s="12"/>
      <c r="B117" s="9"/>
      <c r="C117" s="15" t="str">
        <f aca="false">IF($B117="","",IFERROR(INDEX(설비목록!$B$3:$B$202,MATCH($B117,설비목록!$A$3:$A$202,0)),"미등록설비"))</f>
        <v/>
      </c>
      <c r="D117" s="9"/>
      <c r="E117" s="9"/>
      <c r="F117" s="9"/>
      <c r="G117" s="9"/>
      <c r="H117" s="9"/>
    </row>
    <row r="118" customFormat="false" ht="15" hidden="false" customHeight="true" outlineLevel="0" collapsed="false">
      <c r="A118" s="12"/>
      <c r="B118" s="9"/>
      <c r="C118" s="15" t="str">
        <f aca="false">IF($B118="","",IFERROR(INDEX(설비목록!$B$3:$B$202,MATCH($B118,설비목록!$A$3:$A$202,0)),"미등록설비"))</f>
        <v/>
      </c>
      <c r="D118" s="9"/>
      <c r="E118" s="9"/>
      <c r="F118" s="9"/>
      <c r="G118" s="9"/>
      <c r="H118" s="9"/>
    </row>
    <row r="119" customFormat="false" ht="15" hidden="false" customHeight="true" outlineLevel="0" collapsed="false">
      <c r="A119" s="12"/>
      <c r="B119" s="9"/>
      <c r="C119" s="15" t="str">
        <f aca="false">IF($B119="","",IFERROR(INDEX(설비목록!$B$3:$B$202,MATCH($B119,설비목록!$A$3:$A$202,0)),"미등록설비"))</f>
        <v/>
      </c>
      <c r="D119" s="9"/>
      <c r="E119" s="9"/>
      <c r="F119" s="9"/>
      <c r="G119" s="9"/>
      <c r="H119" s="9"/>
    </row>
    <row r="120" customFormat="false" ht="15" hidden="false" customHeight="true" outlineLevel="0" collapsed="false">
      <c r="A120" s="12"/>
      <c r="B120" s="9"/>
      <c r="C120" s="15" t="str">
        <f aca="false">IF($B120="","",IFERROR(INDEX(설비목록!$B$3:$B$202,MATCH($B120,설비목록!$A$3:$A$202,0)),"미등록설비"))</f>
        <v/>
      </c>
      <c r="D120" s="9"/>
      <c r="E120" s="9"/>
      <c r="F120" s="9"/>
      <c r="G120" s="9"/>
      <c r="H120" s="9"/>
    </row>
    <row r="121" customFormat="false" ht="15" hidden="false" customHeight="true" outlineLevel="0" collapsed="false">
      <c r="A121" s="12"/>
      <c r="B121" s="9"/>
      <c r="C121" s="15" t="str">
        <f aca="false">IF($B121="","",IFERROR(INDEX(설비목록!$B$3:$B$202,MATCH($B121,설비목록!$A$3:$A$202,0)),"미등록설비"))</f>
        <v/>
      </c>
      <c r="D121" s="9"/>
      <c r="E121" s="9"/>
      <c r="F121" s="9"/>
      <c r="G121" s="9"/>
      <c r="H121" s="9"/>
    </row>
    <row r="122" customFormat="false" ht="15" hidden="false" customHeight="true" outlineLevel="0" collapsed="false">
      <c r="A122" s="12"/>
      <c r="B122" s="9"/>
      <c r="C122" s="15" t="str">
        <f aca="false">IF($B122="","",IFERROR(INDEX(설비목록!$B$3:$B$202,MATCH($B122,설비목록!$A$3:$A$202,0)),"미등록설비"))</f>
        <v/>
      </c>
      <c r="D122" s="9"/>
      <c r="E122" s="9"/>
      <c r="F122" s="9"/>
      <c r="G122" s="9"/>
      <c r="H122" s="9"/>
    </row>
    <row r="123" customFormat="false" ht="15" hidden="false" customHeight="true" outlineLevel="0" collapsed="false">
      <c r="A123" s="12"/>
      <c r="B123" s="9"/>
      <c r="C123" s="15" t="str">
        <f aca="false">IF($B123="","",IFERROR(INDEX(설비목록!$B$3:$B$202,MATCH($B123,설비목록!$A$3:$A$202,0)),"미등록설비"))</f>
        <v/>
      </c>
      <c r="D123" s="9"/>
      <c r="E123" s="9"/>
      <c r="F123" s="9"/>
      <c r="G123" s="9"/>
      <c r="H123" s="9"/>
    </row>
    <row r="124" customFormat="false" ht="15" hidden="false" customHeight="true" outlineLevel="0" collapsed="false">
      <c r="A124" s="12"/>
      <c r="B124" s="9"/>
      <c r="C124" s="15" t="str">
        <f aca="false">IF($B124="","",IFERROR(INDEX(설비목록!$B$3:$B$202,MATCH($B124,설비목록!$A$3:$A$202,0)),"미등록설비"))</f>
        <v/>
      </c>
      <c r="D124" s="9"/>
      <c r="E124" s="9"/>
      <c r="F124" s="9"/>
      <c r="G124" s="9"/>
      <c r="H124" s="9"/>
    </row>
    <row r="125" customFormat="false" ht="15" hidden="false" customHeight="true" outlineLevel="0" collapsed="false">
      <c r="A125" s="12"/>
      <c r="B125" s="9"/>
      <c r="C125" s="15" t="str">
        <f aca="false">IF($B125="","",IFERROR(INDEX(설비목록!$B$3:$B$202,MATCH($B125,설비목록!$A$3:$A$202,0)),"미등록설비"))</f>
        <v/>
      </c>
      <c r="D125" s="9"/>
      <c r="E125" s="9"/>
      <c r="F125" s="9"/>
      <c r="G125" s="9"/>
      <c r="H125" s="9"/>
    </row>
    <row r="126" customFormat="false" ht="15" hidden="false" customHeight="true" outlineLevel="0" collapsed="false">
      <c r="A126" s="12"/>
      <c r="B126" s="9"/>
      <c r="C126" s="15" t="str">
        <f aca="false">IF($B126="","",IFERROR(INDEX(설비목록!$B$3:$B$202,MATCH($B126,설비목록!$A$3:$A$202,0)),"미등록설비"))</f>
        <v/>
      </c>
      <c r="D126" s="9"/>
      <c r="E126" s="9"/>
      <c r="F126" s="9"/>
      <c r="G126" s="9"/>
      <c r="H126" s="9"/>
    </row>
    <row r="127" customFormat="false" ht="15" hidden="false" customHeight="true" outlineLevel="0" collapsed="false">
      <c r="A127" s="12"/>
      <c r="B127" s="9"/>
      <c r="C127" s="15" t="str">
        <f aca="false">IF($B127="","",IFERROR(INDEX(설비목록!$B$3:$B$202,MATCH($B127,설비목록!$A$3:$A$202,0)),"미등록설비"))</f>
        <v/>
      </c>
      <c r="D127" s="9"/>
      <c r="E127" s="9"/>
      <c r="F127" s="9"/>
      <c r="G127" s="9"/>
      <c r="H127" s="9"/>
    </row>
    <row r="128" customFormat="false" ht="15" hidden="false" customHeight="true" outlineLevel="0" collapsed="false">
      <c r="A128" s="12"/>
      <c r="B128" s="9"/>
      <c r="C128" s="15" t="str">
        <f aca="false">IF($B128="","",IFERROR(INDEX(설비목록!$B$3:$B$202,MATCH($B128,설비목록!$A$3:$A$202,0)),"미등록설비"))</f>
        <v/>
      </c>
      <c r="D128" s="9"/>
      <c r="E128" s="9"/>
      <c r="F128" s="9"/>
      <c r="G128" s="9"/>
      <c r="H128" s="9"/>
    </row>
    <row r="129" customFormat="false" ht="15" hidden="false" customHeight="true" outlineLevel="0" collapsed="false">
      <c r="A129" s="12"/>
      <c r="B129" s="9"/>
      <c r="C129" s="15" t="str">
        <f aca="false">IF($B129="","",IFERROR(INDEX(설비목록!$B$3:$B$202,MATCH($B129,설비목록!$A$3:$A$202,0)),"미등록설비"))</f>
        <v/>
      </c>
      <c r="D129" s="9"/>
      <c r="E129" s="9"/>
      <c r="F129" s="9"/>
      <c r="G129" s="9"/>
      <c r="H129" s="9"/>
    </row>
    <row r="130" customFormat="false" ht="15" hidden="false" customHeight="true" outlineLevel="0" collapsed="false">
      <c r="A130" s="12"/>
      <c r="B130" s="9"/>
      <c r="C130" s="15" t="str">
        <f aca="false">IF($B130="","",IFERROR(INDEX(설비목록!$B$3:$B$202,MATCH($B130,설비목록!$A$3:$A$202,0)),"미등록설비"))</f>
        <v/>
      </c>
      <c r="D130" s="9"/>
      <c r="E130" s="9"/>
      <c r="F130" s="9"/>
      <c r="G130" s="9"/>
      <c r="H130" s="9"/>
    </row>
    <row r="131" customFormat="false" ht="15" hidden="false" customHeight="true" outlineLevel="0" collapsed="false">
      <c r="A131" s="12"/>
      <c r="B131" s="9"/>
      <c r="C131" s="15" t="str">
        <f aca="false">IF($B131="","",IFERROR(INDEX(설비목록!$B$3:$B$202,MATCH($B131,설비목록!$A$3:$A$202,0)),"미등록설비"))</f>
        <v/>
      </c>
      <c r="D131" s="9"/>
      <c r="E131" s="9"/>
      <c r="F131" s="9"/>
      <c r="G131" s="9"/>
      <c r="H131" s="9"/>
    </row>
    <row r="132" customFormat="false" ht="15" hidden="false" customHeight="true" outlineLevel="0" collapsed="false">
      <c r="A132" s="12"/>
      <c r="B132" s="9"/>
      <c r="C132" s="15" t="str">
        <f aca="false">IF($B132="","",IFERROR(INDEX(설비목록!$B$3:$B$202,MATCH($B132,설비목록!$A$3:$A$202,0)),"미등록설비"))</f>
        <v/>
      </c>
      <c r="D132" s="9"/>
      <c r="E132" s="9"/>
      <c r="F132" s="9"/>
      <c r="G132" s="9"/>
      <c r="H132" s="9"/>
    </row>
    <row r="133" customFormat="false" ht="15" hidden="false" customHeight="true" outlineLevel="0" collapsed="false">
      <c r="A133" s="12"/>
      <c r="B133" s="9"/>
      <c r="C133" s="15" t="str">
        <f aca="false">IF($B133="","",IFERROR(INDEX(설비목록!$B$3:$B$202,MATCH($B133,설비목록!$A$3:$A$202,0)),"미등록설비"))</f>
        <v/>
      </c>
      <c r="D133" s="9"/>
      <c r="E133" s="9"/>
      <c r="F133" s="9"/>
      <c r="G133" s="9"/>
      <c r="H133" s="9"/>
    </row>
    <row r="134" customFormat="false" ht="15" hidden="false" customHeight="true" outlineLevel="0" collapsed="false">
      <c r="A134" s="12"/>
      <c r="B134" s="9"/>
      <c r="C134" s="15" t="str">
        <f aca="false">IF($B134="","",IFERROR(INDEX(설비목록!$B$3:$B$202,MATCH($B134,설비목록!$A$3:$A$202,0)),"미등록설비"))</f>
        <v/>
      </c>
      <c r="D134" s="9"/>
      <c r="E134" s="9"/>
      <c r="F134" s="9"/>
      <c r="G134" s="9"/>
      <c r="H134" s="9"/>
    </row>
    <row r="135" customFormat="false" ht="15" hidden="false" customHeight="true" outlineLevel="0" collapsed="false">
      <c r="A135" s="12"/>
      <c r="B135" s="9"/>
      <c r="C135" s="15" t="str">
        <f aca="false">IF($B135="","",IFERROR(INDEX(설비목록!$B$3:$B$202,MATCH($B135,설비목록!$A$3:$A$202,0)),"미등록설비"))</f>
        <v/>
      </c>
      <c r="D135" s="9"/>
      <c r="E135" s="9"/>
      <c r="F135" s="9"/>
      <c r="G135" s="9"/>
      <c r="H135" s="9"/>
    </row>
    <row r="136" customFormat="false" ht="15" hidden="false" customHeight="true" outlineLevel="0" collapsed="false">
      <c r="A136" s="12"/>
      <c r="B136" s="9"/>
      <c r="C136" s="15" t="str">
        <f aca="false">IF($B136="","",IFERROR(INDEX(설비목록!$B$3:$B$202,MATCH($B136,설비목록!$A$3:$A$202,0)),"미등록설비"))</f>
        <v/>
      </c>
      <c r="D136" s="9"/>
      <c r="E136" s="9"/>
      <c r="F136" s="9"/>
      <c r="G136" s="9"/>
      <c r="H136" s="9"/>
    </row>
    <row r="137" customFormat="false" ht="15" hidden="false" customHeight="true" outlineLevel="0" collapsed="false">
      <c r="A137" s="12"/>
      <c r="B137" s="9"/>
      <c r="C137" s="15" t="str">
        <f aca="false">IF($B137="","",IFERROR(INDEX(설비목록!$B$3:$B$202,MATCH($B137,설비목록!$A$3:$A$202,0)),"미등록설비"))</f>
        <v/>
      </c>
      <c r="D137" s="9"/>
      <c r="E137" s="9"/>
      <c r="F137" s="9"/>
      <c r="G137" s="9"/>
      <c r="H137" s="9"/>
    </row>
    <row r="138" customFormat="false" ht="15" hidden="false" customHeight="true" outlineLevel="0" collapsed="false">
      <c r="A138" s="12"/>
      <c r="B138" s="9"/>
      <c r="C138" s="15" t="str">
        <f aca="false">IF($B138="","",IFERROR(INDEX(설비목록!$B$3:$B$202,MATCH($B138,설비목록!$A$3:$A$202,0)),"미등록설비"))</f>
        <v/>
      </c>
      <c r="D138" s="9"/>
      <c r="E138" s="9"/>
      <c r="F138" s="9"/>
      <c r="G138" s="9"/>
      <c r="H138" s="9"/>
    </row>
    <row r="139" customFormat="false" ht="15" hidden="false" customHeight="true" outlineLevel="0" collapsed="false">
      <c r="A139" s="12"/>
      <c r="B139" s="9"/>
      <c r="C139" s="15" t="str">
        <f aca="false">IF($B139="","",IFERROR(INDEX(설비목록!$B$3:$B$202,MATCH($B139,설비목록!$A$3:$A$202,0)),"미등록설비"))</f>
        <v/>
      </c>
      <c r="D139" s="9"/>
      <c r="E139" s="9"/>
      <c r="F139" s="9"/>
      <c r="G139" s="9"/>
      <c r="H139" s="9"/>
    </row>
    <row r="140" customFormat="false" ht="15" hidden="false" customHeight="true" outlineLevel="0" collapsed="false">
      <c r="A140" s="12"/>
      <c r="B140" s="9"/>
      <c r="C140" s="15" t="str">
        <f aca="false">IF($B140="","",IFERROR(INDEX(설비목록!$B$3:$B$202,MATCH($B140,설비목록!$A$3:$A$202,0)),"미등록설비"))</f>
        <v/>
      </c>
      <c r="D140" s="9"/>
      <c r="E140" s="9"/>
      <c r="F140" s="9"/>
      <c r="G140" s="9"/>
      <c r="H140" s="9"/>
    </row>
    <row r="141" customFormat="false" ht="15" hidden="false" customHeight="true" outlineLevel="0" collapsed="false">
      <c r="A141" s="12"/>
      <c r="B141" s="9"/>
      <c r="C141" s="15" t="str">
        <f aca="false">IF($B141="","",IFERROR(INDEX(설비목록!$B$3:$B$202,MATCH($B141,설비목록!$A$3:$A$202,0)),"미등록설비"))</f>
        <v/>
      </c>
      <c r="D141" s="9"/>
      <c r="E141" s="9"/>
      <c r="F141" s="9"/>
      <c r="G141" s="9"/>
      <c r="H141" s="9"/>
    </row>
    <row r="142" customFormat="false" ht="15" hidden="false" customHeight="true" outlineLevel="0" collapsed="false">
      <c r="A142" s="12"/>
      <c r="B142" s="9"/>
      <c r="C142" s="15" t="str">
        <f aca="false">IF($B142="","",IFERROR(INDEX(설비목록!$B$3:$B$202,MATCH($B142,설비목록!$A$3:$A$202,0)),"미등록설비"))</f>
        <v/>
      </c>
      <c r="D142" s="9"/>
      <c r="E142" s="9"/>
      <c r="F142" s="9"/>
      <c r="G142" s="9"/>
      <c r="H142" s="9"/>
    </row>
    <row r="143" customFormat="false" ht="15" hidden="false" customHeight="true" outlineLevel="0" collapsed="false">
      <c r="A143" s="12"/>
      <c r="B143" s="9"/>
      <c r="C143" s="15" t="str">
        <f aca="false">IF($B143="","",IFERROR(INDEX(설비목록!$B$3:$B$202,MATCH($B143,설비목록!$A$3:$A$202,0)),"미등록설비"))</f>
        <v/>
      </c>
      <c r="D143" s="9"/>
      <c r="E143" s="9"/>
      <c r="F143" s="9"/>
      <c r="G143" s="9"/>
      <c r="H143" s="9"/>
    </row>
    <row r="144" customFormat="false" ht="15" hidden="false" customHeight="true" outlineLevel="0" collapsed="false">
      <c r="A144" s="12"/>
      <c r="B144" s="9"/>
      <c r="C144" s="15" t="str">
        <f aca="false">IF($B144="","",IFERROR(INDEX(설비목록!$B$3:$B$202,MATCH($B144,설비목록!$A$3:$A$202,0)),"미등록설비"))</f>
        <v/>
      </c>
      <c r="D144" s="9"/>
      <c r="E144" s="9"/>
      <c r="F144" s="9"/>
      <c r="G144" s="9"/>
      <c r="H144" s="9"/>
    </row>
    <row r="145" customFormat="false" ht="15" hidden="false" customHeight="true" outlineLevel="0" collapsed="false">
      <c r="A145" s="12"/>
      <c r="B145" s="9"/>
      <c r="C145" s="15" t="str">
        <f aca="false">IF($B145="","",IFERROR(INDEX(설비목록!$B$3:$B$202,MATCH($B145,설비목록!$A$3:$A$202,0)),"미등록설비"))</f>
        <v/>
      </c>
      <c r="D145" s="9"/>
      <c r="E145" s="9"/>
      <c r="F145" s="9"/>
      <c r="G145" s="9"/>
      <c r="H145" s="9"/>
    </row>
    <row r="146" customFormat="false" ht="15" hidden="false" customHeight="true" outlineLevel="0" collapsed="false">
      <c r="A146" s="12"/>
      <c r="B146" s="9"/>
      <c r="C146" s="15" t="str">
        <f aca="false">IF($B146="","",IFERROR(INDEX(설비목록!$B$3:$B$202,MATCH($B146,설비목록!$A$3:$A$202,0)),"미등록설비"))</f>
        <v/>
      </c>
      <c r="D146" s="9"/>
      <c r="E146" s="9"/>
      <c r="F146" s="9"/>
      <c r="G146" s="9"/>
      <c r="H146" s="9"/>
    </row>
    <row r="147" customFormat="false" ht="15" hidden="false" customHeight="true" outlineLevel="0" collapsed="false">
      <c r="A147" s="12"/>
      <c r="B147" s="9"/>
      <c r="C147" s="15" t="str">
        <f aca="false">IF($B147="","",IFERROR(INDEX(설비목록!$B$3:$B$202,MATCH($B147,설비목록!$A$3:$A$202,0)),"미등록설비"))</f>
        <v/>
      </c>
      <c r="D147" s="9"/>
      <c r="E147" s="9"/>
      <c r="F147" s="9"/>
      <c r="G147" s="9"/>
      <c r="H147" s="9"/>
    </row>
    <row r="148" customFormat="false" ht="15" hidden="false" customHeight="true" outlineLevel="0" collapsed="false">
      <c r="A148" s="12"/>
      <c r="B148" s="9"/>
      <c r="C148" s="15" t="str">
        <f aca="false">IF($B148="","",IFERROR(INDEX(설비목록!$B$3:$B$202,MATCH($B148,설비목록!$A$3:$A$202,0)),"미등록설비"))</f>
        <v/>
      </c>
      <c r="D148" s="9"/>
      <c r="E148" s="9"/>
      <c r="F148" s="9"/>
      <c r="G148" s="9"/>
      <c r="H148" s="9"/>
    </row>
    <row r="149" customFormat="false" ht="15" hidden="false" customHeight="true" outlineLevel="0" collapsed="false">
      <c r="A149" s="12"/>
      <c r="B149" s="9"/>
      <c r="C149" s="15" t="str">
        <f aca="false">IF($B149="","",IFERROR(INDEX(설비목록!$B$3:$B$202,MATCH($B149,설비목록!$A$3:$A$202,0)),"미등록설비"))</f>
        <v/>
      </c>
      <c r="D149" s="9"/>
      <c r="E149" s="9"/>
      <c r="F149" s="9"/>
      <c r="G149" s="9"/>
      <c r="H149" s="9"/>
    </row>
    <row r="150" customFormat="false" ht="15" hidden="false" customHeight="true" outlineLevel="0" collapsed="false">
      <c r="A150" s="12"/>
      <c r="B150" s="9"/>
      <c r="C150" s="15" t="str">
        <f aca="false">IF($B150="","",IFERROR(INDEX(설비목록!$B$3:$B$202,MATCH($B150,설비목록!$A$3:$A$202,0)),"미등록설비"))</f>
        <v/>
      </c>
      <c r="D150" s="9"/>
      <c r="E150" s="9"/>
      <c r="F150" s="9"/>
      <c r="G150" s="9"/>
      <c r="H150" s="9"/>
    </row>
    <row r="151" customFormat="false" ht="15" hidden="false" customHeight="true" outlineLevel="0" collapsed="false">
      <c r="A151" s="12"/>
      <c r="B151" s="9"/>
      <c r="C151" s="15" t="str">
        <f aca="false">IF($B151="","",IFERROR(INDEX(설비목록!$B$3:$B$202,MATCH($B151,설비목록!$A$3:$A$202,0)),"미등록설비"))</f>
        <v/>
      </c>
      <c r="D151" s="9"/>
      <c r="E151" s="9"/>
      <c r="F151" s="9"/>
      <c r="G151" s="9"/>
      <c r="H151" s="9"/>
    </row>
    <row r="152" customFormat="false" ht="15" hidden="false" customHeight="true" outlineLevel="0" collapsed="false">
      <c r="A152" s="12"/>
      <c r="B152" s="9"/>
      <c r="C152" s="15" t="str">
        <f aca="false">IF($B152="","",IFERROR(INDEX(설비목록!$B$3:$B$202,MATCH($B152,설비목록!$A$3:$A$202,0)),"미등록설비"))</f>
        <v/>
      </c>
      <c r="D152" s="9"/>
      <c r="E152" s="9"/>
      <c r="F152" s="9"/>
      <c r="G152" s="9"/>
      <c r="H152" s="9"/>
    </row>
    <row r="153" customFormat="false" ht="15" hidden="false" customHeight="true" outlineLevel="0" collapsed="false">
      <c r="A153" s="12"/>
      <c r="B153" s="9"/>
      <c r="C153" s="15" t="str">
        <f aca="false">IF($B153="","",IFERROR(INDEX(설비목록!$B$3:$B$202,MATCH($B153,설비목록!$A$3:$A$202,0)),"미등록설비"))</f>
        <v/>
      </c>
      <c r="D153" s="9"/>
      <c r="E153" s="9"/>
      <c r="F153" s="9"/>
      <c r="G153" s="9"/>
      <c r="H153" s="9"/>
    </row>
    <row r="154" customFormat="false" ht="15" hidden="false" customHeight="true" outlineLevel="0" collapsed="false">
      <c r="A154" s="12"/>
      <c r="B154" s="9"/>
      <c r="C154" s="15" t="str">
        <f aca="false">IF($B154="","",IFERROR(INDEX(설비목록!$B$3:$B$202,MATCH($B154,설비목록!$A$3:$A$202,0)),"미등록설비"))</f>
        <v/>
      </c>
      <c r="D154" s="9"/>
      <c r="E154" s="9"/>
      <c r="F154" s="9"/>
      <c r="G154" s="9"/>
      <c r="H154" s="9"/>
    </row>
    <row r="155" customFormat="false" ht="15" hidden="false" customHeight="true" outlineLevel="0" collapsed="false">
      <c r="A155" s="12"/>
      <c r="B155" s="9"/>
      <c r="C155" s="15" t="str">
        <f aca="false">IF($B155="","",IFERROR(INDEX(설비목록!$B$3:$B$202,MATCH($B155,설비목록!$A$3:$A$202,0)),"미등록설비"))</f>
        <v/>
      </c>
      <c r="D155" s="9"/>
      <c r="E155" s="9"/>
      <c r="F155" s="9"/>
      <c r="G155" s="9"/>
      <c r="H155" s="9"/>
    </row>
    <row r="156" customFormat="false" ht="15" hidden="false" customHeight="true" outlineLevel="0" collapsed="false">
      <c r="A156" s="12"/>
      <c r="B156" s="9"/>
      <c r="C156" s="15" t="str">
        <f aca="false">IF($B156="","",IFERROR(INDEX(설비목록!$B$3:$B$202,MATCH($B156,설비목록!$A$3:$A$202,0)),"미등록설비"))</f>
        <v/>
      </c>
      <c r="D156" s="9"/>
      <c r="E156" s="9"/>
      <c r="F156" s="9"/>
      <c r="G156" s="9"/>
      <c r="H156" s="9"/>
    </row>
    <row r="157" customFormat="false" ht="15" hidden="false" customHeight="true" outlineLevel="0" collapsed="false">
      <c r="A157" s="12"/>
      <c r="B157" s="9"/>
      <c r="C157" s="15" t="str">
        <f aca="false">IF($B157="","",IFERROR(INDEX(설비목록!$B$3:$B$202,MATCH($B157,설비목록!$A$3:$A$202,0)),"미등록설비"))</f>
        <v/>
      </c>
      <c r="D157" s="9"/>
      <c r="E157" s="9"/>
      <c r="F157" s="9"/>
      <c r="G157" s="9"/>
      <c r="H157" s="9"/>
    </row>
    <row r="158" customFormat="false" ht="15" hidden="false" customHeight="true" outlineLevel="0" collapsed="false">
      <c r="A158" s="12"/>
      <c r="B158" s="9"/>
      <c r="C158" s="15" t="str">
        <f aca="false">IF($B158="","",IFERROR(INDEX(설비목록!$B$3:$B$202,MATCH($B158,설비목록!$A$3:$A$202,0)),"미등록설비"))</f>
        <v/>
      </c>
      <c r="D158" s="9"/>
      <c r="E158" s="9"/>
      <c r="F158" s="9"/>
      <c r="G158" s="9"/>
      <c r="H158" s="9"/>
    </row>
    <row r="159" customFormat="false" ht="15" hidden="false" customHeight="true" outlineLevel="0" collapsed="false">
      <c r="A159" s="12"/>
      <c r="B159" s="9"/>
      <c r="C159" s="15" t="str">
        <f aca="false">IF($B159="","",IFERROR(INDEX(설비목록!$B$3:$B$202,MATCH($B159,설비목록!$A$3:$A$202,0)),"미등록설비"))</f>
        <v/>
      </c>
      <c r="D159" s="9"/>
      <c r="E159" s="9"/>
      <c r="F159" s="9"/>
      <c r="G159" s="9"/>
      <c r="H159" s="9"/>
    </row>
    <row r="160" customFormat="false" ht="15" hidden="false" customHeight="true" outlineLevel="0" collapsed="false">
      <c r="A160" s="12"/>
      <c r="B160" s="9"/>
      <c r="C160" s="15" t="str">
        <f aca="false">IF($B160="","",IFERROR(INDEX(설비목록!$B$3:$B$202,MATCH($B160,설비목록!$A$3:$A$202,0)),"미등록설비"))</f>
        <v/>
      </c>
      <c r="D160" s="9"/>
      <c r="E160" s="9"/>
      <c r="F160" s="9"/>
      <c r="G160" s="9"/>
      <c r="H160" s="9"/>
    </row>
    <row r="161" customFormat="false" ht="15" hidden="false" customHeight="true" outlineLevel="0" collapsed="false">
      <c r="A161" s="12"/>
      <c r="B161" s="9"/>
      <c r="C161" s="15" t="str">
        <f aca="false">IF($B161="","",IFERROR(INDEX(설비목록!$B$3:$B$202,MATCH($B161,설비목록!$A$3:$A$202,0)),"미등록설비"))</f>
        <v/>
      </c>
      <c r="D161" s="9"/>
      <c r="E161" s="9"/>
      <c r="F161" s="9"/>
      <c r="G161" s="9"/>
      <c r="H161" s="9"/>
    </row>
    <row r="162" customFormat="false" ht="15" hidden="false" customHeight="true" outlineLevel="0" collapsed="false">
      <c r="A162" s="12"/>
      <c r="B162" s="9"/>
      <c r="C162" s="15" t="str">
        <f aca="false">IF($B162="","",IFERROR(INDEX(설비목록!$B$3:$B$202,MATCH($B162,설비목록!$A$3:$A$202,0)),"미등록설비"))</f>
        <v/>
      </c>
      <c r="D162" s="9"/>
      <c r="E162" s="9"/>
      <c r="F162" s="9"/>
      <c r="G162" s="9"/>
      <c r="H162" s="9"/>
    </row>
    <row r="163" customFormat="false" ht="15" hidden="false" customHeight="true" outlineLevel="0" collapsed="false">
      <c r="A163" s="12"/>
      <c r="B163" s="9"/>
      <c r="C163" s="15" t="str">
        <f aca="false">IF($B163="","",IFERROR(INDEX(설비목록!$B$3:$B$202,MATCH($B163,설비목록!$A$3:$A$202,0)),"미등록설비"))</f>
        <v/>
      </c>
      <c r="D163" s="9"/>
      <c r="E163" s="9"/>
      <c r="F163" s="9"/>
      <c r="G163" s="9"/>
      <c r="H163" s="9"/>
    </row>
    <row r="164" customFormat="false" ht="15" hidden="false" customHeight="true" outlineLevel="0" collapsed="false">
      <c r="A164" s="12"/>
      <c r="B164" s="9"/>
      <c r="C164" s="15" t="str">
        <f aca="false">IF($B164="","",IFERROR(INDEX(설비목록!$B$3:$B$202,MATCH($B164,설비목록!$A$3:$A$202,0)),"미등록설비"))</f>
        <v/>
      </c>
      <c r="D164" s="9"/>
      <c r="E164" s="9"/>
      <c r="F164" s="9"/>
      <c r="G164" s="9"/>
      <c r="H164" s="9"/>
    </row>
    <row r="165" customFormat="false" ht="15" hidden="false" customHeight="true" outlineLevel="0" collapsed="false">
      <c r="A165" s="12"/>
      <c r="B165" s="9"/>
      <c r="C165" s="15" t="str">
        <f aca="false">IF($B165="","",IFERROR(INDEX(설비목록!$B$3:$B$202,MATCH($B165,설비목록!$A$3:$A$202,0)),"미등록설비"))</f>
        <v/>
      </c>
      <c r="D165" s="9"/>
      <c r="E165" s="9"/>
      <c r="F165" s="9"/>
      <c r="G165" s="9"/>
      <c r="H165" s="9"/>
    </row>
    <row r="166" customFormat="false" ht="15" hidden="false" customHeight="true" outlineLevel="0" collapsed="false">
      <c r="A166" s="12"/>
      <c r="B166" s="9"/>
      <c r="C166" s="15" t="str">
        <f aca="false">IF($B166="","",IFERROR(INDEX(설비목록!$B$3:$B$202,MATCH($B166,설비목록!$A$3:$A$202,0)),"미등록설비"))</f>
        <v/>
      </c>
      <c r="D166" s="9"/>
      <c r="E166" s="9"/>
      <c r="F166" s="9"/>
      <c r="G166" s="9"/>
      <c r="H166" s="9"/>
    </row>
    <row r="167" customFormat="false" ht="15" hidden="false" customHeight="true" outlineLevel="0" collapsed="false">
      <c r="A167" s="12"/>
      <c r="B167" s="9"/>
      <c r="C167" s="15" t="str">
        <f aca="false">IF($B167="","",IFERROR(INDEX(설비목록!$B$3:$B$202,MATCH($B167,설비목록!$A$3:$A$202,0)),"미등록설비"))</f>
        <v/>
      </c>
      <c r="D167" s="9"/>
      <c r="E167" s="9"/>
      <c r="F167" s="9"/>
      <c r="G167" s="9"/>
      <c r="H167" s="9"/>
    </row>
    <row r="168" customFormat="false" ht="15" hidden="false" customHeight="true" outlineLevel="0" collapsed="false">
      <c r="A168" s="12"/>
      <c r="B168" s="9"/>
      <c r="C168" s="15" t="str">
        <f aca="false">IF($B168="","",IFERROR(INDEX(설비목록!$B$3:$B$202,MATCH($B168,설비목록!$A$3:$A$202,0)),"미등록설비"))</f>
        <v/>
      </c>
      <c r="D168" s="9"/>
      <c r="E168" s="9"/>
      <c r="F168" s="9"/>
      <c r="G168" s="9"/>
      <c r="H168" s="9"/>
    </row>
    <row r="169" customFormat="false" ht="15" hidden="false" customHeight="true" outlineLevel="0" collapsed="false">
      <c r="A169" s="12"/>
      <c r="B169" s="9"/>
      <c r="C169" s="15" t="str">
        <f aca="false">IF($B169="","",IFERROR(INDEX(설비목록!$B$3:$B$202,MATCH($B169,설비목록!$A$3:$A$202,0)),"미등록설비"))</f>
        <v/>
      </c>
      <c r="D169" s="9"/>
      <c r="E169" s="9"/>
      <c r="F169" s="9"/>
      <c r="G169" s="9"/>
      <c r="H169" s="9"/>
    </row>
    <row r="170" customFormat="false" ht="15" hidden="false" customHeight="true" outlineLevel="0" collapsed="false">
      <c r="A170" s="12"/>
      <c r="B170" s="9"/>
      <c r="C170" s="15" t="str">
        <f aca="false">IF($B170="","",IFERROR(INDEX(설비목록!$B$3:$B$202,MATCH($B170,설비목록!$A$3:$A$202,0)),"미등록설비"))</f>
        <v/>
      </c>
      <c r="D170" s="9"/>
      <c r="E170" s="9"/>
      <c r="F170" s="9"/>
      <c r="G170" s="9"/>
      <c r="H170" s="9"/>
    </row>
    <row r="171" customFormat="false" ht="15" hidden="false" customHeight="true" outlineLevel="0" collapsed="false">
      <c r="A171" s="12"/>
      <c r="B171" s="9"/>
      <c r="C171" s="15" t="str">
        <f aca="false">IF($B171="","",IFERROR(INDEX(설비목록!$B$3:$B$202,MATCH($B171,설비목록!$A$3:$A$202,0)),"미등록설비"))</f>
        <v/>
      </c>
      <c r="D171" s="9"/>
      <c r="E171" s="9"/>
      <c r="F171" s="9"/>
      <c r="G171" s="9"/>
      <c r="H171" s="9"/>
    </row>
    <row r="172" customFormat="false" ht="15" hidden="false" customHeight="true" outlineLevel="0" collapsed="false">
      <c r="A172" s="12"/>
      <c r="B172" s="9"/>
      <c r="C172" s="15" t="str">
        <f aca="false">IF($B172="","",IFERROR(INDEX(설비목록!$B$3:$B$202,MATCH($B172,설비목록!$A$3:$A$202,0)),"미등록설비"))</f>
        <v/>
      </c>
      <c r="D172" s="9"/>
      <c r="E172" s="9"/>
      <c r="F172" s="9"/>
      <c r="G172" s="9"/>
      <c r="H172" s="9"/>
    </row>
    <row r="173" customFormat="false" ht="15" hidden="false" customHeight="true" outlineLevel="0" collapsed="false">
      <c r="A173" s="12"/>
      <c r="B173" s="9"/>
      <c r="C173" s="15" t="str">
        <f aca="false">IF($B173="","",IFERROR(INDEX(설비목록!$B$3:$B$202,MATCH($B173,설비목록!$A$3:$A$202,0)),"미등록설비"))</f>
        <v/>
      </c>
      <c r="D173" s="9"/>
      <c r="E173" s="9"/>
      <c r="F173" s="9"/>
      <c r="G173" s="9"/>
      <c r="H173" s="9"/>
    </row>
    <row r="174" customFormat="false" ht="15" hidden="false" customHeight="true" outlineLevel="0" collapsed="false">
      <c r="A174" s="12"/>
      <c r="B174" s="9"/>
      <c r="C174" s="15" t="str">
        <f aca="false">IF($B174="","",IFERROR(INDEX(설비목록!$B$3:$B$202,MATCH($B174,설비목록!$A$3:$A$202,0)),"미등록설비"))</f>
        <v/>
      </c>
      <c r="D174" s="9"/>
      <c r="E174" s="9"/>
      <c r="F174" s="9"/>
      <c r="G174" s="9"/>
      <c r="H174" s="9"/>
    </row>
    <row r="175" customFormat="false" ht="15" hidden="false" customHeight="true" outlineLevel="0" collapsed="false">
      <c r="A175" s="12"/>
      <c r="B175" s="9"/>
      <c r="C175" s="15" t="str">
        <f aca="false">IF($B175="","",IFERROR(INDEX(설비목록!$B$3:$B$202,MATCH($B175,설비목록!$A$3:$A$202,0)),"미등록설비"))</f>
        <v/>
      </c>
      <c r="D175" s="9"/>
      <c r="E175" s="9"/>
      <c r="F175" s="9"/>
      <c r="G175" s="9"/>
      <c r="H175" s="9"/>
    </row>
    <row r="176" customFormat="false" ht="15" hidden="false" customHeight="true" outlineLevel="0" collapsed="false">
      <c r="A176" s="12"/>
      <c r="B176" s="9"/>
      <c r="C176" s="15" t="str">
        <f aca="false">IF($B176="","",IFERROR(INDEX(설비목록!$B$3:$B$202,MATCH($B176,설비목록!$A$3:$A$202,0)),"미등록설비"))</f>
        <v/>
      </c>
      <c r="D176" s="9"/>
      <c r="E176" s="9"/>
      <c r="F176" s="9"/>
      <c r="G176" s="9"/>
      <c r="H176" s="9"/>
    </row>
    <row r="177" customFormat="false" ht="15" hidden="false" customHeight="true" outlineLevel="0" collapsed="false">
      <c r="A177" s="12"/>
      <c r="B177" s="9"/>
      <c r="C177" s="15" t="str">
        <f aca="false">IF($B177="","",IFERROR(INDEX(설비목록!$B$3:$B$202,MATCH($B177,설비목록!$A$3:$A$202,0)),"미등록설비"))</f>
        <v/>
      </c>
      <c r="D177" s="9"/>
      <c r="E177" s="9"/>
      <c r="F177" s="9"/>
      <c r="G177" s="9"/>
      <c r="H177" s="9"/>
    </row>
    <row r="178" customFormat="false" ht="15" hidden="false" customHeight="true" outlineLevel="0" collapsed="false">
      <c r="A178" s="12"/>
      <c r="B178" s="9"/>
      <c r="C178" s="15" t="str">
        <f aca="false">IF($B178="","",IFERROR(INDEX(설비목록!$B$3:$B$202,MATCH($B178,설비목록!$A$3:$A$202,0)),"미등록설비"))</f>
        <v/>
      </c>
      <c r="D178" s="9"/>
      <c r="E178" s="9"/>
      <c r="F178" s="9"/>
      <c r="G178" s="9"/>
      <c r="H178" s="9"/>
    </row>
    <row r="179" customFormat="false" ht="15" hidden="false" customHeight="true" outlineLevel="0" collapsed="false">
      <c r="A179" s="12"/>
      <c r="B179" s="9"/>
      <c r="C179" s="15" t="str">
        <f aca="false">IF($B179="","",IFERROR(INDEX(설비목록!$B$3:$B$202,MATCH($B179,설비목록!$A$3:$A$202,0)),"미등록설비"))</f>
        <v/>
      </c>
      <c r="D179" s="9"/>
      <c r="E179" s="9"/>
      <c r="F179" s="9"/>
      <c r="G179" s="9"/>
      <c r="H179" s="9"/>
    </row>
    <row r="180" customFormat="false" ht="15" hidden="false" customHeight="true" outlineLevel="0" collapsed="false">
      <c r="A180" s="12"/>
      <c r="B180" s="9"/>
      <c r="C180" s="15" t="str">
        <f aca="false">IF($B180="","",IFERROR(INDEX(설비목록!$B$3:$B$202,MATCH($B180,설비목록!$A$3:$A$202,0)),"미등록설비"))</f>
        <v/>
      </c>
      <c r="D180" s="9"/>
      <c r="E180" s="9"/>
      <c r="F180" s="9"/>
      <c r="G180" s="9"/>
      <c r="H180" s="9"/>
    </row>
    <row r="181" customFormat="false" ht="15" hidden="false" customHeight="true" outlineLevel="0" collapsed="false">
      <c r="A181" s="12"/>
      <c r="B181" s="9"/>
      <c r="C181" s="15" t="str">
        <f aca="false">IF($B181="","",IFERROR(INDEX(설비목록!$B$3:$B$202,MATCH($B181,설비목록!$A$3:$A$202,0)),"미등록설비"))</f>
        <v/>
      </c>
      <c r="D181" s="9"/>
      <c r="E181" s="9"/>
      <c r="F181" s="9"/>
      <c r="G181" s="9"/>
      <c r="H181" s="9"/>
    </row>
    <row r="182" customFormat="false" ht="15" hidden="false" customHeight="true" outlineLevel="0" collapsed="false">
      <c r="A182" s="12"/>
      <c r="B182" s="9"/>
      <c r="C182" s="15" t="str">
        <f aca="false">IF($B182="","",IFERROR(INDEX(설비목록!$B$3:$B$202,MATCH($B182,설비목록!$A$3:$A$202,0)),"미등록설비"))</f>
        <v/>
      </c>
      <c r="D182" s="9"/>
      <c r="E182" s="9"/>
      <c r="F182" s="9"/>
      <c r="G182" s="9"/>
      <c r="H182" s="9"/>
    </row>
    <row r="183" customFormat="false" ht="15" hidden="false" customHeight="true" outlineLevel="0" collapsed="false">
      <c r="A183" s="12"/>
      <c r="B183" s="9"/>
      <c r="C183" s="15" t="str">
        <f aca="false">IF($B183="","",IFERROR(INDEX(설비목록!$B$3:$B$202,MATCH($B183,설비목록!$A$3:$A$202,0)),"미등록설비"))</f>
        <v/>
      </c>
      <c r="D183" s="9"/>
      <c r="E183" s="9"/>
      <c r="F183" s="9"/>
      <c r="G183" s="9"/>
      <c r="H183" s="9"/>
    </row>
    <row r="184" customFormat="false" ht="15" hidden="false" customHeight="true" outlineLevel="0" collapsed="false">
      <c r="A184" s="12"/>
      <c r="B184" s="9"/>
      <c r="C184" s="15" t="str">
        <f aca="false">IF($B184="","",IFERROR(INDEX(설비목록!$B$3:$B$202,MATCH($B184,설비목록!$A$3:$A$202,0)),"미등록설비"))</f>
        <v/>
      </c>
      <c r="D184" s="9"/>
      <c r="E184" s="9"/>
      <c r="F184" s="9"/>
      <c r="G184" s="9"/>
      <c r="H184" s="9"/>
    </row>
    <row r="185" customFormat="false" ht="15" hidden="false" customHeight="true" outlineLevel="0" collapsed="false">
      <c r="A185" s="12"/>
      <c r="B185" s="9"/>
      <c r="C185" s="15" t="str">
        <f aca="false">IF($B185="","",IFERROR(INDEX(설비목록!$B$3:$B$202,MATCH($B185,설비목록!$A$3:$A$202,0)),"미등록설비"))</f>
        <v/>
      </c>
      <c r="D185" s="9"/>
      <c r="E185" s="9"/>
      <c r="F185" s="9"/>
      <c r="G185" s="9"/>
      <c r="H185" s="9"/>
    </row>
    <row r="186" customFormat="false" ht="15" hidden="false" customHeight="true" outlineLevel="0" collapsed="false">
      <c r="A186" s="12"/>
      <c r="B186" s="9"/>
      <c r="C186" s="15" t="str">
        <f aca="false">IF($B186="","",IFERROR(INDEX(설비목록!$B$3:$B$202,MATCH($B186,설비목록!$A$3:$A$202,0)),"미등록설비"))</f>
        <v/>
      </c>
      <c r="D186" s="9"/>
      <c r="E186" s="9"/>
      <c r="F186" s="9"/>
      <c r="G186" s="9"/>
      <c r="H186" s="9"/>
    </row>
    <row r="187" customFormat="false" ht="15" hidden="false" customHeight="true" outlineLevel="0" collapsed="false">
      <c r="A187" s="12"/>
      <c r="B187" s="9"/>
      <c r="C187" s="15" t="str">
        <f aca="false">IF($B187="","",IFERROR(INDEX(설비목록!$B$3:$B$202,MATCH($B187,설비목록!$A$3:$A$202,0)),"미등록설비"))</f>
        <v/>
      </c>
      <c r="D187" s="9"/>
      <c r="E187" s="9"/>
      <c r="F187" s="9"/>
      <c r="G187" s="9"/>
      <c r="H187" s="9"/>
    </row>
    <row r="188" customFormat="false" ht="15" hidden="false" customHeight="true" outlineLevel="0" collapsed="false">
      <c r="A188" s="12"/>
      <c r="B188" s="9"/>
      <c r="C188" s="15" t="str">
        <f aca="false">IF($B188="","",IFERROR(INDEX(설비목록!$B$3:$B$202,MATCH($B188,설비목록!$A$3:$A$202,0)),"미등록설비"))</f>
        <v/>
      </c>
      <c r="D188" s="9"/>
      <c r="E188" s="9"/>
      <c r="F188" s="9"/>
      <c r="G188" s="9"/>
      <c r="H188" s="9"/>
    </row>
    <row r="189" customFormat="false" ht="15" hidden="false" customHeight="true" outlineLevel="0" collapsed="false">
      <c r="A189" s="12"/>
      <c r="B189" s="9"/>
      <c r="C189" s="15" t="str">
        <f aca="false">IF($B189="","",IFERROR(INDEX(설비목록!$B$3:$B$202,MATCH($B189,설비목록!$A$3:$A$202,0)),"미등록설비"))</f>
        <v/>
      </c>
      <c r="D189" s="9"/>
      <c r="E189" s="9"/>
      <c r="F189" s="9"/>
      <c r="G189" s="9"/>
      <c r="H189" s="9"/>
    </row>
    <row r="190" customFormat="false" ht="15" hidden="false" customHeight="true" outlineLevel="0" collapsed="false">
      <c r="A190" s="12"/>
      <c r="B190" s="9"/>
      <c r="C190" s="15" t="str">
        <f aca="false">IF($B190="","",IFERROR(INDEX(설비목록!$B$3:$B$202,MATCH($B190,설비목록!$A$3:$A$202,0)),"미등록설비"))</f>
        <v/>
      </c>
      <c r="D190" s="9"/>
      <c r="E190" s="9"/>
      <c r="F190" s="9"/>
      <c r="G190" s="9"/>
      <c r="H190" s="9"/>
    </row>
    <row r="191" customFormat="false" ht="15" hidden="false" customHeight="true" outlineLevel="0" collapsed="false">
      <c r="A191" s="12"/>
      <c r="B191" s="9"/>
      <c r="C191" s="15" t="str">
        <f aca="false">IF($B191="","",IFERROR(INDEX(설비목록!$B$3:$B$202,MATCH($B191,설비목록!$A$3:$A$202,0)),"미등록설비"))</f>
        <v/>
      </c>
      <c r="D191" s="9"/>
      <c r="E191" s="9"/>
      <c r="F191" s="9"/>
      <c r="G191" s="9"/>
      <c r="H191" s="9"/>
    </row>
    <row r="192" customFormat="false" ht="15" hidden="false" customHeight="true" outlineLevel="0" collapsed="false">
      <c r="A192" s="12"/>
      <c r="B192" s="9"/>
      <c r="C192" s="15" t="str">
        <f aca="false">IF($B192="","",IFERROR(INDEX(설비목록!$B$3:$B$202,MATCH($B192,설비목록!$A$3:$A$202,0)),"미등록설비"))</f>
        <v/>
      </c>
      <c r="D192" s="9"/>
      <c r="E192" s="9"/>
      <c r="F192" s="9"/>
      <c r="G192" s="9"/>
      <c r="H192" s="9"/>
    </row>
    <row r="193" customFormat="false" ht="15" hidden="false" customHeight="true" outlineLevel="0" collapsed="false">
      <c r="A193" s="12"/>
      <c r="B193" s="9"/>
      <c r="C193" s="15" t="str">
        <f aca="false">IF($B193="","",IFERROR(INDEX(설비목록!$B$3:$B$202,MATCH($B193,설비목록!$A$3:$A$202,0)),"미등록설비"))</f>
        <v/>
      </c>
      <c r="D193" s="9"/>
      <c r="E193" s="9"/>
      <c r="F193" s="9"/>
      <c r="G193" s="9"/>
      <c r="H193" s="9"/>
    </row>
    <row r="194" customFormat="false" ht="15" hidden="false" customHeight="true" outlineLevel="0" collapsed="false">
      <c r="A194" s="12"/>
      <c r="B194" s="9"/>
      <c r="C194" s="15" t="str">
        <f aca="false">IF($B194="","",IFERROR(INDEX(설비목록!$B$3:$B$202,MATCH($B194,설비목록!$A$3:$A$202,0)),"미등록설비"))</f>
        <v/>
      </c>
      <c r="D194" s="9"/>
      <c r="E194" s="9"/>
      <c r="F194" s="9"/>
      <c r="G194" s="9"/>
      <c r="H194" s="9"/>
    </row>
    <row r="195" customFormat="false" ht="15" hidden="false" customHeight="true" outlineLevel="0" collapsed="false">
      <c r="A195" s="12"/>
      <c r="B195" s="9"/>
      <c r="C195" s="15" t="str">
        <f aca="false">IF($B195="","",IFERROR(INDEX(설비목록!$B$3:$B$202,MATCH($B195,설비목록!$A$3:$A$202,0)),"미등록설비"))</f>
        <v/>
      </c>
      <c r="D195" s="9"/>
      <c r="E195" s="9"/>
      <c r="F195" s="9"/>
      <c r="G195" s="9"/>
      <c r="H195" s="9"/>
    </row>
    <row r="196" customFormat="false" ht="15" hidden="false" customHeight="true" outlineLevel="0" collapsed="false">
      <c r="A196" s="12"/>
      <c r="B196" s="9"/>
      <c r="C196" s="15" t="str">
        <f aca="false">IF($B196="","",IFERROR(INDEX(설비목록!$B$3:$B$202,MATCH($B196,설비목록!$A$3:$A$202,0)),"미등록설비"))</f>
        <v/>
      </c>
      <c r="D196" s="9"/>
      <c r="E196" s="9"/>
      <c r="F196" s="9"/>
      <c r="G196" s="9"/>
      <c r="H196" s="9"/>
    </row>
    <row r="197" customFormat="false" ht="15" hidden="false" customHeight="true" outlineLevel="0" collapsed="false">
      <c r="A197" s="12"/>
      <c r="B197" s="9"/>
      <c r="C197" s="15" t="str">
        <f aca="false">IF($B197="","",IFERROR(INDEX(설비목록!$B$3:$B$202,MATCH($B197,설비목록!$A$3:$A$202,0)),"미등록설비"))</f>
        <v/>
      </c>
      <c r="D197" s="9"/>
      <c r="E197" s="9"/>
      <c r="F197" s="9"/>
      <c r="G197" s="9"/>
      <c r="H197" s="9"/>
    </row>
    <row r="198" customFormat="false" ht="15" hidden="false" customHeight="true" outlineLevel="0" collapsed="false">
      <c r="A198" s="12"/>
      <c r="B198" s="9"/>
      <c r="C198" s="15" t="str">
        <f aca="false">IF($B198="","",IFERROR(INDEX(설비목록!$B$3:$B$202,MATCH($B198,설비목록!$A$3:$A$202,0)),"미등록설비"))</f>
        <v/>
      </c>
      <c r="D198" s="9"/>
      <c r="E198" s="9"/>
      <c r="F198" s="9"/>
      <c r="G198" s="9"/>
      <c r="H198" s="9"/>
    </row>
    <row r="199" customFormat="false" ht="15" hidden="false" customHeight="true" outlineLevel="0" collapsed="false">
      <c r="A199" s="12"/>
      <c r="B199" s="9"/>
      <c r="C199" s="15" t="str">
        <f aca="false">IF($B199="","",IFERROR(INDEX(설비목록!$B$3:$B$202,MATCH($B199,설비목록!$A$3:$A$202,0)),"미등록설비"))</f>
        <v/>
      </c>
      <c r="D199" s="9"/>
      <c r="E199" s="9"/>
      <c r="F199" s="9"/>
      <c r="G199" s="9"/>
      <c r="H199" s="9"/>
    </row>
    <row r="200" customFormat="false" ht="15" hidden="false" customHeight="true" outlineLevel="0" collapsed="false">
      <c r="A200" s="12"/>
      <c r="B200" s="9"/>
      <c r="C200" s="15" t="str">
        <f aca="false">IF($B200="","",IFERROR(INDEX(설비목록!$B$3:$B$202,MATCH($B200,설비목록!$A$3:$A$202,0)),"미등록설비"))</f>
        <v/>
      </c>
      <c r="D200" s="9"/>
      <c r="E200" s="9"/>
      <c r="F200" s="9"/>
      <c r="G200" s="9"/>
      <c r="H200" s="9"/>
    </row>
    <row r="201" customFormat="false" ht="15" hidden="false" customHeight="true" outlineLevel="0" collapsed="false">
      <c r="A201" s="12"/>
      <c r="B201" s="9"/>
      <c r="C201" s="15" t="str">
        <f aca="false">IF($B201="","",IFERROR(INDEX(설비목록!$B$3:$B$202,MATCH($B201,설비목록!$A$3:$A$202,0)),"미등록설비"))</f>
        <v/>
      </c>
      <c r="D201" s="9"/>
      <c r="E201" s="9"/>
      <c r="F201" s="9"/>
      <c r="G201" s="9"/>
      <c r="H201" s="9"/>
    </row>
    <row r="202" customFormat="false" ht="15" hidden="false" customHeight="true" outlineLevel="0" collapsed="false">
      <c r="A202" s="12"/>
      <c r="B202" s="9"/>
      <c r="C202" s="15" t="str">
        <f aca="false">IF($B202="","",IFERROR(INDEX(설비목록!$B$3:$B$202,MATCH($B202,설비목록!$A$3:$A$202,0)),"미등록설비"))</f>
        <v/>
      </c>
      <c r="D202" s="9"/>
      <c r="E202" s="9"/>
      <c r="F202" s="9"/>
      <c r="G202" s="9"/>
      <c r="H202" s="9"/>
    </row>
    <row r="203" customFormat="false" ht="15" hidden="false" customHeight="true" outlineLevel="0" collapsed="false">
      <c r="A203" s="12"/>
      <c r="B203" s="9"/>
      <c r="C203" s="15" t="str">
        <f aca="false">IF($B203="","",IFERROR(INDEX(설비목록!$B$3:$B$202,MATCH($B203,설비목록!$A$3:$A$202,0)),"미등록설비"))</f>
        <v/>
      </c>
      <c r="D203" s="9"/>
      <c r="E203" s="9"/>
      <c r="F203" s="9"/>
      <c r="G203" s="9"/>
      <c r="H203" s="9"/>
    </row>
    <row r="204" customFormat="false" ht="15" hidden="false" customHeight="true" outlineLevel="0" collapsed="false">
      <c r="A204" s="12"/>
      <c r="B204" s="9"/>
      <c r="C204" s="15" t="str">
        <f aca="false">IF($B204="","",IFERROR(INDEX(설비목록!$B$3:$B$202,MATCH($B204,설비목록!$A$3:$A$202,0)),"미등록설비"))</f>
        <v/>
      </c>
      <c r="D204" s="9"/>
      <c r="E204" s="9"/>
      <c r="F204" s="9"/>
      <c r="G204" s="9"/>
      <c r="H204" s="9"/>
    </row>
    <row r="205" customFormat="false" ht="15" hidden="false" customHeight="true" outlineLevel="0" collapsed="false">
      <c r="A205" s="12"/>
      <c r="B205" s="9"/>
      <c r="C205" s="15" t="str">
        <f aca="false">IF($B205="","",IFERROR(INDEX(설비목록!$B$3:$B$202,MATCH($B205,설비목록!$A$3:$A$202,0)),"미등록설비"))</f>
        <v/>
      </c>
      <c r="D205" s="9"/>
      <c r="E205" s="9"/>
      <c r="F205" s="9"/>
      <c r="G205" s="9"/>
      <c r="H205" s="9"/>
    </row>
    <row r="206" customFormat="false" ht="15" hidden="false" customHeight="true" outlineLevel="0" collapsed="false">
      <c r="A206" s="12"/>
      <c r="B206" s="9"/>
      <c r="C206" s="15" t="str">
        <f aca="false">IF($B206="","",IFERROR(INDEX(설비목록!$B$3:$B$202,MATCH($B206,설비목록!$A$3:$A$202,0)),"미등록설비"))</f>
        <v/>
      </c>
      <c r="D206" s="9"/>
      <c r="E206" s="9"/>
      <c r="F206" s="9"/>
      <c r="G206" s="9"/>
      <c r="H206" s="9"/>
    </row>
    <row r="207" customFormat="false" ht="15" hidden="false" customHeight="true" outlineLevel="0" collapsed="false">
      <c r="A207" s="12"/>
      <c r="B207" s="9"/>
      <c r="C207" s="15" t="str">
        <f aca="false">IF($B207="","",IFERROR(INDEX(설비목록!$B$3:$B$202,MATCH($B207,설비목록!$A$3:$A$202,0)),"미등록설비"))</f>
        <v/>
      </c>
      <c r="D207" s="9"/>
      <c r="E207" s="9"/>
      <c r="F207" s="9"/>
      <c r="G207" s="9"/>
      <c r="H207" s="9"/>
    </row>
    <row r="208" customFormat="false" ht="15" hidden="false" customHeight="true" outlineLevel="0" collapsed="false">
      <c r="A208" s="12"/>
      <c r="B208" s="9"/>
      <c r="C208" s="15" t="str">
        <f aca="false">IF($B208="","",IFERROR(INDEX(설비목록!$B$3:$B$202,MATCH($B208,설비목록!$A$3:$A$202,0)),"미등록설비"))</f>
        <v/>
      </c>
      <c r="D208" s="9"/>
      <c r="E208" s="9"/>
      <c r="F208" s="9"/>
      <c r="G208" s="9"/>
      <c r="H208" s="9"/>
    </row>
    <row r="209" customFormat="false" ht="15" hidden="false" customHeight="true" outlineLevel="0" collapsed="false">
      <c r="A209" s="12"/>
      <c r="B209" s="9"/>
      <c r="C209" s="15" t="str">
        <f aca="false">IF($B209="","",IFERROR(INDEX(설비목록!$B$3:$B$202,MATCH($B209,설비목록!$A$3:$A$202,0)),"미등록설비"))</f>
        <v/>
      </c>
      <c r="D209" s="9"/>
      <c r="E209" s="9"/>
      <c r="F209" s="9"/>
      <c r="G209" s="9"/>
      <c r="H209" s="9"/>
    </row>
    <row r="210" customFormat="false" ht="15" hidden="false" customHeight="true" outlineLevel="0" collapsed="false">
      <c r="A210" s="12"/>
      <c r="B210" s="9"/>
      <c r="C210" s="15" t="str">
        <f aca="false">IF($B210="","",IFERROR(INDEX(설비목록!$B$3:$B$202,MATCH($B210,설비목록!$A$3:$A$202,0)),"미등록설비"))</f>
        <v/>
      </c>
      <c r="D210" s="9"/>
      <c r="E210" s="9"/>
      <c r="F210" s="9"/>
      <c r="G210" s="9"/>
      <c r="H210" s="9"/>
    </row>
    <row r="211" customFormat="false" ht="15" hidden="false" customHeight="true" outlineLevel="0" collapsed="false">
      <c r="A211" s="12"/>
      <c r="B211" s="9"/>
      <c r="C211" s="15" t="str">
        <f aca="false">IF($B211="","",IFERROR(INDEX(설비목록!$B$3:$B$202,MATCH($B211,설비목록!$A$3:$A$202,0)),"미등록설비"))</f>
        <v/>
      </c>
      <c r="D211" s="9"/>
      <c r="E211" s="9"/>
      <c r="F211" s="9"/>
      <c r="G211" s="9"/>
      <c r="H211" s="9"/>
    </row>
    <row r="212" customFormat="false" ht="15" hidden="false" customHeight="true" outlineLevel="0" collapsed="false">
      <c r="A212" s="12"/>
      <c r="B212" s="9"/>
      <c r="C212" s="15" t="str">
        <f aca="false">IF($B212="","",IFERROR(INDEX(설비목록!$B$3:$B$202,MATCH($B212,설비목록!$A$3:$A$202,0)),"미등록설비"))</f>
        <v/>
      </c>
      <c r="D212" s="9"/>
      <c r="E212" s="9"/>
      <c r="F212" s="9"/>
      <c r="G212" s="9"/>
      <c r="H212" s="9"/>
    </row>
    <row r="213" customFormat="false" ht="15" hidden="false" customHeight="true" outlineLevel="0" collapsed="false">
      <c r="A213" s="12"/>
      <c r="B213" s="9"/>
      <c r="C213" s="15" t="str">
        <f aca="false">IF($B213="","",IFERROR(INDEX(설비목록!$B$3:$B$202,MATCH($B213,설비목록!$A$3:$A$202,0)),"미등록설비"))</f>
        <v/>
      </c>
      <c r="D213" s="9"/>
      <c r="E213" s="9"/>
      <c r="F213" s="9"/>
      <c r="G213" s="9"/>
      <c r="H213" s="9"/>
    </row>
    <row r="214" customFormat="false" ht="15" hidden="false" customHeight="true" outlineLevel="0" collapsed="false">
      <c r="A214" s="12"/>
      <c r="B214" s="9"/>
      <c r="C214" s="15" t="str">
        <f aca="false">IF($B214="","",IFERROR(INDEX(설비목록!$B$3:$B$202,MATCH($B214,설비목록!$A$3:$A$202,0)),"미등록설비"))</f>
        <v/>
      </c>
      <c r="D214" s="9"/>
      <c r="E214" s="9"/>
      <c r="F214" s="9"/>
      <c r="G214" s="9"/>
      <c r="H214" s="9"/>
    </row>
    <row r="215" customFormat="false" ht="15" hidden="false" customHeight="true" outlineLevel="0" collapsed="false">
      <c r="A215" s="12"/>
      <c r="B215" s="9"/>
      <c r="C215" s="15" t="str">
        <f aca="false">IF($B215="","",IFERROR(INDEX(설비목록!$B$3:$B$202,MATCH($B215,설비목록!$A$3:$A$202,0)),"미등록설비"))</f>
        <v/>
      </c>
      <c r="D215" s="9"/>
      <c r="E215" s="9"/>
      <c r="F215" s="9"/>
      <c r="G215" s="9"/>
      <c r="H215" s="9"/>
    </row>
    <row r="216" customFormat="false" ht="15" hidden="false" customHeight="true" outlineLevel="0" collapsed="false">
      <c r="A216" s="12"/>
      <c r="B216" s="9"/>
      <c r="C216" s="15" t="str">
        <f aca="false">IF($B216="","",IFERROR(INDEX(설비목록!$B$3:$B$202,MATCH($B216,설비목록!$A$3:$A$202,0)),"미등록설비"))</f>
        <v/>
      </c>
      <c r="D216" s="9"/>
      <c r="E216" s="9"/>
      <c r="F216" s="9"/>
      <c r="G216" s="9"/>
      <c r="H216" s="9"/>
    </row>
    <row r="217" customFormat="false" ht="15" hidden="false" customHeight="true" outlineLevel="0" collapsed="false">
      <c r="A217" s="12"/>
      <c r="B217" s="9"/>
      <c r="C217" s="15" t="str">
        <f aca="false">IF($B217="","",IFERROR(INDEX(설비목록!$B$3:$B$202,MATCH($B217,설비목록!$A$3:$A$202,0)),"미등록설비"))</f>
        <v/>
      </c>
      <c r="D217" s="9"/>
      <c r="E217" s="9"/>
      <c r="F217" s="9"/>
      <c r="G217" s="9"/>
      <c r="H217" s="9"/>
    </row>
    <row r="218" customFormat="false" ht="15" hidden="false" customHeight="true" outlineLevel="0" collapsed="false">
      <c r="A218" s="12"/>
      <c r="B218" s="9"/>
      <c r="C218" s="15" t="str">
        <f aca="false">IF($B218="","",IFERROR(INDEX(설비목록!$B$3:$B$202,MATCH($B218,설비목록!$A$3:$A$202,0)),"미등록설비"))</f>
        <v/>
      </c>
      <c r="D218" s="9"/>
      <c r="E218" s="9"/>
      <c r="F218" s="9"/>
      <c r="G218" s="9"/>
      <c r="H218" s="9"/>
    </row>
    <row r="219" customFormat="false" ht="15" hidden="false" customHeight="true" outlineLevel="0" collapsed="false">
      <c r="A219" s="12"/>
      <c r="B219" s="9"/>
      <c r="C219" s="15" t="str">
        <f aca="false">IF($B219="","",IFERROR(INDEX(설비목록!$B$3:$B$202,MATCH($B219,설비목록!$A$3:$A$202,0)),"미등록설비"))</f>
        <v/>
      </c>
      <c r="D219" s="9"/>
      <c r="E219" s="9"/>
      <c r="F219" s="9"/>
      <c r="G219" s="9"/>
      <c r="H219" s="9"/>
    </row>
    <row r="220" customFormat="false" ht="15" hidden="false" customHeight="true" outlineLevel="0" collapsed="false">
      <c r="A220" s="12"/>
      <c r="B220" s="9"/>
      <c r="C220" s="15" t="str">
        <f aca="false">IF($B220="","",IFERROR(INDEX(설비목록!$B$3:$B$202,MATCH($B220,설비목록!$A$3:$A$202,0)),"미등록설비"))</f>
        <v/>
      </c>
      <c r="D220" s="9"/>
      <c r="E220" s="9"/>
      <c r="F220" s="9"/>
      <c r="G220" s="9"/>
      <c r="H220" s="9"/>
    </row>
    <row r="221" customFormat="false" ht="15" hidden="false" customHeight="true" outlineLevel="0" collapsed="false">
      <c r="A221" s="12"/>
      <c r="B221" s="9"/>
      <c r="C221" s="15" t="str">
        <f aca="false">IF($B221="","",IFERROR(INDEX(설비목록!$B$3:$B$202,MATCH($B221,설비목록!$A$3:$A$202,0)),"미등록설비"))</f>
        <v/>
      </c>
      <c r="D221" s="9"/>
      <c r="E221" s="9"/>
      <c r="F221" s="9"/>
      <c r="G221" s="9"/>
      <c r="H221" s="9"/>
    </row>
    <row r="222" customFormat="false" ht="15" hidden="false" customHeight="true" outlineLevel="0" collapsed="false">
      <c r="A222" s="12"/>
      <c r="B222" s="9"/>
      <c r="C222" s="15" t="str">
        <f aca="false">IF($B222="","",IFERROR(INDEX(설비목록!$B$3:$B$202,MATCH($B222,설비목록!$A$3:$A$202,0)),"미등록설비"))</f>
        <v/>
      </c>
      <c r="D222" s="9"/>
      <c r="E222" s="9"/>
      <c r="F222" s="9"/>
      <c r="G222" s="9"/>
      <c r="H222" s="9"/>
    </row>
    <row r="223" customFormat="false" ht="15" hidden="false" customHeight="true" outlineLevel="0" collapsed="false">
      <c r="A223" s="12"/>
      <c r="B223" s="9"/>
      <c r="C223" s="15" t="str">
        <f aca="false">IF($B223="","",IFERROR(INDEX(설비목록!$B$3:$B$202,MATCH($B223,설비목록!$A$3:$A$202,0)),"미등록설비"))</f>
        <v/>
      </c>
      <c r="D223" s="9"/>
      <c r="E223" s="9"/>
      <c r="F223" s="9"/>
      <c r="G223" s="9"/>
      <c r="H223" s="9"/>
    </row>
    <row r="224" customFormat="false" ht="15" hidden="false" customHeight="true" outlineLevel="0" collapsed="false">
      <c r="A224" s="12"/>
      <c r="B224" s="9"/>
      <c r="C224" s="15" t="str">
        <f aca="false">IF($B224="","",IFERROR(INDEX(설비목록!$B$3:$B$202,MATCH($B224,설비목록!$A$3:$A$202,0)),"미등록설비"))</f>
        <v/>
      </c>
      <c r="D224" s="9"/>
      <c r="E224" s="9"/>
      <c r="F224" s="9"/>
      <c r="G224" s="9"/>
      <c r="H224" s="9"/>
    </row>
    <row r="225" customFormat="false" ht="15" hidden="false" customHeight="true" outlineLevel="0" collapsed="false">
      <c r="A225" s="12"/>
      <c r="B225" s="9"/>
      <c r="C225" s="15" t="str">
        <f aca="false">IF($B225="","",IFERROR(INDEX(설비목록!$B$3:$B$202,MATCH($B225,설비목록!$A$3:$A$202,0)),"미등록설비"))</f>
        <v/>
      </c>
      <c r="D225" s="9"/>
      <c r="E225" s="9"/>
      <c r="F225" s="9"/>
      <c r="G225" s="9"/>
      <c r="H225" s="9"/>
    </row>
    <row r="226" customFormat="false" ht="15" hidden="false" customHeight="true" outlineLevel="0" collapsed="false">
      <c r="A226" s="12"/>
      <c r="B226" s="9"/>
      <c r="C226" s="15" t="str">
        <f aca="false">IF($B226="","",IFERROR(INDEX(설비목록!$B$3:$B$202,MATCH($B226,설비목록!$A$3:$A$202,0)),"미등록설비"))</f>
        <v/>
      </c>
      <c r="D226" s="9"/>
      <c r="E226" s="9"/>
      <c r="F226" s="9"/>
      <c r="G226" s="9"/>
      <c r="H226" s="9"/>
    </row>
    <row r="227" customFormat="false" ht="15" hidden="false" customHeight="true" outlineLevel="0" collapsed="false">
      <c r="A227" s="12"/>
      <c r="B227" s="9"/>
      <c r="C227" s="15" t="str">
        <f aca="false">IF($B227="","",IFERROR(INDEX(설비목록!$B$3:$B$202,MATCH($B227,설비목록!$A$3:$A$202,0)),"미등록설비"))</f>
        <v/>
      </c>
      <c r="D227" s="9"/>
      <c r="E227" s="9"/>
      <c r="F227" s="9"/>
      <c r="G227" s="9"/>
      <c r="H227" s="9"/>
    </row>
    <row r="228" customFormat="false" ht="15" hidden="false" customHeight="true" outlineLevel="0" collapsed="false">
      <c r="A228" s="12"/>
      <c r="B228" s="9"/>
      <c r="C228" s="15" t="str">
        <f aca="false">IF($B228="","",IFERROR(INDEX(설비목록!$B$3:$B$202,MATCH($B228,설비목록!$A$3:$A$202,0)),"미등록설비"))</f>
        <v/>
      </c>
      <c r="D228" s="9"/>
      <c r="E228" s="9"/>
      <c r="F228" s="9"/>
      <c r="G228" s="9"/>
      <c r="H228" s="9"/>
    </row>
    <row r="229" customFormat="false" ht="15" hidden="false" customHeight="true" outlineLevel="0" collapsed="false">
      <c r="A229" s="12"/>
      <c r="B229" s="9"/>
      <c r="C229" s="15" t="str">
        <f aca="false">IF($B229="","",IFERROR(INDEX(설비목록!$B$3:$B$202,MATCH($B229,설비목록!$A$3:$A$202,0)),"미등록설비"))</f>
        <v/>
      </c>
      <c r="D229" s="9"/>
      <c r="E229" s="9"/>
      <c r="F229" s="9"/>
      <c r="G229" s="9"/>
      <c r="H229" s="9"/>
    </row>
    <row r="230" customFormat="false" ht="15" hidden="false" customHeight="true" outlineLevel="0" collapsed="false">
      <c r="A230" s="12"/>
      <c r="B230" s="9"/>
      <c r="C230" s="15" t="str">
        <f aca="false">IF($B230="","",IFERROR(INDEX(설비목록!$B$3:$B$202,MATCH($B230,설비목록!$A$3:$A$202,0)),"미등록설비"))</f>
        <v/>
      </c>
      <c r="D230" s="9"/>
      <c r="E230" s="9"/>
      <c r="F230" s="9"/>
      <c r="G230" s="9"/>
      <c r="H230" s="9"/>
    </row>
    <row r="231" customFormat="false" ht="15" hidden="false" customHeight="true" outlineLevel="0" collapsed="false">
      <c r="A231" s="12"/>
      <c r="B231" s="9"/>
      <c r="C231" s="15" t="str">
        <f aca="false">IF($B231="","",IFERROR(INDEX(설비목록!$B$3:$B$202,MATCH($B231,설비목록!$A$3:$A$202,0)),"미등록설비"))</f>
        <v/>
      </c>
      <c r="D231" s="9"/>
      <c r="E231" s="9"/>
      <c r="F231" s="9"/>
      <c r="G231" s="9"/>
      <c r="H231" s="9"/>
    </row>
    <row r="232" customFormat="false" ht="15" hidden="false" customHeight="true" outlineLevel="0" collapsed="false">
      <c r="A232" s="12"/>
      <c r="B232" s="9"/>
      <c r="C232" s="15" t="str">
        <f aca="false">IF($B232="","",IFERROR(INDEX(설비목록!$B$3:$B$202,MATCH($B232,설비목록!$A$3:$A$202,0)),"미등록설비"))</f>
        <v/>
      </c>
      <c r="D232" s="9"/>
      <c r="E232" s="9"/>
      <c r="F232" s="9"/>
      <c r="G232" s="9"/>
      <c r="H232" s="9"/>
    </row>
    <row r="233" customFormat="false" ht="15" hidden="false" customHeight="true" outlineLevel="0" collapsed="false">
      <c r="A233" s="12"/>
      <c r="B233" s="9"/>
      <c r="C233" s="15" t="str">
        <f aca="false">IF($B233="","",IFERROR(INDEX(설비목록!$B$3:$B$202,MATCH($B233,설비목록!$A$3:$A$202,0)),"미등록설비"))</f>
        <v/>
      </c>
      <c r="D233" s="9"/>
      <c r="E233" s="9"/>
      <c r="F233" s="9"/>
      <c r="G233" s="9"/>
      <c r="H233" s="9"/>
    </row>
    <row r="234" customFormat="false" ht="15" hidden="false" customHeight="true" outlineLevel="0" collapsed="false">
      <c r="A234" s="12"/>
      <c r="B234" s="9"/>
      <c r="C234" s="15" t="str">
        <f aca="false">IF($B234="","",IFERROR(INDEX(설비목록!$B$3:$B$202,MATCH($B234,설비목록!$A$3:$A$202,0)),"미등록설비"))</f>
        <v/>
      </c>
      <c r="D234" s="9"/>
      <c r="E234" s="9"/>
      <c r="F234" s="9"/>
      <c r="G234" s="9"/>
      <c r="H234" s="9"/>
    </row>
    <row r="235" customFormat="false" ht="15" hidden="false" customHeight="true" outlineLevel="0" collapsed="false">
      <c r="A235" s="12"/>
      <c r="B235" s="9"/>
      <c r="C235" s="15" t="str">
        <f aca="false">IF($B235="","",IFERROR(INDEX(설비목록!$B$3:$B$202,MATCH($B235,설비목록!$A$3:$A$202,0)),"미등록설비"))</f>
        <v/>
      </c>
      <c r="D235" s="9"/>
      <c r="E235" s="9"/>
      <c r="F235" s="9"/>
      <c r="G235" s="9"/>
      <c r="H235" s="9"/>
    </row>
    <row r="236" customFormat="false" ht="15" hidden="false" customHeight="true" outlineLevel="0" collapsed="false">
      <c r="A236" s="12"/>
      <c r="B236" s="9"/>
      <c r="C236" s="15" t="str">
        <f aca="false">IF($B236="","",IFERROR(INDEX(설비목록!$B$3:$B$202,MATCH($B236,설비목록!$A$3:$A$202,0)),"미등록설비"))</f>
        <v/>
      </c>
      <c r="D236" s="9"/>
      <c r="E236" s="9"/>
      <c r="F236" s="9"/>
      <c r="G236" s="9"/>
      <c r="H236" s="9"/>
    </row>
    <row r="237" customFormat="false" ht="15" hidden="false" customHeight="true" outlineLevel="0" collapsed="false">
      <c r="A237" s="12"/>
      <c r="B237" s="9"/>
      <c r="C237" s="15" t="str">
        <f aca="false">IF($B237="","",IFERROR(INDEX(설비목록!$B$3:$B$202,MATCH($B237,설비목록!$A$3:$A$202,0)),"미등록설비"))</f>
        <v/>
      </c>
      <c r="D237" s="9"/>
      <c r="E237" s="9"/>
      <c r="F237" s="9"/>
      <c r="G237" s="9"/>
      <c r="H237" s="9"/>
    </row>
    <row r="238" customFormat="false" ht="15" hidden="false" customHeight="true" outlineLevel="0" collapsed="false">
      <c r="A238" s="12"/>
      <c r="B238" s="9"/>
      <c r="C238" s="15" t="str">
        <f aca="false">IF($B238="","",IFERROR(INDEX(설비목록!$B$3:$B$202,MATCH($B238,설비목록!$A$3:$A$202,0)),"미등록설비"))</f>
        <v/>
      </c>
      <c r="D238" s="9"/>
      <c r="E238" s="9"/>
      <c r="F238" s="9"/>
      <c r="G238" s="9"/>
      <c r="H238" s="9"/>
    </row>
    <row r="239" customFormat="false" ht="15" hidden="false" customHeight="true" outlineLevel="0" collapsed="false">
      <c r="A239" s="12"/>
      <c r="B239" s="9"/>
      <c r="C239" s="15" t="str">
        <f aca="false">IF($B239="","",IFERROR(INDEX(설비목록!$B$3:$B$202,MATCH($B239,설비목록!$A$3:$A$202,0)),"미등록설비"))</f>
        <v/>
      </c>
      <c r="D239" s="9"/>
      <c r="E239" s="9"/>
      <c r="F239" s="9"/>
      <c r="G239" s="9"/>
      <c r="H239" s="9"/>
    </row>
    <row r="240" customFormat="false" ht="15" hidden="false" customHeight="true" outlineLevel="0" collapsed="false">
      <c r="A240" s="12"/>
      <c r="B240" s="9"/>
      <c r="C240" s="15" t="str">
        <f aca="false">IF($B240="","",IFERROR(INDEX(설비목록!$B$3:$B$202,MATCH($B240,설비목록!$A$3:$A$202,0)),"미등록설비"))</f>
        <v/>
      </c>
      <c r="D240" s="9"/>
      <c r="E240" s="9"/>
      <c r="F240" s="9"/>
      <c r="G240" s="9"/>
      <c r="H240" s="9"/>
    </row>
    <row r="241" customFormat="false" ht="15" hidden="false" customHeight="true" outlineLevel="0" collapsed="false">
      <c r="A241" s="12"/>
      <c r="B241" s="9"/>
      <c r="C241" s="15" t="str">
        <f aca="false">IF($B241="","",IFERROR(INDEX(설비목록!$B$3:$B$202,MATCH($B241,설비목록!$A$3:$A$202,0)),"미등록설비"))</f>
        <v/>
      </c>
      <c r="D241" s="9"/>
      <c r="E241" s="9"/>
      <c r="F241" s="9"/>
      <c r="G241" s="9"/>
      <c r="H241" s="9"/>
    </row>
    <row r="242" customFormat="false" ht="15" hidden="false" customHeight="true" outlineLevel="0" collapsed="false">
      <c r="A242" s="12"/>
      <c r="B242" s="9"/>
      <c r="C242" s="15" t="str">
        <f aca="false">IF($B242="","",IFERROR(INDEX(설비목록!$B$3:$B$202,MATCH($B242,설비목록!$A$3:$A$202,0)),"미등록설비"))</f>
        <v/>
      </c>
      <c r="D242" s="9"/>
      <c r="E242" s="9"/>
      <c r="F242" s="9"/>
      <c r="G242" s="9"/>
      <c r="H242" s="9"/>
    </row>
    <row r="243" customFormat="false" ht="15" hidden="false" customHeight="true" outlineLevel="0" collapsed="false">
      <c r="A243" s="12"/>
      <c r="B243" s="9"/>
      <c r="C243" s="15" t="str">
        <f aca="false">IF($B243="","",IFERROR(INDEX(설비목록!$B$3:$B$202,MATCH($B243,설비목록!$A$3:$A$202,0)),"미등록설비"))</f>
        <v/>
      </c>
      <c r="D243" s="9"/>
      <c r="E243" s="9"/>
      <c r="F243" s="9"/>
      <c r="G243" s="9"/>
      <c r="H243" s="9"/>
    </row>
    <row r="244" customFormat="false" ht="15" hidden="false" customHeight="true" outlineLevel="0" collapsed="false">
      <c r="A244" s="12"/>
      <c r="B244" s="9"/>
      <c r="C244" s="15" t="str">
        <f aca="false">IF($B244="","",IFERROR(INDEX(설비목록!$B$3:$B$202,MATCH($B244,설비목록!$A$3:$A$202,0)),"미등록설비"))</f>
        <v/>
      </c>
      <c r="D244" s="9"/>
      <c r="E244" s="9"/>
      <c r="F244" s="9"/>
      <c r="G244" s="9"/>
      <c r="H244" s="9"/>
    </row>
    <row r="245" customFormat="false" ht="15" hidden="false" customHeight="true" outlineLevel="0" collapsed="false">
      <c r="A245" s="12"/>
      <c r="B245" s="9"/>
      <c r="C245" s="15" t="str">
        <f aca="false">IF($B245="","",IFERROR(INDEX(설비목록!$B$3:$B$202,MATCH($B245,설비목록!$A$3:$A$202,0)),"미등록설비"))</f>
        <v/>
      </c>
      <c r="D245" s="9"/>
      <c r="E245" s="9"/>
      <c r="F245" s="9"/>
      <c r="G245" s="9"/>
      <c r="H245" s="9"/>
    </row>
    <row r="246" customFormat="false" ht="15" hidden="false" customHeight="true" outlineLevel="0" collapsed="false">
      <c r="A246" s="12"/>
      <c r="B246" s="9"/>
      <c r="C246" s="15" t="str">
        <f aca="false">IF($B246="","",IFERROR(INDEX(설비목록!$B$3:$B$202,MATCH($B246,설비목록!$A$3:$A$202,0)),"미등록설비"))</f>
        <v/>
      </c>
      <c r="D246" s="9"/>
      <c r="E246" s="9"/>
      <c r="F246" s="9"/>
      <c r="G246" s="9"/>
      <c r="H246" s="9"/>
    </row>
    <row r="247" customFormat="false" ht="15" hidden="false" customHeight="true" outlineLevel="0" collapsed="false">
      <c r="A247" s="12"/>
      <c r="B247" s="9"/>
      <c r="C247" s="15" t="str">
        <f aca="false">IF($B247="","",IFERROR(INDEX(설비목록!$B$3:$B$202,MATCH($B247,설비목록!$A$3:$A$202,0)),"미등록설비"))</f>
        <v/>
      </c>
      <c r="D247" s="9"/>
      <c r="E247" s="9"/>
      <c r="F247" s="9"/>
      <c r="G247" s="9"/>
      <c r="H247" s="9"/>
    </row>
    <row r="248" customFormat="false" ht="15" hidden="false" customHeight="true" outlineLevel="0" collapsed="false">
      <c r="A248" s="12"/>
      <c r="B248" s="9"/>
      <c r="C248" s="15" t="str">
        <f aca="false">IF($B248="","",IFERROR(INDEX(설비목록!$B$3:$B$202,MATCH($B248,설비목록!$A$3:$A$202,0)),"미등록설비"))</f>
        <v/>
      </c>
      <c r="D248" s="9"/>
      <c r="E248" s="9"/>
      <c r="F248" s="9"/>
      <c r="G248" s="9"/>
      <c r="H248" s="9"/>
    </row>
    <row r="249" customFormat="false" ht="15" hidden="false" customHeight="true" outlineLevel="0" collapsed="false">
      <c r="A249" s="12"/>
      <c r="B249" s="9"/>
      <c r="C249" s="15" t="str">
        <f aca="false">IF($B249="","",IFERROR(INDEX(설비목록!$B$3:$B$202,MATCH($B249,설비목록!$A$3:$A$202,0)),"미등록설비"))</f>
        <v/>
      </c>
      <c r="D249" s="9"/>
      <c r="E249" s="9"/>
      <c r="F249" s="9"/>
      <c r="G249" s="9"/>
      <c r="H249" s="9"/>
    </row>
    <row r="250" customFormat="false" ht="15" hidden="false" customHeight="true" outlineLevel="0" collapsed="false">
      <c r="A250" s="12"/>
      <c r="B250" s="9"/>
      <c r="C250" s="15" t="str">
        <f aca="false">IF($B250="","",IFERROR(INDEX(설비목록!$B$3:$B$202,MATCH($B250,설비목록!$A$3:$A$202,0)),"미등록설비"))</f>
        <v/>
      </c>
      <c r="D250" s="9"/>
      <c r="E250" s="9"/>
      <c r="F250" s="9"/>
      <c r="G250" s="9"/>
      <c r="H250" s="9"/>
    </row>
    <row r="251" customFormat="false" ht="15" hidden="false" customHeight="true" outlineLevel="0" collapsed="false">
      <c r="A251" s="12"/>
      <c r="B251" s="9"/>
      <c r="C251" s="15" t="str">
        <f aca="false">IF($B251="","",IFERROR(INDEX(설비목록!$B$3:$B$202,MATCH($B251,설비목록!$A$3:$A$202,0)),"미등록설비"))</f>
        <v/>
      </c>
      <c r="D251" s="9"/>
      <c r="E251" s="9"/>
      <c r="F251" s="9"/>
      <c r="G251" s="9"/>
      <c r="H251" s="9"/>
    </row>
    <row r="252" customFormat="false" ht="15" hidden="false" customHeight="true" outlineLevel="0" collapsed="false">
      <c r="A252" s="12"/>
      <c r="B252" s="9"/>
      <c r="C252" s="15" t="str">
        <f aca="false">IF($B252="","",IFERROR(INDEX(설비목록!$B$3:$B$202,MATCH($B252,설비목록!$A$3:$A$202,0)),"미등록설비"))</f>
        <v/>
      </c>
      <c r="D252" s="9"/>
      <c r="E252" s="9"/>
      <c r="F252" s="9"/>
      <c r="G252" s="9"/>
      <c r="H252" s="9"/>
    </row>
    <row r="253" customFormat="false" ht="15" hidden="false" customHeight="true" outlineLevel="0" collapsed="false">
      <c r="A253" s="12"/>
      <c r="B253" s="9"/>
      <c r="C253" s="15" t="str">
        <f aca="false">IF($B253="","",IFERROR(INDEX(설비목록!$B$3:$B$202,MATCH($B253,설비목록!$A$3:$A$202,0)),"미등록설비"))</f>
        <v/>
      </c>
      <c r="D253" s="9"/>
      <c r="E253" s="9"/>
      <c r="F253" s="9"/>
      <c r="G253" s="9"/>
      <c r="H253" s="9"/>
    </row>
    <row r="254" customFormat="false" ht="15" hidden="false" customHeight="true" outlineLevel="0" collapsed="false">
      <c r="A254" s="12"/>
      <c r="B254" s="9"/>
      <c r="C254" s="15" t="str">
        <f aca="false">IF($B254="","",IFERROR(INDEX(설비목록!$B$3:$B$202,MATCH($B254,설비목록!$A$3:$A$202,0)),"미등록설비"))</f>
        <v/>
      </c>
      <c r="D254" s="9"/>
      <c r="E254" s="9"/>
      <c r="F254" s="9"/>
      <c r="G254" s="9"/>
      <c r="H254" s="9"/>
    </row>
    <row r="255" customFormat="false" ht="15" hidden="false" customHeight="true" outlineLevel="0" collapsed="false">
      <c r="A255" s="12"/>
      <c r="B255" s="9"/>
      <c r="C255" s="15" t="str">
        <f aca="false">IF($B255="","",IFERROR(INDEX(설비목록!$B$3:$B$202,MATCH($B255,설비목록!$A$3:$A$202,0)),"미등록설비"))</f>
        <v/>
      </c>
      <c r="D255" s="9"/>
      <c r="E255" s="9"/>
      <c r="F255" s="9"/>
      <c r="G255" s="9"/>
      <c r="H255" s="9"/>
    </row>
    <row r="256" customFormat="false" ht="15" hidden="false" customHeight="true" outlineLevel="0" collapsed="false">
      <c r="A256" s="12"/>
      <c r="B256" s="9"/>
      <c r="C256" s="15" t="str">
        <f aca="false">IF($B256="","",IFERROR(INDEX(설비목록!$B$3:$B$202,MATCH($B256,설비목록!$A$3:$A$202,0)),"미등록설비"))</f>
        <v/>
      </c>
      <c r="D256" s="9"/>
      <c r="E256" s="9"/>
      <c r="F256" s="9"/>
      <c r="G256" s="9"/>
      <c r="H256" s="9"/>
    </row>
    <row r="257" customFormat="false" ht="15" hidden="false" customHeight="true" outlineLevel="0" collapsed="false">
      <c r="A257" s="12"/>
      <c r="B257" s="9"/>
      <c r="C257" s="15" t="str">
        <f aca="false">IF($B257="","",IFERROR(INDEX(설비목록!$B$3:$B$202,MATCH($B257,설비목록!$A$3:$A$202,0)),"미등록설비"))</f>
        <v/>
      </c>
      <c r="D257" s="9"/>
      <c r="E257" s="9"/>
      <c r="F257" s="9"/>
      <c r="G257" s="9"/>
      <c r="H257" s="9"/>
    </row>
    <row r="258" customFormat="false" ht="15" hidden="false" customHeight="true" outlineLevel="0" collapsed="false">
      <c r="A258" s="12"/>
      <c r="B258" s="9"/>
      <c r="C258" s="15" t="str">
        <f aca="false">IF($B258="","",IFERROR(INDEX(설비목록!$B$3:$B$202,MATCH($B258,설비목록!$A$3:$A$202,0)),"미등록설비"))</f>
        <v/>
      </c>
      <c r="D258" s="9"/>
      <c r="E258" s="9"/>
      <c r="F258" s="9"/>
      <c r="G258" s="9"/>
      <c r="H258" s="9"/>
    </row>
    <row r="259" customFormat="false" ht="15" hidden="false" customHeight="true" outlineLevel="0" collapsed="false">
      <c r="A259" s="12"/>
      <c r="B259" s="9"/>
      <c r="C259" s="15" t="str">
        <f aca="false">IF($B259="","",IFERROR(INDEX(설비목록!$B$3:$B$202,MATCH($B259,설비목록!$A$3:$A$202,0)),"미등록설비"))</f>
        <v/>
      </c>
      <c r="D259" s="9"/>
      <c r="E259" s="9"/>
      <c r="F259" s="9"/>
      <c r="G259" s="9"/>
      <c r="H259" s="9"/>
    </row>
    <row r="260" customFormat="false" ht="15" hidden="false" customHeight="true" outlineLevel="0" collapsed="false">
      <c r="A260" s="12"/>
      <c r="B260" s="9"/>
      <c r="C260" s="15" t="str">
        <f aca="false">IF($B260="","",IFERROR(INDEX(설비목록!$B$3:$B$202,MATCH($B260,설비목록!$A$3:$A$202,0)),"미등록설비"))</f>
        <v/>
      </c>
      <c r="D260" s="9"/>
      <c r="E260" s="9"/>
      <c r="F260" s="9"/>
      <c r="G260" s="9"/>
      <c r="H260" s="9"/>
    </row>
    <row r="261" customFormat="false" ht="15" hidden="false" customHeight="true" outlineLevel="0" collapsed="false">
      <c r="A261" s="12"/>
      <c r="B261" s="9"/>
      <c r="C261" s="15" t="str">
        <f aca="false">IF($B261="","",IFERROR(INDEX(설비목록!$B$3:$B$202,MATCH($B261,설비목록!$A$3:$A$202,0)),"미등록설비"))</f>
        <v/>
      </c>
      <c r="D261" s="9"/>
      <c r="E261" s="9"/>
      <c r="F261" s="9"/>
      <c r="G261" s="9"/>
      <c r="H261" s="9"/>
    </row>
    <row r="262" customFormat="false" ht="15" hidden="false" customHeight="true" outlineLevel="0" collapsed="false">
      <c r="A262" s="12"/>
      <c r="B262" s="9"/>
      <c r="C262" s="15" t="str">
        <f aca="false">IF($B262="","",IFERROR(INDEX(설비목록!$B$3:$B$202,MATCH($B262,설비목록!$A$3:$A$202,0)),"미등록설비"))</f>
        <v/>
      </c>
      <c r="D262" s="9"/>
      <c r="E262" s="9"/>
      <c r="F262" s="9"/>
      <c r="G262" s="9"/>
      <c r="H262" s="9"/>
    </row>
    <row r="263" customFormat="false" ht="15" hidden="false" customHeight="true" outlineLevel="0" collapsed="false">
      <c r="A263" s="12"/>
      <c r="B263" s="9"/>
      <c r="C263" s="15" t="str">
        <f aca="false">IF($B263="","",IFERROR(INDEX(설비목록!$B$3:$B$202,MATCH($B263,설비목록!$A$3:$A$202,0)),"미등록설비"))</f>
        <v/>
      </c>
      <c r="D263" s="9"/>
      <c r="E263" s="9"/>
      <c r="F263" s="9"/>
      <c r="G263" s="9"/>
      <c r="H263" s="9"/>
    </row>
    <row r="264" customFormat="false" ht="15" hidden="false" customHeight="true" outlineLevel="0" collapsed="false">
      <c r="A264" s="12"/>
      <c r="B264" s="9"/>
      <c r="C264" s="15" t="str">
        <f aca="false">IF($B264="","",IFERROR(INDEX(설비목록!$B$3:$B$202,MATCH($B264,설비목록!$A$3:$A$202,0)),"미등록설비"))</f>
        <v/>
      </c>
      <c r="D264" s="9"/>
      <c r="E264" s="9"/>
      <c r="F264" s="9"/>
      <c r="G264" s="9"/>
      <c r="H264" s="9"/>
    </row>
    <row r="265" customFormat="false" ht="15" hidden="false" customHeight="true" outlineLevel="0" collapsed="false">
      <c r="A265" s="12"/>
      <c r="B265" s="9"/>
      <c r="C265" s="15" t="str">
        <f aca="false">IF($B265="","",IFERROR(INDEX(설비목록!$B$3:$B$202,MATCH($B265,설비목록!$A$3:$A$202,0)),"미등록설비"))</f>
        <v/>
      </c>
      <c r="D265" s="9"/>
      <c r="E265" s="9"/>
      <c r="F265" s="9"/>
      <c r="G265" s="9"/>
      <c r="H265" s="9"/>
    </row>
    <row r="266" customFormat="false" ht="15" hidden="false" customHeight="true" outlineLevel="0" collapsed="false">
      <c r="A266" s="12"/>
      <c r="B266" s="9"/>
      <c r="C266" s="15" t="str">
        <f aca="false">IF($B266="","",IFERROR(INDEX(설비목록!$B$3:$B$202,MATCH($B266,설비목록!$A$3:$A$202,0)),"미등록설비"))</f>
        <v/>
      </c>
      <c r="D266" s="9"/>
      <c r="E266" s="9"/>
      <c r="F266" s="9"/>
      <c r="G266" s="9"/>
      <c r="H266" s="9"/>
    </row>
    <row r="267" customFormat="false" ht="15" hidden="false" customHeight="true" outlineLevel="0" collapsed="false">
      <c r="A267" s="12"/>
      <c r="B267" s="9"/>
      <c r="C267" s="15" t="str">
        <f aca="false">IF($B267="","",IFERROR(INDEX(설비목록!$B$3:$B$202,MATCH($B267,설비목록!$A$3:$A$202,0)),"미등록설비"))</f>
        <v/>
      </c>
      <c r="D267" s="9"/>
      <c r="E267" s="9"/>
      <c r="F267" s="9"/>
      <c r="G267" s="9"/>
      <c r="H267" s="9"/>
    </row>
    <row r="268" customFormat="false" ht="15" hidden="false" customHeight="true" outlineLevel="0" collapsed="false">
      <c r="A268" s="12"/>
      <c r="B268" s="9"/>
      <c r="C268" s="15" t="str">
        <f aca="false">IF($B268="","",IFERROR(INDEX(설비목록!$B$3:$B$202,MATCH($B268,설비목록!$A$3:$A$202,0)),"미등록설비"))</f>
        <v/>
      </c>
      <c r="D268" s="9"/>
      <c r="E268" s="9"/>
      <c r="F268" s="9"/>
      <c r="G268" s="9"/>
      <c r="H268" s="9"/>
    </row>
    <row r="269" customFormat="false" ht="15" hidden="false" customHeight="true" outlineLevel="0" collapsed="false">
      <c r="A269" s="12"/>
      <c r="B269" s="9"/>
      <c r="C269" s="15" t="str">
        <f aca="false">IF($B269="","",IFERROR(INDEX(설비목록!$B$3:$B$202,MATCH($B269,설비목록!$A$3:$A$202,0)),"미등록설비"))</f>
        <v/>
      </c>
      <c r="D269" s="9"/>
      <c r="E269" s="9"/>
      <c r="F269" s="9"/>
      <c r="G269" s="9"/>
      <c r="H269" s="9"/>
    </row>
    <row r="270" customFormat="false" ht="15" hidden="false" customHeight="true" outlineLevel="0" collapsed="false">
      <c r="A270" s="12"/>
      <c r="B270" s="9"/>
      <c r="C270" s="15" t="str">
        <f aca="false">IF($B270="","",IFERROR(INDEX(설비목록!$B$3:$B$202,MATCH($B270,설비목록!$A$3:$A$202,0)),"미등록설비"))</f>
        <v/>
      </c>
      <c r="D270" s="9"/>
      <c r="E270" s="9"/>
      <c r="F270" s="9"/>
      <c r="G270" s="9"/>
      <c r="H270" s="9"/>
    </row>
    <row r="271" customFormat="false" ht="15" hidden="false" customHeight="true" outlineLevel="0" collapsed="false">
      <c r="A271" s="12"/>
      <c r="B271" s="9"/>
      <c r="C271" s="15" t="str">
        <f aca="false">IF($B271="","",IFERROR(INDEX(설비목록!$B$3:$B$202,MATCH($B271,설비목록!$A$3:$A$202,0)),"미등록설비"))</f>
        <v/>
      </c>
      <c r="D271" s="9"/>
      <c r="E271" s="9"/>
      <c r="F271" s="9"/>
      <c r="G271" s="9"/>
      <c r="H271" s="9"/>
    </row>
    <row r="272" customFormat="false" ht="15" hidden="false" customHeight="true" outlineLevel="0" collapsed="false">
      <c r="A272" s="12"/>
      <c r="B272" s="9"/>
      <c r="C272" s="15" t="str">
        <f aca="false">IF($B272="","",IFERROR(INDEX(설비목록!$B$3:$B$202,MATCH($B272,설비목록!$A$3:$A$202,0)),"미등록설비"))</f>
        <v/>
      </c>
      <c r="D272" s="9"/>
      <c r="E272" s="9"/>
      <c r="F272" s="9"/>
      <c r="G272" s="9"/>
      <c r="H272" s="9"/>
    </row>
    <row r="273" customFormat="false" ht="15" hidden="false" customHeight="true" outlineLevel="0" collapsed="false">
      <c r="A273" s="12"/>
      <c r="B273" s="9"/>
      <c r="C273" s="15" t="str">
        <f aca="false">IF($B273="","",IFERROR(INDEX(설비목록!$B$3:$B$202,MATCH($B273,설비목록!$A$3:$A$202,0)),"미등록설비"))</f>
        <v/>
      </c>
      <c r="D273" s="9"/>
      <c r="E273" s="9"/>
      <c r="F273" s="9"/>
      <c r="G273" s="9"/>
      <c r="H273" s="9"/>
    </row>
    <row r="274" customFormat="false" ht="15" hidden="false" customHeight="true" outlineLevel="0" collapsed="false">
      <c r="A274" s="12"/>
      <c r="B274" s="9"/>
      <c r="C274" s="15" t="str">
        <f aca="false">IF($B274="","",IFERROR(INDEX(설비목록!$B$3:$B$202,MATCH($B274,설비목록!$A$3:$A$202,0)),"미등록설비"))</f>
        <v/>
      </c>
      <c r="D274" s="9"/>
      <c r="E274" s="9"/>
      <c r="F274" s="9"/>
      <c r="G274" s="9"/>
      <c r="H274" s="9"/>
    </row>
    <row r="275" customFormat="false" ht="15" hidden="false" customHeight="true" outlineLevel="0" collapsed="false">
      <c r="A275" s="12"/>
      <c r="B275" s="9"/>
      <c r="C275" s="15" t="str">
        <f aca="false">IF($B275="","",IFERROR(INDEX(설비목록!$B$3:$B$202,MATCH($B275,설비목록!$A$3:$A$202,0)),"미등록설비"))</f>
        <v/>
      </c>
      <c r="D275" s="9"/>
      <c r="E275" s="9"/>
      <c r="F275" s="9"/>
      <c r="G275" s="9"/>
      <c r="H275" s="9"/>
    </row>
    <row r="276" customFormat="false" ht="15" hidden="false" customHeight="true" outlineLevel="0" collapsed="false">
      <c r="A276" s="12"/>
      <c r="B276" s="9"/>
      <c r="C276" s="15" t="str">
        <f aca="false">IF($B276="","",IFERROR(INDEX(설비목록!$B$3:$B$202,MATCH($B276,설비목록!$A$3:$A$202,0)),"미등록설비"))</f>
        <v/>
      </c>
      <c r="D276" s="9"/>
      <c r="E276" s="9"/>
      <c r="F276" s="9"/>
      <c r="G276" s="9"/>
      <c r="H276" s="9"/>
    </row>
    <row r="277" customFormat="false" ht="15" hidden="false" customHeight="true" outlineLevel="0" collapsed="false">
      <c r="A277" s="12"/>
      <c r="B277" s="9"/>
      <c r="C277" s="15" t="str">
        <f aca="false">IF($B277="","",IFERROR(INDEX(설비목록!$B$3:$B$202,MATCH($B277,설비목록!$A$3:$A$202,0)),"미등록설비"))</f>
        <v/>
      </c>
      <c r="D277" s="9"/>
      <c r="E277" s="9"/>
      <c r="F277" s="9"/>
      <c r="G277" s="9"/>
      <c r="H277" s="9"/>
    </row>
    <row r="278" customFormat="false" ht="15" hidden="false" customHeight="true" outlineLevel="0" collapsed="false">
      <c r="A278" s="12"/>
      <c r="B278" s="9"/>
      <c r="C278" s="15" t="str">
        <f aca="false">IF($B278="","",IFERROR(INDEX(설비목록!$B$3:$B$202,MATCH($B278,설비목록!$A$3:$A$202,0)),"미등록설비"))</f>
        <v/>
      </c>
      <c r="D278" s="9"/>
      <c r="E278" s="9"/>
      <c r="F278" s="9"/>
      <c r="G278" s="9"/>
      <c r="H278" s="9"/>
    </row>
    <row r="279" customFormat="false" ht="15" hidden="false" customHeight="true" outlineLevel="0" collapsed="false">
      <c r="A279" s="12"/>
      <c r="B279" s="9"/>
      <c r="C279" s="15" t="str">
        <f aca="false">IF($B279="","",IFERROR(INDEX(설비목록!$B$3:$B$202,MATCH($B279,설비목록!$A$3:$A$202,0)),"미등록설비"))</f>
        <v/>
      </c>
      <c r="D279" s="9"/>
      <c r="E279" s="9"/>
      <c r="F279" s="9"/>
      <c r="G279" s="9"/>
      <c r="H279" s="9"/>
    </row>
    <row r="280" customFormat="false" ht="15" hidden="false" customHeight="true" outlineLevel="0" collapsed="false">
      <c r="A280" s="12"/>
      <c r="B280" s="9"/>
      <c r="C280" s="15" t="str">
        <f aca="false">IF($B280="","",IFERROR(INDEX(설비목록!$B$3:$B$202,MATCH($B280,설비목록!$A$3:$A$202,0)),"미등록설비"))</f>
        <v/>
      </c>
      <c r="D280" s="9"/>
      <c r="E280" s="9"/>
      <c r="F280" s="9"/>
      <c r="G280" s="9"/>
      <c r="H280" s="9"/>
    </row>
    <row r="281" customFormat="false" ht="15" hidden="false" customHeight="true" outlineLevel="0" collapsed="false">
      <c r="A281" s="12"/>
      <c r="B281" s="9"/>
      <c r="C281" s="15" t="str">
        <f aca="false">IF($B281="","",IFERROR(INDEX(설비목록!$B$3:$B$202,MATCH($B281,설비목록!$A$3:$A$202,0)),"미등록설비"))</f>
        <v/>
      </c>
      <c r="D281" s="9"/>
      <c r="E281" s="9"/>
      <c r="F281" s="9"/>
      <c r="G281" s="9"/>
      <c r="H281" s="9"/>
    </row>
    <row r="282" customFormat="false" ht="15" hidden="false" customHeight="true" outlineLevel="0" collapsed="false">
      <c r="A282" s="12"/>
      <c r="B282" s="9"/>
      <c r="C282" s="15" t="str">
        <f aca="false">IF($B282="","",IFERROR(INDEX(설비목록!$B$3:$B$202,MATCH($B282,설비목록!$A$3:$A$202,0)),"미등록설비"))</f>
        <v/>
      </c>
      <c r="D282" s="9"/>
      <c r="E282" s="9"/>
      <c r="F282" s="9"/>
      <c r="G282" s="9"/>
      <c r="H282" s="9"/>
    </row>
    <row r="283" customFormat="false" ht="15" hidden="false" customHeight="true" outlineLevel="0" collapsed="false">
      <c r="A283" s="12"/>
      <c r="B283" s="9"/>
      <c r="C283" s="15" t="str">
        <f aca="false">IF($B283="","",IFERROR(INDEX(설비목록!$B$3:$B$202,MATCH($B283,설비목록!$A$3:$A$202,0)),"미등록설비"))</f>
        <v/>
      </c>
      <c r="D283" s="9"/>
      <c r="E283" s="9"/>
      <c r="F283" s="9"/>
      <c r="G283" s="9"/>
      <c r="H283" s="9"/>
    </row>
    <row r="284" customFormat="false" ht="15" hidden="false" customHeight="true" outlineLevel="0" collapsed="false">
      <c r="A284" s="12"/>
      <c r="B284" s="9"/>
      <c r="C284" s="15" t="str">
        <f aca="false">IF($B284="","",IFERROR(INDEX(설비목록!$B$3:$B$202,MATCH($B284,설비목록!$A$3:$A$202,0)),"미등록설비"))</f>
        <v/>
      </c>
      <c r="D284" s="9"/>
      <c r="E284" s="9"/>
      <c r="F284" s="9"/>
      <c r="G284" s="9"/>
      <c r="H284" s="9"/>
    </row>
    <row r="285" customFormat="false" ht="15" hidden="false" customHeight="true" outlineLevel="0" collapsed="false">
      <c r="A285" s="12"/>
      <c r="B285" s="9"/>
      <c r="C285" s="15" t="str">
        <f aca="false">IF($B285="","",IFERROR(INDEX(설비목록!$B$3:$B$202,MATCH($B285,설비목록!$A$3:$A$202,0)),"미등록설비"))</f>
        <v/>
      </c>
      <c r="D285" s="9"/>
      <c r="E285" s="9"/>
      <c r="F285" s="9"/>
      <c r="G285" s="9"/>
      <c r="H285" s="9"/>
    </row>
    <row r="286" customFormat="false" ht="15" hidden="false" customHeight="true" outlineLevel="0" collapsed="false">
      <c r="A286" s="12"/>
      <c r="B286" s="9"/>
      <c r="C286" s="15" t="str">
        <f aca="false">IF($B286="","",IFERROR(INDEX(설비목록!$B$3:$B$202,MATCH($B286,설비목록!$A$3:$A$202,0)),"미등록설비"))</f>
        <v/>
      </c>
      <c r="D286" s="9"/>
      <c r="E286" s="9"/>
      <c r="F286" s="9"/>
      <c r="G286" s="9"/>
      <c r="H286" s="9"/>
    </row>
    <row r="287" customFormat="false" ht="15" hidden="false" customHeight="true" outlineLevel="0" collapsed="false">
      <c r="A287" s="12"/>
      <c r="B287" s="9"/>
      <c r="C287" s="15" t="str">
        <f aca="false">IF($B287="","",IFERROR(INDEX(설비목록!$B$3:$B$202,MATCH($B287,설비목록!$A$3:$A$202,0)),"미등록설비"))</f>
        <v/>
      </c>
      <c r="D287" s="9"/>
      <c r="E287" s="9"/>
      <c r="F287" s="9"/>
      <c r="G287" s="9"/>
      <c r="H287" s="9"/>
    </row>
    <row r="288" customFormat="false" ht="15" hidden="false" customHeight="true" outlineLevel="0" collapsed="false">
      <c r="A288" s="12"/>
      <c r="B288" s="9"/>
      <c r="C288" s="15" t="str">
        <f aca="false">IF($B288="","",IFERROR(INDEX(설비목록!$B$3:$B$202,MATCH($B288,설비목록!$A$3:$A$202,0)),"미등록설비"))</f>
        <v/>
      </c>
      <c r="D288" s="9"/>
      <c r="E288" s="9"/>
      <c r="F288" s="9"/>
      <c r="G288" s="9"/>
      <c r="H288" s="9"/>
    </row>
    <row r="289" customFormat="false" ht="15" hidden="false" customHeight="true" outlineLevel="0" collapsed="false">
      <c r="A289" s="12"/>
      <c r="B289" s="9"/>
      <c r="C289" s="15" t="str">
        <f aca="false">IF($B289="","",IFERROR(INDEX(설비목록!$B$3:$B$202,MATCH($B289,설비목록!$A$3:$A$202,0)),"미등록설비"))</f>
        <v/>
      </c>
      <c r="D289" s="9"/>
      <c r="E289" s="9"/>
      <c r="F289" s="9"/>
      <c r="G289" s="9"/>
      <c r="H289" s="9"/>
    </row>
    <row r="290" customFormat="false" ht="15" hidden="false" customHeight="true" outlineLevel="0" collapsed="false">
      <c r="A290" s="12"/>
      <c r="B290" s="9"/>
      <c r="C290" s="15" t="str">
        <f aca="false">IF($B290="","",IFERROR(INDEX(설비목록!$B$3:$B$202,MATCH($B290,설비목록!$A$3:$A$202,0)),"미등록설비"))</f>
        <v/>
      </c>
      <c r="D290" s="9"/>
      <c r="E290" s="9"/>
      <c r="F290" s="9"/>
      <c r="G290" s="9"/>
      <c r="H290" s="9"/>
    </row>
    <row r="291" customFormat="false" ht="15" hidden="false" customHeight="true" outlineLevel="0" collapsed="false">
      <c r="A291" s="12"/>
      <c r="B291" s="9"/>
      <c r="C291" s="15" t="str">
        <f aca="false">IF($B291="","",IFERROR(INDEX(설비목록!$B$3:$B$202,MATCH($B291,설비목록!$A$3:$A$202,0)),"미등록설비"))</f>
        <v/>
      </c>
      <c r="D291" s="9"/>
      <c r="E291" s="9"/>
      <c r="F291" s="9"/>
      <c r="G291" s="9"/>
      <c r="H291" s="9"/>
    </row>
    <row r="292" customFormat="false" ht="15" hidden="false" customHeight="true" outlineLevel="0" collapsed="false">
      <c r="A292" s="12"/>
      <c r="B292" s="9"/>
      <c r="C292" s="15" t="str">
        <f aca="false">IF($B292="","",IFERROR(INDEX(설비목록!$B$3:$B$202,MATCH($B292,설비목록!$A$3:$A$202,0)),"미등록설비"))</f>
        <v/>
      </c>
      <c r="D292" s="9"/>
      <c r="E292" s="9"/>
      <c r="F292" s="9"/>
      <c r="G292" s="9"/>
      <c r="H292" s="9"/>
    </row>
    <row r="293" customFormat="false" ht="15" hidden="false" customHeight="true" outlineLevel="0" collapsed="false">
      <c r="A293" s="12"/>
      <c r="B293" s="9"/>
      <c r="C293" s="15" t="str">
        <f aca="false">IF($B293="","",IFERROR(INDEX(설비목록!$B$3:$B$202,MATCH($B293,설비목록!$A$3:$A$202,0)),"미등록설비"))</f>
        <v/>
      </c>
      <c r="D293" s="9"/>
      <c r="E293" s="9"/>
      <c r="F293" s="9"/>
      <c r="G293" s="9"/>
      <c r="H293" s="9"/>
    </row>
    <row r="294" customFormat="false" ht="15" hidden="false" customHeight="true" outlineLevel="0" collapsed="false">
      <c r="A294" s="12"/>
      <c r="B294" s="9"/>
      <c r="C294" s="15" t="str">
        <f aca="false">IF($B294="","",IFERROR(INDEX(설비목록!$B$3:$B$202,MATCH($B294,설비목록!$A$3:$A$202,0)),"미등록설비"))</f>
        <v/>
      </c>
      <c r="D294" s="9"/>
      <c r="E294" s="9"/>
      <c r="F294" s="9"/>
      <c r="G294" s="9"/>
      <c r="H294" s="9"/>
    </row>
    <row r="295" customFormat="false" ht="15" hidden="false" customHeight="true" outlineLevel="0" collapsed="false">
      <c r="A295" s="12"/>
      <c r="B295" s="9"/>
      <c r="C295" s="15" t="str">
        <f aca="false">IF($B295="","",IFERROR(INDEX(설비목록!$B$3:$B$202,MATCH($B295,설비목록!$A$3:$A$202,0)),"미등록설비"))</f>
        <v/>
      </c>
      <c r="D295" s="9"/>
      <c r="E295" s="9"/>
      <c r="F295" s="9"/>
      <c r="G295" s="9"/>
      <c r="H295" s="9"/>
    </row>
    <row r="296" customFormat="false" ht="15" hidden="false" customHeight="true" outlineLevel="0" collapsed="false">
      <c r="A296" s="12"/>
      <c r="B296" s="9"/>
      <c r="C296" s="15" t="str">
        <f aca="false">IF($B296="","",IFERROR(INDEX(설비목록!$B$3:$B$202,MATCH($B296,설비목록!$A$3:$A$202,0)),"미등록설비"))</f>
        <v/>
      </c>
      <c r="D296" s="9"/>
      <c r="E296" s="9"/>
      <c r="F296" s="9"/>
      <c r="G296" s="9"/>
      <c r="H296" s="9"/>
    </row>
    <row r="297" customFormat="false" ht="15" hidden="false" customHeight="true" outlineLevel="0" collapsed="false">
      <c r="A297" s="12"/>
      <c r="B297" s="9"/>
      <c r="C297" s="15" t="str">
        <f aca="false">IF($B297="","",IFERROR(INDEX(설비목록!$B$3:$B$202,MATCH($B297,설비목록!$A$3:$A$202,0)),"미등록설비"))</f>
        <v/>
      </c>
      <c r="D297" s="9"/>
      <c r="E297" s="9"/>
      <c r="F297" s="9"/>
      <c r="G297" s="9"/>
      <c r="H297" s="9"/>
    </row>
    <row r="298" customFormat="false" ht="15" hidden="false" customHeight="true" outlineLevel="0" collapsed="false">
      <c r="A298" s="12"/>
      <c r="B298" s="9"/>
      <c r="C298" s="15" t="str">
        <f aca="false">IF($B298="","",IFERROR(INDEX(설비목록!$B$3:$B$202,MATCH($B298,설비목록!$A$3:$A$202,0)),"미등록설비"))</f>
        <v/>
      </c>
      <c r="D298" s="9"/>
      <c r="E298" s="9"/>
      <c r="F298" s="9"/>
      <c r="G298" s="9"/>
      <c r="H298" s="9"/>
    </row>
    <row r="299" customFormat="false" ht="15" hidden="false" customHeight="true" outlineLevel="0" collapsed="false">
      <c r="A299" s="12"/>
      <c r="B299" s="9"/>
      <c r="C299" s="15" t="str">
        <f aca="false">IF($B299="","",IFERROR(INDEX(설비목록!$B$3:$B$202,MATCH($B299,설비목록!$A$3:$A$202,0)),"미등록설비"))</f>
        <v/>
      </c>
      <c r="D299" s="9"/>
      <c r="E299" s="9"/>
      <c r="F299" s="9"/>
      <c r="G299" s="9"/>
      <c r="H299" s="9"/>
    </row>
    <row r="300" customFormat="false" ht="15" hidden="false" customHeight="true" outlineLevel="0" collapsed="false">
      <c r="A300" s="12"/>
      <c r="B300" s="9"/>
      <c r="C300" s="15" t="str">
        <f aca="false">IF($B300="","",IFERROR(INDEX(설비목록!$B$3:$B$202,MATCH($B300,설비목록!$A$3:$A$202,0)),"미등록설비"))</f>
        <v/>
      </c>
      <c r="D300" s="9"/>
      <c r="E300" s="9"/>
      <c r="F300" s="9"/>
      <c r="G300" s="9"/>
      <c r="H300" s="9"/>
    </row>
    <row r="301" customFormat="false" ht="15" hidden="false" customHeight="true" outlineLevel="0" collapsed="false">
      <c r="A301" s="12"/>
      <c r="B301" s="9"/>
      <c r="C301" s="15" t="str">
        <f aca="false">IF($B301="","",IFERROR(INDEX(설비목록!$B$3:$B$202,MATCH($B301,설비목록!$A$3:$A$202,0)),"미등록설비"))</f>
        <v/>
      </c>
      <c r="D301" s="9"/>
      <c r="E301" s="9"/>
      <c r="F301" s="9"/>
      <c r="G301" s="9"/>
      <c r="H301" s="9"/>
    </row>
    <row r="302" customFormat="false" ht="15" hidden="false" customHeight="true" outlineLevel="0" collapsed="false">
      <c r="A302" s="12"/>
      <c r="B302" s="9"/>
      <c r="C302" s="15" t="str">
        <f aca="false">IF($B302="","",IFERROR(INDEX(설비목록!$B$3:$B$202,MATCH($B302,설비목록!$A$3:$A$202,0)),"미등록설비"))</f>
        <v/>
      </c>
      <c r="D302" s="9"/>
      <c r="E302" s="9"/>
      <c r="F302" s="9"/>
      <c r="G302" s="9"/>
      <c r="H302" s="9"/>
    </row>
    <row r="303" customFormat="false" ht="15" hidden="false" customHeight="true" outlineLevel="0" collapsed="false">
      <c r="A303" s="12"/>
      <c r="B303" s="9"/>
      <c r="C303" s="15" t="str">
        <f aca="false">IF($B303="","",IFERROR(INDEX(설비목록!$B$3:$B$202,MATCH($B303,설비목록!$A$3:$A$202,0)),"미등록설비"))</f>
        <v/>
      </c>
      <c r="D303" s="9"/>
      <c r="E303" s="9"/>
      <c r="F303" s="9"/>
      <c r="G303" s="9"/>
      <c r="H303" s="9"/>
    </row>
    <row r="304" customFormat="false" ht="15" hidden="false" customHeight="true" outlineLevel="0" collapsed="false">
      <c r="A304" s="12"/>
      <c r="B304" s="9"/>
      <c r="C304" s="15" t="str">
        <f aca="false">IF($B304="","",IFERROR(INDEX(설비목록!$B$3:$B$202,MATCH($B304,설비목록!$A$3:$A$202,0)),"미등록설비"))</f>
        <v/>
      </c>
      <c r="D304" s="9"/>
      <c r="E304" s="9"/>
      <c r="F304" s="9"/>
      <c r="G304" s="9"/>
      <c r="H304" s="9"/>
    </row>
    <row r="305" customFormat="false" ht="15" hidden="false" customHeight="true" outlineLevel="0" collapsed="false">
      <c r="A305" s="12"/>
      <c r="B305" s="9"/>
      <c r="C305" s="15" t="str">
        <f aca="false">IF($B305="","",IFERROR(INDEX(설비목록!$B$3:$B$202,MATCH($B305,설비목록!$A$3:$A$202,0)),"미등록설비"))</f>
        <v/>
      </c>
      <c r="D305" s="9"/>
      <c r="E305" s="9"/>
      <c r="F305" s="9"/>
      <c r="G305" s="9"/>
      <c r="H305" s="9"/>
    </row>
    <row r="306" customFormat="false" ht="15" hidden="false" customHeight="true" outlineLevel="0" collapsed="false">
      <c r="A306" s="12"/>
      <c r="B306" s="9"/>
      <c r="C306" s="15" t="str">
        <f aca="false">IF($B306="","",IFERROR(INDEX(설비목록!$B$3:$B$202,MATCH($B306,설비목록!$A$3:$A$202,0)),"미등록설비"))</f>
        <v/>
      </c>
      <c r="D306" s="9"/>
      <c r="E306" s="9"/>
      <c r="F306" s="9"/>
      <c r="G306" s="9"/>
      <c r="H306" s="9"/>
    </row>
    <row r="307" customFormat="false" ht="15" hidden="false" customHeight="true" outlineLevel="0" collapsed="false">
      <c r="A307" s="12"/>
      <c r="B307" s="9"/>
      <c r="C307" s="15" t="str">
        <f aca="false">IF($B307="","",IFERROR(INDEX(설비목록!$B$3:$B$202,MATCH($B307,설비목록!$A$3:$A$202,0)),"미등록설비"))</f>
        <v/>
      </c>
      <c r="D307" s="9"/>
      <c r="E307" s="9"/>
      <c r="F307" s="9"/>
      <c r="G307" s="9"/>
      <c r="H307" s="9"/>
    </row>
    <row r="308" customFormat="false" ht="15" hidden="false" customHeight="true" outlineLevel="0" collapsed="false">
      <c r="A308" s="12"/>
      <c r="B308" s="9"/>
      <c r="C308" s="15" t="str">
        <f aca="false">IF($B308="","",IFERROR(INDEX(설비목록!$B$3:$B$202,MATCH($B308,설비목록!$A$3:$A$202,0)),"미등록설비"))</f>
        <v/>
      </c>
      <c r="D308" s="9"/>
      <c r="E308" s="9"/>
      <c r="F308" s="9"/>
      <c r="G308" s="9"/>
      <c r="H308" s="9"/>
    </row>
    <row r="309" customFormat="false" ht="15" hidden="false" customHeight="true" outlineLevel="0" collapsed="false">
      <c r="A309" s="12"/>
      <c r="B309" s="9"/>
      <c r="C309" s="15" t="str">
        <f aca="false">IF($B309="","",IFERROR(INDEX(설비목록!$B$3:$B$202,MATCH($B309,설비목록!$A$3:$A$202,0)),"미등록설비"))</f>
        <v/>
      </c>
      <c r="D309" s="9"/>
      <c r="E309" s="9"/>
      <c r="F309" s="9"/>
      <c r="G309" s="9"/>
      <c r="H309" s="9"/>
    </row>
    <row r="310" customFormat="false" ht="15" hidden="false" customHeight="true" outlineLevel="0" collapsed="false">
      <c r="A310" s="12"/>
      <c r="B310" s="9"/>
      <c r="C310" s="15" t="str">
        <f aca="false">IF($B310="","",IFERROR(INDEX(설비목록!$B$3:$B$202,MATCH($B310,설비목록!$A$3:$A$202,0)),"미등록설비"))</f>
        <v/>
      </c>
      <c r="D310" s="9"/>
      <c r="E310" s="9"/>
      <c r="F310" s="9"/>
      <c r="G310" s="9"/>
      <c r="H310" s="9"/>
    </row>
    <row r="311" customFormat="false" ht="15" hidden="false" customHeight="true" outlineLevel="0" collapsed="false">
      <c r="A311" s="12"/>
      <c r="B311" s="9"/>
      <c r="C311" s="15" t="str">
        <f aca="false">IF($B311="","",IFERROR(INDEX(설비목록!$B$3:$B$202,MATCH($B311,설비목록!$A$3:$A$202,0)),"미등록설비"))</f>
        <v/>
      </c>
      <c r="D311" s="9"/>
      <c r="E311" s="9"/>
      <c r="F311" s="9"/>
      <c r="G311" s="9"/>
      <c r="H311" s="9"/>
    </row>
    <row r="312" customFormat="false" ht="15" hidden="false" customHeight="true" outlineLevel="0" collapsed="false">
      <c r="A312" s="12"/>
      <c r="B312" s="9"/>
      <c r="C312" s="15" t="str">
        <f aca="false">IF($B312="","",IFERROR(INDEX(설비목록!$B$3:$B$202,MATCH($B312,설비목록!$A$3:$A$202,0)),"미등록설비"))</f>
        <v/>
      </c>
      <c r="D312" s="9"/>
      <c r="E312" s="9"/>
      <c r="F312" s="9"/>
      <c r="G312" s="9"/>
      <c r="H312" s="9"/>
    </row>
    <row r="313" customFormat="false" ht="15" hidden="false" customHeight="true" outlineLevel="0" collapsed="false">
      <c r="A313" s="12"/>
      <c r="B313" s="9"/>
      <c r="C313" s="15" t="str">
        <f aca="false">IF($B313="","",IFERROR(INDEX(설비목록!$B$3:$B$202,MATCH($B313,설비목록!$A$3:$A$202,0)),"미등록설비"))</f>
        <v/>
      </c>
      <c r="D313" s="9"/>
      <c r="E313" s="9"/>
      <c r="F313" s="9"/>
      <c r="G313" s="9"/>
      <c r="H313" s="9"/>
    </row>
    <row r="314" customFormat="false" ht="15" hidden="false" customHeight="true" outlineLevel="0" collapsed="false">
      <c r="A314" s="12"/>
      <c r="B314" s="9"/>
      <c r="C314" s="15" t="str">
        <f aca="false">IF($B314="","",IFERROR(INDEX(설비목록!$B$3:$B$202,MATCH($B314,설비목록!$A$3:$A$202,0)),"미등록설비"))</f>
        <v/>
      </c>
      <c r="D314" s="9"/>
      <c r="E314" s="9"/>
      <c r="F314" s="9"/>
      <c r="G314" s="9"/>
      <c r="H314" s="9"/>
    </row>
    <row r="315" customFormat="false" ht="15" hidden="false" customHeight="true" outlineLevel="0" collapsed="false">
      <c r="A315" s="12"/>
      <c r="B315" s="9"/>
      <c r="C315" s="15" t="str">
        <f aca="false">IF($B315="","",IFERROR(INDEX(설비목록!$B$3:$B$202,MATCH($B315,설비목록!$A$3:$A$202,0)),"미등록설비"))</f>
        <v/>
      </c>
      <c r="D315" s="9"/>
      <c r="E315" s="9"/>
      <c r="F315" s="9"/>
      <c r="G315" s="9"/>
      <c r="H315" s="9"/>
    </row>
    <row r="316" customFormat="false" ht="15" hidden="false" customHeight="true" outlineLevel="0" collapsed="false">
      <c r="A316" s="12"/>
      <c r="B316" s="9"/>
      <c r="C316" s="15" t="str">
        <f aca="false">IF($B316="","",IFERROR(INDEX(설비목록!$B$3:$B$202,MATCH($B316,설비목록!$A$3:$A$202,0)),"미등록설비"))</f>
        <v/>
      </c>
      <c r="D316" s="9"/>
      <c r="E316" s="9"/>
      <c r="F316" s="9"/>
      <c r="G316" s="9"/>
      <c r="H316" s="9"/>
    </row>
    <row r="317" customFormat="false" ht="15" hidden="false" customHeight="true" outlineLevel="0" collapsed="false">
      <c r="A317" s="12"/>
      <c r="B317" s="9"/>
      <c r="C317" s="15" t="str">
        <f aca="false">IF($B317="","",IFERROR(INDEX(설비목록!$B$3:$B$202,MATCH($B317,설비목록!$A$3:$A$202,0)),"미등록설비"))</f>
        <v/>
      </c>
      <c r="D317" s="9"/>
      <c r="E317" s="9"/>
      <c r="F317" s="9"/>
      <c r="G317" s="9"/>
      <c r="H317" s="9"/>
    </row>
    <row r="318" customFormat="false" ht="15" hidden="false" customHeight="true" outlineLevel="0" collapsed="false">
      <c r="A318" s="12"/>
      <c r="B318" s="9"/>
      <c r="C318" s="15" t="str">
        <f aca="false">IF($B318="","",IFERROR(INDEX(설비목록!$B$3:$B$202,MATCH($B318,설비목록!$A$3:$A$202,0)),"미등록설비"))</f>
        <v/>
      </c>
      <c r="D318" s="9"/>
      <c r="E318" s="9"/>
      <c r="F318" s="9"/>
      <c r="G318" s="9"/>
      <c r="H318" s="9"/>
    </row>
    <row r="319" customFormat="false" ht="15" hidden="false" customHeight="true" outlineLevel="0" collapsed="false">
      <c r="A319" s="12"/>
      <c r="B319" s="9"/>
      <c r="C319" s="15" t="str">
        <f aca="false">IF($B319="","",IFERROR(INDEX(설비목록!$B$3:$B$202,MATCH($B319,설비목록!$A$3:$A$202,0)),"미등록설비"))</f>
        <v/>
      </c>
      <c r="D319" s="9"/>
      <c r="E319" s="9"/>
      <c r="F319" s="9"/>
      <c r="G319" s="9"/>
      <c r="H319" s="9"/>
    </row>
    <row r="320" customFormat="false" ht="15" hidden="false" customHeight="true" outlineLevel="0" collapsed="false">
      <c r="A320" s="12"/>
      <c r="B320" s="9"/>
      <c r="C320" s="15" t="str">
        <f aca="false">IF($B320="","",IFERROR(INDEX(설비목록!$B$3:$B$202,MATCH($B320,설비목록!$A$3:$A$202,0)),"미등록설비"))</f>
        <v/>
      </c>
      <c r="D320" s="9"/>
      <c r="E320" s="9"/>
      <c r="F320" s="9"/>
      <c r="G320" s="9"/>
      <c r="H320" s="9"/>
    </row>
    <row r="321" customFormat="false" ht="15" hidden="false" customHeight="true" outlineLevel="0" collapsed="false">
      <c r="A321" s="12"/>
      <c r="B321" s="9"/>
      <c r="C321" s="15" t="str">
        <f aca="false">IF($B321="","",IFERROR(INDEX(설비목록!$B$3:$B$202,MATCH($B321,설비목록!$A$3:$A$202,0)),"미등록설비"))</f>
        <v/>
      </c>
      <c r="D321" s="9"/>
      <c r="E321" s="9"/>
      <c r="F321" s="9"/>
      <c r="G321" s="9"/>
      <c r="H321" s="9"/>
    </row>
    <row r="322" customFormat="false" ht="15" hidden="false" customHeight="true" outlineLevel="0" collapsed="false">
      <c r="A322" s="12"/>
      <c r="B322" s="9"/>
      <c r="C322" s="15" t="str">
        <f aca="false">IF($B322="","",IFERROR(INDEX(설비목록!$B$3:$B$202,MATCH($B322,설비목록!$A$3:$A$202,0)),"미등록설비"))</f>
        <v/>
      </c>
      <c r="D322" s="9"/>
      <c r="E322" s="9"/>
      <c r="F322" s="9"/>
      <c r="G322" s="9"/>
      <c r="H322" s="9"/>
    </row>
    <row r="323" customFormat="false" ht="15" hidden="false" customHeight="true" outlineLevel="0" collapsed="false">
      <c r="A323" s="12"/>
      <c r="B323" s="9"/>
      <c r="C323" s="15" t="str">
        <f aca="false">IF($B323="","",IFERROR(INDEX(설비목록!$B$3:$B$202,MATCH($B323,설비목록!$A$3:$A$202,0)),"미등록설비"))</f>
        <v/>
      </c>
      <c r="D323" s="9"/>
      <c r="E323" s="9"/>
      <c r="F323" s="9"/>
      <c r="G323" s="9"/>
      <c r="H323" s="9"/>
    </row>
    <row r="324" customFormat="false" ht="15" hidden="false" customHeight="true" outlineLevel="0" collapsed="false">
      <c r="A324" s="12"/>
      <c r="B324" s="9"/>
      <c r="C324" s="15" t="str">
        <f aca="false">IF($B324="","",IFERROR(INDEX(설비목록!$B$3:$B$202,MATCH($B324,설비목록!$A$3:$A$202,0)),"미등록설비"))</f>
        <v/>
      </c>
      <c r="D324" s="9"/>
      <c r="E324" s="9"/>
      <c r="F324" s="9"/>
      <c r="G324" s="9"/>
      <c r="H324" s="9"/>
    </row>
    <row r="325" customFormat="false" ht="15" hidden="false" customHeight="true" outlineLevel="0" collapsed="false">
      <c r="A325" s="12"/>
      <c r="B325" s="9"/>
      <c r="C325" s="15" t="str">
        <f aca="false">IF($B325="","",IFERROR(INDEX(설비목록!$B$3:$B$202,MATCH($B325,설비목록!$A$3:$A$202,0)),"미등록설비"))</f>
        <v/>
      </c>
      <c r="D325" s="9"/>
      <c r="E325" s="9"/>
      <c r="F325" s="9"/>
      <c r="G325" s="9"/>
      <c r="H325" s="9"/>
    </row>
    <row r="326" customFormat="false" ht="15" hidden="false" customHeight="true" outlineLevel="0" collapsed="false">
      <c r="A326" s="12"/>
      <c r="B326" s="9"/>
      <c r="C326" s="15" t="str">
        <f aca="false">IF($B326="","",IFERROR(INDEX(설비목록!$B$3:$B$202,MATCH($B326,설비목록!$A$3:$A$202,0)),"미등록설비"))</f>
        <v/>
      </c>
      <c r="D326" s="9"/>
      <c r="E326" s="9"/>
      <c r="F326" s="9"/>
      <c r="G326" s="9"/>
      <c r="H326" s="9"/>
    </row>
    <row r="327" customFormat="false" ht="15" hidden="false" customHeight="true" outlineLevel="0" collapsed="false">
      <c r="A327" s="12"/>
      <c r="B327" s="9"/>
      <c r="C327" s="15" t="str">
        <f aca="false">IF($B327="","",IFERROR(INDEX(설비목록!$B$3:$B$202,MATCH($B327,설비목록!$A$3:$A$202,0)),"미등록설비"))</f>
        <v/>
      </c>
      <c r="D327" s="9"/>
      <c r="E327" s="9"/>
      <c r="F327" s="9"/>
      <c r="G327" s="9"/>
      <c r="H327" s="9"/>
    </row>
    <row r="328" customFormat="false" ht="15" hidden="false" customHeight="true" outlineLevel="0" collapsed="false">
      <c r="A328" s="12"/>
      <c r="B328" s="9"/>
      <c r="C328" s="15" t="str">
        <f aca="false">IF($B328="","",IFERROR(INDEX(설비목록!$B$3:$B$202,MATCH($B328,설비목록!$A$3:$A$202,0)),"미등록설비"))</f>
        <v/>
      </c>
      <c r="D328" s="9"/>
      <c r="E328" s="9"/>
      <c r="F328" s="9"/>
      <c r="G328" s="9"/>
      <c r="H328" s="9"/>
    </row>
    <row r="329" customFormat="false" ht="15" hidden="false" customHeight="true" outlineLevel="0" collapsed="false">
      <c r="A329" s="12"/>
      <c r="B329" s="9"/>
      <c r="C329" s="15" t="str">
        <f aca="false">IF($B329="","",IFERROR(INDEX(설비목록!$B$3:$B$202,MATCH($B329,설비목록!$A$3:$A$202,0)),"미등록설비"))</f>
        <v/>
      </c>
      <c r="D329" s="9"/>
      <c r="E329" s="9"/>
      <c r="F329" s="9"/>
      <c r="G329" s="9"/>
      <c r="H329" s="9"/>
    </row>
    <row r="330" customFormat="false" ht="15" hidden="false" customHeight="true" outlineLevel="0" collapsed="false">
      <c r="A330" s="12"/>
      <c r="B330" s="9"/>
      <c r="C330" s="15" t="str">
        <f aca="false">IF($B330="","",IFERROR(INDEX(설비목록!$B$3:$B$202,MATCH($B330,설비목록!$A$3:$A$202,0)),"미등록설비"))</f>
        <v/>
      </c>
      <c r="D330" s="9"/>
      <c r="E330" s="9"/>
      <c r="F330" s="9"/>
      <c r="G330" s="9"/>
      <c r="H330" s="9"/>
    </row>
    <row r="331" customFormat="false" ht="15" hidden="false" customHeight="true" outlineLevel="0" collapsed="false">
      <c r="A331" s="12"/>
      <c r="B331" s="9"/>
      <c r="C331" s="15" t="str">
        <f aca="false">IF($B331="","",IFERROR(INDEX(설비목록!$B$3:$B$202,MATCH($B331,설비목록!$A$3:$A$202,0)),"미등록설비"))</f>
        <v/>
      </c>
      <c r="D331" s="9"/>
      <c r="E331" s="9"/>
      <c r="F331" s="9"/>
      <c r="G331" s="9"/>
      <c r="H331" s="9"/>
    </row>
    <row r="332" customFormat="false" ht="15" hidden="false" customHeight="true" outlineLevel="0" collapsed="false">
      <c r="A332" s="12"/>
      <c r="B332" s="9"/>
      <c r="C332" s="15" t="str">
        <f aca="false">IF($B332="","",IFERROR(INDEX(설비목록!$B$3:$B$202,MATCH($B332,설비목록!$A$3:$A$202,0)),"미등록설비"))</f>
        <v/>
      </c>
      <c r="D332" s="9"/>
      <c r="E332" s="9"/>
      <c r="F332" s="9"/>
      <c r="G332" s="9"/>
      <c r="H332" s="9"/>
    </row>
    <row r="333" customFormat="false" ht="15" hidden="false" customHeight="true" outlineLevel="0" collapsed="false">
      <c r="A333" s="12"/>
      <c r="B333" s="9"/>
      <c r="C333" s="15" t="str">
        <f aca="false">IF($B333="","",IFERROR(INDEX(설비목록!$B$3:$B$202,MATCH($B333,설비목록!$A$3:$A$202,0)),"미등록설비"))</f>
        <v/>
      </c>
      <c r="D333" s="9"/>
      <c r="E333" s="9"/>
      <c r="F333" s="9"/>
      <c r="G333" s="9"/>
      <c r="H333" s="9"/>
    </row>
    <row r="334" customFormat="false" ht="15" hidden="false" customHeight="true" outlineLevel="0" collapsed="false">
      <c r="A334" s="12"/>
      <c r="B334" s="9"/>
      <c r="C334" s="15" t="str">
        <f aca="false">IF($B334="","",IFERROR(INDEX(설비목록!$B$3:$B$202,MATCH($B334,설비목록!$A$3:$A$202,0)),"미등록설비"))</f>
        <v/>
      </c>
      <c r="D334" s="9"/>
      <c r="E334" s="9"/>
      <c r="F334" s="9"/>
      <c r="G334" s="9"/>
      <c r="H334" s="9"/>
    </row>
    <row r="335" customFormat="false" ht="15" hidden="false" customHeight="true" outlineLevel="0" collapsed="false">
      <c r="A335" s="12"/>
      <c r="B335" s="9"/>
      <c r="C335" s="15" t="str">
        <f aca="false">IF($B335="","",IFERROR(INDEX(설비목록!$B$3:$B$202,MATCH($B335,설비목록!$A$3:$A$202,0)),"미등록설비"))</f>
        <v/>
      </c>
      <c r="D335" s="9"/>
      <c r="E335" s="9"/>
      <c r="F335" s="9"/>
      <c r="G335" s="9"/>
      <c r="H335" s="9"/>
    </row>
    <row r="336" customFormat="false" ht="15" hidden="false" customHeight="true" outlineLevel="0" collapsed="false">
      <c r="A336" s="12"/>
      <c r="B336" s="9"/>
      <c r="C336" s="15" t="str">
        <f aca="false">IF($B336="","",IFERROR(INDEX(설비목록!$B$3:$B$202,MATCH($B336,설비목록!$A$3:$A$202,0)),"미등록설비"))</f>
        <v/>
      </c>
      <c r="D336" s="9"/>
      <c r="E336" s="9"/>
      <c r="F336" s="9"/>
      <c r="G336" s="9"/>
      <c r="H336" s="9"/>
    </row>
    <row r="337" customFormat="false" ht="15" hidden="false" customHeight="true" outlineLevel="0" collapsed="false">
      <c r="A337" s="12"/>
      <c r="B337" s="9"/>
      <c r="C337" s="15" t="str">
        <f aca="false">IF($B337="","",IFERROR(INDEX(설비목록!$B$3:$B$202,MATCH($B337,설비목록!$A$3:$A$202,0)),"미등록설비"))</f>
        <v/>
      </c>
      <c r="D337" s="9"/>
      <c r="E337" s="9"/>
      <c r="F337" s="9"/>
      <c r="G337" s="9"/>
      <c r="H337" s="9"/>
    </row>
    <row r="338" customFormat="false" ht="15" hidden="false" customHeight="true" outlineLevel="0" collapsed="false">
      <c r="A338" s="12"/>
      <c r="B338" s="9"/>
      <c r="C338" s="15" t="str">
        <f aca="false">IF($B338="","",IFERROR(INDEX(설비목록!$B$3:$B$202,MATCH($B338,설비목록!$A$3:$A$202,0)),"미등록설비"))</f>
        <v/>
      </c>
      <c r="D338" s="9"/>
      <c r="E338" s="9"/>
      <c r="F338" s="9"/>
      <c r="G338" s="9"/>
      <c r="H338" s="9"/>
    </row>
    <row r="339" customFormat="false" ht="15" hidden="false" customHeight="true" outlineLevel="0" collapsed="false">
      <c r="A339" s="12"/>
      <c r="B339" s="9"/>
      <c r="C339" s="15" t="str">
        <f aca="false">IF($B339="","",IFERROR(INDEX(설비목록!$B$3:$B$202,MATCH($B339,설비목록!$A$3:$A$202,0)),"미등록설비"))</f>
        <v/>
      </c>
      <c r="D339" s="9"/>
      <c r="E339" s="9"/>
      <c r="F339" s="9"/>
      <c r="G339" s="9"/>
      <c r="H339" s="9"/>
    </row>
    <row r="340" customFormat="false" ht="15" hidden="false" customHeight="true" outlineLevel="0" collapsed="false">
      <c r="A340" s="12"/>
      <c r="B340" s="9"/>
      <c r="C340" s="15" t="str">
        <f aca="false">IF($B340="","",IFERROR(INDEX(설비목록!$B$3:$B$202,MATCH($B340,설비목록!$A$3:$A$202,0)),"미등록설비"))</f>
        <v/>
      </c>
      <c r="D340" s="9"/>
      <c r="E340" s="9"/>
      <c r="F340" s="9"/>
      <c r="G340" s="9"/>
      <c r="H340" s="9"/>
    </row>
    <row r="341" customFormat="false" ht="15" hidden="false" customHeight="true" outlineLevel="0" collapsed="false">
      <c r="A341" s="12"/>
      <c r="B341" s="9"/>
      <c r="C341" s="15" t="str">
        <f aca="false">IF($B341="","",IFERROR(INDEX(설비목록!$B$3:$B$202,MATCH($B341,설비목록!$A$3:$A$202,0)),"미등록설비"))</f>
        <v/>
      </c>
      <c r="D341" s="9"/>
      <c r="E341" s="9"/>
      <c r="F341" s="9"/>
      <c r="G341" s="9"/>
      <c r="H341" s="9"/>
    </row>
    <row r="342" customFormat="false" ht="15" hidden="false" customHeight="true" outlineLevel="0" collapsed="false">
      <c r="A342" s="12"/>
      <c r="B342" s="9"/>
      <c r="C342" s="15" t="str">
        <f aca="false">IF($B342="","",IFERROR(INDEX(설비목록!$B$3:$B$202,MATCH($B342,설비목록!$A$3:$A$202,0)),"미등록설비"))</f>
        <v/>
      </c>
      <c r="D342" s="9"/>
      <c r="E342" s="9"/>
      <c r="F342" s="9"/>
      <c r="G342" s="9"/>
      <c r="H342" s="9"/>
    </row>
    <row r="343" customFormat="false" ht="15" hidden="false" customHeight="true" outlineLevel="0" collapsed="false">
      <c r="A343" s="12"/>
      <c r="B343" s="9"/>
      <c r="C343" s="15" t="str">
        <f aca="false">IF($B343="","",IFERROR(INDEX(설비목록!$B$3:$B$202,MATCH($B343,설비목록!$A$3:$A$202,0)),"미등록설비"))</f>
        <v/>
      </c>
      <c r="D343" s="9"/>
      <c r="E343" s="9"/>
      <c r="F343" s="9"/>
      <c r="G343" s="9"/>
      <c r="H343" s="9"/>
    </row>
    <row r="344" customFormat="false" ht="15" hidden="false" customHeight="true" outlineLevel="0" collapsed="false">
      <c r="A344" s="12"/>
      <c r="B344" s="9"/>
      <c r="C344" s="15" t="str">
        <f aca="false">IF($B344="","",IFERROR(INDEX(설비목록!$B$3:$B$202,MATCH($B344,설비목록!$A$3:$A$202,0)),"미등록설비"))</f>
        <v/>
      </c>
      <c r="D344" s="9"/>
      <c r="E344" s="9"/>
      <c r="F344" s="9"/>
      <c r="G344" s="9"/>
      <c r="H344" s="9"/>
    </row>
    <row r="345" customFormat="false" ht="15" hidden="false" customHeight="true" outlineLevel="0" collapsed="false">
      <c r="A345" s="12"/>
      <c r="B345" s="9"/>
      <c r="C345" s="15" t="str">
        <f aca="false">IF($B345="","",IFERROR(INDEX(설비목록!$B$3:$B$202,MATCH($B345,설비목록!$A$3:$A$202,0)),"미등록설비"))</f>
        <v/>
      </c>
      <c r="D345" s="9"/>
      <c r="E345" s="9"/>
      <c r="F345" s="9"/>
      <c r="G345" s="9"/>
      <c r="H345" s="9"/>
    </row>
    <row r="346" customFormat="false" ht="15" hidden="false" customHeight="true" outlineLevel="0" collapsed="false">
      <c r="A346" s="12"/>
      <c r="B346" s="9"/>
      <c r="C346" s="15" t="str">
        <f aca="false">IF($B346="","",IFERROR(INDEX(설비목록!$B$3:$B$202,MATCH($B346,설비목록!$A$3:$A$202,0)),"미등록설비"))</f>
        <v/>
      </c>
      <c r="D346" s="9"/>
      <c r="E346" s="9"/>
      <c r="F346" s="9"/>
      <c r="G346" s="9"/>
      <c r="H346" s="9"/>
    </row>
    <row r="347" customFormat="false" ht="15" hidden="false" customHeight="true" outlineLevel="0" collapsed="false">
      <c r="A347" s="12"/>
      <c r="B347" s="9"/>
      <c r="C347" s="15" t="str">
        <f aca="false">IF($B347="","",IFERROR(INDEX(설비목록!$B$3:$B$202,MATCH($B347,설비목록!$A$3:$A$202,0)),"미등록설비"))</f>
        <v/>
      </c>
      <c r="D347" s="9"/>
      <c r="E347" s="9"/>
      <c r="F347" s="9"/>
      <c r="G347" s="9"/>
      <c r="H347" s="9"/>
    </row>
    <row r="348" customFormat="false" ht="15" hidden="false" customHeight="true" outlineLevel="0" collapsed="false">
      <c r="A348" s="12"/>
      <c r="B348" s="9"/>
      <c r="C348" s="15" t="str">
        <f aca="false">IF($B348="","",IFERROR(INDEX(설비목록!$B$3:$B$202,MATCH($B348,설비목록!$A$3:$A$202,0)),"미등록설비"))</f>
        <v/>
      </c>
      <c r="D348" s="9"/>
      <c r="E348" s="9"/>
      <c r="F348" s="9"/>
      <c r="G348" s="9"/>
      <c r="H348" s="9"/>
    </row>
    <row r="349" customFormat="false" ht="15" hidden="false" customHeight="true" outlineLevel="0" collapsed="false">
      <c r="A349" s="12"/>
      <c r="B349" s="9"/>
      <c r="C349" s="15" t="str">
        <f aca="false">IF($B349="","",IFERROR(INDEX(설비목록!$B$3:$B$202,MATCH($B349,설비목록!$A$3:$A$202,0)),"미등록설비"))</f>
        <v/>
      </c>
      <c r="D349" s="9"/>
      <c r="E349" s="9"/>
      <c r="F349" s="9"/>
      <c r="G349" s="9"/>
      <c r="H349" s="9"/>
    </row>
    <row r="350" customFormat="false" ht="15" hidden="false" customHeight="true" outlineLevel="0" collapsed="false">
      <c r="A350" s="12"/>
      <c r="B350" s="9"/>
      <c r="C350" s="15" t="str">
        <f aca="false">IF($B350="","",IFERROR(INDEX(설비목록!$B$3:$B$202,MATCH($B350,설비목록!$A$3:$A$202,0)),"미등록설비"))</f>
        <v/>
      </c>
      <c r="D350" s="9"/>
      <c r="E350" s="9"/>
      <c r="F350" s="9"/>
      <c r="G350" s="9"/>
      <c r="H350" s="9"/>
    </row>
    <row r="351" customFormat="false" ht="15" hidden="false" customHeight="true" outlineLevel="0" collapsed="false">
      <c r="A351" s="12"/>
      <c r="B351" s="9"/>
      <c r="C351" s="15" t="str">
        <f aca="false">IF($B351="","",IFERROR(INDEX(설비목록!$B$3:$B$202,MATCH($B351,설비목록!$A$3:$A$202,0)),"미등록설비"))</f>
        <v/>
      </c>
      <c r="D351" s="9"/>
      <c r="E351" s="9"/>
      <c r="F351" s="9"/>
      <c r="G351" s="9"/>
      <c r="H351" s="9"/>
    </row>
    <row r="352" customFormat="false" ht="15" hidden="false" customHeight="true" outlineLevel="0" collapsed="false">
      <c r="A352" s="12"/>
      <c r="B352" s="9"/>
      <c r="C352" s="15" t="str">
        <f aca="false">IF($B352="","",IFERROR(INDEX(설비목록!$B$3:$B$202,MATCH($B352,설비목록!$A$3:$A$202,0)),"미등록설비"))</f>
        <v/>
      </c>
      <c r="D352" s="9"/>
      <c r="E352" s="9"/>
      <c r="F352" s="9"/>
      <c r="G352" s="9"/>
      <c r="H352" s="9"/>
    </row>
    <row r="353" customFormat="false" ht="15" hidden="false" customHeight="true" outlineLevel="0" collapsed="false">
      <c r="A353" s="12"/>
      <c r="B353" s="9"/>
      <c r="C353" s="15" t="str">
        <f aca="false">IF($B353="","",IFERROR(INDEX(설비목록!$B$3:$B$202,MATCH($B353,설비목록!$A$3:$A$202,0)),"미등록설비"))</f>
        <v/>
      </c>
      <c r="D353" s="9"/>
      <c r="E353" s="9"/>
      <c r="F353" s="9"/>
      <c r="G353" s="9"/>
      <c r="H353" s="9"/>
    </row>
    <row r="354" customFormat="false" ht="15" hidden="false" customHeight="true" outlineLevel="0" collapsed="false">
      <c r="A354" s="12"/>
      <c r="B354" s="9"/>
      <c r="C354" s="15" t="str">
        <f aca="false">IF($B354="","",IFERROR(INDEX(설비목록!$B$3:$B$202,MATCH($B354,설비목록!$A$3:$A$202,0)),"미등록설비"))</f>
        <v/>
      </c>
      <c r="D354" s="9"/>
      <c r="E354" s="9"/>
      <c r="F354" s="9"/>
      <c r="G354" s="9"/>
      <c r="H354" s="9"/>
    </row>
    <row r="355" customFormat="false" ht="15" hidden="false" customHeight="true" outlineLevel="0" collapsed="false">
      <c r="A355" s="12"/>
      <c r="B355" s="9"/>
      <c r="C355" s="15" t="str">
        <f aca="false">IF($B355="","",IFERROR(INDEX(설비목록!$B$3:$B$202,MATCH($B355,설비목록!$A$3:$A$202,0)),"미등록설비"))</f>
        <v/>
      </c>
      <c r="D355" s="9"/>
      <c r="E355" s="9"/>
      <c r="F355" s="9"/>
      <c r="G355" s="9"/>
      <c r="H355" s="9"/>
    </row>
    <row r="356" customFormat="false" ht="15" hidden="false" customHeight="true" outlineLevel="0" collapsed="false">
      <c r="A356" s="12"/>
      <c r="B356" s="9"/>
      <c r="C356" s="15" t="str">
        <f aca="false">IF($B356="","",IFERROR(INDEX(설비목록!$B$3:$B$202,MATCH($B356,설비목록!$A$3:$A$202,0)),"미등록설비"))</f>
        <v/>
      </c>
      <c r="D356" s="9"/>
      <c r="E356" s="9"/>
      <c r="F356" s="9"/>
      <c r="G356" s="9"/>
      <c r="H356" s="9"/>
    </row>
    <row r="357" customFormat="false" ht="15" hidden="false" customHeight="true" outlineLevel="0" collapsed="false">
      <c r="A357" s="12"/>
      <c r="B357" s="9"/>
      <c r="C357" s="15" t="str">
        <f aca="false">IF($B357="","",IFERROR(INDEX(설비목록!$B$3:$B$202,MATCH($B357,설비목록!$A$3:$A$202,0)),"미등록설비"))</f>
        <v/>
      </c>
      <c r="D357" s="9"/>
      <c r="E357" s="9"/>
      <c r="F357" s="9"/>
      <c r="G357" s="9"/>
      <c r="H357" s="9"/>
    </row>
    <row r="358" customFormat="false" ht="15" hidden="false" customHeight="true" outlineLevel="0" collapsed="false">
      <c r="A358" s="12"/>
      <c r="B358" s="9"/>
      <c r="C358" s="15" t="str">
        <f aca="false">IF($B358="","",IFERROR(INDEX(설비목록!$B$3:$B$202,MATCH($B358,설비목록!$A$3:$A$202,0)),"미등록설비"))</f>
        <v/>
      </c>
      <c r="D358" s="9"/>
      <c r="E358" s="9"/>
      <c r="F358" s="9"/>
      <c r="G358" s="9"/>
      <c r="H358" s="9"/>
    </row>
    <row r="359" customFormat="false" ht="15" hidden="false" customHeight="true" outlineLevel="0" collapsed="false">
      <c r="A359" s="12"/>
      <c r="B359" s="9"/>
      <c r="C359" s="15" t="str">
        <f aca="false">IF($B359="","",IFERROR(INDEX(설비목록!$B$3:$B$202,MATCH($B359,설비목록!$A$3:$A$202,0)),"미등록설비"))</f>
        <v/>
      </c>
      <c r="D359" s="9"/>
      <c r="E359" s="9"/>
      <c r="F359" s="9"/>
      <c r="G359" s="9"/>
      <c r="H359" s="9"/>
    </row>
    <row r="360" customFormat="false" ht="15" hidden="false" customHeight="true" outlineLevel="0" collapsed="false">
      <c r="A360" s="12"/>
      <c r="B360" s="9"/>
      <c r="C360" s="15" t="str">
        <f aca="false">IF($B360="","",IFERROR(INDEX(설비목록!$B$3:$B$202,MATCH($B360,설비목록!$A$3:$A$202,0)),"미등록설비"))</f>
        <v/>
      </c>
      <c r="D360" s="9"/>
      <c r="E360" s="9"/>
      <c r="F360" s="9"/>
      <c r="G360" s="9"/>
      <c r="H360" s="9"/>
    </row>
    <row r="361" customFormat="false" ht="15" hidden="false" customHeight="true" outlineLevel="0" collapsed="false">
      <c r="A361" s="12"/>
      <c r="B361" s="9"/>
      <c r="C361" s="15" t="str">
        <f aca="false">IF($B361="","",IFERROR(INDEX(설비목록!$B$3:$B$202,MATCH($B361,설비목록!$A$3:$A$202,0)),"미등록설비"))</f>
        <v/>
      </c>
      <c r="D361" s="9"/>
      <c r="E361" s="9"/>
      <c r="F361" s="9"/>
      <c r="G361" s="9"/>
      <c r="H361" s="9"/>
    </row>
    <row r="362" customFormat="false" ht="15" hidden="false" customHeight="true" outlineLevel="0" collapsed="false">
      <c r="A362" s="12"/>
      <c r="B362" s="9"/>
      <c r="C362" s="15" t="str">
        <f aca="false">IF($B362="","",IFERROR(INDEX(설비목록!$B$3:$B$202,MATCH($B362,설비목록!$A$3:$A$202,0)),"미등록설비"))</f>
        <v/>
      </c>
      <c r="D362" s="9"/>
      <c r="E362" s="9"/>
      <c r="F362" s="9"/>
      <c r="G362" s="9"/>
      <c r="H362" s="9"/>
    </row>
    <row r="363" customFormat="false" ht="15" hidden="false" customHeight="true" outlineLevel="0" collapsed="false">
      <c r="A363" s="12"/>
      <c r="B363" s="9"/>
      <c r="C363" s="15" t="str">
        <f aca="false">IF($B363="","",IFERROR(INDEX(설비목록!$B$3:$B$202,MATCH($B363,설비목록!$A$3:$A$202,0)),"미등록설비"))</f>
        <v/>
      </c>
      <c r="D363" s="9"/>
      <c r="E363" s="9"/>
      <c r="F363" s="9"/>
      <c r="G363" s="9"/>
      <c r="H363" s="9"/>
    </row>
    <row r="364" customFormat="false" ht="15" hidden="false" customHeight="true" outlineLevel="0" collapsed="false">
      <c r="A364" s="12"/>
      <c r="B364" s="9"/>
      <c r="C364" s="15" t="str">
        <f aca="false">IF($B364="","",IFERROR(INDEX(설비목록!$B$3:$B$202,MATCH($B364,설비목록!$A$3:$A$202,0)),"미등록설비"))</f>
        <v/>
      </c>
      <c r="D364" s="9"/>
      <c r="E364" s="9"/>
      <c r="F364" s="9"/>
      <c r="G364" s="9"/>
      <c r="H364" s="9"/>
    </row>
    <row r="365" customFormat="false" ht="15" hidden="false" customHeight="true" outlineLevel="0" collapsed="false">
      <c r="A365" s="12"/>
      <c r="B365" s="9"/>
      <c r="C365" s="15" t="str">
        <f aca="false">IF($B365="","",IFERROR(INDEX(설비목록!$B$3:$B$202,MATCH($B365,설비목록!$A$3:$A$202,0)),"미등록설비"))</f>
        <v/>
      </c>
      <c r="D365" s="9"/>
      <c r="E365" s="9"/>
      <c r="F365" s="9"/>
      <c r="G365" s="9"/>
      <c r="H365" s="9"/>
    </row>
    <row r="366" customFormat="false" ht="15" hidden="false" customHeight="true" outlineLevel="0" collapsed="false">
      <c r="A366" s="12"/>
      <c r="B366" s="9"/>
      <c r="C366" s="15" t="str">
        <f aca="false">IF($B366="","",IFERROR(INDEX(설비목록!$B$3:$B$202,MATCH($B366,설비목록!$A$3:$A$202,0)),"미등록설비"))</f>
        <v/>
      </c>
      <c r="D366" s="9"/>
      <c r="E366" s="9"/>
      <c r="F366" s="9"/>
      <c r="G366" s="9"/>
      <c r="H366" s="9"/>
    </row>
    <row r="367" customFormat="false" ht="15" hidden="false" customHeight="true" outlineLevel="0" collapsed="false">
      <c r="A367" s="12"/>
      <c r="B367" s="9"/>
      <c r="C367" s="15" t="str">
        <f aca="false">IF($B367="","",IFERROR(INDEX(설비목록!$B$3:$B$202,MATCH($B367,설비목록!$A$3:$A$202,0)),"미등록설비"))</f>
        <v/>
      </c>
      <c r="D367" s="9"/>
      <c r="E367" s="9"/>
      <c r="F367" s="9"/>
      <c r="G367" s="9"/>
      <c r="H367" s="9"/>
    </row>
    <row r="368" customFormat="false" ht="15" hidden="false" customHeight="true" outlineLevel="0" collapsed="false">
      <c r="A368" s="12"/>
      <c r="B368" s="9"/>
      <c r="C368" s="15" t="str">
        <f aca="false">IF($B368="","",IFERROR(INDEX(설비목록!$B$3:$B$202,MATCH($B368,설비목록!$A$3:$A$202,0)),"미등록설비"))</f>
        <v/>
      </c>
      <c r="D368" s="9"/>
      <c r="E368" s="9"/>
      <c r="F368" s="9"/>
      <c r="G368" s="9"/>
      <c r="H368" s="9"/>
    </row>
    <row r="369" customFormat="false" ht="15" hidden="false" customHeight="true" outlineLevel="0" collapsed="false">
      <c r="A369" s="12"/>
      <c r="B369" s="9"/>
      <c r="C369" s="15" t="str">
        <f aca="false">IF($B369="","",IFERROR(INDEX(설비목록!$B$3:$B$202,MATCH($B369,설비목록!$A$3:$A$202,0)),"미등록설비"))</f>
        <v/>
      </c>
      <c r="D369" s="9"/>
      <c r="E369" s="9"/>
      <c r="F369" s="9"/>
      <c r="G369" s="9"/>
      <c r="H369" s="9"/>
    </row>
    <row r="370" customFormat="false" ht="15" hidden="false" customHeight="true" outlineLevel="0" collapsed="false">
      <c r="A370" s="12"/>
      <c r="B370" s="9"/>
      <c r="C370" s="15" t="str">
        <f aca="false">IF($B370="","",IFERROR(INDEX(설비목록!$B$3:$B$202,MATCH($B370,설비목록!$A$3:$A$202,0)),"미등록설비"))</f>
        <v/>
      </c>
      <c r="D370" s="9"/>
      <c r="E370" s="9"/>
      <c r="F370" s="9"/>
      <c r="G370" s="9"/>
      <c r="H370" s="9"/>
    </row>
    <row r="371" customFormat="false" ht="15" hidden="false" customHeight="true" outlineLevel="0" collapsed="false">
      <c r="A371" s="12"/>
      <c r="B371" s="9"/>
      <c r="C371" s="15" t="str">
        <f aca="false">IF($B371="","",IFERROR(INDEX(설비목록!$B$3:$B$202,MATCH($B371,설비목록!$A$3:$A$202,0)),"미등록설비"))</f>
        <v/>
      </c>
      <c r="D371" s="9"/>
      <c r="E371" s="9"/>
      <c r="F371" s="9"/>
      <c r="G371" s="9"/>
      <c r="H371" s="9"/>
    </row>
    <row r="372" customFormat="false" ht="15" hidden="false" customHeight="true" outlineLevel="0" collapsed="false">
      <c r="A372" s="12"/>
      <c r="B372" s="9"/>
      <c r="C372" s="15" t="str">
        <f aca="false">IF($B372="","",IFERROR(INDEX(설비목록!$B$3:$B$202,MATCH($B372,설비목록!$A$3:$A$202,0)),"미등록설비"))</f>
        <v/>
      </c>
      <c r="D372" s="9"/>
      <c r="E372" s="9"/>
      <c r="F372" s="9"/>
      <c r="G372" s="9"/>
      <c r="H372" s="9"/>
    </row>
    <row r="373" customFormat="false" ht="15" hidden="false" customHeight="true" outlineLevel="0" collapsed="false">
      <c r="A373" s="12"/>
      <c r="B373" s="9"/>
      <c r="C373" s="15" t="str">
        <f aca="false">IF($B373="","",IFERROR(INDEX(설비목록!$B$3:$B$202,MATCH($B373,설비목록!$A$3:$A$202,0)),"미등록설비"))</f>
        <v/>
      </c>
      <c r="D373" s="9"/>
      <c r="E373" s="9"/>
      <c r="F373" s="9"/>
      <c r="G373" s="9"/>
      <c r="H373" s="9"/>
    </row>
    <row r="374" customFormat="false" ht="15" hidden="false" customHeight="true" outlineLevel="0" collapsed="false">
      <c r="A374" s="12"/>
      <c r="B374" s="9"/>
      <c r="C374" s="15" t="str">
        <f aca="false">IF($B374="","",IFERROR(INDEX(설비목록!$B$3:$B$202,MATCH($B374,설비목록!$A$3:$A$202,0)),"미등록설비"))</f>
        <v/>
      </c>
      <c r="D374" s="9"/>
      <c r="E374" s="9"/>
      <c r="F374" s="9"/>
      <c r="G374" s="9"/>
      <c r="H374" s="9"/>
    </row>
    <row r="375" customFormat="false" ht="15" hidden="false" customHeight="true" outlineLevel="0" collapsed="false">
      <c r="A375" s="12"/>
      <c r="B375" s="9"/>
      <c r="C375" s="15" t="str">
        <f aca="false">IF($B375="","",IFERROR(INDEX(설비목록!$B$3:$B$202,MATCH($B375,설비목록!$A$3:$A$202,0)),"미등록설비"))</f>
        <v/>
      </c>
      <c r="D375" s="9"/>
      <c r="E375" s="9"/>
      <c r="F375" s="9"/>
      <c r="G375" s="9"/>
      <c r="H375" s="9"/>
    </row>
    <row r="376" customFormat="false" ht="15" hidden="false" customHeight="true" outlineLevel="0" collapsed="false">
      <c r="A376" s="12"/>
      <c r="B376" s="9"/>
      <c r="C376" s="15" t="str">
        <f aca="false">IF($B376="","",IFERROR(INDEX(설비목록!$B$3:$B$202,MATCH($B376,설비목록!$A$3:$A$202,0)),"미등록설비"))</f>
        <v/>
      </c>
      <c r="D376" s="9"/>
      <c r="E376" s="9"/>
      <c r="F376" s="9"/>
      <c r="G376" s="9"/>
      <c r="H376" s="9"/>
    </row>
    <row r="377" customFormat="false" ht="15" hidden="false" customHeight="true" outlineLevel="0" collapsed="false">
      <c r="A377" s="12"/>
      <c r="B377" s="9"/>
      <c r="C377" s="15" t="str">
        <f aca="false">IF($B377="","",IFERROR(INDEX(설비목록!$B$3:$B$202,MATCH($B377,설비목록!$A$3:$A$202,0)),"미등록설비"))</f>
        <v/>
      </c>
      <c r="D377" s="9"/>
      <c r="E377" s="9"/>
      <c r="F377" s="9"/>
      <c r="G377" s="9"/>
      <c r="H377" s="9"/>
    </row>
    <row r="378" customFormat="false" ht="15" hidden="false" customHeight="true" outlineLevel="0" collapsed="false">
      <c r="A378" s="12"/>
      <c r="B378" s="9"/>
      <c r="C378" s="15" t="str">
        <f aca="false">IF($B378="","",IFERROR(INDEX(설비목록!$B$3:$B$202,MATCH($B378,설비목록!$A$3:$A$202,0)),"미등록설비"))</f>
        <v/>
      </c>
      <c r="D378" s="9"/>
      <c r="E378" s="9"/>
      <c r="F378" s="9"/>
      <c r="G378" s="9"/>
      <c r="H378" s="9"/>
    </row>
    <row r="379" customFormat="false" ht="15" hidden="false" customHeight="true" outlineLevel="0" collapsed="false">
      <c r="A379" s="12"/>
      <c r="B379" s="9"/>
      <c r="C379" s="15" t="str">
        <f aca="false">IF($B379="","",IFERROR(INDEX(설비목록!$B$3:$B$202,MATCH($B379,설비목록!$A$3:$A$202,0)),"미등록설비"))</f>
        <v/>
      </c>
      <c r="D379" s="9"/>
      <c r="E379" s="9"/>
      <c r="F379" s="9"/>
      <c r="G379" s="9"/>
      <c r="H379" s="9"/>
    </row>
    <row r="380" customFormat="false" ht="15" hidden="false" customHeight="true" outlineLevel="0" collapsed="false">
      <c r="A380" s="12"/>
      <c r="B380" s="9"/>
      <c r="C380" s="15" t="str">
        <f aca="false">IF($B380="","",IFERROR(INDEX(설비목록!$B$3:$B$202,MATCH($B380,설비목록!$A$3:$A$202,0)),"미등록설비"))</f>
        <v/>
      </c>
      <c r="D380" s="9"/>
      <c r="E380" s="9"/>
      <c r="F380" s="9"/>
      <c r="G380" s="9"/>
      <c r="H380" s="9"/>
    </row>
    <row r="381" customFormat="false" ht="15" hidden="false" customHeight="true" outlineLevel="0" collapsed="false">
      <c r="A381" s="12"/>
      <c r="B381" s="9"/>
      <c r="C381" s="15" t="str">
        <f aca="false">IF($B381="","",IFERROR(INDEX(설비목록!$B$3:$B$202,MATCH($B381,설비목록!$A$3:$A$202,0)),"미등록설비"))</f>
        <v/>
      </c>
      <c r="D381" s="9"/>
      <c r="E381" s="9"/>
      <c r="F381" s="9"/>
      <c r="G381" s="9"/>
      <c r="H381" s="9"/>
    </row>
    <row r="382" customFormat="false" ht="15" hidden="false" customHeight="true" outlineLevel="0" collapsed="false">
      <c r="A382" s="12"/>
      <c r="B382" s="9"/>
      <c r="C382" s="15" t="str">
        <f aca="false">IF($B382="","",IFERROR(INDEX(설비목록!$B$3:$B$202,MATCH($B382,설비목록!$A$3:$A$202,0)),"미등록설비"))</f>
        <v/>
      </c>
      <c r="D382" s="9"/>
      <c r="E382" s="9"/>
      <c r="F382" s="9"/>
      <c r="G382" s="9"/>
      <c r="H382" s="9"/>
    </row>
    <row r="383" customFormat="false" ht="15" hidden="false" customHeight="true" outlineLevel="0" collapsed="false">
      <c r="A383" s="12"/>
      <c r="B383" s="9"/>
      <c r="C383" s="15" t="str">
        <f aca="false">IF($B383="","",IFERROR(INDEX(설비목록!$B$3:$B$202,MATCH($B383,설비목록!$A$3:$A$202,0)),"미등록설비"))</f>
        <v/>
      </c>
      <c r="D383" s="9"/>
      <c r="E383" s="9"/>
      <c r="F383" s="9"/>
      <c r="G383" s="9"/>
      <c r="H383" s="9"/>
    </row>
    <row r="384" customFormat="false" ht="15" hidden="false" customHeight="true" outlineLevel="0" collapsed="false">
      <c r="A384" s="12"/>
      <c r="B384" s="9"/>
      <c r="C384" s="15" t="str">
        <f aca="false">IF($B384="","",IFERROR(INDEX(설비목록!$B$3:$B$202,MATCH($B384,설비목록!$A$3:$A$202,0)),"미등록설비"))</f>
        <v/>
      </c>
      <c r="D384" s="9"/>
      <c r="E384" s="9"/>
      <c r="F384" s="9"/>
      <c r="G384" s="9"/>
      <c r="H384" s="9"/>
    </row>
    <row r="385" customFormat="false" ht="15" hidden="false" customHeight="true" outlineLevel="0" collapsed="false">
      <c r="A385" s="12"/>
      <c r="B385" s="9"/>
      <c r="C385" s="15" t="str">
        <f aca="false">IF($B385="","",IFERROR(INDEX(설비목록!$B$3:$B$202,MATCH($B385,설비목록!$A$3:$A$202,0)),"미등록설비"))</f>
        <v/>
      </c>
      <c r="D385" s="9"/>
      <c r="E385" s="9"/>
      <c r="F385" s="9"/>
      <c r="G385" s="9"/>
      <c r="H385" s="9"/>
    </row>
    <row r="386" customFormat="false" ht="15" hidden="false" customHeight="true" outlineLevel="0" collapsed="false">
      <c r="A386" s="12"/>
      <c r="B386" s="9"/>
      <c r="C386" s="15" t="str">
        <f aca="false">IF($B386="","",IFERROR(INDEX(설비목록!$B$3:$B$202,MATCH($B386,설비목록!$A$3:$A$202,0)),"미등록설비"))</f>
        <v/>
      </c>
      <c r="D386" s="9"/>
      <c r="E386" s="9"/>
      <c r="F386" s="9"/>
      <c r="G386" s="9"/>
      <c r="H386" s="9"/>
    </row>
    <row r="387" customFormat="false" ht="15" hidden="false" customHeight="true" outlineLevel="0" collapsed="false">
      <c r="A387" s="12"/>
      <c r="B387" s="9"/>
      <c r="C387" s="15" t="str">
        <f aca="false">IF($B387="","",IFERROR(INDEX(설비목록!$B$3:$B$202,MATCH($B387,설비목록!$A$3:$A$202,0)),"미등록설비"))</f>
        <v/>
      </c>
      <c r="D387" s="9"/>
      <c r="E387" s="9"/>
      <c r="F387" s="9"/>
      <c r="G387" s="9"/>
      <c r="H387" s="9"/>
    </row>
    <row r="388" customFormat="false" ht="15" hidden="false" customHeight="true" outlineLevel="0" collapsed="false">
      <c r="A388" s="12"/>
      <c r="B388" s="9"/>
      <c r="C388" s="15" t="str">
        <f aca="false">IF($B388="","",IFERROR(INDEX(설비목록!$B$3:$B$202,MATCH($B388,설비목록!$A$3:$A$202,0)),"미등록설비"))</f>
        <v/>
      </c>
      <c r="D388" s="9"/>
      <c r="E388" s="9"/>
      <c r="F388" s="9"/>
      <c r="G388" s="9"/>
      <c r="H388" s="9"/>
    </row>
    <row r="389" customFormat="false" ht="15" hidden="false" customHeight="true" outlineLevel="0" collapsed="false">
      <c r="A389" s="12"/>
      <c r="B389" s="9"/>
      <c r="C389" s="15" t="str">
        <f aca="false">IF($B389="","",IFERROR(INDEX(설비목록!$B$3:$B$202,MATCH($B389,설비목록!$A$3:$A$202,0)),"미등록설비"))</f>
        <v/>
      </c>
      <c r="D389" s="9"/>
      <c r="E389" s="9"/>
      <c r="F389" s="9"/>
      <c r="G389" s="9"/>
      <c r="H389" s="9"/>
    </row>
    <row r="390" customFormat="false" ht="15" hidden="false" customHeight="true" outlineLevel="0" collapsed="false">
      <c r="A390" s="12"/>
      <c r="B390" s="9"/>
      <c r="C390" s="15" t="str">
        <f aca="false">IF($B390="","",IFERROR(INDEX(설비목록!$B$3:$B$202,MATCH($B390,설비목록!$A$3:$A$202,0)),"미등록설비"))</f>
        <v/>
      </c>
      <c r="D390" s="9"/>
      <c r="E390" s="9"/>
      <c r="F390" s="9"/>
      <c r="G390" s="9"/>
      <c r="H390" s="9"/>
    </row>
    <row r="391" customFormat="false" ht="15" hidden="false" customHeight="true" outlineLevel="0" collapsed="false">
      <c r="A391" s="12"/>
      <c r="B391" s="9"/>
      <c r="C391" s="15" t="str">
        <f aca="false">IF($B391="","",IFERROR(INDEX(설비목록!$B$3:$B$202,MATCH($B391,설비목록!$A$3:$A$202,0)),"미등록설비"))</f>
        <v/>
      </c>
      <c r="D391" s="9"/>
      <c r="E391" s="9"/>
      <c r="F391" s="9"/>
      <c r="G391" s="9"/>
      <c r="H391" s="9"/>
    </row>
    <row r="392" customFormat="false" ht="15" hidden="false" customHeight="true" outlineLevel="0" collapsed="false">
      <c r="A392" s="12"/>
      <c r="B392" s="9"/>
      <c r="C392" s="15" t="str">
        <f aca="false">IF($B392="","",IFERROR(INDEX(설비목록!$B$3:$B$202,MATCH($B392,설비목록!$A$3:$A$202,0)),"미등록설비"))</f>
        <v/>
      </c>
      <c r="D392" s="9"/>
      <c r="E392" s="9"/>
      <c r="F392" s="9"/>
      <c r="G392" s="9"/>
      <c r="H392" s="9"/>
    </row>
    <row r="393" customFormat="false" ht="15" hidden="false" customHeight="true" outlineLevel="0" collapsed="false">
      <c r="A393" s="12"/>
      <c r="B393" s="9"/>
      <c r="C393" s="15" t="str">
        <f aca="false">IF($B393="","",IFERROR(INDEX(설비목록!$B$3:$B$202,MATCH($B393,설비목록!$A$3:$A$202,0)),"미등록설비"))</f>
        <v/>
      </c>
      <c r="D393" s="9"/>
      <c r="E393" s="9"/>
      <c r="F393" s="9"/>
      <c r="G393" s="9"/>
      <c r="H393" s="9"/>
    </row>
    <row r="394" customFormat="false" ht="15" hidden="false" customHeight="true" outlineLevel="0" collapsed="false">
      <c r="A394" s="12"/>
      <c r="B394" s="9"/>
      <c r="C394" s="15" t="str">
        <f aca="false">IF($B394="","",IFERROR(INDEX(설비목록!$B$3:$B$202,MATCH($B394,설비목록!$A$3:$A$202,0)),"미등록설비"))</f>
        <v/>
      </c>
      <c r="D394" s="9"/>
      <c r="E394" s="9"/>
      <c r="F394" s="9"/>
      <c r="G394" s="9"/>
      <c r="H394" s="9"/>
    </row>
    <row r="395" customFormat="false" ht="15" hidden="false" customHeight="true" outlineLevel="0" collapsed="false">
      <c r="A395" s="12"/>
      <c r="B395" s="9"/>
      <c r="C395" s="15" t="str">
        <f aca="false">IF($B395="","",IFERROR(INDEX(설비목록!$B$3:$B$202,MATCH($B395,설비목록!$A$3:$A$202,0)),"미등록설비"))</f>
        <v/>
      </c>
      <c r="D395" s="9"/>
      <c r="E395" s="9"/>
      <c r="F395" s="9"/>
      <c r="G395" s="9"/>
      <c r="H395" s="9"/>
    </row>
    <row r="396" customFormat="false" ht="15" hidden="false" customHeight="true" outlineLevel="0" collapsed="false">
      <c r="A396" s="12"/>
      <c r="B396" s="9"/>
      <c r="C396" s="15" t="str">
        <f aca="false">IF($B396="","",IFERROR(INDEX(설비목록!$B$3:$B$202,MATCH($B396,설비목록!$A$3:$A$202,0)),"미등록설비"))</f>
        <v/>
      </c>
      <c r="D396" s="9"/>
      <c r="E396" s="9"/>
      <c r="F396" s="9"/>
      <c r="G396" s="9"/>
      <c r="H396" s="9"/>
    </row>
    <row r="397" customFormat="false" ht="15" hidden="false" customHeight="true" outlineLevel="0" collapsed="false">
      <c r="A397" s="12"/>
      <c r="B397" s="9"/>
      <c r="C397" s="15" t="str">
        <f aca="false">IF($B397="","",IFERROR(INDEX(설비목록!$B$3:$B$202,MATCH($B397,설비목록!$A$3:$A$202,0)),"미등록설비"))</f>
        <v/>
      </c>
      <c r="D397" s="9"/>
      <c r="E397" s="9"/>
      <c r="F397" s="9"/>
      <c r="G397" s="9"/>
      <c r="H397" s="9"/>
    </row>
    <row r="398" customFormat="false" ht="15" hidden="false" customHeight="true" outlineLevel="0" collapsed="false">
      <c r="A398" s="12"/>
      <c r="B398" s="9"/>
      <c r="C398" s="15" t="str">
        <f aca="false">IF($B398="","",IFERROR(INDEX(설비목록!$B$3:$B$202,MATCH($B398,설비목록!$A$3:$A$202,0)),"미등록설비"))</f>
        <v/>
      </c>
      <c r="D398" s="9"/>
      <c r="E398" s="9"/>
      <c r="F398" s="9"/>
      <c r="G398" s="9"/>
      <c r="H398" s="9"/>
    </row>
    <row r="399" customFormat="false" ht="15" hidden="false" customHeight="true" outlineLevel="0" collapsed="false">
      <c r="A399" s="12"/>
      <c r="B399" s="9"/>
      <c r="C399" s="15" t="str">
        <f aca="false">IF($B399="","",IFERROR(INDEX(설비목록!$B$3:$B$202,MATCH($B399,설비목록!$A$3:$A$202,0)),"미등록설비"))</f>
        <v/>
      </c>
      <c r="D399" s="9"/>
      <c r="E399" s="9"/>
      <c r="F399" s="9"/>
      <c r="G399" s="9"/>
      <c r="H399" s="9"/>
    </row>
    <row r="400" customFormat="false" ht="15" hidden="false" customHeight="true" outlineLevel="0" collapsed="false">
      <c r="A400" s="12"/>
      <c r="B400" s="9"/>
      <c r="C400" s="15" t="str">
        <f aca="false">IF($B400="","",IFERROR(INDEX(설비목록!$B$3:$B$202,MATCH($B400,설비목록!$A$3:$A$202,0)),"미등록설비"))</f>
        <v/>
      </c>
      <c r="D400" s="9"/>
      <c r="E400" s="9"/>
      <c r="F400" s="9"/>
      <c r="G400" s="9"/>
      <c r="H400" s="9"/>
    </row>
    <row r="401" customFormat="false" ht="15" hidden="false" customHeight="true" outlineLevel="0" collapsed="false">
      <c r="A401" s="12"/>
      <c r="B401" s="9"/>
      <c r="C401" s="15" t="str">
        <f aca="false">IF($B401="","",IFERROR(INDEX(설비목록!$B$3:$B$202,MATCH($B401,설비목록!$A$3:$A$202,0)),"미등록설비"))</f>
        <v/>
      </c>
      <c r="D401" s="9"/>
      <c r="E401" s="9"/>
      <c r="F401" s="9"/>
      <c r="G401" s="9"/>
      <c r="H401" s="9"/>
    </row>
    <row r="402" customFormat="false" ht="15" hidden="false" customHeight="true" outlineLevel="0" collapsed="false">
      <c r="A402" s="12"/>
      <c r="B402" s="9"/>
      <c r="C402" s="15" t="str">
        <f aca="false">IF($B402="","",IFERROR(INDEX(설비목록!$B$3:$B$202,MATCH($B402,설비목록!$A$3:$A$202,0)),"미등록설비"))</f>
        <v/>
      </c>
      <c r="D402" s="9"/>
      <c r="E402" s="9"/>
      <c r="F402" s="9"/>
      <c r="G402" s="9"/>
      <c r="H402" s="9"/>
    </row>
    <row r="403" customFormat="false" ht="15" hidden="false" customHeight="true" outlineLevel="0" collapsed="false">
      <c r="A403" s="12"/>
      <c r="B403" s="9"/>
      <c r="C403" s="15" t="str">
        <f aca="false">IF($B403="","",IFERROR(INDEX(설비목록!$B$3:$B$202,MATCH($B403,설비목록!$A$3:$A$202,0)),"미등록설비"))</f>
        <v/>
      </c>
      <c r="D403" s="9"/>
      <c r="E403" s="9"/>
      <c r="F403" s="9"/>
      <c r="G403" s="9"/>
      <c r="H403" s="9"/>
    </row>
    <row r="404" customFormat="false" ht="15" hidden="false" customHeight="true" outlineLevel="0" collapsed="false">
      <c r="A404" s="12"/>
      <c r="B404" s="9"/>
      <c r="C404" s="15" t="str">
        <f aca="false">IF($B404="","",IFERROR(INDEX(설비목록!$B$3:$B$202,MATCH($B404,설비목록!$A$3:$A$202,0)),"미등록설비"))</f>
        <v/>
      </c>
      <c r="D404" s="9"/>
      <c r="E404" s="9"/>
      <c r="F404" s="9"/>
      <c r="G404" s="9"/>
      <c r="H404" s="9"/>
    </row>
    <row r="405" customFormat="false" ht="15" hidden="false" customHeight="true" outlineLevel="0" collapsed="false">
      <c r="A405" s="12"/>
      <c r="B405" s="9"/>
      <c r="C405" s="15" t="str">
        <f aca="false">IF($B405="","",IFERROR(INDEX(설비목록!$B$3:$B$202,MATCH($B405,설비목록!$A$3:$A$202,0)),"미등록설비"))</f>
        <v/>
      </c>
      <c r="D405" s="9"/>
      <c r="E405" s="9"/>
      <c r="F405" s="9"/>
      <c r="G405" s="9"/>
      <c r="H405" s="9"/>
    </row>
    <row r="406" customFormat="false" ht="15" hidden="false" customHeight="true" outlineLevel="0" collapsed="false">
      <c r="A406" s="12"/>
      <c r="B406" s="9"/>
      <c r="C406" s="15" t="str">
        <f aca="false">IF($B406="","",IFERROR(INDEX(설비목록!$B$3:$B$202,MATCH($B406,설비목록!$A$3:$A$202,0)),"미등록설비"))</f>
        <v/>
      </c>
      <c r="D406" s="9"/>
      <c r="E406" s="9"/>
      <c r="F406" s="9"/>
      <c r="G406" s="9"/>
      <c r="H406" s="9"/>
    </row>
    <row r="407" customFormat="false" ht="15" hidden="false" customHeight="true" outlineLevel="0" collapsed="false">
      <c r="A407" s="12"/>
      <c r="B407" s="9"/>
      <c r="C407" s="15" t="str">
        <f aca="false">IF($B407="","",IFERROR(INDEX(설비목록!$B$3:$B$202,MATCH($B407,설비목록!$A$3:$A$202,0)),"미등록설비"))</f>
        <v/>
      </c>
      <c r="D407" s="9"/>
      <c r="E407" s="9"/>
      <c r="F407" s="9"/>
      <c r="G407" s="9"/>
      <c r="H407" s="9"/>
    </row>
    <row r="408" customFormat="false" ht="15" hidden="false" customHeight="true" outlineLevel="0" collapsed="false">
      <c r="A408" s="12"/>
      <c r="B408" s="9"/>
      <c r="C408" s="15" t="str">
        <f aca="false">IF($B408="","",IFERROR(INDEX(설비목록!$B$3:$B$202,MATCH($B408,설비목록!$A$3:$A$202,0)),"미등록설비"))</f>
        <v/>
      </c>
      <c r="D408" s="9"/>
      <c r="E408" s="9"/>
      <c r="F408" s="9"/>
      <c r="G408" s="9"/>
      <c r="H408" s="9"/>
    </row>
    <row r="409" customFormat="false" ht="15" hidden="false" customHeight="true" outlineLevel="0" collapsed="false">
      <c r="A409" s="12"/>
      <c r="B409" s="9"/>
      <c r="C409" s="15" t="str">
        <f aca="false">IF($B409="","",IFERROR(INDEX(설비목록!$B$3:$B$202,MATCH($B409,설비목록!$A$3:$A$202,0)),"미등록설비"))</f>
        <v/>
      </c>
      <c r="D409" s="9"/>
      <c r="E409" s="9"/>
      <c r="F409" s="9"/>
      <c r="G409" s="9"/>
      <c r="H409" s="9"/>
    </row>
    <row r="410" customFormat="false" ht="15" hidden="false" customHeight="true" outlineLevel="0" collapsed="false">
      <c r="A410" s="12"/>
      <c r="B410" s="9"/>
      <c r="C410" s="15" t="str">
        <f aca="false">IF($B410="","",IFERROR(INDEX(설비목록!$B$3:$B$202,MATCH($B410,설비목록!$A$3:$A$202,0)),"미등록설비"))</f>
        <v/>
      </c>
      <c r="D410" s="9"/>
      <c r="E410" s="9"/>
      <c r="F410" s="9"/>
      <c r="G410" s="9"/>
      <c r="H410" s="9"/>
    </row>
    <row r="411" customFormat="false" ht="15" hidden="false" customHeight="true" outlineLevel="0" collapsed="false">
      <c r="A411" s="12"/>
      <c r="B411" s="9"/>
      <c r="C411" s="15" t="str">
        <f aca="false">IF($B411="","",IFERROR(INDEX(설비목록!$B$3:$B$202,MATCH($B411,설비목록!$A$3:$A$202,0)),"미등록설비"))</f>
        <v/>
      </c>
      <c r="D411" s="9"/>
      <c r="E411" s="9"/>
      <c r="F411" s="9"/>
      <c r="G411" s="9"/>
      <c r="H411" s="9"/>
    </row>
    <row r="412" customFormat="false" ht="15" hidden="false" customHeight="true" outlineLevel="0" collapsed="false">
      <c r="A412" s="12"/>
      <c r="B412" s="9"/>
      <c r="C412" s="15" t="str">
        <f aca="false">IF($B412="","",IFERROR(INDEX(설비목록!$B$3:$B$202,MATCH($B412,설비목록!$A$3:$A$202,0)),"미등록설비"))</f>
        <v/>
      </c>
      <c r="D412" s="9"/>
      <c r="E412" s="9"/>
      <c r="F412" s="9"/>
      <c r="G412" s="9"/>
      <c r="H412" s="9"/>
    </row>
    <row r="413" customFormat="false" ht="15" hidden="false" customHeight="true" outlineLevel="0" collapsed="false">
      <c r="A413" s="12"/>
      <c r="B413" s="9"/>
      <c r="C413" s="15" t="str">
        <f aca="false">IF($B413="","",IFERROR(INDEX(설비목록!$B$3:$B$202,MATCH($B413,설비목록!$A$3:$A$202,0)),"미등록설비"))</f>
        <v/>
      </c>
      <c r="D413" s="9"/>
      <c r="E413" s="9"/>
      <c r="F413" s="9"/>
      <c r="G413" s="9"/>
      <c r="H413" s="9"/>
    </row>
    <row r="414" customFormat="false" ht="15" hidden="false" customHeight="true" outlineLevel="0" collapsed="false">
      <c r="A414" s="12"/>
      <c r="B414" s="9"/>
      <c r="C414" s="15" t="str">
        <f aca="false">IF($B414="","",IFERROR(INDEX(설비목록!$B$3:$B$202,MATCH($B414,설비목록!$A$3:$A$202,0)),"미등록설비"))</f>
        <v/>
      </c>
      <c r="D414" s="9"/>
      <c r="E414" s="9"/>
      <c r="F414" s="9"/>
      <c r="G414" s="9"/>
      <c r="H414" s="9"/>
    </row>
    <row r="415" customFormat="false" ht="15" hidden="false" customHeight="true" outlineLevel="0" collapsed="false">
      <c r="A415" s="12"/>
      <c r="B415" s="9"/>
      <c r="C415" s="15" t="str">
        <f aca="false">IF($B415="","",IFERROR(INDEX(설비목록!$B$3:$B$202,MATCH($B415,설비목록!$A$3:$A$202,0)),"미등록설비"))</f>
        <v/>
      </c>
      <c r="D415" s="9"/>
      <c r="E415" s="9"/>
      <c r="F415" s="9"/>
      <c r="G415" s="9"/>
      <c r="H415" s="9"/>
    </row>
    <row r="416" customFormat="false" ht="15" hidden="false" customHeight="true" outlineLevel="0" collapsed="false">
      <c r="A416" s="12"/>
      <c r="B416" s="9"/>
      <c r="C416" s="15" t="str">
        <f aca="false">IF($B416="","",IFERROR(INDEX(설비목록!$B$3:$B$202,MATCH($B416,설비목록!$A$3:$A$202,0)),"미등록설비"))</f>
        <v/>
      </c>
      <c r="D416" s="9"/>
      <c r="E416" s="9"/>
      <c r="F416" s="9"/>
      <c r="G416" s="9"/>
      <c r="H416" s="9"/>
    </row>
    <row r="417" customFormat="false" ht="15" hidden="false" customHeight="true" outlineLevel="0" collapsed="false">
      <c r="A417" s="12"/>
      <c r="B417" s="9"/>
      <c r="C417" s="15" t="str">
        <f aca="false">IF($B417="","",IFERROR(INDEX(설비목록!$B$3:$B$202,MATCH($B417,설비목록!$A$3:$A$202,0)),"미등록설비"))</f>
        <v/>
      </c>
      <c r="D417" s="9"/>
      <c r="E417" s="9"/>
      <c r="F417" s="9"/>
      <c r="G417" s="9"/>
      <c r="H417" s="9"/>
    </row>
    <row r="418" customFormat="false" ht="15" hidden="false" customHeight="true" outlineLevel="0" collapsed="false">
      <c r="A418" s="12"/>
      <c r="B418" s="9"/>
      <c r="C418" s="15" t="str">
        <f aca="false">IF($B418="","",IFERROR(INDEX(설비목록!$B$3:$B$202,MATCH($B418,설비목록!$A$3:$A$202,0)),"미등록설비"))</f>
        <v/>
      </c>
      <c r="D418" s="9"/>
      <c r="E418" s="9"/>
      <c r="F418" s="9"/>
      <c r="G418" s="9"/>
      <c r="H418" s="9"/>
    </row>
    <row r="419" customFormat="false" ht="15" hidden="false" customHeight="true" outlineLevel="0" collapsed="false">
      <c r="A419" s="12"/>
      <c r="B419" s="9"/>
      <c r="C419" s="15" t="str">
        <f aca="false">IF($B419="","",IFERROR(INDEX(설비목록!$B$3:$B$202,MATCH($B419,설비목록!$A$3:$A$202,0)),"미등록설비"))</f>
        <v/>
      </c>
      <c r="D419" s="9"/>
      <c r="E419" s="9"/>
      <c r="F419" s="9"/>
      <c r="G419" s="9"/>
      <c r="H419" s="9"/>
    </row>
    <row r="420" customFormat="false" ht="15" hidden="false" customHeight="true" outlineLevel="0" collapsed="false">
      <c r="A420" s="12"/>
      <c r="B420" s="9"/>
      <c r="C420" s="15" t="str">
        <f aca="false">IF($B420="","",IFERROR(INDEX(설비목록!$B$3:$B$202,MATCH($B420,설비목록!$A$3:$A$202,0)),"미등록설비"))</f>
        <v/>
      </c>
      <c r="D420" s="9"/>
      <c r="E420" s="9"/>
      <c r="F420" s="9"/>
      <c r="G420" s="9"/>
      <c r="H420" s="9"/>
    </row>
    <row r="421" customFormat="false" ht="15" hidden="false" customHeight="true" outlineLevel="0" collapsed="false">
      <c r="A421" s="12"/>
      <c r="B421" s="9"/>
      <c r="C421" s="15" t="str">
        <f aca="false">IF($B421="","",IFERROR(INDEX(설비목록!$B$3:$B$202,MATCH($B421,설비목록!$A$3:$A$202,0)),"미등록설비"))</f>
        <v/>
      </c>
      <c r="D421" s="9"/>
      <c r="E421" s="9"/>
      <c r="F421" s="9"/>
      <c r="G421" s="9"/>
      <c r="H421" s="9"/>
    </row>
    <row r="422" customFormat="false" ht="15" hidden="false" customHeight="true" outlineLevel="0" collapsed="false">
      <c r="A422" s="12"/>
      <c r="B422" s="9"/>
      <c r="C422" s="15" t="str">
        <f aca="false">IF($B422="","",IFERROR(INDEX(설비목록!$B$3:$B$202,MATCH($B422,설비목록!$A$3:$A$202,0)),"미등록설비"))</f>
        <v/>
      </c>
      <c r="D422" s="9"/>
      <c r="E422" s="9"/>
      <c r="F422" s="9"/>
      <c r="G422" s="9"/>
      <c r="H422" s="9"/>
    </row>
    <row r="423" customFormat="false" ht="15" hidden="false" customHeight="true" outlineLevel="0" collapsed="false">
      <c r="A423" s="12"/>
      <c r="B423" s="9"/>
      <c r="C423" s="15" t="str">
        <f aca="false">IF($B423="","",IFERROR(INDEX(설비목록!$B$3:$B$202,MATCH($B423,설비목록!$A$3:$A$202,0)),"미등록설비"))</f>
        <v/>
      </c>
      <c r="D423" s="9"/>
      <c r="E423" s="9"/>
      <c r="F423" s="9"/>
      <c r="G423" s="9"/>
      <c r="H423" s="9"/>
    </row>
    <row r="424" customFormat="false" ht="15" hidden="false" customHeight="true" outlineLevel="0" collapsed="false">
      <c r="A424" s="12"/>
      <c r="B424" s="9"/>
      <c r="C424" s="15" t="str">
        <f aca="false">IF($B424="","",IFERROR(INDEX(설비목록!$B$3:$B$202,MATCH($B424,설비목록!$A$3:$A$202,0)),"미등록설비"))</f>
        <v/>
      </c>
      <c r="D424" s="9"/>
      <c r="E424" s="9"/>
      <c r="F424" s="9"/>
      <c r="G424" s="9"/>
      <c r="H424" s="9"/>
    </row>
    <row r="425" customFormat="false" ht="15" hidden="false" customHeight="true" outlineLevel="0" collapsed="false">
      <c r="A425" s="12"/>
      <c r="B425" s="9"/>
      <c r="C425" s="15" t="str">
        <f aca="false">IF($B425="","",IFERROR(INDEX(설비목록!$B$3:$B$202,MATCH($B425,설비목록!$A$3:$A$202,0)),"미등록설비"))</f>
        <v/>
      </c>
      <c r="D425" s="9"/>
      <c r="E425" s="9"/>
      <c r="F425" s="9"/>
      <c r="G425" s="9"/>
      <c r="H425" s="9"/>
    </row>
    <row r="426" customFormat="false" ht="15" hidden="false" customHeight="true" outlineLevel="0" collapsed="false">
      <c r="A426" s="12"/>
      <c r="B426" s="9"/>
      <c r="C426" s="15" t="str">
        <f aca="false">IF($B426="","",IFERROR(INDEX(설비목록!$B$3:$B$202,MATCH($B426,설비목록!$A$3:$A$202,0)),"미등록설비"))</f>
        <v/>
      </c>
      <c r="D426" s="9"/>
      <c r="E426" s="9"/>
      <c r="F426" s="9"/>
      <c r="G426" s="9"/>
      <c r="H426" s="9"/>
    </row>
    <row r="427" customFormat="false" ht="15" hidden="false" customHeight="true" outlineLevel="0" collapsed="false">
      <c r="A427" s="12"/>
      <c r="B427" s="9"/>
      <c r="C427" s="15" t="str">
        <f aca="false">IF($B427="","",IFERROR(INDEX(설비목록!$B$3:$B$202,MATCH($B427,설비목록!$A$3:$A$202,0)),"미등록설비"))</f>
        <v/>
      </c>
      <c r="D427" s="9"/>
      <c r="E427" s="9"/>
      <c r="F427" s="9"/>
      <c r="G427" s="9"/>
      <c r="H427" s="9"/>
    </row>
    <row r="428" customFormat="false" ht="15" hidden="false" customHeight="true" outlineLevel="0" collapsed="false">
      <c r="A428" s="12"/>
      <c r="B428" s="9"/>
      <c r="C428" s="15" t="str">
        <f aca="false">IF($B428="","",IFERROR(INDEX(설비목록!$B$3:$B$202,MATCH($B428,설비목록!$A$3:$A$202,0)),"미등록설비"))</f>
        <v/>
      </c>
      <c r="D428" s="9"/>
      <c r="E428" s="9"/>
      <c r="F428" s="9"/>
      <c r="G428" s="9"/>
      <c r="H428" s="9"/>
    </row>
    <row r="429" customFormat="false" ht="15" hidden="false" customHeight="true" outlineLevel="0" collapsed="false">
      <c r="A429" s="12"/>
      <c r="B429" s="9"/>
      <c r="C429" s="15" t="str">
        <f aca="false">IF($B429="","",IFERROR(INDEX(설비목록!$B$3:$B$202,MATCH($B429,설비목록!$A$3:$A$202,0)),"미등록설비"))</f>
        <v/>
      </c>
      <c r="D429" s="9"/>
      <c r="E429" s="9"/>
      <c r="F429" s="9"/>
      <c r="G429" s="9"/>
      <c r="H429" s="9"/>
    </row>
    <row r="430" customFormat="false" ht="15" hidden="false" customHeight="true" outlineLevel="0" collapsed="false">
      <c r="A430" s="12"/>
      <c r="B430" s="9"/>
      <c r="C430" s="15" t="str">
        <f aca="false">IF($B430="","",IFERROR(INDEX(설비목록!$B$3:$B$202,MATCH($B430,설비목록!$A$3:$A$202,0)),"미등록설비"))</f>
        <v/>
      </c>
      <c r="D430" s="9"/>
      <c r="E430" s="9"/>
      <c r="F430" s="9"/>
      <c r="G430" s="9"/>
      <c r="H430" s="9"/>
    </row>
    <row r="431" customFormat="false" ht="15" hidden="false" customHeight="true" outlineLevel="0" collapsed="false">
      <c r="A431" s="12"/>
      <c r="B431" s="9"/>
      <c r="C431" s="15" t="str">
        <f aca="false">IF($B431="","",IFERROR(INDEX(설비목록!$B$3:$B$202,MATCH($B431,설비목록!$A$3:$A$202,0)),"미등록설비"))</f>
        <v/>
      </c>
      <c r="D431" s="9"/>
      <c r="E431" s="9"/>
      <c r="F431" s="9"/>
      <c r="G431" s="9"/>
      <c r="H431" s="9"/>
    </row>
    <row r="432" customFormat="false" ht="15" hidden="false" customHeight="true" outlineLevel="0" collapsed="false">
      <c r="A432" s="12"/>
      <c r="B432" s="9"/>
      <c r="C432" s="15" t="str">
        <f aca="false">IF($B432="","",IFERROR(INDEX(설비목록!$B$3:$B$202,MATCH($B432,설비목록!$A$3:$A$202,0)),"미등록설비"))</f>
        <v/>
      </c>
      <c r="D432" s="9"/>
      <c r="E432" s="9"/>
      <c r="F432" s="9"/>
      <c r="G432" s="9"/>
      <c r="H432" s="9"/>
    </row>
    <row r="433" customFormat="false" ht="15" hidden="false" customHeight="true" outlineLevel="0" collapsed="false">
      <c r="A433" s="12"/>
      <c r="B433" s="9"/>
      <c r="C433" s="15" t="str">
        <f aca="false">IF($B433="","",IFERROR(INDEX(설비목록!$B$3:$B$202,MATCH($B433,설비목록!$A$3:$A$202,0)),"미등록설비"))</f>
        <v/>
      </c>
      <c r="D433" s="9"/>
      <c r="E433" s="9"/>
      <c r="F433" s="9"/>
      <c r="G433" s="9"/>
      <c r="H433" s="9"/>
    </row>
    <row r="434" customFormat="false" ht="15" hidden="false" customHeight="true" outlineLevel="0" collapsed="false">
      <c r="A434" s="12"/>
      <c r="B434" s="9"/>
      <c r="C434" s="15" t="str">
        <f aca="false">IF($B434="","",IFERROR(INDEX(설비목록!$B$3:$B$202,MATCH($B434,설비목록!$A$3:$A$202,0)),"미등록설비"))</f>
        <v/>
      </c>
      <c r="D434" s="9"/>
      <c r="E434" s="9"/>
      <c r="F434" s="9"/>
      <c r="G434" s="9"/>
      <c r="H434" s="9"/>
    </row>
    <row r="435" customFormat="false" ht="15" hidden="false" customHeight="true" outlineLevel="0" collapsed="false">
      <c r="A435" s="12"/>
      <c r="B435" s="9"/>
      <c r="C435" s="15" t="str">
        <f aca="false">IF($B435="","",IFERROR(INDEX(설비목록!$B$3:$B$202,MATCH($B435,설비목록!$A$3:$A$202,0)),"미등록설비"))</f>
        <v/>
      </c>
      <c r="D435" s="9"/>
      <c r="E435" s="9"/>
      <c r="F435" s="9"/>
      <c r="G435" s="9"/>
      <c r="H435" s="9"/>
    </row>
    <row r="436" customFormat="false" ht="15" hidden="false" customHeight="true" outlineLevel="0" collapsed="false">
      <c r="A436" s="12"/>
      <c r="B436" s="9"/>
      <c r="C436" s="15" t="str">
        <f aca="false">IF($B436="","",IFERROR(INDEX(설비목록!$B$3:$B$202,MATCH($B436,설비목록!$A$3:$A$202,0)),"미등록설비"))</f>
        <v/>
      </c>
      <c r="D436" s="9"/>
      <c r="E436" s="9"/>
      <c r="F436" s="9"/>
      <c r="G436" s="9"/>
      <c r="H436" s="9"/>
    </row>
    <row r="437" customFormat="false" ht="15" hidden="false" customHeight="true" outlineLevel="0" collapsed="false">
      <c r="A437" s="12"/>
      <c r="B437" s="9"/>
      <c r="C437" s="15" t="str">
        <f aca="false">IF($B437="","",IFERROR(INDEX(설비목록!$B$3:$B$202,MATCH($B437,설비목록!$A$3:$A$202,0)),"미등록설비"))</f>
        <v/>
      </c>
      <c r="D437" s="9"/>
      <c r="E437" s="9"/>
      <c r="F437" s="9"/>
      <c r="G437" s="9"/>
      <c r="H437" s="9"/>
    </row>
    <row r="438" customFormat="false" ht="15" hidden="false" customHeight="true" outlineLevel="0" collapsed="false">
      <c r="A438" s="12"/>
      <c r="B438" s="9"/>
      <c r="C438" s="15" t="str">
        <f aca="false">IF($B438="","",IFERROR(INDEX(설비목록!$B$3:$B$202,MATCH($B438,설비목록!$A$3:$A$202,0)),"미등록설비"))</f>
        <v/>
      </c>
      <c r="D438" s="9"/>
      <c r="E438" s="9"/>
      <c r="F438" s="9"/>
      <c r="G438" s="9"/>
      <c r="H438" s="9"/>
    </row>
    <row r="439" customFormat="false" ht="15" hidden="false" customHeight="true" outlineLevel="0" collapsed="false">
      <c r="A439" s="12"/>
      <c r="B439" s="9"/>
      <c r="C439" s="15" t="str">
        <f aca="false">IF($B439="","",IFERROR(INDEX(설비목록!$B$3:$B$202,MATCH($B439,설비목록!$A$3:$A$202,0)),"미등록설비"))</f>
        <v/>
      </c>
      <c r="D439" s="9"/>
      <c r="E439" s="9"/>
      <c r="F439" s="9"/>
      <c r="G439" s="9"/>
      <c r="H439" s="9"/>
    </row>
    <row r="440" customFormat="false" ht="15" hidden="false" customHeight="true" outlineLevel="0" collapsed="false">
      <c r="A440" s="12"/>
      <c r="B440" s="9"/>
      <c r="C440" s="15" t="str">
        <f aca="false">IF($B440="","",IFERROR(INDEX(설비목록!$B$3:$B$202,MATCH($B440,설비목록!$A$3:$A$202,0)),"미등록설비"))</f>
        <v/>
      </c>
      <c r="D440" s="9"/>
      <c r="E440" s="9"/>
      <c r="F440" s="9"/>
      <c r="G440" s="9"/>
      <c r="H440" s="9"/>
    </row>
    <row r="441" customFormat="false" ht="15" hidden="false" customHeight="true" outlineLevel="0" collapsed="false">
      <c r="A441" s="12"/>
      <c r="B441" s="9"/>
      <c r="C441" s="15" t="str">
        <f aca="false">IF($B441="","",IFERROR(INDEX(설비목록!$B$3:$B$202,MATCH($B441,설비목록!$A$3:$A$202,0)),"미등록설비"))</f>
        <v/>
      </c>
      <c r="D441" s="9"/>
      <c r="E441" s="9"/>
      <c r="F441" s="9"/>
      <c r="G441" s="9"/>
      <c r="H441" s="9"/>
    </row>
    <row r="442" customFormat="false" ht="15" hidden="false" customHeight="true" outlineLevel="0" collapsed="false">
      <c r="A442" s="12"/>
      <c r="B442" s="9"/>
      <c r="C442" s="15" t="str">
        <f aca="false">IF($B442="","",IFERROR(INDEX(설비목록!$B$3:$B$202,MATCH($B442,설비목록!$A$3:$A$202,0)),"미등록설비"))</f>
        <v/>
      </c>
      <c r="D442" s="9"/>
      <c r="E442" s="9"/>
      <c r="F442" s="9"/>
      <c r="G442" s="9"/>
      <c r="H442" s="9"/>
    </row>
    <row r="443" customFormat="false" ht="15" hidden="false" customHeight="true" outlineLevel="0" collapsed="false">
      <c r="A443" s="12"/>
      <c r="B443" s="9"/>
      <c r="C443" s="15" t="str">
        <f aca="false">IF($B443="","",IFERROR(INDEX(설비목록!$B$3:$B$202,MATCH($B443,설비목록!$A$3:$A$202,0)),"미등록설비"))</f>
        <v/>
      </c>
      <c r="D443" s="9"/>
      <c r="E443" s="9"/>
      <c r="F443" s="9"/>
      <c r="G443" s="9"/>
      <c r="H443" s="9"/>
    </row>
    <row r="444" customFormat="false" ht="15" hidden="false" customHeight="true" outlineLevel="0" collapsed="false">
      <c r="A444" s="12"/>
      <c r="B444" s="9"/>
      <c r="C444" s="15" t="str">
        <f aca="false">IF($B444="","",IFERROR(INDEX(설비목록!$B$3:$B$202,MATCH($B444,설비목록!$A$3:$A$202,0)),"미등록설비"))</f>
        <v/>
      </c>
      <c r="D444" s="9"/>
      <c r="E444" s="9"/>
      <c r="F444" s="9"/>
      <c r="G444" s="9"/>
      <c r="H444" s="9"/>
    </row>
    <row r="445" customFormat="false" ht="15" hidden="false" customHeight="true" outlineLevel="0" collapsed="false">
      <c r="A445" s="12"/>
      <c r="B445" s="9"/>
      <c r="C445" s="15" t="str">
        <f aca="false">IF($B445="","",IFERROR(INDEX(설비목록!$B$3:$B$202,MATCH($B445,설비목록!$A$3:$A$202,0)),"미등록설비"))</f>
        <v/>
      </c>
      <c r="D445" s="9"/>
      <c r="E445" s="9"/>
      <c r="F445" s="9"/>
      <c r="G445" s="9"/>
      <c r="H445" s="9"/>
    </row>
    <row r="446" customFormat="false" ht="15" hidden="false" customHeight="true" outlineLevel="0" collapsed="false">
      <c r="A446" s="12"/>
      <c r="B446" s="9"/>
      <c r="C446" s="15" t="str">
        <f aca="false">IF($B446="","",IFERROR(INDEX(설비목록!$B$3:$B$202,MATCH($B446,설비목록!$A$3:$A$202,0)),"미등록설비"))</f>
        <v/>
      </c>
      <c r="D446" s="9"/>
      <c r="E446" s="9"/>
      <c r="F446" s="9"/>
      <c r="G446" s="9"/>
      <c r="H446" s="9"/>
    </row>
    <row r="447" customFormat="false" ht="15" hidden="false" customHeight="true" outlineLevel="0" collapsed="false">
      <c r="A447" s="12"/>
      <c r="B447" s="9"/>
      <c r="C447" s="15" t="str">
        <f aca="false">IF($B447="","",IFERROR(INDEX(설비목록!$B$3:$B$202,MATCH($B447,설비목록!$A$3:$A$202,0)),"미등록설비"))</f>
        <v/>
      </c>
      <c r="D447" s="9"/>
      <c r="E447" s="9"/>
      <c r="F447" s="9"/>
      <c r="G447" s="9"/>
      <c r="H447" s="9"/>
    </row>
    <row r="448" customFormat="false" ht="15" hidden="false" customHeight="true" outlineLevel="0" collapsed="false">
      <c r="A448" s="12"/>
      <c r="B448" s="9"/>
      <c r="C448" s="15" t="str">
        <f aca="false">IF($B448="","",IFERROR(INDEX(설비목록!$B$3:$B$202,MATCH($B448,설비목록!$A$3:$A$202,0)),"미등록설비"))</f>
        <v/>
      </c>
      <c r="D448" s="9"/>
      <c r="E448" s="9"/>
      <c r="F448" s="9"/>
      <c r="G448" s="9"/>
      <c r="H448" s="9"/>
    </row>
    <row r="449" customFormat="false" ht="15" hidden="false" customHeight="true" outlineLevel="0" collapsed="false">
      <c r="A449" s="12"/>
      <c r="B449" s="9"/>
      <c r="C449" s="15" t="str">
        <f aca="false">IF($B449="","",IFERROR(INDEX(설비목록!$B$3:$B$202,MATCH($B449,설비목록!$A$3:$A$202,0)),"미등록설비"))</f>
        <v/>
      </c>
      <c r="D449" s="9"/>
      <c r="E449" s="9"/>
      <c r="F449" s="9"/>
      <c r="G449" s="9"/>
      <c r="H449" s="9"/>
    </row>
    <row r="450" customFormat="false" ht="15" hidden="false" customHeight="true" outlineLevel="0" collapsed="false">
      <c r="A450" s="12"/>
      <c r="B450" s="9"/>
      <c r="C450" s="15" t="str">
        <f aca="false">IF($B450="","",IFERROR(INDEX(설비목록!$B$3:$B$202,MATCH($B450,설비목록!$A$3:$A$202,0)),"미등록설비"))</f>
        <v/>
      </c>
      <c r="D450" s="9"/>
      <c r="E450" s="9"/>
      <c r="F450" s="9"/>
      <c r="G450" s="9"/>
      <c r="H450" s="9"/>
    </row>
    <row r="451" customFormat="false" ht="15" hidden="false" customHeight="true" outlineLevel="0" collapsed="false">
      <c r="A451" s="12"/>
      <c r="B451" s="9"/>
      <c r="C451" s="15" t="str">
        <f aca="false">IF($B451="","",IFERROR(INDEX(설비목록!$B$3:$B$202,MATCH($B451,설비목록!$A$3:$A$202,0)),"미등록설비"))</f>
        <v/>
      </c>
      <c r="D451" s="9"/>
      <c r="E451" s="9"/>
      <c r="F451" s="9"/>
      <c r="G451" s="9"/>
      <c r="H451" s="9"/>
    </row>
    <row r="452" customFormat="false" ht="15" hidden="false" customHeight="true" outlineLevel="0" collapsed="false">
      <c r="A452" s="12"/>
      <c r="B452" s="9"/>
      <c r="C452" s="15" t="str">
        <f aca="false">IF($B452="","",IFERROR(INDEX(설비목록!$B$3:$B$202,MATCH($B452,설비목록!$A$3:$A$202,0)),"미등록설비"))</f>
        <v/>
      </c>
      <c r="D452" s="9"/>
      <c r="E452" s="9"/>
      <c r="F452" s="9"/>
      <c r="G452" s="9"/>
      <c r="H452" s="9"/>
    </row>
    <row r="453" customFormat="false" ht="15" hidden="false" customHeight="true" outlineLevel="0" collapsed="false">
      <c r="A453" s="12"/>
      <c r="B453" s="9"/>
      <c r="C453" s="15" t="str">
        <f aca="false">IF($B453="","",IFERROR(INDEX(설비목록!$B$3:$B$202,MATCH($B453,설비목록!$A$3:$A$202,0)),"미등록설비"))</f>
        <v/>
      </c>
      <c r="D453" s="9"/>
      <c r="E453" s="9"/>
      <c r="F453" s="9"/>
      <c r="G453" s="9"/>
      <c r="H453" s="9"/>
    </row>
    <row r="454" customFormat="false" ht="15" hidden="false" customHeight="true" outlineLevel="0" collapsed="false">
      <c r="A454" s="12"/>
      <c r="B454" s="9"/>
      <c r="C454" s="15" t="str">
        <f aca="false">IF($B454="","",IFERROR(INDEX(설비목록!$B$3:$B$202,MATCH($B454,설비목록!$A$3:$A$202,0)),"미등록설비"))</f>
        <v/>
      </c>
      <c r="D454" s="9"/>
      <c r="E454" s="9"/>
      <c r="F454" s="9"/>
      <c r="G454" s="9"/>
      <c r="H454" s="9"/>
    </row>
    <row r="455" customFormat="false" ht="15" hidden="false" customHeight="true" outlineLevel="0" collapsed="false">
      <c r="A455" s="12"/>
      <c r="B455" s="9"/>
      <c r="C455" s="15" t="str">
        <f aca="false">IF($B455="","",IFERROR(INDEX(설비목록!$B$3:$B$202,MATCH($B455,설비목록!$A$3:$A$202,0)),"미등록설비"))</f>
        <v/>
      </c>
      <c r="D455" s="9"/>
      <c r="E455" s="9"/>
      <c r="F455" s="9"/>
      <c r="G455" s="9"/>
      <c r="H455" s="9"/>
    </row>
    <row r="456" customFormat="false" ht="15" hidden="false" customHeight="true" outlineLevel="0" collapsed="false">
      <c r="A456" s="12"/>
      <c r="B456" s="9"/>
      <c r="C456" s="15" t="str">
        <f aca="false">IF($B456="","",IFERROR(INDEX(설비목록!$B$3:$B$202,MATCH($B456,설비목록!$A$3:$A$202,0)),"미등록설비"))</f>
        <v/>
      </c>
      <c r="D456" s="9"/>
      <c r="E456" s="9"/>
      <c r="F456" s="9"/>
      <c r="G456" s="9"/>
      <c r="H456" s="9"/>
    </row>
    <row r="457" customFormat="false" ht="15" hidden="false" customHeight="true" outlineLevel="0" collapsed="false">
      <c r="A457" s="12"/>
      <c r="B457" s="9"/>
      <c r="C457" s="15" t="str">
        <f aca="false">IF($B457="","",IFERROR(INDEX(설비목록!$B$3:$B$202,MATCH($B457,설비목록!$A$3:$A$202,0)),"미등록설비"))</f>
        <v/>
      </c>
      <c r="D457" s="9"/>
      <c r="E457" s="9"/>
      <c r="F457" s="9"/>
      <c r="G457" s="9"/>
      <c r="H457" s="9"/>
    </row>
    <row r="458" customFormat="false" ht="15" hidden="false" customHeight="true" outlineLevel="0" collapsed="false">
      <c r="A458" s="12"/>
      <c r="B458" s="9"/>
      <c r="C458" s="15" t="str">
        <f aca="false">IF($B458="","",IFERROR(INDEX(설비목록!$B$3:$B$202,MATCH($B458,설비목록!$A$3:$A$202,0)),"미등록설비"))</f>
        <v/>
      </c>
      <c r="D458" s="9"/>
      <c r="E458" s="9"/>
      <c r="F458" s="9"/>
      <c r="G458" s="9"/>
      <c r="H458" s="9"/>
    </row>
    <row r="459" customFormat="false" ht="15" hidden="false" customHeight="true" outlineLevel="0" collapsed="false">
      <c r="A459" s="12"/>
      <c r="B459" s="9"/>
      <c r="C459" s="15" t="str">
        <f aca="false">IF($B459="","",IFERROR(INDEX(설비목록!$B$3:$B$202,MATCH($B459,설비목록!$A$3:$A$202,0)),"미등록설비"))</f>
        <v/>
      </c>
      <c r="D459" s="9"/>
      <c r="E459" s="9"/>
      <c r="F459" s="9"/>
      <c r="G459" s="9"/>
      <c r="H459" s="9"/>
    </row>
    <row r="460" customFormat="false" ht="15" hidden="false" customHeight="true" outlineLevel="0" collapsed="false">
      <c r="A460" s="12"/>
      <c r="B460" s="9"/>
      <c r="C460" s="15" t="str">
        <f aca="false">IF($B460="","",IFERROR(INDEX(설비목록!$B$3:$B$202,MATCH($B460,설비목록!$A$3:$A$202,0)),"미등록설비"))</f>
        <v/>
      </c>
      <c r="D460" s="9"/>
      <c r="E460" s="9"/>
      <c r="F460" s="9"/>
      <c r="G460" s="9"/>
      <c r="H460" s="9"/>
    </row>
    <row r="461" customFormat="false" ht="15" hidden="false" customHeight="true" outlineLevel="0" collapsed="false">
      <c r="A461" s="12"/>
      <c r="B461" s="9"/>
      <c r="C461" s="15" t="str">
        <f aca="false">IF($B461="","",IFERROR(INDEX(설비목록!$B$3:$B$202,MATCH($B461,설비목록!$A$3:$A$202,0)),"미등록설비"))</f>
        <v/>
      </c>
      <c r="D461" s="9"/>
      <c r="E461" s="9"/>
      <c r="F461" s="9"/>
      <c r="G461" s="9"/>
      <c r="H461" s="9"/>
    </row>
    <row r="462" customFormat="false" ht="15" hidden="false" customHeight="true" outlineLevel="0" collapsed="false">
      <c r="A462" s="12"/>
      <c r="B462" s="9"/>
      <c r="C462" s="15" t="str">
        <f aca="false">IF($B462="","",IFERROR(INDEX(설비목록!$B$3:$B$202,MATCH($B462,설비목록!$A$3:$A$202,0)),"미등록설비"))</f>
        <v/>
      </c>
      <c r="D462" s="9"/>
      <c r="E462" s="9"/>
      <c r="F462" s="9"/>
      <c r="G462" s="9"/>
      <c r="H462" s="9"/>
    </row>
    <row r="463" customFormat="false" ht="15" hidden="false" customHeight="true" outlineLevel="0" collapsed="false">
      <c r="A463" s="12"/>
      <c r="B463" s="9"/>
      <c r="C463" s="15" t="str">
        <f aca="false">IF($B463="","",IFERROR(INDEX(설비목록!$B$3:$B$202,MATCH($B463,설비목록!$A$3:$A$202,0)),"미등록설비"))</f>
        <v/>
      </c>
      <c r="D463" s="9"/>
      <c r="E463" s="9"/>
      <c r="F463" s="9"/>
      <c r="G463" s="9"/>
      <c r="H463" s="9"/>
    </row>
    <row r="464" customFormat="false" ht="15" hidden="false" customHeight="true" outlineLevel="0" collapsed="false">
      <c r="A464" s="12"/>
      <c r="B464" s="9"/>
      <c r="C464" s="15" t="str">
        <f aca="false">IF($B464="","",IFERROR(INDEX(설비목록!$B$3:$B$202,MATCH($B464,설비목록!$A$3:$A$202,0)),"미등록설비"))</f>
        <v/>
      </c>
      <c r="D464" s="9"/>
      <c r="E464" s="9"/>
      <c r="F464" s="9"/>
      <c r="G464" s="9"/>
      <c r="H464" s="9"/>
    </row>
    <row r="465" customFormat="false" ht="15" hidden="false" customHeight="true" outlineLevel="0" collapsed="false">
      <c r="A465" s="12"/>
      <c r="B465" s="9"/>
      <c r="C465" s="15" t="str">
        <f aca="false">IF($B465="","",IFERROR(INDEX(설비목록!$B$3:$B$202,MATCH($B465,설비목록!$A$3:$A$202,0)),"미등록설비"))</f>
        <v/>
      </c>
      <c r="D465" s="9"/>
      <c r="E465" s="9"/>
      <c r="F465" s="9"/>
      <c r="G465" s="9"/>
      <c r="H465" s="9"/>
    </row>
    <row r="466" customFormat="false" ht="15" hidden="false" customHeight="true" outlineLevel="0" collapsed="false">
      <c r="A466" s="12"/>
      <c r="B466" s="9"/>
      <c r="C466" s="15" t="str">
        <f aca="false">IF($B466="","",IFERROR(INDEX(설비목록!$B$3:$B$202,MATCH($B466,설비목록!$A$3:$A$202,0)),"미등록설비"))</f>
        <v/>
      </c>
      <c r="D466" s="9"/>
      <c r="E466" s="9"/>
      <c r="F466" s="9"/>
      <c r="G466" s="9"/>
      <c r="H466" s="9"/>
    </row>
    <row r="467" customFormat="false" ht="15" hidden="false" customHeight="true" outlineLevel="0" collapsed="false">
      <c r="A467" s="12"/>
      <c r="B467" s="9"/>
      <c r="C467" s="15" t="str">
        <f aca="false">IF($B467="","",IFERROR(INDEX(설비목록!$B$3:$B$202,MATCH($B467,설비목록!$A$3:$A$202,0)),"미등록설비"))</f>
        <v/>
      </c>
      <c r="D467" s="9"/>
      <c r="E467" s="9"/>
      <c r="F467" s="9"/>
      <c r="G467" s="9"/>
      <c r="H467" s="9"/>
    </row>
    <row r="468" customFormat="false" ht="15" hidden="false" customHeight="true" outlineLevel="0" collapsed="false">
      <c r="A468" s="12"/>
      <c r="B468" s="9"/>
      <c r="C468" s="15" t="str">
        <f aca="false">IF($B468="","",IFERROR(INDEX(설비목록!$B$3:$B$202,MATCH($B468,설비목록!$A$3:$A$202,0)),"미등록설비"))</f>
        <v/>
      </c>
      <c r="D468" s="9"/>
      <c r="E468" s="9"/>
      <c r="F468" s="9"/>
      <c r="G468" s="9"/>
      <c r="H468" s="9"/>
    </row>
    <row r="469" customFormat="false" ht="15" hidden="false" customHeight="true" outlineLevel="0" collapsed="false">
      <c r="A469" s="12"/>
      <c r="B469" s="9"/>
      <c r="C469" s="15" t="str">
        <f aca="false">IF($B469="","",IFERROR(INDEX(설비목록!$B$3:$B$202,MATCH($B469,설비목록!$A$3:$A$202,0)),"미등록설비"))</f>
        <v/>
      </c>
      <c r="D469" s="9"/>
      <c r="E469" s="9"/>
      <c r="F469" s="9"/>
      <c r="G469" s="9"/>
      <c r="H469" s="9"/>
    </row>
    <row r="470" customFormat="false" ht="15" hidden="false" customHeight="true" outlineLevel="0" collapsed="false">
      <c r="A470" s="12"/>
      <c r="B470" s="9"/>
      <c r="C470" s="15" t="str">
        <f aca="false">IF($B470="","",IFERROR(INDEX(설비목록!$B$3:$B$202,MATCH($B470,설비목록!$A$3:$A$202,0)),"미등록설비"))</f>
        <v/>
      </c>
      <c r="D470" s="9"/>
      <c r="E470" s="9"/>
      <c r="F470" s="9"/>
      <c r="G470" s="9"/>
      <c r="H470" s="9"/>
    </row>
    <row r="471" customFormat="false" ht="15" hidden="false" customHeight="true" outlineLevel="0" collapsed="false">
      <c r="A471" s="12"/>
      <c r="B471" s="9"/>
      <c r="C471" s="15" t="str">
        <f aca="false">IF($B471="","",IFERROR(INDEX(설비목록!$B$3:$B$202,MATCH($B471,설비목록!$A$3:$A$202,0)),"미등록설비"))</f>
        <v/>
      </c>
      <c r="D471" s="9"/>
      <c r="E471" s="9"/>
      <c r="F471" s="9"/>
      <c r="G471" s="9"/>
      <c r="H471" s="9"/>
    </row>
    <row r="472" customFormat="false" ht="15" hidden="false" customHeight="true" outlineLevel="0" collapsed="false">
      <c r="A472" s="12"/>
      <c r="B472" s="9"/>
      <c r="C472" s="15" t="str">
        <f aca="false">IF($B472="","",IFERROR(INDEX(설비목록!$B$3:$B$202,MATCH($B472,설비목록!$A$3:$A$202,0)),"미등록설비"))</f>
        <v/>
      </c>
      <c r="D472" s="9"/>
      <c r="E472" s="9"/>
      <c r="F472" s="9"/>
      <c r="G472" s="9"/>
      <c r="H472" s="9"/>
    </row>
    <row r="473" customFormat="false" ht="15" hidden="false" customHeight="true" outlineLevel="0" collapsed="false">
      <c r="A473" s="12"/>
      <c r="B473" s="9"/>
      <c r="C473" s="15" t="str">
        <f aca="false">IF($B473="","",IFERROR(INDEX(설비목록!$B$3:$B$202,MATCH($B473,설비목록!$A$3:$A$202,0)),"미등록설비"))</f>
        <v/>
      </c>
      <c r="D473" s="9"/>
      <c r="E473" s="9"/>
      <c r="F473" s="9"/>
      <c r="G473" s="9"/>
      <c r="H473" s="9"/>
    </row>
    <row r="474" customFormat="false" ht="15" hidden="false" customHeight="true" outlineLevel="0" collapsed="false">
      <c r="A474" s="12"/>
      <c r="B474" s="9"/>
      <c r="C474" s="15" t="str">
        <f aca="false">IF($B474="","",IFERROR(INDEX(설비목록!$B$3:$B$202,MATCH($B474,설비목록!$A$3:$A$202,0)),"미등록설비"))</f>
        <v/>
      </c>
      <c r="D474" s="9"/>
      <c r="E474" s="9"/>
      <c r="F474" s="9"/>
      <c r="G474" s="9"/>
      <c r="H474" s="9"/>
    </row>
    <row r="475" customFormat="false" ht="15" hidden="false" customHeight="true" outlineLevel="0" collapsed="false">
      <c r="A475" s="12"/>
      <c r="B475" s="9"/>
      <c r="C475" s="15" t="str">
        <f aca="false">IF($B475="","",IFERROR(INDEX(설비목록!$B$3:$B$202,MATCH($B475,설비목록!$A$3:$A$202,0)),"미등록설비"))</f>
        <v/>
      </c>
      <c r="D475" s="9"/>
      <c r="E475" s="9"/>
      <c r="F475" s="9"/>
      <c r="G475" s="9"/>
      <c r="H475" s="9"/>
    </row>
    <row r="476" customFormat="false" ht="15" hidden="false" customHeight="true" outlineLevel="0" collapsed="false">
      <c r="A476" s="12"/>
      <c r="B476" s="9"/>
      <c r="C476" s="15" t="str">
        <f aca="false">IF($B476="","",IFERROR(INDEX(설비목록!$B$3:$B$202,MATCH($B476,설비목록!$A$3:$A$202,0)),"미등록설비"))</f>
        <v/>
      </c>
      <c r="D476" s="9"/>
      <c r="E476" s="9"/>
      <c r="F476" s="9"/>
      <c r="G476" s="9"/>
      <c r="H476" s="9"/>
    </row>
    <row r="477" customFormat="false" ht="15" hidden="false" customHeight="true" outlineLevel="0" collapsed="false">
      <c r="A477" s="12"/>
      <c r="B477" s="9"/>
      <c r="C477" s="15" t="str">
        <f aca="false">IF($B477="","",IFERROR(INDEX(설비목록!$B$3:$B$202,MATCH($B477,설비목록!$A$3:$A$202,0)),"미등록설비"))</f>
        <v/>
      </c>
      <c r="D477" s="9"/>
      <c r="E477" s="9"/>
      <c r="F477" s="9"/>
      <c r="G477" s="9"/>
      <c r="H477" s="9"/>
    </row>
    <row r="478" customFormat="false" ht="15" hidden="false" customHeight="true" outlineLevel="0" collapsed="false">
      <c r="A478" s="12"/>
      <c r="B478" s="9"/>
      <c r="C478" s="15" t="str">
        <f aca="false">IF($B478="","",IFERROR(INDEX(설비목록!$B$3:$B$202,MATCH($B478,설비목록!$A$3:$A$202,0)),"미등록설비"))</f>
        <v/>
      </c>
      <c r="D478" s="9"/>
      <c r="E478" s="9"/>
      <c r="F478" s="9"/>
      <c r="G478" s="9"/>
      <c r="H478" s="9"/>
    </row>
    <row r="479" customFormat="false" ht="15" hidden="false" customHeight="true" outlineLevel="0" collapsed="false">
      <c r="A479" s="12"/>
      <c r="B479" s="9"/>
      <c r="C479" s="15" t="str">
        <f aca="false">IF($B479="","",IFERROR(INDEX(설비목록!$B$3:$B$202,MATCH($B479,설비목록!$A$3:$A$202,0)),"미등록설비"))</f>
        <v/>
      </c>
      <c r="D479" s="9"/>
      <c r="E479" s="9"/>
      <c r="F479" s="9"/>
      <c r="G479" s="9"/>
      <c r="H479" s="9"/>
    </row>
    <row r="480" customFormat="false" ht="15" hidden="false" customHeight="true" outlineLevel="0" collapsed="false">
      <c r="A480" s="12"/>
      <c r="B480" s="9"/>
      <c r="C480" s="15" t="str">
        <f aca="false">IF($B480="","",IFERROR(INDEX(설비목록!$B$3:$B$202,MATCH($B480,설비목록!$A$3:$A$202,0)),"미등록설비"))</f>
        <v/>
      </c>
      <c r="D480" s="9"/>
      <c r="E480" s="9"/>
      <c r="F480" s="9"/>
      <c r="G480" s="9"/>
      <c r="H480" s="9"/>
    </row>
    <row r="481" customFormat="false" ht="15" hidden="false" customHeight="true" outlineLevel="0" collapsed="false">
      <c r="A481" s="12"/>
      <c r="B481" s="9"/>
      <c r="C481" s="15" t="str">
        <f aca="false">IF($B481="","",IFERROR(INDEX(설비목록!$B$3:$B$202,MATCH($B481,설비목록!$A$3:$A$202,0)),"미등록설비"))</f>
        <v/>
      </c>
      <c r="D481" s="9"/>
      <c r="E481" s="9"/>
      <c r="F481" s="9"/>
      <c r="G481" s="9"/>
      <c r="H481" s="9"/>
    </row>
    <row r="482" customFormat="false" ht="15" hidden="false" customHeight="true" outlineLevel="0" collapsed="false">
      <c r="A482" s="12"/>
      <c r="B482" s="9"/>
      <c r="C482" s="15" t="str">
        <f aca="false">IF($B482="","",IFERROR(INDEX(설비목록!$B$3:$B$202,MATCH($B482,설비목록!$A$3:$A$202,0)),"미등록설비"))</f>
        <v/>
      </c>
      <c r="D482" s="9"/>
      <c r="E482" s="9"/>
      <c r="F482" s="9"/>
      <c r="G482" s="9"/>
      <c r="H482" s="9"/>
    </row>
    <row r="483" customFormat="false" ht="15" hidden="false" customHeight="true" outlineLevel="0" collapsed="false">
      <c r="A483" s="12"/>
      <c r="B483" s="9"/>
      <c r="C483" s="15" t="str">
        <f aca="false">IF($B483="","",IFERROR(INDEX(설비목록!$B$3:$B$202,MATCH($B483,설비목록!$A$3:$A$202,0)),"미등록설비"))</f>
        <v/>
      </c>
      <c r="D483" s="9"/>
      <c r="E483" s="9"/>
      <c r="F483" s="9"/>
      <c r="G483" s="9"/>
      <c r="H483" s="9"/>
    </row>
    <row r="484" customFormat="false" ht="15" hidden="false" customHeight="true" outlineLevel="0" collapsed="false">
      <c r="A484" s="12"/>
      <c r="B484" s="9"/>
      <c r="C484" s="15" t="str">
        <f aca="false">IF($B484="","",IFERROR(INDEX(설비목록!$B$3:$B$202,MATCH($B484,설비목록!$A$3:$A$202,0)),"미등록설비"))</f>
        <v/>
      </c>
      <c r="D484" s="9"/>
      <c r="E484" s="9"/>
      <c r="F484" s="9"/>
      <c r="G484" s="9"/>
      <c r="H484" s="9"/>
    </row>
    <row r="485" customFormat="false" ht="15" hidden="false" customHeight="true" outlineLevel="0" collapsed="false">
      <c r="A485" s="12"/>
      <c r="B485" s="9"/>
      <c r="C485" s="15" t="str">
        <f aca="false">IF($B485="","",IFERROR(INDEX(설비목록!$B$3:$B$202,MATCH($B485,설비목록!$A$3:$A$202,0)),"미등록설비"))</f>
        <v/>
      </c>
      <c r="D485" s="9"/>
      <c r="E485" s="9"/>
      <c r="F485" s="9"/>
      <c r="G485" s="9"/>
      <c r="H485" s="9"/>
    </row>
    <row r="486" customFormat="false" ht="15" hidden="false" customHeight="true" outlineLevel="0" collapsed="false">
      <c r="A486" s="12"/>
      <c r="B486" s="9"/>
      <c r="C486" s="15" t="str">
        <f aca="false">IF($B486="","",IFERROR(INDEX(설비목록!$B$3:$B$202,MATCH($B486,설비목록!$A$3:$A$202,0)),"미등록설비"))</f>
        <v/>
      </c>
      <c r="D486" s="9"/>
      <c r="E486" s="9"/>
      <c r="F486" s="9"/>
      <c r="G486" s="9"/>
      <c r="H486" s="9"/>
    </row>
    <row r="487" customFormat="false" ht="15" hidden="false" customHeight="true" outlineLevel="0" collapsed="false">
      <c r="A487" s="12"/>
      <c r="B487" s="9"/>
      <c r="C487" s="15" t="str">
        <f aca="false">IF($B487="","",IFERROR(INDEX(설비목록!$B$3:$B$202,MATCH($B487,설비목록!$A$3:$A$202,0)),"미등록설비"))</f>
        <v/>
      </c>
      <c r="D487" s="9"/>
      <c r="E487" s="9"/>
      <c r="F487" s="9"/>
      <c r="G487" s="9"/>
      <c r="H487" s="9"/>
    </row>
    <row r="488" customFormat="false" ht="15" hidden="false" customHeight="true" outlineLevel="0" collapsed="false">
      <c r="A488" s="12"/>
      <c r="B488" s="9"/>
      <c r="C488" s="15" t="str">
        <f aca="false">IF($B488="","",IFERROR(INDEX(설비목록!$B$3:$B$202,MATCH($B488,설비목록!$A$3:$A$202,0)),"미등록설비"))</f>
        <v/>
      </c>
      <c r="D488" s="9"/>
      <c r="E488" s="9"/>
      <c r="F488" s="9"/>
      <c r="G488" s="9"/>
      <c r="H488" s="9"/>
    </row>
    <row r="489" customFormat="false" ht="15" hidden="false" customHeight="true" outlineLevel="0" collapsed="false">
      <c r="A489" s="12"/>
      <c r="B489" s="9"/>
      <c r="C489" s="15" t="str">
        <f aca="false">IF($B489="","",IFERROR(INDEX(설비목록!$B$3:$B$202,MATCH($B489,설비목록!$A$3:$A$202,0)),"미등록설비"))</f>
        <v/>
      </c>
      <c r="D489" s="9"/>
      <c r="E489" s="9"/>
      <c r="F489" s="9"/>
      <c r="G489" s="9"/>
      <c r="H489" s="9"/>
    </row>
    <row r="490" customFormat="false" ht="15" hidden="false" customHeight="true" outlineLevel="0" collapsed="false">
      <c r="A490" s="12"/>
      <c r="B490" s="9"/>
      <c r="C490" s="15" t="str">
        <f aca="false">IF($B490="","",IFERROR(INDEX(설비목록!$B$3:$B$202,MATCH($B490,설비목록!$A$3:$A$202,0)),"미등록설비"))</f>
        <v/>
      </c>
      <c r="D490" s="9"/>
      <c r="E490" s="9"/>
      <c r="F490" s="9"/>
      <c r="G490" s="9"/>
      <c r="H490" s="9"/>
    </row>
    <row r="491" customFormat="false" ht="15" hidden="false" customHeight="true" outlineLevel="0" collapsed="false">
      <c r="A491" s="12"/>
      <c r="B491" s="9"/>
      <c r="C491" s="15" t="str">
        <f aca="false">IF($B491="","",IFERROR(INDEX(설비목록!$B$3:$B$202,MATCH($B491,설비목록!$A$3:$A$202,0)),"미등록설비"))</f>
        <v/>
      </c>
      <c r="D491" s="9"/>
      <c r="E491" s="9"/>
      <c r="F491" s="9"/>
      <c r="G491" s="9"/>
      <c r="H491" s="9"/>
    </row>
    <row r="492" customFormat="false" ht="15" hidden="false" customHeight="true" outlineLevel="0" collapsed="false">
      <c r="A492" s="12"/>
      <c r="B492" s="9"/>
      <c r="C492" s="15" t="str">
        <f aca="false">IF($B492="","",IFERROR(INDEX(설비목록!$B$3:$B$202,MATCH($B492,설비목록!$A$3:$A$202,0)),"미등록설비"))</f>
        <v/>
      </c>
      <c r="D492" s="9"/>
      <c r="E492" s="9"/>
      <c r="F492" s="9"/>
      <c r="G492" s="9"/>
      <c r="H492" s="9"/>
    </row>
    <row r="493" customFormat="false" ht="15" hidden="false" customHeight="true" outlineLevel="0" collapsed="false">
      <c r="A493" s="12"/>
      <c r="B493" s="9"/>
      <c r="C493" s="15" t="str">
        <f aca="false">IF($B493="","",IFERROR(INDEX(설비목록!$B$3:$B$202,MATCH($B493,설비목록!$A$3:$A$202,0)),"미등록설비"))</f>
        <v/>
      </c>
      <c r="D493" s="9"/>
      <c r="E493" s="9"/>
      <c r="F493" s="9"/>
      <c r="G493" s="9"/>
      <c r="H493" s="9"/>
    </row>
    <row r="494" customFormat="false" ht="15" hidden="false" customHeight="true" outlineLevel="0" collapsed="false">
      <c r="A494" s="12"/>
      <c r="B494" s="9"/>
      <c r="C494" s="15" t="str">
        <f aca="false">IF($B494="","",IFERROR(INDEX(설비목록!$B$3:$B$202,MATCH($B494,설비목록!$A$3:$A$202,0)),"미등록설비"))</f>
        <v/>
      </c>
      <c r="D494" s="9"/>
      <c r="E494" s="9"/>
      <c r="F494" s="9"/>
      <c r="G494" s="9"/>
      <c r="H494" s="9"/>
    </row>
    <row r="495" customFormat="false" ht="15" hidden="false" customHeight="true" outlineLevel="0" collapsed="false">
      <c r="A495" s="12"/>
      <c r="B495" s="9"/>
      <c r="C495" s="15" t="str">
        <f aca="false">IF($B495="","",IFERROR(INDEX(설비목록!$B$3:$B$202,MATCH($B495,설비목록!$A$3:$A$202,0)),"미등록설비"))</f>
        <v/>
      </c>
      <c r="D495" s="9"/>
      <c r="E495" s="9"/>
      <c r="F495" s="9"/>
      <c r="G495" s="9"/>
      <c r="H495" s="9"/>
    </row>
    <row r="496" customFormat="false" ht="15" hidden="false" customHeight="true" outlineLevel="0" collapsed="false">
      <c r="A496" s="12"/>
      <c r="B496" s="9"/>
      <c r="C496" s="15" t="str">
        <f aca="false">IF($B496="","",IFERROR(INDEX(설비목록!$B$3:$B$202,MATCH($B496,설비목록!$A$3:$A$202,0)),"미등록설비"))</f>
        <v/>
      </c>
      <c r="D496" s="9"/>
      <c r="E496" s="9"/>
      <c r="F496" s="9"/>
      <c r="G496" s="9"/>
      <c r="H496" s="9"/>
    </row>
    <row r="497" customFormat="false" ht="15" hidden="false" customHeight="true" outlineLevel="0" collapsed="false">
      <c r="A497" s="12"/>
      <c r="B497" s="9"/>
      <c r="C497" s="15" t="str">
        <f aca="false">IF($B497="","",IFERROR(INDEX(설비목록!$B$3:$B$202,MATCH($B497,설비목록!$A$3:$A$202,0)),"미등록설비"))</f>
        <v/>
      </c>
      <c r="D497" s="9"/>
      <c r="E497" s="9"/>
      <c r="F497" s="9"/>
      <c r="G497" s="9"/>
      <c r="H497" s="9"/>
    </row>
    <row r="498" customFormat="false" ht="15" hidden="false" customHeight="true" outlineLevel="0" collapsed="false">
      <c r="A498" s="12"/>
      <c r="B498" s="9"/>
      <c r="C498" s="15" t="str">
        <f aca="false">IF($B498="","",IFERROR(INDEX(설비목록!$B$3:$B$202,MATCH($B498,설비목록!$A$3:$A$202,0)),"미등록설비"))</f>
        <v/>
      </c>
      <c r="D498" s="9"/>
      <c r="E498" s="9"/>
      <c r="F498" s="9"/>
      <c r="G498" s="9"/>
      <c r="H498" s="9"/>
    </row>
    <row r="499" customFormat="false" ht="15" hidden="false" customHeight="true" outlineLevel="0" collapsed="false">
      <c r="A499" s="12"/>
      <c r="B499" s="9"/>
      <c r="C499" s="15" t="str">
        <f aca="false">IF($B499="","",IFERROR(INDEX(설비목록!$B$3:$B$202,MATCH($B499,설비목록!$A$3:$A$202,0)),"미등록설비"))</f>
        <v/>
      </c>
      <c r="D499" s="9"/>
      <c r="E499" s="9"/>
      <c r="F499" s="9"/>
      <c r="G499" s="9"/>
      <c r="H499" s="9"/>
    </row>
    <row r="500" customFormat="false" ht="15" hidden="false" customHeight="true" outlineLevel="0" collapsed="false">
      <c r="A500" s="12"/>
      <c r="B500" s="9"/>
      <c r="C500" s="15" t="str">
        <f aca="false">IF($B500="","",IFERROR(INDEX(설비목록!$B$3:$B$202,MATCH($B500,설비목록!$A$3:$A$202,0)),"미등록설비"))</f>
        <v/>
      </c>
      <c r="D500" s="9"/>
      <c r="E500" s="9"/>
      <c r="F500" s="9"/>
      <c r="G500" s="9"/>
      <c r="H500" s="9"/>
    </row>
    <row r="501" customFormat="false" ht="15" hidden="false" customHeight="true" outlineLevel="0" collapsed="false">
      <c r="A501" s="12"/>
      <c r="B501" s="9"/>
      <c r="C501" s="15" t="str">
        <f aca="false">IF($B501="","",IFERROR(INDEX(설비목록!$B$3:$B$202,MATCH($B501,설비목록!$A$3:$A$202,0)),"미등록설비"))</f>
        <v/>
      </c>
      <c r="D501" s="9"/>
      <c r="E501" s="9"/>
      <c r="F501" s="9"/>
      <c r="G501" s="9"/>
      <c r="H501" s="9"/>
    </row>
    <row r="502" customFormat="false" ht="15" hidden="false" customHeight="true" outlineLevel="0" collapsed="false">
      <c r="A502" s="12"/>
      <c r="B502" s="9"/>
      <c r="C502" s="15" t="str">
        <f aca="false">IF($B502="","",IFERROR(INDEX(설비목록!$B$3:$B$202,MATCH($B502,설비목록!$A$3:$A$202,0)),"미등록설비"))</f>
        <v/>
      </c>
      <c r="D502" s="9"/>
      <c r="E502" s="9"/>
      <c r="F502" s="9"/>
      <c r="G502" s="9"/>
      <c r="H502" s="9"/>
    </row>
    <row r="503" customFormat="false" ht="15" hidden="false" customHeight="true" outlineLevel="0" collapsed="false">
      <c r="A503" s="12"/>
      <c r="B503" s="9"/>
      <c r="C503" s="15" t="str">
        <f aca="false">IF($B503="","",IFERROR(INDEX(설비목록!$B$3:$B$202,MATCH($B503,설비목록!$A$3:$A$202,0)),"미등록설비"))</f>
        <v/>
      </c>
      <c r="D503" s="9"/>
      <c r="E503" s="9"/>
      <c r="F503" s="9"/>
      <c r="G503" s="9"/>
      <c r="H503" s="9"/>
    </row>
    <row r="504" customFormat="false" ht="15" hidden="false" customHeight="true" outlineLevel="0" collapsed="false">
      <c r="A504" s="12"/>
      <c r="B504" s="9"/>
      <c r="C504" s="15" t="str">
        <f aca="false">IF($B504="","",IFERROR(INDEX(설비목록!$B$3:$B$202,MATCH($B504,설비목록!$A$3:$A$202,0)),"미등록설비"))</f>
        <v/>
      </c>
      <c r="D504" s="9"/>
      <c r="E504" s="9"/>
      <c r="F504" s="9"/>
      <c r="G504" s="9"/>
      <c r="H504" s="9"/>
    </row>
    <row r="505" customFormat="false" ht="15" hidden="false" customHeight="true" outlineLevel="0" collapsed="false">
      <c r="A505" s="12"/>
      <c r="B505" s="9"/>
      <c r="C505" s="15" t="str">
        <f aca="false">IF($B505="","",IFERROR(INDEX(설비목록!$B$3:$B$202,MATCH($B505,설비목록!$A$3:$A$202,0)),"미등록설비"))</f>
        <v/>
      </c>
      <c r="D505" s="9"/>
      <c r="E505" s="9"/>
      <c r="F505" s="9"/>
      <c r="G505" s="9"/>
      <c r="H505" s="9"/>
    </row>
    <row r="506" customFormat="false" ht="15" hidden="false" customHeight="true" outlineLevel="0" collapsed="false">
      <c r="A506" s="12"/>
      <c r="B506" s="9"/>
      <c r="C506" s="15" t="str">
        <f aca="false">IF($B506="","",IFERROR(INDEX(설비목록!$B$3:$B$202,MATCH($B506,설비목록!$A$3:$A$202,0)),"미등록설비"))</f>
        <v/>
      </c>
      <c r="D506" s="9"/>
      <c r="E506" s="9"/>
      <c r="F506" s="9"/>
      <c r="G506" s="9"/>
      <c r="H506" s="9"/>
    </row>
    <row r="507" customFormat="false" ht="15" hidden="false" customHeight="true" outlineLevel="0" collapsed="false">
      <c r="A507" s="12"/>
      <c r="B507" s="9"/>
      <c r="C507" s="15" t="str">
        <f aca="false">IF($B507="","",IFERROR(INDEX(설비목록!$B$3:$B$202,MATCH($B507,설비목록!$A$3:$A$202,0)),"미등록설비"))</f>
        <v/>
      </c>
      <c r="D507" s="9"/>
      <c r="E507" s="9"/>
      <c r="F507" s="9"/>
      <c r="G507" s="9"/>
      <c r="H507" s="9"/>
    </row>
    <row r="508" customFormat="false" ht="15" hidden="false" customHeight="true" outlineLevel="0" collapsed="false">
      <c r="A508" s="12"/>
      <c r="B508" s="9"/>
      <c r="C508" s="15" t="str">
        <f aca="false">IF($B508="","",IFERROR(INDEX(설비목록!$B$3:$B$202,MATCH($B508,설비목록!$A$3:$A$202,0)),"미등록설비"))</f>
        <v/>
      </c>
      <c r="D508" s="9"/>
      <c r="E508" s="9"/>
      <c r="F508" s="9"/>
      <c r="G508" s="9"/>
      <c r="H508" s="9"/>
    </row>
    <row r="509" customFormat="false" ht="15" hidden="false" customHeight="true" outlineLevel="0" collapsed="false">
      <c r="A509" s="12"/>
      <c r="B509" s="9"/>
      <c r="C509" s="15" t="str">
        <f aca="false">IF($B509="","",IFERROR(INDEX(설비목록!$B$3:$B$202,MATCH($B509,설비목록!$A$3:$A$202,0)),"미등록설비"))</f>
        <v/>
      </c>
      <c r="D509" s="9"/>
      <c r="E509" s="9"/>
      <c r="F509" s="9"/>
      <c r="G509" s="9"/>
      <c r="H509" s="9"/>
    </row>
    <row r="510" customFormat="false" ht="15" hidden="false" customHeight="true" outlineLevel="0" collapsed="false">
      <c r="A510" s="12"/>
      <c r="B510" s="9"/>
      <c r="C510" s="15" t="str">
        <f aca="false">IF($B510="","",IFERROR(INDEX(설비목록!$B$3:$B$202,MATCH($B510,설비목록!$A$3:$A$202,0)),"미등록설비"))</f>
        <v/>
      </c>
      <c r="D510" s="9"/>
      <c r="E510" s="9"/>
      <c r="F510" s="9"/>
      <c r="G510" s="9"/>
      <c r="H510" s="9"/>
    </row>
    <row r="511" customFormat="false" ht="15" hidden="false" customHeight="true" outlineLevel="0" collapsed="false">
      <c r="A511" s="12"/>
      <c r="B511" s="9"/>
      <c r="C511" s="15" t="str">
        <f aca="false">IF($B511="","",IFERROR(INDEX(설비목록!$B$3:$B$202,MATCH($B511,설비목록!$A$3:$A$202,0)),"미등록설비"))</f>
        <v/>
      </c>
      <c r="D511" s="9"/>
      <c r="E511" s="9"/>
      <c r="F511" s="9"/>
      <c r="G511" s="9"/>
      <c r="H511" s="9"/>
    </row>
    <row r="512" customFormat="false" ht="15" hidden="false" customHeight="true" outlineLevel="0" collapsed="false">
      <c r="A512" s="12"/>
      <c r="B512" s="9"/>
      <c r="C512" s="15" t="str">
        <f aca="false">IF($B512="","",IFERROR(INDEX(설비목록!$B$3:$B$202,MATCH($B512,설비목록!$A$3:$A$202,0)),"미등록설비"))</f>
        <v/>
      </c>
      <c r="D512" s="9"/>
      <c r="E512" s="9"/>
      <c r="F512" s="9"/>
      <c r="G512" s="9"/>
      <c r="H512" s="9"/>
    </row>
    <row r="513" customFormat="false" ht="15" hidden="false" customHeight="true" outlineLevel="0" collapsed="false">
      <c r="A513" s="12"/>
      <c r="B513" s="9"/>
      <c r="C513" s="15" t="str">
        <f aca="false">IF($B513="","",IFERROR(INDEX(설비목록!$B$3:$B$202,MATCH($B513,설비목록!$A$3:$A$202,0)),"미등록설비"))</f>
        <v/>
      </c>
      <c r="D513" s="9"/>
      <c r="E513" s="9"/>
      <c r="F513" s="9"/>
      <c r="G513" s="9"/>
      <c r="H513" s="9"/>
    </row>
    <row r="514" customFormat="false" ht="15" hidden="false" customHeight="true" outlineLevel="0" collapsed="false">
      <c r="A514" s="12"/>
      <c r="B514" s="9"/>
      <c r="C514" s="15" t="str">
        <f aca="false">IF($B514="","",IFERROR(INDEX(설비목록!$B$3:$B$202,MATCH($B514,설비목록!$A$3:$A$202,0)),"미등록설비"))</f>
        <v/>
      </c>
      <c r="D514" s="9"/>
      <c r="E514" s="9"/>
      <c r="F514" s="9"/>
      <c r="G514" s="9"/>
      <c r="H514" s="9"/>
    </row>
    <row r="515" customFormat="false" ht="15" hidden="false" customHeight="true" outlineLevel="0" collapsed="false">
      <c r="A515" s="12"/>
      <c r="B515" s="9"/>
      <c r="C515" s="15" t="str">
        <f aca="false">IF($B515="","",IFERROR(INDEX(설비목록!$B$3:$B$202,MATCH($B515,설비목록!$A$3:$A$202,0)),"미등록설비"))</f>
        <v/>
      </c>
      <c r="D515" s="9"/>
      <c r="E515" s="9"/>
      <c r="F515" s="9"/>
      <c r="G515" s="9"/>
      <c r="H515" s="9"/>
    </row>
    <row r="516" customFormat="false" ht="15" hidden="false" customHeight="true" outlineLevel="0" collapsed="false">
      <c r="A516" s="12"/>
      <c r="B516" s="9"/>
      <c r="C516" s="15" t="str">
        <f aca="false">IF($B516="","",IFERROR(INDEX(설비목록!$B$3:$B$202,MATCH($B516,설비목록!$A$3:$A$202,0)),"미등록설비"))</f>
        <v/>
      </c>
      <c r="D516" s="9"/>
      <c r="E516" s="9"/>
      <c r="F516" s="9"/>
      <c r="G516" s="9"/>
      <c r="H516" s="9"/>
    </row>
    <row r="517" customFormat="false" ht="15" hidden="false" customHeight="true" outlineLevel="0" collapsed="false">
      <c r="A517" s="12"/>
      <c r="B517" s="9"/>
      <c r="C517" s="15" t="str">
        <f aca="false">IF($B517="","",IFERROR(INDEX(설비목록!$B$3:$B$202,MATCH($B517,설비목록!$A$3:$A$202,0)),"미등록설비"))</f>
        <v/>
      </c>
      <c r="D517" s="9"/>
      <c r="E517" s="9"/>
      <c r="F517" s="9"/>
      <c r="G517" s="9"/>
      <c r="H517" s="9"/>
    </row>
    <row r="518" customFormat="false" ht="15" hidden="false" customHeight="true" outlineLevel="0" collapsed="false">
      <c r="A518" s="12"/>
      <c r="B518" s="9"/>
      <c r="C518" s="15" t="str">
        <f aca="false">IF($B518="","",IFERROR(INDEX(설비목록!$B$3:$B$202,MATCH($B518,설비목록!$A$3:$A$202,0)),"미등록설비"))</f>
        <v/>
      </c>
      <c r="D518" s="9"/>
      <c r="E518" s="9"/>
      <c r="F518" s="9"/>
      <c r="G518" s="9"/>
      <c r="H518" s="9"/>
    </row>
    <row r="519" customFormat="false" ht="15" hidden="false" customHeight="true" outlineLevel="0" collapsed="false">
      <c r="A519" s="12"/>
      <c r="B519" s="9"/>
      <c r="C519" s="15" t="str">
        <f aca="false">IF($B519="","",IFERROR(INDEX(설비목록!$B$3:$B$202,MATCH($B519,설비목록!$A$3:$A$202,0)),"미등록설비"))</f>
        <v/>
      </c>
      <c r="D519" s="9"/>
      <c r="E519" s="9"/>
      <c r="F519" s="9"/>
      <c r="G519" s="9"/>
      <c r="H519" s="9"/>
    </row>
    <row r="520" customFormat="false" ht="15" hidden="false" customHeight="true" outlineLevel="0" collapsed="false">
      <c r="A520" s="12"/>
      <c r="B520" s="9"/>
      <c r="C520" s="15" t="str">
        <f aca="false">IF($B520="","",IFERROR(INDEX(설비목록!$B$3:$B$202,MATCH($B520,설비목록!$A$3:$A$202,0)),"미등록설비"))</f>
        <v/>
      </c>
      <c r="D520" s="9"/>
      <c r="E520" s="9"/>
      <c r="F520" s="9"/>
      <c r="G520" s="9"/>
      <c r="H520" s="9"/>
    </row>
    <row r="521" customFormat="false" ht="15" hidden="false" customHeight="true" outlineLevel="0" collapsed="false">
      <c r="A521" s="12"/>
      <c r="B521" s="9"/>
      <c r="C521" s="15" t="str">
        <f aca="false">IF($B521="","",IFERROR(INDEX(설비목록!$B$3:$B$202,MATCH($B521,설비목록!$A$3:$A$202,0)),"미등록설비"))</f>
        <v/>
      </c>
      <c r="D521" s="9"/>
      <c r="E521" s="9"/>
      <c r="F521" s="9"/>
      <c r="G521" s="9"/>
      <c r="H521" s="9"/>
    </row>
    <row r="522" customFormat="false" ht="15" hidden="false" customHeight="true" outlineLevel="0" collapsed="false">
      <c r="A522" s="12"/>
      <c r="B522" s="9"/>
      <c r="C522" s="15" t="str">
        <f aca="false">IF($B522="","",IFERROR(INDEX(설비목록!$B$3:$B$202,MATCH($B522,설비목록!$A$3:$A$202,0)),"미등록설비"))</f>
        <v/>
      </c>
      <c r="D522" s="9"/>
      <c r="E522" s="9"/>
      <c r="F522" s="9"/>
      <c r="G522" s="9"/>
      <c r="H522" s="9"/>
    </row>
    <row r="523" customFormat="false" ht="15" hidden="false" customHeight="true" outlineLevel="0" collapsed="false">
      <c r="A523" s="12"/>
      <c r="B523" s="9"/>
      <c r="C523" s="15" t="str">
        <f aca="false">IF($B523="","",IFERROR(INDEX(설비목록!$B$3:$B$202,MATCH($B523,설비목록!$A$3:$A$202,0)),"미등록설비"))</f>
        <v/>
      </c>
      <c r="D523" s="9"/>
      <c r="E523" s="9"/>
      <c r="F523" s="9"/>
      <c r="G523" s="9"/>
      <c r="H523" s="9"/>
    </row>
    <row r="524" customFormat="false" ht="15" hidden="false" customHeight="true" outlineLevel="0" collapsed="false">
      <c r="A524" s="12"/>
      <c r="B524" s="9"/>
      <c r="C524" s="15" t="str">
        <f aca="false">IF($B524="","",IFERROR(INDEX(설비목록!$B$3:$B$202,MATCH($B524,설비목록!$A$3:$A$202,0)),"미등록설비"))</f>
        <v/>
      </c>
      <c r="D524" s="9"/>
      <c r="E524" s="9"/>
      <c r="F524" s="9"/>
      <c r="G524" s="9"/>
      <c r="H524" s="9"/>
    </row>
    <row r="525" customFormat="false" ht="15" hidden="false" customHeight="true" outlineLevel="0" collapsed="false">
      <c r="A525" s="12"/>
      <c r="B525" s="9"/>
      <c r="C525" s="15" t="str">
        <f aca="false">IF($B525="","",IFERROR(INDEX(설비목록!$B$3:$B$202,MATCH($B525,설비목록!$A$3:$A$202,0)),"미등록설비"))</f>
        <v/>
      </c>
      <c r="D525" s="9"/>
      <c r="E525" s="9"/>
      <c r="F525" s="9"/>
      <c r="G525" s="9"/>
      <c r="H525" s="9"/>
    </row>
    <row r="526" customFormat="false" ht="15" hidden="false" customHeight="true" outlineLevel="0" collapsed="false">
      <c r="A526" s="12"/>
      <c r="B526" s="9"/>
      <c r="C526" s="15" t="str">
        <f aca="false">IF($B526="","",IFERROR(INDEX(설비목록!$B$3:$B$202,MATCH($B526,설비목록!$A$3:$A$202,0)),"미등록설비"))</f>
        <v/>
      </c>
      <c r="D526" s="9"/>
      <c r="E526" s="9"/>
      <c r="F526" s="9"/>
      <c r="G526" s="9"/>
      <c r="H526" s="9"/>
    </row>
    <row r="527" customFormat="false" ht="15" hidden="false" customHeight="true" outlineLevel="0" collapsed="false">
      <c r="A527" s="12"/>
      <c r="B527" s="9"/>
      <c r="C527" s="15" t="str">
        <f aca="false">IF($B527="","",IFERROR(INDEX(설비목록!$B$3:$B$202,MATCH($B527,설비목록!$A$3:$A$202,0)),"미등록설비"))</f>
        <v/>
      </c>
      <c r="D527" s="9"/>
      <c r="E527" s="9"/>
      <c r="F527" s="9"/>
      <c r="G527" s="9"/>
      <c r="H527" s="9"/>
    </row>
    <row r="528" customFormat="false" ht="15" hidden="false" customHeight="true" outlineLevel="0" collapsed="false">
      <c r="A528" s="12"/>
      <c r="B528" s="9"/>
      <c r="C528" s="15" t="str">
        <f aca="false">IF($B528="","",IFERROR(INDEX(설비목록!$B$3:$B$202,MATCH($B528,설비목록!$A$3:$A$202,0)),"미등록설비"))</f>
        <v/>
      </c>
      <c r="D528" s="9"/>
      <c r="E528" s="9"/>
      <c r="F528" s="9"/>
      <c r="G528" s="9"/>
      <c r="H528" s="9"/>
    </row>
    <row r="529" customFormat="false" ht="15" hidden="false" customHeight="true" outlineLevel="0" collapsed="false">
      <c r="A529" s="12"/>
      <c r="B529" s="9"/>
      <c r="C529" s="15" t="str">
        <f aca="false">IF($B529="","",IFERROR(INDEX(설비목록!$B$3:$B$202,MATCH($B529,설비목록!$A$3:$A$202,0)),"미등록설비"))</f>
        <v/>
      </c>
      <c r="D529" s="9"/>
      <c r="E529" s="9"/>
      <c r="F529" s="9"/>
      <c r="G529" s="9"/>
      <c r="H529" s="9"/>
    </row>
    <row r="530" customFormat="false" ht="15" hidden="false" customHeight="true" outlineLevel="0" collapsed="false">
      <c r="A530" s="12"/>
      <c r="B530" s="9"/>
      <c r="C530" s="15" t="str">
        <f aca="false">IF($B530="","",IFERROR(INDEX(설비목록!$B$3:$B$202,MATCH($B530,설비목록!$A$3:$A$202,0)),"미등록설비"))</f>
        <v/>
      </c>
      <c r="D530" s="9"/>
      <c r="E530" s="9"/>
      <c r="F530" s="9"/>
      <c r="G530" s="9"/>
      <c r="H530" s="9"/>
    </row>
    <row r="531" customFormat="false" ht="15" hidden="false" customHeight="true" outlineLevel="0" collapsed="false">
      <c r="A531" s="12"/>
      <c r="B531" s="9"/>
      <c r="C531" s="15" t="str">
        <f aca="false">IF($B531="","",IFERROR(INDEX(설비목록!$B$3:$B$202,MATCH($B531,설비목록!$A$3:$A$202,0)),"미등록설비"))</f>
        <v/>
      </c>
      <c r="D531" s="9"/>
      <c r="E531" s="9"/>
      <c r="F531" s="9"/>
      <c r="G531" s="9"/>
      <c r="H531" s="9"/>
    </row>
    <row r="532" customFormat="false" ht="15" hidden="false" customHeight="true" outlineLevel="0" collapsed="false">
      <c r="A532" s="12"/>
      <c r="B532" s="9"/>
      <c r="C532" s="15" t="str">
        <f aca="false">IF($B532="","",IFERROR(INDEX(설비목록!$B$3:$B$202,MATCH($B532,설비목록!$A$3:$A$202,0)),"미등록설비"))</f>
        <v/>
      </c>
      <c r="D532" s="9"/>
      <c r="E532" s="9"/>
      <c r="F532" s="9"/>
      <c r="G532" s="9"/>
      <c r="H532" s="9"/>
    </row>
    <row r="533" customFormat="false" ht="15" hidden="false" customHeight="true" outlineLevel="0" collapsed="false">
      <c r="A533" s="12"/>
      <c r="B533" s="9"/>
      <c r="C533" s="15" t="str">
        <f aca="false">IF($B533="","",IFERROR(INDEX(설비목록!$B$3:$B$202,MATCH($B533,설비목록!$A$3:$A$202,0)),"미등록설비"))</f>
        <v/>
      </c>
      <c r="D533" s="9"/>
      <c r="E533" s="9"/>
      <c r="F533" s="9"/>
      <c r="G533" s="9"/>
      <c r="H533" s="9"/>
    </row>
    <row r="534" customFormat="false" ht="15" hidden="false" customHeight="true" outlineLevel="0" collapsed="false">
      <c r="A534" s="12"/>
      <c r="B534" s="9"/>
      <c r="C534" s="15" t="str">
        <f aca="false">IF($B534="","",IFERROR(INDEX(설비목록!$B$3:$B$202,MATCH($B534,설비목록!$A$3:$A$202,0)),"미등록설비"))</f>
        <v/>
      </c>
      <c r="D534" s="9"/>
      <c r="E534" s="9"/>
      <c r="F534" s="9"/>
      <c r="G534" s="9"/>
      <c r="H534" s="9"/>
    </row>
    <row r="535" customFormat="false" ht="15" hidden="false" customHeight="true" outlineLevel="0" collapsed="false">
      <c r="A535" s="12"/>
      <c r="B535" s="9"/>
      <c r="C535" s="15" t="str">
        <f aca="false">IF($B535="","",IFERROR(INDEX(설비목록!$B$3:$B$202,MATCH($B535,설비목록!$A$3:$A$202,0)),"미등록설비"))</f>
        <v/>
      </c>
      <c r="D535" s="9"/>
      <c r="E535" s="9"/>
      <c r="F535" s="9"/>
      <c r="G535" s="9"/>
      <c r="H535" s="9"/>
    </row>
    <row r="536" customFormat="false" ht="15" hidden="false" customHeight="true" outlineLevel="0" collapsed="false">
      <c r="A536" s="12"/>
      <c r="B536" s="9"/>
      <c r="C536" s="15" t="str">
        <f aca="false">IF($B536="","",IFERROR(INDEX(설비목록!$B$3:$B$202,MATCH($B536,설비목록!$A$3:$A$202,0)),"미등록설비"))</f>
        <v/>
      </c>
      <c r="D536" s="9"/>
      <c r="E536" s="9"/>
      <c r="F536" s="9"/>
      <c r="G536" s="9"/>
      <c r="H536" s="9"/>
    </row>
    <row r="537" customFormat="false" ht="15" hidden="false" customHeight="true" outlineLevel="0" collapsed="false">
      <c r="A537" s="12"/>
      <c r="B537" s="9"/>
      <c r="C537" s="15" t="str">
        <f aca="false">IF($B537="","",IFERROR(INDEX(설비목록!$B$3:$B$202,MATCH($B537,설비목록!$A$3:$A$202,0)),"미등록설비"))</f>
        <v/>
      </c>
      <c r="D537" s="9"/>
      <c r="E537" s="9"/>
      <c r="F537" s="9"/>
      <c r="G537" s="9"/>
      <c r="H537" s="9"/>
    </row>
    <row r="538" customFormat="false" ht="15" hidden="false" customHeight="true" outlineLevel="0" collapsed="false">
      <c r="A538" s="12"/>
      <c r="B538" s="9"/>
      <c r="C538" s="15" t="str">
        <f aca="false">IF($B538="","",IFERROR(INDEX(설비목록!$B$3:$B$202,MATCH($B538,설비목록!$A$3:$A$202,0)),"미등록설비"))</f>
        <v/>
      </c>
      <c r="D538" s="9"/>
      <c r="E538" s="9"/>
      <c r="F538" s="9"/>
      <c r="G538" s="9"/>
      <c r="H538" s="9"/>
    </row>
    <row r="539" customFormat="false" ht="15" hidden="false" customHeight="true" outlineLevel="0" collapsed="false">
      <c r="A539" s="12"/>
      <c r="B539" s="9"/>
      <c r="C539" s="15" t="str">
        <f aca="false">IF($B539="","",IFERROR(INDEX(설비목록!$B$3:$B$202,MATCH($B539,설비목록!$A$3:$A$202,0)),"미등록설비"))</f>
        <v/>
      </c>
      <c r="D539" s="9"/>
      <c r="E539" s="9"/>
      <c r="F539" s="9"/>
      <c r="G539" s="9"/>
      <c r="H539" s="9"/>
    </row>
    <row r="540" customFormat="false" ht="15" hidden="false" customHeight="true" outlineLevel="0" collapsed="false">
      <c r="A540" s="12"/>
      <c r="B540" s="9"/>
      <c r="C540" s="15" t="str">
        <f aca="false">IF($B540="","",IFERROR(INDEX(설비목록!$B$3:$B$202,MATCH($B540,설비목록!$A$3:$A$202,0)),"미등록설비"))</f>
        <v/>
      </c>
      <c r="D540" s="9"/>
      <c r="E540" s="9"/>
      <c r="F540" s="9"/>
      <c r="G540" s="9"/>
      <c r="H540" s="9"/>
    </row>
    <row r="541" customFormat="false" ht="15" hidden="false" customHeight="true" outlineLevel="0" collapsed="false">
      <c r="A541" s="12"/>
      <c r="B541" s="9"/>
      <c r="C541" s="15" t="str">
        <f aca="false">IF($B541="","",IFERROR(INDEX(설비목록!$B$3:$B$202,MATCH($B541,설비목록!$A$3:$A$202,0)),"미등록설비"))</f>
        <v/>
      </c>
      <c r="D541" s="9"/>
      <c r="E541" s="9"/>
      <c r="F541" s="9"/>
      <c r="G541" s="9"/>
      <c r="H541" s="9"/>
    </row>
    <row r="542" customFormat="false" ht="15" hidden="false" customHeight="true" outlineLevel="0" collapsed="false">
      <c r="A542" s="12"/>
      <c r="B542" s="9"/>
      <c r="C542" s="15" t="str">
        <f aca="false">IF($B542="","",IFERROR(INDEX(설비목록!$B$3:$B$202,MATCH($B542,설비목록!$A$3:$A$202,0)),"미등록설비"))</f>
        <v/>
      </c>
      <c r="D542" s="9"/>
      <c r="E542" s="9"/>
      <c r="F542" s="9"/>
      <c r="G542" s="9"/>
      <c r="H542" s="9"/>
    </row>
    <row r="543" customFormat="false" ht="15" hidden="false" customHeight="true" outlineLevel="0" collapsed="false">
      <c r="A543" s="12"/>
      <c r="B543" s="9"/>
      <c r="C543" s="15" t="str">
        <f aca="false">IF($B543="","",IFERROR(INDEX(설비목록!$B$3:$B$202,MATCH($B543,설비목록!$A$3:$A$202,0)),"미등록설비"))</f>
        <v/>
      </c>
      <c r="D543" s="9"/>
      <c r="E543" s="9"/>
      <c r="F543" s="9"/>
      <c r="G543" s="9"/>
      <c r="H543" s="9"/>
    </row>
    <row r="544" customFormat="false" ht="15" hidden="false" customHeight="true" outlineLevel="0" collapsed="false">
      <c r="A544" s="12"/>
      <c r="B544" s="9"/>
      <c r="C544" s="15" t="str">
        <f aca="false">IF($B544="","",IFERROR(INDEX(설비목록!$B$3:$B$202,MATCH($B544,설비목록!$A$3:$A$202,0)),"미등록설비"))</f>
        <v/>
      </c>
      <c r="D544" s="9"/>
      <c r="E544" s="9"/>
      <c r="F544" s="9"/>
      <c r="G544" s="9"/>
      <c r="H544" s="9"/>
    </row>
    <row r="545" customFormat="false" ht="15" hidden="false" customHeight="true" outlineLevel="0" collapsed="false">
      <c r="A545" s="12"/>
      <c r="B545" s="9"/>
      <c r="C545" s="15" t="str">
        <f aca="false">IF($B545="","",IFERROR(INDEX(설비목록!$B$3:$B$202,MATCH($B545,설비목록!$A$3:$A$202,0)),"미등록설비"))</f>
        <v/>
      </c>
      <c r="D545" s="9"/>
      <c r="E545" s="9"/>
      <c r="F545" s="9"/>
      <c r="G545" s="9"/>
      <c r="H545" s="9"/>
    </row>
    <row r="546" customFormat="false" ht="15" hidden="false" customHeight="true" outlineLevel="0" collapsed="false">
      <c r="A546" s="12"/>
      <c r="B546" s="9"/>
      <c r="C546" s="15" t="str">
        <f aca="false">IF($B546="","",IFERROR(INDEX(설비목록!$B$3:$B$202,MATCH($B546,설비목록!$A$3:$A$202,0)),"미등록설비"))</f>
        <v/>
      </c>
      <c r="D546" s="9"/>
      <c r="E546" s="9"/>
      <c r="F546" s="9"/>
      <c r="G546" s="9"/>
      <c r="H546" s="9"/>
    </row>
    <row r="547" customFormat="false" ht="15" hidden="false" customHeight="true" outlineLevel="0" collapsed="false">
      <c r="A547" s="12"/>
      <c r="B547" s="9"/>
      <c r="C547" s="15" t="str">
        <f aca="false">IF($B547="","",IFERROR(INDEX(설비목록!$B$3:$B$202,MATCH($B547,설비목록!$A$3:$A$202,0)),"미등록설비"))</f>
        <v/>
      </c>
      <c r="D547" s="9"/>
      <c r="E547" s="9"/>
      <c r="F547" s="9"/>
      <c r="G547" s="9"/>
      <c r="H547" s="9"/>
    </row>
    <row r="548" customFormat="false" ht="15" hidden="false" customHeight="true" outlineLevel="0" collapsed="false">
      <c r="A548" s="12"/>
      <c r="B548" s="9"/>
      <c r="C548" s="15" t="str">
        <f aca="false">IF($B548="","",IFERROR(INDEX(설비목록!$B$3:$B$202,MATCH($B548,설비목록!$A$3:$A$202,0)),"미등록설비"))</f>
        <v/>
      </c>
      <c r="D548" s="9"/>
      <c r="E548" s="9"/>
      <c r="F548" s="9"/>
      <c r="G548" s="9"/>
      <c r="H548" s="9"/>
    </row>
    <row r="549" customFormat="false" ht="15" hidden="false" customHeight="true" outlineLevel="0" collapsed="false">
      <c r="A549" s="12"/>
      <c r="B549" s="9"/>
      <c r="C549" s="15" t="str">
        <f aca="false">IF($B549="","",IFERROR(INDEX(설비목록!$B$3:$B$202,MATCH($B549,설비목록!$A$3:$A$202,0)),"미등록설비"))</f>
        <v/>
      </c>
      <c r="D549" s="9"/>
      <c r="E549" s="9"/>
      <c r="F549" s="9"/>
      <c r="G549" s="9"/>
      <c r="H549" s="9"/>
    </row>
    <row r="550" customFormat="false" ht="15" hidden="false" customHeight="true" outlineLevel="0" collapsed="false">
      <c r="A550" s="12"/>
      <c r="B550" s="9"/>
      <c r="C550" s="15" t="str">
        <f aca="false">IF($B550="","",IFERROR(INDEX(설비목록!$B$3:$B$202,MATCH($B550,설비목록!$A$3:$A$202,0)),"미등록설비"))</f>
        <v/>
      </c>
      <c r="D550" s="9"/>
      <c r="E550" s="9"/>
      <c r="F550" s="9"/>
      <c r="G550" s="9"/>
      <c r="H550" s="9"/>
    </row>
    <row r="551" customFormat="false" ht="15" hidden="false" customHeight="true" outlineLevel="0" collapsed="false">
      <c r="A551" s="12"/>
      <c r="B551" s="9"/>
      <c r="C551" s="15" t="str">
        <f aca="false">IF($B551="","",IFERROR(INDEX(설비목록!$B$3:$B$202,MATCH($B551,설비목록!$A$3:$A$202,0)),"미등록설비"))</f>
        <v/>
      </c>
      <c r="D551" s="9"/>
      <c r="E551" s="9"/>
      <c r="F551" s="9"/>
      <c r="G551" s="9"/>
      <c r="H551" s="9"/>
    </row>
    <row r="552" customFormat="false" ht="15" hidden="false" customHeight="true" outlineLevel="0" collapsed="false">
      <c r="A552" s="12"/>
      <c r="B552" s="9"/>
      <c r="C552" s="15" t="str">
        <f aca="false">IF($B552="","",IFERROR(INDEX(설비목록!$B$3:$B$202,MATCH($B552,설비목록!$A$3:$A$202,0)),"미등록설비"))</f>
        <v/>
      </c>
      <c r="D552" s="9"/>
      <c r="E552" s="9"/>
      <c r="F552" s="9"/>
      <c r="G552" s="9"/>
      <c r="H552" s="9"/>
    </row>
    <row r="553" customFormat="false" ht="15" hidden="false" customHeight="true" outlineLevel="0" collapsed="false">
      <c r="A553" s="12"/>
      <c r="B553" s="9"/>
      <c r="C553" s="15" t="str">
        <f aca="false">IF($B553="","",IFERROR(INDEX(설비목록!$B$3:$B$202,MATCH($B553,설비목록!$A$3:$A$202,0)),"미등록설비"))</f>
        <v/>
      </c>
      <c r="D553" s="9"/>
      <c r="E553" s="9"/>
      <c r="F553" s="9"/>
      <c r="G553" s="9"/>
      <c r="H553" s="9"/>
    </row>
    <row r="554" customFormat="false" ht="15" hidden="false" customHeight="true" outlineLevel="0" collapsed="false">
      <c r="A554" s="12"/>
      <c r="B554" s="9"/>
      <c r="C554" s="15" t="str">
        <f aca="false">IF($B554="","",IFERROR(INDEX(설비목록!$B$3:$B$202,MATCH($B554,설비목록!$A$3:$A$202,0)),"미등록설비"))</f>
        <v/>
      </c>
      <c r="D554" s="9"/>
      <c r="E554" s="9"/>
      <c r="F554" s="9"/>
      <c r="G554" s="9"/>
      <c r="H554" s="9"/>
    </row>
    <row r="555" customFormat="false" ht="15" hidden="false" customHeight="true" outlineLevel="0" collapsed="false">
      <c r="A555" s="12"/>
      <c r="B555" s="9"/>
      <c r="C555" s="15" t="str">
        <f aca="false">IF($B555="","",IFERROR(INDEX(설비목록!$B$3:$B$202,MATCH($B555,설비목록!$A$3:$A$202,0)),"미등록설비"))</f>
        <v/>
      </c>
      <c r="D555" s="9"/>
      <c r="E555" s="9"/>
      <c r="F555" s="9"/>
      <c r="G555" s="9"/>
      <c r="H555" s="9"/>
    </row>
    <row r="556" customFormat="false" ht="15" hidden="false" customHeight="true" outlineLevel="0" collapsed="false">
      <c r="A556" s="12"/>
      <c r="B556" s="9"/>
      <c r="C556" s="15" t="str">
        <f aca="false">IF($B556="","",IFERROR(INDEX(설비목록!$B$3:$B$202,MATCH($B556,설비목록!$A$3:$A$202,0)),"미등록설비"))</f>
        <v/>
      </c>
      <c r="D556" s="9"/>
      <c r="E556" s="9"/>
      <c r="F556" s="9"/>
      <c r="G556" s="9"/>
      <c r="H556" s="9"/>
    </row>
    <row r="557" customFormat="false" ht="15" hidden="false" customHeight="true" outlineLevel="0" collapsed="false">
      <c r="A557" s="12"/>
      <c r="B557" s="9"/>
      <c r="C557" s="15" t="str">
        <f aca="false">IF($B557="","",IFERROR(INDEX(설비목록!$B$3:$B$202,MATCH($B557,설비목록!$A$3:$A$202,0)),"미등록설비"))</f>
        <v/>
      </c>
      <c r="D557" s="9"/>
      <c r="E557" s="9"/>
      <c r="F557" s="9"/>
      <c r="G557" s="9"/>
      <c r="H557" s="9"/>
    </row>
    <row r="558" customFormat="false" ht="15" hidden="false" customHeight="true" outlineLevel="0" collapsed="false">
      <c r="A558" s="12"/>
      <c r="B558" s="9"/>
      <c r="C558" s="15" t="str">
        <f aca="false">IF($B558="","",IFERROR(INDEX(설비목록!$B$3:$B$202,MATCH($B558,설비목록!$A$3:$A$202,0)),"미등록설비"))</f>
        <v/>
      </c>
      <c r="D558" s="9"/>
      <c r="E558" s="9"/>
      <c r="F558" s="9"/>
      <c r="G558" s="9"/>
      <c r="H558" s="9"/>
    </row>
    <row r="559" customFormat="false" ht="15" hidden="false" customHeight="true" outlineLevel="0" collapsed="false">
      <c r="A559" s="12"/>
      <c r="B559" s="9"/>
      <c r="C559" s="15" t="str">
        <f aca="false">IF($B559="","",IFERROR(INDEX(설비목록!$B$3:$B$202,MATCH($B559,설비목록!$A$3:$A$202,0)),"미등록설비"))</f>
        <v/>
      </c>
      <c r="D559" s="9"/>
      <c r="E559" s="9"/>
      <c r="F559" s="9"/>
      <c r="G559" s="9"/>
      <c r="H559" s="9"/>
    </row>
    <row r="560" customFormat="false" ht="15" hidden="false" customHeight="true" outlineLevel="0" collapsed="false">
      <c r="A560" s="12"/>
      <c r="B560" s="9"/>
      <c r="C560" s="15" t="str">
        <f aca="false">IF($B560="","",IFERROR(INDEX(설비목록!$B$3:$B$202,MATCH($B560,설비목록!$A$3:$A$202,0)),"미등록설비"))</f>
        <v/>
      </c>
      <c r="D560" s="9"/>
      <c r="E560" s="9"/>
      <c r="F560" s="9"/>
      <c r="G560" s="9"/>
      <c r="H560" s="9"/>
    </row>
    <row r="561" customFormat="false" ht="15" hidden="false" customHeight="true" outlineLevel="0" collapsed="false">
      <c r="A561" s="12"/>
      <c r="B561" s="9"/>
      <c r="C561" s="15" t="str">
        <f aca="false">IF($B561="","",IFERROR(INDEX(설비목록!$B$3:$B$202,MATCH($B561,설비목록!$A$3:$A$202,0)),"미등록설비"))</f>
        <v/>
      </c>
      <c r="D561" s="9"/>
      <c r="E561" s="9"/>
      <c r="F561" s="9"/>
      <c r="G561" s="9"/>
      <c r="H561" s="9"/>
    </row>
    <row r="562" customFormat="false" ht="15" hidden="false" customHeight="true" outlineLevel="0" collapsed="false">
      <c r="A562" s="12"/>
      <c r="B562" s="9"/>
      <c r="C562" s="15" t="str">
        <f aca="false">IF($B562="","",IFERROR(INDEX(설비목록!$B$3:$B$202,MATCH($B562,설비목록!$A$3:$A$202,0)),"미등록설비"))</f>
        <v/>
      </c>
      <c r="D562" s="9"/>
      <c r="E562" s="9"/>
      <c r="F562" s="9"/>
      <c r="G562" s="9"/>
      <c r="H562" s="9"/>
    </row>
    <row r="563" customFormat="false" ht="15" hidden="false" customHeight="true" outlineLevel="0" collapsed="false">
      <c r="A563" s="12"/>
      <c r="B563" s="9"/>
      <c r="C563" s="15" t="str">
        <f aca="false">IF($B563="","",IFERROR(INDEX(설비목록!$B$3:$B$202,MATCH($B563,설비목록!$A$3:$A$202,0)),"미등록설비"))</f>
        <v/>
      </c>
      <c r="D563" s="9"/>
      <c r="E563" s="9"/>
      <c r="F563" s="9"/>
      <c r="G563" s="9"/>
      <c r="H563" s="9"/>
    </row>
    <row r="564" customFormat="false" ht="15" hidden="false" customHeight="true" outlineLevel="0" collapsed="false">
      <c r="A564" s="12"/>
      <c r="B564" s="9"/>
      <c r="C564" s="15" t="str">
        <f aca="false">IF($B564="","",IFERROR(INDEX(설비목록!$B$3:$B$202,MATCH($B564,설비목록!$A$3:$A$202,0)),"미등록설비"))</f>
        <v/>
      </c>
      <c r="D564" s="9"/>
      <c r="E564" s="9"/>
      <c r="F564" s="9"/>
      <c r="G564" s="9"/>
      <c r="H564" s="9"/>
    </row>
    <row r="565" customFormat="false" ht="15" hidden="false" customHeight="true" outlineLevel="0" collapsed="false">
      <c r="A565" s="12"/>
      <c r="B565" s="9"/>
      <c r="C565" s="15" t="str">
        <f aca="false">IF($B565="","",IFERROR(INDEX(설비목록!$B$3:$B$202,MATCH($B565,설비목록!$A$3:$A$202,0)),"미등록설비"))</f>
        <v/>
      </c>
      <c r="D565" s="9"/>
      <c r="E565" s="9"/>
      <c r="F565" s="9"/>
      <c r="G565" s="9"/>
      <c r="H565" s="9"/>
    </row>
    <row r="566" customFormat="false" ht="15" hidden="false" customHeight="true" outlineLevel="0" collapsed="false">
      <c r="A566" s="12"/>
      <c r="B566" s="9"/>
      <c r="C566" s="15" t="str">
        <f aca="false">IF($B566="","",IFERROR(INDEX(설비목록!$B$3:$B$202,MATCH($B566,설비목록!$A$3:$A$202,0)),"미등록설비"))</f>
        <v/>
      </c>
      <c r="D566" s="9"/>
      <c r="E566" s="9"/>
      <c r="F566" s="9"/>
      <c r="G566" s="9"/>
      <c r="H566" s="9"/>
    </row>
    <row r="567" customFormat="false" ht="15" hidden="false" customHeight="true" outlineLevel="0" collapsed="false">
      <c r="A567" s="12"/>
      <c r="B567" s="9"/>
      <c r="C567" s="15" t="str">
        <f aca="false">IF($B567="","",IFERROR(INDEX(설비목록!$B$3:$B$202,MATCH($B567,설비목록!$A$3:$A$202,0)),"미등록설비"))</f>
        <v/>
      </c>
      <c r="D567" s="9"/>
      <c r="E567" s="9"/>
      <c r="F567" s="9"/>
      <c r="G567" s="9"/>
      <c r="H567" s="9"/>
    </row>
    <row r="568" customFormat="false" ht="15" hidden="false" customHeight="true" outlineLevel="0" collapsed="false">
      <c r="A568" s="12"/>
      <c r="B568" s="9"/>
      <c r="C568" s="15" t="str">
        <f aca="false">IF($B568="","",IFERROR(INDEX(설비목록!$B$3:$B$202,MATCH($B568,설비목록!$A$3:$A$202,0)),"미등록설비"))</f>
        <v/>
      </c>
      <c r="D568" s="9"/>
      <c r="E568" s="9"/>
      <c r="F568" s="9"/>
      <c r="G568" s="9"/>
      <c r="H568" s="9"/>
    </row>
    <row r="569" customFormat="false" ht="15" hidden="false" customHeight="true" outlineLevel="0" collapsed="false">
      <c r="A569" s="12"/>
      <c r="B569" s="9"/>
      <c r="C569" s="15" t="str">
        <f aca="false">IF($B569="","",IFERROR(INDEX(설비목록!$B$3:$B$202,MATCH($B569,설비목록!$A$3:$A$202,0)),"미등록설비"))</f>
        <v/>
      </c>
      <c r="D569" s="9"/>
      <c r="E569" s="9"/>
      <c r="F569" s="9"/>
      <c r="G569" s="9"/>
      <c r="H569" s="9"/>
    </row>
    <row r="570" customFormat="false" ht="15" hidden="false" customHeight="true" outlineLevel="0" collapsed="false">
      <c r="A570" s="12"/>
      <c r="B570" s="9"/>
      <c r="C570" s="15" t="str">
        <f aca="false">IF($B570="","",IFERROR(INDEX(설비목록!$B$3:$B$202,MATCH($B570,설비목록!$A$3:$A$202,0)),"미등록설비"))</f>
        <v/>
      </c>
      <c r="D570" s="9"/>
      <c r="E570" s="9"/>
      <c r="F570" s="9"/>
      <c r="G570" s="9"/>
      <c r="H570" s="9"/>
    </row>
    <row r="571" customFormat="false" ht="15" hidden="false" customHeight="true" outlineLevel="0" collapsed="false">
      <c r="A571" s="12"/>
      <c r="B571" s="9"/>
      <c r="C571" s="15" t="str">
        <f aca="false">IF($B571="","",IFERROR(INDEX(설비목록!$B$3:$B$202,MATCH($B571,설비목록!$A$3:$A$202,0)),"미등록설비"))</f>
        <v/>
      </c>
      <c r="D571" s="9"/>
      <c r="E571" s="9"/>
      <c r="F571" s="9"/>
      <c r="G571" s="9"/>
      <c r="H571" s="9"/>
    </row>
    <row r="572" customFormat="false" ht="15" hidden="false" customHeight="true" outlineLevel="0" collapsed="false">
      <c r="A572" s="12"/>
      <c r="B572" s="9"/>
      <c r="C572" s="15" t="str">
        <f aca="false">IF($B572="","",IFERROR(INDEX(설비목록!$B$3:$B$202,MATCH($B572,설비목록!$A$3:$A$202,0)),"미등록설비"))</f>
        <v/>
      </c>
      <c r="D572" s="9"/>
      <c r="E572" s="9"/>
      <c r="F572" s="9"/>
      <c r="G572" s="9"/>
      <c r="H572" s="9"/>
    </row>
    <row r="573" customFormat="false" ht="15" hidden="false" customHeight="true" outlineLevel="0" collapsed="false">
      <c r="A573" s="12"/>
      <c r="B573" s="9"/>
      <c r="C573" s="15" t="str">
        <f aca="false">IF($B573="","",IFERROR(INDEX(설비목록!$B$3:$B$202,MATCH($B573,설비목록!$A$3:$A$202,0)),"미등록설비"))</f>
        <v/>
      </c>
      <c r="D573" s="9"/>
      <c r="E573" s="9"/>
      <c r="F573" s="9"/>
      <c r="G573" s="9"/>
      <c r="H573" s="9"/>
    </row>
    <row r="574" customFormat="false" ht="15" hidden="false" customHeight="true" outlineLevel="0" collapsed="false">
      <c r="A574" s="12"/>
      <c r="B574" s="9"/>
      <c r="C574" s="15" t="str">
        <f aca="false">IF($B574="","",IFERROR(INDEX(설비목록!$B$3:$B$202,MATCH($B574,설비목록!$A$3:$A$202,0)),"미등록설비"))</f>
        <v/>
      </c>
      <c r="D574" s="9"/>
      <c r="E574" s="9"/>
      <c r="F574" s="9"/>
      <c r="G574" s="9"/>
      <c r="H574" s="9"/>
    </row>
    <row r="575" customFormat="false" ht="15" hidden="false" customHeight="true" outlineLevel="0" collapsed="false">
      <c r="A575" s="12"/>
      <c r="B575" s="9"/>
      <c r="C575" s="15" t="str">
        <f aca="false">IF($B575="","",IFERROR(INDEX(설비목록!$B$3:$B$202,MATCH($B575,설비목록!$A$3:$A$202,0)),"미등록설비"))</f>
        <v/>
      </c>
      <c r="D575" s="9"/>
      <c r="E575" s="9"/>
      <c r="F575" s="9"/>
      <c r="G575" s="9"/>
      <c r="H575" s="9"/>
    </row>
    <row r="576" customFormat="false" ht="15" hidden="false" customHeight="true" outlineLevel="0" collapsed="false">
      <c r="A576" s="12"/>
      <c r="B576" s="9"/>
      <c r="C576" s="15" t="str">
        <f aca="false">IF($B576="","",IFERROR(INDEX(설비목록!$B$3:$B$202,MATCH($B576,설비목록!$A$3:$A$202,0)),"미등록설비"))</f>
        <v/>
      </c>
      <c r="D576" s="9"/>
      <c r="E576" s="9"/>
      <c r="F576" s="9"/>
      <c r="G576" s="9"/>
      <c r="H576" s="9"/>
    </row>
    <row r="577" customFormat="false" ht="15" hidden="false" customHeight="true" outlineLevel="0" collapsed="false">
      <c r="A577" s="12"/>
      <c r="B577" s="9"/>
      <c r="C577" s="15" t="str">
        <f aca="false">IF($B577="","",IFERROR(INDEX(설비목록!$B$3:$B$202,MATCH($B577,설비목록!$A$3:$A$202,0)),"미등록설비"))</f>
        <v/>
      </c>
      <c r="D577" s="9"/>
      <c r="E577" s="9"/>
      <c r="F577" s="9"/>
      <c r="G577" s="9"/>
      <c r="H577" s="9"/>
    </row>
    <row r="578" customFormat="false" ht="15" hidden="false" customHeight="true" outlineLevel="0" collapsed="false">
      <c r="A578" s="12"/>
      <c r="B578" s="9"/>
      <c r="C578" s="15" t="str">
        <f aca="false">IF($B578="","",IFERROR(INDEX(설비목록!$B$3:$B$202,MATCH($B578,설비목록!$A$3:$A$202,0)),"미등록설비"))</f>
        <v/>
      </c>
      <c r="D578" s="9"/>
      <c r="E578" s="9"/>
      <c r="F578" s="9"/>
      <c r="G578" s="9"/>
      <c r="H578" s="9"/>
    </row>
    <row r="579" customFormat="false" ht="15" hidden="false" customHeight="true" outlineLevel="0" collapsed="false">
      <c r="A579" s="12"/>
      <c r="B579" s="9"/>
      <c r="C579" s="15" t="str">
        <f aca="false">IF($B579="","",IFERROR(INDEX(설비목록!$B$3:$B$202,MATCH($B579,설비목록!$A$3:$A$202,0)),"미등록설비"))</f>
        <v/>
      </c>
      <c r="D579" s="9"/>
      <c r="E579" s="9"/>
      <c r="F579" s="9"/>
      <c r="G579" s="9"/>
      <c r="H579" s="9"/>
    </row>
    <row r="580" customFormat="false" ht="15" hidden="false" customHeight="true" outlineLevel="0" collapsed="false">
      <c r="A580" s="12"/>
      <c r="B580" s="9"/>
      <c r="C580" s="15" t="str">
        <f aca="false">IF($B580="","",IFERROR(INDEX(설비목록!$B$3:$B$202,MATCH($B580,설비목록!$A$3:$A$202,0)),"미등록설비"))</f>
        <v/>
      </c>
      <c r="D580" s="9"/>
      <c r="E580" s="9"/>
      <c r="F580" s="9"/>
      <c r="G580" s="9"/>
      <c r="H580" s="9"/>
    </row>
    <row r="581" customFormat="false" ht="15" hidden="false" customHeight="true" outlineLevel="0" collapsed="false">
      <c r="A581" s="12"/>
      <c r="B581" s="9"/>
      <c r="C581" s="15" t="str">
        <f aca="false">IF($B581="","",IFERROR(INDEX(설비목록!$B$3:$B$202,MATCH($B581,설비목록!$A$3:$A$202,0)),"미등록설비"))</f>
        <v/>
      </c>
      <c r="D581" s="9"/>
      <c r="E581" s="9"/>
      <c r="F581" s="9"/>
      <c r="G581" s="9"/>
      <c r="H581" s="9"/>
    </row>
    <row r="582" customFormat="false" ht="15" hidden="false" customHeight="true" outlineLevel="0" collapsed="false">
      <c r="A582" s="12"/>
      <c r="B582" s="9"/>
      <c r="C582" s="15" t="str">
        <f aca="false">IF($B582="","",IFERROR(INDEX(설비목록!$B$3:$B$202,MATCH($B582,설비목록!$A$3:$A$202,0)),"미등록설비"))</f>
        <v/>
      </c>
      <c r="D582" s="9"/>
      <c r="E582" s="9"/>
      <c r="F582" s="9"/>
      <c r="G582" s="9"/>
      <c r="H582" s="9"/>
    </row>
    <row r="583" customFormat="false" ht="15" hidden="false" customHeight="true" outlineLevel="0" collapsed="false">
      <c r="A583" s="12"/>
      <c r="B583" s="9"/>
      <c r="C583" s="15" t="str">
        <f aca="false">IF($B583="","",IFERROR(INDEX(설비목록!$B$3:$B$202,MATCH($B583,설비목록!$A$3:$A$202,0)),"미등록설비"))</f>
        <v/>
      </c>
      <c r="D583" s="9"/>
      <c r="E583" s="9"/>
      <c r="F583" s="9"/>
      <c r="G583" s="9"/>
      <c r="H583" s="9"/>
    </row>
    <row r="584" customFormat="false" ht="15" hidden="false" customHeight="true" outlineLevel="0" collapsed="false">
      <c r="A584" s="12"/>
      <c r="B584" s="9"/>
      <c r="C584" s="15" t="str">
        <f aca="false">IF($B584="","",IFERROR(INDEX(설비목록!$B$3:$B$202,MATCH($B584,설비목록!$A$3:$A$202,0)),"미등록설비"))</f>
        <v/>
      </c>
      <c r="D584" s="9"/>
      <c r="E584" s="9"/>
      <c r="F584" s="9"/>
      <c r="G584" s="9"/>
      <c r="H584" s="9"/>
    </row>
    <row r="585" customFormat="false" ht="15" hidden="false" customHeight="true" outlineLevel="0" collapsed="false">
      <c r="A585" s="12"/>
      <c r="B585" s="9"/>
      <c r="C585" s="15" t="str">
        <f aca="false">IF($B585="","",IFERROR(INDEX(설비목록!$B$3:$B$202,MATCH($B585,설비목록!$A$3:$A$202,0)),"미등록설비"))</f>
        <v/>
      </c>
      <c r="D585" s="9"/>
      <c r="E585" s="9"/>
      <c r="F585" s="9"/>
      <c r="G585" s="9"/>
      <c r="H585" s="9"/>
    </row>
    <row r="586" customFormat="false" ht="15" hidden="false" customHeight="true" outlineLevel="0" collapsed="false">
      <c r="A586" s="12"/>
      <c r="B586" s="9"/>
      <c r="C586" s="15" t="str">
        <f aca="false">IF($B586="","",IFERROR(INDEX(설비목록!$B$3:$B$202,MATCH($B586,설비목록!$A$3:$A$202,0)),"미등록설비"))</f>
        <v/>
      </c>
      <c r="D586" s="9"/>
      <c r="E586" s="9"/>
      <c r="F586" s="9"/>
      <c r="G586" s="9"/>
      <c r="H586" s="9"/>
    </row>
    <row r="587" customFormat="false" ht="15" hidden="false" customHeight="true" outlineLevel="0" collapsed="false">
      <c r="A587" s="12"/>
      <c r="B587" s="9"/>
      <c r="C587" s="15" t="str">
        <f aca="false">IF($B587="","",IFERROR(INDEX(설비목록!$B$3:$B$202,MATCH($B587,설비목록!$A$3:$A$202,0)),"미등록설비"))</f>
        <v/>
      </c>
      <c r="D587" s="9"/>
      <c r="E587" s="9"/>
      <c r="F587" s="9"/>
      <c r="G587" s="9"/>
      <c r="H587" s="9"/>
    </row>
    <row r="588" customFormat="false" ht="15" hidden="false" customHeight="true" outlineLevel="0" collapsed="false">
      <c r="A588" s="12"/>
      <c r="B588" s="9"/>
      <c r="C588" s="15" t="str">
        <f aca="false">IF($B588="","",IFERROR(INDEX(설비목록!$B$3:$B$202,MATCH($B588,설비목록!$A$3:$A$202,0)),"미등록설비"))</f>
        <v/>
      </c>
      <c r="D588" s="9"/>
      <c r="E588" s="9"/>
      <c r="F588" s="9"/>
      <c r="G588" s="9"/>
      <c r="H588" s="9"/>
    </row>
    <row r="589" customFormat="false" ht="15" hidden="false" customHeight="true" outlineLevel="0" collapsed="false">
      <c r="A589" s="12"/>
      <c r="B589" s="9"/>
      <c r="C589" s="15" t="str">
        <f aca="false">IF($B589="","",IFERROR(INDEX(설비목록!$B$3:$B$202,MATCH($B589,설비목록!$A$3:$A$202,0)),"미등록설비"))</f>
        <v/>
      </c>
      <c r="D589" s="9"/>
      <c r="E589" s="9"/>
      <c r="F589" s="9"/>
      <c r="G589" s="9"/>
      <c r="H589" s="9"/>
    </row>
    <row r="590" customFormat="false" ht="15" hidden="false" customHeight="true" outlineLevel="0" collapsed="false">
      <c r="A590" s="12"/>
      <c r="B590" s="9"/>
      <c r="C590" s="15" t="str">
        <f aca="false">IF($B590="","",IFERROR(INDEX(설비목록!$B$3:$B$202,MATCH($B590,설비목록!$A$3:$A$202,0)),"미등록설비"))</f>
        <v/>
      </c>
      <c r="D590" s="9"/>
      <c r="E590" s="9"/>
      <c r="F590" s="9"/>
      <c r="G590" s="9"/>
      <c r="H590" s="9"/>
    </row>
    <row r="591" customFormat="false" ht="15" hidden="false" customHeight="true" outlineLevel="0" collapsed="false">
      <c r="A591" s="12"/>
      <c r="B591" s="9"/>
      <c r="C591" s="15" t="str">
        <f aca="false">IF($B591="","",IFERROR(INDEX(설비목록!$B$3:$B$202,MATCH($B591,설비목록!$A$3:$A$202,0)),"미등록설비"))</f>
        <v/>
      </c>
      <c r="D591" s="9"/>
      <c r="E591" s="9"/>
      <c r="F591" s="9"/>
      <c r="G591" s="9"/>
      <c r="H591" s="9"/>
    </row>
    <row r="592" customFormat="false" ht="15" hidden="false" customHeight="true" outlineLevel="0" collapsed="false">
      <c r="A592" s="12"/>
      <c r="B592" s="9"/>
      <c r="C592" s="15" t="str">
        <f aca="false">IF($B592="","",IFERROR(INDEX(설비목록!$B$3:$B$202,MATCH($B592,설비목록!$A$3:$A$202,0)),"미등록설비"))</f>
        <v/>
      </c>
      <c r="D592" s="9"/>
      <c r="E592" s="9"/>
      <c r="F592" s="9"/>
      <c r="G592" s="9"/>
      <c r="H592" s="9"/>
    </row>
    <row r="593" customFormat="false" ht="15" hidden="false" customHeight="true" outlineLevel="0" collapsed="false">
      <c r="A593" s="12"/>
      <c r="B593" s="9"/>
      <c r="C593" s="15" t="str">
        <f aca="false">IF($B593="","",IFERROR(INDEX(설비목록!$B$3:$B$202,MATCH($B593,설비목록!$A$3:$A$202,0)),"미등록설비"))</f>
        <v/>
      </c>
      <c r="D593" s="9"/>
      <c r="E593" s="9"/>
      <c r="F593" s="9"/>
      <c r="G593" s="9"/>
      <c r="H593" s="9"/>
    </row>
    <row r="594" customFormat="false" ht="15" hidden="false" customHeight="true" outlineLevel="0" collapsed="false">
      <c r="A594" s="12"/>
      <c r="B594" s="9"/>
      <c r="C594" s="15" t="str">
        <f aca="false">IF($B594="","",IFERROR(INDEX(설비목록!$B$3:$B$202,MATCH($B594,설비목록!$A$3:$A$202,0)),"미등록설비"))</f>
        <v/>
      </c>
      <c r="D594" s="9"/>
      <c r="E594" s="9"/>
      <c r="F594" s="9"/>
      <c r="G594" s="9"/>
      <c r="H594" s="9"/>
    </row>
    <row r="595" customFormat="false" ht="15" hidden="false" customHeight="true" outlineLevel="0" collapsed="false">
      <c r="A595" s="12"/>
      <c r="B595" s="9"/>
      <c r="C595" s="15" t="str">
        <f aca="false">IF($B595="","",IFERROR(INDEX(설비목록!$B$3:$B$202,MATCH($B595,설비목록!$A$3:$A$202,0)),"미등록설비"))</f>
        <v/>
      </c>
      <c r="D595" s="9"/>
      <c r="E595" s="9"/>
      <c r="F595" s="9"/>
      <c r="G595" s="9"/>
      <c r="H595" s="9"/>
    </row>
    <row r="596" customFormat="false" ht="15" hidden="false" customHeight="true" outlineLevel="0" collapsed="false">
      <c r="A596" s="12"/>
      <c r="B596" s="9"/>
      <c r="C596" s="15" t="str">
        <f aca="false">IF($B596="","",IFERROR(INDEX(설비목록!$B$3:$B$202,MATCH($B596,설비목록!$A$3:$A$202,0)),"미등록설비"))</f>
        <v/>
      </c>
      <c r="D596" s="9"/>
      <c r="E596" s="9"/>
      <c r="F596" s="9"/>
      <c r="G596" s="9"/>
      <c r="H596" s="9"/>
    </row>
    <row r="597" customFormat="false" ht="15" hidden="false" customHeight="true" outlineLevel="0" collapsed="false">
      <c r="A597" s="12"/>
      <c r="B597" s="9"/>
      <c r="C597" s="15" t="str">
        <f aca="false">IF($B597="","",IFERROR(INDEX(설비목록!$B$3:$B$202,MATCH($B597,설비목록!$A$3:$A$202,0)),"미등록설비"))</f>
        <v/>
      </c>
      <c r="D597" s="9"/>
      <c r="E597" s="9"/>
      <c r="F597" s="9"/>
      <c r="G597" s="9"/>
      <c r="H597" s="9"/>
    </row>
    <row r="598" customFormat="false" ht="15" hidden="false" customHeight="true" outlineLevel="0" collapsed="false">
      <c r="A598" s="12"/>
      <c r="B598" s="9"/>
      <c r="C598" s="15" t="str">
        <f aca="false">IF($B598="","",IFERROR(INDEX(설비목록!$B$3:$B$202,MATCH($B598,설비목록!$A$3:$A$202,0)),"미등록설비"))</f>
        <v/>
      </c>
      <c r="D598" s="9"/>
      <c r="E598" s="9"/>
      <c r="F598" s="9"/>
      <c r="G598" s="9"/>
      <c r="H598" s="9"/>
    </row>
    <row r="599" customFormat="false" ht="15" hidden="false" customHeight="true" outlineLevel="0" collapsed="false">
      <c r="A599" s="12"/>
      <c r="B599" s="9"/>
      <c r="C599" s="15" t="str">
        <f aca="false">IF($B599="","",IFERROR(INDEX(설비목록!$B$3:$B$202,MATCH($B599,설비목록!$A$3:$A$202,0)),"미등록설비"))</f>
        <v/>
      </c>
      <c r="D599" s="9"/>
      <c r="E599" s="9"/>
      <c r="F599" s="9"/>
      <c r="G599" s="9"/>
      <c r="H599" s="9"/>
    </row>
    <row r="600" customFormat="false" ht="15" hidden="false" customHeight="true" outlineLevel="0" collapsed="false">
      <c r="A600" s="12"/>
      <c r="B600" s="9"/>
      <c r="C600" s="15" t="str">
        <f aca="false">IF($B600="","",IFERROR(INDEX(설비목록!$B$3:$B$202,MATCH($B600,설비목록!$A$3:$A$202,0)),"미등록설비"))</f>
        <v/>
      </c>
      <c r="D600" s="9"/>
      <c r="E600" s="9"/>
      <c r="F600" s="9"/>
      <c r="G600" s="9"/>
      <c r="H600" s="9"/>
    </row>
    <row r="601" customFormat="false" ht="15" hidden="false" customHeight="true" outlineLevel="0" collapsed="false">
      <c r="A601" s="12"/>
      <c r="B601" s="9"/>
      <c r="C601" s="15" t="str">
        <f aca="false">IF($B601="","",IFERROR(INDEX(설비목록!$B$3:$B$202,MATCH($B601,설비목록!$A$3:$A$202,0)),"미등록설비"))</f>
        <v/>
      </c>
      <c r="D601" s="9"/>
      <c r="E601" s="9"/>
      <c r="F601" s="9"/>
      <c r="G601" s="9"/>
      <c r="H601" s="9"/>
    </row>
    <row r="602" customFormat="false" ht="15" hidden="false" customHeight="true" outlineLevel="0" collapsed="false">
      <c r="A602" s="12"/>
      <c r="B602" s="9"/>
      <c r="C602" s="15" t="str">
        <f aca="false">IF($B602="","",IFERROR(INDEX(설비목록!$B$3:$B$202,MATCH($B602,설비목록!$A$3:$A$202,0)),"미등록설비"))</f>
        <v/>
      </c>
      <c r="D602" s="9"/>
      <c r="E602" s="9"/>
      <c r="F602" s="9"/>
      <c r="G602" s="9"/>
      <c r="H602" s="9"/>
    </row>
    <row r="603" customFormat="false" ht="15" hidden="false" customHeight="true" outlineLevel="0" collapsed="false">
      <c r="A603" s="12"/>
      <c r="B603" s="9"/>
      <c r="C603" s="15" t="str">
        <f aca="false">IF($B603="","",IFERROR(INDEX(설비목록!$B$3:$B$202,MATCH($B603,설비목록!$A$3:$A$202,0)),"미등록설비"))</f>
        <v/>
      </c>
      <c r="D603" s="9"/>
      <c r="E603" s="9"/>
      <c r="F603" s="9"/>
      <c r="G603" s="9"/>
      <c r="H603" s="9"/>
    </row>
    <row r="604" customFormat="false" ht="15" hidden="false" customHeight="true" outlineLevel="0" collapsed="false">
      <c r="A604" s="12"/>
      <c r="B604" s="9"/>
      <c r="C604" s="15" t="str">
        <f aca="false">IF($B604="","",IFERROR(INDEX(설비목록!$B$3:$B$202,MATCH($B604,설비목록!$A$3:$A$202,0)),"미등록설비"))</f>
        <v/>
      </c>
      <c r="D604" s="9"/>
      <c r="E604" s="9"/>
      <c r="F604" s="9"/>
      <c r="G604" s="9"/>
      <c r="H604" s="9"/>
    </row>
    <row r="605" customFormat="false" ht="15" hidden="false" customHeight="true" outlineLevel="0" collapsed="false">
      <c r="A605" s="12"/>
      <c r="B605" s="9"/>
      <c r="C605" s="15" t="str">
        <f aca="false">IF($B605="","",IFERROR(INDEX(설비목록!$B$3:$B$202,MATCH($B605,설비목록!$A$3:$A$202,0)),"미등록설비"))</f>
        <v/>
      </c>
      <c r="D605" s="9"/>
      <c r="E605" s="9"/>
      <c r="F605" s="9"/>
      <c r="G605" s="9"/>
      <c r="H605" s="9"/>
    </row>
    <row r="606" customFormat="false" ht="15" hidden="false" customHeight="true" outlineLevel="0" collapsed="false">
      <c r="A606" s="12"/>
      <c r="B606" s="9"/>
      <c r="C606" s="15" t="str">
        <f aca="false">IF($B606="","",IFERROR(INDEX(설비목록!$B$3:$B$202,MATCH($B606,설비목록!$A$3:$A$202,0)),"미등록설비"))</f>
        <v/>
      </c>
      <c r="D606" s="9"/>
      <c r="E606" s="9"/>
      <c r="F606" s="9"/>
      <c r="G606" s="9"/>
      <c r="H606" s="9"/>
    </row>
    <row r="607" customFormat="false" ht="15" hidden="false" customHeight="true" outlineLevel="0" collapsed="false">
      <c r="A607" s="12"/>
      <c r="B607" s="9"/>
      <c r="C607" s="15" t="str">
        <f aca="false">IF($B607="","",IFERROR(INDEX(설비목록!$B$3:$B$202,MATCH($B607,설비목록!$A$3:$A$202,0)),"미등록설비"))</f>
        <v/>
      </c>
      <c r="D607" s="9"/>
      <c r="E607" s="9"/>
      <c r="F607" s="9"/>
      <c r="G607" s="9"/>
      <c r="H607" s="9"/>
    </row>
    <row r="608" customFormat="false" ht="15" hidden="false" customHeight="true" outlineLevel="0" collapsed="false">
      <c r="A608" s="12"/>
      <c r="B608" s="9"/>
      <c r="C608" s="15" t="str">
        <f aca="false">IF($B608="","",IFERROR(INDEX(설비목록!$B$3:$B$202,MATCH($B608,설비목록!$A$3:$A$202,0)),"미등록설비"))</f>
        <v/>
      </c>
      <c r="D608" s="9"/>
      <c r="E608" s="9"/>
      <c r="F608" s="9"/>
      <c r="G608" s="9"/>
      <c r="H608" s="9"/>
    </row>
    <row r="609" customFormat="false" ht="15" hidden="false" customHeight="true" outlineLevel="0" collapsed="false">
      <c r="A609" s="12"/>
      <c r="B609" s="9"/>
      <c r="C609" s="15" t="str">
        <f aca="false">IF($B609="","",IFERROR(INDEX(설비목록!$B$3:$B$202,MATCH($B609,설비목록!$A$3:$A$202,0)),"미등록설비"))</f>
        <v/>
      </c>
      <c r="D609" s="9"/>
      <c r="E609" s="9"/>
      <c r="F609" s="9"/>
      <c r="G609" s="9"/>
      <c r="H609" s="9"/>
    </row>
    <row r="610" customFormat="false" ht="15" hidden="false" customHeight="true" outlineLevel="0" collapsed="false">
      <c r="A610" s="12"/>
      <c r="B610" s="9"/>
      <c r="C610" s="15" t="str">
        <f aca="false">IF($B610="","",IFERROR(INDEX(설비목록!$B$3:$B$202,MATCH($B610,설비목록!$A$3:$A$202,0)),"미등록설비"))</f>
        <v/>
      </c>
      <c r="D610" s="9"/>
      <c r="E610" s="9"/>
      <c r="F610" s="9"/>
      <c r="G610" s="9"/>
      <c r="H610" s="9"/>
    </row>
    <row r="611" customFormat="false" ht="15" hidden="false" customHeight="true" outlineLevel="0" collapsed="false">
      <c r="A611" s="12"/>
      <c r="B611" s="9"/>
      <c r="C611" s="15" t="str">
        <f aca="false">IF($B611="","",IFERROR(INDEX(설비목록!$B$3:$B$202,MATCH($B611,설비목록!$A$3:$A$202,0)),"미등록설비"))</f>
        <v/>
      </c>
      <c r="D611" s="9"/>
      <c r="E611" s="9"/>
      <c r="F611" s="9"/>
      <c r="G611" s="9"/>
      <c r="H611" s="9"/>
    </row>
    <row r="612" customFormat="false" ht="15" hidden="false" customHeight="true" outlineLevel="0" collapsed="false">
      <c r="A612" s="12"/>
      <c r="B612" s="9"/>
      <c r="C612" s="15" t="str">
        <f aca="false">IF($B612="","",IFERROR(INDEX(설비목록!$B$3:$B$202,MATCH($B612,설비목록!$A$3:$A$202,0)),"미등록설비"))</f>
        <v/>
      </c>
      <c r="D612" s="9"/>
      <c r="E612" s="9"/>
      <c r="F612" s="9"/>
      <c r="G612" s="9"/>
      <c r="H612" s="9"/>
    </row>
    <row r="613" customFormat="false" ht="15" hidden="false" customHeight="true" outlineLevel="0" collapsed="false">
      <c r="A613" s="12"/>
      <c r="B613" s="9"/>
      <c r="C613" s="15" t="str">
        <f aca="false">IF($B613="","",IFERROR(INDEX(설비목록!$B$3:$B$202,MATCH($B613,설비목록!$A$3:$A$202,0)),"미등록설비"))</f>
        <v/>
      </c>
      <c r="D613" s="9"/>
      <c r="E613" s="9"/>
      <c r="F613" s="9"/>
      <c r="G613" s="9"/>
      <c r="H613" s="9"/>
    </row>
    <row r="614" customFormat="false" ht="15" hidden="false" customHeight="true" outlineLevel="0" collapsed="false">
      <c r="A614" s="12"/>
      <c r="B614" s="9"/>
      <c r="C614" s="15" t="str">
        <f aca="false">IF($B614="","",IFERROR(INDEX(설비목록!$B$3:$B$202,MATCH($B614,설비목록!$A$3:$A$202,0)),"미등록설비"))</f>
        <v/>
      </c>
      <c r="D614" s="9"/>
      <c r="E614" s="9"/>
      <c r="F614" s="9"/>
      <c r="G614" s="9"/>
      <c r="H614" s="9"/>
    </row>
    <row r="615" customFormat="false" ht="15" hidden="false" customHeight="true" outlineLevel="0" collapsed="false">
      <c r="A615" s="12"/>
      <c r="B615" s="9"/>
      <c r="C615" s="15" t="str">
        <f aca="false">IF($B615="","",IFERROR(INDEX(설비목록!$B$3:$B$202,MATCH($B615,설비목록!$A$3:$A$202,0)),"미등록설비"))</f>
        <v/>
      </c>
      <c r="D615" s="9"/>
      <c r="E615" s="9"/>
      <c r="F615" s="9"/>
      <c r="G615" s="9"/>
      <c r="H615" s="9"/>
    </row>
    <row r="616" customFormat="false" ht="15" hidden="false" customHeight="true" outlineLevel="0" collapsed="false">
      <c r="A616" s="12"/>
      <c r="B616" s="9"/>
      <c r="C616" s="15" t="str">
        <f aca="false">IF($B616="","",IFERROR(INDEX(설비목록!$B$3:$B$202,MATCH($B616,설비목록!$A$3:$A$202,0)),"미등록설비"))</f>
        <v/>
      </c>
      <c r="D616" s="9"/>
      <c r="E616" s="9"/>
      <c r="F616" s="9"/>
      <c r="G616" s="9"/>
      <c r="H616" s="9"/>
    </row>
    <row r="617" customFormat="false" ht="15" hidden="false" customHeight="true" outlineLevel="0" collapsed="false">
      <c r="A617" s="12"/>
      <c r="B617" s="9"/>
      <c r="C617" s="15" t="str">
        <f aca="false">IF($B617="","",IFERROR(INDEX(설비목록!$B$3:$B$202,MATCH($B617,설비목록!$A$3:$A$202,0)),"미등록설비"))</f>
        <v/>
      </c>
      <c r="D617" s="9"/>
      <c r="E617" s="9"/>
      <c r="F617" s="9"/>
      <c r="G617" s="9"/>
      <c r="H617" s="9"/>
    </row>
    <row r="618" customFormat="false" ht="15" hidden="false" customHeight="true" outlineLevel="0" collapsed="false">
      <c r="A618" s="12"/>
      <c r="B618" s="9"/>
      <c r="C618" s="15" t="str">
        <f aca="false">IF($B618="","",IFERROR(INDEX(설비목록!$B$3:$B$202,MATCH($B618,설비목록!$A$3:$A$202,0)),"미등록설비"))</f>
        <v/>
      </c>
      <c r="D618" s="9"/>
      <c r="E618" s="9"/>
      <c r="F618" s="9"/>
      <c r="G618" s="9"/>
      <c r="H618" s="9"/>
    </row>
    <row r="619" customFormat="false" ht="15" hidden="false" customHeight="true" outlineLevel="0" collapsed="false">
      <c r="A619" s="12"/>
      <c r="B619" s="9"/>
      <c r="C619" s="15" t="str">
        <f aca="false">IF($B619="","",IFERROR(INDEX(설비목록!$B$3:$B$202,MATCH($B619,설비목록!$A$3:$A$202,0)),"미등록설비"))</f>
        <v/>
      </c>
      <c r="D619" s="9"/>
      <c r="E619" s="9"/>
      <c r="F619" s="9"/>
      <c r="G619" s="9"/>
      <c r="H619" s="9"/>
    </row>
    <row r="620" customFormat="false" ht="15" hidden="false" customHeight="true" outlineLevel="0" collapsed="false">
      <c r="A620" s="12"/>
      <c r="B620" s="9"/>
      <c r="C620" s="15" t="str">
        <f aca="false">IF($B620="","",IFERROR(INDEX(설비목록!$B$3:$B$202,MATCH($B620,설비목록!$A$3:$A$202,0)),"미등록설비"))</f>
        <v/>
      </c>
      <c r="D620" s="9"/>
      <c r="E620" s="9"/>
      <c r="F620" s="9"/>
      <c r="G620" s="9"/>
      <c r="H620" s="9"/>
    </row>
    <row r="621" customFormat="false" ht="15" hidden="false" customHeight="true" outlineLevel="0" collapsed="false">
      <c r="A621" s="12"/>
      <c r="B621" s="9"/>
      <c r="C621" s="15" t="str">
        <f aca="false">IF($B621="","",IFERROR(INDEX(설비목록!$B$3:$B$202,MATCH($B621,설비목록!$A$3:$A$202,0)),"미등록설비"))</f>
        <v/>
      </c>
      <c r="D621" s="9"/>
      <c r="E621" s="9"/>
      <c r="F621" s="9"/>
      <c r="G621" s="9"/>
      <c r="H621" s="9"/>
    </row>
    <row r="622" customFormat="false" ht="15" hidden="false" customHeight="true" outlineLevel="0" collapsed="false">
      <c r="A622" s="12"/>
      <c r="B622" s="9"/>
      <c r="C622" s="15" t="str">
        <f aca="false">IF($B622="","",IFERROR(INDEX(설비목록!$B$3:$B$202,MATCH($B622,설비목록!$A$3:$A$202,0)),"미등록설비"))</f>
        <v/>
      </c>
      <c r="D622" s="9"/>
      <c r="E622" s="9"/>
      <c r="F622" s="9"/>
      <c r="G622" s="9"/>
      <c r="H622" s="9"/>
    </row>
    <row r="623" customFormat="false" ht="15" hidden="false" customHeight="true" outlineLevel="0" collapsed="false">
      <c r="A623" s="12"/>
      <c r="B623" s="9"/>
      <c r="C623" s="15" t="str">
        <f aca="false">IF($B623="","",IFERROR(INDEX(설비목록!$B$3:$B$202,MATCH($B623,설비목록!$A$3:$A$202,0)),"미등록설비"))</f>
        <v/>
      </c>
      <c r="D623" s="9"/>
      <c r="E623" s="9"/>
      <c r="F623" s="9"/>
      <c r="G623" s="9"/>
      <c r="H623" s="9"/>
    </row>
    <row r="624" customFormat="false" ht="15" hidden="false" customHeight="true" outlineLevel="0" collapsed="false">
      <c r="A624" s="12"/>
      <c r="B624" s="9"/>
      <c r="C624" s="15" t="str">
        <f aca="false">IF($B624="","",IFERROR(INDEX(설비목록!$B$3:$B$202,MATCH($B624,설비목록!$A$3:$A$202,0)),"미등록설비"))</f>
        <v/>
      </c>
      <c r="D624" s="9"/>
      <c r="E624" s="9"/>
      <c r="F624" s="9"/>
      <c r="G624" s="9"/>
      <c r="H624" s="9"/>
    </row>
    <row r="625" customFormat="false" ht="15" hidden="false" customHeight="true" outlineLevel="0" collapsed="false">
      <c r="A625" s="12"/>
      <c r="B625" s="9"/>
      <c r="C625" s="15" t="str">
        <f aca="false">IF($B625="","",IFERROR(INDEX(설비목록!$B$3:$B$202,MATCH($B625,설비목록!$A$3:$A$202,0)),"미등록설비"))</f>
        <v/>
      </c>
      <c r="D625" s="9"/>
      <c r="E625" s="9"/>
      <c r="F625" s="9"/>
      <c r="G625" s="9"/>
      <c r="H625" s="9"/>
    </row>
    <row r="626" customFormat="false" ht="15" hidden="false" customHeight="true" outlineLevel="0" collapsed="false">
      <c r="A626" s="12"/>
      <c r="B626" s="9"/>
      <c r="C626" s="15" t="str">
        <f aca="false">IF($B626="","",IFERROR(INDEX(설비목록!$B$3:$B$202,MATCH($B626,설비목록!$A$3:$A$202,0)),"미등록설비"))</f>
        <v/>
      </c>
      <c r="D626" s="9"/>
      <c r="E626" s="9"/>
      <c r="F626" s="9"/>
      <c r="G626" s="9"/>
      <c r="H626" s="9"/>
    </row>
    <row r="627" customFormat="false" ht="15" hidden="false" customHeight="true" outlineLevel="0" collapsed="false">
      <c r="A627" s="12"/>
      <c r="B627" s="9"/>
      <c r="C627" s="15" t="str">
        <f aca="false">IF($B627="","",IFERROR(INDEX(설비목록!$B$3:$B$202,MATCH($B627,설비목록!$A$3:$A$202,0)),"미등록설비"))</f>
        <v/>
      </c>
      <c r="D627" s="9"/>
      <c r="E627" s="9"/>
      <c r="F627" s="9"/>
      <c r="G627" s="9"/>
      <c r="H627" s="9"/>
    </row>
    <row r="628" customFormat="false" ht="15" hidden="false" customHeight="true" outlineLevel="0" collapsed="false">
      <c r="A628" s="12"/>
      <c r="B628" s="9"/>
      <c r="C628" s="15" t="str">
        <f aca="false">IF($B628="","",IFERROR(INDEX(설비목록!$B$3:$B$202,MATCH($B628,설비목록!$A$3:$A$202,0)),"미등록설비"))</f>
        <v/>
      </c>
      <c r="D628" s="9"/>
      <c r="E628" s="9"/>
      <c r="F628" s="9"/>
      <c r="G628" s="9"/>
      <c r="H628" s="9"/>
    </row>
    <row r="629" customFormat="false" ht="15" hidden="false" customHeight="true" outlineLevel="0" collapsed="false">
      <c r="A629" s="12"/>
      <c r="B629" s="9"/>
      <c r="C629" s="15" t="str">
        <f aca="false">IF($B629="","",IFERROR(INDEX(설비목록!$B$3:$B$202,MATCH($B629,설비목록!$A$3:$A$202,0)),"미등록설비"))</f>
        <v/>
      </c>
      <c r="D629" s="9"/>
      <c r="E629" s="9"/>
      <c r="F629" s="9"/>
      <c r="G629" s="9"/>
      <c r="H629" s="9"/>
    </row>
    <row r="630" customFormat="false" ht="15" hidden="false" customHeight="true" outlineLevel="0" collapsed="false">
      <c r="A630" s="12"/>
      <c r="B630" s="9"/>
      <c r="C630" s="15" t="str">
        <f aca="false">IF($B630="","",IFERROR(INDEX(설비목록!$B$3:$B$202,MATCH($B630,설비목록!$A$3:$A$202,0)),"미등록설비"))</f>
        <v/>
      </c>
      <c r="D630" s="9"/>
      <c r="E630" s="9"/>
      <c r="F630" s="9"/>
      <c r="G630" s="9"/>
      <c r="H630" s="9"/>
    </row>
    <row r="631" customFormat="false" ht="15" hidden="false" customHeight="true" outlineLevel="0" collapsed="false">
      <c r="A631" s="12"/>
      <c r="B631" s="9"/>
      <c r="C631" s="15" t="str">
        <f aca="false">IF($B631="","",IFERROR(INDEX(설비목록!$B$3:$B$202,MATCH($B631,설비목록!$A$3:$A$202,0)),"미등록설비"))</f>
        <v/>
      </c>
      <c r="D631" s="9"/>
      <c r="E631" s="9"/>
      <c r="F631" s="9"/>
      <c r="G631" s="9"/>
      <c r="H631" s="9"/>
    </row>
    <row r="632" customFormat="false" ht="15" hidden="false" customHeight="true" outlineLevel="0" collapsed="false">
      <c r="A632" s="12"/>
      <c r="B632" s="9"/>
      <c r="C632" s="15" t="str">
        <f aca="false">IF($B632="","",IFERROR(INDEX(설비목록!$B$3:$B$202,MATCH($B632,설비목록!$A$3:$A$202,0)),"미등록설비"))</f>
        <v/>
      </c>
      <c r="D632" s="9"/>
      <c r="E632" s="9"/>
      <c r="F632" s="9"/>
      <c r="G632" s="9"/>
      <c r="H632" s="9"/>
    </row>
    <row r="633" customFormat="false" ht="15" hidden="false" customHeight="true" outlineLevel="0" collapsed="false">
      <c r="A633" s="12"/>
      <c r="B633" s="9"/>
      <c r="C633" s="15" t="str">
        <f aca="false">IF($B633="","",IFERROR(INDEX(설비목록!$B$3:$B$202,MATCH($B633,설비목록!$A$3:$A$202,0)),"미등록설비"))</f>
        <v/>
      </c>
      <c r="D633" s="9"/>
      <c r="E633" s="9"/>
      <c r="F633" s="9"/>
      <c r="G633" s="9"/>
      <c r="H633" s="9"/>
    </row>
    <row r="634" customFormat="false" ht="15" hidden="false" customHeight="true" outlineLevel="0" collapsed="false">
      <c r="A634" s="12"/>
      <c r="B634" s="9"/>
      <c r="C634" s="15" t="str">
        <f aca="false">IF($B634="","",IFERROR(INDEX(설비목록!$B$3:$B$202,MATCH($B634,설비목록!$A$3:$A$202,0)),"미등록설비"))</f>
        <v/>
      </c>
      <c r="D634" s="9"/>
      <c r="E634" s="9"/>
      <c r="F634" s="9"/>
      <c r="G634" s="9"/>
      <c r="H634" s="9"/>
    </row>
    <row r="635" customFormat="false" ht="15" hidden="false" customHeight="true" outlineLevel="0" collapsed="false">
      <c r="A635" s="12"/>
      <c r="B635" s="9"/>
      <c r="C635" s="15" t="str">
        <f aca="false">IF($B635="","",IFERROR(INDEX(설비목록!$B$3:$B$202,MATCH($B635,설비목록!$A$3:$A$202,0)),"미등록설비"))</f>
        <v/>
      </c>
      <c r="D635" s="9"/>
      <c r="E635" s="9"/>
      <c r="F635" s="9"/>
      <c r="G635" s="9"/>
      <c r="H635" s="9"/>
    </row>
    <row r="636" customFormat="false" ht="15" hidden="false" customHeight="true" outlineLevel="0" collapsed="false">
      <c r="A636" s="12"/>
      <c r="B636" s="9"/>
      <c r="C636" s="15" t="str">
        <f aca="false">IF($B636="","",IFERROR(INDEX(설비목록!$B$3:$B$202,MATCH($B636,설비목록!$A$3:$A$202,0)),"미등록설비"))</f>
        <v/>
      </c>
      <c r="D636" s="9"/>
      <c r="E636" s="9"/>
      <c r="F636" s="9"/>
      <c r="G636" s="9"/>
      <c r="H636" s="9"/>
    </row>
    <row r="637" customFormat="false" ht="15" hidden="false" customHeight="true" outlineLevel="0" collapsed="false">
      <c r="A637" s="12"/>
      <c r="B637" s="9"/>
      <c r="C637" s="15" t="str">
        <f aca="false">IF($B637="","",IFERROR(INDEX(설비목록!$B$3:$B$202,MATCH($B637,설비목록!$A$3:$A$202,0)),"미등록설비"))</f>
        <v/>
      </c>
      <c r="D637" s="9"/>
      <c r="E637" s="9"/>
      <c r="F637" s="9"/>
      <c r="G637" s="9"/>
      <c r="H637" s="9"/>
    </row>
    <row r="638" customFormat="false" ht="15" hidden="false" customHeight="true" outlineLevel="0" collapsed="false">
      <c r="A638" s="12"/>
      <c r="B638" s="9"/>
      <c r="C638" s="15" t="str">
        <f aca="false">IF($B638="","",IFERROR(INDEX(설비목록!$B$3:$B$202,MATCH($B638,설비목록!$A$3:$A$202,0)),"미등록설비"))</f>
        <v/>
      </c>
      <c r="D638" s="9"/>
      <c r="E638" s="9"/>
      <c r="F638" s="9"/>
      <c r="G638" s="9"/>
      <c r="H638" s="9"/>
    </row>
    <row r="639" customFormat="false" ht="15" hidden="false" customHeight="true" outlineLevel="0" collapsed="false">
      <c r="A639" s="12"/>
      <c r="B639" s="9"/>
      <c r="C639" s="15" t="str">
        <f aca="false">IF($B639="","",IFERROR(INDEX(설비목록!$B$3:$B$202,MATCH($B639,설비목록!$A$3:$A$202,0)),"미등록설비"))</f>
        <v/>
      </c>
      <c r="D639" s="9"/>
      <c r="E639" s="9"/>
      <c r="F639" s="9"/>
      <c r="G639" s="9"/>
      <c r="H639" s="9"/>
    </row>
    <row r="640" customFormat="false" ht="15" hidden="false" customHeight="true" outlineLevel="0" collapsed="false">
      <c r="A640" s="12"/>
      <c r="B640" s="9"/>
      <c r="C640" s="15" t="str">
        <f aca="false">IF($B640="","",IFERROR(INDEX(설비목록!$B$3:$B$202,MATCH($B640,설비목록!$A$3:$A$202,0)),"미등록설비"))</f>
        <v/>
      </c>
      <c r="D640" s="9"/>
      <c r="E640" s="9"/>
      <c r="F640" s="9"/>
      <c r="G640" s="9"/>
      <c r="H640" s="9"/>
    </row>
    <row r="641" customFormat="false" ht="15" hidden="false" customHeight="true" outlineLevel="0" collapsed="false">
      <c r="A641" s="12"/>
      <c r="B641" s="9"/>
      <c r="C641" s="15" t="str">
        <f aca="false">IF($B641="","",IFERROR(INDEX(설비목록!$B$3:$B$202,MATCH($B641,설비목록!$A$3:$A$202,0)),"미등록설비"))</f>
        <v/>
      </c>
      <c r="D641" s="9"/>
      <c r="E641" s="9"/>
      <c r="F641" s="9"/>
      <c r="G641" s="9"/>
      <c r="H641" s="9"/>
    </row>
    <row r="642" customFormat="false" ht="15" hidden="false" customHeight="true" outlineLevel="0" collapsed="false">
      <c r="A642" s="12"/>
      <c r="B642" s="9"/>
      <c r="C642" s="15" t="str">
        <f aca="false">IF($B642="","",IFERROR(INDEX(설비목록!$B$3:$B$202,MATCH($B642,설비목록!$A$3:$A$202,0)),"미등록설비"))</f>
        <v/>
      </c>
      <c r="D642" s="9"/>
      <c r="E642" s="9"/>
      <c r="F642" s="9"/>
      <c r="G642" s="9"/>
      <c r="H642" s="9"/>
    </row>
    <row r="643" customFormat="false" ht="15" hidden="false" customHeight="true" outlineLevel="0" collapsed="false">
      <c r="A643" s="12"/>
      <c r="B643" s="9"/>
      <c r="C643" s="15" t="str">
        <f aca="false">IF($B643="","",IFERROR(INDEX(설비목록!$B$3:$B$202,MATCH($B643,설비목록!$A$3:$A$202,0)),"미등록설비"))</f>
        <v/>
      </c>
      <c r="D643" s="9"/>
      <c r="E643" s="9"/>
      <c r="F643" s="9"/>
      <c r="G643" s="9"/>
      <c r="H643" s="9"/>
    </row>
    <row r="644" customFormat="false" ht="15" hidden="false" customHeight="true" outlineLevel="0" collapsed="false">
      <c r="A644" s="12"/>
      <c r="B644" s="9"/>
      <c r="C644" s="15" t="str">
        <f aca="false">IF($B644="","",IFERROR(INDEX(설비목록!$B$3:$B$202,MATCH($B644,설비목록!$A$3:$A$202,0)),"미등록설비"))</f>
        <v/>
      </c>
      <c r="D644" s="9"/>
      <c r="E644" s="9"/>
      <c r="F644" s="9"/>
      <c r="G644" s="9"/>
      <c r="H644" s="9"/>
    </row>
    <row r="645" customFormat="false" ht="15" hidden="false" customHeight="true" outlineLevel="0" collapsed="false">
      <c r="A645" s="12"/>
      <c r="B645" s="9"/>
      <c r="C645" s="15" t="str">
        <f aca="false">IF($B645="","",IFERROR(INDEX(설비목록!$B$3:$B$202,MATCH($B645,설비목록!$A$3:$A$202,0)),"미등록설비"))</f>
        <v/>
      </c>
      <c r="D645" s="9"/>
      <c r="E645" s="9"/>
      <c r="F645" s="9"/>
      <c r="G645" s="9"/>
      <c r="H645" s="9"/>
    </row>
    <row r="646" customFormat="false" ht="15" hidden="false" customHeight="true" outlineLevel="0" collapsed="false">
      <c r="A646" s="12"/>
      <c r="B646" s="9"/>
      <c r="C646" s="15" t="str">
        <f aca="false">IF($B646="","",IFERROR(INDEX(설비목록!$B$3:$B$202,MATCH($B646,설비목록!$A$3:$A$202,0)),"미등록설비"))</f>
        <v/>
      </c>
      <c r="D646" s="9"/>
      <c r="E646" s="9"/>
      <c r="F646" s="9"/>
      <c r="G646" s="9"/>
      <c r="H646" s="9"/>
    </row>
    <row r="647" customFormat="false" ht="15" hidden="false" customHeight="true" outlineLevel="0" collapsed="false">
      <c r="A647" s="12"/>
      <c r="B647" s="9"/>
      <c r="C647" s="15" t="str">
        <f aca="false">IF($B647="","",IFERROR(INDEX(설비목록!$B$3:$B$202,MATCH($B647,설비목록!$A$3:$A$202,0)),"미등록설비"))</f>
        <v/>
      </c>
      <c r="D647" s="9"/>
      <c r="E647" s="9"/>
      <c r="F647" s="9"/>
      <c r="G647" s="9"/>
      <c r="H647" s="9"/>
    </row>
    <row r="648" customFormat="false" ht="15" hidden="false" customHeight="true" outlineLevel="0" collapsed="false">
      <c r="A648" s="12"/>
      <c r="B648" s="9"/>
      <c r="C648" s="15" t="str">
        <f aca="false">IF($B648="","",IFERROR(INDEX(설비목록!$B$3:$B$202,MATCH($B648,설비목록!$A$3:$A$202,0)),"미등록설비"))</f>
        <v/>
      </c>
      <c r="D648" s="9"/>
      <c r="E648" s="9"/>
      <c r="F648" s="9"/>
      <c r="G648" s="9"/>
      <c r="H648" s="9"/>
    </row>
    <row r="649" customFormat="false" ht="15" hidden="false" customHeight="true" outlineLevel="0" collapsed="false">
      <c r="A649" s="12"/>
      <c r="B649" s="9"/>
      <c r="C649" s="15" t="str">
        <f aca="false">IF($B649="","",IFERROR(INDEX(설비목록!$B$3:$B$202,MATCH($B649,설비목록!$A$3:$A$202,0)),"미등록설비"))</f>
        <v/>
      </c>
      <c r="D649" s="9"/>
      <c r="E649" s="9"/>
      <c r="F649" s="9"/>
      <c r="G649" s="9"/>
      <c r="H649" s="9"/>
    </row>
    <row r="650" customFormat="false" ht="15" hidden="false" customHeight="true" outlineLevel="0" collapsed="false">
      <c r="A650" s="12"/>
      <c r="B650" s="9"/>
      <c r="C650" s="15" t="str">
        <f aca="false">IF($B650="","",IFERROR(INDEX(설비목록!$B$3:$B$202,MATCH($B650,설비목록!$A$3:$A$202,0)),"미등록설비"))</f>
        <v/>
      </c>
      <c r="D650" s="9"/>
      <c r="E650" s="9"/>
      <c r="F650" s="9"/>
      <c r="G650" s="9"/>
      <c r="H650" s="9"/>
    </row>
    <row r="651" customFormat="false" ht="15" hidden="false" customHeight="true" outlineLevel="0" collapsed="false">
      <c r="A651" s="12"/>
      <c r="B651" s="9"/>
      <c r="C651" s="15" t="str">
        <f aca="false">IF($B651="","",IFERROR(INDEX(설비목록!$B$3:$B$202,MATCH($B651,설비목록!$A$3:$A$202,0)),"미등록설비"))</f>
        <v/>
      </c>
      <c r="D651" s="9"/>
      <c r="E651" s="9"/>
      <c r="F651" s="9"/>
      <c r="G651" s="9"/>
      <c r="H651" s="9"/>
    </row>
    <row r="652" customFormat="false" ht="15" hidden="false" customHeight="true" outlineLevel="0" collapsed="false">
      <c r="A652" s="12"/>
      <c r="B652" s="9"/>
      <c r="C652" s="15" t="str">
        <f aca="false">IF($B652="","",IFERROR(INDEX(설비목록!$B$3:$B$202,MATCH($B652,설비목록!$A$3:$A$202,0)),"미등록설비"))</f>
        <v/>
      </c>
      <c r="D652" s="9"/>
      <c r="E652" s="9"/>
      <c r="F652" s="9"/>
      <c r="G652" s="9"/>
      <c r="H652" s="9"/>
    </row>
    <row r="653" customFormat="false" ht="15" hidden="false" customHeight="true" outlineLevel="0" collapsed="false">
      <c r="A653" s="12"/>
      <c r="B653" s="9"/>
      <c r="C653" s="15" t="str">
        <f aca="false">IF($B653="","",IFERROR(INDEX(설비목록!$B$3:$B$202,MATCH($B653,설비목록!$A$3:$A$202,0)),"미등록설비"))</f>
        <v/>
      </c>
      <c r="D653" s="9"/>
      <c r="E653" s="9"/>
      <c r="F653" s="9"/>
      <c r="G653" s="9"/>
      <c r="H653" s="9"/>
    </row>
    <row r="654" customFormat="false" ht="15" hidden="false" customHeight="true" outlineLevel="0" collapsed="false">
      <c r="A654" s="12"/>
      <c r="B654" s="9"/>
      <c r="C654" s="15" t="str">
        <f aca="false">IF($B654="","",IFERROR(INDEX(설비목록!$B$3:$B$202,MATCH($B654,설비목록!$A$3:$A$202,0)),"미등록설비"))</f>
        <v/>
      </c>
      <c r="D654" s="9"/>
      <c r="E654" s="9"/>
      <c r="F654" s="9"/>
      <c r="G654" s="9"/>
      <c r="H654" s="9"/>
    </row>
    <row r="655" customFormat="false" ht="15" hidden="false" customHeight="true" outlineLevel="0" collapsed="false">
      <c r="A655" s="12"/>
      <c r="B655" s="9"/>
      <c r="C655" s="15" t="str">
        <f aca="false">IF($B655="","",IFERROR(INDEX(설비목록!$B$3:$B$202,MATCH($B655,설비목록!$A$3:$A$202,0)),"미등록설비"))</f>
        <v/>
      </c>
      <c r="D655" s="9"/>
      <c r="E655" s="9"/>
      <c r="F655" s="9"/>
      <c r="G655" s="9"/>
      <c r="H655" s="9"/>
    </row>
    <row r="656" customFormat="false" ht="15" hidden="false" customHeight="true" outlineLevel="0" collapsed="false">
      <c r="A656" s="12"/>
      <c r="B656" s="9"/>
      <c r="C656" s="15" t="str">
        <f aca="false">IF($B656="","",IFERROR(INDEX(설비목록!$B$3:$B$202,MATCH($B656,설비목록!$A$3:$A$202,0)),"미등록설비"))</f>
        <v/>
      </c>
      <c r="D656" s="9"/>
      <c r="E656" s="9"/>
      <c r="F656" s="9"/>
      <c r="G656" s="9"/>
      <c r="H656" s="9"/>
    </row>
    <row r="657" customFormat="false" ht="15" hidden="false" customHeight="true" outlineLevel="0" collapsed="false">
      <c r="A657" s="12"/>
      <c r="B657" s="9"/>
      <c r="C657" s="15" t="str">
        <f aca="false">IF($B657="","",IFERROR(INDEX(설비목록!$B$3:$B$202,MATCH($B657,설비목록!$A$3:$A$202,0)),"미등록설비"))</f>
        <v/>
      </c>
      <c r="D657" s="9"/>
      <c r="E657" s="9"/>
      <c r="F657" s="9"/>
      <c r="G657" s="9"/>
      <c r="H657" s="9"/>
    </row>
    <row r="658" customFormat="false" ht="15" hidden="false" customHeight="true" outlineLevel="0" collapsed="false">
      <c r="A658" s="12"/>
      <c r="B658" s="9"/>
      <c r="C658" s="15" t="str">
        <f aca="false">IF($B658="","",IFERROR(INDEX(설비목록!$B$3:$B$202,MATCH($B658,설비목록!$A$3:$A$202,0)),"미등록설비"))</f>
        <v/>
      </c>
      <c r="D658" s="9"/>
      <c r="E658" s="9"/>
      <c r="F658" s="9"/>
      <c r="G658" s="9"/>
      <c r="H658" s="9"/>
    </row>
    <row r="659" customFormat="false" ht="15" hidden="false" customHeight="true" outlineLevel="0" collapsed="false">
      <c r="A659" s="12"/>
      <c r="B659" s="9"/>
      <c r="C659" s="15" t="str">
        <f aca="false">IF($B659="","",IFERROR(INDEX(설비목록!$B$3:$B$202,MATCH($B659,설비목록!$A$3:$A$202,0)),"미등록설비"))</f>
        <v/>
      </c>
      <c r="D659" s="9"/>
      <c r="E659" s="9"/>
      <c r="F659" s="9"/>
      <c r="G659" s="9"/>
      <c r="H659" s="9"/>
    </row>
    <row r="660" customFormat="false" ht="15" hidden="false" customHeight="true" outlineLevel="0" collapsed="false">
      <c r="A660" s="12"/>
      <c r="B660" s="9"/>
      <c r="C660" s="15" t="str">
        <f aca="false">IF($B660="","",IFERROR(INDEX(설비목록!$B$3:$B$202,MATCH($B660,설비목록!$A$3:$A$202,0)),"미등록설비"))</f>
        <v/>
      </c>
      <c r="D660" s="9"/>
      <c r="E660" s="9"/>
      <c r="F660" s="9"/>
      <c r="G660" s="9"/>
      <c r="H660" s="9"/>
    </row>
    <row r="661" customFormat="false" ht="15" hidden="false" customHeight="true" outlineLevel="0" collapsed="false">
      <c r="A661" s="12"/>
      <c r="B661" s="9"/>
      <c r="C661" s="15" t="str">
        <f aca="false">IF($B661="","",IFERROR(INDEX(설비목록!$B$3:$B$202,MATCH($B661,설비목록!$A$3:$A$202,0)),"미등록설비"))</f>
        <v/>
      </c>
      <c r="D661" s="9"/>
      <c r="E661" s="9"/>
      <c r="F661" s="9"/>
      <c r="G661" s="9"/>
      <c r="H661" s="9"/>
    </row>
    <row r="662" customFormat="false" ht="15" hidden="false" customHeight="true" outlineLevel="0" collapsed="false">
      <c r="A662" s="12"/>
      <c r="B662" s="9"/>
      <c r="C662" s="15" t="str">
        <f aca="false">IF($B662="","",IFERROR(INDEX(설비목록!$B$3:$B$202,MATCH($B662,설비목록!$A$3:$A$202,0)),"미등록설비"))</f>
        <v/>
      </c>
      <c r="D662" s="9"/>
      <c r="E662" s="9"/>
      <c r="F662" s="9"/>
      <c r="G662" s="9"/>
      <c r="H662" s="9"/>
    </row>
    <row r="663" customFormat="false" ht="15" hidden="false" customHeight="true" outlineLevel="0" collapsed="false">
      <c r="A663" s="12"/>
      <c r="B663" s="9"/>
      <c r="C663" s="15" t="str">
        <f aca="false">IF($B663="","",IFERROR(INDEX(설비목록!$B$3:$B$202,MATCH($B663,설비목록!$A$3:$A$202,0)),"미등록설비"))</f>
        <v/>
      </c>
      <c r="D663" s="9"/>
      <c r="E663" s="9"/>
      <c r="F663" s="9"/>
      <c r="G663" s="9"/>
      <c r="H663" s="9"/>
    </row>
    <row r="664" customFormat="false" ht="15" hidden="false" customHeight="true" outlineLevel="0" collapsed="false">
      <c r="A664" s="12"/>
      <c r="B664" s="9"/>
      <c r="C664" s="15" t="str">
        <f aca="false">IF($B664="","",IFERROR(INDEX(설비목록!$B$3:$B$202,MATCH($B664,설비목록!$A$3:$A$202,0)),"미등록설비"))</f>
        <v/>
      </c>
      <c r="D664" s="9"/>
      <c r="E664" s="9"/>
      <c r="F664" s="9"/>
      <c r="G664" s="9"/>
      <c r="H664" s="9"/>
    </row>
    <row r="665" customFormat="false" ht="15" hidden="false" customHeight="true" outlineLevel="0" collapsed="false">
      <c r="A665" s="12"/>
      <c r="B665" s="9"/>
      <c r="C665" s="15" t="str">
        <f aca="false">IF($B665="","",IFERROR(INDEX(설비목록!$B$3:$B$202,MATCH($B665,설비목록!$A$3:$A$202,0)),"미등록설비"))</f>
        <v/>
      </c>
      <c r="D665" s="9"/>
      <c r="E665" s="9"/>
      <c r="F665" s="9"/>
      <c r="G665" s="9"/>
      <c r="H665" s="9"/>
    </row>
    <row r="666" customFormat="false" ht="15" hidden="false" customHeight="true" outlineLevel="0" collapsed="false">
      <c r="A666" s="12"/>
      <c r="B666" s="9"/>
      <c r="C666" s="15" t="str">
        <f aca="false">IF($B666="","",IFERROR(INDEX(설비목록!$B$3:$B$202,MATCH($B666,설비목록!$A$3:$A$202,0)),"미등록설비"))</f>
        <v/>
      </c>
      <c r="D666" s="9"/>
      <c r="E666" s="9"/>
      <c r="F666" s="9"/>
      <c r="G666" s="9"/>
      <c r="H666" s="9"/>
    </row>
    <row r="667" customFormat="false" ht="15" hidden="false" customHeight="true" outlineLevel="0" collapsed="false">
      <c r="A667" s="12"/>
      <c r="B667" s="9"/>
      <c r="C667" s="15" t="str">
        <f aca="false">IF($B667="","",IFERROR(INDEX(설비목록!$B$3:$B$202,MATCH($B667,설비목록!$A$3:$A$202,0)),"미등록설비"))</f>
        <v/>
      </c>
      <c r="D667" s="9"/>
      <c r="E667" s="9"/>
      <c r="F667" s="9"/>
      <c r="G667" s="9"/>
      <c r="H667" s="9"/>
    </row>
    <row r="668" customFormat="false" ht="15" hidden="false" customHeight="true" outlineLevel="0" collapsed="false">
      <c r="A668" s="12"/>
      <c r="B668" s="9"/>
      <c r="C668" s="15" t="str">
        <f aca="false">IF($B668="","",IFERROR(INDEX(설비목록!$B$3:$B$202,MATCH($B668,설비목록!$A$3:$A$202,0)),"미등록설비"))</f>
        <v/>
      </c>
      <c r="D668" s="9"/>
      <c r="E668" s="9"/>
      <c r="F668" s="9"/>
      <c r="G668" s="9"/>
      <c r="H668" s="9"/>
    </row>
    <row r="669" customFormat="false" ht="15" hidden="false" customHeight="true" outlineLevel="0" collapsed="false">
      <c r="A669" s="12"/>
      <c r="B669" s="9"/>
      <c r="C669" s="15" t="str">
        <f aca="false">IF($B669="","",IFERROR(INDEX(설비목록!$B$3:$B$202,MATCH($B669,설비목록!$A$3:$A$202,0)),"미등록설비"))</f>
        <v/>
      </c>
      <c r="D669" s="9"/>
      <c r="E669" s="9"/>
      <c r="F669" s="9"/>
      <c r="G669" s="9"/>
      <c r="H669" s="9"/>
    </row>
    <row r="670" customFormat="false" ht="15" hidden="false" customHeight="true" outlineLevel="0" collapsed="false">
      <c r="A670" s="12"/>
      <c r="B670" s="9"/>
      <c r="C670" s="15" t="str">
        <f aca="false">IF($B670="","",IFERROR(INDEX(설비목록!$B$3:$B$202,MATCH($B670,설비목록!$A$3:$A$202,0)),"미등록설비"))</f>
        <v/>
      </c>
      <c r="D670" s="9"/>
      <c r="E670" s="9"/>
      <c r="F670" s="9"/>
      <c r="G670" s="9"/>
      <c r="H670" s="9"/>
    </row>
    <row r="671" customFormat="false" ht="15" hidden="false" customHeight="true" outlineLevel="0" collapsed="false">
      <c r="A671" s="12"/>
      <c r="B671" s="9"/>
      <c r="C671" s="15" t="str">
        <f aca="false">IF($B671="","",IFERROR(INDEX(설비목록!$B$3:$B$202,MATCH($B671,설비목록!$A$3:$A$202,0)),"미등록설비"))</f>
        <v/>
      </c>
      <c r="D671" s="9"/>
      <c r="E671" s="9"/>
      <c r="F671" s="9"/>
      <c r="G671" s="9"/>
      <c r="H671" s="9"/>
    </row>
    <row r="672" customFormat="false" ht="15" hidden="false" customHeight="true" outlineLevel="0" collapsed="false">
      <c r="A672" s="12"/>
      <c r="B672" s="9"/>
      <c r="C672" s="15" t="str">
        <f aca="false">IF($B672="","",IFERROR(INDEX(설비목록!$B$3:$B$202,MATCH($B672,설비목록!$A$3:$A$202,0)),"미등록설비"))</f>
        <v/>
      </c>
      <c r="D672" s="9"/>
      <c r="E672" s="9"/>
      <c r="F672" s="9"/>
      <c r="G672" s="9"/>
      <c r="H672" s="9"/>
    </row>
    <row r="673" customFormat="false" ht="15" hidden="false" customHeight="true" outlineLevel="0" collapsed="false">
      <c r="A673" s="12"/>
      <c r="B673" s="9"/>
      <c r="C673" s="15" t="str">
        <f aca="false">IF($B673="","",IFERROR(INDEX(설비목록!$B$3:$B$202,MATCH($B673,설비목록!$A$3:$A$202,0)),"미등록설비"))</f>
        <v/>
      </c>
      <c r="D673" s="9"/>
      <c r="E673" s="9"/>
      <c r="F673" s="9"/>
      <c r="G673" s="9"/>
      <c r="H673" s="9"/>
    </row>
    <row r="674" customFormat="false" ht="15" hidden="false" customHeight="true" outlineLevel="0" collapsed="false">
      <c r="A674" s="12"/>
      <c r="B674" s="9"/>
      <c r="C674" s="15" t="str">
        <f aca="false">IF($B674="","",IFERROR(INDEX(설비목록!$B$3:$B$202,MATCH($B674,설비목록!$A$3:$A$202,0)),"미등록설비"))</f>
        <v/>
      </c>
      <c r="D674" s="9"/>
      <c r="E674" s="9"/>
      <c r="F674" s="9"/>
      <c r="G674" s="9"/>
      <c r="H674" s="9"/>
    </row>
    <row r="675" customFormat="false" ht="15" hidden="false" customHeight="true" outlineLevel="0" collapsed="false">
      <c r="A675" s="12"/>
      <c r="B675" s="9"/>
      <c r="C675" s="15" t="str">
        <f aca="false">IF($B675="","",IFERROR(INDEX(설비목록!$B$3:$B$202,MATCH($B675,설비목록!$A$3:$A$202,0)),"미등록설비"))</f>
        <v/>
      </c>
      <c r="D675" s="9"/>
      <c r="E675" s="9"/>
      <c r="F675" s="9"/>
      <c r="G675" s="9"/>
      <c r="H675" s="9"/>
    </row>
    <row r="676" customFormat="false" ht="15" hidden="false" customHeight="true" outlineLevel="0" collapsed="false">
      <c r="A676" s="12"/>
      <c r="B676" s="9"/>
      <c r="C676" s="15" t="str">
        <f aca="false">IF($B676="","",IFERROR(INDEX(설비목록!$B$3:$B$202,MATCH($B676,설비목록!$A$3:$A$202,0)),"미등록설비"))</f>
        <v/>
      </c>
      <c r="D676" s="9"/>
      <c r="E676" s="9"/>
      <c r="F676" s="9"/>
      <c r="G676" s="9"/>
      <c r="H676" s="9"/>
    </row>
    <row r="677" customFormat="false" ht="15" hidden="false" customHeight="true" outlineLevel="0" collapsed="false">
      <c r="A677" s="12"/>
      <c r="B677" s="9"/>
      <c r="C677" s="15" t="str">
        <f aca="false">IF($B677="","",IFERROR(INDEX(설비목록!$B$3:$B$202,MATCH($B677,설비목록!$A$3:$A$202,0)),"미등록설비"))</f>
        <v/>
      </c>
      <c r="D677" s="9"/>
      <c r="E677" s="9"/>
      <c r="F677" s="9"/>
      <c r="G677" s="9"/>
      <c r="H677" s="9"/>
    </row>
    <row r="678" customFormat="false" ht="15" hidden="false" customHeight="true" outlineLevel="0" collapsed="false">
      <c r="A678" s="12"/>
      <c r="B678" s="9"/>
      <c r="C678" s="15" t="str">
        <f aca="false">IF($B678="","",IFERROR(INDEX(설비목록!$B$3:$B$202,MATCH($B678,설비목록!$A$3:$A$202,0)),"미등록설비"))</f>
        <v/>
      </c>
      <c r="D678" s="9"/>
      <c r="E678" s="9"/>
      <c r="F678" s="9"/>
      <c r="G678" s="9"/>
      <c r="H678" s="9"/>
    </row>
    <row r="679" customFormat="false" ht="15" hidden="false" customHeight="true" outlineLevel="0" collapsed="false">
      <c r="A679" s="12"/>
      <c r="B679" s="9"/>
      <c r="C679" s="15" t="str">
        <f aca="false">IF($B679="","",IFERROR(INDEX(설비목록!$B$3:$B$202,MATCH($B679,설비목록!$A$3:$A$202,0)),"미등록설비"))</f>
        <v/>
      </c>
      <c r="D679" s="9"/>
      <c r="E679" s="9"/>
      <c r="F679" s="9"/>
      <c r="G679" s="9"/>
      <c r="H679" s="9"/>
    </row>
    <row r="680" customFormat="false" ht="15" hidden="false" customHeight="true" outlineLevel="0" collapsed="false">
      <c r="A680" s="12"/>
      <c r="B680" s="9"/>
      <c r="C680" s="15" t="str">
        <f aca="false">IF($B680="","",IFERROR(INDEX(설비목록!$B$3:$B$202,MATCH($B680,설비목록!$A$3:$A$202,0)),"미등록설비"))</f>
        <v/>
      </c>
      <c r="D680" s="9"/>
      <c r="E680" s="9"/>
      <c r="F680" s="9"/>
      <c r="G680" s="9"/>
      <c r="H680" s="9"/>
    </row>
    <row r="681" customFormat="false" ht="15" hidden="false" customHeight="true" outlineLevel="0" collapsed="false">
      <c r="A681" s="12"/>
      <c r="B681" s="9"/>
      <c r="C681" s="15" t="str">
        <f aca="false">IF($B681="","",IFERROR(INDEX(설비목록!$B$3:$B$202,MATCH($B681,설비목록!$A$3:$A$202,0)),"미등록설비"))</f>
        <v/>
      </c>
      <c r="D681" s="9"/>
      <c r="E681" s="9"/>
      <c r="F681" s="9"/>
      <c r="G681" s="9"/>
      <c r="H681" s="9"/>
    </row>
    <row r="682" customFormat="false" ht="15" hidden="false" customHeight="true" outlineLevel="0" collapsed="false">
      <c r="A682" s="12"/>
      <c r="B682" s="9"/>
      <c r="C682" s="15" t="str">
        <f aca="false">IF($B682="","",IFERROR(INDEX(설비목록!$B$3:$B$202,MATCH($B682,설비목록!$A$3:$A$202,0)),"미등록설비"))</f>
        <v/>
      </c>
      <c r="D682" s="9"/>
      <c r="E682" s="9"/>
      <c r="F682" s="9"/>
      <c r="G682" s="9"/>
      <c r="H682" s="9"/>
    </row>
    <row r="683" customFormat="false" ht="15" hidden="false" customHeight="true" outlineLevel="0" collapsed="false">
      <c r="A683" s="12"/>
      <c r="B683" s="9"/>
      <c r="C683" s="15" t="str">
        <f aca="false">IF($B683="","",IFERROR(INDEX(설비목록!$B$3:$B$202,MATCH($B683,설비목록!$A$3:$A$202,0)),"미등록설비"))</f>
        <v/>
      </c>
      <c r="D683" s="9"/>
      <c r="E683" s="9"/>
      <c r="F683" s="9"/>
      <c r="G683" s="9"/>
      <c r="H683" s="9"/>
    </row>
    <row r="684" customFormat="false" ht="15" hidden="false" customHeight="true" outlineLevel="0" collapsed="false">
      <c r="A684" s="12"/>
      <c r="B684" s="9"/>
      <c r="C684" s="15" t="str">
        <f aca="false">IF($B684="","",IFERROR(INDEX(설비목록!$B$3:$B$202,MATCH($B684,설비목록!$A$3:$A$202,0)),"미등록설비"))</f>
        <v/>
      </c>
      <c r="D684" s="9"/>
      <c r="E684" s="9"/>
      <c r="F684" s="9"/>
      <c r="G684" s="9"/>
      <c r="H684" s="9"/>
    </row>
    <row r="685" customFormat="false" ht="15" hidden="false" customHeight="true" outlineLevel="0" collapsed="false">
      <c r="A685" s="12"/>
      <c r="B685" s="9"/>
      <c r="C685" s="15" t="str">
        <f aca="false">IF($B685="","",IFERROR(INDEX(설비목록!$B$3:$B$202,MATCH($B685,설비목록!$A$3:$A$202,0)),"미등록설비"))</f>
        <v/>
      </c>
      <c r="D685" s="9"/>
      <c r="E685" s="9"/>
      <c r="F685" s="9"/>
      <c r="G685" s="9"/>
      <c r="H685" s="9"/>
    </row>
    <row r="686" customFormat="false" ht="15" hidden="false" customHeight="true" outlineLevel="0" collapsed="false">
      <c r="A686" s="12"/>
      <c r="B686" s="9"/>
      <c r="C686" s="15" t="str">
        <f aca="false">IF($B686="","",IFERROR(INDEX(설비목록!$B$3:$B$202,MATCH($B686,설비목록!$A$3:$A$202,0)),"미등록설비"))</f>
        <v/>
      </c>
      <c r="D686" s="9"/>
      <c r="E686" s="9"/>
      <c r="F686" s="9"/>
      <c r="G686" s="9"/>
      <c r="H686" s="9"/>
    </row>
    <row r="687" customFormat="false" ht="15" hidden="false" customHeight="true" outlineLevel="0" collapsed="false">
      <c r="A687" s="12"/>
      <c r="B687" s="9"/>
      <c r="C687" s="15" t="str">
        <f aca="false">IF($B687="","",IFERROR(INDEX(설비목록!$B$3:$B$202,MATCH($B687,설비목록!$A$3:$A$202,0)),"미등록설비"))</f>
        <v/>
      </c>
      <c r="D687" s="9"/>
      <c r="E687" s="9"/>
      <c r="F687" s="9"/>
      <c r="G687" s="9"/>
      <c r="H687" s="9"/>
    </row>
    <row r="688" customFormat="false" ht="15" hidden="false" customHeight="true" outlineLevel="0" collapsed="false">
      <c r="A688" s="12"/>
      <c r="B688" s="9"/>
      <c r="C688" s="15" t="str">
        <f aca="false">IF($B688="","",IFERROR(INDEX(설비목록!$B$3:$B$202,MATCH($B688,설비목록!$A$3:$A$202,0)),"미등록설비"))</f>
        <v/>
      </c>
      <c r="D688" s="9"/>
      <c r="E688" s="9"/>
      <c r="F688" s="9"/>
      <c r="G688" s="9"/>
      <c r="H688" s="9"/>
    </row>
    <row r="689" customFormat="false" ht="15" hidden="false" customHeight="true" outlineLevel="0" collapsed="false">
      <c r="A689" s="12"/>
      <c r="B689" s="9"/>
      <c r="C689" s="15" t="str">
        <f aca="false">IF($B689="","",IFERROR(INDEX(설비목록!$B$3:$B$202,MATCH($B689,설비목록!$A$3:$A$202,0)),"미등록설비"))</f>
        <v/>
      </c>
      <c r="D689" s="9"/>
      <c r="E689" s="9"/>
      <c r="F689" s="9"/>
      <c r="G689" s="9"/>
      <c r="H689" s="9"/>
    </row>
    <row r="690" customFormat="false" ht="15" hidden="false" customHeight="true" outlineLevel="0" collapsed="false">
      <c r="A690" s="12"/>
      <c r="B690" s="9"/>
      <c r="C690" s="15" t="str">
        <f aca="false">IF($B690="","",IFERROR(INDEX(설비목록!$B$3:$B$202,MATCH($B690,설비목록!$A$3:$A$202,0)),"미등록설비"))</f>
        <v/>
      </c>
      <c r="D690" s="9"/>
      <c r="E690" s="9"/>
      <c r="F690" s="9"/>
      <c r="G690" s="9"/>
      <c r="H690" s="9"/>
    </row>
    <row r="691" customFormat="false" ht="15" hidden="false" customHeight="true" outlineLevel="0" collapsed="false">
      <c r="A691" s="12"/>
      <c r="B691" s="9"/>
      <c r="C691" s="15" t="str">
        <f aca="false">IF($B691="","",IFERROR(INDEX(설비목록!$B$3:$B$202,MATCH($B691,설비목록!$A$3:$A$202,0)),"미등록설비"))</f>
        <v/>
      </c>
      <c r="D691" s="9"/>
      <c r="E691" s="9"/>
      <c r="F691" s="9"/>
      <c r="G691" s="9"/>
      <c r="H691" s="9"/>
    </row>
    <row r="692" customFormat="false" ht="15" hidden="false" customHeight="true" outlineLevel="0" collapsed="false">
      <c r="A692" s="12"/>
      <c r="B692" s="9"/>
      <c r="C692" s="15" t="str">
        <f aca="false">IF($B692="","",IFERROR(INDEX(설비목록!$B$3:$B$202,MATCH($B692,설비목록!$A$3:$A$202,0)),"미등록설비"))</f>
        <v/>
      </c>
      <c r="D692" s="9"/>
      <c r="E692" s="9"/>
      <c r="F692" s="9"/>
      <c r="G692" s="9"/>
      <c r="H692" s="9"/>
    </row>
    <row r="693" customFormat="false" ht="15" hidden="false" customHeight="true" outlineLevel="0" collapsed="false">
      <c r="A693" s="12"/>
      <c r="B693" s="9"/>
      <c r="C693" s="15" t="str">
        <f aca="false">IF($B693="","",IFERROR(INDEX(설비목록!$B$3:$B$202,MATCH($B693,설비목록!$A$3:$A$202,0)),"미등록설비"))</f>
        <v/>
      </c>
      <c r="D693" s="9"/>
      <c r="E693" s="9"/>
      <c r="F693" s="9"/>
      <c r="G693" s="9"/>
      <c r="H693" s="9"/>
    </row>
    <row r="694" customFormat="false" ht="15" hidden="false" customHeight="true" outlineLevel="0" collapsed="false">
      <c r="A694" s="12"/>
      <c r="B694" s="9"/>
      <c r="C694" s="15" t="str">
        <f aca="false">IF($B694="","",IFERROR(INDEX(설비목록!$B$3:$B$202,MATCH($B694,설비목록!$A$3:$A$202,0)),"미등록설비"))</f>
        <v/>
      </c>
      <c r="D694" s="9"/>
      <c r="E694" s="9"/>
      <c r="F694" s="9"/>
      <c r="G694" s="9"/>
      <c r="H694" s="9"/>
    </row>
    <row r="695" customFormat="false" ht="15" hidden="false" customHeight="true" outlineLevel="0" collapsed="false">
      <c r="A695" s="12"/>
      <c r="B695" s="9"/>
      <c r="C695" s="15" t="str">
        <f aca="false">IF($B695="","",IFERROR(INDEX(설비목록!$B$3:$B$202,MATCH($B695,설비목록!$A$3:$A$202,0)),"미등록설비"))</f>
        <v/>
      </c>
      <c r="D695" s="9"/>
      <c r="E695" s="9"/>
      <c r="F695" s="9"/>
      <c r="G695" s="9"/>
      <c r="H695" s="9"/>
    </row>
    <row r="696" customFormat="false" ht="15" hidden="false" customHeight="true" outlineLevel="0" collapsed="false">
      <c r="A696" s="12"/>
      <c r="B696" s="9"/>
      <c r="C696" s="15" t="str">
        <f aca="false">IF($B696="","",IFERROR(INDEX(설비목록!$B$3:$B$202,MATCH($B696,설비목록!$A$3:$A$202,0)),"미등록설비"))</f>
        <v/>
      </c>
      <c r="D696" s="9"/>
      <c r="E696" s="9"/>
      <c r="F696" s="9"/>
      <c r="G696" s="9"/>
      <c r="H696" s="9"/>
    </row>
    <row r="697" customFormat="false" ht="15" hidden="false" customHeight="true" outlineLevel="0" collapsed="false">
      <c r="A697" s="12"/>
      <c r="B697" s="9"/>
      <c r="C697" s="15" t="str">
        <f aca="false">IF($B697="","",IFERROR(INDEX(설비목록!$B$3:$B$202,MATCH($B697,설비목록!$A$3:$A$202,0)),"미등록설비"))</f>
        <v/>
      </c>
      <c r="D697" s="9"/>
      <c r="E697" s="9"/>
      <c r="F697" s="9"/>
      <c r="G697" s="9"/>
      <c r="H697" s="9"/>
    </row>
    <row r="698" customFormat="false" ht="15" hidden="false" customHeight="true" outlineLevel="0" collapsed="false">
      <c r="A698" s="12"/>
      <c r="B698" s="9"/>
      <c r="C698" s="15" t="str">
        <f aca="false">IF($B698="","",IFERROR(INDEX(설비목록!$B$3:$B$202,MATCH($B698,설비목록!$A$3:$A$202,0)),"미등록설비"))</f>
        <v/>
      </c>
      <c r="D698" s="9"/>
      <c r="E698" s="9"/>
      <c r="F698" s="9"/>
      <c r="G698" s="9"/>
      <c r="H698" s="9"/>
    </row>
    <row r="699" customFormat="false" ht="15" hidden="false" customHeight="true" outlineLevel="0" collapsed="false">
      <c r="A699" s="12"/>
      <c r="B699" s="9"/>
      <c r="C699" s="15" t="str">
        <f aca="false">IF($B699="","",IFERROR(INDEX(설비목록!$B$3:$B$202,MATCH($B699,설비목록!$A$3:$A$202,0)),"미등록설비"))</f>
        <v/>
      </c>
      <c r="D699" s="9"/>
      <c r="E699" s="9"/>
      <c r="F699" s="9"/>
      <c r="G699" s="9"/>
      <c r="H699" s="9"/>
    </row>
    <row r="700" customFormat="false" ht="15" hidden="false" customHeight="true" outlineLevel="0" collapsed="false">
      <c r="A700" s="12"/>
      <c r="B700" s="9"/>
      <c r="C700" s="15" t="str">
        <f aca="false">IF($B700="","",IFERROR(INDEX(설비목록!$B$3:$B$202,MATCH($B700,설비목록!$A$3:$A$202,0)),"미등록설비"))</f>
        <v/>
      </c>
      <c r="D700" s="9"/>
      <c r="E700" s="9"/>
      <c r="F700" s="9"/>
      <c r="G700" s="9"/>
      <c r="H700" s="9"/>
    </row>
    <row r="701" customFormat="false" ht="15" hidden="false" customHeight="true" outlineLevel="0" collapsed="false">
      <c r="A701" s="12"/>
      <c r="B701" s="9"/>
      <c r="C701" s="15" t="str">
        <f aca="false">IF($B701="","",IFERROR(INDEX(설비목록!$B$3:$B$202,MATCH($B701,설비목록!$A$3:$A$202,0)),"미등록설비"))</f>
        <v/>
      </c>
      <c r="D701" s="9"/>
      <c r="E701" s="9"/>
      <c r="F701" s="9"/>
      <c r="G701" s="9"/>
      <c r="H701" s="9"/>
    </row>
    <row r="702" customFormat="false" ht="15" hidden="false" customHeight="true" outlineLevel="0" collapsed="false">
      <c r="A702" s="12"/>
      <c r="B702" s="9"/>
      <c r="C702" s="15" t="str">
        <f aca="false">IF($B702="","",IFERROR(INDEX(설비목록!$B$3:$B$202,MATCH($B702,설비목록!$A$3:$A$202,0)),"미등록설비"))</f>
        <v/>
      </c>
      <c r="D702" s="9"/>
      <c r="E702" s="9"/>
      <c r="F702" s="9"/>
      <c r="G702" s="9"/>
      <c r="H702" s="9"/>
    </row>
    <row r="703" customFormat="false" ht="15" hidden="false" customHeight="true" outlineLevel="0" collapsed="false">
      <c r="A703" s="12"/>
      <c r="B703" s="9"/>
      <c r="C703" s="15" t="str">
        <f aca="false">IF($B703="","",IFERROR(INDEX(설비목록!$B$3:$B$202,MATCH($B703,설비목록!$A$3:$A$202,0)),"미등록설비"))</f>
        <v/>
      </c>
      <c r="D703" s="9"/>
      <c r="E703" s="9"/>
      <c r="F703" s="9"/>
      <c r="G703" s="9"/>
      <c r="H703" s="9"/>
    </row>
    <row r="704" customFormat="false" ht="15" hidden="false" customHeight="true" outlineLevel="0" collapsed="false">
      <c r="A704" s="12"/>
      <c r="B704" s="9"/>
      <c r="C704" s="15" t="str">
        <f aca="false">IF($B704="","",IFERROR(INDEX(설비목록!$B$3:$B$202,MATCH($B704,설비목록!$A$3:$A$202,0)),"미등록설비"))</f>
        <v/>
      </c>
      <c r="D704" s="9"/>
      <c r="E704" s="9"/>
      <c r="F704" s="9"/>
      <c r="G704" s="9"/>
      <c r="H704" s="9"/>
    </row>
    <row r="705" customFormat="false" ht="15" hidden="false" customHeight="true" outlineLevel="0" collapsed="false">
      <c r="A705" s="12"/>
      <c r="B705" s="9"/>
      <c r="C705" s="15" t="str">
        <f aca="false">IF($B705="","",IFERROR(INDEX(설비목록!$B$3:$B$202,MATCH($B705,설비목록!$A$3:$A$202,0)),"미등록설비"))</f>
        <v/>
      </c>
      <c r="D705" s="9"/>
      <c r="E705" s="9"/>
      <c r="F705" s="9"/>
      <c r="G705" s="9"/>
      <c r="H705" s="9"/>
    </row>
    <row r="706" customFormat="false" ht="15" hidden="false" customHeight="true" outlineLevel="0" collapsed="false">
      <c r="A706" s="12"/>
      <c r="B706" s="9"/>
      <c r="C706" s="15" t="str">
        <f aca="false">IF($B706="","",IFERROR(INDEX(설비목록!$B$3:$B$202,MATCH($B706,설비목록!$A$3:$A$202,0)),"미등록설비"))</f>
        <v/>
      </c>
      <c r="D706" s="9"/>
      <c r="E706" s="9"/>
      <c r="F706" s="9"/>
      <c r="G706" s="9"/>
      <c r="H706" s="9"/>
    </row>
    <row r="707" customFormat="false" ht="15" hidden="false" customHeight="true" outlineLevel="0" collapsed="false">
      <c r="A707" s="12"/>
      <c r="B707" s="9"/>
      <c r="C707" s="15" t="str">
        <f aca="false">IF($B707="","",IFERROR(INDEX(설비목록!$B$3:$B$202,MATCH($B707,설비목록!$A$3:$A$202,0)),"미등록설비"))</f>
        <v/>
      </c>
      <c r="D707" s="9"/>
      <c r="E707" s="9"/>
      <c r="F707" s="9"/>
      <c r="G707" s="9"/>
      <c r="H707" s="9"/>
    </row>
    <row r="708" customFormat="false" ht="15" hidden="false" customHeight="true" outlineLevel="0" collapsed="false">
      <c r="A708" s="12"/>
      <c r="B708" s="9"/>
      <c r="C708" s="15" t="str">
        <f aca="false">IF($B708="","",IFERROR(INDEX(설비목록!$B$3:$B$202,MATCH($B708,설비목록!$A$3:$A$202,0)),"미등록설비"))</f>
        <v/>
      </c>
      <c r="D708" s="9"/>
      <c r="E708" s="9"/>
      <c r="F708" s="9"/>
      <c r="G708" s="9"/>
      <c r="H708" s="9"/>
    </row>
    <row r="709" customFormat="false" ht="15" hidden="false" customHeight="true" outlineLevel="0" collapsed="false">
      <c r="A709" s="12"/>
      <c r="B709" s="9"/>
      <c r="C709" s="15" t="str">
        <f aca="false">IF($B709="","",IFERROR(INDEX(설비목록!$B$3:$B$202,MATCH($B709,설비목록!$A$3:$A$202,0)),"미등록설비"))</f>
        <v/>
      </c>
      <c r="D709" s="9"/>
      <c r="E709" s="9"/>
      <c r="F709" s="9"/>
      <c r="G709" s="9"/>
      <c r="H709" s="9"/>
    </row>
    <row r="710" customFormat="false" ht="15" hidden="false" customHeight="true" outlineLevel="0" collapsed="false">
      <c r="A710" s="12"/>
      <c r="B710" s="9"/>
      <c r="C710" s="15" t="str">
        <f aca="false">IF($B710="","",IFERROR(INDEX(설비목록!$B$3:$B$202,MATCH($B710,설비목록!$A$3:$A$202,0)),"미등록설비"))</f>
        <v/>
      </c>
      <c r="D710" s="9"/>
      <c r="E710" s="9"/>
      <c r="F710" s="9"/>
      <c r="G710" s="9"/>
      <c r="H710" s="9"/>
    </row>
    <row r="711" customFormat="false" ht="15" hidden="false" customHeight="true" outlineLevel="0" collapsed="false">
      <c r="A711" s="12"/>
      <c r="B711" s="9"/>
      <c r="C711" s="15" t="str">
        <f aca="false">IF($B711="","",IFERROR(INDEX(설비목록!$B$3:$B$202,MATCH($B711,설비목록!$A$3:$A$202,0)),"미등록설비"))</f>
        <v/>
      </c>
      <c r="D711" s="9"/>
      <c r="E711" s="9"/>
      <c r="F711" s="9"/>
      <c r="G711" s="9"/>
      <c r="H711" s="9"/>
    </row>
    <row r="712" customFormat="false" ht="15" hidden="false" customHeight="true" outlineLevel="0" collapsed="false">
      <c r="A712" s="12"/>
      <c r="B712" s="9"/>
      <c r="C712" s="15" t="str">
        <f aca="false">IF($B712="","",IFERROR(INDEX(설비목록!$B$3:$B$202,MATCH($B712,설비목록!$A$3:$A$202,0)),"미등록설비"))</f>
        <v/>
      </c>
      <c r="D712" s="9"/>
      <c r="E712" s="9"/>
      <c r="F712" s="9"/>
      <c r="G712" s="9"/>
      <c r="H712" s="9"/>
    </row>
    <row r="713" customFormat="false" ht="15" hidden="false" customHeight="true" outlineLevel="0" collapsed="false">
      <c r="A713" s="12"/>
      <c r="B713" s="9"/>
      <c r="C713" s="15" t="str">
        <f aca="false">IF($B713="","",IFERROR(INDEX(설비목록!$B$3:$B$202,MATCH($B713,설비목록!$A$3:$A$202,0)),"미등록설비"))</f>
        <v/>
      </c>
      <c r="D713" s="9"/>
      <c r="E713" s="9"/>
      <c r="F713" s="9"/>
      <c r="G713" s="9"/>
      <c r="H713" s="9"/>
    </row>
    <row r="714" customFormat="false" ht="15" hidden="false" customHeight="true" outlineLevel="0" collapsed="false">
      <c r="A714" s="12"/>
      <c r="B714" s="9"/>
      <c r="C714" s="15" t="str">
        <f aca="false">IF($B714="","",IFERROR(INDEX(설비목록!$B$3:$B$202,MATCH($B714,설비목록!$A$3:$A$202,0)),"미등록설비"))</f>
        <v/>
      </c>
      <c r="D714" s="9"/>
      <c r="E714" s="9"/>
      <c r="F714" s="9"/>
      <c r="G714" s="9"/>
      <c r="H714" s="9"/>
    </row>
    <row r="715" customFormat="false" ht="15" hidden="false" customHeight="true" outlineLevel="0" collapsed="false">
      <c r="A715" s="12"/>
      <c r="B715" s="9"/>
      <c r="C715" s="15" t="str">
        <f aca="false">IF($B715="","",IFERROR(INDEX(설비목록!$B$3:$B$202,MATCH($B715,설비목록!$A$3:$A$202,0)),"미등록설비"))</f>
        <v/>
      </c>
      <c r="D715" s="9"/>
      <c r="E715" s="9"/>
      <c r="F715" s="9"/>
      <c r="G715" s="9"/>
      <c r="H715" s="9"/>
    </row>
    <row r="716" customFormat="false" ht="15" hidden="false" customHeight="true" outlineLevel="0" collapsed="false">
      <c r="A716" s="12"/>
      <c r="B716" s="9"/>
      <c r="C716" s="15" t="str">
        <f aca="false">IF($B716="","",IFERROR(INDEX(설비목록!$B$3:$B$202,MATCH($B716,설비목록!$A$3:$A$202,0)),"미등록설비"))</f>
        <v/>
      </c>
      <c r="D716" s="9"/>
      <c r="E716" s="9"/>
      <c r="F716" s="9"/>
      <c r="G716" s="9"/>
      <c r="H716" s="9"/>
    </row>
    <row r="717" customFormat="false" ht="15" hidden="false" customHeight="true" outlineLevel="0" collapsed="false">
      <c r="A717" s="12"/>
      <c r="B717" s="9"/>
      <c r="C717" s="15" t="str">
        <f aca="false">IF($B717="","",IFERROR(INDEX(설비목록!$B$3:$B$202,MATCH($B717,설비목록!$A$3:$A$202,0)),"미등록설비"))</f>
        <v/>
      </c>
      <c r="D717" s="9"/>
      <c r="E717" s="9"/>
      <c r="F717" s="9"/>
      <c r="G717" s="9"/>
      <c r="H717" s="9"/>
    </row>
    <row r="718" customFormat="false" ht="15" hidden="false" customHeight="true" outlineLevel="0" collapsed="false">
      <c r="A718" s="12"/>
      <c r="B718" s="9"/>
      <c r="C718" s="15" t="str">
        <f aca="false">IF($B718="","",IFERROR(INDEX(설비목록!$B$3:$B$202,MATCH($B718,설비목록!$A$3:$A$202,0)),"미등록설비"))</f>
        <v/>
      </c>
      <c r="D718" s="9"/>
      <c r="E718" s="9"/>
      <c r="F718" s="9"/>
      <c r="G718" s="9"/>
      <c r="H718" s="9"/>
    </row>
    <row r="719" customFormat="false" ht="15" hidden="false" customHeight="true" outlineLevel="0" collapsed="false">
      <c r="A719" s="12"/>
      <c r="B719" s="9"/>
      <c r="C719" s="15" t="str">
        <f aca="false">IF($B719="","",IFERROR(INDEX(설비목록!$B$3:$B$202,MATCH($B719,설비목록!$A$3:$A$202,0)),"미등록설비"))</f>
        <v/>
      </c>
      <c r="D719" s="9"/>
      <c r="E719" s="9"/>
      <c r="F719" s="9"/>
      <c r="G719" s="9"/>
      <c r="H719" s="9"/>
    </row>
    <row r="720" customFormat="false" ht="15" hidden="false" customHeight="true" outlineLevel="0" collapsed="false">
      <c r="A720" s="12"/>
      <c r="B720" s="9"/>
      <c r="C720" s="15" t="str">
        <f aca="false">IF($B720="","",IFERROR(INDEX(설비목록!$B$3:$B$202,MATCH($B720,설비목록!$A$3:$A$202,0)),"미등록설비"))</f>
        <v/>
      </c>
      <c r="D720" s="9"/>
      <c r="E720" s="9"/>
      <c r="F720" s="9"/>
      <c r="G720" s="9"/>
      <c r="H720" s="9"/>
    </row>
    <row r="721" customFormat="false" ht="15" hidden="false" customHeight="true" outlineLevel="0" collapsed="false">
      <c r="A721" s="12"/>
      <c r="B721" s="9"/>
      <c r="C721" s="15" t="str">
        <f aca="false">IF($B721="","",IFERROR(INDEX(설비목록!$B$3:$B$202,MATCH($B721,설비목록!$A$3:$A$202,0)),"미등록설비"))</f>
        <v/>
      </c>
      <c r="D721" s="9"/>
      <c r="E721" s="9"/>
      <c r="F721" s="9"/>
      <c r="G721" s="9"/>
      <c r="H721" s="9"/>
    </row>
    <row r="722" customFormat="false" ht="15" hidden="false" customHeight="true" outlineLevel="0" collapsed="false">
      <c r="A722" s="12"/>
      <c r="B722" s="9"/>
      <c r="C722" s="15" t="str">
        <f aca="false">IF($B722="","",IFERROR(INDEX(설비목록!$B$3:$B$202,MATCH($B722,설비목록!$A$3:$A$202,0)),"미등록설비"))</f>
        <v/>
      </c>
      <c r="D722" s="9"/>
      <c r="E722" s="9"/>
      <c r="F722" s="9"/>
      <c r="G722" s="9"/>
      <c r="H722" s="9"/>
    </row>
    <row r="723" customFormat="false" ht="15" hidden="false" customHeight="true" outlineLevel="0" collapsed="false">
      <c r="A723" s="12"/>
      <c r="B723" s="9"/>
      <c r="C723" s="15" t="str">
        <f aca="false">IF($B723="","",IFERROR(INDEX(설비목록!$B$3:$B$202,MATCH($B723,설비목록!$A$3:$A$202,0)),"미등록설비"))</f>
        <v/>
      </c>
      <c r="D723" s="9"/>
      <c r="E723" s="9"/>
      <c r="F723" s="9"/>
      <c r="G723" s="9"/>
      <c r="H723" s="9"/>
    </row>
    <row r="724" customFormat="false" ht="15" hidden="false" customHeight="true" outlineLevel="0" collapsed="false">
      <c r="A724" s="12"/>
      <c r="B724" s="9"/>
      <c r="C724" s="15" t="str">
        <f aca="false">IF($B724="","",IFERROR(INDEX(설비목록!$B$3:$B$202,MATCH($B724,설비목록!$A$3:$A$202,0)),"미등록설비"))</f>
        <v/>
      </c>
      <c r="D724" s="9"/>
      <c r="E724" s="9"/>
      <c r="F724" s="9"/>
      <c r="G724" s="9"/>
      <c r="H724" s="9"/>
    </row>
    <row r="725" customFormat="false" ht="15" hidden="false" customHeight="true" outlineLevel="0" collapsed="false">
      <c r="A725" s="12"/>
      <c r="B725" s="9"/>
      <c r="C725" s="15" t="str">
        <f aca="false">IF($B725="","",IFERROR(INDEX(설비목록!$B$3:$B$202,MATCH($B725,설비목록!$A$3:$A$202,0)),"미등록설비"))</f>
        <v/>
      </c>
      <c r="D725" s="9"/>
      <c r="E725" s="9"/>
      <c r="F725" s="9"/>
      <c r="G725" s="9"/>
      <c r="H725" s="9"/>
    </row>
    <row r="726" customFormat="false" ht="15" hidden="false" customHeight="true" outlineLevel="0" collapsed="false">
      <c r="A726" s="12"/>
      <c r="B726" s="9"/>
      <c r="C726" s="15" t="str">
        <f aca="false">IF($B726="","",IFERROR(INDEX(설비목록!$B$3:$B$202,MATCH($B726,설비목록!$A$3:$A$202,0)),"미등록설비"))</f>
        <v/>
      </c>
      <c r="D726" s="9"/>
      <c r="E726" s="9"/>
      <c r="F726" s="9"/>
      <c r="G726" s="9"/>
      <c r="H726" s="9"/>
    </row>
    <row r="727" customFormat="false" ht="15" hidden="false" customHeight="true" outlineLevel="0" collapsed="false">
      <c r="A727" s="12"/>
      <c r="B727" s="9"/>
      <c r="C727" s="15" t="str">
        <f aca="false">IF($B727="","",IFERROR(INDEX(설비목록!$B$3:$B$202,MATCH($B727,설비목록!$A$3:$A$202,0)),"미등록설비"))</f>
        <v/>
      </c>
      <c r="D727" s="9"/>
      <c r="E727" s="9"/>
      <c r="F727" s="9"/>
      <c r="G727" s="9"/>
      <c r="H727" s="9"/>
    </row>
    <row r="728" customFormat="false" ht="15" hidden="false" customHeight="true" outlineLevel="0" collapsed="false">
      <c r="A728" s="12"/>
      <c r="B728" s="9"/>
      <c r="C728" s="15" t="str">
        <f aca="false">IF($B728="","",IFERROR(INDEX(설비목록!$B$3:$B$202,MATCH($B728,설비목록!$A$3:$A$202,0)),"미등록설비"))</f>
        <v/>
      </c>
      <c r="D728" s="9"/>
      <c r="E728" s="9"/>
      <c r="F728" s="9"/>
      <c r="G728" s="9"/>
      <c r="H728" s="9"/>
    </row>
    <row r="729" customFormat="false" ht="15" hidden="false" customHeight="true" outlineLevel="0" collapsed="false">
      <c r="A729" s="12"/>
      <c r="B729" s="9"/>
      <c r="C729" s="15" t="str">
        <f aca="false">IF($B729="","",IFERROR(INDEX(설비목록!$B$3:$B$202,MATCH($B729,설비목록!$A$3:$A$202,0)),"미등록설비"))</f>
        <v/>
      </c>
      <c r="D729" s="9"/>
      <c r="E729" s="9"/>
      <c r="F729" s="9"/>
      <c r="G729" s="9"/>
      <c r="H729" s="9"/>
    </row>
    <row r="730" customFormat="false" ht="15" hidden="false" customHeight="true" outlineLevel="0" collapsed="false">
      <c r="A730" s="12"/>
      <c r="B730" s="9"/>
      <c r="C730" s="15" t="str">
        <f aca="false">IF($B730="","",IFERROR(INDEX(설비목록!$B$3:$B$202,MATCH($B730,설비목록!$A$3:$A$202,0)),"미등록설비"))</f>
        <v/>
      </c>
      <c r="D730" s="9"/>
      <c r="E730" s="9"/>
      <c r="F730" s="9"/>
      <c r="G730" s="9"/>
      <c r="H730" s="9"/>
    </row>
    <row r="731" customFormat="false" ht="15" hidden="false" customHeight="true" outlineLevel="0" collapsed="false">
      <c r="A731" s="12"/>
      <c r="B731" s="9"/>
      <c r="C731" s="15" t="str">
        <f aca="false">IF($B731="","",IFERROR(INDEX(설비목록!$B$3:$B$202,MATCH($B731,설비목록!$A$3:$A$202,0)),"미등록설비"))</f>
        <v/>
      </c>
      <c r="D731" s="9"/>
      <c r="E731" s="9"/>
      <c r="F731" s="9"/>
      <c r="G731" s="9"/>
      <c r="H731" s="9"/>
    </row>
    <row r="732" customFormat="false" ht="15" hidden="false" customHeight="true" outlineLevel="0" collapsed="false">
      <c r="A732" s="12"/>
      <c r="B732" s="9"/>
      <c r="C732" s="15" t="str">
        <f aca="false">IF($B732="","",IFERROR(INDEX(설비목록!$B$3:$B$202,MATCH($B732,설비목록!$A$3:$A$202,0)),"미등록설비"))</f>
        <v/>
      </c>
      <c r="D732" s="9"/>
      <c r="E732" s="9"/>
      <c r="F732" s="9"/>
      <c r="G732" s="9"/>
      <c r="H732" s="9"/>
    </row>
    <row r="733" customFormat="false" ht="15" hidden="false" customHeight="true" outlineLevel="0" collapsed="false">
      <c r="A733" s="12"/>
      <c r="B733" s="9"/>
      <c r="C733" s="15" t="str">
        <f aca="false">IF($B733="","",IFERROR(INDEX(설비목록!$B$3:$B$202,MATCH($B733,설비목록!$A$3:$A$202,0)),"미등록설비"))</f>
        <v/>
      </c>
      <c r="D733" s="9"/>
      <c r="E733" s="9"/>
      <c r="F733" s="9"/>
      <c r="G733" s="9"/>
      <c r="H733" s="9"/>
    </row>
    <row r="734" customFormat="false" ht="15" hidden="false" customHeight="true" outlineLevel="0" collapsed="false">
      <c r="A734" s="12"/>
      <c r="B734" s="9"/>
      <c r="C734" s="15" t="str">
        <f aca="false">IF($B734="","",IFERROR(INDEX(설비목록!$B$3:$B$202,MATCH($B734,설비목록!$A$3:$A$202,0)),"미등록설비"))</f>
        <v/>
      </c>
      <c r="D734" s="9"/>
      <c r="E734" s="9"/>
      <c r="F734" s="9"/>
      <c r="G734" s="9"/>
      <c r="H734" s="9"/>
    </row>
    <row r="735" customFormat="false" ht="15" hidden="false" customHeight="true" outlineLevel="0" collapsed="false">
      <c r="A735" s="12"/>
      <c r="B735" s="9"/>
      <c r="C735" s="15" t="str">
        <f aca="false">IF($B735="","",IFERROR(INDEX(설비목록!$B$3:$B$202,MATCH($B735,설비목록!$A$3:$A$202,0)),"미등록설비"))</f>
        <v/>
      </c>
      <c r="D735" s="9"/>
      <c r="E735" s="9"/>
      <c r="F735" s="9"/>
      <c r="G735" s="9"/>
      <c r="H735" s="9"/>
    </row>
    <row r="736" customFormat="false" ht="15" hidden="false" customHeight="true" outlineLevel="0" collapsed="false">
      <c r="A736" s="12"/>
      <c r="B736" s="9"/>
      <c r="C736" s="15" t="str">
        <f aca="false">IF($B736="","",IFERROR(INDEX(설비목록!$B$3:$B$202,MATCH($B736,설비목록!$A$3:$A$202,0)),"미등록설비"))</f>
        <v/>
      </c>
      <c r="D736" s="9"/>
      <c r="E736" s="9"/>
      <c r="F736" s="9"/>
      <c r="G736" s="9"/>
      <c r="H736" s="9"/>
    </row>
    <row r="737" customFormat="false" ht="15" hidden="false" customHeight="true" outlineLevel="0" collapsed="false">
      <c r="A737" s="12"/>
      <c r="B737" s="9"/>
      <c r="C737" s="15" t="str">
        <f aca="false">IF($B737="","",IFERROR(INDEX(설비목록!$B$3:$B$202,MATCH($B737,설비목록!$A$3:$A$202,0)),"미등록설비"))</f>
        <v/>
      </c>
      <c r="D737" s="9"/>
      <c r="E737" s="9"/>
      <c r="F737" s="9"/>
      <c r="G737" s="9"/>
      <c r="H737" s="9"/>
    </row>
    <row r="738" customFormat="false" ht="15" hidden="false" customHeight="true" outlineLevel="0" collapsed="false">
      <c r="A738" s="12"/>
      <c r="B738" s="9"/>
      <c r="C738" s="15" t="str">
        <f aca="false">IF($B738="","",IFERROR(INDEX(설비목록!$B$3:$B$202,MATCH($B738,설비목록!$A$3:$A$202,0)),"미등록설비"))</f>
        <v/>
      </c>
      <c r="D738" s="9"/>
      <c r="E738" s="9"/>
      <c r="F738" s="9"/>
      <c r="G738" s="9"/>
      <c r="H738" s="9"/>
    </row>
    <row r="739" customFormat="false" ht="15" hidden="false" customHeight="true" outlineLevel="0" collapsed="false">
      <c r="A739" s="12"/>
      <c r="B739" s="9"/>
      <c r="C739" s="15" t="str">
        <f aca="false">IF($B739="","",IFERROR(INDEX(설비목록!$B$3:$B$202,MATCH($B739,설비목록!$A$3:$A$202,0)),"미등록설비"))</f>
        <v/>
      </c>
      <c r="D739" s="9"/>
      <c r="E739" s="9"/>
      <c r="F739" s="9"/>
      <c r="G739" s="9"/>
      <c r="H739" s="9"/>
    </row>
    <row r="740" customFormat="false" ht="15" hidden="false" customHeight="true" outlineLevel="0" collapsed="false">
      <c r="A740" s="12"/>
      <c r="B740" s="9"/>
      <c r="C740" s="15" t="str">
        <f aca="false">IF($B740="","",IFERROR(INDEX(설비목록!$B$3:$B$202,MATCH($B740,설비목록!$A$3:$A$202,0)),"미등록설비"))</f>
        <v/>
      </c>
      <c r="D740" s="9"/>
      <c r="E740" s="9"/>
      <c r="F740" s="9"/>
      <c r="G740" s="9"/>
      <c r="H740" s="9"/>
    </row>
    <row r="741" customFormat="false" ht="15" hidden="false" customHeight="true" outlineLevel="0" collapsed="false">
      <c r="A741" s="12"/>
      <c r="B741" s="9"/>
      <c r="C741" s="15" t="str">
        <f aca="false">IF($B741="","",IFERROR(INDEX(설비목록!$B$3:$B$202,MATCH($B741,설비목록!$A$3:$A$202,0)),"미등록설비"))</f>
        <v/>
      </c>
      <c r="D741" s="9"/>
      <c r="E741" s="9"/>
      <c r="F741" s="9"/>
      <c r="G741" s="9"/>
      <c r="H741" s="9"/>
    </row>
    <row r="742" customFormat="false" ht="15" hidden="false" customHeight="true" outlineLevel="0" collapsed="false">
      <c r="A742" s="12"/>
      <c r="B742" s="9"/>
      <c r="C742" s="15" t="str">
        <f aca="false">IF($B742="","",IFERROR(INDEX(설비목록!$B$3:$B$202,MATCH($B742,설비목록!$A$3:$A$202,0)),"미등록설비"))</f>
        <v/>
      </c>
      <c r="D742" s="9"/>
      <c r="E742" s="9"/>
      <c r="F742" s="9"/>
      <c r="G742" s="9"/>
      <c r="H742" s="9"/>
    </row>
    <row r="743" customFormat="false" ht="15" hidden="false" customHeight="true" outlineLevel="0" collapsed="false">
      <c r="A743" s="12"/>
      <c r="B743" s="9"/>
      <c r="C743" s="15" t="str">
        <f aca="false">IF($B743="","",IFERROR(INDEX(설비목록!$B$3:$B$202,MATCH($B743,설비목록!$A$3:$A$202,0)),"미등록설비"))</f>
        <v/>
      </c>
      <c r="D743" s="9"/>
      <c r="E743" s="9"/>
      <c r="F743" s="9"/>
      <c r="G743" s="9"/>
      <c r="H743" s="9"/>
    </row>
    <row r="744" customFormat="false" ht="15" hidden="false" customHeight="true" outlineLevel="0" collapsed="false">
      <c r="A744" s="12"/>
      <c r="B744" s="9"/>
      <c r="C744" s="15" t="str">
        <f aca="false">IF($B744="","",IFERROR(INDEX(설비목록!$B$3:$B$202,MATCH($B744,설비목록!$A$3:$A$202,0)),"미등록설비"))</f>
        <v/>
      </c>
      <c r="D744" s="9"/>
      <c r="E744" s="9"/>
      <c r="F744" s="9"/>
      <c r="G744" s="9"/>
      <c r="H744" s="9"/>
    </row>
    <row r="745" customFormat="false" ht="15" hidden="false" customHeight="true" outlineLevel="0" collapsed="false">
      <c r="A745" s="12"/>
      <c r="B745" s="9"/>
      <c r="C745" s="15" t="str">
        <f aca="false">IF($B745="","",IFERROR(INDEX(설비목록!$B$3:$B$202,MATCH($B745,설비목록!$A$3:$A$202,0)),"미등록설비"))</f>
        <v/>
      </c>
      <c r="D745" s="9"/>
      <c r="E745" s="9"/>
      <c r="F745" s="9"/>
      <c r="G745" s="9"/>
      <c r="H745" s="9"/>
    </row>
    <row r="746" customFormat="false" ht="15" hidden="false" customHeight="true" outlineLevel="0" collapsed="false">
      <c r="A746" s="12"/>
      <c r="B746" s="9"/>
      <c r="C746" s="15" t="str">
        <f aca="false">IF($B746="","",IFERROR(INDEX(설비목록!$B$3:$B$202,MATCH($B746,설비목록!$A$3:$A$202,0)),"미등록설비"))</f>
        <v/>
      </c>
      <c r="D746" s="9"/>
      <c r="E746" s="9"/>
      <c r="F746" s="9"/>
      <c r="G746" s="9"/>
      <c r="H746" s="9"/>
    </row>
    <row r="747" customFormat="false" ht="15" hidden="false" customHeight="true" outlineLevel="0" collapsed="false">
      <c r="A747" s="12"/>
      <c r="B747" s="9"/>
      <c r="C747" s="15" t="str">
        <f aca="false">IF($B747="","",IFERROR(INDEX(설비목록!$B$3:$B$202,MATCH($B747,설비목록!$A$3:$A$202,0)),"미등록설비"))</f>
        <v/>
      </c>
      <c r="D747" s="9"/>
      <c r="E747" s="9"/>
      <c r="F747" s="9"/>
      <c r="G747" s="9"/>
      <c r="H747" s="9"/>
    </row>
    <row r="748" customFormat="false" ht="15" hidden="false" customHeight="true" outlineLevel="0" collapsed="false">
      <c r="A748" s="12"/>
      <c r="B748" s="9"/>
      <c r="C748" s="15" t="str">
        <f aca="false">IF($B748="","",IFERROR(INDEX(설비목록!$B$3:$B$202,MATCH($B748,설비목록!$A$3:$A$202,0)),"미등록설비"))</f>
        <v/>
      </c>
      <c r="D748" s="9"/>
      <c r="E748" s="9"/>
      <c r="F748" s="9"/>
      <c r="G748" s="9"/>
      <c r="H748" s="9"/>
    </row>
    <row r="749" customFormat="false" ht="15" hidden="false" customHeight="true" outlineLevel="0" collapsed="false">
      <c r="A749" s="12"/>
      <c r="B749" s="9"/>
      <c r="C749" s="15" t="str">
        <f aca="false">IF($B749="","",IFERROR(INDEX(설비목록!$B$3:$B$202,MATCH($B749,설비목록!$A$3:$A$202,0)),"미등록설비"))</f>
        <v/>
      </c>
      <c r="D749" s="9"/>
      <c r="E749" s="9"/>
      <c r="F749" s="9"/>
      <c r="G749" s="9"/>
      <c r="H749" s="9"/>
    </row>
    <row r="750" customFormat="false" ht="15" hidden="false" customHeight="true" outlineLevel="0" collapsed="false">
      <c r="A750" s="12"/>
      <c r="B750" s="9"/>
      <c r="C750" s="15" t="str">
        <f aca="false">IF($B750="","",IFERROR(INDEX(설비목록!$B$3:$B$202,MATCH($B750,설비목록!$A$3:$A$202,0)),"미등록설비"))</f>
        <v/>
      </c>
      <c r="D750" s="9"/>
      <c r="E750" s="9"/>
      <c r="F750" s="9"/>
      <c r="G750" s="9"/>
      <c r="H750" s="9"/>
    </row>
    <row r="751" customFormat="false" ht="15" hidden="false" customHeight="true" outlineLevel="0" collapsed="false">
      <c r="A751" s="12"/>
      <c r="B751" s="9"/>
      <c r="C751" s="15" t="str">
        <f aca="false">IF($B751="","",IFERROR(INDEX(설비목록!$B$3:$B$202,MATCH($B751,설비목록!$A$3:$A$202,0)),"미등록설비"))</f>
        <v/>
      </c>
      <c r="D751" s="9"/>
      <c r="E751" s="9"/>
      <c r="F751" s="9"/>
      <c r="G751" s="9"/>
      <c r="H751" s="9"/>
    </row>
    <row r="752" customFormat="false" ht="15" hidden="false" customHeight="true" outlineLevel="0" collapsed="false">
      <c r="A752" s="12"/>
      <c r="B752" s="9"/>
      <c r="C752" s="15" t="str">
        <f aca="false">IF($B752="","",IFERROR(INDEX(설비목록!$B$3:$B$202,MATCH($B752,설비목록!$A$3:$A$202,0)),"미등록설비"))</f>
        <v/>
      </c>
      <c r="D752" s="9"/>
      <c r="E752" s="9"/>
      <c r="F752" s="9"/>
      <c r="G752" s="9"/>
      <c r="H752" s="9"/>
    </row>
    <row r="753" customFormat="false" ht="15" hidden="false" customHeight="true" outlineLevel="0" collapsed="false">
      <c r="A753" s="12"/>
      <c r="B753" s="9"/>
      <c r="C753" s="15" t="str">
        <f aca="false">IF($B753="","",IFERROR(INDEX(설비목록!$B$3:$B$202,MATCH($B753,설비목록!$A$3:$A$202,0)),"미등록설비"))</f>
        <v/>
      </c>
      <c r="D753" s="9"/>
      <c r="E753" s="9"/>
      <c r="F753" s="9"/>
      <c r="G753" s="9"/>
      <c r="H753" s="9"/>
    </row>
    <row r="754" customFormat="false" ht="15" hidden="false" customHeight="true" outlineLevel="0" collapsed="false">
      <c r="A754" s="12"/>
      <c r="B754" s="9"/>
      <c r="C754" s="15" t="str">
        <f aca="false">IF($B754="","",IFERROR(INDEX(설비목록!$B$3:$B$202,MATCH($B754,설비목록!$A$3:$A$202,0)),"미등록설비"))</f>
        <v/>
      </c>
      <c r="D754" s="9"/>
      <c r="E754" s="9"/>
      <c r="F754" s="9"/>
      <c r="G754" s="9"/>
      <c r="H754" s="9"/>
    </row>
    <row r="755" customFormat="false" ht="15" hidden="false" customHeight="true" outlineLevel="0" collapsed="false">
      <c r="A755" s="12"/>
      <c r="B755" s="9"/>
      <c r="C755" s="15" t="str">
        <f aca="false">IF($B755="","",IFERROR(INDEX(설비목록!$B$3:$B$202,MATCH($B755,설비목록!$A$3:$A$202,0)),"미등록설비"))</f>
        <v/>
      </c>
      <c r="D755" s="9"/>
      <c r="E755" s="9"/>
      <c r="F755" s="9"/>
      <c r="G755" s="9"/>
      <c r="H755" s="9"/>
    </row>
    <row r="756" customFormat="false" ht="15" hidden="false" customHeight="true" outlineLevel="0" collapsed="false">
      <c r="A756" s="12"/>
      <c r="B756" s="9"/>
      <c r="C756" s="15" t="str">
        <f aca="false">IF($B756="","",IFERROR(INDEX(설비목록!$B$3:$B$202,MATCH($B756,설비목록!$A$3:$A$202,0)),"미등록설비"))</f>
        <v/>
      </c>
      <c r="D756" s="9"/>
      <c r="E756" s="9"/>
      <c r="F756" s="9"/>
      <c r="G756" s="9"/>
      <c r="H756" s="9"/>
    </row>
    <row r="757" customFormat="false" ht="15" hidden="false" customHeight="true" outlineLevel="0" collapsed="false">
      <c r="A757" s="12"/>
      <c r="B757" s="9"/>
      <c r="C757" s="15" t="str">
        <f aca="false">IF($B757="","",IFERROR(INDEX(설비목록!$B$3:$B$202,MATCH($B757,설비목록!$A$3:$A$202,0)),"미등록설비"))</f>
        <v/>
      </c>
      <c r="D757" s="9"/>
      <c r="E757" s="9"/>
      <c r="F757" s="9"/>
      <c r="G757" s="9"/>
      <c r="H757" s="9"/>
    </row>
    <row r="758" customFormat="false" ht="15" hidden="false" customHeight="true" outlineLevel="0" collapsed="false">
      <c r="A758" s="12"/>
      <c r="B758" s="9"/>
      <c r="C758" s="15" t="str">
        <f aca="false">IF($B758="","",IFERROR(INDEX(설비목록!$B$3:$B$202,MATCH($B758,설비목록!$A$3:$A$202,0)),"미등록설비"))</f>
        <v/>
      </c>
      <c r="D758" s="9"/>
      <c r="E758" s="9"/>
      <c r="F758" s="9"/>
      <c r="G758" s="9"/>
      <c r="H758" s="9"/>
    </row>
    <row r="759" customFormat="false" ht="15" hidden="false" customHeight="true" outlineLevel="0" collapsed="false">
      <c r="A759" s="12"/>
      <c r="B759" s="9"/>
      <c r="C759" s="15" t="str">
        <f aca="false">IF($B759="","",IFERROR(INDEX(설비목록!$B$3:$B$202,MATCH($B759,설비목록!$A$3:$A$202,0)),"미등록설비"))</f>
        <v/>
      </c>
      <c r="D759" s="9"/>
      <c r="E759" s="9"/>
      <c r="F759" s="9"/>
      <c r="G759" s="9"/>
      <c r="H759" s="9"/>
    </row>
    <row r="760" customFormat="false" ht="15" hidden="false" customHeight="true" outlineLevel="0" collapsed="false">
      <c r="A760" s="12"/>
      <c r="B760" s="9"/>
      <c r="C760" s="15" t="str">
        <f aca="false">IF($B760="","",IFERROR(INDEX(설비목록!$B$3:$B$202,MATCH($B760,설비목록!$A$3:$A$202,0)),"미등록설비"))</f>
        <v/>
      </c>
      <c r="D760" s="9"/>
      <c r="E760" s="9"/>
      <c r="F760" s="9"/>
      <c r="G760" s="9"/>
      <c r="H760" s="9"/>
    </row>
    <row r="761" customFormat="false" ht="15" hidden="false" customHeight="true" outlineLevel="0" collapsed="false">
      <c r="A761" s="12"/>
      <c r="B761" s="9"/>
      <c r="C761" s="15" t="str">
        <f aca="false">IF($B761="","",IFERROR(INDEX(설비목록!$B$3:$B$202,MATCH($B761,설비목록!$A$3:$A$202,0)),"미등록설비"))</f>
        <v/>
      </c>
      <c r="D761" s="9"/>
      <c r="E761" s="9"/>
      <c r="F761" s="9"/>
      <c r="G761" s="9"/>
      <c r="H761" s="9"/>
    </row>
    <row r="762" customFormat="false" ht="15" hidden="false" customHeight="true" outlineLevel="0" collapsed="false">
      <c r="A762" s="12"/>
      <c r="B762" s="9"/>
      <c r="C762" s="15" t="str">
        <f aca="false">IF($B762="","",IFERROR(INDEX(설비목록!$B$3:$B$202,MATCH($B762,설비목록!$A$3:$A$202,0)),"미등록설비"))</f>
        <v/>
      </c>
      <c r="D762" s="9"/>
      <c r="E762" s="9"/>
      <c r="F762" s="9"/>
      <c r="G762" s="9"/>
      <c r="H762" s="9"/>
    </row>
    <row r="763" customFormat="false" ht="15" hidden="false" customHeight="true" outlineLevel="0" collapsed="false">
      <c r="A763" s="12"/>
      <c r="B763" s="9"/>
      <c r="C763" s="15" t="str">
        <f aca="false">IF($B763="","",IFERROR(INDEX(설비목록!$B$3:$B$202,MATCH($B763,설비목록!$A$3:$A$202,0)),"미등록설비"))</f>
        <v/>
      </c>
      <c r="D763" s="9"/>
      <c r="E763" s="9"/>
      <c r="F763" s="9"/>
      <c r="G763" s="9"/>
      <c r="H763" s="9"/>
    </row>
    <row r="764" customFormat="false" ht="15" hidden="false" customHeight="true" outlineLevel="0" collapsed="false">
      <c r="A764" s="12"/>
      <c r="B764" s="9"/>
      <c r="C764" s="15" t="str">
        <f aca="false">IF($B764="","",IFERROR(INDEX(설비목록!$B$3:$B$202,MATCH($B764,설비목록!$A$3:$A$202,0)),"미등록설비"))</f>
        <v/>
      </c>
      <c r="D764" s="9"/>
      <c r="E764" s="9"/>
      <c r="F764" s="9"/>
      <c r="G764" s="9"/>
      <c r="H764" s="9"/>
    </row>
    <row r="765" customFormat="false" ht="15" hidden="false" customHeight="true" outlineLevel="0" collapsed="false">
      <c r="A765" s="12"/>
      <c r="B765" s="9"/>
      <c r="C765" s="15" t="str">
        <f aca="false">IF($B765="","",IFERROR(INDEX(설비목록!$B$3:$B$202,MATCH($B765,설비목록!$A$3:$A$202,0)),"미등록설비"))</f>
        <v/>
      </c>
      <c r="D765" s="9"/>
      <c r="E765" s="9"/>
      <c r="F765" s="9"/>
      <c r="G765" s="9"/>
      <c r="H765" s="9"/>
    </row>
    <row r="766" customFormat="false" ht="15" hidden="false" customHeight="true" outlineLevel="0" collapsed="false">
      <c r="A766" s="12"/>
      <c r="B766" s="9"/>
      <c r="C766" s="15" t="str">
        <f aca="false">IF($B766="","",IFERROR(INDEX(설비목록!$B$3:$B$202,MATCH($B766,설비목록!$A$3:$A$202,0)),"미등록설비"))</f>
        <v/>
      </c>
      <c r="D766" s="9"/>
      <c r="E766" s="9"/>
      <c r="F766" s="9"/>
      <c r="G766" s="9"/>
      <c r="H766" s="9"/>
    </row>
    <row r="767" customFormat="false" ht="15" hidden="false" customHeight="true" outlineLevel="0" collapsed="false">
      <c r="A767" s="12"/>
      <c r="B767" s="9"/>
      <c r="C767" s="15" t="str">
        <f aca="false">IF($B767="","",IFERROR(INDEX(설비목록!$B$3:$B$202,MATCH($B767,설비목록!$A$3:$A$202,0)),"미등록설비"))</f>
        <v/>
      </c>
      <c r="D767" s="9"/>
      <c r="E767" s="9"/>
      <c r="F767" s="9"/>
      <c r="G767" s="9"/>
      <c r="H767" s="9"/>
    </row>
    <row r="768" customFormat="false" ht="15" hidden="false" customHeight="true" outlineLevel="0" collapsed="false">
      <c r="A768" s="12"/>
      <c r="B768" s="9"/>
      <c r="C768" s="15" t="str">
        <f aca="false">IF($B768="","",IFERROR(INDEX(설비목록!$B$3:$B$202,MATCH($B768,설비목록!$A$3:$A$202,0)),"미등록설비"))</f>
        <v/>
      </c>
      <c r="D768" s="9"/>
      <c r="E768" s="9"/>
      <c r="F768" s="9"/>
      <c r="G768" s="9"/>
      <c r="H768" s="9"/>
    </row>
    <row r="769" customFormat="false" ht="15" hidden="false" customHeight="true" outlineLevel="0" collapsed="false">
      <c r="A769" s="12"/>
      <c r="B769" s="9"/>
      <c r="C769" s="15" t="str">
        <f aca="false">IF($B769="","",IFERROR(INDEX(설비목록!$B$3:$B$202,MATCH($B769,설비목록!$A$3:$A$202,0)),"미등록설비"))</f>
        <v/>
      </c>
      <c r="D769" s="9"/>
      <c r="E769" s="9"/>
      <c r="F769" s="9"/>
      <c r="G769" s="9"/>
      <c r="H769" s="9"/>
    </row>
    <row r="770" customFormat="false" ht="15" hidden="false" customHeight="true" outlineLevel="0" collapsed="false">
      <c r="A770" s="12"/>
      <c r="B770" s="9"/>
      <c r="C770" s="15" t="str">
        <f aca="false">IF($B770="","",IFERROR(INDEX(설비목록!$B$3:$B$202,MATCH($B770,설비목록!$A$3:$A$202,0)),"미등록설비"))</f>
        <v/>
      </c>
      <c r="D770" s="9"/>
      <c r="E770" s="9"/>
      <c r="F770" s="9"/>
      <c r="G770" s="9"/>
      <c r="H770" s="9"/>
    </row>
    <row r="771" customFormat="false" ht="15" hidden="false" customHeight="true" outlineLevel="0" collapsed="false">
      <c r="A771" s="12"/>
      <c r="B771" s="9"/>
      <c r="C771" s="15" t="str">
        <f aca="false">IF($B771="","",IFERROR(INDEX(설비목록!$B$3:$B$202,MATCH($B771,설비목록!$A$3:$A$202,0)),"미등록설비"))</f>
        <v/>
      </c>
      <c r="D771" s="9"/>
      <c r="E771" s="9"/>
      <c r="F771" s="9"/>
      <c r="G771" s="9"/>
      <c r="H771" s="9"/>
    </row>
    <row r="772" customFormat="false" ht="15" hidden="false" customHeight="true" outlineLevel="0" collapsed="false">
      <c r="A772" s="12"/>
      <c r="B772" s="9"/>
      <c r="C772" s="15" t="str">
        <f aca="false">IF($B772="","",IFERROR(INDEX(설비목록!$B$3:$B$202,MATCH($B772,설비목록!$A$3:$A$202,0)),"미등록설비"))</f>
        <v/>
      </c>
      <c r="D772" s="9"/>
      <c r="E772" s="9"/>
      <c r="F772" s="9"/>
      <c r="G772" s="9"/>
      <c r="H772" s="9"/>
    </row>
    <row r="773" customFormat="false" ht="15" hidden="false" customHeight="true" outlineLevel="0" collapsed="false">
      <c r="A773" s="12"/>
      <c r="B773" s="9"/>
      <c r="C773" s="15" t="str">
        <f aca="false">IF($B773="","",IFERROR(INDEX(설비목록!$B$3:$B$202,MATCH($B773,설비목록!$A$3:$A$202,0)),"미등록설비"))</f>
        <v/>
      </c>
      <c r="D773" s="9"/>
      <c r="E773" s="9"/>
      <c r="F773" s="9"/>
      <c r="G773" s="9"/>
      <c r="H773" s="9"/>
    </row>
    <row r="774" customFormat="false" ht="15" hidden="false" customHeight="true" outlineLevel="0" collapsed="false">
      <c r="A774" s="12"/>
      <c r="B774" s="9"/>
      <c r="C774" s="15" t="str">
        <f aca="false">IF($B774="","",IFERROR(INDEX(설비목록!$B$3:$B$202,MATCH($B774,설비목록!$A$3:$A$202,0)),"미등록설비"))</f>
        <v/>
      </c>
      <c r="D774" s="9"/>
      <c r="E774" s="9"/>
      <c r="F774" s="9"/>
      <c r="G774" s="9"/>
      <c r="H774" s="9"/>
    </row>
    <row r="775" customFormat="false" ht="15" hidden="false" customHeight="true" outlineLevel="0" collapsed="false">
      <c r="A775" s="12"/>
      <c r="B775" s="9"/>
      <c r="C775" s="15" t="str">
        <f aca="false">IF($B775="","",IFERROR(INDEX(설비목록!$B$3:$B$202,MATCH($B775,설비목록!$A$3:$A$202,0)),"미등록설비"))</f>
        <v/>
      </c>
      <c r="D775" s="9"/>
      <c r="E775" s="9"/>
      <c r="F775" s="9"/>
      <c r="G775" s="9"/>
      <c r="H775" s="9"/>
    </row>
    <row r="776" customFormat="false" ht="15" hidden="false" customHeight="true" outlineLevel="0" collapsed="false">
      <c r="A776" s="12"/>
      <c r="B776" s="9"/>
      <c r="C776" s="15" t="str">
        <f aca="false">IF($B776="","",IFERROR(INDEX(설비목록!$B$3:$B$202,MATCH($B776,설비목록!$A$3:$A$202,0)),"미등록설비"))</f>
        <v/>
      </c>
      <c r="D776" s="9"/>
      <c r="E776" s="9"/>
      <c r="F776" s="9"/>
      <c r="G776" s="9"/>
      <c r="H776" s="9"/>
    </row>
    <row r="777" customFormat="false" ht="15" hidden="false" customHeight="true" outlineLevel="0" collapsed="false">
      <c r="A777" s="12"/>
      <c r="B777" s="9"/>
      <c r="C777" s="15" t="str">
        <f aca="false">IF($B777="","",IFERROR(INDEX(설비목록!$B$3:$B$202,MATCH($B777,설비목록!$A$3:$A$202,0)),"미등록설비"))</f>
        <v/>
      </c>
      <c r="D777" s="9"/>
      <c r="E777" s="9"/>
      <c r="F777" s="9"/>
      <c r="G777" s="9"/>
      <c r="H777" s="9"/>
    </row>
    <row r="778" customFormat="false" ht="15" hidden="false" customHeight="true" outlineLevel="0" collapsed="false">
      <c r="A778" s="12"/>
      <c r="B778" s="9"/>
      <c r="C778" s="15" t="str">
        <f aca="false">IF($B778="","",IFERROR(INDEX(설비목록!$B$3:$B$202,MATCH($B778,설비목록!$A$3:$A$202,0)),"미등록설비"))</f>
        <v/>
      </c>
      <c r="D778" s="9"/>
      <c r="E778" s="9"/>
      <c r="F778" s="9"/>
      <c r="G778" s="9"/>
      <c r="H778" s="9"/>
    </row>
    <row r="779" customFormat="false" ht="15" hidden="false" customHeight="true" outlineLevel="0" collapsed="false">
      <c r="A779" s="12"/>
      <c r="B779" s="9"/>
      <c r="C779" s="15" t="str">
        <f aca="false">IF($B779="","",IFERROR(INDEX(설비목록!$B$3:$B$202,MATCH($B779,설비목록!$A$3:$A$202,0)),"미등록설비"))</f>
        <v/>
      </c>
      <c r="D779" s="9"/>
      <c r="E779" s="9"/>
      <c r="F779" s="9"/>
      <c r="G779" s="9"/>
      <c r="H779" s="9"/>
    </row>
    <row r="780" customFormat="false" ht="15" hidden="false" customHeight="true" outlineLevel="0" collapsed="false">
      <c r="A780" s="12"/>
      <c r="B780" s="9"/>
      <c r="C780" s="15" t="str">
        <f aca="false">IF($B780="","",IFERROR(INDEX(설비목록!$B$3:$B$202,MATCH($B780,설비목록!$A$3:$A$202,0)),"미등록설비"))</f>
        <v/>
      </c>
      <c r="D780" s="9"/>
      <c r="E780" s="9"/>
      <c r="F780" s="9"/>
      <c r="G780" s="9"/>
      <c r="H780" s="9"/>
    </row>
    <row r="781" customFormat="false" ht="15" hidden="false" customHeight="true" outlineLevel="0" collapsed="false">
      <c r="A781" s="12"/>
      <c r="B781" s="9"/>
      <c r="C781" s="15" t="str">
        <f aca="false">IF($B781="","",IFERROR(INDEX(설비목록!$B$3:$B$202,MATCH($B781,설비목록!$A$3:$A$202,0)),"미등록설비"))</f>
        <v/>
      </c>
      <c r="D781" s="9"/>
      <c r="E781" s="9"/>
      <c r="F781" s="9"/>
      <c r="G781" s="9"/>
      <c r="H781" s="9"/>
    </row>
    <row r="782" customFormat="false" ht="15" hidden="false" customHeight="true" outlineLevel="0" collapsed="false">
      <c r="A782" s="12"/>
      <c r="B782" s="9"/>
      <c r="C782" s="15" t="str">
        <f aca="false">IF($B782="","",IFERROR(INDEX(설비목록!$B$3:$B$202,MATCH($B782,설비목록!$A$3:$A$202,0)),"미등록설비"))</f>
        <v/>
      </c>
      <c r="D782" s="9"/>
      <c r="E782" s="9"/>
      <c r="F782" s="9"/>
      <c r="G782" s="9"/>
      <c r="H782" s="9"/>
    </row>
    <row r="783" customFormat="false" ht="15" hidden="false" customHeight="true" outlineLevel="0" collapsed="false">
      <c r="A783" s="12"/>
      <c r="B783" s="9"/>
      <c r="C783" s="15" t="str">
        <f aca="false">IF($B783="","",IFERROR(INDEX(설비목록!$B$3:$B$202,MATCH($B783,설비목록!$A$3:$A$202,0)),"미등록설비"))</f>
        <v/>
      </c>
      <c r="D783" s="9"/>
      <c r="E783" s="9"/>
      <c r="F783" s="9"/>
      <c r="G783" s="9"/>
      <c r="H783" s="9"/>
    </row>
    <row r="784" customFormat="false" ht="15" hidden="false" customHeight="true" outlineLevel="0" collapsed="false">
      <c r="A784" s="12"/>
      <c r="B784" s="9"/>
      <c r="C784" s="15" t="str">
        <f aca="false">IF($B784="","",IFERROR(INDEX(설비목록!$B$3:$B$202,MATCH($B784,설비목록!$A$3:$A$202,0)),"미등록설비"))</f>
        <v/>
      </c>
      <c r="D784" s="9"/>
      <c r="E784" s="9"/>
      <c r="F784" s="9"/>
      <c r="G784" s="9"/>
      <c r="H784" s="9"/>
    </row>
    <row r="785" customFormat="false" ht="15" hidden="false" customHeight="true" outlineLevel="0" collapsed="false">
      <c r="A785" s="12"/>
      <c r="B785" s="9"/>
      <c r="C785" s="15" t="str">
        <f aca="false">IF($B785="","",IFERROR(INDEX(설비목록!$B$3:$B$202,MATCH($B785,설비목록!$A$3:$A$202,0)),"미등록설비"))</f>
        <v/>
      </c>
      <c r="D785" s="9"/>
      <c r="E785" s="9"/>
      <c r="F785" s="9"/>
      <c r="G785" s="9"/>
      <c r="H785" s="9"/>
    </row>
    <row r="786" customFormat="false" ht="15" hidden="false" customHeight="true" outlineLevel="0" collapsed="false">
      <c r="A786" s="12"/>
      <c r="B786" s="9"/>
      <c r="C786" s="15" t="str">
        <f aca="false">IF($B786="","",IFERROR(INDEX(설비목록!$B$3:$B$202,MATCH($B786,설비목록!$A$3:$A$202,0)),"미등록설비"))</f>
        <v/>
      </c>
      <c r="D786" s="9"/>
      <c r="E786" s="9"/>
      <c r="F786" s="9"/>
      <c r="G786" s="9"/>
      <c r="H786" s="9"/>
    </row>
    <row r="787" customFormat="false" ht="15" hidden="false" customHeight="true" outlineLevel="0" collapsed="false">
      <c r="A787" s="12"/>
      <c r="B787" s="9"/>
      <c r="C787" s="15" t="str">
        <f aca="false">IF($B787="","",IFERROR(INDEX(설비목록!$B$3:$B$202,MATCH($B787,설비목록!$A$3:$A$202,0)),"미등록설비"))</f>
        <v/>
      </c>
      <c r="D787" s="9"/>
      <c r="E787" s="9"/>
      <c r="F787" s="9"/>
      <c r="G787" s="9"/>
      <c r="H787" s="9"/>
    </row>
    <row r="788" customFormat="false" ht="15" hidden="false" customHeight="true" outlineLevel="0" collapsed="false">
      <c r="A788" s="12"/>
      <c r="B788" s="9"/>
      <c r="C788" s="15" t="str">
        <f aca="false">IF($B788="","",IFERROR(INDEX(설비목록!$B$3:$B$202,MATCH($B788,설비목록!$A$3:$A$202,0)),"미등록설비"))</f>
        <v/>
      </c>
      <c r="D788" s="9"/>
      <c r="E788" s="9"/>
      <c r="F788" s="9"/>
      <c r="G788" s="9"/>
      <c r="H788" s="9"/>
    </row>
    <row r="789" customFormat="false" ht="15" hidden="false" customHeight="true" outlineLevel="0" collapsed="false">
      <c r="A789" s="12"/>
      <c r="B789" s="9"/>
      <c r="C789" s="15" t="str">
        <f aca="false">IF($B789="","",IFERROR(INDEX(설비목록!$B$3:$B$202,MATCH($B789,설비목록!$A$3:$A$202,0)),"미등록설비"))</f>
        <v/>
      </c>
      <c r="D789" s="9"/>
      <c r="E789" s="9"/>
      <c r="F789" s="9"/>
      <c r="G789" s="9"/>
      <c r="H789" s="9"/>
    </row>
    <row r="790" customFormat="false" ht="15" hidden="false" customHeight="true" outlineLevel="0" collapsed="false">
      <c r="A790" s="12"/>
      <c r="B790" s="9"/>
      <c r="C790" s="15" t="str">
        <f aca="false">IF($B790="","",IFERROR(INDEX(설비목록!$B$3:$B$202,MATCH($B790,설비목록!$A$3:$A$202,0)),"미등록설비"))</f>
        <v/>
      </c>
      <c r="D790" s="9"/>
      <c r="E790" s="9"/>
      <c r="F790" s="9"/>
      <c r="G790" s="9"/>
      <c r="H790" s="9"/>
    </row>
    <row r="791" customFormat="false" ht="15" hidden="false" customHeight="true" outlineLevel="0" collapsed="false">
      <c r="A791" s="12"/>
      <c r="B791" s="9"/>
      <c r="C791" s="15" t="str">
        <f aca="false">IF($B791="","",IFERROR(INDEX(설비목록!$B$3:$B$202,MATCH($B791,설비목록!$A$3:$A$202,0)),"미등록설비"))</f>
        <v/>
      </c>
      <c r="D791" s="9"/>
      <c r="E791" s="9"/>
      <c r="F791" s="9"/>
      <c r="G791" s="9"/>
      <c r="H791" s="9"/>
    </row>
    <row r="792" customFormat="false" ht="15" hidden="false" customHeight="true" outlineLevel="0" collapsed="false">
      <c r="A792" s="12"/>
      <c r="B792" s="9"/>
      <c r="C792" s="15" t="str">
        <f aca="false">IF($B792="","",IFERROR(INDEX(설비목록!$B$3:$B$202,MATCH($B792,설비목록!$A$3:$A$202,0)),"미등록설비"))</f>
        <v/>
      </c>
      <c r="D792" s="9"/>
      <c r="E792" s="9"/>
      <c r="F792" s="9"/>
      <c r="G792" s="9"/>
      <c r="H792" s="9"/>
    </row>
    <row r="793" customFormat="false" ht="15" hidden="false" customHeight="true" outlineLevel="0" collapsed="false">
      <c r="A793" s="12"/>
      <c r="B793" s="9"/>
      <c r="C793" s="15" t="str">
        <f aca="false">IF($B793="","",IFERROR(INDEX(설비목록!$B$3:$B$202,MATCH($B793,설비목록!$A$3:$A$202,0)),"미등록설비"))</f>
        <v/>
      </c>
      <c r="D793" s="9"/>
      <c r="E793" s="9"/>
      <c r="F793" s="9"/>
      <c r="G793" s="9"/>
      <c r="H793" s="9"/>
    </row>
    <row r="794" customFormat="false" ht="15" hidden="false" customHeight="true" outlineLevel="0" collapsed="false">
      <c r="A794" s="12"/>
      <c r="B794" s="9"/>
      <c r="C794" s="15" t="str">
        <f aca="false">IF($B794="","",IFERROR(INDEX(설비목록!$B$3:$B$202,MATCH($B794,설비목록!$A$3:$A$202,0)),"미등록설비"))</f>
        <v/>
      </c>
      <c r="D794" s="9"/>
      <c r="E794" s="9"/>
      <c r="F794" s="9"/>
      <c r="G794" s="9"/>
      <c r="H794" s="9"/>
    </row>
    <row r="795" customFormat="false" ht="15" hidden="false" customHeight="true" outlineLevel="0" collapsed="false">
      <c r="A795" s="12"/>
      <c r="B795" s="9"/>
      <c r="C795" s="15" t="str">
        <f aca="false">IF($B795="","",IFERROR(INDEX(설비목록!$B$3:$B$202,MATCH($B795,설비목록!$A$3:$A$202,0)),"미등록설비"))</f>
        <v/>
      </c>
      <c r="D795" s="9"/>
      <c r="E795" s="9"/>
      <c r="F795" s="9"/>
      <c r="G795" s="9"/>
      <c r="H795" s="9"/>
    </row>
    <row r="796" customFormat="false" ht="15" hidden="false" customHeight="true" outlineLevel="0" collapsed="false">
      <c r="A796" s="12"/>
      <c r="B796" s="9"/>
      <c r="C796" s="15" t="str">
        <f aca="false">IF($B796="","",IFERROR(INDEX(설비목록!$B$3:$B$202,MATCH($B796,설비목록!$A$3:$A$202,0)),"미등록설비"))</f>
        <v/>
      </c>
      <c r="D796" s="9"/>
      <c r="E796" s="9"/>
      <c r="F796" s="9"/>
      <c r="G796" s="9"/>
      <c r="H796" s="9"/>
    </row>
    <row r="797" customFormat="false" ht="15" hidden="false" customHeight="true" outlineLevel="0" collapsed="false">
      <c r="A797" s="12"/>
      <c r="B797" s="9"/>
      <c r="C797" s="15" t="str">
        <f aca="false">IF($B797="","",IFERROR(INDEX(설비목록!$B$3:$B$202,MATCH($B797,설비목록!$A$3:$A$202,0)),"미등록설비"))</f>
        <v/>
      </c>
      <c r="D797" s="9"/>
      <c r="E797" s="9"/>
      <c r="F797" s="9"/>
      <c r="G797" s="9"/>
      <c r="H797" s="9"/>
    </row>
    <row r="798" customFormat="false" ht="15" hidden="false" customHeight="true" outlineLevel="0" collapsed="false">
      <c r="A798" s="12"/>
      <c r="B798" s="9"/>
      <c r="C798" s="15" t="str">
        <f aca="false">IF($B798="","",IFERROR(INDEX(설비목록!$B$3:$B$202,MATCH($B798,설비목록!$A$3:$A$202,0)),"미등록설비"))</f>
        <v/>
      </c>
      <c r="D798" s="9"/>
      <c r="E798" s="9"/>
      <c r="F798" s="9"/>
      <c r="G798" s="9"/>
      <c r="H798" s="9"/>
    </row>
    <row r="799" customFormat="false" ht="15" hidden="false" customHeight="true" outlineLevel="0" collapsed="false">
      <c r="A799" s="12"/>
      <c r="B799" s="9"/>
      <c r="C799" s="15" t="str">
        <f aca="false">IF($B799="","",IFERROR(INDEX(설비목록!$B$3:$B$202,MATCH($B799,설비목록!$A$3:$A$202,0)),"미등록설비"))</f>
        <v/>
      </c>
      <c r="D799" s="9"/>
      <c r="E799" s="9"/>
      <c r="F799" s="9"/>
      <c r="G799" s="9"/>
      <c r="H799" s="9"/>
    </row>
    <row r="800" customFormat="false" ht="15" hidden="false" customHeight="true" outlineLevel="0" collapsed="false">
      <c r="A800" s="12"/>
      <c r="B800" s="9"/>
      <c r="C800" s="15" t="str">
        <f aca="false">IF($B800="","",IFERROR(INDEX(설비목록!$B$3:$B$202,MATCH($B800,설비목록!$A$3:$A$202,0)),"미등록설비"))</f>
        <v/>
      </c>
      <c r="D800" s="9"/>
      <c r="E800" s="9"/>
      <c r="F800" s="9"/>
      <c r="G800" s="9"/>
      <c r="H800" s="9"/>
    </row>
    <row r="801" customFormat="false" ht="15" hidden="false" customHeight="true" outlineLevel="0" collapsed="false">
      <c r="A801" s="12"/>
      <c r="B801" s="9"/>
      <c r="C801" s="15" t="str">
        <f aca="false">IF($B801="","",IFERROR(INDEX(설비목록!$B$3:$B$202,MATCH($B801,설비목록!$A$3:$A$202,0)),"미등록설비"))</f>
        <v/>
      </c>
      <c r="D801" s="9"/>
      <c r="E801" s="9"/>
      <c r="F801" s="9"/>
      <c r="G801" s="9"/>
      <c r="H801" s="9"/>
    </row>
    <row r="802" customFormat="false" ht="15" hidden="false" customHeight="true" outlineLevel="0" collapsed="false">
      <c r="A802" s="12"/>
      <c r="B802" s="9"/>
      <c r="C802" s="15" t="str">
        <f aca="false">IF($B802="","",IFERROR(INDEX(설비목록!$B$3:$B$202,MATCH($B802,설비목록!$A$3:$A$202,0)),"미등록설비"))</f>
        <v/>
      </c>
      <c r="D802" s="9"/>
      <c r="E802" s="9"/>
      <c r="F802" s="9"/>
      <c r="G802" s="9"/>
      <c r="H802" s="9"/>
    </row>
  </sheetData>
  <mergeCells count="1">
    <mergeCell ref="A1:H1"/>
  </mergeCells>
  <conditionalFormatting sqref="A3:H802">
    <cfRule type="expression" priority="2" aboveAverage="0" equalAverage="0" bottom="0" percent="0" rank="0" text="" dxfId="0">
      <formula>$F3="이상"</formula>
    </cfRule>
  </conditionalFormatting>
  <dataValidations count="3">
    <dataValidation allowBlank="true" errorStyle="stop" operator="between" showDropDown="false" showErrorMessage="false" showInputMessage="false" sqref="B3:B802" type="list">
      <formula1>설비목록!$A$3:$A$202</formula1>
      <formula2>0</formula2>
    </dataValidation>
    <dataValidation allowBlank="true" errorStyle="stop" operator="between" showDropDown="false" showErrorMessage="false" showInputMessage="false" sqref="D3:D802" type="list">
      <formula1>"정기점검,수시점검,고장수리,부품교체"</formula1>
      <formula2>0</formula2>
    </dataValidation>
    <dataValidation allowBlank="true" errorStyle="stop" operator="between" showDropDown="false" showErrorMessage="false" showInputMessage="false" sqref="F3:F802" type="list">
      <formula1>"정상,주의,이상"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7" min="5" style="1" width="14"/>
    <col collapsed="false" customWidth="true" hidden="false" outlineLevel="0" max="9" min="8" style="1" width="11"/>
    <col collapsed="false" customWidth="true" hidden="false" outlineLevel="0" max="10" min="10" style="1" width="14"/>
  </cols>
  <sheetData>
    <row r="1" customFormat="false" ht="25.5" hidden="false" customHeight="true" outlineLevel="0" collapsed="false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61</v>
      </c>
      <c r="B3" s="16" t="n">
        <f aca="true">TODAY()</f>
        <v>46278</v>
      </c>
      <c r="C3" s="3" t="s">
        <v>62</v>
      </c>
      <c r="D3" s="17" t="n">
        <f aca="false">SUMPRODUCT(($A$6:$A$205&lt;&gt;"")*($H$6:$H$205&lt;&gt;"")*($H$6:$H$205&lt;=사용안내!$C$17))</f>
        <v>3</v>
      </c>
      <c r="E3" s="13" t="s">
        <v>63</v>
      </c>
    </row>
    <row r="5" customFormat="false" ht="15" hidden="false" customHeight="true" outlineLevel="0" collapsed="false">
      <c r="A5" s="8" t="s">
        <v>29</v>
      </c>
      <c r="B5" s="8" t="s">
        <v>30</v>
      </c>
      <c r="C5" s="8" t="s">
        <v>31</v>
      </c>
      <c r="D5" s="8" t="s">
        <v>32</v>
      </c>
      <c r="E5" s="8" t="s">
        <v>33</v>
      </c>
      <c r="F5" s="8" t="s">
        <v>64</v>
      </c>
      <c r="G5" s="8" t="s">
        <v>65</v>
      </c>
      <c r="H5" s="18" t="s">
        <v>66</v>
      </c>
      <c r="I5" s="8" t="s">
        <v>67</v>
      </c>
      <c r="J5" s="8" t="s">
        <v>68</v>
      </c>
    </row>
    <row r="6" customFormat="false" ht="15" hidden="false" customHeight="true" outlineLevel="0" collapsed="false">
      <c r="A6" s="15" t="str">
        <f aca="false">IF(설비목록!$A3="","",설비목록!$A3)</f>
        <v>EQ001</v>
      </c>
      <c r="B6" s="15" t="str">
        <f aca="false">IF($A6="","",설비목록!$B3)</f>
        <v>천장형 에어컨 1호기</v>
      </c>
      <c r="C6" s="15" t="str">
        <f aca="false">IF($A6="","",설비목록!$C3)</f>
        <v>1층 사무실</v>
      </c>
      <c r="D6" s="15" t="str">
        <f aca="false">IF($A6="","",설비목록!$D3)</f>
        <v>김담당</v>
      </c>
      <c r="E6" s="19" t="n">
        <f aca="false">IF($A6="","",설비목록!$E3)</f>
        <v>90</v>
      </c>
      <c r="F6" s="20" t="n">
        <f aca="false">IF($A6="","",IF(COUNTIFS(점검이력!$B$3:$B$802,$A6)=0,설비목록!$F3,_xlfn.MAXIFS(점검이력!$A$3:$A$802,점검이력!$B$3:$B$802,$A6)))</f>
        <v>46082</v>
      </c>
      <c r="G6" s="20" t="n">
        <f aca="false">IF(OR($A6="",$F6="",$E6=""),"",$F6+$E6)</f>
        <v>46172</v>
      </c>
      <c r="H6" s="21" t="n">
        <f aca="true">IF($G6="","",$G6-TODAY())</f>
        <v>-106</v>
      </c>
      <c r="I6" s="22" t="n">
        <f aca="false">IF($A6="","",COUNTIFS(점검이력!$B$3:$B$802,$A6))</f>
        <v>0</v>
      </c>
      <c r="J6" s="22" t="str">
        <f aca="false">IF($H6="","",IF($H6&lt;0,"기한초과",IF($H6&lt;=사용안내!$C$17,"임박","정상")))</f>
        <v>기한초과</v>
      </c>
    </row>
    <row r="7" customFormat="false" ht="15" hidden="false" customHeight="true" outlineLevel="0" collapsed="false">
      <c r="A7" s="15" t="str">
        <f aca="false">IF(설비목록!$A4="","",설비목록!$A4)</f>
        <v>EQ002</v>
      </c>
      <c r="B7" s="15" t="str">
        <f aca="false">IF($A7="","",설비목록!$B4)</f>
        <v>소화기 (분말 3.3kg)</v>
      </c>
      <c r="C7" s="15" t="str">
        <f aca="false">IF($A7="","",설비목록!$C4)</f>
        <v>1층 복도</v>
      </c>
      <c r="D7" s="15" t="str">
        <f aca="false">IF($A7="","",설비목록!$D4)</f>
        <v>이담당</v>
      </c>
      <c r="E7" s="19" t="n">
        <f aca="false">IF($A7="","",설비목록!$E4)</f>
        <v>180</v>
      </c>
      <c r="F7" s="20" t="n">
        <f aca="false">IF($A7="","",IF(COUNTIFS(점검이력!$B$3:$B$802,$A7)=0,설비목록!$F4,_xlfn.MAXIFS(점검이력!$A$3:$A$802,점검이력!$B$3:$B$802,$A7)))</f>
        <v>46063</v>
      </c>
      <c r="G7" s="20" t="n">
        <f aca="false">IF(OR($A7="",$F7="",$E7=""),"",$F7+$E7)</f>
        <v>46243</v>
      </c>
      <c r="H7" s="21" t="n">
        <f aca="true">IF($G7="","",$G7-TODAY())</f>
        <v>-35</v>
      </c>
      <c r="I7" s="22" t="n">
        <f aca="false">IF($A7="","",COUNTIFS(점검이력!$B$3:$B$802,$A7))</f>
        <v>0</v>
      </c>
      <c r="J7" s="22" t="str">
        <f aca="false">IF($H7="","",IF($H7&lt;0,"기한초과",IF($H7&lt;=사용안내!$C$17,"임박","정상")))</f>
        <v>기한초과</v>
      </c>
    </row>
    <row r="8" customFormat="false" ht="15" hidden="false" customHeight="true" outlineLevel="0" collapsed="false">
      <c r="A8" s="15" t="str">
        <f aca="false">IF(설비목록!$A5="","",설비목록!$A5)</f>
        <v>EQ003</v>
      </c>
      <c r="B8" s="15" t="str">
        <f aca="false">IF($A8="","",설비목록!$B5)</f>
        <v>공기압축기</v>
      </c>
      <c r="C8" s="15" t="str">
        <f aca="false">IF($A8="","",설비목록!$C5)</f>
        <v>공장동</v>
      </c>
      <c r="D8" s="15" t="str">
        <f aca="false">IF($A8="","",설비목록!$D5)</f>
        <v>박담당</v>
      </c>
      <c r="E8" s="19" t="n">
        <f aca="false">IF($A8="","",설비목록!$E5)</f>
        <v>30</v>
      </c>
      <c r="F8" s="20" t="n">
        <f aca="false">IF($A8="","",IF(COUNTIFS(점검이력!$B$3:$B$802,$A8)=0,설비목록!$F5,_xlfn.MAXIFS(점검이력!$A$3:$A$802,점검이력!$B$3:$B$802,$A8)))</f>
        <v>46254</v>
      </c>
      <c r="G8" s="20" t="n">
        <f aca="false">IF(OR($A8="",$F8="",$E8=""),"",$F8+$E8)</f>
        <v>46284</v>
      </c>
      <c r="H8" s="21" t="n">
        <f aca="true">IF($G8="","",$G8-TODAY())</f>
        <v>6</v>
      </c>
      <c r="I8" s="22" t="n">
        <f aca="false">IF($A8="","",COUNTIFS(점검이력!$B$3:$B$802,$A8))</f>
        <v>0</v>
      </c>
      <c r="J8" s="22" t="str">
        <f aca="false">IF($H8="","",IF($H8&lt;0,"기한초과",IF($H8&lt;=사용안내!$C$17,"임박","정상")))</f>
        <v>임박</v>
      </c>
    </row>
    <row r="9" customFormat="false" ht="15" hidden="false" customHeight="true" outlineLevel="0" collapsed="false">
      <c r="A9" s="15" t="str">
        <f aca="false">IF(설비목록!$A6="","",설비목록!$A6)</f>
        <v>EQ004</v>
      </c>
      <c r="B9" s="15" t="str">
        <f aca="false">IF($A9="","",설비목록!$B6)</f>
        <v>정수기</v>
      </c>
      <c r="C9" s="15" t="str">
        <f aca="false">IF($A9="","",설비목록!$C6)</f>
        <v>휴게실</v>
      </c>
      <c r="D9" s="15" t="str">
        <f aca="false">IF($A9="","",설비목록!$D6)</f>
        <v>김담당</v>
      </c>
      <c r="E9" s="19" t="n">
        <f aca="false">IF($A9="","",설비목록!$E6)</f>
        <v>180</v>
      </c>
      <c r="F9" s="20" t="n">
        <f aca="false">IF($A9="","",IF(COUNTIFS(점검이력!$B$3:$B$802,$A9)=0,설비목록!$F6,_xlfn.MAXIFS(점검이력!$A$3:$A$802,점검이력!$B$3:$B$802,$A9)))</f>
        <v>46174</v>
      </c>
      <c r="G9" s="20" t="n">
        <f aca="false">IF(OR($A9="",$F9="",$E9=""),"",$F9+$E9)</f>
        <v>46354</v>
      </c>
      <c r="H9" s="21" t="n">
        <f aca="true">IF($G9="","",$G9-TODAY())</f>
        <v>76</v>
      </c>
      <c r="I9" s="22" t="n">
        <f aca="false">IF($A9="","",COUNTIFS(점검이력!$B$3:$B$802,$A9))</f>
        <v>0</v>
      </c>
      <c r="J9" s="22" t="str">
        <f aca="false">IF($H9="","",IF($H9&lt;0,"기한초과",IF($H9&lt;=사용안내!$C$17,"임박","정상")))</f>
        <v>정상</v>
      </c>
    </row>
    <row r="10" customFormat="false" ht="15" hidden="false" customHeight="true" outlineLevel="0" collapsed="false">
      <c r="A10" s="15" t="str">
        <f aca="false">IF(설비목록!$A7="","",설비목록!$A7)</f>
        <v/>
      </c>
      <c r="B10" s="15" t="str">
        <f aca="false">IF($A10="","",설비목록!$B7)</f>
        <v/>
      </c>
      <c r="C10" s="15" t="str">
        <f aca="false">IF($A10="","",설비목록!$C7)</f>
        <v/>
      </c>
      <c r="D10" s="15" t="str">
        <f aca="false">IF($A10="","",설비목록!$D7)</f>
        <v/>
      </c>
      <c r="E10" s="22" t="str">
        <f aca="false">IF($A10="","",설비목록!$E7)</f>
        <v/>
      </c>
      <c r="F10" s="20" t="str">
        <f aca="false">IF($A10="","",IF(COUNTIFS(점검이력!$B$3:$B$802,$A10)=0,설비목록!$F7,_xlfn.MAXIFS(점검이력!$A$3:$A$802,점검이력!$B$3:$B$802,$A10)))</f>
        <v/>
      </c>
      <c r="G10" s="20" t="str">
        <f aca="false">IF(OR($A10="",$F10="",$E10=""),"",$F10+$E10)</f>
        <v/>
      </c>
      <c r="H10" s="21" t="str">
        <f aca="true">IF($G10="","",$G10-TODAY())</f>
        <v/>
      </c>
      <c r="I10" s="22" t="str">
        <f aca="false">IF($A10="","",COUNTIFS(점검이력!$B$3:$B$802,$A10))</f>
        <v/>
      </c>
      <c r="J10" s="22" t="str">
        <f aca="false">IF($H10="","",IF($H10&lt;0,"기한초과",IF($H10&lt;=사용안내!$C$17,"임박","정상")))</f>
        <v/>
      </c>
    </row>
    <row r="11" customFormat="false" ht="15" hidden="false" customHeight="true" outlineLevel="0" collapsed="false">
      <c r="A11" s="15" t="str">
        <f aca="false">IF(설비목록!$A8="","",설비목록!$A8)</f>
        <v/>
      </c>
      <c r="B11" s="15" t="str">
        <f aca="false">IF($A11="","",설비목록!$B8)</f>
        <v/>
      </c>
      <c r="C11" s="15" t="str">
        <f aca="false">IF($A11="","",설비목록!$C8)</f>
        <v/>
      </c>
      <c r="D11" s="15" t="str">
        <f aca="false">IF($A11="","",설비목록!$D8)</f>
        <v/>
      </c>
      <c r="E11" s="22" t="str">
        <f aca="false">IF($A11="","",설비목록!$E8)</f>
        <v/>
      </c>
      <c r="F11" s="20" t="str">
        <f aca="false">IF($A11="","",IF(COUNTIFS(점검이력!$B$3:$B$802,$A11)=0,설비목록!$F8,_xlfn.MAXIFS(점검이력!$A$3:$A$802,점검이력!$B$3:$B$802,$A11)))</f>
        <v/>
      </c>
      <c r="G11" s="20" t="str">
        <f aca="false">IF(OR($A11="",$F11="",$E11=""),"",$F11+$E11)</f>
        <v/>
      </c>
      <c r="H11" s="21" t="str">
        <f aca="true">IF($G11="","",$G11-TODAY())</f>
        <v/>
      </c>
      <c r="I11" s="22" t="str">
        <f aca="false">IF($A11="","",COUNTIFS(점검이력!$B$3:$B$802,$A11))</f>
        <v/>
      </c>
      <c r="J11" s="22" t="str">
        <f aca="false">IF($H11="","",IF($H11&lt;0,"기한초과",IF($H11&lt;=사용안내!$C$17,"임박","정상")))</f>
        <v/>
      </c>
    </row>
    <row r="12" customFormat="false" ht="15" hidden="false" customHeight="true" outlineLevel="0" collapsed="false">
      <c r="A12" s="15" t="str">
        <f aca="false">IF(설비목록!$A9="","",설비목록!$A9)</f>
        <v/>
      </c>
      <c r="B12" s="15" t="str">
        <f aca="false">IF($A12="","",설비목록!$B9)</f>
        <v/>
      </c>
      <c r="C12" s="15" t="str">
        <f aca="false">IF($A12="","",설비목록!$C9)</f>
        <v/>
      </c>
      <c r="D12" s="15" t="str">
        <f aca="false">IF($A12="","",설비목록!$D9)</f>
        <v/>
      </c>
      <c r="E12" s="22" t="str">
        <f aca="false">IF($A12="","",설비목록!$E9)</f>
        <v/>
      </c>
      <c r="F12" s="20" t="str">
        <f aca="false">IF($A12="","",IF(COUNTIFS(점검이력!$B$3:$B$802,$A12)=0,설비목록!$F9,_xlfn.MAXIFS(점검이력!$A$3:$A$802,점검이력!$B$3:$B$802,$A12)))</f>
        <v/>
      </c>
      <c r="G12" s="20" t="str">
        <f aca="false">IF(OR($A12="",$F12="",$E12=""),"",$F12+$E12)</f>
        <v/>
      </c>
      <c r="H12" s="21" t="str">
        <f aca="true">IF($G12="","",$G12-TODAY())</f>
        <v/>
      </c>
      <c r="I12" s="22" t="str">
        <f aca="false">IF($A12="","",COUNTIFS(점검이력!$B$3:$B$802,$A12))</f>
        <v/>
      </c>
      <c r="J12" s="22" t="str">
        <f aca="false">IF($H12="","",IF($H12&lt;0,"기한초과",IF($H12&lt;=사용안내!$C$17,"임박","정상")))</f>
        <v/>
      </c>
    </row>
    <row r="13" customFormat="false" ht="15" hidden="false" customHeight="true" outlineLevel="0" collapsed="false">
      <c r="A13" s="15" t="str">
        <f aca="false">IF(설비목록!$A10="","",설비목록!$A10)</f>
        <v/>
      </c>
      <c r="B13" s="15" t="str">
        <f aca="false">IF($A13="","",설비목록!$B10)</f>
        <v/>
      </c>
      <c r="C13" s="15" t="str">
        <f aca="false">IF($A13="","",설비목록!$C10)</f>
        <v/>
      </c>
      <c r="D13" s="15" t="str">
        <f aca="false">IF($A13="","",설비목록!$D10)</f>
        <v/>
      </c>
      <c r="E13" s="22" t="str">
        <f aca="false">IF($A13="","",설비목록!$E10)</f>
        <v/>
      </c>
      <c r="F13" s="20" t="str">
        <f aca="false">IF($A13="","",IF(COUNTIFS(점검이력!$B$3:$B$802,$A13)=0,설비목록!$F10,_xlfn.MAXIFS(점검이력!$A$3:$A$802,점검이력!$B$3:$B$802,$A13)))</f>
        <v/>
      </c>
      <c r="G13" s="20" t="str">
        <f aca="false">IF(OR($A13="",$F13="",$E13=""),"",$F13+$E13)</f>
        <v/>
      </c>
      <c r="H13" s="21" t="str">
        <f aca="true">IF($G13="","",$G13-TODAY())</f>
        <v/>
      </c>
      <c r="I13" s="22" t="str">
        <f aca="false">IF($A13="","",COUNTIFS(점검이력!$B$3:$B$802,$A13))</f>
        <v/>
      </c>
      <c r="J13" s="22" t="str">
        <f aca="false">IF($H13="","",IF($H13&lt;0,"기한초과",IF($H13&lt;=사용안내!$C$17,"임박","정상")))</f>
        <v/>
      </c>
    </row>
    <row r="14" customFormat="false" ht="15" hidden="false" customHeight="true" outlineLevel="0" collapsed="false">
      <c r="A14" s="15" t="str">
        <f aca="false">IF(설비목록!$A11="","",설비목록!$A11)</f>
        <v/>
      </c>
      <c r="B14" s="15" t="str">
        <f aca="false">IF($A14="","",설비목록!$B11)</f>
        <v/>
      </c>
      <c r="C14" s="15" t="str">
        <f aca="false">IF($A14="","",설비목록!$C11)</f>
        <v/>
      </c>
      <c r="D14" s="15" t="str">
        <f aca="false">IF($A14="","",설비목록!$D11)</f>
        <v/>
      </c>
      <c r="E14" s="22" t="str">
        <f aca="false">IF($A14="","",설비목록!$E11)</f>
        <v/>
      </c>
      <c r="F14" s="20" t="str">
        <f aca="false">IF($A14="","",IF(COUNTIFS(점검이력!$B$3:$B$802,$A14)=0,설비목록!$F11,_xlfn.MAXIFS(점검이력!$A$3:$A$802,점검이력!$B$3:$B$802,$A14)))</f>
        <v/>
      </c>
      <c r="G14" s="20" t="str">
        <f aca="false">IF(OR($A14="",$F14="",$E14=""),"",$F14+$E14)</f>
        <v/>
      </c>
      <c r="H14" s="21" t="str">
        <f aca="true">IF($G14="","",$G14-TODAY())</f>
        <v/>
      </c>
      <c r="I14" s="22" t="str">
        <f aca="false">IF($A14="","",COUNTIFS(점검이력!$B$3:$B$802,$A14))</f>
        <v/>
      </c>
      <c r="J14" s="22" t="str">
        <f aca="false">IF($H14="","",IF($H14&lt;0,"기한초과",IF($H14&lt;=사용안내!$C$17,"임박","정상")))</f>
        <v/>
      </c>
    </row>
    <row r="15" customFormat="false" ht="15" hidden="false" customHeight="true" outlineLevel="0" collapsed="false">
      <c r="A15" s="15" t="str">
        <f aca="false">IF(설비목록!$A12="","",설비목록!$A12)</f>
        <v/>
      </c>
      <c r="B15" s="15" t="str">
        <f aca="false">IF($A15="","",설비목록!$B12)</f>
        <v/>
      </c>
      <c r="C15" s="15" t="str">
        <f aca="false">IF($A15="","",설비목록!$C12)</f>
        <v/>
      </c>
      <c r="D15" s="15" t="str">
        <f aca="false">IF($A15="","",설비목록!$D12)</f>
        <v/>
      </c>
      <c r="E15" s="22" t="str">
        <f aca="false">IF($A15="","",설비목록!$E12)</f>
        <v/>
      </c>
      <c r="F15" s="20" t="str">
        <f aca="false">IF($A15="","",IF(COUNTIFS(점검이력!$B$3:$B$802,$A15)=0,설비목록!$F12,_xlfn.MAXIFS(점검이력!$A$3:$A$802,점검이력!$B$3:$B$802,$A15)))</f>
        <v/>
      </c>
      <c r="G15" s="20" t="str">
        <f aca="false">IF(OR($A15="",$F15="",$E15=""),"",$F15+$E15)</f>
        <v/>
      </c>
      <c r="H15" s="21" t="str">
        <f aca="true">IF($G15="","",$G15-TODAY())</f>
        <v/>
      </c>
      <c r="I15" s="22" t="str">
        <f aca="false">IF($A15="","",COUNTIFS(점검이력!$B$3:$B$802,$A15))</f>
        <v/>
      </c>
      <c r="J15" s="22" t="str">
        <f aca="false">IF($H15="","",IF($H15&lt;0,"기한초과",IF($H15&lt;=사용안내!$C$17,"임박","정상")))</f>
        <v/>
      </c>
    </row>
    <row r="16" customFormat="false" ht="15" hidden="false" customHeight="true" outlineLevel="0" collapsed="false">
      <c r="A16" s="15" t="str">
        <f aca="false">IF(설비목록!$A13="","",설비목록!$A13)</f>
        <v/>
      </c>
      <c r="B16" s="15" t="str">
        <f aca="false">IF($A16="","",설비목록!$B13)</f>
        <v/>
      </c>
      <c r="C16" s="15" t="str">
        <f aca="false">IF($A16="","",설비목록!$C13)</f>
        <v/>
      </c>
      <c r="D16" s="15" t="str">
        <f aca="false">IF($A16="","",설비목록!$D13)</f>
        <v/>
      </c>
      <c r="E16" s="22" t="str">
        <f aca="false">IF($A16="","",설비목록!$E13)</f>
        <v/>
      </c>
      <c r="F16" s="20" t="str">
        <f aca="false">IF($A16="","",IF(COUNTIFS(점검이력!$B$3:$B$802,$A16)=0,설비목록!$F13,_xlfn.MAXIFS(점검이력!$A$3:$A$802,점검이력!$B$3:$B$802,$A16)))</f>
        <v/>
      </c>
      <c r="G16" s="20" t="str">
        <f aca="false">IF(OR($A16="",$F16="",$E16=""),"",$F16+$E16)</f>
        <v/>
      </c>
      <c r="H16" s="21" t="str">
        <f aca="true">IF($G16="","",$G16-TODAY())</f>
        <v/>
      </c>
      <c r="I16" s="22" t="str">
        <f aca="false">IF($A16="","",COUNTIFS(점검이력!$B$3:$B$802,$A16))</f>
        <v/>
      </c>
      <c r="J16" s="22" t="str">
        <f aca="false">IF($H16="","",IF($H16&lt;0,"기한초과",IF($H16&lt;=사용안내!$C$17,"임박","정상")))</f>
        <v/>
      </c>
    </row>
    <row r="17" customFormat="false" ht="15" hidden="false" customHeight="true" outlineLevel="0" collapsed="false">
      <c r="A17" s="15" t="str">
        <f aca="false">IF(설비목록!$A14="","",설비목록!$A14)</f>
        <v/>
      </c>
      <c r="B17" s="15" t="str">
        <f aca="false">IF($A17="","",설비목록!$B14)</f>
        <v/>
      </c>
      <c r="C17" s="15" t="str">
        <f aca="false">IF($A17="","",설비목록!$C14)</f>
        <v/>
      </c>
      <c r="D17" s="15" t="str">
        <f aca="false">IF($A17="","",설비목록!$D14)</f>
        <v/>
      </c>
      <c r="E17" s="22" t="str">
        <f aca="false">IF($A17="","",설비목록!$E14)</f>
        <v/>
      </c>
      <c r="F17" s="20" t="str">
        <f aca="false">IF($A17="","",IF(COUNTIFS(점검이력!$B$3:$B$802,$A17)=0,설비목록!$F14,_xlfn.MAXIFS(점검이력!$A$3:$A$802,점검이력!$B$3:$B$802,$A17)))</f>
        <v/>
      </c>
      <c r="G17" s="20" t="str">
        <f aca="false">IF(OR($A17="",$F17="",$E17=""),"",$F17+$E17)</f>
        <v/>
      </c>
      <c r="H17" s="21" t="str">
        <f aca="true">IF($G17="","",$G17-TODAY())</f>
        <v/>
      </c>
      <c r="I17" s="22" t="str">
        <f aca="false">IF($A17="","",COUNTIFS(점검이력!$B$3:$B$802,$A17))</f>
        <v/>
      </c>
      <c r="J17" s="22" t="str">
        <f aca="false">IF($H17="","",IF($H17&lt;0,"기한초과",IF($H17&lt;=사용안내!$C$17,"임박","정상")))</f>
        <v/>
      </c>
    </row>
    <row r="18" customFormat="false" ht="15" hidden="false" customHeight="true" outlineLevel="0" collapsed="false">
      <c r="A18" s="15" t="str">
        <f aca="false">IF(설비목록!$A15="","",설비목록!$A15)</f>
        <v/>
      </c>
      <c r="B18" s="15" t="str">
        <f aca="false">IF($A18="","",설비목록!$B15)</f>
        <v/>
      </c>
      <c r="C18" s="15" t="str">
        <f aca="false">IF($A18="","",설비목록!$C15)</f>
        <v/>
      </c>
      <c r="D18" s="15" t="str">
        <f aca="false">IF($A18="","",설비목록!$D15)</f>
        <v/>
      </c>
      <c r="E18" s="22" t="str">
        <f aca="false">IF($A18="","",설비목록!$E15)</f>
        <v/>
      </c>
      <c r="F18" s="20" t="str">
        <f aca="false">IF($A18="","",IF(COUNTIFS(점검이력!$B$3:$B$802,$A18)=0,설비목록!$F15,_xlfn.MAXIFS(점검이력!$A$3:$A$802,점검이력!$B$3:$B$802,$A18)))</f>
        <v/>
      </c>
      <c r="G18" s="20" t="str">
        <f aca="false">IF(OR($A18="",$F18="",$E18=""),"",$F18+$E18)</f>
        <v/>
      </c>
      <c r="H18" s="21" t="str">
        <f aca="true">IF($G18="","",$G18-TODAY())</f>
        <v/>
      </c>
      <c r="I18" s="22" t="str">
        <f aca="false">IF($A18="","",COUNTIFS(점검이력!$B$3:$B$802,$A18))</f>
        <v/>
      </c>
      <c r="J18" s="22" t="str">
        <f aca="false">IF($H18="","",IF($H18&lt;0,"기한초과",IF($H18&lt;=사용안내!$C$17,"임박","정상")))</f>
        <v/>
      </c>
    </row>
    <row r="19" customFormat="false" ht="15" hidden="false" customHeight="true" outlineLevel="0" collapsed="false">
      <c r="A19" s="15" t="str">
        <f aca="false">IF(설비목록!$A16="","",설비목록!$A16)</f>
        <v/>
      </c>
      <c r="B19" s="15" t="str">
        <f aca="false">IF($A19="","",설비목록!$B16)</f>
        <v/>
      </c>
      <c r="C19" s="15" t="str">
        <f aca="false">IF($A19="","",설비목록!$C16)</f>
        <v/>
      </c>
      <c r="D19" s="15" t="str">
        <f aca="false">IF($A19="","",설비목록!$D16)</f>
        <v/>
      </c>
      <c r="E19" s="22" t="str">
        <f aca="false">IF($A19="","",설비목록!$E16)</f>
        <v/>
      </c>
      <c r="F19" s="20" t="str">
        <f aca="false">IF($A19="","",IF(COUNTIFS(점검이력!$B$3:$B$802,$A19)=0,설비목록!$F16,_xlfn.MAXIFS(점검이력!$A$3:$A$802,점검이력!$B$3:$B$802,$A19)))</f>
        <v/>
      </c>
      <c r="G19" s="20" t="str">
        <f aca="false">IF(OR($A19="",$F19="",$E19=""),"",$F19+$E19)</f>
        <v/>
      </c>
      <c r="H19" s="21" t="str">
        <f aca="true">IF($G19="","",$G19-TODAY())</f>
        <v/>
      </c>
      <c r="I19" s="22" t="str">
        <f aca="false">IF($A19="","",COUNTIFS(점검이력!$B$3:$B$802,$A19))</f>
        <v/>
      </c>
      <c r="J19" s="22" t="str">
        <f aca="false">IF($H19="","",IF($H19&lt;0,"기한초과",IF($H19&lt;=사용안내!$C$17,"임박","정상")))</f>
        <v/>
      </c>
    </row>
    <row r="20" customFormat="false" ht="15" hidden="false" customHeight="true" outlineLevel="0" collapsed="false">
      <c r="A20" s="15" t="str">
        <f aca="false">IF(설비목록!$A17="","",설비목록!$A17)</f>
        <v/>
      </c>
      <c r="B20" s="15" t="str">
        <f aca="false">IF($A20="","",설비목록!$B17)</f>
        <v/>
      </c>
      <c r="C20" s="15" t="str">
        <f aca="false">IF($A20="","",설비목록!$C17)</f>
        <v/>
      </c>
      <c r="D20" s="15" t="str">
        <f aca="false">IF($A20="","",설비목록!$D17)</f>
        <v/>
      </c>
      <c r="E20" s="22" t="str">
        <f aca="false">IF($A20="","",설비목록!$E17)</f>
        <v/>
      </c>
      <c r="F20" s="20" t="str">
        <f aca="false">IF($A20="","",IF(COUNTIFS(점검이력!$B$3:$B$802,$A20)=0,설비목록!$F17,_xlfn.MAXIFS(점검이력!$A$3:$A$802,점검이력!$B$3:$B$802,$A20)))</f>
        <v/>
      </c>
      <c r="G20" s="20" t="str">
        <f aca="false">IF(OR($A20="",$F20="",$E20=""),"",$F20+$E20)</f>
        <v/>
      </c>
      <c r="H20" s="21" t="str">
        <f aca="true">IF($G20="","",$G20-TODAY())</f>
        <v/>
      </c>
      <c r="I20" s="22" t="str">
        <f aca="false">IF($A20="","",COUNTIFS(점검이력!$B$3:$B$802,$A20))</f>
        <v/>
      </c>
      <c r="J20" s="22" t="str">
        <f aca="false">IF($H20="","",IF($H20&lt;0,"기한초과",IF($H20&lt;=사용안내!$C$17,"임박","정상")))</f>
        <v/>
      </c>
    </row>
    <row r="21" customFormat="false" ht="15" hidden="false" customHeight="true" outlineLevel="0" collapsed="false">
      <c r="A21" s="15" t="str">
        <f aca="false">IF(설비목록!$A18="","",설비목록!$A18)</f>
        <v/>
      </c>
      <c r="B21" s="15" t="str">
        <f aca="false">IF($A21="","",설비목록!$B18)</f>
        <v/>
      </c>
      <c r="C21" s="15" t="str">
        <f aca="false">IF($A21="","",설비목록!$C18)</f>
        <v/>
      </c>
      <c r="D21" s="15" t="str">
        <f aca="false">IF($A21="","",설비목록!$D18)</f>
        <v/>
      </c>
      <c r="E21" s="22" t="str">
        <f aca="false">IF($A21="","",설비목록!$E18)</f>
        <v/>
      </c>
      <c r="F21" s="20" t="str">
        <f aca="false">IF($A21="","",IF(COUNTIFS(점검이력!$B$3:$B$802,$A21)=0,설비목록!$F18,_xlfn.MAXIFS(점검이력!$A$3:$A$802,점검이력!$B$3:$B$802,$A21)))</f>
        <v/>
      </c>
      <c r="G21" s="20" t="str">
        <f aca="false">IF(OR($A21="",$F21="",$E21=""),"",$F21+$E21)</f>
        <v/>
      </c>
      <c r="H21" s="21" t="str">
        <f aca="true">IF($G21="","",$G21-TODAY())</f>
        <v/>
      </c>
      <c r="I21" s="22" t="str">
        <f aca="false">IF($A21="","",COUNTIFS(점검이력!$B$3:$B$802,$A21))</f>
        <v/>
      </c>
      <c r="J21" s="22" t="str">
        <f aca="false">IF($H21="","",IF($H21&lt;0,"기한초과",IF($H21&lt;=사용안내!$C$17,"임박","정상")))</f>
        <v/>
      </c>
    </row>
    <row r="22" customFormat="false" ht="15" hidden="false" customHeight="true" outlineLevel="0" collapsed="false">
      <c r="A22" s="15" t="str">
        <f aca="false">IF(설비목록!$A19="","",설비목록!$A19)</f>
        <v/>
      </c>
      <c r="B22" s="15" t="str">
        <f aca="false">IF($A22="","",설비목록!$B19)</f>
        <v/>
      </c>
      <c r="C22" s="15" t="str">
        <f aca="false">IF($A22="","",설비목록!$C19)</f>
        <v/>
      </c>
      <c r="D22" s="15" t="str">
        <f aca="false">IF($A22="","",설비목록!$D19)</f>
        <v/>
      </c>
      <c r="E22" s="22" t="str">
        <f aca="false">IF($A22="","",설비목록!$E19)</f>
        <v/>
      </c>
      <c r="F22" s="20" t="str">
        <f aca="false">IF($A22="","",IF(COUNTIFS(점검이력!$B$3:$B$802,$A22)=0,설비목록!$F19,_xlfn.MAXIFS(점검이력!$A$3:$A$802,점검이력!$B$3:$B$802,$A22)))</f>
        <v/>
      </c>
      <c r="G22" s="20" t="str">
        <f aca="false">IF(OR($A22="",$F22="",$E22=""),"",$F22+$E22)</f>
        <v/>
      </c>
      <c r="H22" s="21" t="str">
        <f aca="true">IF($G22="","",$G22-TODAY())</f>
        <v/>
      </c>
      <c r="I22" s="22" t="str">
        <f aca="false">IF($A22="","",COUNTIFS(점검이력!$B$3:$B$802,$A22))</f>
        <v/>
      </c>
      <c r="J22" s="22" t="str">
        <f aca="false">IF($H22="","",IF($H22&lt;0,"기한초과",IF($H22&lt;=사용안내!$C$17,"임박","정상")))</f>
        <v/>
      </c>
    </row>
    <row r="23" customFormat="false" ht="15" hidden="false" customHeight="true" outlineLevel="0" collapsed="false">
      <c r="A23" s="15" t="str">
        <f aca="false">IF(설비목록!$A20="","",설비목록!$A20)</f>
        <v/>
      </c>
      <c r="B23" s="15" t="str">
        <f aca="false">IF($A23="","",설비목록!$B20)</f>
        <v/>
      </c>
      <c r="C23" s="15" t="str">
        <f aca="false">IF($A23="","",설비목록!$C20)</f>
        <v/>
      </c>
      <c r="D23" s="15" t="str">
        <f aca="false">IF($A23="","",설비목록!$D20)</f>
        <v/>
      </c>
      <c r="E23" s="22" t="str">
        <f aca="false">IF($A23="","",설비목록!$E20)</f>
        <v/>
      </c>
      <c r="F23" s="20" t="str">
        <f aca="false">IF($A23="","",IF(COUNTIFS(점검이력!$B$3:$B$802,$A23)=0,설비목록!$F20,_xlfn.MAXIFS(점검이력!$A$3:$A$802,점검이력!$B$3:$B$802,$A23)))</f>
        <v/>
      </c>
      <c r="G23" s="20" t="str">
        <f aca="false">IF(OR($A23="",$F23="",$E23=""),"",$F23+$E23)</f>
        <v/>
      </c>
      <c r="H23" s="21" t="str">
        <f aca="true">IF($G23="","",$G23-TODAY())</f>
        <v/>
      </c>
      <c r="I23" s="22" t="str">
        <f aca="false">IF($A23="","",COUNTIFS(점검이력!$B$3:$B$802,$A23))</f>
        <v/>
      </c>
      <c r="J23" s="22" t="str">
        <f aca="false">IF($H23="","",IF($H23&lt;0,"기한초과",IF($H23&lt;=사용안내!$C$17,"임박","정상")))</f>
        <v/>
      </c>
    </row>
    <row r="24" customFormat="false" ht="15" hidden="false" customHeight="true" outlineLevel="0" collapsed="false">
      <c r="A24" s="15" t="str">
        <f aca="false">IF(설비목록!$A21="","",설비목록!$A21)</f>
        <v/>
      </c>
      <c r="B24" s="15" t="str">
        <f aca="false">IF($A24="","",설비목록!$B21)</f>
        <v/>
      </c>
      <c r="C24" s="15" t="str">
        <f aca="false">IF($A24="","",설비목록!$C21)</f>
        <v/>
      </c>
      <c r="D24" s="15" t="str">
        <f aca="false">IF($A24="","",설비목록!$D21)</f>
        <v/>
      </c>
      <c r="E24" s="22" t="str">
        <f aca="false">IF($A24="","",설비목록!$E21)</f>
        <v/>
      </c>
      <c r="F24" s="20" t="str">
        <f aca="false">IF($A24="","",IF(COUNTIFS(점검이력!$B$3:$B$802,$A24)=0,설비목록!$F21,_xlfn.MAXIFS(점검이력!$A$3:$A$802,점검이력!$B$3:$B$802,$A24)))</f>
        <v/>
      </c>
      <c r="G24" s="20" t="str">
        <f aca="false">IF(OR($A24="",$F24="",$E24=""),"",$F24+$E24)</f>
        <v/>
      </c>
      <c r="H24" s="21" t="str">
        <f aca="true">IF($G24="","",$G24-TODAY())</f>
        <v/>
      </c>
      <c r="I24" s="22" t="str">
        <f aca="false">IF($A24="","",COUNTIFS(점검이력!$B$3:$B$802,$A24))</f>
        <v/>
      </c>
      <c r="J24" s="22" t="str">
        <f aca="false">IF($H24="","",IF($H24&lt;0,"기한초과",IF($H24&lt;=사용안내!$C$17,"임박","정상")))</f>
        <v/>
      </c>
    </row>
    <row r="25" customFormat="false" ht="15" hidden="false" customHeight="true" outlineLevel="0" collapsed="false">
      <c r="A25" s="15" t="str">
        <f aca="false">IF(설비목록!$A22="","",설비목록!$A22)</f>
        <v/>
      </c>
      <c r="B25" s="15" t="str">
        <f aca="false">IF($A25="","",설비목록!$B22)</f>
        <v/>
      </c>
      <c r="C25" s="15" t="str">
        <f aca="false">IF($A25="","",설비목록!$C22)</f>
        <v/>
      </c>
      <c r="D25" s="15" t="str">
        <f aca="false">IF($A25="","",설비목록!$D22)</f>
        <v/>
      </c>
      <c r="E25" s="22" t="str">
        <f aca="false">IF($A25="","",설비목록!$E22)</f>
        <v/>
      </c>
      <c r="F25" s="20" t="str">
        <f aca="false">IF($A25="","",IF(COUNTIFS(점검이력!$B$3:$B$802,$A25)=0,설비목록!$F22,_xlfn.MAXIFS(점검이력!$A$3:$A$802,점검이력!$B$3:$B$802,$A25)))</f>
        <v/>
      </c>
      <c r="G25" s="20" t="str">
        <f aca="false">IF(OR($A25="",$F25="",$E25=""),"",$F25+$E25)</f>
        <v/>
      </c>
      <c r="H25" s="21" t="str">
        <f aca="true">IF($G25="","",$G25-TODAY())</f>
        <v/>
      </c>
      <c r="I25" s="22" t="str">
        <f aca="false">IF($A25="","",COUNTIFS(점검이력!$B$3:$B$802,$A25))</f>
        <v/>
      </c>
      <c r="J25" s="22" t="str">
        <f aca="false">IF($H25="","",IF($H25&lt;0,"기한초과",IF($H25&lt;=사용안내!$C$17,"임박","정상")))</f>
        <v/>
      </c>
    </row>
    <row r="26" customFormat="false" ht="15" hidden="false" customHeight="true" outlineLevel="0" collapsed="false">
      <c r="A26" s="15" t="str">
        <f aca="false">IF(설비목록!$A23="","",설비목록!$A23)</f>
        <v/>
      </c>
      <c r="B26" s="15" t="str">
        <f aca="false">IF($A26="","",설비목록!$B23)</f>
        <v/>
      </c>
      <c r="C26" s="15" t="str">
        <f aca="false">IF($A26="","",설비목록!$C23)</f>
        <v/>
      </c>
      <c r="D26" s="15" t="str">
        <f aca="false">IF($A26="","",설비목록!$D23)</f>
        <v/>
      </c>
      <c r="E26" s="22" t="str">
        <f aca="false">IF($A26="","",설비목록!$E23)</f>
        <v/>
      </c>
      <c r="F26" s="20" t="str">
        <f aca="false">IF($A26="","",IF(COUNTIFS(점검이력!$B$3:$B$802,$A26)=0,설비목록!$F23,_xlfn.MAXIFS(점검이력!$A$3:$A$802,점검이력!$B$3:$B$802,$A26)))</f>
        <v/>
      </c>
      <c r="G26" s="20" t="str">
        <f aca="false">IF(OR($A26="",$F26="",$E26=""),"",$F26+$E26)</f>
        <v/>
      </c>
      <c r="H26" s="21" t="str">
        <f aca="true">IF($G26="","",$G26-TODAY())</f>
        <v/>
      </c>
      <c r="I26" s="22" t="str">
        <f aca="false">IF($A26="","",COUNTIFS(점검이력!$B$3:$B$802,$A26))</f>
        <v/>
      </c>
      <c r="J26" s="22" t="str">
        <f aca="false">IF($H26="","",IF($H26&lt;0,"기한초과",IF($H26&lt;=사용안내!$C$17,"임박","정상")))</f>
        <v/>
      </c>
    </row>
    <row r="27" customFormat="false" ht="15" hidden="false" customHeight="true" outlineLevel="0" collapsed="false">
      <c r="A27" s="15" t="str">
        <f aca="false">IF(설비목록!$A24="","",설비목록!$A24)</f>
        <v/>
      </c>
      <c r="B27" s="15" t="str">
        <f aca="false">IF($A27="","",설비목록!$B24)</f>
        <v/>
      </c>
      <c r="C27" s="15" t="str">
        <f aca="false">IF($A27="","",설비목록!$C24)</f>
        <v/>
      </c>
      <c r="D27" s="15" t="str">
        <f aca="false">IF($A27="","",설비목록!$D24)</f>
        <v/>
      </c>
      <c r="E27" s="22" t="str">
        <f aca="false">IF($A27="","",설비목록!$E24)</f>
        <v/>
      </c>
      <c r="F27" s="20" t="str">
        <f aca="false">IF($A27="","",IF(COUNTIFS(점검이력!$B$3:$B$802,$A27)=0,설비목록!$F24,_xlfn.MAXIFS(점검이력!$A$3:$A$802,점검이력!$B$3:$B$802,$A27)))</f>
        <v/>
      </c>
      <c r="G27" s="20" t="str">
        <f aca="false">IF(OR($A27="",$F27="",$E27=""),"",$F27+$E27)</f>
        <v/>
      </c>
      <c r="H27" s="21" t="str">
        <f aca="true">IF($G27="","",$G27-TODAY())</f>
        <v/>
      </c>
      <c r="I27" s="22" t="str">
        <f aca="false">IF($A27="","",COUNTIFS(점검이력!$B$3:$B$802,$A27))</f>
        <v/>
      </c>
      <c r="J27" s="22" t="str">
        <f aca="false">IF($H27="","",IF($H27&lt;0,"기한초과",IF($H27&lt;=사용안내!$C$17,"임박","정상")))</f>
        <v/>
      </c>
    </row>
    <row r="28" customFormat="false" ht="15" hidden="false" customHeight="true" outlineLevel="0" collapsed="false">
      <c r="A28" s="15" t="str">
        <f aca="false">IF(설비목록!$A25="","",설비목록!$A25)</f>
        <v/>
      </c>
      <c r="B28" s="15" t="str">
        <f aca="false">IF($A28="","",설비목록!$B25)</f>
        <v/>
      </c>
      <c r="C28" s="15" t="str">
        <f aca="false">IF($A28="","",설비목록!$C25)</f>
        <v/>
      </c>
      <c r="D28" s="15" t="str">
        <f aca="false">IF($A28="","",설비목록!$D25)</f>
        <v/>
      </c>
      <c r="E28" s="22" t="str">
        <f aca="false">IF($A28="","",설비목록!$E25)</f>
        <v/>
      </c>
      <c r="F28" s="20" t="str">
        <f aca="false">IF($A28="","",IF(COUNTIFS(점검이력!$B$3:$B$802,$A28)=0,설비목록!$F25,_xlfn.MAXIFS(점검이력!$A$3:$A$802,점검이력!$B$3:$B$802,$A28)))</f>
        <v/>
      </c>
      <c r="G28" s="20" t="str">
        <f aca="false">IF(OR($A28="",$F28="",$E28=""),"",$F28+$E28)</f>
        <v/>
      </c>
      <c r="H28" s="21" t="str">
        <f aca="true">IF($G28="","",$G28-TODAY())</f>
        <v/>
      </c>
      <c r="I28" s="22" t="str">
        <f aca="false">IF($A28="","",COUNTIFS(점검이력!$B$3:$B$802,$A28))</f>
        <v/>
      </c>
      <c r="J28" s="22" t="str">
        <f aca="false">IF($H28="","",IF($H28&lt;0,"기한초과",IF($H28&lt;=사용안내!$C$17,"임박","정상")))</f>
        <v/>
      </c>
    </row>
    <row r="29" customFormat="false" ht="15" hidden="false" customHeight="true" outlineLevel="0" collapsed="false">
      <c r="A29" s="15" t="str">
        <f aca="false">IF(설비목록!$A26="","",설비목록!$A26)</f>
        <v/>
      </c>
      <c r="B29" s="15" t="str">
        <f aca="false">IF($A29="","",설비목록!$B26)</f>
        <v/>
      </c>
      <c r="C29" s="15" t="str">
        <f aca="false">IF($A29="","",설비목록!$C26)</f>
        <v/>
      </c>
      <c r="D29" s="15" t="str">
        <f aca="false">IF($A29="","",설비목록!$D26)</f>
        <v/>
      </c>
      <c r="E29" s="22" t="str">
        <f aca="false">IF($A29="","",설비목록!$E26)</f>
        <v/>
      </c>
      <c r="F29" s="20" t="str">
        <f aca="false">IF($A29="","",IF(COUNTIFS(점검이력!$B$3:$B$802,$A29)=0,설비목록!$F26,_xlfn.MAXIFS(점검이력!$A$3:$A$802,점검이력!$B$3:$B$802,$A29)))</f>
        <v/>
      </c>
      <c r="G29" s="20" t="str">
        <f aca="false">IF(OR($A29="",$F29="",$E29=""),"",$F29+$E29)</f>
        <v/>
      </c>
      <c r="H29" s="21" t="str">
        <f aca="true">IF($G29="","",$G29-TODAY())</f>
        <v/>
      </c>
      <c r="I29" s="22" t="str">
        <f aca="false">IF($A29="","",COUNTIFS(점검이력!$B$3:$B$802,$A29))</f>
        <v/>
      </c>
      <c r="J29" s="22" t="str">
        <f aca="false">IF($H29="","",IF($H29&lt;0,"기한초과",IF($H29&lt;=사용안내!$C$17,"임박","정상")))</f>
        <v/>
      </c>
    </row>
    <row r="30" customFormat="false" ht="15" hidden="false" customHeight="true" outlineLevel="0" collapsed="false">
      <c r="A30" s="15" t="str">
        <f aca="false">IF(설비목록!$A27="","",설비목록!$A27)</f>
        <v/>
      </c>
      <c r="B30" s="15" t="str">
        <f aca="false">IF($A30="","",설비목록!$B27)</f>
        <v/>
      </c>
      <c r="C30" s="15" t="str">
        <f aca="false">IF($A30="","",설비목록!$C27)</f>
        <v/>
      </c>
      <c r="D30" s="15" t="str">
        <f aca="false">IF($A30="","",설비목록!$D27)</f>
        <v/>
      </c>
      <c r="E30" s="22" t="str">
        <f aca="false">IF($A30="","",설비목록!$E27)</f>
        <v/>
      </c>
      <c r="F30" s="20" t="str">
        <f aca="false">IF($A30="","",IF(COUNTIFS(점검이력!$B$3:$B$802,$A30)=0,설비목록!$F27,_xlfn.MAXIFS(점검이력!$A$3:$A$802,점검이력!$B$3:$B$802,$A30)))</f>
        <v/>
      </c>
      <c r="G30" s="20" t="str">
        <f aca="false">IF(OR($A30="",$F30="",$E30=""),"",$F30+$E30)</f>
        <v/>
      </c>
      <c r="H30" s="21" t="str">
        <f aca="true">IF($G30="","",$G30-TODAY())</f>
        <v/>
      </c>
      <c r="I30" s="22" t="str">
        <f aca="false">IF($A30="","",COUNTIFS(점검이력!$B$3:$B$802,$A30))</f>
        <v/>
      </c>
      <c r="J30" s="22" t="str">
        <f aca="false">IF($H30="","",IF($H30&lt;0,"기한초과",IF($H30&lt;=사용안내!$C$17,"임박","정상")))</f>
        <v/>
      </c>
    </row>
    <row r="31" customFormat="false" ht="15" hidden="false" customHeight="true" outlineLevel="0" collapsed="false">
      <c r="A31" s="15" t="str">
        <f aca="false">IF(설비목록!$A28="","",설비목록!$A28)</f>
        <v/>
      </c>
      <c r="B31" s="15" t="str">
        <f aca="false">IF($A31="","",설비목록!$B28)</f>
        <v/>
      </c>
      <c r="C31" s="15" t="str">
        <f aca="false">IF($A31="","",설비목록!$C28)</f>
        <v/>
      </c>
      <c r="D31" s="15" t="str">
        <f aca="false">IF($A31="","",설비목록!$D28)</f>
        <v/>
      </c>
      <c r="E31" s="22" t="str">
        <f aca="false">IF($A31="","",설비목록!$E28)</f>
        <v/>
      </c>
      <c r="F31" s="20" t="str">
        <f aca="false">IF($A31="","",IF(COUNTIFS(점검이력!$B$3:$B$802,$A31)=0,설비목록!$F28,_xlfn.MAXIFS(점검이력!$A$3:$A$802,점검이력!$B$3:$B$802,$A31)))</f>
        <v/>
      </c>
      <c r="G31" s="20" t="str">
        <f aca="false">IF(OR($A31="",$F31="",$E31=""),"",$F31+$E31)</f>
        <v/>
      </c>
      <c r="H31" s="21" t="str">
        <f aca="true">IF($G31="","",$G31-TODAY())</f>
        <v/>
      </c>
      <c r="I31" s="22" t="str">
        <f aca="false">IF($A31="","",COUNTIFS(점검이력!$B$3:$B$802,$A31))</f>
        <v/>
      </c>
      <c r="J31" s="22" t="str">
        <f aca="false">IF($H31="","",IF($H31&lt;0,"기한초과",IF($H31&lt;=사용안내!$C$17,"임박","정상")))</f>
        <v/>
      </c>
    </row>
    <row r="32" customFormat="false" ht="15" hidden="false" customHeight="true" outlineLevel="0" collapsed="false">
      <c r="A32" s="15" t="str">
        <f aca="false">IF(설비목록!$A29="","",설비목록!$A29)</f>
        <v/>
      </c>
      <c r="B32" s="15" t="str">
        <f aca="false">IF($A32="","",설비목록!$B29)</f>
        <v/>
      </c>
      <c r="C32" s="15" t="str">
        <f aca="false">IF($A32="","",설비목록!$C29)</f>
        <v/>
      </c>
      <c r="D32" s="15" t="str">
        <f aca="false">IF($A32="","",설비목록!$D29)</f>
        <v/>
      </c>
      <c r="E32" s="22" t="str">
        <f aca="false">IF($A32="","",설비목록!$E29)</f>
        <v/>
      </c>
      <c r="F32" s="20" t="str">
        <f aca="false">IF($A32="","",IF(COUNTIFS(점검이력!$B$3:$B$802,$A32)=0,설비목록!$F29,_xlfn.MAXIFS(점검이력!$A$3:$A$802,점검이력!$B$3:$B$802,$A32)))</f>
        <v/>
      </c>
      <c r="G32" s="20" t="str">
        <f aca="false">IF(OR($A32="",$F32="",$E32=""),"",$F32+$E32)</f>
        <v/>
      </c>
      <c r="H32" s="21" t="str">
        <f aca="true">IF($G32="","",$G32-TODAY())</f>
        <v/>
      </c>
      <c r="I32" s="22" t="str">
        <f aca="false">IF($A32="","",COUNTIFS(점검이력!$B$3:$B$802,$A32))</f>
        <v/>
      </c>
      <c r="J32" s="22" t="str">
        <f aca="false">IF($H32="","",IF($H32&lt;0,"기한초과",IF($H32&lt;=사용안내!$C$17,"임박","정상")))</f>
        <v/>
      </c>
    </row>
    <row r="33" customFormat="false" ht="15" hidden="false" customHeight="true" outlineLevel="0" collapsed="false">
      <c r="A33" s="15" t="str">
        <f aca="false">IF(설비목록!$A30="","",설비목록!$A30)</f>
        <v/>
      </c>
      <c r="B33" s="15" t="str">
        <f aca="false">IF($A33="","",설비목록!$B30)</f>
        <v/>
      </c>
      <c r="C33" s="15" t="str">
        <f aca="false">IF($A33="","",설비목록!$C30)</f>
        <v/>
      </c>
      <c r="D33" s="15" t="str">
        <f aca="false">IF($A33="","",설비목록!$D30)</f>
        <v/>
      </c>
      <c r="E33" s="22" t="str">
        <f aca="false">IF($A33="","",설비목록!$E30)</f>
        <v/>
      </c>
      <c r="F33" s="20" t="str">
        <f aca="false">IF($A33="","",IF(COUNTIFS(점검이력!$B$3:$B$802,$A33)=0,설비목록!$F30,_xlfn.MAXIFS(점검이력!$A$3:$A$802,점검이력!$B$3:$B$802,$A33)))</f>
        <v/>
      </c>
      <c r="G33" s="20" t="str">
        <f aca="false">IF(OR($A33="",$F33="",$E33=""),"",$F33+$E33)</f>
        <v/>
      </c>
      <c r="H33" s="21" t="str">
        <f aca="true">IF($G33="","",$G33-TODAY())</f>
        <v/>
      </c>
      <c r="I33" s="22" t="str">
        <f aca="false">IF($A33="","",COUNTIFS(점검이력!$B$3:$B$802,$A33))</f>
        <v/>
      </c>
      <c r="J33" s="22" t="str">
        <f aca="false">IF($H33="","",IF($H33&lt;0,"기한초과",IF($H33&lt;=사용안내!$C$17,"임박","정상")))</f>
        <v/>
      </c>
    </row>
    <row r="34" customFormat="false" ht="15" hidden="false" customHeight="true" outlineLevel="0" collapsed="false">
      <c r="A34" s="15" t="str">
        <f aca="false">IF(설비목록!$A31="","",설비목록!$A31)</f>
        <v/>
      </c>
      <c r="B34" s="15" t="str">
        <f aca="false">IF($A34="","",설비목록!$B31)</f>
        <v/>
      </c>
      <c r="C34" s="15" t="str">
        <f aca="false">IF($A34="","",설비목록!$C31)</f>
        <v/>
      </c>
      <c r="D34" s="15" t="str">
        <f aca="false">IF($A34="","",설비목록!$D31)</f>
        <v/>
      </c>
      <c r="E34" s="22" t="str">
        <f aca="false">IF($A34="","",설비목록!$E31)</f>
        <v/>
      </c>
      <c r="F34" s="20" t="str">
        <f aca="false">IF($A34="","",IF(COUNTIFS(점검이력!$B$3:$B$802,$A34)=0,설비목록!$F31,_xlfn.MAXIFS(점검이력!$A$3:$A$802,점검이력!$B$3:$B$802,$A34)))</f>
        <v/>
      </c>
      <c r="G34" s="20" t="str">
        <f aca="false">IF(OR($A34="",$F34="",$E34=""),"",$F34+$E34)</f>
        <v/>
      </c>
      <c r="H34" s="21" t="str">
        <f aca="true">IF($G34="","",$G34-TODAY())</f>
        <v/>
      </c>
      <c r="I34" s="22" t="str">
        <f aca="false">IF($A34="","",COUNTIFS(점검이력!$B$3:$B$802,$A34))</f>
        <v/>
      </c>
      <c r="J34" s="22" t="str">
        <f aca="false">IF($H34="","",IF($H34&lt;0,"기한초과",IF($H34&lt;=사용안내!$C$17,"임박","정상")))</f>
        <v/>
      </c>
    </row>
    <row r="35" customFormat="false" ht="15" hidden="false" customHeight="true" outlineLevel="0" collapsed="false">
      <c r="A35" s="15" t="str">
        <f aca="false">IF(설비목록!$A32="","",설비목록!$A32)</f>
        <v/>
      </c>
      <c r="B35" s="15" t="str">
        <f aca="false">IF($A35="","",설비목록!$B32)</f>
        <v/>
      </c>
      <c r="C35" s="15" t="str">
        <f aca="false">IF($A35="","",설비목록!$C32)</f>
        <v/>
      </c>
      <c r="D35" s="15" t="str">
        <f aca="false">IF($A35="","",설비목록!$D32)</f>
        <v/>
      </c>
      <c r="E35" s="22" t="str">
        <f aca="false">IF($A35="","",설비목록!$E32)</f>
        <v/>
      </c>
      <c r="F35" s="20" t="str">
        <f aca="false">IF($A35="","",IF(COUNTIFS(점검이력!$B$3:$B$802,$A35)=0,설비목록!$F32,_xlfn.MAXIFS(점검이력!$A$3:$A$802,점검이력!$B$3:$B$802,$A35)))</f>
        <v/>
      </c>
      <c r="G35" s="20" t="str">
        <f aca="false">IF(OR($A35="",$F35="",$E35=""),"",$F35+$E35)</f>
        <v/>
      </c>
      <c r="H35" s="21" t="str">
        <f aca="true">IF($G35="","",$G35-TODAY())</f>
        <v/>
      </c>
      <c r="I35" s="22" t="str">
        <f aca="false">IF($A35="","",COUNTIFS(점검이력!$B$3:$B$802,$A35))</f>
        <v/>
      </c>
      <c r="J35" s="22" t="str">
        <f aca="false">IF($H35="","",IF($H35&lt;0,"기한초과",IF($H35&lt;=사용안내!$C$17,"임박","정상")))</f>
        <v/>
      </c>
    </row>
    <row r="36" customFormat="false" ht="15" hidden="false" customHeight="true" outlineLevel="0" collapsed="false">
      <c r="A36" s="15" t="str">
        <f aca="false">IF(설비목록!$A33="","",설비목록!$A33)</f>
        <v/>
      </c>
      <c r="B36" s="15" t="str">
        <f aca="false">IF($A36="","",설비목록!$B33)</f>
        <v/>
      </c>
      <c r="C36" s="15" t="str">
        <f aca="false">IF($A36="","",설비목록!$C33)</f>
        <v/>
      </c>
      <c r="D36" s="15" t="str">
        <f aca="false">IF($A36="","",설비목록!$D33)</f>
        <v/>
      </c>
      <c r="E36" s="22" t="str">
        <f aca="false">IF($A36="","",설비목록!$E33)</f>
        <v/>
      </c>
      <c r="F36" s="20" t="str">
        <f aca="false">IF($A36="","",IF(COUNTIFS(점검이력!$B$3:$B$802,$A36)=0,설비목록!$F33,_xlfn.MAXIFS(점검이력!$A$3:$A$802,점검이력!$B$3:$B$802,$A36)))</f>
        <v/>
      </c>
      <c r="G36" s="20" t="str">
        <f aca="false">IF(OR($A36="",$F36="",$E36=""),"",$F36+$E36)</f>
        <v/>
      </c>
      <c r="H36" s="21" t="str">
        <f aca="true">IF($G36="","",$G36-TODAY())</f>
        <v/>
      </c>
      <c r="I36" s="22" t="str">
        <f aca="false">IF($A36="","",COUNTIFS(점검이력!$B$3:$B$802,$A36))</f>
        <v/>
      </c>
      <c r="J36" s="22" t="str">
        <f aca="false">IF($H36="","",IF($H36&lt;0,"기한초과",IF($H36&lt;=사용안내!$C$17,"임박","정상")))</f>
        <v/>
      </c>
    </row>
    <row r="37" customFormat="false" ht="15" hidden="false" customHeight="true" outlineLevel="0" collapsed="false">
      <c r="A37" s="15" t="str">
        <f aca="false">IF(설비목록!$A34="","",설비목록!$A34)</f>
        <v/>
      </c>
      <c r="B37" s="15" t="str">
        <f aca="false">IF($A37="","",설비목록!$B34)</f>
        <v/>
      </c>
      <c r="C37" s="15" t="str">
        <f aca="false">IF($A37="","",설비목록!$C34)</f>
        <v/>
      </c>
      <c r="D37" s="15" t="str">
        <f aca="false">IF($A37="","",설비목록!$D34)</f>
        <v/>
      </c>
      <c r="E37" s="22" t="str">
        <f aca="false">IF($A37="","",설비목록!$E34)</f>
        <v/>
      </c>
      <c r="F37" s="20" t="str">
        <f aca="false">IF($A37="","",IF(COUNTIFS(점검이력!$B$3:$B$802,$A37)=0,설비목록!$F34,_xlfn.MAXIFS(점검이력!$A$3:$A$802,점검이력!$B$3:$B$802,$A37)))</f>
        <v/>
      </c>
      <c r="G37" s="20" t="str">
        <f aca="false">IF(OR($A37="",$F37="",$E37=""),"",$F37+$E37)</f>
        <v/>
      </c>
      <c r="H37" s="21" t="str">
        <f aca="true">IF($G37="","",$G37-TODAY())</f>
        <v/>
      </c>
      <c r="I37" s="22" t="str">
        <f aca="false">IF($A37="","",COUNTIFS(점검이력!$B$3:$B$802,$A37))</f>
        <v/>
      </c>
      <c r="J37" s="22" t="str">
        <f aca="false">IF($H37="","",IF($H37&lt;0,"기한초과",IF($H37&lt;=사용안내!$C$17,"임박","정상")))</f>
        <v/>
      </c>
    </row>
    <row r="38" customFormat="false" ht="15" hidden="false" customHeight="true" outlineLevel="0" collapsed="false">
      <c r="A38" s="15" t="str">
        <f aca="false">IF(설비목록!$A35="","",설비목록!$A35)</f>
        <v/>
      </c>
      <c r="B38" s="15" t="str">
        <f aca="false">IF($A38="","",설비목록!$B35)</f>
        <v/>
      </c>
      <c r="C38" s="15" t="str">
        <f aca="false">IF($A38="","",설비목록!$C35)</f>
        <v/>
      </c>
      <c r="D38" s="15" t="str">
        <f aca="false">IF($A38="","",설비목록!$D35)</f>
        <v/>
      </c>
      <c r="E38" s="22" t="str">
        <f aca="false">IF($A38="","",설비목록!$E35)</f>
        <v/>
      </c>
      <c r="F38" s="20" t="str">
        <f aca="false">IF($A38="","",IF(COUNTIFS(점검이력!$B$3:$B$802,$A38)=0,설비목록!$F35,_xlfn.MAXIFS(점검이력!$A$3:$A$802,점검이력!$B$3:$B$802,$A38)))</f>
        <v/>
      </c>
      <c r="G38" s="20" t="str">
        <f aca="false">IF(OR($A38="",$F38="",$E38=""),"",$F38+$E38)</f>
        <v/>
      </c>
      <c r="H38" s="21" t="str">
        <f aca="true">IF($G38="","",$G38-TODAY())</f>
        <v/>
      </c>
      <c r="I38" s="22" t="str">
        <f aca="false">IF($A38="","",COUNTIFS(점검이력!$B$3:$B$802,$A38))</f>
        <v/>
      </c>
      <c r="J38" s="22" t="str">
        <f aca="false">IF($H38="","",IF($H38&lt;0,"기한초과",IF($H38&lt;=사용안내!$C$17,"임박","정상")))</f>
        <v/>
      </c>
    </row>
    <row r="39" customFormat="false" ht="15" hidden="false" customHeight="true" outlineLevel="0" collapsed="false">
      <c r="A39" s="15" t="str">
        <f aca="false">IF(설비목록!$A36="","",설비목록!$A36)</f>
        <v/>
      </c>
      <c r="B39" s="15" t="str">
        <f aca="false">IF($A39="","",설비목록!$B36)</f>
        <v/>
      </c>
      <c r="C39" s="15" t="str">
        <f aca="false">IF($A39="","",설비목록!$C36)</f>
        <v/>
      </c>
      <c r="D39" s="15" t="str">
        <f aca="false">IF($A39="","",설비목록!$D36)</f>
        <v/>
      </c>
      <c r="E39" s="22" t="str">
        <f aca="false">IF($A39="","",설비목록!$E36)</f>
        <v/>
      </c>
      <c r="F39" s="20" t="str">
        <f aca="false">IF($A39="","",IF(COUNTIFS(점검이력!$B$3:$B$802,$A39)=0,설비목록!$F36,_xlfn.MAXIFS(점검이력!$A$3:$A$802,점검이력!$B$3:$B$802,$A39)))</f>
        <v/>
      </c>
      <c r="G39" s="20" t="str">
        <f aca="false">IF(OR($A39="",$F39="",$E39=""),"",$F39+$E39)</f>
        <v/>
      </c>
      <c r="H39" s="21" t="str">
        <f aca="true">IF($G39="","",$G39-TODAY())</f>
        <v/>
      </c>
      <c r="I39" s="22" t="str">
        <f aca="false">IF($A39="","",COUNTIFS(점검이력!$B$3:$B$802,$A39))</f>
        <v/>
      </c>
      <c r="J39" s="22" t="str">
        <f aca="false">IF($H39="","",IF($H39&lt;0,"기한초과",IF($H39&lt;=사용안내!$C$17,"임박","정상")))</f>
        <v/>
      </c>
    </row>
    <row r="40" customFormat="false" ht="15" hidden="false" customHeight="true" outlineLevel="0" collapsed="false">
      <c r="A40" s="15" t="str">
        <f aca="false">IF(설비목록!$A37="","",설비목록!$A37)</f>
        <v/>
      </c>
      <c r="B40" s="15" t="str">
        <f aca="false">IF($A40="","",설비목록!$B37)</f>
        <v/>
      </c>
      <c r="C40" s="15" t="str">
        <f aca="false">IF($A40="","",설비목록!$C37)</f>
        <v/>
      </c>
      <c r="D40" s="15" t="str">
        <f aca="false">IF($A40="","",설비목록!$D37)</f>
        <v/>
      </c>
      <c r="E40" s="22" t="str">
        <f aca="false">IF($A40="","",설비목록!$E37)</f>
        <v/>
      </c>
      <c r="F40" s="20" t="str">
        <f aca="false">IF($A40="","",IF(COUNTIFS(점검이력!$B$3:$B$802,$A40)=0,설비목록!$F37,_xlfn.MAXIFS(점검이력!$A$3:$A$802,점검이력!$B$3:$B$802,$A40)))</f>
        <v/>
      </c>
      <c r="G40" s="20" t="str">
        <f aca="false">IF(OR($A40="",$F40="",$E40=""),"",$F40+$E40)</f>
        <v/>
      </c>
      <c r="H40" s="21" t="str">
        <f aca="true">IF($G40="","",$G40-TODAY())</f>
        <v/>
      </c>
      <c r="I40" s="22" t="str">
        <f aca="false">IF($A40="","",COUNTIFS(점검이력!$B$3:$B$802,$A40))</f>
        <v/>
      </c>
      <c r="J40" s="22" t="str">
        <f aca="false">IF($H40="","",IF($H40&lt;0,"기한초과",IF($H40&lt;=사용안내!$C$17,"임박","정상")))</f>
        <v/>
      </c>
    </row>
    <row r="41" customFormat="false" ht="15" hidden="false" customHeight="true" outlineLevel="0" collapsed="false">
      <c r="A41" s="15" t="str">
        <f aca="false">IF(설비목록!$A38="","",설비목록!$A38)</f>
        <v/>
      </c>
      <c r="B41" s="15" t="str">
        <f aca="false">IF($A41="","",설비목록!$B38)</f>
        <v/>
      </c>
      <c r="C41" s="15" t="str">
        <f aca="false">IF($A41="","",설비목록!$C38)</f>
        <v/>
      </c>
      <c r="D41" s="15" t="str">
        <f aca="false">IF($A41="","",설비목록!$D38)</f>
        <v/>
      </c>
      <c r="E41" s="22" t="str">
        <f aca="false">IF($A41="","",설비목록!$E38)</f>
        <v/>
      </c>
      <c r="F41" s="20" t="str">
        <f aca="false">IF($A41="","",IF(COUNTIFS(점검이력!$B$3:$B$802,$A41)=0,설비목록!$F38,_xlfn.MAXIFS(점검이력!$A$3:$A$802,점검이력!$B$3:$B$802,$A41)))</f>
        <v/>
      </c>
      <c r="G41" s="20" t="str">
        <f aca="false">IF(OR($A41="",$F41="",$E41=""),"",$F41+$E41)</f>
        <v/>
      </c>
      <c r="H41" s="21" t="str">
        <f aca="true">IF($G41="","",$G41-TODAY())</f>
        <v/>
      </c>
      <c r="I41" s="22" t="str">
        <f aca="false">IF($A41="","",COUNTIFS(점검이력!$B$3:$B$802,$A41))</f>
        <v/>
      </c>
      <c r="J41" s="22" t="str">
        <f aca="false">IF($H41="","",IF($H41&lt;0,"기한초과",IF($H41&lt;=사용안내!$C$17,"임박","정상")))</f>
        <v/>
      </c>
    </row>
    <row r="42" customFormat="false" ht="15" hidden="false" customHeight="true" outlineLevel="0" collapsed="false">
      <c r="A42" s="15" t="str">
        <f aca="false">IF(설비목록!$A39="","",설비목록!$A39)</f>
        <v/>
      </c>
      <c r="B42" s="15" t="str">
        <f aca="false">IF($A42="","",설비목록!$B39)</f>
        <v/>
      </c>
      <c r="C42" s="15" t="str">
        <f aca="false">IF($A42="","",설비목록!$C39)</f>
        <v/>
      </c>
      <c r="D42" s="15" t="str">
        <f aca="false">IF($A42="","",설비목록!$D39)</f>
        <v/>
      </c>
      <c r="E42" s="22" t="str">
        <f aca="false">IF($A42="","",설비목록!$E39)</f>
        <v/>
      </c>
      <c r="F42" s="20" t="str">
        <f aca="false">IF($A42="","",IF(COUNTIFS(점검이력!$B$3:$B$802,$A42)=0,설비목록!$F39,_xlfn.MAXIFS(점검이력!$A$3:$A$802,점검이력!$B$3:$B$802,$A42)))</f>
        <v/>
      </c>
      <c r="G42" s="20" t="str">
        <f aca="false">IF(OR($A42="",$F42="",$E42=""),"",$F42+$E42)</f>
        <v/>
      </c>
      <c r="H42" s="21" t="str">
        <f aca="true">IF($G42="","",$G42-TODAY())</f>
        <v/>
      </c>
      <c r="I42" s="22" t="str">
        <f aca="false">IF($A42="","",COUNTIFS(점검이력!$B$3:$B$802,$A42))</f>
        <v/>
      </c>
      <c r="J42" s="22" t="str">
        <f aca="false">IF($H42="","",IF($H42&lt;0,"기한초과",IF($H42&lt;=사용안내!$C$17,"임박","정상")))</f>
        <v/>
      </c>
    </row>
    <row r="43" customFormat="false" ht="15" hidden="false" customHeight="true" outlineLevel="0" collapsed="false">
      <c r="A43" s="15" t="str">
        <f aca="false">IF(설비목록!$A40="","",설비목록!$A40)</f>
        <v/>
      </c>
      <c r="B43" s="15" t="str">
        <f aca="false">IF($A43="","",설비목록!$B40)</f>
        <v/>
      </c>
      <c r="C43" s="15" t="str">
        <f aca="false">IF($A43="","",설비목록!$C40)</f>
        <v/>
      </c>
      <c r="D43" s="15" t="str">
        <f aca="false">IF($A43="","",설비목록!$D40)</f>
        <v/>
      </c>
      <c r="E43" s="22" t="str">
        <f aca="false">IF($A43="","",설비목록!$E40)</f>
        <v/>
      </c>
      <c r="F43" s="20" t="str">
        <f aca="false">IF($A43="","",IF(COUNTIFS(점검이력!$B$3:$B$802,$A43)=0,설비목록!$F40,_xlfn.MAXIFS(점검이력!$A$3:$A$802,점검이력!$B$3:$B$802,$A43)))</f>
        <v/>
      </c>
      <c r="G43" s="20" t="str">
        <f aca="false">IF(OR($A43="",$F43="",$E43=""),"",$F43+$E43)</f>
        <v/>
      </c>
      <c r="H43" s="21" t="str">
        <f aca="true">IF($G43="","",$G43-TODAY())</f>
        <v/>
      </c>
      <c r="I43" s="22" t="str">
        <f aca="false">IF($A43="","",COUNTIFS(점검이력!$B$3:$B$802,$A43))</f>
        <v/>
      </c>
      <c r="J43" s="22" t="str">
        <f aca="false">IF($H43="","",IF($H43&lt;0,"기한초과",IF($H43&lt;=사용안내!$C$17,"임박","정상")))</f>
        <v/>
      </c>
    </row>
    <row r="44" customFormat="false" ht="15" hidden="false" customHeight="true" outlineLevel="0" collapsed="false">
      <c r="A44" s="15" t="str">
        <f aca="false">IF(설비목록!$A41="","",설비목록!$A41)</f>
        <v/>
      </c>
      <c r="B44" s="15" t="str">
        <f aca="false">IF($A44="","",설비목록!$B41)</f>
        <v/>
      </c>
      <c r="C44" s="15" t="str">
        <f aca="false">IF($A44="","",설비목록!$C41)</f>
        <v/>
      </c>
      <c r="D44" s="15" t="str">
        <f aca="false">IF($A44="","",설비목록!$D41)</f>
        <v/>
      </c>
      <c r="E44" s="22" t="str">
        <f aca="false">IF($A44="","",설비목록!$E41)</f>
        <v/>
      </c>
      <c r="F44" s="20" t="str">
        <f aca="false">IF($A44="","",IF(COUNTIFS(점검이력!$B$3:$B$802,$A44)=0,설비목록!$F41,_xlfn.MAXIFS(점검이력!$A$3:$A$802,점검이력!$B$3:$B$802,$A44)))</f>
        <v/>
      </c>
      <c r="G44" s="20" t="str">
        <f aca="false">IF(OR($A44="",$F44="",$E44=""),"",$F44+$E44)</f>
        <v/>
      </c>
      <c r="H44" s="21" t="str">
        <f aca="true">IF($G44="","",$G44-TODAY())</f>
        <v/>
      </c>
      <c r="I44" s="22" t="str">
        <f aca="false">IF($A44="","",COUNTIFS(점검이력!$B$3:$B$802,$A44))</f>
        <v/>
      </c>
      <c r="J44" s="22" t="str">
        <f aca="false">IF($H44="","",IF($H44&lt;0,"기한초과",IF($H44&lt;=사용안내!$C$17,"임박","정상")))</f>
        <v/>
      </c>
    </row>
    <row r="45" customFormat="false" ht="15" hidden="false" customHeight="true" outlineLevel="0" collapsed="false">
      <c r="A45" s="15" t="str">
        <f aca="false">IF(설비목록!$A42="","",설비목록!$A42)</f>
        <v/>
      </c>
      <c r="B45" s="15" t="str">
        <f aca="false">IF($A45="","",설비목록!$B42)</f>
        <v/>
      </c>
      <c r="C45" s="15" t="str">
        <f aca="false">IF($A45="","",설비목록!$C42)</f>
        <v/>
      </c>
      <c r="D45" s="15" t="str">
        <f aca="false">IF($A45="","",설비목록!$D42)</f>
        <v/>
      </c>
      <c r="E45" s="22" t="str">
        <f aca="false">IF($A45="","",설비목록!$E42)</f>
        <v/>
      </c>
      <c r="F45" s="20" t="str">
        <f aca="false">IF($A45="","",IF(COUNTIFS(점검이력!$B$3:$B$802,$A45)=0,설비목록!$F42,_xlfn.MAXIFS(점검이력!$A$3:$A$802,점검이력!$B$3:$B$802,$A45)))</f>
        <v/>
      </c>
      <c r="G45" s="20" t="str">
        <f aca="false">IF(OR($A45="",$F45="",$E45=""),"",$F45+$E45)</f>
        <v/>
      </c>
      <c r="H45" s="21" t="str">
        <f aca="true">IF($G45="","",$G45-TODAY())</f>
        <v/>
      </c>
      <c r="I45" s="22" t="str">
        <f aca="false">IF($A45="","",COUNTIFS(점검이력!$B$3:$B$802,$A45))</f>
        <v/>
      </c>
      <c r="J45" s="22" t="str">
        <f aca="false">IF($H45="","",IF($H45&lt;0,"기한초과",IF($H45&lt;=사용안내!$C$17,"임박","정상")))</f>
        <v/>
      </c>
    </row>
    <row r="46" customFormat="false" ht="15" hidden="false" customHeight="true" outlineLevel="0" collapsed="false">
      <c r="A46" s="15" t="str">
        <f aca="false">IF(설비목록!$A43="","",설비목록!$A43)</f>
        <v/>
      </c>
      <c r="B46" s="15" t="str">
        <f aca="false">IF($A46="","",설비목록!$B43)</f>
        <v/>
      </c>
      <c r="C46" s="15" t="str">
        <f aca="false">IF($A46="","",설비목록!$C43)</f>
        <v/>
      </c>
      <c r="D46" s="15" t="str">
        <f aca="false">IF($A46="","",설비목록!$D43)</f>
        <v/>
      </c>
      <c r="E46" s="22" t="str">
        <f aca="false">IF($A46="","",설비목록!$E43)</f>
        <v/>
      </c>
      <c r="F46" s="20" t="str">
        <f aca="false">IF($A46="","",IF(COUNTIFS(점검이력!$B$3:$B$802,$A46)=0,설비목록!$F43,_xlfn.MAXIFS(점검이력!$A$3:$A$802,점검이력!$B$3:$B$802,$A46)))</f>
        <v/>
      </c>
      <c r="G46" s="20" t="str">
        <f aca="false">IF(OR($A46="",$F46="",$E46=""),"",$F46+$E46)</f>
        <v/>
      </c>
      <c r="H46" s="21" t="str">
        <f aca="true">IF($G46="","",$G46-TODAY())</f>
        <v/>
      </c>
      <c r="I46" s="22" t="str">
        <f aca="false">IF($A46="","",COUNTIFS(점검이력!$B$3:$B$802,$A46))</f>
        <v/>
      </c>
      <c r="J46" s="22" t="str">
        <f aca="false">IF($H46="","",IF($H46&lt;0,"기한초과",IF($H46&lt;=사용안내!$C$17,"임박","정상")))</f>
        <v/>
      </c>
    </row>
    <row r="47" customFormat="false" ht="15" hidden="false" customHeight="true" outlineLevel="0" collapsed="false">
      <c r="A47" s="15" t="str">
        <f aca="false">IF(설비목록!$A44="","",설비목록!$A44)</f>
        <v/>
      </c>
      <c r="B47" s="15" t="str">
        <f aca="false">IF($A47="","",설비목록!$B44)</f>
        <v/>
      </c>
      <c r="C47" s="15" t="str">
        <f aca="false">IF($A47="","",설비목록!$C44)</f>
        <v/>
      </c>
      <c r="D47" s="15" t="str">
        <f aca="false">IF($A47="","",설비목록!$D44)</f>
        <v/>
      </c>
      <c r="E47" s="22" t="str">
        <f aca="false">IF($A47="","",설비목록!$E44)</f>
        <v/>
      </c>
      <c r="F47" s="20" t="str">
        <f aca="false">IF($A47="","",IF(COUNTIFS(점검이력!$B$3:$B$802,$A47)=0,설비목록!$F44,_xlfn.MAXIFS(점검이력!$A$3:$A$802,점검이력!$B$3:$B$802,$A47)))</f>
        <v/>
      </c>
      <c r="G47" s="20" t="str">
        <f aca="false">IF(OR($A47="",$F47="",$E47=""),"",$F47+$E47)</f>
        <v/>
      </c>
      <c r="H47" s="21" t="str">
        <f aca="true">IF($G47="","",$G47-TODAY())</f>
        <v/>
      </c>
      <c r="I47" s="22" t="str">
        <f aca="false">IF($A47="","",COUNTIFS(점검이력!$B$3:$B$802,$A47))</f>
        <v/>
      </c>
      <c r="J47" s="22" t="str">
        <f aca="false">IF($H47="","",IF($H47&lt;0,"기한초과",IF($H47&lt;=사용안내!$C$17,"임박","정상")))</f>
        <v/>
      </c>
    </row>
    <row r="48" customFormat="false" ht="15" hidden="false" customHeight="true" outlineLevel="0" collapsed="false">
      <c r="A48" s="15" t="str">
        <f aca="false">IF(설비목록!$A45="","",설비목록!$A45)</f>
        <v/>
      </c>
      <c r="B48" s="15" t="str">
        <f aca="false">IF($A48="","",설비목록!$B45)</f>
        <v/>
      </c>
      <c r="C48" s="15" t="str">
        <f aca="false">IF($A48="","",설비목록!$C45)</f>
        <v/>
      </c>
      <c r="D48" s="15" t="str">
        <f aca="false">IF($A48="","",설비목록!$D45)</f>
        <v/>
      </c>
      <c r="E48" s="22" t="str">
        <f aca="false">IF($A48="","",설비목록!$E45)</f>
        <v/>
      </c>
      <c r="F48" s="20" t="str">
        <f aca="false">IF($A48="","",IF(COUNTIFS(점검이력!$B$3:$B$802,$A48)=0,설비목록!$F45,_xlfn.MAXIFS(점검이력!$A$3:$A$802,점검이력!$B$3:$B$802,$A48)))</f>
        <v/>
      </c>
      <c r="G48" s="20" t="str">
        <f aca="false">IF(OR($A48="",$F48="",$E48=""),"",$F48+$E48)</f>
        <v/>
      </c>
      <c r="H48" s="21" t="str">
        <f aca="true">IF($G48="","",$G48-TODAY())</f>
        <v/>
      </c>
      <c r="I48" s="22" t="str">
        <f aca="false">IF($A48="","",COUNTIFS(점검이력!$B$3:$B$802,$A48))</f>
        <v/>
      </c>
      <c r="J48" s="22" t="str">
        <f aca="false">IF($H48="","",IF($H48&lt;0,"기한초과",IF($H48&lt;=사용안내!$C$17,"임박","정상")))</f>
        <v/>
      </c>
    </row>
    <row r="49" customFormat="false" ht="15" hidden="false" customHeight="true" outlineLevel="0" collapsed="false">
      <c r="A49" s="15" t="str">
        <f aca="false">IF(설비목록!$A46="","",설비목록!$A46)</f>
        <v/>
      </c>
      <c r="B49" s="15" t="str">
        <f aca="false">IF($A49="","",설비목록!$B46)</f>
        <v/>
      </c>
      <c r="C49" s="15" t="str">
        <f aca="false">IF($A49="","",설비목록!$C46)</f>
        <v/>
      </c>
      <c r="D49" s="15" t="str">
        <f aca="false">IF($A49="","",설비목록!$D46)</f>
        <v/>
      </c>
      <c r="E49" s="22" t="str">
        <f aca="false">IF($A49="","",설비목록!$E46)</f>
        <v/>
      </c>
      <c r="F49" s="20" t="str">
        <f aca="false">IF($A49="","",IF(COUNTIFS(점검이력!$B$3:$B$802,$A49)=0,설비목록!$F46,_xlfn.MAXIFS(점검이력!$A$3:$A$802,점검이력!$B$3:$B$802,$A49)))</f>
        <v/>
      </c>
      <c r="G49" s="20" t="str">
        <f aca="false">IF(OR($A49="",$F49="",$E49=""),"",$F49+$E49)</f>
        <v/>
      </c>
      <c r="H49" s="21" t="str">
        <f aca="true">IF($G49="","",$G49-TODAY())</f>
        <v/>
      </c>
      <c r="I49" s="22" t="str">
        <f aca="false">IF($A49="","",COUNTIFS(점검이력!$B$3:$B$802,$A49))</f>
        <v/>
      </c>
      <c r="J49" s="22" t="str">
        <f aca="false">IF($H49="","",IF($H49&lt;0,"기한초과",IF($H49&lt;=사용안내!$C$17,"임박","정상")))</f>
        <v/>
      </c>
    </row>
    <row r="50" customFormat="false" ht="15" hidden="false" customHeight="true" outlineLevel="0" collapsed="false">
      <c r="A50" s="15" t="str">
        <f aca="false">IF(설비목록!$A47="","",설비목록!$A47)</f>
        <v/>
      </c>
      <c r="B50" s="15" t="str">
        <f aca="false">IF($A50="","",설비목록!$B47)</f>
        <v/>
      </c>
      <c r="C50" s="15" t="str">
        <f aca="false">IF($A50="","",설비목록!$C47)</f>
        <v/>
      </c>
      <c r="D50" s="15" t="str">
        <f aca="false">IF($A50="","",설비목록!$D47)</f>
        <v/>
      </c>
      <c r="E50" s="22" t="str">
        <f aca="false">IF($A50="","",설비목록!$E47)</f>
        <v/>
      </c>
      <c r="F50" s="20" t="str">
        <f aca="false">IF($A50="","",IF(COUNTIFS(점검이력!$B$3:$B$802,$A50)=0,설비목록!$F47,_xlfn.MAXIFS(점검이력!$A$3:$A$802,점검이력!$B$3:$B$802,$A50)))</f>
        <v/>
      </c>
      <c r="G50" s="20" t="str">
        <f aca="false">IF(OR($A50="",$F50="",$E50=""),"",$F50+$E50)</f>
        <v/>
      </c>
      <c r="H50" s="21" t="str">
        <f aca="true">IF($G50="","",$G50-TODAY())</f>
        <v/>
      </c>
      <c r="I50" s="22" t="str">
        <f aca="false">IF($A50="","",COUNTIFS(점검이력!$B$3:$B$802,$A50))</f>
        <v/>
      </c>
      <c r="J50" s="22" t="str">
        <f aca="false">IF($H50="","",IF($H50&lt;0,"기한초과",IF($H50&lt;=사용안내!$C$17,"임박","정상")))</f>
        <v/>
      </c>
    </row>
    <row r="51" customFormat="false" ht="15" hidden="false" customHeight="true" outlineLevel="0" collapsed="false">
      <c r="A51" s="15" t="str">
        <f aca="false">IF(설비목록!$A48="","",설비목록!$A48)</f>
        <v/>
      </c>
      <c r="B51" s="15" t="str">
        <f aca="false">IF($A51="","",설비목록!$B48)</f>
        <v/>
      </c>
      <c r="C51" s="15" t="str">
        <f aca="false">IF($A51="","",설비목록!$C48)</f>
        <v/>
      </c>
      <c r="D51" s="15" t="str">
        <f aca="false">IF($A51="","",설비목록!$D48)</f>
        <v/>
      </c>
      <c r="E51" s="22" t="str">
        <f aca="false">IF($A51="","",설비목록!$E48)</f>
        <v/>
      </c>
      <c r="F51" s="20" t="str">
        <f aca="false">IF($A51="","",IF(COUNTIFS(점검이력!$B$3:$B$802,$A51)=0,설비목록!$F48,_xlfn.MAXIFS(점검이력!$A$3:$A$802,점검이력!$B$3:$B$802,$A51)))</f>
        <v/>
      </c>
      <c r="G51" s="20" t="str">
        <f aca="false">IF(OR($A51="",$F51="",$E51=""),"",$F51+$E51)</f>
        <v/>
      </c>
      <c r="H51" s="21" t="str">
        <f aca="true">IF($G51="","",$G51-TODAY())</f>
        <v/>
      </c>
      <c r="I51" s="22" t="str">
        <f aca="false">IF($A51="","",COUNTIFS(점검이력!$B$3:$B$802,$A51))</f>
        <v/>
      </c>
      <c r="J51" s="22" t="str">
        <f aca="false">IF($H51="","",IF($H51&lt;0,"기한초과",IF($H51&lt;=사용안내!$C$17,"임박","정상")))</f>
        <v/>
      </c>
    </row>
    <row r="52" customFormat="false" ht="15" hidden="false" customHeight="true" outlineLevel="0" collapsed="false">
      <c r="A52" s="15" t="str">
        <f aca="false">IF(설비목록!$A49="","",설비목록!$A49)</f>
        <v/>
      </c>
      <c r="B52" s="15" t="str">
        <f aca="false">IF($A52="","",설비목록!$B49)</f>
        <v/>
      </c>
      <c r="C52" s="15" t="str">
        <f aca="false">IF($A52="","",설비목록!$C49)</f>
        <v/>
      </c>
      <c r="D52" s="15" t="str">
        <f aca="false">IF($A52="","",설비목록!$D49)</f>
        <v/>
      </c>
      <c r="E52" s="22" t="str">
        <f aca="false">IF($A52="","",설비목록!$E49)</f>
        <v/>
      </c>
      <c r="F52" s="20" t="str">
        <f aca="false">IF($A52="","",IF(COUNTIFS(점검이력!$B$3:$B$802,$A52)=0,설비목록!$F49,_xlfn.MAXIFS(점검이력!$A$3:$A$802,점검이력!$B$3:$B$802,$A52)))</f>
        <v/>
      </c>
      <c r="G52" s="20" t="str">
        <f aca="false">IF(OR($A52="",$F52="",$E52=""),"",$F52+$E52)</f>
        <v/>
      </c>
      <c r="H52" s="21" t="str">
        <f aca="true">IF($G52="","",$G52-TODAY())</f>
        <v/>
      </c>
      <c r="I52" s="22" t="str">
        <f aca="false">IF($A52="","",COUNTIFS(점검이력!$B$3:$B$802,$A52))</f>
        <v/>
      </c>
      <c r="J52" s="22" t="str">
        <f aca="false">IF($H52="","",IF($H52&lt;0,"기한초과",IF($H52&lt;=사용안내!$C$17,"임박","정상")))</f>
        <v/>
      </c>
    </row>
    <row r="53" customFormat="false" ht="15" hidden="false" customHeight="true" outlineLevel="0" collapsed="false">
      <c r="A53" s="15" t="str">
        <f aca="false">IF(설비목록!$A50="","",설비목록!$A50)</f>
        <v/>
      </c>
      <c r="B53" s="15" t="str">
        <f aca="false">IF($A53="","",설비목록!$B50)</f>
        <v/>
      </c>
      <c r="C53" s="15" t="str">
        <f aca="false">IF($A53="","",설비목록!$C50)</f>
        <v/>
      </c>
      <c r="D53" s="15" t="str">
        <f aca="false">IF($A53="","",설비목록!$D50)</f>
        <v/>
      </c>
      <c r="E53" s="22" t="str">
        <f aca="false">IF($A53="","",설비목록!$E50)</f>
        <v/>
      </c>
      <c r="F53" s="20" t="str">
        <f aca="false">IF($A53="","",IF(COUNTIFS(점검이력!$B$3:$B$802,$A53)=0,설비목록!$F50,_xlfn.MAXIFS(점검이력!$A$3:$A$802,점검이력!$B$3:$B$802,$A53)))</f>
        <v/>
      </c>
      <c r="G53" s="20" t="str">
        <f aca="false">IF(OR($A53="",$F53="",$E53=""),"",$F53+$E53)</f>
        <v/>
      </c>
      <c r="H53" s="21" t="str">
        <f aca="true">IF($G53="","",$G53-TODAY())</f>
        <v/>
      </c>
      <c r="I53" s="22" t="str">
        <f aca="false">IF($A53="","",COUNTIFS(점검이력!$B$3:$B$802,$A53))</f>
        <v/>
      </c>
      <c r="J53" s="22" t="str">
        <f aca="false">IF($H53="","",IF($H53&lt;0,"기한초과",IF($H53&lt;=사용안내!$C$17,"임박","정상")))</f>
        <v/>
      </c>
    </row>
    <row r="54" customFormat="false" ht="15" hidden="false" customHeight="true" outlineLevel="0" collapsed="false">
      <c r="A54" s="15" t="str">
        <f aca="false">IF(설비목록!$A51="","",설비목록!$A51)</f>
        <v/>
      </c>
      <c r="B54" s="15" t="str">
        <f aca="false">IF($A54="","",설비목록!$B51)</f>
        <v/>
      </c>
      <c r="C54" s="15" t="str">
        <f aca="false">IF($A54="","",설비목록!$C51)</f>
        <v/>
      </c>
      <c r="D54" s="15" t="str">
        <f aca="false">IF($A54="","",설비목록!$D51)</f>
        <v/>
      </c>
      <c r="E54" s="22" t="str">
        <f aca="false">IF($A54="","",설비목록!$E51)</f>
        <v/>
      </c>
      <c r="F54" s="20" t="str">
        <f aca="false">IF($A54="","",IF(COUNTIFS(점검이력!$B$3:$B$802,$A54)=0,설비목록!$F51,_xlfn.MAXIFS(점검이력!$A$3:$A$802,점검이력!$B$3:$B$802,$A54)))</f>
        <v/>
      </c>
      <c r="G54" s="20" t="str">
        <f aca="false">IF(OR($A54="",$F54="",$E54=""),"",$F54+$E54)</f>
        <v/>
      </c>
      <c r="H54" s="21" t="str">
        <f aca="true">IF($G54="","",$G54-TODAY())</f>
        <v/>
      </c>
      <c r="I54" s="22" t="str">
        <f aca="false">IF($A54="","",COUNTIFS(점검이력!$B$3:$B$802,$A54))</f>
        <v/>
      </c>
      <c r="J54" s="22" t="str">
        <f aca="false">IF($H54="","",IF($H54&lt;0,"기한초과",IF($H54&lt;=사용안내!$C$17,"임박","정상")))</f>
        <v/>
      </c>
    </row>
    <row r="55" customFormat="false" ht="15" hidden="false" customHeight="true" outlineLevel="0" collapsed="false">
      <c r="A55" s="15" t="str">
        <f aca="false">IF(설비목록!$A52="","",설비목록!$A52)</f>
        <v/>
      </c>
      <c r="B55" s="15" t="str">
        <f aca="false">IF($A55="","",설비목록!$B52)</f>
        <v/>
      </c>
      <c r="C55" s="15" t="str">
        <f aca="false">IF($A55="","",설비목록!$C52)</f>
        <v/>
      </c>
      <c r="D55" s="15" t="str">
        <f aca="false">IF($A55="","",설비목록!$D52)</f>
        <v/>
      </c>
      <c r="E55" s="22" t="str">
        <f aca="false">IF($A55="","",설비목록!$E52)</f>
        <v/>
      </c>
      <c r="F55" s="20" t="str">
        <f aca="false">IF($A55="","",IF(COUNTIFS(점검이력!$B$3:$B$802,$A55)=0,설비목록!$F52,_xlfn.MAXIFS(점검이력!$A$3:$A$802,점검이력!$B$3:$B$802,$A55)))</f>
        <v/>
      </c>
      <c r="G55" s="20" t="str">
        <f aca="false">IF(OR($A55="",$F55="",$E55=""),"",$F55+$E55)</f>
        <v/>
      </c>
      <c r="H55" s="21" t="str">
        <f aca="true">IF($G55="","",$G55-TODAY())</f>
        <v/>
      </c>
      <c r="I55" s="22" t="str">
        <f aca="false">IF($A55="","",COUNTIFS(점검이력!$B$3:$B$802,$A55))</f>
        <v/>
      </c>
      <c r="J55" s="22" t="str">
        <f aca="false">IF($H55="","",IF($H55&lt;0,"기한초과",IF($H55&lt;=사용안내!$C$17,"임박","정상")))</f>
        <v/>
      </c>
    </row>
    <row r="56" customFormat="false" ht="15" hidden="false" customHeight="true" outlineLevel="0" collapsed="false">
      <c r="A56" s="15" t="str">
        <f aca="false">IF(설비목록!$A53="","",설비목록!$A53)</f>
        <v/>
      </c>
      <c r="B56" s="15" t="str">
        <f aca="false">IF($A56="","",설비목록!$B53)</f>
        <v/>
      </c>
      <c r="C56" s="15" t="str">
        <f aca="false">IF($A56="","",설비목록!$C53)</f>
        <v/>
      </c>
      <c r="D56" s="15" t="str">
        <f aca="false">IF($A56="","",설비목록!$D53)</f>
        <v/>
      </c>
      <c r="E56" s="22" t="str">
        <f aca="false">IF($A56="","",설비목록!$E53)</f>
        <v/>
      </c>
      <c r="F56" s="20" t="str">
        <f aca="false">IF($A56="","",IF(COUNTIFS(점검이력!$B$3:$B$802,$A56)=0,설비목록!$F53,_xlfn.MAXIFS(점검이력!$A$3:$A$802,점검이력!$B$3:$B$802,$A56)))</f>
        <v/>
      </c>
      <c r="G56" s="20" t="str">
        <f aca="false">IF(OR($A56="",$F56="",$E56=""),"",$F56+$E56)</f>
        <v/>
      </c>
      <c r="H56" s="21" t="str">
        <f aca="true">IF($G56="","",$G56-TODAY())</f>
        <v/>
      </c>
      <c r="I56" s="22" t="str">
        <f aca="false">IF($A56="","",COUNTIFS(점검이력!$B$3:$B$802,$A56))</f>
        <v/>
      </c>
      <c r="J56" s="22" t="str">
        <f aca="false">IF($H56="","",IF($H56&lt;0,"기한초과",IF($H56&lt;=사용안내!$C$17,"임박","정상")))</f>
        <v/>
      </c>
    </row>
    <row r="57" customFormat="false" ht="15" hidden="false" customHeight="true" outlineLevel="0" collapsed="false">
      <c r="A57" s="15" t="str">
        <f aca="false">IF(설비목록!$A54="","",설비목록!$A54)</f>
        <v/>
      </c>
      <c r="B57" s="15" t="str">
        <f aca="false">IF($A57="","",설비목록!$B54)</f>
        <v/>
      </c>
      <c r="C57" s="15" t="str">
        <f aca="false">IF($A57="","",설비목록!$C54)</f>
        <v/>
      </c>
      <c r="D57" s="15" t="str">
        <f aca="false">IF($A57="","",설비목록!$D54)</f>
        <v/>
      </c>
      <c r="E57" s="22" t="str">
        <f aca="false">IF($A57="","",설비목록!$E54)</f>
        <v/>
      </c>
      <c r="F57" s="20" t="str">
        <f aca="false">IF($A57="","",IF(COUNTIFS(점검이력!$B$3:$B$802,$A57)=0,설비목록!$F54,_xlfn.MAXIFS(점검이력!$A$3:$A$802,점검이력!$B$3:$B$802,$A57)))</f>
        <v/>
      </c>
      <c r="G57" s="20" t="str">
        <f aca="false">IF(OR($A57="",$F57="",$E57=""),"",$F57+$E57)</f>
        <v/>
      </c>
      <c r="H57" s="21" t="str">
        <f aca="true">IF($G57="","",$G57-TODAY())</f>
        <v/>
      </c>
      <c r="I57" s="22" t="str">
        <f aca="false">IF($A57="","",COUNTIFS(점검이력!$B$3:$B$802,$A57))</f>
        <v/>
      </c>
      <c r="J57" s="22" t="str">
        <f aca="false">IF($H57="","",IF($H57&lt;0,"기한초과",IF($H57&lt;=사용안내!$C$17,"임박","정상")))</f>
        <v/>
      </c>
    </row>
    <row r="58" customFormat="false" ht="15" hidden="false" customHeight="true" outlineLevel="0" collapsed="false">
      <c r="A58" s="15" t="str">
        <f aca="false">IF(설비목록!$A55="","",설비목록!$A55)</f>
        <v/>
      </c>
      <c r="B58" s="15" t="str">
        <f aca="false">IF($A58="","",설비목록!$B55)</f>
        <v/>
      </c>
      <c r="C58" s="15" t="str">
        <f aca="false">IF($A58="","",설비목록!$C55)</f>
        <v/>
      </c>
      <c r="D58" s="15" t="str">
        <f aca="false">IF($A58="","",설비목록!$D55)</f>
        <v/>
      </c>
      <c r="E58" s="22" t="str">
        <f aca="false">IF($A58="","",설비목록!$E55)</f>
        <v/>
      </c>
      <c r="F58" s="20" t="str">
        <f aca="false">IF($A58="","",IF(COUNTIFS(점검이력!$B$3:$B$802,$A58)=0,설비목록!$F55,_xlfn.MAXIFS(점검이력!$A$3:$A$802,점검이력!$B$3:$B$802,$A58)))</f>
        <v/>
      </c>
      <c r="G58" s="20" t="str">
        <f aca="false">IF(OR($A58="",$F58="",$E58=""),"",$F58+$E58)</f>
        <v/>
      </c>
      <c r="H58" s="21" t="str">
        <f aca="true">IF($G58="","",$G58-TODAY())</f>
        <v/>
      </c>
      <c r="I58" s="22" t="str">
        <f aca="false">IF($A58="","",COUNTIFS(점검이력!$B$3:$B$802,$A58))</f>
        <v/>
      </c>
      <c r="J58" s="22" t="str">
        <f aca="false">IF($H58="","",IF($H58&lt;0,"기한초과",IF($H58&lt;=사용안내!$C$17,"임박","정상")))</f>
        <v/>
      </c>
    </row>
    <row r="59" customFormat="false" ht="15" hidden="false" customHeight="true" outlineLevel="0" collapsed="false">
      <c r="A59" s="15" t="str">
        <f aca="false">IF(설비목록!$A56="","",설비목록!$A56)</f>
        <v/>
      </c>
      <c r="B59" s="15" t="str">
        <f aca="false">IF($A59="","",설비목록!$B56)</f>
        <v/>
      </c>
      <c r="C59" s="15" t="str">
        <f aca="false">IF($A59="","",설비목록!$C56)</f>
        <v/>
      </c>
      <c r="D59" s="15" t="str">
        <f aca="false">IF($A59="","",설비목록!$D56)</f>
        <v/>
      </c>
      <c r="E59" s="22" t="str">
        <f aca="false">IF($A59="","",설비목록!$E56)</f>
        <v/>
      </c>
      <c r="F59" s="20" t="str">
        <f aca="false">IF($A59="","",IF(COUNTIFS(점검이력!$B$3:$B$802,$A59)=0,설비목록!$F56,_xlfn.MAXIFS(점검이력!$A$3:$A$802,점검이력!$B$3:$B$802,$A59)))</f>
        <v/>
      </c>
      <c r="G59" s="20" t="str">
        <f aca="false">IF(OR($A59="",$F59="",$E59=""),"",$F59+$E59)</f>
        <v/>
      </c>
      <c r="H59" s="21" t="str">
        <f aca="true">IF($G59="","",$G59-TODAY())</f>
        <v/>
      </c>
      <c r="I59" s="22" t="str">
        <f aca="false">IF($A59="","",COUNTIFS(점검이력!$B$3:$B$802,$A59))</f>
        <v/>
      </c>
      <c r="J59" s="22" t="str">
        <f aca="false">IF($H59="","",IF($H59&lt;0,"기한초과",IF($H59&lt;=사용안내!$C$17,"임박","정상")))</f>
        <v/>
      </c>
    </row>
    <row r="60" customFormat="false" ht="15" hidden="false" customHeight="true" outlineLevel="0" collapsed="false">
      <c r="A60" s="15" t="str">
        <f aca="false">IF(설비목록!$A57="","",설비목록!$A57)</f>
        <v/>
      </c>
      <c r="B60" s="15" t="str">
        <f aca="false">IF($A60="","",설비목록!$B57)</f>
        <v/>
      </c>
      <c r="C60" s="15" t="str">
        <f aca="false">IF($A60="","",설비목록!$C57)</f>
        <v/>
      </c>
      <c r="D60" s="15" t="str">
        <f aca="false">IF($A60="","",설비목록!$D57)</f>
        <v/>
      </c>
      <c r="E60" s="22" t="str">
        <f aca="false">IF($A60="","",설비목록!$E57)</f>
        <v/>
      </c>
      <c r="F60" s="20" t="str">
        <f aca="false">IF($A60="","",IF(COUNTIFS(점검이력!$B$3:$B$802,$A60)=0,설비목록!$F57,_xlfn.MAXIFS(점검이력!$A$3:$A$802,점검이력!$B$3:$B$802,$A60)))</f>
        <v/>
      </c>
      <c r="G60" s="20" t="str">
        <f aca="false">IF(OR($A60="",$F60="",$E60=""),"",$F60+$E60)</f>
        <v/>
      </c>
      <c r="H60" s="21" t="str">
        <f aca="true">IF($G60="","",$G60-TODAY())</f>
        <v/>
      </c>
      <c r="I60" s="22" t="str">
        <f aca="false">IF($A60="","",COUNTIFS(점검이력!$B$3:$B$802,$A60))</f>
        <v/>
      </c>
      <c r="J60" s="22" t="str">
        <f aca="false">IF($H60="","",IF($H60&lt;0,"기한초과",IF($H60&lt;=사용안내!$C$17,"임박","정상")))</f>
        <v/>
      </c>
    </row>
    <row r="61" customFormat="false" ht="15" hidden="false" customHeight="true" outlineLevel="0" collapsed="false">
      <c r="A61" s="15" t="str">
        <f aca="false">IF(설비목록!$A58="","",설비목록!$A58)</f>
        <v/>
      </c>
      <c r="B61" s="15" t="str">
        <f aca="false">IF($A61="","",설비목록!$B58)</f>
        <v/>
      </c>
      <c r="C61" s="15" t="str">
        <f aca="false">IF($A61="","",설비목록!$C58)</f>
        <v/>
      </c>
      <c r="D61" s="15" t="str">
        <f aca="false">IF($A61="","",설비목록!$D58)</f>
        <v/>
      </c>
      <c r="E61" s="22" t="str">
        <f aca="false">IF($A61="","",설비목록!$E58)</f>
        <v/>
      </c>
      <c r="F61" s="20" t="str">
        <f aca="false">IF($A61="","",IF(COUNTIFS(점검이력!$B$3:$B$802,$A61)=0,설비목록!$F58,_xlfn.MAXIFS(점검이력!$A$3:$A$802,점검이력!$B$3:$B$802,$A61)))</f>
        <v/>
      </c>
      <c r="G61" s="20" t="str">
        <f aca="false">IF(OR($A61="",$F61="",$E61=""),"",$F61+$E61)</f>
        <v/>
      </c>
      <c r="H61" s="21" t="str">
        <f aca="true">IF($G61="","",$G61-TODAY())</f>
        <v/>
      </c>
      <c r="I61" s="22" t="str">
        <f aca="false">IF($A61="","",COUNTIFS(점검이력!$B$3:$B$802,$A61))</f>
        <v/>
      </c>
      <c r="J61" s="22" t="str">
        <f aca="false">IF($H61="","",IF($H61&lt;0,"기한초과",IF($H61&lt;=사용안내!$C$17,"임박","정상")))</f>
        <v/>
      </c>
    </row>
    <row r="62" customFormat="false" ht="15" hidden="false" customHeight="true" outlineLevel="0" collapsed="false">
      <c r="A62" s="15" t="str">
        <f aca="false">IF(설비목록!$A59="","",설비목록!$A59)</f>
        <v/>
      </c>
      <c r="B62" s="15" t="str">
        <f aca="false">IF($A62="","",설비목록!$B59)</f>
        <v/>
      </c>
      <c r="C62" s="15" t="str">
        <f aca="false">IF($A62="","",설비목록!$C59)</f>
        <v/>
      </c>
      <c r="D62" s="15" t="str">
        <f aca="false">IF($A62="","",설비목록!$D59)</f>
        <v/>
      </c>
      <c r="E62" s="22" t="str">
        <f aca="false">IF($A62="","",설비목록!$E59)</f>
        <v/>
      </c>
      <c r="F62" s="20" t="str">
        <f aca="false">IF($A62="","",IF(COUNTIFS(점검이력!$B$3:$B$802,$A62)=0,설비목록!$F59,_xlfn.MAXIFS(점검이력!$A$3:$A$802,점검이력!$B$3:$B$802,$A62)))</f>
        <v/>
      </c>
      <c r="G62" s="20" t="str">
        <f aca="false">IF(OR($A62="",$F62="",$E62=""),"",$F62+$E62)</f>
        <v/>
      </c>
      <c r="H62" s="21" t="str">
        <f aca="true">IF($G62="","",$G62-TODAY())</f>
        <v/>
      </c>
      <c r="I62" s="22" t="str">
        <f aca="false">IF($A62="","",COUNTIFS(점검이력!$B$3:$B$802,$A62))</f>
        <v/>
      </c>
      <c r="J62" s="22" t="str">
        <f aca="false">IF($H62="","",IF($H62&lt;0,"기한초과",IF($H62&lt;=사용안내!$C$17,"임박","정상")))</f>
        <v/>
      </c>
    </row>
    <row r="63" customFormat="false" ht="15" hidden="false" customHeight="true" outlineLevel="0" collapsed="false">
      <c r="A63" s="15" t="str">
        <f aca="false">IF(설비목록!$A60="","",설비목록!$A60)</f>
        <v/>
      </c>
      <c r="B63" s="15" t="str">
        <f aca="false">IF($A63="","",설비목록!$B60)</f>
        <v/>
      </c>
      <c r="C63" s="15" t="str">
        <f aca="false">IF($A63="","",설비목록!$C60)</f>
        <v/>
      </c>
      <c r="D63" s="15" t="str">
        <f aca="false">IF($A63="","",설비목록!$D60)</f>
        <v/>
      </c>
      <c r="E63" s="22" t="str">
        <f aca="false">IF($A63="","",설비목록!$E60)</f>
        <v/>
      </c>
      <c r="F63" s="20" t="str">
        <f aca="false">IF($A63="","",IF(COUNTIFS(점검이력!$B$3:$B$802,$A63)=0,설비목록!$F60,_xlfn.MAXIFS(점검이력!$A$3:$A$802,점검이력!$B$3:$B$802,$A63)))</f>
        <v/>
      </c>
      <c r="G63" s="20" t="str">
        <f aca="false">IF(OR($A63="",$F63="",$E63=""),"",$F63+$E63)</f>
        <v/>
      </c>
      <c r="H63" s="21" t="str">
        <f aca="true">IF($G63="","",$G63-TODAY())</f>
        <v/>
      </c>
      <c r="I63" s="22" t="str">
        <f aca="false">IF($A63="","",COUNTIFS(점검이력!$B$3:$B$802,$A63))</f>
        <v/>
      </c>
      <c r="J63" s="22" t="str">
        <f aca="false">IF($H63="","",IF($H63&lt;0,"기한초과",IF($H63&lt;=사용안내!$C$17,"임박","정상")))</f>
        <v/>
      </c>
    </row>
    <row r="64" customFormat="false" ht="15" hidden="false" customHeight="true" outlineLevel="0" collapsed="false">
      <c r="A64" s="15" t="str">
        <f aca="false">IF(설비목록!$A61="","",설비목록!$A61)</f>
        <v/>
      </c>
      <c r="B64" s="15" t="str">
        <f aca="false">IF($A64="","",설비목록!$B61)</f>
        <v/>
      </c>
      <c r="C64" s="15" t="str">
        <f aca="false">IF($A64="","",설비목록!$C61)</f>
        <v/>
      </c>
      <c r="D64" s="15" t="str">
        <f aca="false">IF($A64="","",설비목록!$D61)</f>
        <v/>
      </c>
      <c r="E64" s="22" t="str">
        <f aca="false">IF($A64="","",설비목록!$E61)</f>
        <v/>
      </c>
      <c r="F64" s="20" t="str">
        <f aca="false">IF($A64="","",IF(COUNTIFS(점검이력!$B$3:$B$802,$A64)=0,설비목록!$F61,_xlfn.MAXIFS(점검이력!$A$3:$A$802,점검이력!$B$3:$B$802,$A64)))</f>
        <v/>
      </c>
      <c r="G64" s="20" t="str">
        <f aca="false">IF(OR($A64="",$F64="",$E64=""),"",$F64+$E64)</f>
        <v/>
      </c>
      <c r="H64" s="21" t="str">
        <f aca="true">IF($G64="","",$G64-TODAY())</f>
        <v/>
      </c>
      <c r="I64" s="22" t="str">
        <f aca="false">IF($A64="","",COUNTIFS(점검이력!$B$3:$B$802,$A64))</f>
        <v/>
      </c>
      <c r="J64" s="22" t="str">
        <f aca="false">IF($H64="","",IF($H64&lt;0,"기한초과",IF($H64&lt;=사용안내!$C$17,"임박","정상")))</f>
        <v/>
      </c>
    </row>
    <row r="65" customFormat="false" ht="15" hidden="false" customHeight="true" outlineLevel="0" collapsed="false">
      <c r="A65" s="15" t="str">
        <f aca="false">IF(설비목록!$A62="","",설비목록!$A62)</f>
        <v/>
      </c>
      <c r="B65" s="15" t="str">
        <f aca="false">IF($A65="","",설비목록!$B62)</f>
        <v/>
      </c>
      <c r="C65" s="15" t="str">
        <f aca="false">IF($A65="","",설비목록!$C62)</f>
        <v/>
      </c>
      <c r="D65" s="15" t="str">
        <f aca="false">IF($A65="","",설비목록!$D62)</f>
        <v/>
      </c>
      <c r="E65" s="22" t="str">
        <f aca="false">IF($A65="","",설비목록!$E62)</f>
        <v/>
      </c>
      <c r="F65" s="20" t="str">
        <f aca="false">IF($A65="","",IF(COUNTIFS(점검이력!$B$3:$B$802,$A65)=0,설비목록!$F62,_xlfn.MAXIFS(점검이력!$A$3:$A$802,점검이력!$B$3:$B$802,$A65)))</f>
        <v/>
      </c>
      <c r="G65" s="20" t="str">
        <f aca="false">IF(OR($A65="",$F65="",$E65=""),"",$F65+$E65)</f>
        <v/>
      </c>
      <c r="H65" s="21" t="str">
        <f aca="true">IF($G65="","",$G65-TODAY())</f>
        <v/>
      </c>
      <c r="I65" s="22" t="str">
        <f aca="false">IF($A65="","",COUNTIFS(점검이력!$B$3:$B$802,$A65))</f>
        <v/>
      </c>
      <c r="J65" s="22" t="str">
        <f aca="false">IF($H65="","",IF($H65&lt;0,"기한초과",IF($H65&lt;=사용안내!$C$17,"임박","정상")))</f>
        <v/>
      </c>
    </row>
    <row r="66" customFormat="false" ht="15" hidden="false" customHeight="true" outlineLevel="0" collapsed="false">
      <c r="A66" s="15" t="str">
        <f aca="false">IF(설비목록!$A63="","",설비목록!$A63)</f>
        <v/>
      </c>
      <c r="B66" s="15" t="str">
        <f aca="false">IF($A66="","",설비목록!$B63)</f>
        <v/>
      </c>
      <c r="C66" s="15" t="str">
        <f aca="false">IF($A66="","",설비목록!$C63)</f>
        <v/>
      </c>
      <c r="D66" s="15" t="str">
        <f aca="false">IF($A66="","",설비목록!$D63)</f>
        <v/>
      </c>
      <c r="E66" s="22" t="str">
        <f aca="false">IF($A66="","",설비목록!$E63)</f>
        <v/>
      </c>
      <c r="F66" s="20" t="str">
        <f aca="false">IF($A66="","",IF(COUNTIFS(점검이력!$B$3:$B$802,$A66)=0,설비목록!$F63,_xlfn.MAXIFS(점검이력!$A$3:$A$802,점검이력!$B$3:$B$802,$A66)))</f>
        <v/>
      </c>
      <c r="G66" s="20" t="str">
        <f aca="false">IF(OR($A66="",$F66="",$E66=""),"",$F66+$E66)</f>
        <v/>
      </c>
      <c r="H66" s="21" t="str">
        <f aca="true">IF($G66="","",$G66-TODAY())</f>
        <v/>
      </c>
      <c r="I66" s="22" t="str">
        <f aca="false">IF($A66="","",COUNTIFS(점검이력!$B$3:$B$802,$A66))</f>
        <v/>
      </c>
      <c r="J66" s="22" t="str">
        <f aca="false">IF($H66="","",IF($H66&lt;0,"기한초과",IF($H66&lt;=사용안내!$C$17,"임박","정상")))</f>
        <v/>
      </c>
    </row>
    <row r="67" customFormat="false" ht="15" hidden="false" customHeight="true" outlineLevel="0" collapsed="false">
      <c r="A67" s="15" t="str">
        <f aca="false">IF(설비목록!$A64="","",설비목록!$A64)</f>
        <v/>
      </c>
      <c r="B67" s="15" t="str">
        <f aca="false">IF($A67="","",설비목록!$B64)</f>
        <v/>
      </c>
      <c r="C67" s="15" t="str">
        <f aca="false">IF($A67="","",설비목록!$C64)</f>
        <v/>
      </c>
      <c r="D67" s="15" t="str">
        <f aca="false">IF($A67="","",설비목록!$D64)</f>
        <v/>
      </c>
      <c r="E67" s="22" t="str">
        <f aca="false">IF($A67="","",설비목록!$E64)</f>
        <v/>
      </c>
      <c r="F67" s="20" t="str">
        <f aca="false">IF($A67="","",IF(COUNTIFS(점검이력!$B$3:$B$802,$A67)=0,설비목록!$F64,_xlfn.MAXIFS(점검이력!$A$3:$A$802,점검이력!$B$3:$B$802,$A67)))</f>
        <v/>
      </c>
      <c r="G67" s="20" t="str">
        <f aca="false">IF(OR($A67="",$F67="",$E67=""),"",$F67+$E67)</f>
        <v/>
      </c>
      <c r="H67" s="21" t="str">
        <f aca="true">IF($G67="","",$G67-TODAY())</f>
        <v/>
      </c>
      <c r="I67" s="22" t="str">
        <f aca="false">IF($A67="","",COUNTIFS(점검이력!$B$3:$B$802,$A67))</f>
        <v/>
      </c>
      <c r="J67" s="22" t="str">
        <f aca="false">IF($H67="","",IF($H67&lt;0,"기한초과",IF($H67&lt;=사용안내!$C$17,"임박","정상")))</f>
        <v/>
      </c>
    </row>
    <row r="68" customFormat="false" ht="15" hidden="false" customHeight="true" outlineLevel="0" collapsed="false">
      <c r="A68" s="15" t="str">
        <f aca="false">IF(설비목록!$A65="","",설비목록!$A65)</f>
        <v/>
      </c>
      <c r="B68" s="15" t="str">
        <f aca="false">IF($A68="","",설비목록!$B65)</f>
        <v/>
      </c>
      <c r="C68" s="15" t="str">
        <f aca="false">IF($A68="","",설비목록!$C65)</f>
        <v/>
      </c>
      <c r="D68" s="15" t="str">
        <f aca="false">IF($A68="","",설비목록!$D65)</f>
        <v/>
      </c>
      <c r="E68" s="22" t="str">
        <f aca="false">IF($A68="","",설비목록!$E65)</f>
        <v/>
      </c>
      <c r="F68" s="20" t="str">
        <f aca="false">IF($A68="","",IF(COUNTIFS(점검이력!$B$3:$B$802,$A68)=0,설비목록!$F65,_xlfn.MAXIFS(점검이력!$A$3:$A$802,점검이력!$B$3:$B$802,$A68)))</f>
        <v/>
      </c>
      <c r="G68" s="20" t="str">
        <f aca="false">IF(OR($A68="",$F68="",$E68=""),"",$F68+$E68)</f>
        <v/>
      </c>
      <c r="H68" s="21" t="str">
        <f aca="true">IF($G68="","",$G68-TODAY())</f>
        <v/>
      </c>
      <c r="I68" s="22" t="str">
        <f aca="false">IF($A68="","",COUNTIFS(점검이력!$B$3:$B$802,$A68))</f>
        <v/>
      </c>
      <c r="J68" s="22" t="str">
        <f aca="false">IF($H68="","",IF($H68&lt;0,"기한초과",IF($H68&lt;=사용안내!$C$17,"임박","정상")))</f>
        <v/>
      </c>
    </row>
    <row r="69" customFormat="false" ht="15" hidden="false" customHeight="true" outlineLevel="0" collapsed="false">
      <c r="A69" s="15" t="str">
        <f aca="false">IF(설비목록!$A66="","",설비목록!$A66)</f>
        <v/>
      </c>
      <c r="B69" s="15" t="str">
        <f aca="false">IF($A69="","",설비목록!$B66)</f>
        <v/>
      </c>
      <c r="C69" s="15" t="str">
        <f aca="false">IF($A69="","",설비목록!$C66)</f>
        <v/>
      </c>
      <c r="D69" s="15" t="str">
        <f aca="false">IF($A69="","",설비목록!$D66)</f>
        <v/>
      </c>
      <c r="E69" s="22" t="str">
        <f aca="false">IF($A69="","",설비목록!$E66)</f>
        <v/>
      </c>
      <c r="F69" s="20" t="str">
        <f aca="false">IF($A69="","",IF(COUNTIFS(점검이력!$B$3:$B$802,$A69)=0,설비목록!$F66,_xlfn.MAXIFS(점검이력!$A$3:$A$802,점검이력!$B$3:$B$802,$A69)))</f>
        <v/>
      </c>
      <c r="G69" s="20" t="str">
        <f aca="false">IF(OR($A69="",$F69="",$E69=""),"",$F69+$E69)</f>
        <v/>
      </c>
      <c r="H69" s="21" t="str">
        <f aca="true">IF($G69="","",$G69-TODAY())</f>
        <v/>
      </c>
      <c r="I69" s="22" t="str">
        <f aca="false">IF($A69="","",COUNTIFS(점검이력!$B$3:$B$802,$A69))</f>
        <v/>
      </c>
      <c r="J69" s="22" t="str">
        <f aca="false">IF($H69="","",IF($H69&lt;0,"기한초과",IF($H69&lt;=사용안내!$C$17,"임박","정상")))</f>
        <v/>
      </c>
    </row>
    <row r="70" customFormat="false" ht="15" hidden="false" customHeight="true" outlineLevel="0" collapsed="false">
      <c r="A70" s="15" t="str">
        <f aca="false">IF(설비목록!$A67="","",설비목록!$A67)</f>
        <v/>
      </c>
      <c r="B70" s="15" t="str">
        <f aca="false">IF($A70="","",설비목록!$B67)</f>
        <v/>
      </c>
      <c r="C70" s="15" t="str">
        <f aca="false">IF($A70="","",설비목록!$C67)</f>
        <v/>
      </c>
      <c r="D70" s="15" t="str">
        <f aca="false">IF($A70="","",설비목록!$D67)</f>
        <v/>
      </c>
      <c r="E70" s="22" t="str">
        <f aca="false">IF($A70="","",설비목록!$E67)</f>
        <v/>
      </c>
      <c r="F70" s="20" t="str">
        <f aca="false">IF($A70="","",IF(COUNTIFS(점검이력!$B$3:$B$802,$A70)=0,설비목록!$F67,_xlfn.MAXIFS(점검이력!$A$3:$A$802,점검이력!$B$3:$B$802,$A70)))</f>
        <v/>
      </c>
      <c r="G70" s="20" t="str">
        <f aca="false">IF(OR($A70="",$F70="",$E70=""),"",$F70+$E70)</f>
        <v/>
      </c>
      <c r="H70" s="21" t="str">
        <f aca="true">IF($G70="","",$G70-TODAY())</f>
        <v/>
      </c>
      <c r="I70" s="22" t="str">
        <f aca="false">IF($A70="","",COUNTIFS(점검이력!$B$3:$B$802,$A70))</f>
        <v/>
      </c>
      <c r="J70" s="22" t="str">
        <f aca="false">IF($H70="","",IF($H70&lt;0,"기한초과",IF($H70&lt;=사용안내!$C$17,"임박","정상")))</f>
        <v/>
      </c>
    </row>
    <row r="71" customFormat="false" ht="15" hidden="false" customHeight="true" outlineLevel="0" collapsed="false">
      <c r="A71" s="15" t="str">
        <f aca="false">IF(설비목록!$A68="","",설비목록!$A68)</f>
        <v/>
      </c>
      <c r="B71" s="15" t="str">
        <f aca="false">IF($A71="","",설비목록!$B68)</f>
        <v/>
      </c>
      <c r="C71" s="15" t="str">
        <f aca="false">IF($A71="","",설비목록!$C68)</f>
        <v/>
      </c>
      <c r="D71" s="15" t="str">
        <f aca="false">IF($A71="","",설비목록!$D68)</f>
        <v/>
      </c>
      <c r="E71" s="22" t="str">
        <f aca="false">IF($A71="","",설비목록!$E68)</f>
        <v/>
      </c>
      <c r="F71" s="20" t="str">
        <f aca="false">IF($A71="","",IF(COUNTIFS(점검이력!$B$3:$B$802,$A71)=0,설비목록!$F68,_xlfn.MAXIFS(점검이력!$A$3:$A$802,점검이력!$B$3:$B$802,$A71)))</f>
        <v/>
      </c>
      <c r="G71" s="20" t="str">
        <f aca="false">IF(OR($A71="",$F71="",$E71=""),"",$F71+$E71)</f>
        <v/>
      </c>
      <c r="H71" s="21" t="str">
        <f aca="true">IF($G71="","",$G71-TODAY())</f>
        <v/>
      </c>
      <c r="I71" s="22" t="str">
        <f aca="false">IF($A71="","",COUNTIFS(점검이력!$B$3:$B$802,$A71))</f>
        <v/>
      </c>
      <c r="J71" s="22" t="str">
        <f aca="false">IF($H71="","",IF($H71&lt;0,"기한초과",IF($H71&lt;=사용안내!$C$17,"임박","정상")))</f>
        <v/>
      </c>
    </row>
    <row r="72" customFormat="false" ht="15" hidden="false" customHeight="true" outlineLevel="0" collapsed="false">
      <c r="A72" s="15" t="str">
        <f aca="false">IF(설비목록!$A69="","",설비목록!$A69)</f>
        <v/>
      </c>
      <c r="B72" s="15" t="str">
        <f aca="false">IF($A72="","",설비목록!$B69)</f>
        <v/>
      </c>
      <c r="C72" s="15" t="str">
        <f aca="false">IF($A72="","",설비목록!$C69)</f>
        <v/>
      </c>
      <c r="D72" s="15" t="str">
        <f aca="false">IF($A72="","",설비목록!$D69)</f>
        <v/>
      </c>
      <c r="E72" s="22" t="str">
        <f aca="false">IF($A72="","",설비목록!$E69)</f>
        <v/>
      </c>
      <c r="F72" s="20" t="str">
        <f aca="false">IF($A72="","",IF(COUNTIFS(점검이력!$B$3:$B$802,$A72)=0,설비목록!$F69,_xlfn.MAXIFS(점검이력!$A$3:$A$802,점검이력!$B$3:$B$802,$A72)))</f>
        <v/>
      </c>
      <c r="G72" s="20" t="str">
        <f aca="false">IF(OR($A72="",$F72="",$E72=""),"",$F72+$E72)</f>
        <v/>
      </c>
      <c r="H72" s="21" t="str">
        <f aca="true">IF($G72="","",$G72-TODAY())</f>
        <v/>
      </c>
      <c r="I72" s="22" t="str">
        <f aca="false">IF($A72="","",COUNTIFS(점검이력!$B$3:$B$802,$A72))</f>
        <v/>
      </c>
      <c r="J72" s="22" t="str">
        <f aca="false">IF($H72="","",IF($H72&lt;0,"기한초과",IF($H72&lt;=사용안내!$C$17,"임박","정상")))</f>
        <v/>
      </c>
    </row>
    <row r="73" customFormat="false" ht="15" hidden="false" customHeight="true" outlineLevel="0" collapsed="false">
      <c r="A73" s="15" t="str">
        <f aca="false">IF(설비목록!$A70="","",설비목록!$A70)</f>
        <v/>
      </c>
      <c r="B73" s="15" t="str">
        <f aca="false">IF($A73="","",설비목록!$B70)</f>
        <v/>
      </c>
      <c r="C73" s="15" t="str">
        <f aca="false">IF($A73="","",설비목록!$C70)</f>
        <v/>
      </c>
      <c r="D73" s="15" t="str">
        <f aca="false">IF($A73="","",설비목록!$D70)</f>
        <v/>
      </c>
      <c r="E73" s="22" t="str">
        <f aca="false">IF($A73="","",설비목록!$E70)</f>
        <v/>
      </c>
      <c r="F73" s="20" t="str">
        <f aca="false">IF($A73="","",IF(COUNTIFS(점검이력!$B$3:$B$802,$A73)=0,설비목록!$F70,_xlfn.MAXIFS(점검이력!$A$3:$A$802,점검이력!$B$3:$B$802,$A73)))</f>
        <v/>
      </c>
      <c r="G73" s="20" t="str">
        <f aca="false">IF(OR($A73="",$F73="",$E73=""),"",$F73+$E73)</f>
        <v/>
      </c>
      <c r="H73" s="21" t="str">
        <f aca="true">IF($G73="","",$G73-TODAY())</f>
        <v/>
      </c>
      <c r="I73" s="22" t="str">
        <f aca="false">IF($A73="","",COUNTIFS(점검이력!$B$3:$B$802,$A73))</f>
        <v/>
      </c>
      <c r="J73" s="22" t="str">
        <f aca="false">IF($H73="","",IF($H73&lt;0,"기한초과",IF($H73&lt;=사용안내!$C$17,"임박","정상")))</f>
        <v/>
      </c>
    </row>
    <row r="74" customFormat="false" ht="15" hidden="false" customHeight="true" outlineLevel="0" collapsed="false">
      <c r="A74" s="15" t="str">
        <f aca="false">IF(설비목록!$A71="","",설비목록!$A71)</f>
        <v/>
      </c>
      <c r="B74" s="15" t="str">
        <f aca="false">IF($A74="","",설비목록!$B71)</f>
        <v/>
      </c>
      <c r="C74" s="15" t="str">
        <f aca="false">IF($A74="","",설비목록!$C71)</f>
        <v/>
      </c>
      <c r="D74" s="15" t="str">
        <f aca="false">IF($A74="","",설비목록!$D71)</f>
        <v/>
      </c>
      <c r="E74" s="22" t="str">
        <f aca="false">IF($A74="","",설비목록!$E71)</f>
        <v/>
      </c>
      <c r="F74" s="20" t="str">
        <f aca="false">IF($A74="","",IF(COUNTIFS(점검이력!$B$3:$B$802,$A74)=0,설비목록!$F71,_xlfn.MAXIFS(점검이력!$A$3:$A$802,점검이력!$B$3:$B$802,$A74)))</f>
        <v/>
      </c>
      <c r="G74" s="20" t="str">
        <f aca="false">IF(OR($A74="",$F74="",$E74=""),"",$F74+$E74)</f>
        <v/>
      </c>
      <c r="H74" s="21" t="str">
        <f aca="true">IF($G74="","",$G74-TODAY())</f>
        <v/>
      </c>
      <c r="I74" s="22" t="str">
        <f aca="false">IF($A74="","",COUNTIFS(점검이력!$B$3:$B$802,$A74))</f>
        <v/>
      </c>
      <c r="J74" s="22" t="str">
        <f aca="false">IF($H74="","",IF($H74&lt;0,"기한초과",IF($H74&lt;=사용안내!$C$17,"임박","정상")))</f>
        <v/>
      </c>
    </row>
    <row r="75" customFormat="false" ht="15" hidden="false" customHeight="true" outlineLevel="0" collapsed="false">
      <c r="A75" s="15" t="str">
        <f aca="false">IF(설비목록!$A72="","",설비목록!$A72)</f>
        <v/>
      </c>
      <c r="B75" s="15" t="str">
        <f aca="false">IF($A75="","",설비목록!$B72)</f>
        <v/>
      </c>
      <c r="C75" s="15" t="str">
        <f aca="false">IF($A75="","",설비목록!$C72)</f>
        <v/>
      </c>
      <c r="D75" s="15" t="str">
        <f aca="false">IF($A75="","",설비목록!$D72)</f>
        <v/>
      </c>
      <c r="E75" s="22" t="str">
        <f aca="false">IF($A75="","",설비목록!$E72)</f>
        <v/>
      </c>
      <c r="F75" s="20" t="str">
        <f aca="false">IF($A75="","",IF(COUNTIFS(점검이력!$B$3:$B$802,$A75)=0,설비목록!$F72,_xlfn.MAXIFS(점검이력!$A$3:$A$802,점검이력!$B$3:$B$802,$A75)))</f>
        <v/>
      </c>
      <c r="G75" s="20" t="str">
        <f aca="false">IF(OR($A75="",$F75="",$E75=""),"",$F75+$E75)</f>
        <v/>
      </c>
      <c r="H75" s="21" t="str">
        <f aca="true">IF($G75="","",$G75-TODAY())</f>
        <v/>
      </c>
      <c r="I75" s="22" t="str">
        <f aca="false">IF($A75="","",COUNTIFS(점검이력!$B$3:$B$802,$A75))</f>
        <v/>
      </c>
      <c r="J75" s="22" t="str">
        <f aca="false">IF($H75="","",IF($H75&lt;0,"기한초과",IF($H75&lt;=사용안내!$C$17,"임박","정상")))</f>
        <v/>
      </c>
    </row>
    <row r="76" customFormat="false" ht="15" hidden="false" customHeight="true" outlineLevel="0" collapsed="false">
      <c r="A76" s="15" t="str">
        <f aca="false">IF(설비목록!$A73="","",설비목록!$A73)</f>
        <v/>
      </c>
      <c r="B76" s="15" t="str">
        <f aca="false">IF($A76="","",설비목록!$B73)</f>
        <v/>
      </c>
      <c r="C76" s="15" t="str">
        <f aca="false">IF($A76="","",설비목록!$C73)</f>
        <v/>
      </c>
      <c r="D76" s="15" t="str">
        <f aca="false">IF($A76="","",설비목록!$D73)</f>
        <v/>
      </c>
      <c r="E76" s="22" t="str">
        <f aca="false">IF($A76="","",설비목록!$E73)</f>
        <v/>
      </c>
      <c r="F76" s="20" t="str">
        <f aca="false">IF($A76="","",IF(COUNTIFS(점검이력!$B$3:$B$802,$A76)=0,설비목록!$F73,_xlfn.MAXIFS(점검이력!$A$3:$A$802,점검이력!$B$3:$B$802,$A76)))</f>
        <v/>
      </c>
      <c r="G76" s="20" t="str">
        <f aca="false">IF(OR($A76="",$F76="",$E76=""),"",$F76+$E76)</f>
        <v/>
      </c>
      <c r="H76" s="21" t="str">
        <f aca="true">IF($G76="","",$G76-TODAY())</f>
        <v/>
      </c>
      <c r="I76" s="22" t="str">
        <f aca="false">IF($A76="","",COUNTIFS(점검이력!$B$3:$B$802,$A76))</f>
        <v/>
      </c>
      <c r="J76" s="22" t="str">
        <f aca="false">IF($H76="","",IF($H76&lt;0,"기한초과",IF($H76&lt;=사용안내!$C$17,"임박","정상")))</f>
        <v/>
      </c>
    </row>
    <row r="77" customFormat="false" ht="15" hidden="false" customHeight="true" outlineLevel="0" collapsed="false">
      <c r="A77" s="15" t="str">
        <f aca="false">IF(설비목록!$A74="","",설비목록!$A74)</f>
        <v/>
      </c>
      <c r="B77" s="15" t="str">
        <f aca="false">IF($A77="","",설비목록!$B74)</f>
        <v/>
      </c>
      <c r="C77" s="15" t="str">
        <f aca="false">IF($A77="","",설비목록!$C74)</f>
        <v/>
      </c>
      <c r="D77" s="15" t="str">
        <f aca="false">IF($A77="","",설비목록!$D74)</f>
        <v/>
      </c>
      <c r="E77" s="22" t="str">
        <f aca="false">IF($A77="","",설비목록!$E74)</f>
        <v/>
      </c>
      <c r="F77" s="20" t="str">
        <f aca="false">IF($A77="","",IF(COUNTIFS(점검이력!$B$3:$B$802,$A77)=0,설비목록!$F74,_xlfn.MAXIFS(점검이력!$A$3:$A$802,점검이력!$B$3:$B$802,$A77)))</f>
        <v/>
      </c>
      <c r="G77" s="20" t="str">
        <f aca="false">IF(OR($A77="",$F77="",$E77=""),"",$F77+$E77)</f>
        <v/>
      </c>
      <c r="H77" s="21" t="str">
        <f aca="true">IF($G77="","",$G77-TODAY())</f>
        <v/>
      </c>
      <c r="I77" s="22" t="str">
        <f aca="false">IF($A77="","",COUNTIFS(점검이력!$B$3:$B$802,$A77))</f>
        <v/>
      </c>
      <c r="J77" s="22" t="str">
        <f aca="false">IF($H77="","",IF($H77&lt;0,"기한초과",IF($H77&lt;=사용안내!$C$17,"임박","정상")))</f>
        <v/>
      </c>
    </row>
    <row r="78" customFormat="false" ht="15" hidden="false" customHeight="true" outlineLevel="0" collapsed="false">
      <c r="A78" s="15" t="str">
        <f aca="false">IF(설비목록!$A75="","",설비목록!$A75)</f>
        <v/>
      </c>
      <c r="B78" s="15" t="str">
        <f aca="false">IF($A78="","",설비목록!$B75)</f>
        <v/>
      </c>
      <c r="C78" s="15" t="str">
        <f aca="false">IF($A78="","",설비목록!$C75)</f>
        <v/>
      </c>
      <c r="D78" s="15" t="str">
        <f aca="false">IF($A78="","",설비목록!$D75)</f>
        <v/>
      </c>
      <c r="E78" s="22" t="str">
        <f aca="false">IF($A78="","",설비목록!$E75)</f>
        <v/>
      </c>
      <c r="F78" s="20" t="str">
        <f aca="false">IF($A78="","",IF(COUNTIFS(점검이력!$B$3:$B$802,$A78)=0,설비목록!$F75,_xlfn.MAXIFS(점검이력!$A$3:$A$802,점검이력!$B$3:$B$802,$A78)))</f>
        <v/>
      </c>
      <c r="G78" s="20" t="str">
        <f aca="false">IF(OR($A78="",$F78="",$E78=""),"",$F78+$E78)</f>
        <v/>
      </c>
      <c r="H78" s="21" t="str">
        <f aca="true">IF($G78="","",$G78-TODAY())</f>
        <v/>
      </c>
      <c r="I78" s="22" t="str">
        <f aca="false">IF($A78="","",COUNTIFS(점검이력!$B$3:$B$802,$A78))</f>
        <v/>
      </c>
      <c r="J78" s="22" t="str">
        <f aca="false">IF($H78="","",IF($H78&lt;0,"기한초과",IF($H78&lt;=사용안내!$C$17,"임박","정상")))</f>
        <v/>
      </c>
    </row>
    <row r="79" customFormat="false" ht="15" hidden="false" customHeight="true" outlineLevel="0" collapsed="false">
      <c r="A79" s="15" t="str">
        <f aca="false">IF(설비목록!$A76="","",설비목록!$A76)</f>
        <v/>
      </c>
      <c r="B79" s="15" t="str">
        <f aca="false">IF($A79="","",설비목록!$B76)</f>
        <v/>
      </c>
      <c r="C79" s="15" t="str">
        <f aca="false">IF($A79="","",설비목록!$C76)</f>
        <v/>
      </c>
      <c r="D79" s="15" t="str">
        <f aca="false">IF($A79="","",설비목록!$D76)</f>
        <v/>
      </c>
      <c r="E79" s="22" t="str">
        <f aca="false">IF($A79="","",설비목록!$E76)</f>
        <v/>
      </c>
      <c r="F79" s="20" t="str">
        <f aca="false">IF($A79="","",IF(COUNTIFS(점검이력!$B$3:$B$802,$A79)=0,설비목록!$F76,_xlfn.MAXIFS(점검이력!$A$3:$A$802,점검이력!$B$3:$B$802,$A79)))</f>
        <v/>
      </c>
      <c r="G79" s="20" t="str">
        <f aca="false">IF(OR($A79="",$F79="",$E79=""),"",$F79+$E79)</f>
        <v/>
      </c>
      <c r="H79" s="21" t="str">
        <f aca="true">IF($G79="","",$G79-TODAY())</f>
        <v/>
      </c>
      <c r="I79" s="22" t="str">
        <f aca="false">IF($A79="","",COUNTIFS(점검이력!$B$3:$B$802,$A79))</f>
        <v/>
      </c>
      <c r="J79" s="22" t="str">
        <f aca="false">IF($H79="","",IF($H79&lt;0,"기한초과",IF($H79&lt;=사용안내!$C$17,"임박","정상")))</f>
        <v/>
      </c>
    </row>
    <row r="80" customFormat="false" ht="15" hidden="false" customHeight="true" outlineLevel="0" collapsed="false">
      <c r="A80" s="15" t="str">
        <f aca="false">IF(설비목록!$A77="","",설비목록!$A77)</f>
        <v/>
      </c>
      <c r="B80" s="15" t="str">
        <f aca="false">IF($A80="","",설비목록!$B77)</f>
        <v/>
      </c>
      <c r="C80" s="15" t="str">
        <f aca="false">IF($A80="","",설비목록!$C77)</f>
        <v/>
      </c>
      <c r="D80" s="15" t="str">
        <f aca="false">IF($A80="","",설비목록!$D77)</f>
        <v/>
      </c>
      <c r="E80" s="22" t="str">
        <f aca="false">IF($A80="","",설비목록!$E77)</f>
        <v/>
      </c>
      <c r="F80" s="20" t="str">
        <f aca="false">IF($A80="","",IF(COUNTIFS(점검이력!$B$3:$B$802,$A80)=0,설비목록!$F77,_xlfn.MAXIFS(점검이력!$A$3:$A$802,점검이력!$B$3:$B$802,$A80)))</f>
        <v/>
      </c>
      <c r="G80" s="20" t="str">
        <f aca="false">IF(OR($A80="",$F80="",$E80=""),"",$F80+$E80)</f>
        <v/>
      </c>
      <c r="H80" s="21" t="str">
        <f aca="true">IF($G80="","",$G80-TODAY())</f>
        <v/>
      </c>
      <c r="I80" s="22" t="str">
        <f aca="false">IF($A80="","",COUNTIFS(점검이력!$B$3:$B$802,$A80))</f>
        <v/>
      </c>
      <c r="J80" s="22" t="str">
        <f aca="false">IF($H80="","",IF($H80&lt;0,"기한초과",IF($H80&lt;=사용안내!$C$17,"임박","정상")))</f>
        <v/>
      </c>
    </row>
    <row r="81" customFormat="false" ht="15" hidden="false" customHeight="true" outlineLevel="0" collapsed="false">
      <c r="A81" s="15" t="str">
        <f aca="false">IF(설비목록!$A78="","",설비목록!$A78)</f>
        <v/>
      </c>
      <c r="B81" s="15" t="str">
        <f aca="false">IF($A81="","",설비목록!$B78)</f>
        <v/>
      </c>
      <c r="C81" s="15" t="str">
        <f aca="false">IF($A81="","",설비목록!$C78)</f>
        <v/>
      </c>
      <c r="D81" s="15" t="str">
        <f aca="false">IF($A81="","",설비목록!$D78)</f>
        <v/>
      </c>
      <c r="E81" s="22" t="str">
        <f aca="false">IF($A81="","",설비목록!$E78)</f>
        <v/>
      </c>
      <c r="F81" s="20" t="str">
        <f aca="false">IF($A81="","",IF(COUNTIFS(점검이력!$B$3:$B$802,$A81)=0,설비목록!$F78,_xlfn.MAXIFS(점검이력!$A$3:$A$802,점검이력!$B$3:$B$802,$A81)))</f>
        <v/>
      </c>
      <c r="G81" s="20" t="str">
        <f aca="false">IF(OR($A81="",$F81="",$E81=""),"",$F81+$E81)</f>
        <v/>
      </c>
      <c r="H81" s="21" t="str">
        <f aca="true">IF($G81="","",$G81-TODAY())</f>
        <v/>
      </c>
      <c r="I81" s="22" t="str">
        <f aca="false">IF($A81="","",COUNTIFS(점검이력!$B$3:$B$802,$A81))</f>
        <v/>
      </c>
      <c r="J81" s="22" t="str">
        <f aca="false">IF($H81="","",IF($H81&lt;0,"기한초과",IF($H81&lt;=사용안내!$C$17,"임박","정상")))</f>
        <v/>
      </c>
    </row>
    <row r="82" customFormat="false" ht="15" hidden="false" customHeight="true" outlineLevel="0" collapsed="false">
      <c r="A82" s="15" t="str">
        <f aca="false">IF(설비목록!$A79="","",설비목록!$A79)</f>
        <v/>
      </c>
      <c r="B82" s="15" t="str">
        <f aca="false">IF($A82="","",설비목록!$B79)</f>
        <v/>
      </c>
      <c r="C82" s="15" t="str">
        <f aca="false">IF($A82="","",설비목록!$C79)</f>
        <v/>
      </c>
      <c r="D82" s="15" t="str">
        <f aca="false">IF($A82="","",설비목록!$D79)</f>
        <v/>
      </c>
      <c r="E82" s="22" t="str">
        <f aca="false">IF($A82="","",설비목록!$E79)</f>
        <v/>
      </c>
      <c r="F82" s="20" t="str">
        <f aca="false">IF($A82="","",IF(COUNTIFS(점검이력!$B$3:$B$802,$A82)=0,설비목록!$F79,_xlfn.MAXIFS(점검이력!$A$3:$A$802,점검이력!$B$3:$B$802,$A82)))</f>
        <v/>
      </c>
      <c r="G82" s="20" t="str">
        <f aca="false">IF(OR($A82="",$F82="",$E82=""),"",$F82+$E82)</f>
        <v/>
      </c>
      <c r="H82" s="21" t="str">
        <f aca="true">IF($G82="","",$G82-TODAY())</f>
        <v/>
      </c>
      <c r="I82" s="22" t="str">
        <f aca="false">IF($A82="","",COUNTIFS(점검이력!$B$3:$B$802,$A82))</f>
        <v/>
      </c>
      <c r="J82" s="22" t="str">
        <f aca="false">IF($H82="","",IF($H82&lt;0,"기한초과",IF($H82&lt;=사용안내!$C$17,"임박","정상")))</f>
        <v/>
      </c>
    </row>
    <row r="83" customFormat="false" ht="15" hidden="false" customHeight="true" outlineLevel="0" collapsed="false">
      <c r="A83" s="15" t="str">
        <f aca="false">IF(설비목록!$A80="","",설비목록!$A80)</f>
        <v/>
      </c>
      <c r="B83" s="15" t="str">
        <f aca="false">IF($A83="","",설비목록!$B80)</f>
        <v/>
      </c>
      <c r="C83" s="15" t="str">
        <f aca="false">IF($A83="","",설비목록!$C80)</f>
        <v/>
      </c>
      <c r="D83" s="15" t="str">
        <f aca="false">IF($A83="","",설비목록!$D80)</f>
        <v/>
      </c>
      <c r="E83" s="22" t="str">
        <f aca="false">IF($A83="","",설비목록!$E80)</f>
        <v/>
      </c>
      <c r="F83" s="20" t="str">
        <f aca="false">IF($A83="","",IF(COUNTIFS(점검이력!$B$3:$B$802,$A83)=0,설비목록!$F80,_xlfn.MAXIFS(점검이력!$A$3:$A$802,점검이력!$B$3:$B$802,$A83)))</f>
        <v/>
      </c>
      <c r="G83" s="20" t="str">
        <f aca="false">IF(OR($A83="",$F83="",$E83=""),"",$F83+$E83)</f>
        <v/>
      </c>
      <c r="H83" s="21" t="str">
        <f aca="true">IF($G83="","",$G83-TODAY())</f>
        <v/>
      </c>
      <c r="I83" s="22" t="str">
        <f aca="false">IF($A83="","",COUNTIFS(점검이력!$B$3:$B$802,$A83))</f>
        <v/>
      </c>
      <c r="J83" s="22" t="str">
        <f aca="false">IF($H83="","",IF($H83&lt;0,"기한초과",IF($H83&lt;=사용안내!$C$17,"임박","정상")))</f>
        <v/>
      </c>
    </row>
    <row r="84" customFormat="false" ht="15" hidden="false" customHeight="true" outlineLevel="0" collapsed="false">
      <c r="A84" s="15" t="str">
        <f aca="false">IF(설비목록!$A81="","",설비목록!$A81)</f>
        <v/>
      </c>
      <c r="B84" s="15" t="str">
        <f aca="false">IF($A84="","",설비목록!$B81)</f>
        <v/>
      </c>
      <c r="C84" s="15" t="str">
        <f aca="false">IF($A84="","",설비목록!$C81)</f>
        <v/>
      </c>
      <c r="D84" s="15" t="str">
        <f aca="false">IF($A84="","",설비목록!$D81)</f>
        <v/>
      </c>
      <c r="E84" s="22" t="str">
        <f aca="false">IF($A84="","",설비목록!$E81)</f>
        <v/>
      </c>
      <c r="F84" s="20" t="str">
        <f aca="false">IF($A84="","",IF(COUNTIFS(점검이력!$B$3:$B$802,$A84)=0,설비목록!$F81,_xlfn.MAXIFS(점검이력!$A$3:$A$802,점검이력!$B$3:$B$802,$A84)))</f>
        <v/>
      </c>
      <c r="G84" s="20" t="str">
        <f aca="false">IF(OR($A84="",$F84="",$E84=""),"",$F84+$E84)</f>
        <v/>
      </c>
      <c r="H84" s="21" t="str">
        <f aca="true">IF($G84="","",$G84-TODAY())</f>
        <v/>
      </c>
      <c r="I84" s="22" t="str">
        <f aca="false">IF($A84="","",COUNTIFS(점검이력!$B$3:$B$802,$A84))</f>
        <v/>
      </c>
      <c r="J84" s="22" t="str">
        <f aca="false">IF($H84="","",IF($H84&lt;0,"기한초과",IF($H84&lt;=사용안내!$C$17,"임박","정상")))</f>
        <v/>
      </c>
    </row>
    <row r="85" customFormat="false" ht="15" hidden="false" customHeight="true" outlineLevel="0" collapsed="false">
      <c r="A85" s="15" t="str">
        <f aca="false">IF(설비목록!$A82="","",설비목록!$A82)</f>
        <v/>
      </c>
      <c r="B85" s="15" t="str">
        <f aca="false">IF($A85="","",설비목록!$B82)</f>
        <v/>
      </c>
      <c r="C85" s="15" t="str">
        <f aca="false">IF($A85="","",설비목록!$C82)</f>
        <v/>
      </c>
      <c r="D85" s="15" t="str">
        <f aca="false">IF($A85="","",설비목록!$D82)</f>
        <v/>
      </c>
      <c r="E85" s="22" t="str">
        <f aca="false">IF($A85="","",설비목록!$E82)</f>
        <v/>
      </c>
      <c r="F85" s="20" t="str">
        <f aca="false">IF($A85="","",IF(COUNTIFS(점검이력!$B$3:$B$802,$A85)=0,설비목록!$F82,_xlfn.MAXIFS(점검이력!$A$3:$A$802,점검이력!$B$3:$B$802,$A85)))</f>
        <v/>
      </c>
      <c r="G85" s="20" t="str">
        <f aca="false">IF(OR($A85="",$F85="",$E85=""),"",$F85+$E85)</f>
        <v/>
      </c>
      <c r="H85" s="21" t="str">
        <f aca="true">IF($G85="","",$G85-TODAY())</f>
        <v/>
      </c>
      <c r="I85" s="22" t="str">
        <f aca="false">IF($A85="","",COUNTIFS(점검이력!$B$3:$B$802,$A85))</f>
        <v/>
      </c>
      <c r="J85" s="22" t="str">
        <f aca="false">IF($H85="","",IF($H85&lt;0,"기한초과",IF($H85&lt;=사용안내!$C$17,"임박","정상")))</f>
        <v/>
      </c>
    </row>
    <row r="86" customFormat="false" ht="15" hidden="false" customHeight="true" outlineLevel="0" collapsed="false">
      <c r="A86" s="15" t="str">
        <f aca="false">IF(설비목록!$A83="","",설비목록!$A83)</f>
        <v/>
      </c>
      <c r="B86" s="15" t="str">
        <f aca="false">IF($A86="","",설비목록!$B83)</f>
        <v/>
      </c>
      <c r="C86" s="15" t="str">
        <f aca="false">IF($A86="","",설비목록!$C83)</f>
        <v/>
      </c>
      <c r="D86" s="15" t="str">
        <f aca="false">IF($A86="","",설비목록!$D83)</f>
        <v/>
      </c>
      <c r="E86" s="22" t="str">
        <f aca="false">IF($A86="","",설비목록!$E83)</f>
        <v/>
      </c>
      <c r="F86" s="20" t="str">
        <f aca="false">IF($A86="","",IF(COUNTIFS(점검이력!$B$3:$B$802,$A86)=0,설비목록!$F83,_xlfn.MAXIFS(점검이력!$A$3:$A$802,점검이력!$B$3:$B$802,$A86)))</f>
        <v/>
      </c>
      <c r="G86" s="20" t="str">
        <f aca="false">IF(OR($A86="",$F86="",$E86=""),"",$F86+$E86)</f>
        <v/>
      </c>
      <c r="H86" s="21" t="str">
        <f aca="true">IF($G86="","",$G86-TODAY())</f>
        <v/>
      </c>
      <c r="I86" s="22" t="str">
        <f aca="false">IF($A86="","",COUNTIFS(점검이력!$B$3:$B$802,$A86))</f>
        <v/>
      </c>
      <c r="J86" s="22" t="str">
        <f aca="false">IF($H86="","",IF($H86&lt;0,"기한초과",IF($H86&lt;=사용안내!$C$17,"임박","정상")))</f>
        <v/>
      </c>
    </row>
    <row r="87" customFormat="false" ht="15" hidden="false" customHeight="true" outlineLevel="0" collapsed="false">
      <c r="A87" s="15" t="str">
        <f aca="false">IF(설비목록!$A84="","",설비목록!$A84)</f>
        <v/>
      </c>
      <c r="B87" s="15" t="str">
        <f aca="false">IF($A87="","",설비목록!$B84)</f>
        <v/>
      </c>
      <c r="C87" s="15" t="str">
        <f aca="false">IF($A87="","",설비목록!$C84)</f>
        <v/>
      </c>
      <c r="D87" s="15" t="str">
        <f aca="false">IF($A87="","",설비목록!$D84)</f>
        <v/>
      </c>
      <c r="E87" s="22" t="str">
        <f aca="false">IF($A87="","",설비목록!$E84)</f>
        <v/>
      </c>
      <c r="F87" s="20" t="str">
        <f aca="false">IF($A87="","",IF(COUNTIFS(점검이력!$B$3:$B$802,$A87)=0,설비목록!$F84,_xlfn.MAXIFS(점검이력!$A$3:$A$802,점검이력!$B$3:$B$802,$A87)))</f>
        <v/>
      </c>
      <c r="G87" s="20" t="str">
        <f aca="false">IF(OR($A87="",$F87="",$E87=""),"",$F87+$E87)</f>
        <v/>
      </c>
      <c r="H87" s="21" t="str">
        <f aca="true">IF($G87="","",$G87-TODAY())</f>
        <v/>
      </c>
      <c r="I87" s="22" t="str">
        <f aca="false">IF($A87="","",COUNTIFS(점검이력!$B$3:$B$802,$A87))</f>
        <v/>
      </c>
      <c r="J87" s="22" t="str">
        <f aca="false">IF($H87="","",IF($H87&lt;0,"기한초과",IF($H87&lt;=사용안내!$C$17,"임박","정상")))</f>
        <v/>
      </c>
    </row>
    <row r="88" customFormat="false" ht="15" hidden="false" customHeight="true" outlineLevel="0" collapsed="false">
      <c r="A88" s="15" t="str">
        <f aca="false">IF(설비목록!$A85="","",설비목록!$A85)</f>
        <v/>
      </c>
      <c r="B88" s="15" t="str">
        <f aca="false">IF($A88="","",설비목록!$B85)</f>
        <v/>
      </c>
      <c r="C88" s="15" t="str">
        <f aca="false">IF($A88="","",설비목록!$C85)</f>
        <v/>
      </c>
      <c r="D88" s="15" t="str">
        <f aca="false">IF($A88="","",설비목록!$D85)</f>
        <v/>
      </c>
      <c r="E88" s="22" t="str">
        <f aca="false">IF($A88="","",설비목록!$E85)</f>
        <v/>
      </c>
      <c r="F88" s="20" t="str">
        <f aca="false">IF($A88="","",IF(COUNTIFS(점검이력!$B$3:$B$802,$A88)=0,설비목록!$F85,_xlfn.MAXIFS(점검이력!$A$3:$A$802,점검이력!$B$3:$B$802,$A88)))</f>
        <v/>
      </c>
      <c r="G88" s="20" t="str">
        <f aca="false">IF(OR($A88="",$F88="",$E88=""),"",$F88+$E88)</f>
        <v/>
      </c>
      <c r="H88" s="21" t="str">
        <f aca="true">IF($G88="","",$G88-TODAY())</f>
        <v/>
      </c>
      <c r="I88" s="22" t="str">
        <f aca="false">IF($A88="","",COUNTIFS(점검이력!$B$3:$B$802,$A88))</f>
        <v/>
      </c>
      <c r="J88" s="22" t="str">
        <f aca="false">IF($H88="","",IF($H88&lt;0,"기한초과",IF($H88&lt;=사용안내!$C$17,"임박","정상")))</f>
        <v/>
      </c>
    </row>
    <row r="89" customFormat="false" ht="15" hidden="false" customHeight="true" outlineLevel="0" collapsed="false">
      <c r="A89" s="15" t="str">
        <f aca="false">IF(설비목록!$A86="","",설비목록!$A86)</f>
        <v/>
      </c>
      <c r="B89" s="15" t="str">
        <f aca="false">IF($A89="","",설비목록!$B86)</f>
        <v/>
      </c>
      <c r="C89" s="15" t="str">
        <f aca="false">IF($A89="","",설비목록!$C86)</f>
        <v/>
      </c>
      <c r="D89" s="15" t="str">
        <f aca="false">IF($A89="","",설비목록!$D86)</f>
        <v/>
      </c>
      <c r="E89" s="22" t="str">
        <f aca="false">IF($A89="","",설비목록!$E86)</f>
        <v/>
      </c>
      <c r="F89" s="20" t="str">
        <f aca="false">IF($A89="","",IF(COUNTIFS(점검이력!$B$3:$B$802,$A89)=0,설비목록!$F86,_xlfn.MAXIFS(점검이력!$A$3:$A$802,점검이력!$B$3:$B$802,$A89)))</f>
        <v/>
      </c>
      <c r="G89" s="20" t="str">
        <f aca="false">IF(OR($A89="",$F89="",$E89=""),"",$F89+$E89)</f>
        <v/>
      </c>
      <c r="H89" s="21" t="str">
        <f aca="true">IF($G89="","",$G89-TODAY())</f>
        <v/>
      </c>
      <c r="I89" s="22" t="str">
        <f aca="false">IF($A89="","",COUNTIFS(점검이력!$B$3:$B$802,$A89))</f>
        <v/>
      </c>
      <c r="J89" s="22" t="str">
        <f aca="false">IF($H89="","",IF($H89&lt;0,"기한초과",IF($H89&lt;=사용안내!$C$17,"임박","정상")))</f>
        <v/>
      </c>
    </row>
    <row r="90" customFormat="false" ht="15" hidden="false" customHeight="true" outlineLevel="0" collapsed="false">
      <c r="A90" s="15" t="str">
        <f aca="false">IF(설비목록!$A87="","",설비목록!$A87)</f>
        <v/>
      </c>
      <c r="B90" s="15" t="str">
        <f aca="false">IF($A90="","",설비목록!$B87)</f>
        <v/>
      </c>
      <c r="C90" s="15" t="str">
        <f aca="false">IF($A90="","",설비목록!$C87)</f>
        <v/>
      </c>
      <c r="D90" s="15" t="str">
        <f aca="false">IF($A90="","",설비목록!$D87)</f>
        <v/>
      </c>
      <c r="E90" s="22" t="str">
        <f aca="false">IF($A90="","",설비목록!$E87)</f>
        <v/>
      </c>
      <c r="F90" s="20" t="str">
        <f aca="false">IF($A90="","",IF(COUNTIFS(점검이력!$B$3:$B$802,$A90)=0,설비목록!$F87,_xlfn.MAXIFS(점검이력!$A$3:$A$802,점검이력!$B$3:$B$802,$A90)))</f>
        <v/>
      </c>
      <c r="G90" s="20" t="str">
        <f aca="false">IF(OR($A90="",$F90="",$E90=""),"",$F90+$E90)</f>
        <v/>
      </c>
      <c r="H90" s="21" t="str">
        <f aca="true">IF($G90="","",$G90-TODAY())</f>
        <v/>
      </c>
      <c r="I90" s="22" t="str">
        <f aca="false">IF($A90="","",COUNTIFS(점검이력!$B$3:$B$802,$A90))</f>
        <v/>
      </c>
      <c r="J90" s="22" t="str">
        <f aca="false">IF($H90="","",IF($H90&lt;0,"기한초과",IF($H90&lt;=사용안내!$C$17,"임박","정상")))</f>
        <v/>
      </c>
    </row>
    <row r="91" customFormat="false" ht="15" hidden="false" customHeight="true" outlineLevel="0" collapsed="false">
      <c r="A91" s="15" t="str">
        <f aca="false">IF(설비목록!$A88="","",설비목록!$A88)</f>
        <v/>
      </c>
      <c r="B91" s="15" t="str">
        <f aca="false">IF($A91="","",설비목록!$B88)</f>
        <v/>
      </c>
      <c r="C91" s="15" t="str">
        <f aca="false">IF($A91="","",설비목록!$C88)</f>
        <v/>
      </c>
      <c r="D91" s="15" t="str">
        <f aca="false">IF($A91="","",설비목록!$D88)</f>
        <v/>
      </c>
      <c r="E91" s="22" t="str">
        <f aca="false">IF($A91="","",설비목록!$E88)</f>
        <v/>
      </c>
      <c r="F91" s="20" t="str">
        <f aca="false">IF($A91="","",IF(COUNTIFS(점검이력!$B$3:$B$802,$A91)=0,설비목록!$F88,_xlfn.MAXIFS(점검이력!$A$3:$A$802,점검이력!$B$3:$B$802,$A91)))</f>
        <v/>
      </c>
      <c r="G91" s="20" t="str">
        <f aca="false">IF(OR($A91="",$F91="",$E91=""),"",$F91+$E91)</f>
        <v/>
      </c>
      <c r="H91" s="21" t="str">
        <f aca="true">IF($G91="","",$G91-TODAY())</f>
        <v/>
      </c>
      <c r="I91" s="22" t="str">
        <f aca="false">IF($A91="","",COUNTIFS(점검이력!$B$3:$B$802,$A91))</f>
        <v/>
      </c>
      <c r="J91" s="22" t="str">
        <f aca="false">IF($H91="","",IF($H91&lt;0,"기한초과",IF($H91&lt;=사용안내!$C$17,"임박","정상")))</f>
        <v/>
      </c>
    </row>
    <row r="92" customFormat="false" ht="15" hidden="false" customHeight="true" outlineLevel="0" collapsed="false">
      <c r="A92" s="15" t="str">
        <f aca="false">IF(설비목록!$A89="","",설비목록!$A89)</f>
        <v/>
      </c>
      <c r="B92" s="15" t="str">
        <f aca="false">IF($A92="","",설비목록!$B89)</f>
        <v/>
      </c>
      <c r="C92" s="15" t="str">
        <f aca="false">IF($A92="","",설비목록!$C89)</f>
        <v/>
      </c>
      <c r="D92" s="15" t="str">
        <f aca="false">IF($A92="","",설비목록!$D89)</f>
        <v/>
      </c>
      <c r="E92" s="22" t="str">
        <f aca="false">IF($A92="","",설비목록!$E89)</f>
        <v/>
      </c>
      <c r="F92" s="20" t="str">
        <f aca="false">IF($A92="","",IF(COUNTIFS(점검이력!$B$3:$B$802,$A92)=0,설비목록!$F89,_xlfn.MAXIFS(점검이력!$A$3:$A$802,점검이력!$B$3:$B$802,$A92)))</f>
        <v/>
      </c>
      <c r="G92" s="20" t="str">
        <f aca="false">IF(OR($A92="",$F92="",$E92=""),"",$F92+$E92)</f>
        <v/>
      </c>
      <c r="H92" s="21" t="str">
        <f aca="true">IF($G92="","",$G92-TODAY())</f>
        <v/>
      </c>
      <c r="I92" s="22" t="str">
        <f aca="false">IF($A92="","",COUNTIFS(점검이력!$B$3:$B$802,$A92))</f>
        <v/>
      </c>
      <c r="J92" s="22" t="str">
        <f aca="false">IF($H92="","",IF($H92&lt;0,"기한초과",IF($H92&lt;=사용안내!$C$17,"임박","정상")))</f>
        <v/>
      </c>
    </row>
    <row r="93" customFormat="false" ht="15" hidden="false" customHeight="true" outlineLevel="0" collapsed="false">
      <c r="A93" s="15" t="str">
        <f aca="false">IF(설비목록!$A90="","",설비목록!$A90)</f>
        <v/>
      </c>
      <c r="B93" s="15" t="str">
        <f aca="false">IF($A93="","",설비목록!$B90)</f>
        <v/>
      </c>
      <c r="C93" s="15" t="str">
        <f aca="false">IF($A93="","",설비목록!$C90)</f>
        <v/>
      </c>
      <c r="D93" s="15" t="str">
        <f aca="false">IF($A93="","",설비목록!$D90)</f>
        <v/>
      </c>
      <c r="E93" s="22" t="str">
        <f aca="false">IF($A93="","",설비목록!$E90)</f>
        <v/>
      </c>
      <c r="F93" s="20" t="str">
        <f aca="false">IF($A93="","",IF(COUNTIFS(점검이력!$B$3:$B$802,$A93)=0,설비목록!$F90,_xlfn.MAXIFS(점검이력!$A$3:$A$802,점검이력!$B$3:$B$802,$A93)))</f>
        <v/>
      </c>
      <c r="G93" s="20" t="str">
        <f aca="false">IF(OR($A93="",$F93="",$E93=""),"",$F93+$E93)</f>
        <v/>
      </c>
      <c r="H93" s="21" t="str">
        <f aca="true">IF($G93="","",$G93-TODAY())</f>
        <v/>
      </c>
      <c r="I93" s="22" t="str">
        <f aca="false">IF($A93="","",COUNTIFS(점검이력!$B$3:$B$802,$A93))</f>
        <v/>
      </c>
      <c r="J93" s="22" t="str">
        <f aca="false">IF($H93="","",IF($H93&lt;0,"기한초과",IF($H93&lt;=사용안내!$C$17,"임박","정상")))</f>
        <v/>
      </c>
    </row>
    <row r="94" customFormat="false" ht="15" hidden="false" customHeight="true" outlineLevel="0" collapsed="false">
      <c r="A94" s="15" t="str">
        <f aca="false">IF(설비목록!$A91="","",설비목록!$A91)</f>
        <v/>
      </c>
      <c r="B94" s="15" t="str">
        <f aca="false">IF($A94="","",설비목록!$B91)</f>
        <v/>
      </c>
      <c r="C94" s="15" t="str">
        <f aca="false">IF($A94="","",설비목록!$C91)</f>
        <v/>
      </c>
      <c r="D94" s="15" t="str">
        <f aca="false">IF($A94="","",설비목록!$D91)</f>
        <v/>
      </c>
      <c r="E94" s="22" t="str">
        <f aca="false">IF($A94="","",설비목록!$E91)</f>
        <v/>
      </c>
      <c r="F94" s="20" t="str">
        <f aca="false">IF($A94="","",IF(COUNTIFS(점검이력!$B$3:$B$802,$A94)=0,설비목록!$F91,_xlfn.MAXIFS(점검이력!$A$3:$A$802,점검이력!$B$3:$B$802,$A94)))</f>
        <v/>
      </c>
      <c r="G94" s="20" t="str">
        <f aca="false">IF(OR($A94="",$F94="",$E94=""),"",$F94+$E94)</f>
        <v/>
      </c>
      <c r="H94" s="21" t="str">
        <f aca="true">IF($G94="","",$G94-TODAY())</f>
        <v/>
      </c>
      <c r="I94" s="22" t="str">
        <f aca="false">IF($A94="","",COUNTIFS(점검이력!$B$3:$B$802,$A94))</f>
        <v/>
      </c>
      <c r="J94" s="22" t="str">
        <f aca="false">IF($H94="","",IF($H94&lt;0,"기한초과",IF($H94&lt;=사용안내!$C$17,"임박","정상")))</f>
        <v/>
      </c>
    </row>
    <row r="95" customFormat="false" ht="15" hidden="false" customHeight="true" outlineLevel="0" collapsed="false">
      <c r="A95" s="15" t="str">
        <f aca="false">IF(설비목록!$A92="","",설비목록!$A92)</f>
        <v/>
      </c>
      <c r="B95" s="15" t="str">
        <f aca="false">IF($A95="","",설비목록!$B92)</f>
        <v/>
      </c>
      <c r="C95" s="15" t="str">
        <f aca="false">IF($A95="","",설비목록!$C92)</f>
        <v/>
      </c>
      <c r="D95" s="15" t="str">
        <f aca="false">IF($A95="","",설비목록!$D92)</f>
        <v/>
      </c>
      <c r="E95" s="22" t="str">
        <f aca="false">IF($A95="","",설비목록!$E92)</f>
        <v/>
      </c>
      <c r="F95" s="20" t="str">
        <f aca="false">IF($A95="","",IF(COUNTIFS(점검이력!$B$3:$B$802,$A95)=0,설비목록!$F92,_xlfn.MAXIFS(점검이력!$A$3:$A$802,점검이력!$B$3:$B$802,$A95)))</f>
        <v/>
      </c>
      <c r="G95" s="20" t="str">
        <f aca="false">IF(OR($A95="",$F95="",$E95=""),"",$F95+$E95)</f>
        <v/>
      </c>
      <c r="H95" s="21" t="str">
        <f aca="true">IF($G95="","",$G95-TODAY())</f>
        <v/>
      </c>
      <c r="I95" s="22" t="str">
        <f aca="false">IF($A95="","",COUNTIFS(점검이력!$B$3:$B$802,$A95))</f>
        <v/>
      </c>
      <c r="J95" s="22" t="str">
        <f aca="false">IF($H95="","",IF($H95&lt;0,"기한초과",IF($H95&lt;=사용안내!$C$17,"임박","정상")))</f>
        <v/>
      </c>
    </row>
    <row r="96" customFormat="false" ht="15" hidden="false" customHeight="true" outlineLevel="0" collapsed="false">
      <c r="A96" s="15" t="str">
        <f aca="false">IF(설비목록!$A93="","",설비목록!$A93)</f>
        <v/>
      </c>
      <c r="B96" s="15" t="str">
        <f aca="false">IF($A96="","",설비목록!$B93)</f>
        <v/>
      </c>
      <c r="C96" s="15" t="str">
        <f aca="false">IF($A96="","",설비목록!$C93)</f>
        <v/>
      </c>
      <c r="D96" s="15" t="str">
        <f aca="false">IF($A96="","",설비목록!$D93)</f>
        <v/>
      </c>
      <c r="E96" s="22" t="str">
        <f aca="false">IF($A96="","",설비목록!$E93)</f>
        <v/>
      </c>
      <c r="F96" s="20" t="str">
        <f aca="false">IF($A96="","",IF(COUNTIFS(점검이력!$B$3:$B$802,$A96)=0,설비목록!$F93,_xlfn.MAXIFS(점검이력!$A$3:$A$802,점검이력!$B$3:$B$802,$A96)))</f>
        <v/>
      </c>
      <c r="G96" s="20" t="str">
        <f aca="false">IF(OR($A96="",$F96="",$E96=""),"",$F96+$E96)</f>
        <v/>
      </c>
      <c r="H96" s="21" t="str">
        <f aca="true">IF($G96="","",$G96-TODAY())</f>
        <v/>
      </c>
      <c r="I96" s="22" t="str">
        <f aca="false">IF($A96="","",COUNTIFS(점검이력!$B$3:$B$802,$A96))</f>
        <v/>
      </c>
      <c r="J96" s="22" t="str">
        <f aca="false">IF($H96="","",IF($H96&lt;0,"기한초과",IF($H96&lt;=사용안내!$C$17,"임박","정상")))</f>
        <v/>
      </c>
    </row>
    <row r="97" customFormat="false" ht="15" hidden="false" customHeight="true" outlineLevel="0" collapsed="false">
      <c r="A97" s="15" t="str">
        <f aca="false">IF(설비목록!$A94="","",설비목록!$A94)</f>
        <v/>
      </c>
      <c r="B97" s="15" t="str">
        <f aca="false">IF($A97="","",설비목록!$B94)</f>
        <v/>
      </c>
      <c r="C97" s="15" t="str">
        <f aca="false">IF($A97="","",설비목록!$C94)</f>
        <v/>
      </c>
      <c r="D97" s="15" t="str">
        <f aca="false">IF($A97="","",설비목록!$D94)</f>
        <v/>
      </c>
      <c r="E97" s="22" t="str">
        <f aca="false">IF($A97="","",설비목록!$E94)</f>
        <v/>
      </c>
      <c r="F97" s="20" t="str">
        <f aca="false">IF($A97="","",IF(COUNTIFS(점검이력!$B$3:$B$802,$A97)=0,설비목록!$F94,_xlfn.MAXIFS(점검이력!$A$3:$A$802,점검이력!$B$3:$B$802,$A97)))</f>
        <v/>
      </c>
      <c r="G97" s="20" t="str">
        <f aca="false">IF(OR($A97="",$F97="",$E97=""),"",$F97+$E97)</f>
        <v/>
      </c>
      <c r="H97" s="21" t="str">
        <f aca="true">IF($G97="","",$G97-TODAY())</f>
        <v/>
      </c>
      <c r="I97" s="22" t="str">
        <f aca="false">IF($A97="","",COUNTIFS(점검이력!$B$3:$B$802,$A97))</f>
        <v/>
      </c>
      <c r="J97" s="22" t="str">
        <f aca="false">IF($H97="","",IF($H97&lt;0,"기한초과",IF($H97&lt;=사용안내!$C$17,"임박","정상")))</f>
        <v/>
      </c>
    </row>
    <row r="98" customFormat="false" ht="15" hidden="false" customHeight="true" outlineLevel="0" collapsed="false">
      <c r="A98" s="15" t="str">
        <f aca="false">IF(설비목록!$A95="","",설비목록!$A95)</f>
        <v/>
      </c>
      <c r="B98" s="15" t="str">
        <f aca="false">IF($A98="","",설비목록!$B95)</f>
        <v/>
      </c>
      <c r="C98" s="15" t="str">
        <f aca="false">IF($A98="","",설비목록!$C95)</f>
        <v/>
      </c>
      <c r="D98" s="15" t="str">
        <f aca="false">IF($A98="","",설비목록!$D95)</f>
        <v/>
      </c>
      <c r="E98" s="22" t="str">
        <f aca="false">IF($A98="","",설비목록!$E95)</f>
        <v/>
      </c>
      <c r="F98" s="20" t="str">
        <f aca="false">IF($A98="","",IF(COUNTIFS(점검이력!$B$3:$B$802,$A98)=0,설비목록!$F95,_xlfn.MAXIFS(점검이력!$A$3:$A$802,점검이력!$B$3:$B$802,$A98)))</f>
        <v/>
      </c>
      <c r="G98" s="20" t="str">
        <f aca="false">IF(OR($A98="",$F98="",$E98=""),"",$F98+$E98)</f>
        <v/>
      </c>
      <c r="H98" s="21" t="str">
        <f aca="true">IF($G98="","",$G98-TODAY())</f>
        <v/>
      </c>
      <c r="I98" s="22" t="str">
        <f aca="false">IF($A98="","",COUNTIFS(점검이력!$B$3:$B$802,$A98))</f>
        <v/>
      </c>
      <c r="J98" s="22" t="str">
        <f aca="false">IF($H98="","",IF($H98&lt;0,"기한초과",IF($H98&lt;=사용안내!$C$17,"임박","정상")))</f>
        <v/>
      </c>
    </row>
    <row r="99" customFormat="false" ht="15" hidden="false" customHeight="true" outlineLevel="0" collapsed="false">
      <c r="A99" s="15" t="str">
        <f aca="false">IF(설비목록!$A96="","",설비목록!$A96)</f>
        <v/>
      </c>
      <c r="B99" s="15" t="str">
        <f aca="false">IF($A99="","",설비목록!$B96)</f>
        <v/>
      </c>
      <c r="C99" s="15" t="str">
        <f aca="false">IF($A99="","",설비목록!$C96)</f>
        <v/>
      </c>
      <c r="D99" s="15" t="str">
        <f aca="false">IF($A99="","",설비목록!$D96)</f>
        <v/>
      </c>
      <c r="E99" s="22" t="str">
        <f aca="false">IF($A99="","",설비목록!$E96)</f>
        <v/>
      </c>
      <c r="F99" s="20" t="str">
        <f aca="false">IF($A99="","",IF(COUNTIFS(점검이력!$B$3:$B$802,$A99)=0,설비목록!$F96,_xlfn.MAXIFS(점검이력!$A$3:$A$802,점검이력!$B$3:$B$802,$A99)))</f>
        <v/>
      </c>
      <c r="G99" s="20" t="str">
        <f aca="false">IF(OR($A99="",$F99="",$E99=""),"",$F99+$E99)</f>
        <v/>
      </c>
      <c r="H99" s="21" t="str">
        <f aca="true">IF($G99="","",$G99-TODAY())</f>
        <v/>
      </c>
      <c r="I99" s="22" t="str">
        <f aca="false">IF($A99="","",COUNTIFS(점검이력!$B$3:$B$802,$A99))</f>
        <v/>
      </c>
      <c r="J99" s="22" t="str">
        <f aca="false">IF($H99="","",IF($H99&lt;0,"기한초과",IF($H99&lt;=사용안내!$C$17,"임박","정상")))</f>
        <v/>
      </c>
    </row>
    <row r="100" customFormat="false" ht="15" hidden="false" customHeight="true" outlineLevel="0" collapsed="false">
      <c r="A100" s="15" t="str">
        <f aca="false">IF(설비목록!$A97="","",설비목록!$A97)</f>
        <v/>
      </c>
      <c r="B100" s="15" t="str">
        <f aca="false">IF($A100="","",설비목록!$B97)</f>
        <v/>
      </c>
      <c r="C100" s="15" t="str">
        <f aca="false">IF($A100="","",설비목록!$C97)</f>
        <v/>
      </c>
      <c r="D100" s="15" t="str">
        <f aca="false">IF($A100="","",설비목록!$D97)</f>
        <v/>
      </c>
      <c r="E100" s="22" t="str">
        <f aca="false">IF($A100="","",설비목록!$E97)</f>
        <v/>
      </c>
      <c r="F100" s="20" t="str">
        <f aca="false">IF($A100="","",IF(COUNTIFS(점검이력!$B$3:$B$802,$A100)=0,설비목록!$F97,_xlfn.MAXIFS(점검이력!$A$3:$A$802,점검이력!$B$3:$B$802,$A100)))</f>
        <v/>
      </c>
      <c r="G100" s="20" t="str">
        <f aca="false">IF(OR($A100="",$F100="",$E100=""),"",$F100+$E100)</f>
        <v/>
      </c>
      <c r="H100" s="21" t="str">
        <f aca="true">IF($G100="","",$G100-TODAY())</f>
        <v/>
      </c>
      <c r="I100" s="22" t="str">
        <f aca="false">IF($A100="","",COUNTIFS(점검이력!$B$3:$B$802,$A100))</f>
        <v/>
      </c>
      <c r="J100" s="22" t="str">
        <f aca="false">IF($H100="","",IF($H100&lt;0,"기한초과",IF($H100&lt;=사용안내!$C$17,"임박","정상")))</f>
        <v/>
      </c>
    </row>
    <row r="101" customFormat="false" ht="15" hidden="false" customHeight="true" outlineLevel="0" collapsed="false">
      <c r="A101" s="15" t="str">
        <f aca="false">IF(설비목록!$A98="","",설비목록!$A98)</f>
        <v/>
      </c>
      <c r="B101" s="15" t="str">
        <f aca="false">IF($A101="","",설비목록!$B98)</f>
        <v/>
      </c>
      <c r="C101" s="15" t="str">
        <f aca="false">IF($A101="","",설비목록!$C98)</f>
        <v/>
      </c>
      <c r="D101" s="15" t="str">
        <f aca="false">IF($A101="","",설비목록!$D98)</f>
        <v/>
      </c>
      <c r="E101" s="22" t="str">
        <f aca="false">IF($A101="","",설비목록!$E98)</f>
        <v/>
      </c>
      <c r="F101" s="20" t="str">
        <f aca="false">IF($A101="","",IF(COUNTIFS(점검이력!$B$3:$B$802,$A101)=0,설비목록!$F98,_xlfn.MAXIFS(점검이력!$A$3:$A$802,점검이력!$B$3:$B$802,$A101)))</f>
        <v/>
      </c>
      <c r="G101" s="20" t="str">
        <f aca="false">IF(OR($A101="",$F101="",$E101=""),"",$F101+$E101)</f>
        <v/>
      </c>
      <c r="H101" s="21" t="str">
        <f aca="true">IF($G101="","",$G101-TODAY())</f>
        <v/>
      </c>
      <c r="I101" s="22" t="str">
        <f aca="false">IF($A101="","",COUNTIFS(점검이력!$B$3:$B$802,$A101))</f>
        <v/>
      </c>
      <c r="J101" s="22" t="str">
        <f aca="false">IF($H101="","",IF($H101&lt;0,"기한초과",IF($H101&lt;=사용안내!$C$17,"임박","정상")))</f>
        <v/>
      </c>
    </row>
    <row r="102" customFormat="false" ht="15" hidden="false" customHeight="true" outlineLevel="0" collapsed="false">
      <c r="A102" s="15" t="str">
        <f aca="false">IF(설비목록!$A99="","",설비목록!$A99)</f>
        <v/>
      </c>
      <c r="B102" s="15" t="str">
        <f aca="false">IF($A102="","",설비목록!$B99)</f>
        <v/>
      </c>
      <c r="C102" s="15" t="str">
        <f aca="false">IF($A102="","",설비목록!$C99)</f>
        <v/>
      </c>
      <c r="D102" s="15" t="str">
        <f aca="false">IF($A102="","",설비목록!$D99)</f>
        <v/>
      </c>
      <c r="E102" s="22" t="str">
        <f aca="false">IF($A102="","",설비목록!$E99)</f>
        <v/>
      </c>
      <c r="F102" s="20" t="str">
        <f aca="false">IF($A102="","",IF(COUNTIFS(점검이력!$B$3:$B$802,$A102)=0,설비목록!$F99,_xlfn.MAXIFS(점검이력!$A$3:$A$802,점검이력!$B$3:$B$802,$A102)))</f>
        <v/>
      </c>
      <c r="G102" s="20" t="str">
        <f aca="false">IF(OR($A102="",$F102="",$E102=""),"",$F102+$E102)</f>
        <v/>
      </c>
      <c r="H102" s="21" t="str">
        <f aca="true">IF($G102="","",$G102-TODAY())</f>
        <v/>
      </c>
      <c r="I102" s="22" t="str">
        <f aca="false">IF($A102="","",COUNTIFS(점검이력!$B$3:$B$802,$A102))</f>
        <v/>
      </c>
      <c r="J102" s="22" t="str">
        <f aca="false">IF($H102="","",IF($H102&lt;0,"기한초과",IF($H102&lt;=사용안내!$C$17,"임박","정상")))</f>
        <v/>
      </c>
    </row>
    <row r="103" customFormat="false" ht="15" hidden="false" customHeight="true" outlineLevel="0" collapsed="false">
      <c r="A103" s="15" t="str">
        <f aca="false">IF(설비목록!$A100="","",설비목록!$A100)</f>
        <v/>
      </c>
      <c r="B103" s="15" t="str">
        <f aca="false">IF($A103="","",설비목록!$B100)</f>
        <v/>
      </c>
      <c r="C103" s="15" t="str">
        <f aca="false">IF($A103="","",설비목록!$C100)</f>
        <v/>
      </c>
      <c r="D103" s="15" t="str">
        <f aca="false">IF($A103="","",설비목록!$D100)</f>
        <v/>
      </c>
      <c r="E103" s="22" t="str">
        <f aca="false">IF($A103="","",설비목록!$E100)</f>
        <v/>
      </c>
      <c r="F103" s="20" t="str">
        <f aca="false">IF($A103="","",IF(COUNTIFS(점검이력!$B$3:$B$802,$A103)=0,설비목록!$F100,_xlfn.MAXIFS(점검이력!$A$3:$A$802,점검이력!$B$3:$B$802,$A103)))</f>
        <v/>
      </c>
      <c r="G103" s="20" t="str">
        <f aca="false">IF(OR($A103="",$F103="",$E103=""),"",$F103+$E103)</f>
        <v/>
      </c>
      <c r="H103" s="21" t="str">
        <f aca="true">IF($G103="","",$G103-TODAY())</f>
        <v/>
      </c>
      <c r="I103" s="22" t="str">
        <f aca="false">IF($A103="","",COUNTIFS(점검이력!$B$3:$B$802,$A103))</f>
        <v/>
      </c>
      <c r="J103" s="22" t="str">
        <f aca="false">IF($H103="","",IF($H103&lt;0,"기한초과",IF($H103&lt;=사용안내!$C$17,"임박","정상")))</f>
        <v/>
      </c>
    </row>
    <row r="104" customFormat="false" ht="15" hidden="false" customHeight="true" outlineLevel="0" collapsed="false">
      <c r="A104" s="15" t="str">
        <f aca="false">IF(설비목록!$A101="","",설비목록!$A101)</f>
        <v/>
      </c>
      <c r="B104" s="15" t="str">
        <f aca="false">IF($A104="","",설비목록!$B101)</f>
        <v/>
      </c>
      <c r="C104" s="15" t="str">
        <f aca="false">IF($A104="","",설비목록!$C101)</f>
        <v/>
      </c>
      <c r="D104" s="15" t="str">
        <f aca="false">IF($A104="","",설비목록!$D101)</f>
        <v/>
      </c>
      <c r="E104" s="22" t="str">
        <f aca="false">IF($A104="","",설비목록!$E101)</f>
        <v/>
      </c>
      <c r="F104" s="20" t="str">
        <f aca="false">IF($A104="","",IF(COUNTIFS(점검이력!$B$3:$B$802,$A104)=0,설비목록!$F101,_xlfn.MAXIFS(점검이력!$A$3:$A$802,점검이력!$B$3:$B$802,$A104)))</f>
        <v/>
      </c>
      <c r="G104" s="20" t="str">
        <f aca="false">IF(OR($A104="",$F104="",$E104=""),"",$F104+$E104)</f>
        <v/>
      </c>
      <c r="H104" s="21" t="str">
        <f aca="true">IF($G104="","",$G104-TODAY())</f>
        <v/>
      </c>
      <c r="I104" s="22" t="str">
        <f aca="false">IF($A104="","",COUNTIFS(점검이력!$B$3:$B$802,$A104))</f>
        <v/>
      </c>
      <c r="J104" s="22" t="str">
        <f aca="false">IF($H104="","",IF($H104&lt;0,"기한초과",IF($H104&lt;=사용안내!$C$17,"임박","정상")))</f>
        <v/>
      </c>
    </row>
    <row r="105" customFormat="false" ht="15" hidden="false" customHeight="true" outlineLevel="0" collapsed="false">
      <c r="A105" s="15" t="str">
        <f aca="false">IF(설비목록!$A102="","",설비목록!$A102)</f>
        <v/>
      </c>
      <c r="B105" s="15" t="str">
        <f aca="false">IF($A105="","",설비목록!$B102)</f>
        <v/>
      </c>
      <c r="C105" s="15" t="str">
        <f aca="false">IF($A105="","",설비목록!$C102)</f>
        <v/>
      </c>
      <c r="D105" s="15" t="str">
        <f aca="false">IF($A105="","",설비목록!$D102)</f>
        <v/>
      </c>
      <c r="E105" s="22" t="str">
        <f aca="false">IF($A105="","",설비목록!$E102)</f>
        <v/>
      </c>
      <c r="F105" s="20" t="str">
        <f aca="false">IF($A105="","",IF(COUNTIFS(점검이력!$B$3:$B$802,$A105)=0,설비목록!$F102,_xlfn.MAXIFS(점검이력!$A$3:$A$802,점검이력!$B$3:$B$802,$A105)))</f>
        <v/>
      </c>
      <c r="G105" s="20" t="str">
        <f aca="false">IF(OR($A105="",$F105="",$E105=""),"",$F105+$E105)</f>
        <v/>
      </c>
      <c r="H105" s="21" t="str">
        <f aca="true">IF($G105="","",$G105-TODAY())</f>
        <v/>
      </c>
      <c r="I105" s="22" t="str">
        <f aca="false">IF($A105="","",COUNTIFS(점검이력!$B$3:$B$802,$A105))</f>
        <v/>
      </c>
      <c r="J105" s="22" t="str">
        <f aca="false">IF($H105="","",IF($H105&lt;0,"기한초과",IF($H105&lt;=사용안내!$C$17,"임박","정상")))</f>
        <v/>
      </c>
    </row>
    <row r="106" customFormat="false" ht="15" hidden="false" customHeight="true" outlineLevel="0" collapsed="false">
      <c r="A106" s="15" t="str">
        <f aca="false">IF(설비목록!$A103="","",설비목록!$A103)</f>
        <v/>
      </c>
      <c r="B106" s="15" t="str">
        <f aca="false">IF($A106="","",설비목록!$B103)</f>
        <v/>
      </c>
      <c r="C106" s="15" t="str">
        <f aca="false">IF($A106="","",설비목록!$C103)</f>
        <v/>
      </c>
      <c r="D106" s="15" t="str">
        <f aca="false">IF($A106="","",설비목록!$D103)</f>
        <v/>
      </c>
      <c r="E106" s="22" t="str">
        <f aca="false">IF($A106="","",설비목록!$E103)</f>
        <v/>
      </c>
      <c r="F106" s="20" t="str">
        <f aca="false">IF($A106="","",IF(COUNTIFS(점검이력!$B$3:$B$802,$A106)=0,설비목록!$F103,_xlfn.MAXIFS(점검이력!$A$3:$A$802,점검이력!$B$3:$B$802,$A106)))</f>
        <v/>
      </c>
      <c r="G106" s="20" t="str">
        <f aca="false">IF(OR($A106="",$F106="",$E106=""),"",$F106+$E106)</f>
        <v/>
      </c>
      <c r="H106" s="21" t="str">
        <f aca="true">IF($G106="","",$G106-TODAY())</f>
        <v/>
      </c>
      <c r="I106" s="22" t="str">
        <f aca="false">IF($A106="","",COUNTIFS(점검이력!$B$3:$B$802,$A106))</f>
        <v/>
      </c>
      <c r="J106" s="22" t="str">
        <f aca="false">IF($H106="","",IF($H106&lt;0,"기한초과",IF($H106&lt;=사용안내!$C$17,"임박","정상")))</f>
        <v/>
      </c>
    </row>
    <row r="107" customFormat="false" ht="15" hidden="false" customHeight="true" outlineLevel="0" collapsed="false">
      <c r="A107" s="15" t="str">
        <f aca="false">IF(설비목록!$A104="","",설비목록!$A104)</f>
        <v/>
      </c>
      <c r="B107" s="15" t="str">
        <f aca="false">IF($A107="","",설비목록!$B104)</f>
        <v/>
      </c>
      <c r="C107" s="15" t="str">
        <f aca="false">IF($A107="","",설비목록!$C104)</f>
        <v/>
      </c>
      <c r="D107" s="15" t="str">
        <f aca="false">IF($A107="","",설비목록!$D104)</f>
        <v/>
      </c>
      <c r="E107" s="22" t="str">
        <f aca="false">IF($A107="","",설비목록!$E104)</f>
        <v/>
      </c>
      <c r="F107" s="20" t="str">
        <f aca="false">IF($A107="","",IF(COUNTIFS(점검이력!$B$3:$B$802,$A107)=0,설비목록!$F104,_xlfn.MAXIFS(점검이력!$A$3:$A$802,점검이력!$B$3:$B$802,$A107)))</f>
        <v/>
      </c>
      <c r="G107" s="20" t="str">
        <f aca="false">IF(OR($A107="",$F107="",$E107=""),"",$F107+$E107)</f>
        <v/>
      </c>
      <c r="H107" s="21" t="str">
        <f aca="true">IF($G107="","",$G107-TODAY())</f>
        <v/>
      </c>
      <c r="I107" s="22" t="str">
        <f aca="false">IF($A107="","",COUNTIFS(점검이력!$B$3:$B$802,$A107))</f>
        <v/>
      </c>
      <c r="J107" s="22" t="str">
        <f aca="false">IF($H107="","",IF($H107&lt;0,"기한초과",IF($H107&lt;=사용안내!$C$17,"임박","정상")))</f>
        <v/>
      </c>
    </row>
    <row r="108" customFormat="false" ht="15" hidden="false" customHeight="true" outlineLevel="0" collapsed="false">
      <c r="A108" s="15" t="str">
        <f aca="false">IF(설비목록!$A105="","",설비목록!$A105)</f>
        <v/>
      </c>
      <c r="B108" s="15" t="str">
        <f aca="false">IF($A108="","",설비목록!$B105)</f>
        <v/>
      </c>
      <c r="C108" s="15" t="str">
        <f aca="false">IF($A108="","",설비목록!$C105)</f>
        <v/>
      </c>
      <c r="D108" s="15" t="str">
        <f aca="false">IF($A108="","",설비목록!$D105)</f>
        <v/>
      </c>
      <c r="E108" s="22" t="str">
        <f aca="false">IF($A108="","",설비목록!$E105)</f>
        <v/>
      </c>
      <c r="F108" s="20" t="str">
        <f aca="false">IF($A108="","",IF(COUNTIFS(점검이력!$B$3:$B$802,$A108)=0,설비목록!$F105,_xlfn.MAXIFS(점검이력!$A$3:$A$802,점검이력!$B$3:$B$802,$A108)))</f>
        <v/>
      </c>
      <c r="G108" s="20" t="str">
        <f aca="false">IF(OR($A108="",$F108="",$E108=""),"",$F108+$E108)</f>
        <v/>
      </c>
      <c r="H108" s="21" t="str">
        <f aca="true">IF($G108="","",$G108-TODAY())</f>
        <v/>
      </c>
      <c r="I108" s="22" t="str">
        <f aca="false">IF($A108="","",COUNTIFS(점검이력!$B$3:$B$802,$A108))</f>
        <v/>
      </c>
      <c r="J108" s="22" t="str">
        <f aca="false">IF($H108="","",IF($H108&lt;0,"기한초과",IF($H108&lt;=사용안내!$C$17,"임박","정상")))</f>
        <v/>
      </c>
    </row>
    <row r="109" customFormat="false" ht="15" hidden="false" customHeight="true" outlineLevel="0" collapsed="false">
      <c r="A109" s="15" t="str">
        <f aca="false">IF(설비목록!$A106="","",설비목록!$A106)</f>
        <v/>
      </c>
      <c r="B109" s="15" t="str">
        <f aca="false">IF($A109="","",설비목록!$B106)</f>
        <v/>
      </c>
      <c r="C109" s="15" t="str">
        <f aca="false">IF($A109="","",설비목록!$C106)</f>
        <v/>
      </c>
      <c r="D109" s="15" t="str">
        <f aca="false">IF($A109="","",설비목록!$D106)</f>
        <v/>
      </c>
      <c r="E109" s="22" t="str">
        <f aca="false">IF($A109="","",설비목록!$E106)</f>
        <v/>
      </c>
      <c r="F109" s="20" t="str">
        <f aca="false">IF($A109="","",IF(COUNTIFS(점검이력!$B$3:$B$802,$A109)=0,설비목록!$F106,_xlfn.MAXIFS(점검이력!$A$3:$A$802,점검이력!$B$3:$B$802,$A109)))</f>
        <v/>
      </c>
      <c r="G109" s="20" t="str">
        <f aca="false">IF(OR($A109="",$F109="",$E109=""),"",$F109+$E109)</f>
        <v/>
      </c>
      <c r="H109" s="21" t="str">
        <f aca="true">IF($G109="","",$G109-TODAY())</f>
        <v/>
      </c>
      <c r="I109" s="22" t="str">
        <f aca="false">IF($A109="","",COUNTIFS(점검이력!$B$3:$B$802,$A109))</f>
        <v/>
      </c>
      <c r="J109" s="22" t="str">
        <f aca="false">IF($H109="","",IF($H109&lt;0,"기한초과",IF($H109&lt;=사용안내!$C$17,"임박","정상")))</f>
        <v/>
      </c>
    </row>
    <row r="110" customFormat="false" ht="15" hidden="false" customHeight="true" outlineLevel="0" collapsed="false">
      <c r="A110" s="15" t="str">
        <f aca="false">IF(설비목록!$A107="","",설비목록!$A107)</f>
        <v/>
      </c>
      <c r="B110" s="15" t="str">
        <f aca="false">IF($A110="","",설비목록!$B107)</f>
        <v/>
      </c>
      <c r="C110" s="15" t="str">
        <f aca="false">IF($A110="","",설비목록!$C107)</f>
        <v/>
      </c>
      <c r="D110" s="15" t="str">
        <f aca="false">IF($A110="","",설비목록!$D107)</f>
        <v/>
      </c>
      <c r="E110" s="22" t="str">
        <f aca="false">IF($A110="","",설비목록!$E107)</f>
        <v/>
      </c>
      <c r="F110" s="20" t="str">
        <f aca="false">IF($A110="","",IF(COUNTIFS(점검이력!$B$3:$B$802,$A110)=0,설비목록!$F107,_xlfn.MAXIFS(점검이력!$A$3:$A$802,점검이력!$B$3:$B$802,$A110)))</f>
        <v/>
      </c>
      <c r="G110" s="20" t="str">
        <f aca="false">IF(OR($A110="",$F110="",$E110=""),"",$F110+$E110)</f>
        <v/>
      </c>
      <c r="H110" s="21" t="str">
        <f aca="true">IF($G110="","",$G110-TODAY())</f>
        <v/>
      </c>
      <c r="I110" s="22" t="str">
        <f aca="false">IF($A110="","",COUNTIFS(점검이력!$B$3:$B$802,$A110))</f>
        <v/>
      </c>
      <c r="J110" s="22" t="str">
        <f aca="false">IF($H110="","",IF($H110&lt;0,"기한초과",IF($H110&lt;=사용안내!$C$17,"임박","정상")))</f>
        <v/>
      </c>
    </row>
    <row r="111" customFormat="false" ht="15" hidden="false" customHeight="true" outlineLevel="0" collapsed="false">
      <c r="A111" s="15" t="str">
        <f aca="false">IF(설비목록!$A108="","",설비목록!$A108)</f>
        <v/>
      </c>
      <c r="B111" s="15" t="str">
        <f aca="false">IF($A111="","",설비목록!$B108)</f>
        <v/>
      </c>
      <c r="C111" s="15" t="str">
        <f aca="false">IF($A111="","",설비목록!$C108)</f>
        <v/>
      </c>
      <c r="D111" s="15" t="str">
        <f aca="false">IF($A111="","",설비목록!$D108)</f>
        <v/>
      </c>
      <c r="E111" s="22" t="str">
        <f aca="false">IF($A111="","",설비목록!$E108)</f>
        <v/>
      </c>
      <c r="F111" s="20" t="str">
        <f aca="false">IF($A111="","",IF(COUNTIFS(점검이력!$B$3:$B$802,$A111)=0,설비목록!$F108,_xlfn.MAXIFS(점검이력!$A$3:$A$802,점검이력!$B$3:$B$802,$A111)))</f>
        <v/>
      </c>
      <c r="G111" s="20" t="str">
        <f aca="false">IF(OR($A111="",$F111="",$E111=""),"",$F111+$E111)</f>
        <v/>
      </c>
      <c r="H111" s="21" t="str">
        <f aca="true">IF($G111="","",$G111-TODAY())</f>
        <v/>
      </c>
      <c r="I111" s="22" t="str">
        <f aca="false">IF($A111="","",COUNTIFS(점검이력!$B$3:$B$802,$A111))</f>
        <v/>
      </c>
      <c r="J111" s="22" t="str">
        <f aca="false">IF($H111="","",IF($H111&lt;0,"기한초과",IF($H111&lt;=사용안내!$C$17,"임박","정상")))</f>
        <v/>
      </c>
    </row>
    <row r="112" customFormat="false" ht="15" hidden="false" customHeight="true" outlineLevel="0" collapsed="false">
      <c r="A112" s="15" t="str">
        <f aca="false">IF(설비목록!$A109="","",설비목록!$A109)</f>
        <v/>
      </c>
      <c r="B112" s="15" t="str">
        <f aca="false">IF($A112="","",설비목록!$B109)</f>
        <v/>
      </c>
      <c r="C112" s="15" t="str">
        <f aca="false">IF($A112="","",설비목록!$C109)</f>
        <v/>
      </c>
      <c r="D112" s="15" t="str">
        <f aca="false">IF($A112="","",설비목록!$D109)</f>
        <v/>
      </c>
      <c r="E112" s="22" t="str">
        <f aca="false">IF($A112="","",설비목록!$E109)</f>
        <v/>
      </c>
      <c r="F112" s="20" t="str">
        <f aca="false">IF($A112="","",IF(COUNTIFS(점검이력!$B$3:$B$802,$A112)=0,설비목록!$F109,_xlfn.MAXIFS(점검이력!$A$3:$A$802,점검이력!$B$3:$B$802,$A112)))</f>
        <v/>
      </c>
      <c r="G112" s="20" t="str">
        <f aca="false">IF(OR($A112="",$F112="",$E112=""),"",$F112+$E112)</f>
        <v/>
      </c>
      <c r="H112" s="21" t="str">
        <f aca="true">IF($G112="","",$G112-TODAY())</f>
        <v/>
      </c>
      <c r="I112" s="22" t="str">
        <f aca="false">IF($A112="","",COUNTIFS(점검이력!$B$3:$B$802,$A112))</f>
        <v/>
      </c>
      <c r="J112" s="22" t="str">
        <f aca="false">IF($H112="","",IF($H112&lt;0,"기한초과",IF($H112&lt;=사용안내!$C$17,"임박","정상")))</f>
        <v/>
      </c>
    </row>
    <row r="113" customFormat="false" ht="15" hidden="false" customHeight="true" outlineLevel="0" collapsed="false">
      <c r="A113" s="15" t="str">
        <f aca="false">IF(설비목록!$A110="","",설비목록!$A110)</f>
        <v/>
      </c>
      <c r="B113" s="15" t="str">
        <f aca="false">IF($A113="","",설비목록!$B110)</f>
        <v/>
      </c>
      <c r="C113" s="15" t="str">
        <f aca="false">IF($A113="","",설비목록!$C110)</f>
        <v/>
      </c>
      <c r="D113" s="15" t="str">
        <f aca="false">IF($A113="","",설비목록!$D110)</f>
        <v/>
      </c>
      <c r="E113" s="22" t="str">
        <f aca="false">IF($A113="","",설비목록!$E110)</f>
        <v/>
      </c>
      <c r="F113" s="20" t="str">
        <f aca="false">IF($A113="","",IF(COUNTIFS(점검이력!$B$3:$B$802,$A113)=0,설비목록!$F110,_xlfn.MAXIFS(점검이력!$A$3:$A$802,점검이력!$B$3:$B$802,$A113)))</f>
        <v/>
      </c>
      <c r="G113" s="20" t="str">
        <f aca="false">IF(OR($A113="",$F113="",$E113=""),"",$F113+$E113)</f>
        <v/>
      </c>
      <c r="H113" s="21" t="str">
        <f aca="true">IF($G113="","",$G113-TODAY())</f>
        <v/>
      </c>
      <c r="I113" s="22" t="str">
        <f aca="false">IF($A113="","",COUNTIFS(점검이력!$B$3:$B$802,$A113))</f>
        <v/>
      </c>
      <c r="J113" s="22" t="str">
        <f aca="false">IF($H113="","",IF($H113&lt;0,"기한초과",IF($H113&lt;=사용안내!$C$17,"임박","정상")))</f>
        <v/>
      </c>
    </row>
    <row r="114" customFormat="false" ht="15" hidden="false" customHeight="true" outlineLevel="0" collapsed="false">
      <c r="A114" s="15" t="str">
        <f aca="false">IF(설비목록!$A111="","",설비목록!$A111)</f>
        <v/>
      </c>
      <c r="B114" s="15" t="str">
        <f aca="false">IF($A114="","",설비목록!$B111)</f>
        <v/>
      </c>
      <c r="C114" s="15" t="str">
        <f aca="false">IF($A114="","",설비목록!$C111)</f>
        <v/>
      </c>
      <c r="D114" s="15" t="str">
        <f aca="false">IF($A114="","",설비목록!$D111)</f>
        <v/>
      </c>
      <c r="E114" s="22" t="str">
        <f aca="false">IF($A114="","",설비목록!$E111)</f>
        <v/>
      </c>
      <c r="F114" s="20" t="str">
        <f aca="false">IF($A114="","",IF(COUNTIFS(점검이력!$B$3:$B$802,$A114)=0,설비목록!$F111,_xlfn.MAXIFS(점검이력!$A$3:$A$802,점검이력!$B$3:$B$802,$A114)))</f>
        <v/>
      </c>
      <c r="G114" s="20" t="str">
        <f aca="false">IF(OR($A114="",$F114="",$E114=""),"",$F114+$E114)</f>
        <v/>
      </c>
      <c r="H114" s="21" t="str">
        <f aca="true">IF($G114="","",$G114-TODAY())</f>
        <v/>
      </c>
      <c r="I114" s="22" t="str">
        <f aca="false">IF($A114="","",COUNTIFS(점검이력!$B$3:$B$802,$A114))</f>
        <v/>
      </c>
      <c r="J114" s="22" t="str">
        <f aca="false">IF($H114="","",IF($H114&lt;0,"기한초과",IF($H114&lt;=사용안내!$C$17,"임박","정상")))</f>
        <v/>
      </c>
    </row>
    <row r="115" customFormat="false" ht="15" hidden="false" customHeight="true" outlineLevel="0" collapsed="false">
      <c r="A115" s="15" t="str">
        <f aca="false">IF(설비목록!$A112="","",설비목록!$A112)</f>
        <v/>
      </c>
      <c r="B115" s="15" t="str">
        <f aca="false">IF($A115="","",설비목록!$B112)</f>
        <v/>
      </c>
      <c r="C115" s="15" t="str">
        <f aca="false">IF($A115="","",설비목록!$C112)</f>
        <v/>
      </c>
      <c r="D115" s="15" t="str">
        <f aca="false">IF($A115="","",설비목록!$D112)</f>
        <v/>
      </c>
      <c r="E115" s="22" t="str">
        <f aca="false">IF($A115="","",설비목록!$E112)</f>
        <v/>
      </c>
      <c r="F115" s="20" t="str">
        <f aca="false">IF($A115="","",IF(COUNTIFS(점검이력!$B$3:$B$802,$A115)=0,설비목록!$F112,_xlfn.MAXIFS(점검이력!$A$3:$A$802,점검이력!$B$3:$B$802,$A115)))</f>
        <v/>
      </c>
      <c r="G115" s="20" t="str">
        <f aca="false">IF(OR($A115="",$F115="",$E115=""),"",$F115+$E115)</f>
        <v/>
      </c>
      <c r="H115" s="21" t="str">
        <f aca="true">IF($G115="","",$G115-TODAY())</f>
        <v/>
      </c>
      <c r="I115" s="22" t="str">
        <f aca="false">IF($A115="","",COUNTIFS(점검이력!$B$3:$B$802,$A115))</f>
        <v/>
      </c>
      <c r="J115" s="22" t="str">
        <f aca="false">IF($H115="","",IF($H115&lt;0,"기한초과",IF($H115&lt;=사용안내!$C$17,"임박","정상")))</f>
        <v/>
      </c>
    </row>
    <row r="116" customFormat="false" ht="15" hidden="false" customHeight="true" outlineLevel="0" collapsed="false">
      <c r="A116" s="15" t="str">
        <f aca="false">IF(설비목록!$A113="","",설비목록!$A113)</f>
        <v/>
      </c>
      <c r="B116" s="15" t="str">
        <f aca="false">IF($A116="","",설비목록!$B113)</f>
        <v/>
      </c>
      <c r="C116" s="15" t="str">
        <f aca="false">IF($A116="","",설비목록!$C113)</f>
        <v/>
      </c>
      <c r="D116" s="15" t="str">
        <f aca="false">IF($A116="","",설비목록!$D113)</f>
        <v/>
      </c>
      <c r="E116" s="22" t="str">
        <f aca="false">IF($A116="","",설비목록!$E113)</f>
        <v/>
      </c>
      <c r="F116" s="20" t="str">
        <f aca="false">IF($A116="","",IF(COUNTIFS(점검이력!$B$3:$B$802,$A116)=0,설비목록!$F113,_xlfn.MAXIFS(점검이력!$A$3:$A$802,점검이력!$B$3:$B$802,$A116)))</f>
        <v/>
      </c>
      <c r="G116" s="20" t="str">
        <f aca="false">IF(OR($A116="",$F116="",$E116=""),"",$F116+$E116)</f>
        <v/>
      </c>
      <c r="H116" s="21" t="str">
        <f aca="true">IF($G116="","",$G116-TODAY())</f>
        <v/>
      </c>
      <c r="I116" s="22" t="str">
        <f aca="false">IF($A116="","",COUNTIFS(점검이력!$B$3:$B$802,$A116))</f>
        <v/>
      </c>
      <c r="J116" s="22" t="str">
        <f aca="false">IF($H116="","",IF($H116&lt;0,"기한초과",IF($H116&lt;=사용안내!$C$17,"임박","정상")))</f>
        <v/>
      </c>
    </row>
    <row r="117" customFormat="false" ht="15" hidden="false" customHeight="true" outlineLevel="0" collapsed="false">
      <c r="A117" s="15" t="str">
        <f aca="false">IF(설비목록!$A114="","",설비목록!$A114)</f>
        <v/>
      </c>
      <c r="B117" s="15" t="str">
        <f aca="false">IF($A117="","",설비목록!$B114)</f>
        <v/>
      </c>
      <c r="C117" s="15" t="str">
        <f aca="false">IF($A117="","",설비목록!$C114)</f>
        <v/>
      </c>
      <c r="D117" s="15" t="str">
        <f aca="false">IF($A117="","",설비목록!$D114)</f>
        <v/>
      </c>
      <c r="E117" s="22" t="str">
        <f aca="false">IF($A117="","",설비목록!$E114)</f>
        <v/>
      </c>
      <c r="F117" s="20" t="str">
        <f aca="false">IF($A117="","",IF(COUNTIFS(점검이력!$B$3:$B$802,$A117)=0,설비목록!$F114,_xlfn.MAXIFS(점검이력!$A$3:$A$802,점검이력!$B$3:$B$802,$A117)))</f>
        <v/>
      </c>
      <c r="G117" s="20" t="str">
        <f aca="false">IF(OR($A117="",$F117="",$E117=""),"",$F117+$E117)</f>
        <v/>
      </c>
      <c r="H117" s="21" t="str">
        <f aca="true">IF($G117="","",$G117-TODAY())</f>
        <v/>
      </c>
      <c r="I117" s="22" t="str">
        <f aca="false">IF($A117="","",COUNTIFS(점검이력!$B$3:$B$802,$A117))</f>
        <v/>
      </c>
      <c r="J117" s="22" t="str">
        <f aca="false">IF($H117="","",IF($H117&lt;0,"기한초과",IF($H117&lt;=사용안내!$C$17,"임박","정상")))</f>
        <v/>
      </c>
    </row>
    <row r="118" customFormat="false" ht="15" hidden="false" customHeight="true" outlineLevel="0" collapsed="false">
      <c r="A118" s="15" t="str">
        <f aca="false">IF(설비목록!$A115="","",설비목록!$A115)</f>
        <v/>
      </c>
      <c r="B118" s="15" t="str">
        <f aca="false">IF($A118="","",설비목록!$B115)</f>
        <v/>
      </c>
      <c r="C118" s="15" t="str">
        <f aca="false">IF($A118="","",설비목록!$C115)</f>
        <v/>
      </c>
      <c r="D118" s="15" t="str">
        <f aca="false">IF($A118="","",설비목록!$D115)</f>
        <v/>
      </c>
      <c r="E118" s="22" t="str">
        <f aca="false">IF($A118="","",설비목록!$E115)</f>
        <v/>
      </c>
      <c r="F118" s="20" t="str">
        <f aca="false">IF($A118="","",IF(COUNTIFS(점검이력!$B$3:$B$802,$A118)=0,설비목록!$F115,_xlfn.MAXIFS(점검이력!$A$3:$A$802,점검이력!$B$3:$B$802,$A118)))</f>
        <v/>
      </c>
      <c r="G118" s="20" t="str">
        <f aca="false">IF(OR($A118="",$F118="",$E118=""),"",$F118+$E118)</f>
        <v/>
      </c>
      <c r="H118" s="21" t="str">
        <f aca="true">IF($G118="","",$G118-TODAY())</f>
        <v/>
      </c>
      <c r="I118" s="22" t="str">
        <f aca="false">IF($A118="","",COUNTIFS(점검이력!$B$3:$B$802,$A118))</f>
        <v/>
      </c>
      <c r="J118" s="22" t="str">
        <f aca="false">IF($H118="","",IF($H118&lt;0,"기한초과",IF($H118&lt;=사용안내!$C$17,"임박","정상")))</f>
        <v/>
      </c>
    </row>
    <row r="119" customFormat="false" ht="15" hidden="false" customHeight="true" outlineLevel="0" collapsed="false">
      <c r="A119" s="15" t="str">
        <f aca="false">IF(설비목록!$A116="","",설비목록!$A116)</f>
        <v/>
      </c>
      <c r="B119" s="15" t="str">
        <f aca="false">IF($A119="","",설비목록!$B116)</f>
        <v/>
      </c>
      <c r="C119" s="15" t="str">
        <f aca="false">IF($A119="","",설비목록!$C116)</f>
        <v/>
      </c>
      <c r="D119" s="15" t="str">
        <f aca="false">IF($A119="","",설비목록!$D116)</f>
        <v/>
      </c>
      <c r="E119" s="22" t="str">
        <f aca="false">IF($A119="","",설비목록!$E116)</f>
        <v/>
      </c>
      <c r="F119" s="20" t="str">
        <f aca="false">IF($A119="","",IF(COUNTIFS(점검이력!$B$3:$B$802,$A119)=0,설비목록!$F116,_xlfn.MAXIFS(점검이력!$A$3:$A$802,점검이력!$B$3:$B$802,$A119)))</f>
        <v/>
      </c>
      <c r="G119" s="20" t="str">
        <f aca="false">IF(OR($A119="",$F119="",$E119=""),"",$F119+$E119)</f>
        <v/>
      </c>
      <c r="H119" s="21" t="str">
        <f aca="true">IF($G119="","",$G119-TODAY())</f>
        <v/>
      </c>
      <c r="I119" s="22" t="str">
        <f aca="false">IF($A119="","",COUNTIFS(점검이력!$B$3:$B$802,$A119))</f>
        <v/>
      </c>
      <c r="J119" s="22" t="str">
        <f aca="false">IF($H119="","",IF($H119&lt;0,"기한초과",IF($H119&lt;=사용안내!$C$17,"임박","정상")))</f>
        <v/>
      </c>
    </row>
    <row r="120" customFormat="false" ht="15" hidden="false" customHeight="true" outlineLevel="0" collapsed="false">
      <c r="A120" s="15" t="str">
        <f aca="false">IF(설비목록!$A117="","",설비목록!$A117)</f>
        <v/>
      </c>
      <c r="B120" s="15" t="str">
        <f aca="false">IF($A120="","",설비목록!$B117)</f>
        <v/>
      </c>
      <c r="C120" s="15" t="str">
        <f aca="false">IF($A120="","",설비목록!$C117)</f>
        <v/>
      </c>
      <c r="D120" s="15" t="str">
        <f aca="false">IF($A120="","",설비목록!$D117)</f>
        <v/>
      </c>
      <c r="E120" s="22" t="str">
        <f aca="false">IF($A120="","",설비목록!$E117)</f>
        <v/>
      </c>
      <c r="F120" s="20" t="str">
        <f aca="false">IF($A120="","",IF(COUNTIFS(점검이력!$B$3:$B$802,$A120)=0,설비목록!$F117,_xlfn.MAXIFS(점검이력!$A$3:$A$802,점검이력!$B$3:$B$802,$A120)))</f>
        <v/>
      </c>
      <c r="G120" s="20" t="str">
        <f aca="false">IF(OR($A120="",$F120="",$E120=""),"",$F120+$E120)</f>
        <v/>
      </c>
      <c r="H120" s="21" t="str">
        <f aca="true">IF($G120="","",$G120-TODAY())</f>
        <v/>
      </c>
      <c r="I120" s="22" t="str">
        <f aca="false">IF($A120="","",COUNTIFS(점검이력!$B$3:$B$802,$A120))</f>
        <v/>
      </c>
      <c r="J120" s="22" t="str">
        <f aca="false">IF($H120="","",IF($H120&lt;0,"기한초과",IF($H120&lt;=사용안내!$C$17,"임박","정상")))</f>
        <v/>
      </c>
    </row>
    <row r="121" customFormat="false" ht="15" hidden="false" customHeight="true" outlineLevel="0" collapsed="false">
      <c r="A121" s="15" t="str">
        <f aca="false">IF(설비목록!$A118="","",설비목록!$A118)</f>
        <v/>
      </c>
      <c r="B121" s="15" t="str">
        <f aca="false">IF($A121="","",설비목록!$B118)</f>
        <v/>
      </c>
      <c r="C121" s="15" t="str">
        <f aca="false">IF($A121="","",설비목록!$C118)</f>
        <v/>
      </c>
      <c r="D121" s="15" t="str">
        <f aca="false">IF($A121="","",설비목록!$D118)</f>
        <v/>
      </c>
      <c r="E121" s="22" t="str">
        <f aca="false">IF($A121="","",설비목록!$E118)</f>
        <v/>
      </c>
      <c r="F121" s="20" t="str">
        <f aca="false">IF($A121="","",IF(COUNTIFS(점검이력!$B$3:$B$802,$A121)=0,설비목록!$F118,_xlfn.MAXIFS(점검이력!$A$3:$A$802,점검이력!$B$3:$B$802,$A121)))</f>
        <v/>
      </c>
      <c r="G121" s="20" t="str">
        <f aca="false">IF(OR($A121="",$F121="",$E121=""),"",$F121+$E121)</f>
        <v/>
      </c>
      <c r="H121" s="21" t="str">
        <f aca="true">IF($G121="","",$G121-TODAY())</f>
        <v/>
      </c>
      <c r="I121" s="22" t="str">
        <f aca="false">IF($A121="","",COUNTIFS(점검이력!$B$3:$B$802,$A121))</f>
        <v/>
      </c>
      <c r="J121" s="22" t="str">
        <f aca="false">IF($H121="","",IF($H121&lt;0,"기한초과",IF($H121&lt;=사용안내!$C$17,"임박","정상")))</f>
        <v/>
      </c>
    </row>
    <row r="122" customFormat="false" ht="15" hidden="false" customHeight="true" outlineLevel="0" collapsed="false">
      <c r="A122" s="15" t="str">
        <f aca="false">IF(설비목록!$A119="","",설비목록!$A119)</f>
        <v/>
      </c>
      <c r="B122" s="15" t="str">
        <f aca="false">IF($A122="","",설비목록!$B119)</f>
        <v/>
      </c>
      <c r="C122" s="15" t="str">
        <f aca="false">IF($A122="","",설비목록!$C119)</f>
        <v/>
      </c>
      <c r="D122" s="15" t="str">
        <f aca="false">IF($A122="","",설비목록!$D119)</f>
        <v/>
      </c>
      <c r="E122" s="22" t="str">
        <f aca="false">IF($A122="","",설비목록!$E119)</f>
        <v/>
      </c>
      <c r="F122" s="20" t="str">
        <f aca="false">IF($A122="","",IF(COUNTIFS(점검이력!$B$3:$B$802,$A122)=0,설비목록!$F119,_xlfn.MAXIFS(점검이력!$A$3:$A$802,점검이력!$B$3:$B$802,$A122)))</f>
        <v/>
      </c>
      <c r="G122" s="20" t="str">
        <f aca="false">IF(OR($A122="",$F122="",$E122=""),"",$F122+$E122)</f>
        <v/>
      </c>
      <c r="H122" s="21" t="str">
        <f aca="true">IF($G122="","",$G122-TODAY())</f>
        <v/>
      </c>
      <c r="I122" s="22" t="str">
        <f aca="false">IF($A122="","",COUNTIFS(점검이력!$B$3:$B$802,$A122))</f>
        <v/>
      </c>
      <c r="J122" s="22" t="str">
        <f aca="false">IF($H122="","",IF($H122&lt;0,"기한초과",IF($H122&lt;=사용안내!$C$17,"임박","정상")))</f>
        <v/>
      </c>
    </row>
    <row r="123" customFormat="false" ht="15" hidden="false" customHeight="true" outlineLevel="0" collapsed="false">
      <c r="A123" s="15" t="str">
        <f aca="false">IF(설비목록!$A120="","",설비목록!$A120)</f>
        <v/>
      </c>
      <c r="B123" s="15" t="str">
        <f aca="false">IF($A123="","",설비목록!$B120)</f>
        <v/>
      </c>
      <c r="C123" s="15" t="str">
        <f aca="false">IF($A123="","",설비목록!$C120)</f>
        <v/>
      </c>
      <c r="D123" s="15" t="str">
        <f aca="false">IF($A123="","",설비목록!$D120)</f>
        <v/>
      </c>
      <c r="E123" s="22" t="str">
        <f aca="false">IF($A123="","",설비목록!$E120)</f>
        <v/>
      </c>
      <c r="F123" s="20" t="str">
        <f aca="false">IF($A123="","",IF(COUNTIFS(점검이력!$B$3:$B$802,$A123)=0,설비목록!$F120,_xlfn.MAXIFS(점검이력!$A$3:$A$802,점검이력!$B$3:$B$802,$A123)))</f>
        <v/>
      </c>
      <c r="G123" s="20" t="str">
        <f aca="false">IF(OR($A123="",$F123="",$E123=""),"",$F123+$E123)</f>
        <v/>
      </c>
      <c r="H123" s="21" t="str">
        <f aca="true">IF($G123="","",$G123-TODAY())</f>
        <v/>
      </c>
      <c r="I123" s="22" t="str">
        <f aca="false">IF($A123="","",COUNTIFS(점검이력!$B$3:$B$802,$A123))</f>
        <v/>
      </c>
      <c r="J123" s="22" t="str">
        <f aca="false">IF($H123="","",IF($H123&lt;0,"기한초과",IF($H123&lt;=사용안내!$C$17,"임박","정상")))</f>
        <v/>
      </c>
    </row>
    <row r="124" customFormat="false" ht="15" hidden="false" customHeight="true" outlineLevel="0" collapsed="false">
      <c r="A124" s="15" t="str">
        <f aca="false">IF(설비목록!$A121="","",설비목록!$A121)</f>
        <v/>
      </c>
      <c r="B124" s="15" t="str">
        <f aca="false">IF($A124="","",설비목록!$B121)</f>
        <v/>
      </c>
      <c r="C124" s="15" t="str">
        <f aca="false">IF($A124="","",설비목록!$C121)</f>
        <v/>
      </c>
      <c r="D124" s="15" t="str">
        <f aca="false">IF($A124="","",설비목록!$D121)</f>
        <v/>
      </c>
      <c r="E124" s="22" t="str">
        <f aca="false">IF($A124="","",설비목록!$E121)</f>
        <v/>
      </c>
      <c r="F124" s="20" t="str">
        <f aca="false">IF($A124="","",IF(COUNTIFS(점검이력!$B$3:$B$802,$A124)=0,설비목록!$F121,_xlfn.MAXIFS(점검이력!$A$3:$A$802,점검이력!$B$3:$B$802,$A124)))</f>
        <v/>
      </c>
      <c r="G124" s="20" t="str">
        <f aca="false">IF(OR($A124="",$F124="",$E124=""),"",$F124+$E124)</f>
        <v/>
      </c>
      <c r="H124" s="21" t="str">
        <f aca="true">IF($G124="","",$G124-TODAY())</f>
        <v/>
      </c>
      <c r="I124" s="22" t="str">
        <f aca="false">IF($A124="","",COUNTIFS(점검이력!$B$3:$B$802,$A124))</f>
        <v/>
      </c>
      <c r="J124" s="22" t="str">
        <f aca="false">IF($H124="","",IF($H124&lt;0,"기한초과",IF($H124&lt;=사용안내!$C$17,"임박","정상")))</f>
        <v/>
      </c>
    </row>
    <row r="125" customFormat="false" ht="15" hidden="false" customHeight="true" outlineLevel="0" collapsed="false">
      <c r="A125" s="15" t="str">
        <f aca="false">IF(설비목록!$A122="","",설비목록!$A122)</f>
        <v/>
      </c>
      <c r="B125" s="15" t="str">
        <f aca="false">IF($A125="","",설비목록!$B122)</f>
        <v/>
      </c>
      <c r="C125" s="15" t="str">
        <f aca="false">IF($A125="","",설비목록!$C122)</f>
        <v/>
      </c>
      <c r="D125" s="15" t="str">
        <f aca="false">IF($A125="","",설비목록!$D122)</f>
        <v/>
      </c>
      <c r="E125" s="22" t="str">
        <f aca="false">IF($A125="","",설비목록!$E122)</f>
        <v/>
      </c>
      <c r="F125" s="20" t="str">
        <f aca="false">IF($A125="","",IF(COUNTIFS(점검이력!$B$3:$B$802,$A125)=0,설비목록!$F122,_xlfn.MAXIFS(점검이력!$A$3:$A$802,점검이력!$B$3:$B$802,$A125)))</f>
        <v/>
      </c>
      <c r="G125" s="20" t="str">
        <f aca="false">IF(OR($A125="",$F125="",$E125=""),"",$F125+$E125)</f>
        <v/>
      </c>
      <c r="H125" s="21" t="str">
        <f aca="true">IF($G125="","",$G125-TODAY())</f>
        <v/>
      </c>
      <c r="I125" s="22" t="str">
        <f aca="false">IF($A125="","",COUNTIFS(점검이력!$B$3:$B$802,$A125))</f>
        <v/>
      </c>
      <c r="J125" s="22" t="str">
        <f aca="false">IF($H125="","",IF($H125&lt;0,"기한초과",IF($H125&lt;=사용안내!$C$17,"임박","정상")))</f>
        <v/>
      </c>
    </row>
    <row r="126" customFormat="false" ht="15" hidden="false" customHeight="true" outlineLevel="0" collapsed="false">
      <c r="A126" s="15" t="str">
        <f aca="false">IF(설비목록!$A123="","",설비목록!$A123)</f>
        <v/>
      </c>
      <c r="B126" s="15" t="str">
        <f aca="false">IF($A126="","",설비목록!$B123)</f>
        <v/>
      </c>
      <c r="C126" s="15" t="str">
        <f aca="false">IF($A126="","",설비목록!$C123)</f>
        <v/>
      </c>
      <c r="D126" s="15" t="str">
        <f aca="false">IF($A126="","",설비목록!$D123)</f>
        <v/>
      </c>
      <c r="E126" s="22" t="str">
        <f aca="false">IF($A126="","",설비목록!$E123)</f>
        <v/>
      </c>
      <c r="F126" s="20" t="str">
        <f aca="false">IF($A126="","",IF(COUNTIFS(점검이력!$B$3:$B$802,$A126)=0,설비목록!$F123,_xlfn.MAXIFS(점검이력!$A$3:$A$802,점검이력!$B$3:$B$802,$A126)))</f>
        <v/>
      </c>
      <c r="G126" s="20" t="str">
        <f aca="false">IF(OR($A126="",$F126="",$E126=""),"",$F126+$E126)</f>
        <v/>
      </c>
      <c r="H126" s="21" t="str">
        <f aca="true">IF($G126="","",$G126-TODAY())</f>
        <v/>
      </c>
      <c r="I126" s="22" t="str">
        <f aca="false">IF($A126="","",COUNTIFS(점검이력!$B$3:$B$802,$A126))</f>
        <v/>
      </c>
      <c r="J126" s="22" t="str">
        <f aca="false">IF($H126="","",IF($H126&lt;0,"기한초과",IF($H126&lt;=사용안내!$C$17,"임박","정상")))</f>
        <v/>
      </c>
    </row>
    <row r="127" customFormat="false" ht="15" hidden="false" customHeight="true" outlineLevel="0" collapsed="false">
      <c r="A127" s="15" t="str">
        <f aca="false">IF(설비목록!$A124="","",설비목록!$A124)</f>
        <v/>
      </c>
      <c r="B127" s="15" t="str">
        <f aca="false">IF($A127="","",설비목록!$B124)</f>
        <v/>
      </c>
      <c r="C127" s="15" t="str">
        <f aca="false">IF($A127="","",설비목록!$C124)</f>
        <v/>
      </c>
      <c r="D127" s="15" t="str">
        <f aca="false">IF($A127="","",설비목록!$D124)</f>
        <v/>
      </c>
      <c r="E127" s="22" t="str">
        <f aca="false">IF($A127="","",설비목록!$E124)</f>
        <v/>
      </c>
      <c r="F127" s="20" t="str">
        <f aca="false">IF($A127="","",IF(COUNTIFS(점검이력!$B$3:$B$802,$A127)=0,설비목록!$F124,_xlfn.MAXIFS(점검이력!$A$3:$A$802,점검이력!$B$3:$B$802,$A127)))</f>
        <v/>
      </c>
      <c r="G127" s="20" t="str">
        <f aca="false">IF(OR($A127="",$F127="",$E127=""),"",$F127+$E127)</f>
        <v/>
      </c>
      <c r="H127" s="21" t="str">
        <f aca="true">IF($G127="","",$G127-TODAY())</f>
        <v/>
      </c>
      <c r="I127" s="22" t="str">
        <f aca="false">IF($A127="","",COUNTIFS(점검이력!$B$3:$B$802,$A127))</f>
        <v/>
      </c>
      <c r="J127" s="22" t="str">
        <f aca="false">IF($H127="","",IF($H127&lt;0,"기한초과",IF($H127&lt;=사용안내!$C$17,"임박","정상")))</f>
        <v/>
      </c>
    </row>
    <row r="128" customFormat="false" ht="15" hidden="false" customHeight="true" outlineLevel="0" collapsed="false">
      <c r="A128" s="15" t="str">
        <f aca="false">IF(설비목록!$A125="","",설비목록!$A125)</f>
        <v/>
      </c>
      <c r="B128" s="15" t="str">
        <f aca="false">IF($A128="","",설비목록!$B125)</f>
        <v/>
      </c>
      <c r="C128" s="15" t="str">
        <f aca="false">IF($A128="","",설비목록!$C125)</f>
        <v/>
      </c>
      <c r="D128" s="15" t="str">
        <f aca="false">IF($A128="","",설비목록!$D125)</f>
        <v/>
      </c>
      <c r="E128" s="22" t="str">
        <f aca="false">IF($A128="","",설비목록!$E125)</f>
        <v/>
      </c>
      <c r="F128" s="20" t="str">
        <f aca="false">IF($A128="","",IF(COUNTIFS(점검이력!$B$3:$B$802,$A128)=0,설비목록!$F125,_xlfn.MAXIFS(점검이력!$A$3:$A$802,점검이력!$B$3:$B$802,$A128)))</f>
        <v/>
      </c>
      <c r="G128" s="20" t="str">
        <f aca="false">IF(OR($A128="",$F128="",$E128=""),"",$F128+$E128)</f>
        <v/>
      </c>
      <c r="H128" s="21" t="str">
        <f aca="true">IF($G128="","",$G128-TODAY())</f>
        <v/>
      </c>
      <c r="I128" s="22" t="str">
        <f aca="false">IF($A128="","",COUNTIFS(점검이력!$B$3:$B$802,$A128))</f>
        <v/>
      </c>
      <c r="J128" s="22" t="str">
        <f aca="false">IF($H128="","",IF($H128&lt;0,"기한초과",IF($H128&lt;=사용안내!$C$17,"임박","정상")))</f>
        <v/>
      </c>
    </row>
    <row r="129" customFormat="false" ht="15" hidden="false" customHeight="true" outlineLevel="0" collapsed="false">
      <c r="A129" s="15" t="str">
        <f aca="false">IF(설비목록!$A126="","",설비목록!$A126)</f>
        <v/>
      </c>
      <c r="B129" s="15" t="str">
        <f aca="false">IF($A129="","",설비목록!$B126)</f>
        <v/>
      </c>
      <c r="C129" s="15" t="str">
        <f aca="false">IF($A129="","",설비목록!$C126)</f>
        <v/>
      </c>
      <c r="D129" s="15" t="str">
        <f aca="false">IF($A129="","",설비목록!$D126)</f>
        <v/>
      </c>
      <c r="E129" s="22" t="str">
        <f aca="false">IF($A129="","",설비목록!$E126)</f>
        <v/>
      </c>
      <c r="F129" s="20" t="str">
        <f aca="false">IF($A129="","",IF(COUNTIFS(점검이력!$B$3:$B$802,$A129)=0,설비목록!$F126,_xlfn.MAXIFS(점검이력!$A$3:$A$802,점검이력!$B$3:$B$802,$A129)))</f>
        <v/>
      </c>
      <c r="G129" s="20" t="str">
        <f aca="false">IF(OR($A129="",$F129="",$E129=""),"",$F129+$E129)</f>
        <v/>
      </c>
      <c r="H129" s="21" t="str">
        <f aca="true">IF($G129="","",$G129-TODAY())</f>
        <v/>
      </c>
      <c r="I129" s="22" t="str">
        <f aca="false">IF($A129="","",COUNTIFS(점검이력!$B$3:$B$802,$A129))</f>
        <v/>
      </c>
      <c r="J129" s="22" t="str">
        <f aca="false">IF($H129="","",IF($H129&lt;0,"기한초과",IF($H129&lt;=사용안내!$C$17,"임박","정상")))</f>
        <v/>
      </c>
    </row>
    <row r="130" customFormat="false" ht="15" hidden="false" customHeight="true" outlineLevel="0" collapsed="false">
      <c r="A130" s="15" t="str">
        <f aca="false">IF(설비목록!$A127="","",설비목록!$A127)</f>
        <v/>
      </c>
      <c r="B130" s="15" t="str">
        <f aca="false">IF($A130="","",설비목록!$B127)</f>
        <v/>
      </c>
      <c r="C130" s="15" t="str">
        <f aca="false">IF($A130="","",설비목록!$C127)</f>
        <v/>
      </c>
      <c r="D130" s="15" t="str">
        <f aca="false">IF($A130="","",설비목록!$D127)</f>
        <v/>
      </c>
      <c r="E130" s="22" t="str">
        <f aca="false">IF($A130="","",설비목록!$E127)</f>
        <v/>
      </c>
      <c r="F130" s="20" t="str">
        <f aca="false">IF($A130="","",IF(COUNTIFS(점검이력!$B$3:$B$802,$A130)=0,설비목록!$F127,_xlfn.MAXIFS(점검이력!$A$3:$A$802,점검이력!$B$3:$B$802,$A130)))</f>
        <v/>
      </c>
      <c r="G130" s="20" t="str">
        <f aca="false">IF(OR($A130="",$F130="",$E130=""),"",$F130+$E130)</f>
        <v/>
      </c>
      <c r="H130" s="21" t="str">
        <f aca="true">IF($G130="","",$G130-TODAY())</f>
        <v/>
      </c>
      <c r="I130" s="22" t="str">
        <f aca="false">IF($A130="","",COUNTIFS(점검이력!$B$3:$B$802,$A130))</f>
        <v/>
      </c>
      <c r="J130" s="22" t="str">
        <f aca="false">IF($H130="","",IF($H130&lt;0,"기한초과",IF($H130&lt;=사용안내!$C$17,"임박","정상")))</f>
        <v/>
      </c>
    </row>
    <row r="131" customFormat="false" ht="15" hidden="false" customHeight="true" outlineLevel="0" collapsed="false">
      <c r="A131" s="15" t="str">
        <f aca="false">IF(설비목록!$A128="","",설비목록!$A128)</f>
        <v/>
      </c>
      <c r="B131" s="15" t="str">
        <f aca="false">IF($A131="","",설비목록!$B128)</f>
        <v/>
      </c>
      <c r="C131" s="15" t="str">
        <f aca="false">IF($A131="","",설비목록!$C128)</f>
        <v/>
      </c>
      <c r="D131" s="15" t="str">
        <f aca="false">IF($A131="","",설비목록!$D128)</f>
        <v/>
      </c>
      <c r="E131" s="22" t="str">
        <f aca="false">IF($A131="","",설비목록!$E128)</f>
        <v/>
      </c>
      <c r="F131" s="20" t="str">
        <f aca="false">IF($A131="","",IF(COUNTIFS(점검이력!$B$3:$B$802,$A131)=0,설비목록!$F128,_xlfn.MAXIFS(점검이력!$A$3:$A$802,점검이력!$B$3:$B$802,$A131)))</f>
        <v/>
      </c>
      <c r="G131" s="20" t="str">
        <f aca="false">IF(OR($A131="",$F131="",$E131=""),"",$F131+$E131)</f>
        <v/>
      </c>
      <c r="H131" s="21" t="str">
        <f aca="true">IF($G131="","",$G131-TODAY())</f>
        <v/>
      </c>
      <c r="I131" s="22" t="str">
        <f aca="false">IF($A131="","",COUNTIFS(점검이력!$B$3:$B$802,$A131))</f>
        <v/>
      </c>
      <c r="J131" s="22" t="str">
        <f aca="false">IF($H131="","",IF($H131&lt;0,"기한초과",IF($H131&lt;=사용안내!$C$17,"임박","정상")))</f>
        <v/>
      </c>
    </row>
    <row r="132" customFormat="false" ht="15" hidden="false" customHeight="true" outlineLevel="0" collapsed="false">
      <c r="A132" s="15" t="str">
        <f aca="false">IF(설비목록!$A129="","",설비목록!$A129)</f>
        <v/>
      </c>
      <c r="B132" s="15" t="str">
        <f aca="false">IF($A132="","",설비목록!$B129)</f>
        <v/>
      </c>
      <c r="C132" s="15" t="str">
        <f aca="false">IF($A132="","",설비목록!$C129)</f>
        <v/>
      </c>
      <c r="D132" s="15" t="str">
        <f aca="false">IF($A132="","",설비목록!$D129)</f>
        <v/>
      </c>
      <c r="E132" s="22" t="str">
        <f aca="false">IF($A132="","",설비목록!$E129)</f>
        <v/>
      </c>
      <c r="F132" s="20" t="str">
        <f aca="false">IF($A132="","",IF(COUNTIFS(점검이력!$B$3:$B$802,$A132)=0,설비목록!$F129,_xlfn.MAXIFS(점검이력!$A$3:$A$802,점검이력!$B$3:$B$802,$A132)))</f>
        <v/>
      </c>
      <c r="G132" s="20" t="str">
        <f aca="false">IF(OR($A132="",$F132="",$E132=""),"",$F132+$E132)</f>
        <v/>
      </c>
      <c r="H132" s="21" t="str">
        <f aca="true">IF($G132="","",$G132-TODAY())</f>
        <v/>
      </c>
      <c r="I132" s="22" t="str">
        <f aca="false">IF($A132="","",COUNTIFS(점검이력!$B$3:$B$802,$A132))</f>
        <v/>
      </c>
      <c r="J132" s="22" t="str">
        <f aca="false">IF($H132="","",IF($H132&lt;0,"기한초과",IF($H132&lt;=사용안내!$C$17,"임박","정상")))</f>
        <v/>
      </c>
    </row>
    <row r="133" customFormat="false" ht="15" hidden="false" customHeight="true" outlineLevel="0" collapsed="false">
      <c r="A133" s="15" t="str">
        <f aca="false">IF(설비목록!$A130="","",설비목록!$A130)</f>
        <v/>
      </c>
      <c r="B133" s="15" t="str">
        <f aca="false">IF($A133="","",설비목록!$B130)</f>
        <v/>
      </c>
      <c r="C133" s="15" t="str">
        <f aca="false">IF($A133="","",설비목록!$C130)</f>
        <v/>
      </c>
      <c r="D133" s="15" t="str">
        <f aca="false">IF($A133="","",설비목록!$D130)</f>
        <v/>
      </c>
      <c r="E133" s="22" t="str">
        <f aca="false">IF($A133="","",설비목록!$E130)</f>
        <v/>
      </c>
      <c r="F133" s="20" t="str">
        <f aca="false">IF($A133="","",IF(COUNTIFS(점검이력!$B$3:$B$802,$A133)=0,설비목록!$F130,_xlfn.MAXIFS(점검이력!$A$3:$A$802,점검이력!$B$3:$B$802,$A133)))</f>
        <v/>
      </c>
      <c r="G133" s="20" t="str">
        <f aca="false">IF(OR($A133="",$F133="",$E133=""),"",$F133+$E133)</f>
        <v/>
      </c>
      <c r="H133" s="21" t="str">
        <f aca="true">IF($G133="","",$G133-TODAY())</f>
        <v/>
      </c>
      <c r="I133" s="22" t="str">
        <f aca="false">IF($A133="","",COUNTIFS(점검이력!$B$3:$B$802,$A133))</f>
        <v/>
      </c>
      <c r="J133" s="22" t="str">
        <f aca="false">IF($H133="","",IF($H133&lt;0,"기한초과",IF($H133&lt;=사용안내!$C$17,"임박","정상")))</f>
        <v/>
      </c>
    </row>
    <row r="134" customFormat="false" ht="15" hidden="false" customHeight="true" outlineLevel="0" collapsed="false">
      <c r="A134" s="15" t="str">
        <f aca="false">IF(설비목록!$A131="","",설비목록!$A131)</f>
        <v/>
      </c>
      <c r="B134" s="15" t="str">
        <f aca="false">IF($A134="","",설비목록!$B131)</f>
        <v/>
      </c>
      <c r="C134" s="15" t="str">
        <f aca="false">IF($A134="","",설비목록!$C131)</f>
        <v/>
      </c>
      <c r="D134" s="15" t="str">
        <f aca="false">IF($A134="","",설비목록!$D131)</f>
        <v/>
      </c>
      <c r="E134" s="22" t="str">
        <f aca="false">IF($A134="","",설비목록!$E131)</f>
        <v/>
      </c>
      <c r="F134" s="20" t="str">
        <f aca="false">IF($A134="","",IF(COUNTIFS(점검이력!$B$3:$B$802,$A134)=0,설비목록!$F131,_xlfn.MAXIFS(점검이력!$A$3:$A$802,점검이력!$B$3:$B$802,$A134)))</f>
        <v/>
      </c>
      <c r="G134" s="20" t="str">
        <f aca="false">IF(OR($A134="",$F134="",$E134=""),"",$F134+$E134)</f>
        <v/>
      </c>
      <c r="H134" s="21" t="str">
        <f aca="true">IF($G134="","",$G134-TODAY())</f>
        <v/>
      </c>
      <c r="I134" s="22" t="str">
        <f aca="false">IF($A134="","",COUNTIFS(점검이력!$B$3:$B$802,$A134))</f>
        <v/>
      </c>
      <c r="J134" s="22" t="str">
        <f aca="false">IF($H134="","",IF($H134&lt;0,"기한초과",IF($H134&lt;=사용안내!$C$17,"임박","정상")))</f>
        <v/>
      </c>
    </row>
    <row r="135" customFormat="false" ht="15" hidden="false" customHeight="true" outlineLevel="0" collapsed="false">
      <c r="A135" s="15" t="str">
        <f aca="false">IF(설비목록!$A132="","",설비목록!$A132)</f>
        <v/>
      </c>
      <c r="B135" s="15" t="str">
        <f aca="false">IF($A135="","",설비목록!$B132)</f>
        <v/>
      </c>
      <c r="C135" s="15" t="str">
        <f aca="false">IF($A135="","",설비목록!$C132)</f>
        <v/>
      </c>
      <c r="D135" s="15" t="str">
        <f aca="false">IF($A135="","",설비목록!$D132)</f>
        <v/>
      </c>
      <c r="E135" s="22" t="str">
        <f aca="false">IF($A135="","",설비목록!$E132)</f>
        <v/>
      </c>
      <c r="F135" s="20" t="str">
        <f aca="false">IF($A135="","",IF(COUNTIFS(점검이력!$B$3:$B$802,$A135)=0,설비목록!$F132,_xlfn.MAXIFS(점검이력!$A$3:$A$802,점검이력!$B$3:$B$802,$A135)))</f>
        <v/>
      </c>
      <c r="G135" s="20" t="str">
        <f aca="false">IF(OR($A135="",$F135="",$E135=""),"",$F135+$E135)</f>
        <v/>
      </c>
      <c r="H135" s="21" t="str">
        <f aca="true">IF($G135="","",$G135-TODAY())</f>
        <v/>
      </c>
      <c r="I135" s="22" t="str">
        <f aca="false">IF($A135="","",COUNTIFS(점검이력!$B$3:$B$802,$A135))</f>
        <v/>
      </c>
      <c r="J135" s="22" t="str">
        <f aca="false">IF($H135="","",IF($H135&lt;0,"기한초과",IF($H135&lt;=사용안내!$C$17,"임박","정상")))</f>
        <v/>
      </c>
    </row>
    <row r="136" customFormat="false" ht="15" hidden="false" customHeight="true" outlineLevel="0" collapsed="false">
      <c r="A136" s="15" t="str">
        <f aca="false">IF(설비목록!$A133="","",설비목록!$A133)</f>
        <v/>
      </c>
      <c r="B136" s="15" t="str">
        <f aca="false">IF($A136="","",설비목록!$B133)</f>
        <v/>
      </c>
      <c r="C136" s="15" t="str">
        <f aca="false">IF($A136="","",설비목록!$C133)</f>
        <v/>
      </c>
      <c r="D136" s="15" t="str">
        <f aca="false">IF($A136="","",설비목록!$D133)</f>
        <v/>
      </c>
      <c r="E136" s="22" t="str">
        <f aca="false">IF($A136="","",설비목록!$E133)</f>
        <v/>
      </c>
      <c r="F136" s="20" t="str">
        <f aca="false">IF($A136="","",IF(COUNTIFS(점검이력!$B$3:$B$802,$A136)=0,설비목록!$F133,_xlfn.MAXIFS(점검이력!$A$3:$A$802,점검이력!$B$3:$B$802,$A136)))</f>
        <v/>
      </c>
      <c r="G136" s="20" t="str">
        <f aca="false">IF(OR($A136="",$F136="",$E136=""),"",$F136+$E136)</f>
        <v/>
      </c>
      <c r="H136" s="21" t="str">
        <f aca="true">IF($G136="","",$G136-TODAY())</f>
        <v/>
      </c>
      <c r="I136" s="22" t="str">
        <f aca="false">IF($A136="","",COUNTIFS(점검이력!$B$3:$B$802,$A136))</f>
        <v/>
      </c>
      <c r="J136" s="22" t="str">
        <f aca="false">IF($H136="","",IF($H136&lt;0,"기한초과",IF($H136&lt;=사용안내!$C$17,"임박","정상")))</f>
        <v/>
      </c>
    </row>
    <row r="137" customFormat="false" ht="15" hidden="false" customHeight="true" outlineLevel="0" collapsed="false">
      <c r="A137" s="15" t="str">
        <f aca="false">IF(설비목록!$A134="","",설비목록!$A134)</f>
        <v/>
      </c>
      <c r="B137" s="15" t="str">
        <f aca="false">IF($A137="","",설비목록!$B134)</f>
        <v/>
      </c>
      <c r="C137" s="15" t="str">
        <f aca="false">IF($A137="","",설비목록!$C134)</f>
        <v/>
      </c>
      <c r="D137" s="15" t="str">
        <f aca="false">IF($A137="","",설비목록!$D134)</f>
        <v/>
      </c>
      <c r="E137" s="22" t="str">
        <f aca="false">IF($A137="","",설비목록!$E134)</f>
        <v/>
      </c>
      <c r="F137" s="20" t="str">
        <f aca="false">IF($A137="","",IF(COUNTIFS(점검이력!$B$3:$B$802,$A137)=0,설비목록!$F134,_xlfn.MAXIFS(점검이력!$A$3:$A$802,점검이력!$B$3:$B$802,$A137)))</f>
        <v/>
      </c>
      <c r="G137" s="20" t="str">
        <f aca="false">IF(OR($A137="",$F137="",$E137=""),"",$F137+$E137)</f>
        <v/>
      </c>
      <c r="H137" s="21" t="str">
        <f aca="true">IF($G137="","",$G137-TODAY())</f>
        <v/>
      </c>
      <c r="I137" s="22" t="str">
        <f aca="false">IF($A137="","",COUNTIFS(점검이력!$B$3:$B$802,$A137))</f>
        <v/>
      </c>
      <c r="J137" s="22" t="str">
        <f aca="false">IF($H137="","",IF($H137&lt;0,"기한초과",IF($H137&lt;=사용안내!$C$17,"임박","정상")))</f>
        <v/>
      </c>
    </row>
    <row r="138" customFormat="false" ht="15" hidden="false" customHeight="true" outlineLevel="0" collapsed="false">
      <c r="A138" s="15" t="str">
        <f aca="false">IF(설비목록!$A135="","",설비목록!$A135)</f>
        <v/>
      </c>
      <c r="B138" s="15" t="str">
        <f aca="false">IF($A138="","",설비목록!$B135)</f>
        <v/>
      </c>
      <c r="C138" s="15" t="str">
        <f aca="false">IF($A138="","",설비목록!$C135)</f>
        <v/>
      </c>
      <c r="D138" s="15" t="str">
        <f aca="false">IF($A138="","",설비목록!$D135)</f>
        <v/>
      </c>
      <c r="E138" s="22" t="str">
        <f aca="false">IF($A138="","",설비목록!$E135)</f>
        <v/>
      </c>
      <c r="F138" s="20" t="str">
        <f aca="false">IF($A138="","",IF(COUNTIFS(점검이력!$B$3:$B$802,$A138)=0,설비목록!$F135,_xlfn.MAXIFS(점검이력!$A$3:$A$802,점검이력!$B$3:$B$802,$A138)))</f>
        <v/>
      </c>
      <c r="G138" s="20" t="str">
        <f aca="false">IF(OR($A138="",$F138="",$E138=""),"",$F138+$E138)</f>
        <v/>
      </c>
      <c r="H138" s="21" t="str">
        <f aca="true">IF($G138="","",$G138-TODAY())</f>
        <v/>
      </c>
      <c r="I138" s="22" t="str">
        <f aca="false">IF($A138="","",COUNTIFS(점검이력!$B$3:$B$802,$A138))</f>
        <v/>
      </c>
      <c r="J138" s="22" t="str">
        <f aca="false">IF($H138="","",IF($H138&lt;0,"기한초과",IF($H138&lt;=사용안내!$C$17,"임박","정상")))</f>
        <v/>
      </c>
    </row>
    <row r="139" customFormat="false" ht="15" hidden="false" customHeight="true" outlineLevel="0" collapsed="false">
      <c r="A139" s="15" t="str">
        <f aca="false">IF(설비목록!$A136="","",설비목록!$A136)</f>
        <v/>
      </c>
      <c r="B139" s="15" t="str">
        <f aca="false">IF($A139="","",설비목록!$B136)</f>
        <v/>
      </c>
      <c r="C139" s="15" t="str">
        <f aca="false">IF($A139="","",설비목록!$C136)</f>
        <v/>
      </c>
      <c r="D139" s="15" t="str">
        <f aca="false">IF($A139="","",설비목록!$D136)</f>
        <v/>
      </c>
      <c r="E139" s="22" t="str">
        <f aca="false">IF($A139="","",설비목록!$E136)</f>
        <v/>
      </c>
      <c r="F139" s="20" t="str">
        <f aca="false">IF($A139="","",IF(COUNTIFS(점검이력!$B$3:$B$802,$A139)=0,설비목록!$F136,_xlfn.MAXIFS(점검이력!$A$3:$A$802,점검이력!$B$3:$B$802,$A139)))</f>
        <v/>
      </c>
      <c r="G139" s="20" t="str">
        <f aca="false">IF(OR($A139="",$F139="",$E139=""),"",$F139+$E139)</f>
        <v/>
      </c>
      <c r="H139" s="21" t="str">
        <f aca="true">IF($G139="","",$G139-TODAY())</f>
        <v/>
      </c>
      <c r="I139" s="22" t="str">
        <f aca="false">IF($A139="","",COUNTIFS(점검이력!$B$3:$B$802,$A139))</f>
        <v/>
      </c>
      <c r="J139" s="22" t="str">
        <f aca="false">IF($H139="","",IF($H139&lt;0,"기한초과",IF($H139&lt;=사용안내!$C$17,"임박","정상")))</f>
        <v/>
      </c>
    </row>
    <row r="140" customFormat="false" ht="15" hidden="false" customHeight="true" outlineLevel="0" collapsed="false">
      <c r="A140" s="15" t="str">
        <f aca="false">IF(설비목록!$A137="","",설비목록!$A137)</f>
        <v/>
      </c>
      <c r="B140" s="15" t="str">
        <f aca="false">IF($A140="","",설비목록!$B137)</f>
        <v/>
      </c>
      <c r="C140" s="15" t="str">
        <f aca="false">IF($A140="","",설비목록!$C137)</f>
        <v/>
      </c>
      <c r="D140" s="15" t="str">
        <f aca="false">IF($A140="","",설비목록!$D137)</f>
        <v/>
      </c>
      <c r="E140" s="22" t="str">
        <f aca="false">IF($A140="","",설비목록!$E137)</f>
        <v/>
      </c>
      <c r="F140" s="20" t="str">
        <f aca="false">IF($A140="","",IF(COUNTIFS(점검이력!$B$3:$B$802,$A140)=0,설비목록!$F137,_xlfn.MAXIFS(점검이력!$A$3:$A$802,점검이력!$B$3:$B$802,$A140)))</f>
        <v/>
      </c>
      <c r="G140" s="20" t="str">
        <f aca="false">IF(OR($A140="",$F140="",$E140=""),"",$F140+$E140)</f>
        <v/>
      </c>
      <c r="H140" s="21" t="str">
        <f aca="true">IF($G140="","",$G140-TODAY())</f>
        <v/>
      </c>
      <c r="I140" s="22" t="str">
        <f aca="false">IF($A140="","",COUNTIFS(점검이력!$B$3:$B$802,$A140))</f>
        <v/>
      </c>
      <c r="J140" s="22" t="str">
        <f aca="false">IF($H140="","",IF($H140&lt;0,"기한초과",IF($H140&lt;=사용안내!$C$17,"임박","정상")))</f>
        <v/>
      </c>
    </row>
    <row r="141" customFormat="false" ht="15" hidden="false" customHeight="true" outlineLevel="0" collapsed="false">
      <c r="A141" s="15" t="str">
        <f aca="false">IF(설비목록!$A138="","",설비목록!$A138)</f>
        <v/>
      </c>
      <c r="B141" s="15" t="str">
        <f aca="false">IF($A141="","",설비목록!$B138)</f>
        <v/>
      </c>
      <c r="C141" s="15" t="str">
        <f aca="false">IF($A141="","",설비목록!$C138)</f>
        <v/>
      </c>
      <c r="D141" s="15" t="str">
        <f aca="false">IF($A141="","",설비목록!$D138)</f>
        <v/>
      </c>
      <c r="E141" s="22" t="str">
        <f aca="false">IF($A141="","",설비목록!$E138)</f>
        <v/>
      </c>
      <c r="F141" s="20" t="str">
        <f aca="false">IF($A141="","",IF(COUNTIFS(점검이력!$B$3:$B$802,$A141)=0,설비목록!$F138,_xlfn.MAXIFS(점검이력!$A$3:$A$802,점검이력!$B$3:$B$802,$A141)))</f>
        <v/>
      </c>
      <c r="G141" s="20" t="str">
        <f aca="false">IF(OR($A141="",$F141="",$E141=""),"",$F141+$E141)</f>
        <v/>
      </c>
      <c r="H141" s="21" t="str">
        <f aca="true">IF($G141="","",$G141-TODAY())</f>
        <v/>
      </c>
      <c r="I141" s="22" t="str">
        <f aca="false">IF($A141="","",COUNTIFS(점검이력!$B$3:$B$802,$A141))</f>
        <v/>
      </c>
      <c r="J141" s="22" t="str">
        <f aca="false">IF($H141="","",IF($H141&lt;0,"기한초과",IF($H141&lt;=사용안내!$C$17,"임박","정상")))</f>
        <v/>
      </c>
    </row>
    <row r="142" customFormat="false" ht="15" hidden="false" customHeight="true" outlineLevel="0" collapsed="false">
      <c r="A142" s="15" t="str">
        <f aca="false">IF(설비목록!$A139="","",설비목록!$A139)</f>
        <v/>
      </c>
      <c r="B142" s="15" t="str">
        <f aca="false">IF($A142="","",설비목록!$B139)</f>
        <v/>
      </c>
      <c r="C142" s="15" t="str">
        <f aca="false">IF($A142="","",설비목록!$C139)</f>
        <v/>
      </c>
      <c r="D142" s="15" t="str">
        <f aca="false">IF($A142="","",설비목록!$D139)</f>
        <v/>
      </c>
      <c r="E142" s="22" t="str">
        <f aca="false">IF($A142="","",설비목록!$E139)</f>
        <v/>
      </c>
      <c r="F142" s="20" t="str">
        <f aca="false">IF($A142="","",IF(COUNTIFS(점검이력!$B$3:$B$802,$A142)=0,설비목록!$F139,_xlfn.MAXIFS(점검이력!$A$3:$A$802,점검이력!$B$3:$B$802,$A142)))</f>
        <v/>
      </c>
      <c r="G142" s="20" t="str">
        <f aca="false">IF(OR($A142="",$F142="",$E142=""),"",$F142+$E142)</f>
        <v/>
      </c>
      <c r="H142" s="21" t="str">
        <f aca="true">IF($G142="","",$G142-TODAY())</f>
        <v/>
      </c>
      <c r="I142" s="22" t="str">
        <f aca="false">IF($A142="","",COUNTIFS(점검이력!$B$3:$B$802,$A142))</f>
        <v/>
      </c>
      <c r="J142" s="22" t="str">
        <f aca="false">IF($H142="","",IF($H142&lt;0,"기한초과",IF($H142&lt;=사용안내!$C$17,"임박","정상")))</f>
        <v/>
      </c>
    </row>
    <row r="143" customFormat="false" ht="15" hidden="false" customHeight="true" outlineLevel="0" collapsed="false">
      <c r="A143" s="15" t="str">
        <f aca="false">IF(설비목록!$A140="","",설비목록!$A140)</f>
        <v/>
      </c>
      <c r="B143" s="15" t="str">
        <f aca="false">IF($A143="","",설비목록!$B140)</f>
        <v/>
      </c>
      <c r="C143" s="15" t="str">
        <f aca="false">IF($A143="","",설비목록!$C140)</f>
        <v/>
      </c>
      <c r="D143" s="15" t="str">
        <f aca="false">IF($A143="","",설비목록!$D140)</f>
        <v/>
      </c>
      <c r="E143" s="22" t="str">
        <f aca="false">IF($A143="","",설비목록!$E140)</f>
        <v/>
      </c>
      <c r="F143" s="20" t="str">
        <f aca="false">IF($A143="","",IF(COUNTIFS(점검이력!$B$3:$B$802,$A143)=0,설비목록!$F140,_xlfn.MAXIFS(점검이력!$A$3:$A$802,점검이력!$B$3:$B$802,$A143)))</f>
        <v/>
      </c>
      <c r="G143" s="20" t="str">
        <f aca="false">IF(OR($A143="",$F143="",$E143=""),"",$F143+$E143)</f>
        <v/>
      </c>
      <c r="H143" s="21" t="str">
        <f aca="true">IF($G143="","",$G143-TODAY())</f>
        <v/>
      </c>
      <c r="I143" s="22" t="str">
        <f aca="false">IF($A143="","",COUNTIFS(점검이력!$B$3:$B$802,$A143))</f>
        <v/>
      </c>
      <c r="J143" s="22" t="str">
        <f aca="false">IF($H143="","",IF($H143&lt;0,"기한초과",IF($H143&lt;=사용안내!$C$17,"임박","정상")))</f>
        <v/>
      </c>
    </row>
    <row r="144" customFormat="false" ht="15" hidden="false" customHeight="true" outlineLevel="0" collapsed="false">
      <c r="A144" s="15" t="str">
        <f aca="false">IF(설비목록!$A141="","",설비목록!$A141)</f>
        <v/>
      </c>
      <c r="B144" s="15" t="str">
        <f aca="false">IF($A144="","",설비목록!$B141)</f>
        <v/>
      </c>
      <c r="C144" s="15" t="str">
        <f aca="false">IF($A144="","",설비목록!$C141)</f>
        <v/>
      </c>
      <c r="D144" s="15" t="str">
        <f aca="false">IF($A144="","",설비목록!$D141)</f>
        <v/>
      </c>
      <c r="E144" s="22" t="str">
        <f aca="false">IF($A144="","",설비목록!$E141)</f>
        <v/>
      </c>
      <c r="F144" s="20" t="str">
        <f aca="false">IF($A144="","",IF(COUNTIFS(점검이력!$B$3:$B$802,$A144)=0,설비목록!$F141,_xlfn.MAXIFS(점검이력!$A$3:$A$802,점검이력!$B$3:$B$802,$A144)))</f>
        <v/>
      </c>
      <c r="G144" s="20" t="str">
        <f aca="false">IF(OR($A144="",$F144="",$E144=""),"",$F144+$E144)</f>
        <v/>
      </c>
      <c r="H144" s="21" t="str">
        <f aca="true">IF($G144="","",$G144-TODAY())</f>
        <v/>
      </c>
      <c r="I144" s="22" t="str">
        <f aca="false">IF($A144="","",COUNTIFS(점검이력!$B$3:$B$802,$A144))</f>
        <v/>
      </c>
      <c r="J144" s="22" t="str">
        <f aca="false">IF($H144="","",IF($H144&lt;0,"기한초과",IF($H144&lt;=사용안내!$C$17,"임박","정상")))</f>
        <v/>
      </c>
    </row>
    <row r="145" customFormat="false" ht="15" hidden="false" customHeight="true" outlineLevel="0" collapsed="false">
      <c r="A145" s="15" t="str">
        <f aca="false">IF(설비목록!$A142="","",설비목록!$A142)</f>
        <v/>
      </c>
      <c r="B145" s="15" t="str">
        <f aca="false">IF($A145="","",설비목록!$B142)</f>
        <v/>
      </c>
      <c r="C145" s="15" t="str">
        <f aca="false">IF($A145="","",설비목록!$C142)</f>
        <v/>
      </c>
      <c r="D145" s="15" t="str">
        <f aca="false">IF($A145="","",설비목록!$D142)</f>
        <v/>
      </c>
      <c r="E145" s="22" t="str">
        <f aca="false">IF($A145="","",설비목록!$E142)</f>
        <v/>
      </c>
      <c r="F145" s="20" t="str">
        <f aca="false">IF($A145="","",IF(COUNTIFS(점검이력!$B$3:$B$802,$A145)=0,설비목록!$F142,_xlfn.MAXIFS(점검이력!$A$3:$A$802,점검이력!$B$3:$B$802,$A145)))</f>
        <v/>
      </c>
      <c r="G145" s="20" t="str">
        <f aca="false">IF(OR($A145="",$F145="",$E145=""),"",$F145+$E145)</f>
        <v/>
      </c>
      <c r="H145" s="21" t="str">
        <f aca="true">IF($G145="","",$G145-TODAY())</f>
        <v/>
      </c>
      <c r="I145" s="22" t="str">
        <f aca="false">IF($A145="","",COUNTIFS(점검이력!$B$3:$B$802,$A145))</f>
        <v/>
      </c>
      <c r="J145" s="22" t="str">
        <f aca="false">IF($H145="","",IF($H145&lt;0,"기한초과",IF($H145&lt;=사용안내!$C$17,"임박","정상")))</f>
        <v/>
      </c>
    </row>
    <row r="146" customFormat="false" ht="15" hidden="false" customHeight="true" outlineLevel="0" collapsed="false">
      <c r="A146" s="15" t="str">
        <f aca="false">IF(설비목록!$A143="","",설비목록!$A143)</f>
        <v/>
      </c>
      <c r="B146" s="15" t="str">
        <f aca="false">IF($A146="","",설비목록!$B143)</f>
        <v/>
      </c>
      <c r="C146" s="15" t="str">
        <f aca="false">IF($A146="","",설비목록!$C143)</f>
        <v/>
      </c>
      <c r="D146" s="15" t="str">
        <f aca="false">IF($A146="","",설비목록!$D143)</f>
        <v/>
      </c>
      <c r="E146" s="22" t="str">
        <f aca="false">IF($A146="","",설비목록!$E143)</f>
        <v/>
      </c>
      <c r="F146" s="20" t="str">
        <f aca="false">IF($A146="","",IF(COUNTIFS(점검이력!$B$3:$B$802,$A146)=0,설비목록!$F143,_xlfn.MAXIFS(점검이력!$A$3:$A$802,점검이력!$B$3:$B$802,$A146)))</f>
        <v/>
      </c>
      <c r="G146" s="20" t="str">
        <f aca="false">IF(OR($A146="",$F146="",$E146=""),"",$F146+$E146)</f>
        <v/>
      </c>
      <c r="H146" s="21" t="str">
        <f aca="true">IF($G146="","",$G146-TODAY())</f>
        <v/>
      </c>
      <c r="I146" s="22" t="str">
        <f aca="false">IF($A146="","",COUNTIFS(점검이력!$B$3:$B$802,$A146))</f>
        <v/>
      </c>
      <c r="J146" s="22" t="str">
        <f aca="false">IF($H146="","",IF($H146&lt;0,"기한초과",IF($H146&lt;=사용안내!$C$17,"임박","정상")))</f>
        <v/>
      </c>
    </row>
    <row r="147" customFormat="false" ht="15" hidden="false" customHeight="true" outlineLevel="0" collapsed="false">
      <c r="A147" s="15" t="str">
        <f aca="false">IF(설비목록!$A144="","",설비목록!$A144)</f>
        <v/>
      </c>
      <c r="B147" s="15" t="str">
        <f aca="false">IF($A147="","",설비목록!$B144)</f>
        <v/>
      </c>
      <c r="C147" s="15" t="str">
        <f aca="false">IF($A147="","",설비목록!$C144)</f>
        <v/>
      </c>
      <c r="D147" s="15" t="str">
        <f aca="false">IF($A147="","",설비목록!$D144)</f>
        <v/>
      </c>
      <c r="E147" s="22" t="str">
        <f aca="false">IF($A147="","",설비목록!$E144)</f>
        <v/>
      </c>
      <c r="F147" s="20" t="str">
        <f aca="false">IF($A147="","",IF(COUNTIFS(점검이력!$B$3:$B$802,$A147)=0,설비목록!$F144,_xlfn.MAXIFS(점검이력!$A$3:$A$802,점검이력!$B$3:$B$802,$A147)))</f>
        <v/>
      </c>
      <c r="G147" s="20" t="str">
        <f aca="false">IF(OR($A147="",$F147="",$E147=""),"",$F147+$E147)</f>
        <v/>
      </c>
      <c r="H147" s="21" t="str">
        <f aca="true">IF($G147="","",$G147-TODAY())</f>
        <v/>
      </c>
      <c r="I147" s="22" t="str">
        <f aca="false">IF($A147="","",COUNTIFS(점검이력!$B$3:$B$802,$A147))</f>
        <v/>
      </c>
      <c r="J147" s="22" t="str">
        <f aca="false">IF($H147="","",IF($H147&lt;0,"기한초과",IF($H147&lt;=사용안내!$C$17,"임박","정상")))</f>
        <v/>
      </c>
    </row>
    <row r="148" customFormat="false" ht="15" hidden="false" customHeight="true" outlineLevel="0" collapsed="false">
      <c r="A148" s="15" t="str">
        <f aca="false">IF(설비목록!$A145="","",설비목록!$A145)</f>
        <v/>
      </c>
      <c r="B148" s="15" t="str">
        <f aca="false">IF($A148="","",설비목록!$B145)</f>
        <v/>
      </c>
      <c r="C148" s="15" t="str">
        <f aca="false">IF($A148="","",설비목록!$C145)</f>
        <v/>
      </c>
      <c r="D148" s="15" t="str">
        <f aca="false">IF($A148="","",설비목록!$D145)</f>
        <v/>
      </c>
      <c r="E148" s="22" t="str">
        <f aca="false">IF($A148="","",설비목록!$E145)</f>
        <v/>
      </c>
      <c r="F148" s="20" t="str">
        <f aca="false">IF($A148="","",IF(COUNTIFS(점검이력!$B$3:$B$802,$A148)=0,설비목록!$F145,_xlfn.MAXIFS(점검이력!$A$3:$A$802,점검이력!$B$3:$B$802,$A148)))</f>
        <v/>
      </c>
      <c r="G148" s="20" t="str">
        <f aca="false">IF(OR($A148="",$F148="",$E148=""),"",$F148+$E148)</f>
        <v/>
      </c>
      <c r="H148" s="21" t="str">
        <f aca="true">IF($G148="","",$G148-TODAY())</f>
        <v/>
      </c>
      <c r="I148" s="22" t="str">
        <f aca="false">IF($A148="","",COUNTIFS(점검이력!$B$3:$B$802,$A148))</f>
        <v/>
      </c>
      <c r="J148" s="22" t="str">
        <f aca="false">IF($H148="","",IF($H148&lt;0,"기한초과",IF($H148&lt;=사용안내!$C$17,"임박","정상")))</f>
        <v/>
      </c>
    </row>
    <row r="149" customFormat="false" ht="15" hidden="false" customHeight="true" outlineLevel="0" collapsed="false">
      <c r="A149" s="15" t="str">
        <f aca="false">IF(설비목록!$A146="","",설비목록!$A146)</f>
        <v/>
      </c>
      <c r="B149" s="15" t="str">
        <f aca="false">IF($A149="","",설비목록!$B146)</f>
        <v/>
      </c>
      <c r="C149" s="15" t="str">
        <f aca="false">IF($A149="","",설비목록!$C146)</f>
        <v/>
      </c>
      <c r="D149" s="15" t="str">
        <f aca="false">IF($A149="","",설비목록!$D146)</f>
        <v/>
      </c>
      <c r="E149" s="22" t="str">
        <f aca="false">IF($A149="","",설비목록!$E146)</f>
        <v/>
      </c>
      <c r="F149" s="20" t="str">
        <f aca="false">IF($A149="","",IF(COUNTIFS(점검이력!$B$3:$B$802,$A149)=0,설비목록!$F146,_xlfn.MAXIFS(점검이력!$A$3:$A$802,점검이력!$B$3:$B$802,$A149)))</f>
        <v/>
      </c>
      <c r="G149" s="20" t="str">
        <f aca="false">IF(OR($A149="",$F149="",$E149=""),"",$F149+$E149)</f>
        <v/>
      </c>
      <c r="H149" s="21" t="str">
        <f aca="true">IF($G149="","",$G149-TODAY())</f>
        <v/>
      </c>
      <c r="I149" s="22" t="str">
        <f aca="false">IF($A149="","",COUNTIFS(점검이력!$B$3:$B$802,$A149))</f>
        <v/>
      </c>
      <c r="J149" s="22" t="str">
        <f aca="false">IF($H149="","",IF($H149&lt;0,"기한초과",IF($H149&lt;=사용안내!$C$17,"임박","정상")))</f>
        <v/>
      </c>
    </row>
    <row r="150" customFormat="false" ht="15" hidden="false" customHeight="true" outlineLevel="0" collapsed="false">
      <c r="A150" s="15" t="str">
        <f aca="false">IF(설비목록!$A147="","",설비목록!$A147)</f>
        <v/>
      </c>
      <c r="B150" s="15" t="str">
        <f aca="false">IF($A150="","",설비목록!$B147)</f>
        <v/>
      </c>
      <c r="C150" s="15" t="str">
        <f aca="false">IF($A150="","",설비목록!$C147)</f>
        <v/>
      </c>
      <c r="D150" s="15" t="str">
        <f aca="false">IF($A150="","",설비목록!$D147)</f>
        <v/>
      </c>
      <c r="E150" s="22" t="str">
        <f aca="false">IF($A150="","",설비목록!$E147)</f>
        <v/>
      </c>
      <c r="F150" s="20" t="str">
        <f aca="false">IF($A150="","",IF(COUNTIFS(점검이력!$B$3:$B$802,$A150)=0,설비목록!$F147,_xlfn.MAXIFS(점검이력!$A$3:$A$802,점검이력!$B$3:$B$802,$A150)))</f>
        <v/>
      </c>
      <c r="G150" s="20" t="str">
        <f aca="false">IF(OR($A150="",$F150="",$E150=""),"",$F150+$E150)</f>
        <v/>
      </c>
      <c r="H150" s="21" t="str">
        <f aca="true">IF($G150="","",$G150-TODAY())</f>
        <v/>
      </c>
      <c r="I150" s="22" t="str">
        <f aca="false">IF($A150="","",COUNTIFS(점검이력!$B$3:$B$802,$A150))</f>
        <v/>
      </c>
      <c r="J150" s="22" t="str">
        <f aca="false">IF($H150="","",IF($H150&lt;0,"기한초과",IF($H150&lt;=사용안내!$C$17,"임박","정상")))</f>
        <v/>
      </c>
    </row>
    <row r="151" customFormat="false" ht="15" hidden="false" customHeight="true" outlineLevel="0" collapsed="false">
      <c r="A151" s="15" t="str">
        <f aca="false">IF(설비목록!$A148="","",설비목록!$A148)</f>
        <v/>
      </c>
      <c r="B151" s="15" t="str">
        <f aca="false">IF($A151="","",설비목록!$B148)</f>
        <v/>
      </c>
      <c r="C151" s="15" t="str">
        <f aca="false">IF($A151="","",설비목록!$C148)</f>
        <v/>
      </c>
      <c r="D151" s="15" t="str">
        <f aca="false">IF($A151="","",설비목록!$D148)</f>
        <v/>
      </c>
      <c r="E151" s="22" t="str">
        <f aca="false">IF($A151="","",설비목록!$E148)</f>
        <v/>
      </c>
      <c r="F151" s="20" t="str">
        <f aca="false">IF($A151="","",IF(COUNTIFS(점검이력!$B$3:$B$802,$A151)=0,설비목록!$F148,_xlfn.MAXIFS(점검이력!$A$3:$A$802,점검이력!$B$3:$B$802,$A151)))</f>
        <v/>
      </c>
      <c r="G151" s="20" t="str">
        <f aca="false">IF(OR($A151="",$F151="",$E151=""),"",$F151+$E151)</f>
        <v/>
      </c>
      <c r="H151" s="21" t="str">
        <f aca="true">IF($G151="","",$G151-TODAY())</f>
        <v/>
      </c>
      <c r="I151" s="22" t="str">
        <f aca="false">IF($A151="","",COUNTIFS(점검이력!$B$3:$B$802,$A151))</f>
        <v/>
      </c>
      <c r="J151" s="22" t="str">
        <f aca="false">IF($H151="","",IF($H151&lt;0,"기한초과",IF($H151&lt;=사용안내!$C$17,"임박","정상")))</f>
        <v/>
      </c>
    </row>
    <row r="152" customFormat="false" ht="15" hidden="false" customHeight="true" outlineLevel="0" collapsed="false">
      <c r="A152" s="15" t="str">
        <f aca="false">IF(설비목록!$A149="","",설비목록!$A149)</f>
        <v/>
      </c>
      <c r="B152" s="15" t="str">
        <f aca="false">IF($A152="","",설비목록!$B149)</f>
        <v/>
      </c>
      <c r="C152" s="15" t="str">
        <f aca="false">IF($A152="","",설비목록!$C149)</f>
        <v/>
      </c>
      <c r="D152" s="15" t="str">
        <f aca="false">IF($A152="","",설비목록!$D149)</f>
        <v/>
      </c>
      <c r="E152" s="22" t="str">
        <f aca="false">IF($A152="","",설비목록!$E149)</f>
        <v/>
      </c>
      <c r="F152" s="20" t="str">
        <f aca="false">IF($A152="","",IF(COUNTIFS(점검이력!$B$3:$B$802,$A152)=0,설비목록!$F149,_xlfn.MAXIFS(점검이력!$A$3:$A$802,점검이력!$B$3:$B$802,$A152)))</f>
        <v/>
      </c>
      <c r="G152" s="20" t="str">
        <f aca="false">IF(OR($A152="",$F152="",$E152=""),"",$F152+$E152)</f>
        <v/>
      </c>
      <c r="H152" s="21" t="str">
        <f aca="true">IF($G152="","",$G152-TODAY())</f>
        <v/>
      </c>
      <c r="I152" s="22" t="str">
        <f aca="false">IF($A152="","",COUNTIFS(점검이력!$B$3:$B$802,$A152))</f>
        <v/>
      </c>
      <c r="J152" s="22" t="str">
        <f aca="false">IF($H152="","",IF($H152&lt;0,"기한초과",IF($H152&lt;=사용안내!$C$17,"임박","정상")))</f>
        <v/>
      </c>
    </row>
    <row r="153" customFormat="false" ht="15" hidden="false" customHeight="true" outlineLevel="0" collapsed="false">
      <c r="A153" s="15" t="str">
        <f aca="false">IF(설비목록!$A150="","",설비목록!$A150)</f>
        <v/>
      </c>
      <c r="B153" s="15" t="str">
        <f aca="false">IF($A153="","",설비목록!$B150)</f>
        <v/>
      </c>
      <c r="C153" s="15" t="str">
        <f aca="false">IF($A153="","",설비목록!$C150)</f>
        <v/>
      </c>
      <c r="D153" s="15" t="str">
        <f aca="false">IF($A153="","",설비목록!$D150)</f>
        <v/>
      </c>
      <c r="E153" s="22" t="str">
        <f aca="false">IF($A153="","",설비목록!$E150)</f>
        <v/>
      </c>
      <c r="F153" s="20" t="str">
        <f aca="false">IF($A153="","",IF(COUNTIFS(점검이력!$B$3:$B$802,$A153)=0,설비목록!$F150,_xlfn.MAXIFS(점검이력!$A$3:$A$802,점검이력!$B$3:$B$802,$A153)))</f>
        <v/>
      </c>
      <c r="G153" s="20" t="str">
        <f aca="false">IF(OR($A153="",$F153="",$E153=""),"",$F153+$E153)</f>
        <v/>
      </c>
      <c r="H153" s="21" t="str">
        <f aca="true">IF($G153="","",$G153-TODAY())</f>
        <v/>
      </c>
      <c r="I153" s="22" t="str">
        <f aca="false">IF($A153="","",COUNTIFS(점검이력!$B$3:$B$802,$A153))</f>
        <v/>
      </c>
      <c r="J153" s="22" t="str">
        <f aca="false">IF($H153="","",IF($H153&lt;0,"기한초과",IF($H153&lt;=사용안내!$C$17,"임박","정상")))</f>
        <v/>
      </c>
    </row>
    <row r="154" customFormat="false" ht="15" hidden="false" customHeight="true" outlineLevel="0" collapsed="false">
      <c r="A154" s="15" t="str">
        <f aca="false">IF(설비목록!$A151="","",설비목록!$A151)</f>
        <v/>
      </c>
      <c r="B154" s="15" t="str">
        <f aca="false">IF($A154="","",설비목록!$B151)</f>
        <v/>
      </c>
      <c r="C154" s="15" t="str">
        <f aca="false">IF($A154="","",설비목록!$C151)</f>
        <v/>
      </c>
      <c r="D154" s="15" t="str">
        <f aca="false">IF($A154="","",설비목록!$D151)</f>
        <v/>
      </c>
      <c r="E154" s="22" t="str">
        <f aca="false">IF($A154="","",설비목록!$E151)</f>
        <v/>
      </c>
      <c r="F154" s="20" t="str">
        <f aca="false">IF($A154="","",IF(COUNTIFS(점검이력!$B$3:$B$802,$A154)=0,설비목록!$F151,_xlfn.MAXIFS(점검이력!$A$3:$A$802,점검이력!$B$3:$B$802,$A154)))</f>
        <v/>
      </c>
      <c r="G154" s="20" t="str">
        <f aca="false">IF(OR($A154="",$F154="",$E154=""),"",$F154+$E154)</f>
        <v/>
      </c>
      <c r="H154" s="21" t="str">
        <f aca="true">IF($G154="","",$G154-TODAY())</f>
        <v/>
      </c>
      <c r="I154" s="22" t="str">
        <f aca="false">IF($A154="","",COUNTIFS(점검이력!$B$3:$B$802,$A154))</f>
        <v/>
      </c>
      <c r="J154" s="22" t="str">
        <f aca="false">IF($H154="","",IF($H154&lt;0,"기한초과",IF($H154&lt;=사용안내!$C$17,"임박","정상")))</f>
        <v/>
      </c>
    </row>
    <row r="155" customFormat="false" ht="15" hidden="false" customHeight="true" outlineLevel="0" collapsed="false">
      <c r="A155" s="15" t="str">
        <f aca="false">IF(설비목록!$A152="","",설비목록!$A152)</f>
        <v/>
      </c>
      <c r="B155" s="15" t="str">
        <f aca="false">IF($A155="","",설비목록!$B152)</f>
        <v/>
      </c>
      <c r="C155" s="15" t="str">
        <f aca="false">IF($A155="","",설비목록!$C152)</f>
        <v/>
      </c>
      <c r="D155" s="15" t="str">
        <f aca="false">IF($A155="","",설비목록!$D152)</f>
        <v/>
      </c>
      <c r="E155" s="22" t="str">
        <f aca="false">IF($A155="","",설비목록!$E152)</f>
        <v/>
      </c>
      <c r="F155" s="20" t="str">
        <f aca="false">IF($A155="","",IF(COUNTIFS(점검이력!$B$3:$B$802,$A155)=0,설비목록!$F152,_xlfn.MAXIFS(점검이력!$A$3:$A$802,점검이력!$B$3:$B$802,$A155)))</f>
        <v/>
      </c>
      <c r="G155" s="20" t="str">
        <f aca="false">IF(OR($A155="",$F155="",$E155=""),"",$F155+$E155)</f>
        <v/>
      </c>
      <c r="H155" s="21" t="str">
        <f aca="true">IF($G155="","",$G155-TODAY())</f>
        <v/>
      </c>
      <c r="I155" s="22" t="str">
        <f aca="false">IF($A155="","",COUNTIFS(점검이력!$B$3:$B$802,$A155))</f>
        <v/>
      </c>
      <c r="J155" s="22" t="str">
        <f aca="false">IF($H155="","",IF($H155&lt;0,"기한초과",IF($H155&lt;=사용안내!$C$17,"임박","정상")))</f>
        <v/>
      </c>
    </row>
    <row r="156" customFormat="false" ht="15" hidden="false" customHeight="true" outlineLevel="0" collapsed="false">
      <c r="A156" s="15" t="str">
        <f aca="false">IF(설비목록!$A153="","",설비목록!$A153)</f>
        <v/>
      </c>
      <c r="B156" s="15" t="str">
        <f aca="false">IF($A156="","",설비목록!$B153)</f>
        <v/>
      </c>
      <c r="C156" s="15" t="str">
        <f aca="false">IF($A156="","",설비목록!$C153)</f>
        <v/>
      </c>
      <c r="D156" s="15" t="str">
        <f aca="false">IF($A156="","",설비목록!$D153)</f>
        <v/>
      </c>
      <c r="E156" s="22" t="str">
        <f aca="false">IF($A156="","",설비목록!$E153)</f>
        <v/>
      </c>
      <c r="F156" s="20" t="str">
        <f aca="false">IF($A156="","",IF(COUNTIFS(점검이력!$B$3:$B$802,$A156)=0,설비목록!$F153,_xlfn.MAXIFS(점검이력!$A$3:$A$802,점검이력!$B$3:$B$802,$A156)))</f>
        <v/>
      </c>
      <c r="G156" s="20" t="str">
        <f aca="false">IF(OR($A156="",$F156="",$E156=""),"",$F156+$E156)</f>
        <v/>
      </c>
      <c r="H156" s="21" t="str">
        <f aca="true">IF($G156="","",$G156-TODAY())</f>
        <v/>
      </c>
      <c r="I156" s="22" t="str">
        <f aca="false">IF($A156="","",COUNTIFS(점검이력!$B$3:$B$802,$A156))</f>
        <v/>
      </c>
      <c r="J156" s="22" t="str">
        <f aca="false">IF($H156="","",IF($H156&lt;0,"기한초과",IF($H156&lt;=사용안내!$C$17,"임박","정상")))</f>
        <v/>
      </c>
    </row>
    <row r="157" customFormat="false" ht="15" hidden="false" customHeight="true" outlineLevel="0" collapsed="false">
      <c r="A157" s="15" t="str">
        <f aca="false">IF(설비목록!$A154="","",설비목록!$A154)</f>
        <v/>
      </c>
      <c r="B157" s="15" t="str">
        <f aca="false">IF($A157="","",설비목록!$B154)</f>
        <v/>
      </c>
      <c r="C157" s="15" t="str">
        <f aca="false">IF($A157="","",설비목록!$C154)</f>
        <v/>
      </c>
      <c r="D157" s="15" t="str">
        <f aca="false">IF($A157="","",설비목록!$D154)</f>
        <v/>
      </c>
      <c r="E157" s="22" t="str">
        <f aca="false">IF($A157="","",설비목록!$E154)</f>
        <v/>
      </c>
      <c r="F157" s="20" t="str">
        <f aca="false">IF($A157="","",IF(COUNTIFS(점검이력!$B$3:$B$802,$A157)=0,설비목록!$F154,_xlfn.MAXIFS(점검이력!$A$3:$A$802,점검이력!$B$3:$B$802,$A157)))</f>
        <v/>
      </c>
      <c r="G157" s="20" t="str">
        <f aca="false">IF(OR($A157="",$F157="",$E157=""),"",$F157+$E157)</f>
        <v/>
      </c>
      <c r="H157" s="21" t="str">
        <f aca="true">IF($G157="","",$G157-TODAY())</f>
        <v/>
      </c>
      <c r="I157" s="22" t="str">
        <f aca="false">IF($A157="","",COUNTIFS(점검이력!$B$3:$B$802,$A157))</f>
        <v/>
      </c>
      <c r="J157" s="22" t="str">
        <f aca="false">IF($H157="","",IF($H157&lt;0,"기한초과",IF($H157&lt;=사용안내!$C$17,"임박","정상")))</f>
        <v/>
      </c>
    </row>
    <row r="158" customFormat="false" ht="15" hidden="false" customHeight="true" outlineLevel="0" collapsed="false">
      <c r="A158" s="15" t="str">
        <f aca="false">IF(설비목록!$A155="","",설비목록!$A155)</f>
        <v/>
      </c>
      <c r="B158" s="15" t="str">
        <f aca="false">IF($A158="","",설비목록!$B155)</f>
        <v/>
      </c>
      <c r="C158" s="15" t="str">
        <f aca="false">IF($A158="","",설비목록!$C155)</f>
        <v/>
      </c>
      <c r="D158" s="15" t="str">
        <f aca="false">IF($A158="","",설비목록!$D155)</f>
        <v/>
      </c>
      <c r="E158" s="22" t="str">
        <f aca="false">IF($A158="","",설비목록!$E155)</f>
        <v/>
      </c>
      <c r="F158" s="20" t="str">
        <f aca="false">IF($A158="","",IF(COUNTIFS(점검이력!$B$3:$B$802,$A158)=0,설비목록!$F155,_xlfn.MAXIFS(점검이력!$A$3:$A$802,점검이력!$B$3:$B$802,$A158)))</f>
        <v/>
      </c>
      <c r="G158" s="20" t="str">
        <f aca="false">IF(OR($A158="",$F158="",$E158=""),"",$F158+$E158)</f>
        <v/>
      </c>
      <c r="H158" s="21" t="str">
        <f aca="true">IF($G158="","",$G158-TODAY())</f>
        <v/>
      </c>
      <c r="I158" s="22" t="str">
        <f aca="false">IF($A158="","",COUNTIFS(점검이력!$B$3:$B$802,$A158))</f>
        <v/>
      </c>
      <c r="J158" s="22" t="str">
        <f aca="false">IF($H158="","",IF($H158&lt;0,"기한초과",IF($H158&lt;=사용안내!$C$17,"임박","정상")))</f>
        <v/>
      </c>
    </row>
    <row r="159" customFormat="false" ht="15" hidden="false" customHeight="true" outlineLevel="0" collapsed="false">
      <c r="A159" s="15" t="str">
        <f aca="false">IF(설비목록!$A156="","",설비목록!$A156)</f>
        <v/>
      </c>
      <c r="B159" s="15" t="str">
        <f aca="false">IF($A159="","",설비목록!$B156)</f>
        <v/>
      </c>
      <c r="C159" s="15" t="str">
        <f aca="false">IF($A159="","",설비목록!$C156)</f>
        <v/>
      </c>
      <c r="D159" s="15" t="str">
        <f aca="false">IF($A159="","",설비목록!$D156)</f>
        <v/>
      </c>
      <c r="E159" s="22" t="str">
        <f aca="false">IF($A159="","",설비목록!$E156)</f>
        <v/>
      </c>
      <c r="F159" s="20" t="str">
        <f aca="false">IF($A159="","",IF(COUNTIFS(점검이력!$B$3:$B$802,$A159)=0,설비목록!$F156,_xlfn.MAXIFS(점검이력!$A$3:$A$802,점검이력!$B$3:$B$802,$A159)))</f>
        <v/>
      </c>
      <c r="G159" s="20" t="str">
        <f aca="false">IF(OR($A159="",$F159="",$E159=""),"",$F159+$E159)</f>
        <v/>
      </c>
      <c r="H159" s="21" t="str">
        <f aca="true">IF($G159="","",$G159-TODAY())</f>
        <v/>
      </c>
      <c r="I159" s="22" t="str">
        <f aca="false">IF($A159="","",COUNTIFS(점검이력!$B$3:$B$802,$A159))</f>
        <v/>
      </c>
      <c r="J159" s="22" t="str">
        <f aca="false">IF($H159="","",IF($H159&lt;0,"기한초과",IF($H159&lt;=사용안내!$C$17,"임박","정상")))</f>
        <v/>
      </c>
    </row>
    <row r="160" customFormat="false" ht="15" hidden="false" customHeight="true" outlineLevel="0" collapsed="false">
      <c r="A160" s="15" t="str">
        <f aca="false">IF(설비목록!$A157="","",설비목록!$A157)</f>
        <v/>
      </c>
      <c r="B160" s="15" t="str">
        <f aca="false">IF($A160="","",설비목록!$B157)</f>
        <v/>
      </c>
      <c r="C160" s="15" t="str">
        <f aca="false">IF($A160="","",설비목록!$C157)</f>
        <v/>
      </c>
      <c r="D160" s="15" t="str">
        <f aca="false">IF($A160="","",설비목록!$D157)</f>
        <v/>
      </c>
      <c r="E160" s="22" t="str">
        <f aca="false">IF($A160="","",설비목록!$E157)</f>
        <v/>
      </c>
      <c r="F160" s="20" t="str">
        <f aca="false">IF($A160="","",IF(COUNTIFS(점검이력!$B$3:$B$802,$A160)=0,설비목록!$F157,_xlfn.MAXIFS(점검이력!$A$3:$A$802,점검이력!$B$3:$B$802,$A160)))</f>
        <v/>
      </c>
      <c r="G160" s="20" t="str">
        <f aca="false">IF(OR($A160="",$F160="",$E160=""),"",$F160+$E160)</f>
        <v/>
      </c>
      <c r="H160" s="21" t="str">
        <f aca="true">IF($G160="","",$G160-TODAY())</f>
        <v/>
      </c>
      <c r="I160" s="22" t="str">
        <f aca="false">IF($A160="","",COUNTIFS(점검이력!$B$3:$B$802,$A160))</f>
        <v/>
      </c>
      <c r="J160" s="22" t="str">
        <f aca="false">IF($H160="","",IF($H160&lt;0,"기한초과",IF($H160&lt;=사용안내!$C$17,"임박","정상")))</f>
        <v/>
      </c>
    </row>
    <row r="161" customFormat="false" ht="15" hidden="false" customHeight="true" outlineLevel="0" collapsed="false">
      <c r="A161" s="15" t="str">
        <f aca="false">IF(설비목록!$A158="","",설비목록!$A158)</f>
        <v/>
      </c>
      <c r="B161" s="15" t="str">
        <f aca="false">IF($A161="","",설비목록!$B158)</f>
        <v/>
      </c>
      <c r="C161" s="15" t="str">
        <f aca="false">IF($A161="","",설비목록!$C158)</f>
        <v/>
      </c>
      <c r="D161" s="15" t="str">
        <f aca="false">IF($A161="","",설비목록!$D158)</f>
        <v/>
      </c>
      <c r="E161" s="22" t="str">
        <f aca="false">IF($A161="","",설비목록!$E158)</f>
        <v/>
      </c>
      <c r="F161" s="20" t="str">
        <f aca="false">IF($A161="","",IF(COUNTIFS(점검이력!$B$3:$B$802,$A161)=0,설비목록!$F158,_xlfn.MAXIFS(점검이력!$A$3:$A$802,점검이력!$B$3:$B$802,$A161)))</f>
        <v/>
      </c>
      <c r="G161" s="20" t="str">
        <f aca="false">IF(OR($A161="",$F161="",$E161=""),"",$F161+$E161)</f>
        <v/>
      </c>
      <c r="H161" s="21" t="str">
        <f aca="true">IF($G161="","",$G161-TODAY())</f>
        <v/>
      </c>
      <c r="I161" s="22" t="str">
        <f aca="false">IF($A161="","",COUNTIFS(점검이력!$B$3:$B$802,$A161))</f>
        <v/>
      </c>
      <c r="J161" s="22" t="str">
        <f aca="false">IF($H161="","",IF($H161&lt;0,"기한초과",IF($H161&lt;=사용안내!$C$17,"임박","정상")))</f>
        <v/>
      </c>
    </row>
    <row r="162" customFormat="false" ht="15" hidden="false" customHeight="true" outlineLevel="0" collapsed="false">
      <c r="A162" s="15" t="str">
        <f aca="false">IF(설비목록!$A159="","",설비목록!$A159)</f>
        <v/>
      </c>
      <c r="B162" s="15" t="str">
        <f aca="false">IF($A162="","",설비목록!$B159)</f>
        <v/>
      </c>
      <c r="C162" s="15" t="str">
        <f aca="false">IF($A162="","",설비목록!$C159)</f>
        <v/>
      </c>
      <c r="D162" s="15" t="str">
        <f aca="false">IF($A162="","",설비목록!$D159)</f>
        <v/>
      </c>
      <c r="E162" s="22" t="str">
        <f aca="false">IF($A162="","",설비목록!$E159)</f>
        <v/>
      </c>
      <c r="F162" s="20" t="str">
        <f aca="false">IF($A162="","",IF(COUNTIFS(점검이력!$B$3:$B$802,$A162)=0,설비목록!$F159,_xlfn.MAXIFS(점검이력!$A$3:$A$802,점검이력!$B$3:$B$802,$A162)))</f>
        <v/>
      </c>
      <c r="G162" s="20" t="str">
        <f aca="false">IF(OR($A162="",$F162="",$E162=""),"",$F162+$E162)</f>
        <v/>
      </c>
      <c r="H162" s="21" t="str">
        <f aca="true">IF($G162="","",$G162-TODAY())</f>
        <v/>
      </c>
      <c r="I162" s="22" t="str">
        <f aca="false">IF($A162="","",COUNTIFS(점검이력!$B$3:$B$802,$A162))</f>
        <v/>
      </c>
      <c r="J162" s="22" t="str">
        <f aca="false">IF($H162="","",IF($H162&lt;0,"기한초과",IF($H162&lt;=사용안내!$C$17,"임박","정상")))</f>
        <v/>
      </c>
    </row>
    <row r="163" customFormat="false" ht="15" hidden="false" customHeight="true" outlineLevel="0" collapsed="false">
      <c r="A163" s="15" t="str">
        <f aca="false">IF(설비목록!$A160="","",설비목록!$A160)</f>
        <v/>
      </c>
      <c r="B163" s="15" t="str">
        <f aca="false">IF($A163="","",설비목록!$B160)</f>
        <v/>
      </c>
      <c r="C163" s="15" t="str">
        <f aca="false">IF($A163="","",설비목록!$C160)</f>
        <v/>
      </c>
      <c r="D163" s="15" t="str">
        <f aca="false">IF($A163="","",설비목록!$D160)</f>
        <v/>
      </c>
      <c r="E163" s="22" t="str">
        <f aca="false">IF($A163="","",설비목록!$E160)</f>
        <v/>
      </c>
      <c r="F163" s="20" t="str">
        <f aca="false">IF($A163="","",IF(COUNTIFS(점검이력!$B$3:$B$802,$A163)=0,설비목록!$F160,_xlfn.MAXIFS(점검이력!$A$3:$A$802,점검이력!$B$3:$B$802,$A163)))</f>
        <v/>
      </c>
      <c r="G163" s="20" t="str">
        <f aca="false">IF(OR($A163="",$F163="",$E163=""),"",$F163+$E163)</f>
        <v/>
      </c>
      <c r="H163" s="21" t="str">
        <f aca="true">IF($G163="","",$G163-TODAY())</f>
        <v/>
      </c>
      <c r="I163" s="22" t="str">
        <f aca="false">IF($A163="","",COUNTIFS(점검이력!$B$3:$B$802,$A163))</f>
        <v/>
      </c>
      <c r="J163" s="22" t="str">
        <f aca="false">IF($H163="","",IF($H163&lt;0,"기한초과",IF($H163&lt;=사용안내!$C$17,"임박","정상")))</f>
        <v/>
      </c>
    </row>
    <row r="164" customFormat="false" ht="15" hidden="false" customHeight="true" outlineLevel="0" collapsed="false">
      <c r="A164" s="15" t="str">
        <f aca="false">IF(설비목록!$A161="","",설비목록!$A161)</f>
        <v/>
      </c>
      <c r="B164" s="15" t="str">
        <f aca="false">IF($A164="","",설비목록!$B161)</f>
        <v/>
      </c>
      <c r="C164" s="15" t="str">
        <f aca="false">IF($A164="","",설비목록!$C161)</f>
        <v/>
      </c>
      <c r="D164" s="15" t="str">
        <f aca="false">IF($A164="","",설비목록!$D161)</f>
        <v/>
      </c>
      <c r="E164" s="22" t="str">
        <f aca="false">IF($A164="","",설비목록!$E161)</f>
        <v/>
      </c>
      <c r="F164" s="20" t="str">
        <f aca="false">IF($A164="","",IF(COUNTIFS(점검이력!$B$3:$B$802,$A164)=0,설비목록!$F161,_xlfn.MAXIFS(점검이력!$A$3:$A$802,점검이력!$B$3:$B$802,$A164)))</f>
        <v/>
      </c>
      <c r="G164" s="20" t="str">
        <f aca="false">IF(OR($A164="",$F164="",$E164=""),"",$F164+$E164)</f>
        <v/>
      </c>
      <c r="H164" s="21" t="str">
        <f aca="true">IF($G164="","",$G164-TODAY())</f>
        <v/>
      </c>
      <c r="I164" s="22" t="str">
        <f aca="false">IF($A164="","",COUNTIFS(점검이력!$B$3:$B$802,$A164))</f>
        <v/>
      </c>
      <c r="J164" s="22" t="str">
        <f aca="false">IF($H164="","",IF($H164&lt;0,"기한초과",IF($H164&lt;=사용안내!$C$17,"임박","정상")))</f>
        <v/>
      </c>
    </row>
    <row r="165" customFormat="false" ht="15" hidden="false" customHeight="true" outlineLevel="0" collapsed="false">
      <c r="A165" s="15" t="str">
        <f aca="false">IF(설비목록!$A162="","",설비목록!$A162)</f>
        <v/>
      </c>
      <c r="B165" s="15" t="str">
        <f aca="false">IF($A165="","",설비목록!$B162)</f>
        <v/>
      </c>
      <c r="C165" s="15" t="str">
        <f aca="false">IF($A165="","",설비목록!$C162)</f>
        <v/>
      </c>
      <c r="D165" s="15" t="str">
        <f aca="false">IF($A165="","",설비목록!$D162)</f>
        <v/>
      </c>
      <c r="E165" s="22" t="str">
        <f aca="false">IF($A165="","",설비목록!$E162)</f>
        <v/>
      </c>
      <c r="F165" s="20" t="str">
        <f aca="false">IF($A165="","",IF(COUNTIFS(점검이력!$B$3:$B$802,$A165)=0,설비목록!$F162,_xlfn.MAXIFS(점검이력!$A$3:$A$802,점검이력!$B$3:$B$802,$A165)))</f>
        <v/>
      </c>
      <c r="G165" s="20" t="str">
        <f aca="false">IF(OR($A165="",$F165="",$E165=""),"",$F165+$E165)</f>
        <v/>
      </c>
      <c r="H165" s="21" t="str">
        <f aca="true">IF($G165="","",$G165-TODAY())</f>
        <v/>
      </c>
      <c r="I165" s="22" t="str">
        <f aca="false">IF($A165="","",COUNTIFS(점검이력!$B$3:$B$802,$A165))</f>
        <v/>
      </c>
      <c r="J165" s="22" t="str">
        <f aca="false">IF($H165="","",IF($H165&lt;0,"기한초과",IF($H165&lt;=사용안내!$C$17,"임박","정상")))</f>
        <v/>
      </c>
    </row>
    <row r="166" customFormat="false" ht="15" hidden="false" customHeight="true" outlineLevel="0" collapsed="false">
      <c r="A166" s="15" t="str">
        <f aca="false">IF(설비목록!$A163="","",설비목록!$A163)</f>
        <v/>
      </c>
      <c r="B166" s="15" t="str">
        <f aca="false">IF($A166="","",설비목록!$B163)</f>
        <v/>
      </c>
      <c r="C166" s="15" t="str">
        <f aca="false">IF($A166="","",설비목록!$C163)</f>
        <v/>
      </c>
      <c r="D166" s="15" t="str">
        <f aca="false">IF($A166="","",설비목록!$D163)</f>
        <v/>
      </c>
      <c r="E166" s="22" t="str">
        <f aca="false">IF($A166="","",설비목록!$E163)</f>
        <v/>
      </c>
      <c r="F166" s="20" t="str">
        <f aca="false">IF($A166="","",IF(COUNTIFS(점검이력!$B$3:$B$802,$A166)=0,설비목록!$F163,_xlfn.MAXIFS(점검이력!$A$3:$A$802,점검이력!$B$3:$B$802,$A166)))</f>
        <v/>
      </c>
      <c r="G166" s="20" t="str">
        <f aca="false">IF(OR($A166="",$F166="",$E166=""),"",$F166+$E166)</f>
        <v/>
      </c>
      <c r="H166" s="21" t="str">
        <f aca="true">IF($G166="","",$G166-TODAY())</f>
        <v/>
      </c>
      <c r="I166" s="22" t="str">
        <f aca="false">IF($A166="","",COUNTIFS(점검이력!$B$3:$B$802,$A166))</f>
        <v/>
      </c>
      <c r="J166" s="22" t="str">
        <f aca="false">IF($H166="","",IF($H166&lt;0,"기한초과",IF($H166&lt;=사용안내!$C$17,"임박","정상")))</f>
        <v/>
      </c>
    </row>
    <row r="167" customFormat="false" ht="15" hidden="false" customHeight="true" outlineLevel="0" collapsed="false">
      <c r="A167" s="15" t="str">
        <f aca="false">IF(설비목록!$A164="","",설비목록!$A164)</f>
        <v/>
      </c>
      <c r="B167" s="15" t="str">
        <f aca="false">IF($A167="","",설비목록!$B164)</f>
        <v/>
      </c>
      <c r="C167" s="15" t="str">
        <f aca="false">IF($A167="","",설비목록!$C164)</f>
        <v/>
      </c>
      <c r="D167" s="15" t="str">
        <f aca="false">IF($A167="","",설비목록!$D164)</f>
        <v/>
      </c>
      <c r="E167" s="22" t="str">
        <f aca="false">IF($A167="","",설비목록!$E164)</f>
        <v/>
      </c>
      <c r="F167" s="20" t="str">
        <f aca="false">IF($A167="","",IF(COUNTIFS(점검이력!$B$3:$B$802,$A167)=0,설비목록!$F164,_xlfn.MAXIFS(점검이력!$A$3:$A$802,점검이력!$B$3:$B$802,$A167)))</f>
        <v/>
      </c>
      <c r="G167" s="20" t="str">
        <f aca="false">IF(OR($A167="",$F167="",$E167=""),"",$F167+$E167)</f>
        <v/>
      </c>
      <c r="H167" s="21" t="str">
        <f aca="true">IF($G167="","",$G167-TODAY())</f>
        <v/>
      </c>
      <c r="I167" s="22" t="str">
        <f aca="false">IF($A167="","",COUNTIFS(점검이력!$B$3:$B$802,$A167))</f>
        <v/>
      </c>
      <c r="J167" s="22" t="str">
        <f aca="false">IF($H167="","",IF($H167&lt;0,"기한초과",IF($H167&lt;=사용안내!$C$17,"임박","정상")))</f>
        <v/>
      </c>
    </row>
    <row r="168" customFormat="false" ht="15" hidden="false" customHeight="true" outlineLevel="0" collapsed="false">
      <c r="A168" s="15" t="str">
        <f aca="false">IF(설비목록!$A165="","",설비목록!$A165)</f>
        <v/>
      </c>
      <c r="B168" s="15" t="str">
        <f aca="false">IF($A168="","",설비목록!$B165)</f>
        <v/>
      </c>
      <c r="C168" s="15" t="str">
        <f aca="false">IF($A168="","",설비목록!$C165)</f>
        <v/>
      </c>
      <c r="D168" s="15" t="str">
        <f aca="false">IF($A168="","",설비목록!$D165)</f>
        <v/>
      </c>
      <c r="E168" s="22" t="str">
        <f aca="false">IF($A168="","",설비목록!$E165)</f>
        <v/>
      </c>
      <c r="F168" s="20" t="str">
        <f aca="false">IF($A168="","",IF(COUNTIFS(점검이력!$B$3:$B$802,$A168)=0,설비목록!$F165,_xlfn.MAXIFS(점검이력!$A$3:$A$802,점검이력!$B$3:$B$802,$A168)))</f>
        <v/>
      </c>
      <c r="G168" s="20" t="str">
        <f aca="false">IF(OR($A168="",$F168="",$E168=""),"",$F168+$E168)</f>
        <v/>
      </c>
      <c r="H168" s="21" t="str">
        <f aca="true">IF($G168="","",$G168-TODAY())</f>
        <v/>
      </c>
      <c r="I168" s="22" t="str">
        <f aca="false">IF($A168="","",COUNTIFS(점검이력!$B$3:$B$802,$A168))</f>
        <v/>
      </c>
      <c r="J168" s="22" t="str">
        <f aca="false">IF($H168="","",IF($H168&lt;0,"기한초과",IF($H168&lt;=사용안내!$C$17,"임박","정상")))</f>
        <v/>
      </c>
    </row>
    <row r="169" customFormat="false" ht="15" hidden="false" customHeight="true" outlineLevel="0" collapsed="false">
      <c r="A169" s="15" t="str">
        <f aca="false">IF(설비목록!$A166="","",설비목록!$A166)</f>
        <v/>
      </c>
      <c r="B169" s="15" t="str">
        <f aca="false">IF($A169="","",설비목록!$B166)</f>
        <v/>
      </c>
      <c r="C169" s="15" t="str">
        <f aca="false">IF($A169="","",설비목록!$C166)</f>
        <v/>
      </c>
      <c r="D169" s="15" t="str">
        <f aca="false">IF($A169="","",설비목록!$D166)</f>
        <v/>
      </c>
      <c r="E169" s="22" t="str">
        <f aca="false">IF($A169="","",설비목록!$E166)</f>
        <v/>
      </c>
      <c r="F169" s="20" t="str">
        <f aca="false">IF($A169="","",IF(COUNTIFS(점검이력!$B$3:$B$802,$A169)=0,설비목록!$F166,_xlfn.MAXIFS(점검이력!$A$3:$A$802,점검이력!$B$3:$B$802,$A169)))</f>
        <v/>
      </c>
      <c r="G169" s="20" t="str">
        <f aca="false">IF(OR($A169="",$F169="",$E169=""),"",$F169+$E169)</f>
        <v/>
      </c>
      <c r="H169" s="21" t="str">
        <f aca="true">IF($G169="","",$G169-TODAY())</f>
        <v/>
      </c>
      <c r="I169" s="22" t="str">
        <f aca="false">IF($A169="","",COUNTIFS(점검이력!$B$3:$B$802,$A169))</f>
        <v/>
      </c>
      <c r="J169" s="22" t="str">
        <f aca="false">IF($H169="","",IF($H169&lt;0,"기한초과",IF($H169&lt;=사용안내!$C$17,"임박","정상")))</f>
        <v/>
      </c>
    </row>
    <row r="170" customFormat="false" ht="15" hidden="false" customHeight="true" outlineLevel="0" collapsed="false">
      <c r="A170" s="15" t="str">
        <f aca="false">IF(설비목록!$A167="","",설비목록!$A167)</f>
        <v/>
      </c>
      <c r="B170" s="15" t="str">
        <f aca="false">IF($A170="","",설비목록!$B167)</f>
        <v/>
      </c>
      <c r="C170" s="15" t="str">
        <f aca="false">IF($A170="","",설비목록!$C167)</f>
        <v/>
      </c>
      <c r="D170" s="15" t="str">
        <f aca="false">IF($A170="","",설비목록!$D167)</f>
        <v/>
      </c>
      <c r="E170" s="22" t="str">
        <f aca="false">IF($A170="","",설비목록!$E167)</f>
        <v/>
      </c>
      <c r="F170" s="20" t="str">
        <f aca="false">IF($A170="","",IF(COUNTIFS(점검이력!$B$3:$B$802,$A170)=0,설비목록!$F167,_xlfn.MAXIFS(점검이력!$A$3:$A$802,점검이력!$B$3:$B$802,$A170)))</f>
        <v/>
      </c>
      <c r="G170" s="20" t="str">
        <f aca="false">IF(OR($A170="",$F170="",$E170=""),"",$F170+$E170)</f>
        <v/>
      </c>
      <c r="H170" s="21" t="str">
        <f aca="true">IF($G170="","",$G170-TODAY())</f>
        <v/>
      </c>
      <c r="I170" s="22" t="str">
        <f aca="false">IF($A170="","",COUNTIFS(점검이력!$B$3:$B$802,$A170))</f>
        <v/>
      </c>
      <c r="J170" s="22" t="str">
        <f aca="false">IF($H170="","",IF($H170&lt;0,"기한초과",IF($H170&lt;=사용안내!$C$17,"임박","정상")))</f>
        <v/>
      </c>
    </row>
    <row r="171" customFormat="false" ht="15" hidden="false" customHeight="true" outlineLevel="0" collapsed="false">
      <c r="A171" s="15" t="str">
        <f aca="false">IF(설비목록!$A168="","",설비목록!$A168)</f>
        <v/>
      </c>
      <c r="B171" s="15" t="str">
        <f aca="false">IF($A171="","",설비목록!$B168)</f>
        <v/>
      </c>
      <c r="C171" s="15" t="str">
        <f aca="false">IF($A171="","",설비목록!$C168)</f>
        <v/>
      </c>
      <c r="D171" s="15" t="str">
        <f aca="false">IF($A171="","",설비목록!$D168)</f>
        <v/>
      </c>
      <c r="E171" s="22" t="str">
        <f aca="false">IF($A171="","",설비목록!$E168)</f>
        <v/>
      </c>
      <c r="F171" s="20" t="str">
        <f aca="false">IF($A171="","",IF(COUNTIFS(점검이력!$B$3:$B$802,$A171)=0,설비목록!$F168,_xlfn.MAXIFS(점검이력!$A$3:$A$802,점검이력!$B$3:$B$802,$A171)))</f>
        <v/>
      </c>
      <c r="G171" s="20" t="str">
        <f aca="false">IF(OR($A171="",$F171="",$E171=""),"",$F171+$E171)</f>
        <v/>
      </c>
      <c r="H171" s="21" t="str">
        <f aca="true">IF($G171="","",$G171-TODAY())</f>
        <v/>
      </c>
      <c r="I171" s="22" t="str">
        <f aca="false">IF($A171="","",COUNTIFS(점검이력!$B$3:$B$802,$A171))</f>
        <v/>
      </c>
      <c r="J171" s="22" t="str">
        <f aca="false">IF($H171="","",IF($H171&lt;0,"기한초과",IF($H171&lt;=사용안내!$C$17,"임박","정상")))</f>
        <v/>
      </c>
    </row>
    <row r="172" customFormat="false" ht="15" hidden="false" customHeight="true" outlineLevel="0" collapsed="false">
      <c r="A172" s="15" t="str">
        <f aca="false">IF(설비목록!$A169="","",설비목록!$A169)</f>
        <v/>
      </c>
      <c r="B172" s="15" t="str">
        <f aca="false">IF($A172="","",설비목록!$B169)</f>
        <v/>
      </c>
      <c r="C172" s="15" t="str">
        <f aca="false">IF($A172="","",설비목록!$C169)</f>
        <v/>
      </c>
      <c r="D172" s="15" t="str">
        <f aca="false">IF($A172="","",설비목록!$D169)</f>
        <v/>
      </c>
      <c r="E172" s="22" t="str">
        <f aca="false">IF($A172="","",설비목록!$E169)</f>
        <v/>
      </c>
      <c r="F172" s="20" t="str">
        <f aca="false">IF($A172="","",IF(COUNTIFS(점검이력!$B$3:$B$802,$A172)=0,설비목록!$F169,_xlfn.MAXIFS(점검이력!$A$3:$A$802,점검이력!$B$3:$B$802,$A172)))</f>
        <v/>
      </c>
      <c r="G172" s="20" t="str">
        <f aca="false">IF(OR($A172="",$F172="",$E172=""),"",$F172+$E172)</f>
        <v/>
      </c>
      <c r="H172" s="21" t="str">
        <f aca="true">IF($G172="","",$G172-TODAY())</f>
        <v/>
      </c>
      <c r="I172" s="22" t="str">
        <f aca="false">IF($A172="","",COUNTIFS(점검이력!$B$3:$B$802,$A172))</f>
        <v/>
      </c>
      <c r="J172" s="22" t="str">
        <f aca="false">IF($H172="","",IF($H172&lt;0,"기한초과",IF($H172&lt;=사용안내!$C$17,"임박","정상")))</f>
        <v/>
      </c>
    </row>
    <row r="173" customFormat="false" ht="15" hidden="false" customHeight="true" outlineLevel="0" collapsed="false">
      <c r="A173" s="15" t="str">
        <f aca="false">IF(설비목록!$A170="","",설비목록!$A170)</f>
        <v/>
      </c>
      <c r="B173" s="15" t="str">
        <f aca="false">IF($A173="","",설비목록!$B170)</f>
        <v/>
      </c>
      <c r="C173" s="15" t="str">
        <f aca="false">IF($A173="","",설비목록!$C170)</f>
        <v/>
      </c>
      <c r="D173" s="15" t="str">
        <f aca="false">IF($A173="","",설비목록!$D170)</f>
        <v/>
      </c>
      <c r="E173" s="22" t="str">
        <f aca="false">IF($A173="","",설비목록!$E170)</f>
        <v/>
      </c>
      <c r="F173" s="20" t="str">
        <f aca="false">IF($A173="","",IF(COUNTIFS(점검이력!$B$3:$B$802,$A173)=0,설비목록!$F170,_xlfn.MAXIFS(점검이력!$A$3:$A$802,점검이력!$B$3:$B$802,$A173)))</f>
        <v/>
      </c>
      <c r="G173" s="20" t="str">
        <f aca="false">IF(OR($A173="",$F173="",$E173=""),"",$F173+$E173)</f>
        <v/>
      </c>
      <c r="H173" s="21" t="str">
        <f aca="true">IF($G173="","",$G173-TODAY())</f>
        <v/>
      </c>
      <c r="I173" s="22" t="str">
        <f aca="false">IF($A173="","",COUNTIFS(점검이력!$B$3:$B$802,$A173))</f>
        <v/>
      </c>
      <c r="J173" s="22" t="str">
        <f aca="false">IF($H173="","",IF($H173&lt;0,"기한초과",IF($H173&lt;=사용안내!$C$17,"임박","정상")))</f>
        <v/>
      </c>
    </row>
    <row r="174" customFormat="false" ht="15" hidden="false" customHeight="true" outlineLevel="0" collapsed="false">
      <c r="A174" s="15" t="str">
        <f aca="false">IF(설비목록!$A171="","",설비목록!$A171)</f>
        <v/>
      </c>
      <c r="B174" s="15" t="str">
        <f aca="false">IF($A174="","",설비목록!$B171)</f>
        <v/>
      </c>
      <c r="C174" s="15" t="str">
        <f aca="false">IF($A174="","",설비목록!$C171)</f>
        <v/>
      </c>
      <c r="D174" s="15" t="str">
        <f aca="false">IF($A174="","",설비목록!$D171)</f>
        <v/>
      </c>
      <c r="E174" s="22" t="str">
        <f aca="false">IF($A174="","",설비목록!$E171)</f>
        <v/>
      </c>
      <c r="F174" s="20" t="str">
        <f aca="false">IF($A174="","",IF(COUNTIFS(점검이력!$B$3:$B$802,$A174)=0,설비목록!$F171,_xlfn.MAXIFS(점검이력!$A$3:$A$802,점검이력!$B$3:$B$802,$A174)))</f>
        <v/>
      </c>
      <c r="G174" s="20" t="str">
        <f aca="false">IF(OR($A174="",$F174="",$E174=""),"",$F174+$E174)</f>
        <v/>
      </c>
      <c r="H174" s="21" t="str">
        <f aca="true">IF($G174="","",$G174-TODAY())</f>
        <v/>
      </c>
      <c r="I174" s="22" t="str">
        <f aca="false">IF($A174="","",COUNTIFS(점검이력!$B$3:$B$802,$A174))</f>
        <v/>
      </c>
      <c r="J174" s="22" t="str">
        <f aca="false">IF($H174="","",IF($H174&lt;0,"기한초과",IF($H174&lt;=사용안내!$C$17,"임박","정상")))</f>
        <v/>
      </c>
    </row>
    <row r="175" customFormat="false" ht="15" hidden="false" customHeight="true" outlineLevel="0" collapsed="false">
      <c r="A175" s="15" t="str">
        <f aca="false">IF(설비목록!$A172="","",설비목록!$A172)</f>
        <v/>
      </c>
      <c r="B175" s="15" t="str">
        <f aca="false">IF($A175="","",설비목록!$B172)</f>
        <v/>
      </c>
      <c r="C175" s="15" t="str">
        <f aca="false">IF($A175="","",설비목록!$C172)</f>
        <v/>
      </c>
      <c r="D175" s="15" t="str">
        <f aca="false">IF($A175="","",설비목록!$D172)</f>
        <v/>
      </c>
      <c r="E175" s="22" t="str">
        <f aca="false">IF($A175="","",설비목록!$E172)</f>
        <v/>
      </c>
      <c r="F175" s="20" t="str">
        <f aca="false">IF($A175="","",IF(COUNTIFS(점검이력!$B$3:$B$802,$A175)=0,설비목록!$F172,_xlfn.MAXIFS(점검이력!$A$3:$A$802,점검이력!$B$3:$B$802,$A175)))</f>
        <v/>
      </c>
      <c r="G175" s="20" t="str">
        <f aca="false">IF(OR($A175="",$F175="",$E175=""),"",$F175+$E175)</f>
        <v/>
      </c>
      <c r="H175" s="21" t="str">
        <f aca="true">IF($G175="","",$G175-TODAY())</f>
        <v/>
      </c>
      <c r="I175" s="22" t="str">
        <f aca="false">IF($A175="","",COUNTIFS(점검이력!$B$3:$B$802,$A175))</f>
        <v/>
      </c>
      <c r="J175" s="22" t="str">
        <f aca="false">IF($H175="","",IF($H175&lt;0,"기한초과",IF($H175&lt;=사용안내!$C$17,"임박","정상")))</f>
        <v/>
      </c>
    </row>
    <row r="176" customFormat="false" ht="15" hidden="false" customHeight="true" outlineLevel="0" collapsed="false">
      <c r="A176" s="15" t="str">
        <f aca="false">IF(설비목록!$A173="","",설비목록!$A173)</f>
        <v/>
      </c>
      <c r="B176" s="15" t="str">
        <f aca="false">IF($A176="","",설비목록!$B173)</f>
        <v/>
      </c>
      <c r="C176" s="15" t="str">
        <f aca="false">IF($A176="","",설비목록!$C173)</f>
        <v/>
      </c>
      <c r="D176" s="15" t="str">
        <f aca="false">IF($A176="","",설비목록!$D173)</f>
        <v/>
      </c>
      <c r="E176" s="22" t="str">
        <f aca="false">IF($A176="","",설비목록!$E173)</f>
        <v/>
      </c>
      <c r="F176" s="20" t="str">
        <f aca="false">IF($A176="","",IF(COUNTIFS(점검이력!$B$3:$B$802,$A176)=0,설비목록!$F173,_xlfn.MAXIFS(점검이력!$A$3:$A$802,점검이력!$B$3:$B$802,$A176)))</f>
        <v/>
      </c>
      <c r="G176" s="20" t="str">
        <f aca="false">IF(OR($A176="",$F176="",$E176=""),"",$F176+$E176)</f>
        <v/>
      </c>
      <c r="H176" s="21" t="str">
        <f aca="true">IF($G176="","",$G176-TODAY())</f>
        <v/>
      </c>
      <c r="I176" s="22" t="str">
        <f aca="false">IF($A176="","",COUNTIFS(점검이력!$B$3:$B$802,$A176))</f>
        <v/>
      </c>
      <c r="J176" s="22" t="str">
        <f aca="false">IF($H176="","",IF($H176&lt;0,"기한초과",IF($H176&lt;=사용안내!$C$17,"임박","정상")))</f>
        <v/>
      </c>
    </row>
    <row r="177" customFormat="false" ht="15" hidden="false" customHeight="true" outlineLevel="0" collapsed="false">
      <c r="A177" s="15" t="str">
        <f aca="false">IF(설비목록!$A174="","",설비목록!$A174)</f>
        <v/>
      </c>
      <c r="B177" s="15" t="str">
        <f aca="false">IF($A177="","",설비목록!$B174)</f>
        <v/>
      </c>
      <c r="C177" s="15" t="str">
        <f aca="false">IF($A177="","",설비목록!$C174)</f>
        <v/>
      </c>
      <c r="D177" s="15" t="str">
        <f aca="false">IF($A177="","",설비목록!$D174)</f>
        <v/>
      </c>
      <c r="E177" s="22" t="str">
        <f aca="false">IF($A177="","",설비목록!$E174)</f>
        <v/>
      </c>
      <c r="F177" s="20" t="str">
        <f aca="false">IF($A177="","",IF(COUNTIFS(점검이력!$B$3:$B$802,$A177)=0,설비목록!$F174,_xlfn.MAXIFS(점검이력!$A$3:$A$802,점검이력!$B$3:$B$802,$A177)))</f>
        <v/>
      </c>
      <c r="G177" s="20" t="str">
        <f aca="false">IF(OR($A177="",$F177="",$E177=""),"",$F177+$E177)</f>
        <v/>
      </c>
      <c r="H177" s="21" t="str">
        <f aca="true">IF($G177="","",$G177-TODAY())</f>
        <v/>
      </c>
      <c r="I177" s="22" t="str">
        <f aca="false">IF($A177="","",COUNTIFS(점검이력!$B$3:$B$802,$A177))</f>
        <v/>
      </c>
      <c r="J177" s="22" t="str">
        <f aca="false">IF($H177="","",IF($H177&lt;0,"기한초과",IF($H177&lt;=사용안내!$C$17,"임박","정상")))</f>
        <v/>
      </c>
    </row>
    <row r="178" customFormat="false" ht="15" hidden="false" customHeight="true" outlineLevel="0" collapsed="false">
      <c r="A178" s="15" t="str">
        <f aca="false">IF(설비목록!$A175="","",설비목록!$A175)</f>
        <v/>
      </c>
      <c r="B178" s="15" t="str">
        <f aca="false">IF($A178="","",설비목록!$B175)</f>
        <v/>
      </c>
      <c r="C178" s="15" t="str">
        <f aca="false">IF($A178="","",설비목록!$C175)</f>
        <v/>
      </c>
      <c r="D178" s="15" t="str">
        <f aca="false">IF($A178="","",설비목록!$D175)</f>
        <v/>
      </c>
      <c r="E178" s="22" t="str">
        <f aca="false">IF($A178="","",설비목록!$E175)</f>
        <v/>
      </c>
      <c r="F178" s="20" t="str">
        <f aca="false">IF($A178="","",IF(COUNTIFS(점검이력!$B$3:$B$802,$A178)=0,설비목록!$F175,_xlfn.MAXIFS(점검이력!$A$3:$A$802,점검이력!$B$3:$B$802,$A178)))</f>
        <v/>
      </c>
      <c r="G178" s="20" t="str">
        <f aca="false">IF(OR($A178="",$F178="",$E178=""),"",$F178+$E178)</f>
        <v/>
      </c>
      <c r="H178" s="21" t="str">
        <f aca="true">IF($G178="","",$G178-TODAY())</f>
        <v/>
      </c>
      <c r="I178" s="22" t="str">
        <f aca="false">IF($A178="","",COUNTIFS(점검이력!$B$3:$B$802,$A178))</f>
        <v/>
      </c>
      <c r="J178" s="22" t="str">
        <f aca="false">IF($H178="","",IF($H178&lt;0,"기한초과",IF($H178&lt;=사용안내!$C$17,"임박","정상")))</f>
        <v/>
      </c>
    </row>
    <row r="179" customFormat="false" ht="15" hidden="false" customHeight="true" outlineLevel="0" collapsed="false">
      <c r="A179" s="15" t="str">
        <f aca="false">IF(설비목록!$A176="","",설비목록!$A176)</f>
        <v/>
      </c>
      <c r="B179" s="15" t="str">
        <f aca="false">IF($A179="","",설비목록!$B176)</f>
        <v/>
      </c>
      <c r="C179" s="15" t="str">
        <f aca="false">IF($A179="","",설비목록!$C176)</f>
        <v/>
      </c>
      <c r="D179" s="15" t="str">
        <f aca="false">IF($A179="","",설비목록!$D176)</f>
        <v/>
      </c>
      <c r="E179" s="22" t="str">
        <f aca="false">IF($A179="","",설비목록!$E176)</f>
        <v/>
      </c>
      <c r="F179" s="20" t="str">
        <f aca="false">IF($A179="","",IF(COUNTIFS(점검이력!$B$3:$B$802,$A179)=0,설비목록!$F176,_xlfn.MAXIFS(점검이력!$A$3:$A$802,점검이력!$B$3:$B$802,$A179)))</f>
        <v/>
      </c>
      <c r="G179" s="20" t="str">
        <f aca="false">IF(OR($A179="",$F179="",$E179=""),"",$F179+$E179)</f>
        <v/>
      </c>
      <c r="H179" s="21" t="str">
        <f aca="true">IF($G179="","",$G179-TODAY())</f>
        <v/>
      </c>
      <c r="I179" s="22" t="str">
        <f aca="false">IF($A179="","",COUNTIFS(점검이력!$B$3:$B$802,$A179))</f>
        <v/>
      </c>
      <c r="J179" s="22" t="str">
        <f aca="false">IF($H179="","",IF($H179&lt;0,"기한초과",IF($H179&lt;=사용안내!$C$17,"임박","정상")))</f>
        <v/>
      </c>
    </row>
    <row r="180" customFormat="false" ht="15" hidden="false" customHeight="true" outlineLevel="0" collapsed="false">
      <c r="A180" s="15" t="str">
        <f aca="false">IF(설비목록!$A177="","",설비목록!$A177)</f>
        <v/>
      </c>
      <c r="B180" s="15" t="str">
        <f aca="false">IF($A180="","",설비목록!$B177)</f>
        <v/>
      </c>
      <c r="C180" s="15" t="str">
        <f aca="false">IF($A180="","",설비목록!$C177)</f>
        <v/>
      </c>
      <c r="D180" s="15" t="str">
        <f aca="false">IF($A180="","",설비목록!$D177)</f>
        <v/>
      </c>
      <c r="E180" s="22" t="str">
        <f aca="false">IF($A180="","",설비목록!$E177)</f>
        <v/>
      </c>
      <c r="F180" s="20" t="str">
        <f aca="false">IF($A180="","",IF(COUNTIFS(점검이력!$B$3:$B$802,$A180)=0,설비목록!$F177,_xlfn.MAXIFS(점검이력!$A$3:$A$802,점검이력!$B$3:$B$802,$A180)))</f>
        <v/>
      </c>
      <c r="G180" s="20" t="str">
        <f aca="false">IF(OR($A180="",$F180="",$E180=""),"",$F180+$E180)</f>
        <v/>
      </c>
      <c r="H180" s="21" t="str">
        <f aca="true">IF($G180="","",$G180-TODAY())</f>
        <v/>
      </c>
      <c r="I180" s="22" t="str">
        <f aca="false">IF($A180="","",COUNTIFS(점검이력!$B$3:$B$802,$A180))</f>
        <v/>
      </c>
      <c r="J180" s="22" t="str">
        <f aca="false">IF($H180="","",IF($H180&lt;0,"기한초과",IF($H180&lt;=사용안내!$C$17,"임박","정상")))</f>
        <v/>
      </c>
    </row>
    <row r="181" customFormat="false" ht="15" hidden="false" customHeight="true" outlineLevel="0" collapsed="false">
      <c r="A181" s="15" t="str">
        <f aca="false">IF(설비목록!$A178="","",설비목록!$A178)</f>
        <v/>
      </c>
      <c r="B181" s="15" t="str">
        <f aca="false">IF($A181="","",설비목록!$B178)</f>
        <v/>
      </c>
      <c r="C181" s="15" t="str">
        <f aca="false">IF($A181="","",설비목록!$C178)</f>
        <v/>
      </c>
      <c r="D181" s="15" t="str">
        <f aca="false">IF($A181="","",설비목록!$D178)</f>
        <v/>
      </c>
      <c r="E181" s="22" t="str">
        <f aca="false">IF($A181="","",설비목록!$E178)</f>
        <v/>
      </c>
      <c r="F181" s="20" t="str">
        <f aca="false">IF($A181="","",IF(COUNTIFS(점검이력!$B$3:$B$802,$A181)=0,설비목록!$F178,_xlfn.MAXIFS(점검이력!$A$3:$A$802,점검이력!$B$3:$B$802,$A181)))</f>
        <v/>
      </c>
      <c r="G181" s="20" t="str">
        <f aca="false">IF(OR($A181="",$F181="",$E181=""),"",$F181+$E181)</f>
        <v/>
      </c>
      <c r="H181" s="21" t="str">
        <f aca="true">IF($G181="","",$G181-TODAY())</f>
        <v/>
      </c>
      <c r="I181" s="22" t="str">
        <f aca="false">IF($A181="","",COUNTIFS(점검이력!$B$3:$B$802,$A181))</f>
        <v/>
      </c>
      <c r="J181" s="22" t="str">
        <f aca="false">IF($H181="","",IF($H181&lt;0,"기한초과",IF($H181&lt;=사용안내!$C$17,"임박","정상")))</f>
        <v/>
      </c>
    </row>
    <row r="182" customFormat="false" ht="15" hidden="false" customHeight="true" outlineLevel="0" collapsed="false">
      <c r="A182" s="15" t="str">
        <f aca="false">IF(설비목록!$A179="","",설비목록!$A179)</f>
        <v/>
      </c>
      <c r="B182" s="15" t="str">
        <f aca="false">IF($A182="","",설비목록!$B179)</f>
        <v/>
      </c>
      <c r="C182" s="15" t="str">
        <f aca="false">IF($A182="","",설비목록!$C179)</f>
        <v/>
      </c>
      <c r="D182" s="15" t="str">
        <f aca="false">IF($A182="","",설비목록!$D179)</f>
        <v/>
      </c>
      <c r="E182" s="22" t="str">
        <f aca="false">IF($A182="","",설비목록!$E179)</f>
        <v/>
      </c>
      <c r="F182" s="20" t="str">
        <f aca="false">IF($A182="","",IF(COUNTIFS(점검이력!$B$3:$B$802,$A182)=0,설비목록!$F179,_xlfn.MAXIFS(점검이력!$A$3:$A$802,점검이력!$B$3:$B$802,$A182)))</f>
        <v/>
      </c>
      <c r="G182" s="20" t="str">
        <f aca="false">IF(OR($A182="",$F182="",$E182=""),"",$F182+$E182)</f>
        <v/>
      </c>
      <c r="H182" s="21" t="str">
        <f aca="true">IF($G182="","",$G182-TODAY())</f>
        <v/>
      </c>
      <c r="I182" s="22" t="str">
        <f aca="false">IF($A182="","",COUNTIFS(점검이력!$B$3:$B$802,$A182))</f>
        <v/>
      </c>
      <c r="J182" s="22" t="str">
        <f aca="false">IF($H182="","",IF($H182&lt;0,"기한초과",IF($H182&lt;=사용안내!$C$17,"임박","정상")))</f>
        <v/>
      </c>
    </row>
    <row r="183" customFormat="false" ht="15" hidden="false" customHeight="true" outlineLevel="0" collapsed="false">
      <c r="A183" s="15" t="str">
        <f aca="false">IF(설비목록!$A180="","",설비목록!$A180)</f>
        <v/>
      </c>
      <c r="B183" s="15" t="str">
        <f aca="false">IF($A183="","",설비목록!$B180)</f>
        <v/>
      </c>
      <c r="C183" s="15" t="str">
        <f aca="false">IF($A183="","",설비목록!$C180)</f>
        <v/>
      </c>
      <c r="D183" s="15" t="str">
        <f aca="false">IF($A183="","",설비목록!$D180)</f>
        <v/>
      </c>
      <c r="E183" s="22" t="str">
        <f aca="false">IF($A183="","",설비목록!$E180)</f>
        <v/>
      </c>
      <c r="F183" s="20" t="str">
        <f aca="false">IF($A183="","",IF(COUNTIFS(점검이력!$B$3:$B$802,$A183)=0,설비목록!$F180,_xlfn.MAXIFS(점검이력!$A$3:$A$802,점검이력!$B$3:$B$802,$A183)))</f>
        <v/>
      </c>
      <c r="G183" s="20" t="str">
        <f aca="false">IF(OR($A183="",$F183="",$E183=""),"",$F183+$E183)</f>
        <v/>
      </c>
      <c r="H183" s="21" t="str">
        <f aca="true">IF($G183="","",$G183-TODAY())</f>
        <v/>
      </c>
      <c r="I183" s="22" t="str">
        <f aca="false">IF($A183="","",COUNTIFS(점검이력!$B$3:$B$802,$A183))</f>
        <v/>
      </c>
      <c r="J183" s="22" t="str">
        <f aca="false">IF($H183="","",IF($H183&lt;0,"기한초과",IF($H183&lt;=사용안내!$C$17,"임박","정상")))</f>
        <v/>
      </c>
    </row>
    <row r="184" customFormat="false" ht="15" hidden="false" customHeight="true" outlineLevel="0" collapsed="false">
      <c r="A184" s="15" t="str">
        <f aca="false">IF(설비목록!$A181="","",설비목록!$A181)</f>
        <v/>
      </c>
      <c r="B184" s="15" t="str">
        <f aca="false">IF($A184="","",설비목록!$B181)</f>
        <v/>
      </c>
      <c r="C184" s="15" t="str">
        <f aca="false">IF($A184="","",설비목록!$C181)</f>
        <v/>
      </c>
      <c r="D184" s="15" t="str">
        <f aca="false">IF($A184="","",설비목록!$D181)</f>
        <v/>
      </c>
      <c r="E184" s="22" t="str">
        <f aca="false">IF($A184="","",설비목록!$E181)</f>
        <v/>
      </c>
      <c r="F184" s="20" t="str">
        <f aca="false">IF($A184="","",IF(COUNTIFS(점검이력!$B$3:$B$802,$A184)=0,설비목록!$F181,_xlfn.MAXIFS(점검이력!$A$3:$A$802,점검이력!$B$3:$B$802,$A184)))</f>
        <v/>
      </c>
      <c r="G184" s="20" t="str">
        <f aca="false">IF(OR($A184="",$F184="",$E184=""),"",$F184+$E184)</f>
        <v/>
      </c>
      <c r="H184" s="21" t="str">
        <f aca="true">IF($G184="","",$G184-TODAY())</f>
        <v/>
      </c>
      <c r="I184" s="22" t="str">
        <f aca="false">IF($A184="","",COUNTIFS(점검이력!$B$3:$B$802,$A184))</f>
        <v/>
      </c>
      <c r="J184" s="22" t="str">
        <f aca="false">IF($H184="","",IF($H184&lt;0,"기한초과",IF($H184&lt;=사용안내!$C$17,"임박","정상")))</f>
        <v/>
      </c>
    </row>
    <row r="185" customFormat="false" ht="15" hidden="false" customHeight="true" outlineLevel="0" collapsed="false">
      <c r="A185" s="15" t="str">
        <f aca="false">IF(설비목록!$A182="","",설비목록!$A182)</f>
        <v/>
      </c>
      <c r="B185" s="15" t="str">
        <f aca="false">IF($A185="","",설비목록!$B182)</f>
        <v/>
      </c>
      <c r="C185" s="15" t="str">
        <f aca="false">IF($A185="","",설비목록!$C182)</f>
        <v/>
      </c>
      <c r="D185" s="15" t="str">
        <f aca="false">IF($A185="","",설비목록!$D182)</f>
        <v/>
      </c>
      <c r="E185" s="22" t="str">
        <f aca="false">IF($A185="","",설비목록!$E182)</f>
        <v/>
      </c>
      <c r="F185" s="20" t="str">
        <f aca="false">IF($A185="","",IF(COUNTIFS(점검이력!$B$3:$B$802,$A185)=0,설비목록!$F182,_xlfn.MAXIFS(점검이력!$A$3:$A$802,점검이력!$B$3:$B$802,$A185)))</f>
        <v/>
      </c>
      <c r="G185" s="20" t="str">
        <f aca="false">IF(OR($A185="",$F185="",$E185=""),"",$F185+$E185)</f>
        <v/>
      </c>
      <c r="H185" s="21" t="str">
        <f aca="true">IF($G185="","",$G185-TODAY())</f>
        <v/>
      </c>
      <c r="I185" s="22" t="str">
        <f aca="false">IF($A185="","",COUNTIFS(점검이력!$B$3:$B$802,$A185))</f>
        <v/>
      </c>
      <c r="J185" s="22" t="str">
        <f aca="false">IF($H185="","",IF($H185&lt;0,"기한초과",IF($H185&lt;=사용안내!$C$17,"임박","정상")))</f>
        <v/>
      </c>
    </row>
    <row r="186" customFormat="false" ht="15" hidden="false" customHeight="true" outlineLevel="0" collapsed="false">
      <c r="A186" s="15" t="str">
        <f aca="false">IF(설비목록!$A183="","",설비목록!$A183)</f>
        <v/>
      </c>
      <c r="B186" s="15" t="str">
        <f aca="false">IF($A186="","",설비목록!$B183)</f>
        <v/>
      </c>
      <c r="C186" s="15" t="str">
        <f aca="false">IF($A186="","",설비목록!$C183)</f>
        <v/>
      </c>
      <c r="D186" s="15" t="str">
        <f aca="false">IF($A186="","",설비목록!$D183)</f>
        <v/>
      </c>
      <c r="E186" s="22" t="str">
        <f aca="false">IF($A186="","",설비목록!$E183)</f>
        <v/>
      </c>
      <c r="F186" s="20" t="str">
        <f aca="false">IF($A186="","",IF(COUNTIFS(점검이력!$B$3:$B$802,$A186)=0,설비목록!$F183,_xlfn.MAXIFS(점검이력!$A$3:$A$802,점검이력!$B$3:$B$802,$A186)))</f>
        <v/>
      </c>
      <c r="G186" s="20" t="str">
        <f aca="false">IF(OR($A186="",$F186="",$E186=""),"",$F186+$E186)</f>
        <v/>
      </c>
      <c r="H186" s="21" t="str">
        <f aca="true">IF($G186="","",$G186-TODAY())</f>
        <v/>
      </c>
      <c r="I186" s="22" t="str">
        <f aca="false">IF($A186="","",COUNTIFS(점검이력!$B$3:$B$802,$A186))</f>
        <v/>
      </c>
      <c r="J186" s="22" t="str">
        <f aca="false">IF($H186="","",IF($H186&lt;0,"기한초과",IF($H186&lt;=사용안내!$C$17,"임박","정상")))</f>
        <v/>
      </c>
    </row>
    <row r="187" customFormat="false" ht="15" hidden="false" customHeight="true" outlineLevel="0" collapsed="false">
      <c r="A187" s="15" t="str">
        <f aca="false">IF(설비목록!$A184="","",설비목록!$A184)</f>
        <v/>
      </c>
      <c r="B187" s="15" t="str">
        <f aca="false">IF($A187="","",설비목록!$B184)</f>
        <v/>
      </c>
      <c r="C187" s="15" t="str">
        <f aca="false">IF($A187="","",설비목록!$C184)</f>
        <v/>
      </c>
      <c r="D187" s="15" t="str">
        <f aca="false">IF($A187="","",설비목록!$D184)</f>
        <v/>
      </c>
      <c r="E187" s="22" t="str">
        <f aca="false">IF($A187="","",설비목록!$E184)</f>
        <v/>
      </c>
      <c r="F187" s="20" t="str">
        <f aca="false">IF($A187="","",IF(COUNTIFS(점검이력!$B$3:$B$802,$A187)=0,설비목록!$F184,_xlfn.MAXIFS(점검이력!$A$3:$A$802,점검이력!$B$3:$B$802,$A187)))</f>
        <v/>
      </c>
      <c r="G187" s="20" t="str">
        <f aca="false">IF(OR($A187="",$F187="",$E187=""),"",$F187+$E187)</f>
        <v/>
      </c>
      <c r="H187" s="21" t="str">
        <f aca="true">IF($G187="","",$G187-TODAY())</f>
        <v/>
      </c>
      <c r="I187" s="22" t="str">
        <f aca="false">IF($A187="","",COUNTIFS(점검이력!$B$3:$B$802,$A187))</f>
        <v/>
      </c>
      <c r="J187" s="22" t="str">
        <f aca="false">IF($H187="","",IF($H187&lt;0,"기한초과",IF($H187&lt;=사용안내!$C$17,"임박","정상")))</f>
        <v/>
      </c>
    </row>
    <row r="188" customFormat="false" ht="15" hidden="false" customHeight="true" outlineLevel="0" collapsed="false">
      <c r="A188" s="15" t="str">
        <f aca="false">IF(설비목록!$A185="","",설비목록!$A185)</f>
        <v/>
      </c>
      <c r="B188" s="15" t="str">
        <f aca="false">IF($A188="","",설비목록!$B185)</f>
        <v/>
      </c>
      <c r="C188" s="15" t="str">
        <f aca="false">IF($A188="","",설비목록!$C185)</f>
        <v/>
      </c>
      <c r="D188" s="15" t="str">
        <f aca="false">IF($A188="","",설비목록!$D185)</f>
        <v/>
      </c>
      <c r="E188" s="22" t="str">
        <f aca="false">IF($A188="","",설비목록!$E185)</f>
        <v/>
      </c>
      <c r="F188" s="20" t="str">
        <f aca="false">IF($A188="","",IF(COUNTIFS(점검이력!$B$3:$B$802,$A188)=0,설비목록!$F185,_xlfn.MAXIFS(점검이력!$A$3:$A$802,점검이력!$B$3:$B$802,$A188)))</f>
        <v/>
      </c>
      <c r="G188" s="20" t="str">
        <f aca="false">IF(OR($A188="",$F188="",$E188=""),"",$F188+$E188)</f>
        <v/>
      </c>
      <c r="H188" s="21" t="str">
        <f aca="true">IF($G188="","",$G188-TODAY())</f>
        <v/>
      </c>
      <c r="I188" s="22" t="str">
        <f aca="false">IF($A188="","",COUNTIFS(점검이력!$B$3:$B$802,$A188))</f>
        <v/>
      </c>
      <c r="J188" s="22" t="str">
        <f aca="false">IF($H188="","",IF($H188&lt;0,"기한초과",IF($H188&lt;=사용안내!$C$17,"임박","정상")))</f>
        <v/>
      </c>
    </row>
    <row r="189" customFormat="false" ht="15" hidden="false" customHeight="true" outlineLevel="0" collapsed="false">
      <c r="A189" s="15" t="str">
        <f aca="false">IF(설비목록!$A186="","",설비목록!$A186)</f>
        <v/>
      </c>
      <c r="B189" s="15" t="str">
        <f aca="false">IF($A189="","",설비목록!$B186)</f>
        <v/>
      </c>
      <c r="C189" s="15" t="str">
        <f aca="false">IF($A189="","",설비목록!$C186)</f>
        <v/>
      </c>
      <c r="D189" s="15" t="str">
        <f aca="false">IF($A189="","",설비목록!$D186)</f>
        <v/>
      </c>
      <c r="E189" s="22" t="str">
        <f aca="false">IF($A189="","",설비목록!$E186)</f>
        <v/>
      </c>
      <c r="F189" s="20" t="str">
        <f aca="false">IF($A189="","",IF(COUNTIFS(점검이력!$B$3:$B$802,$A189)=0,설비목록!$F186,_xlfn.MAXIFS(점검이력!$A$3:$A$802,점검이력!$B$3:$B$802,$A189)))</f>
        <v/>
      </c>
      <c r="G189" s="20" t="str">
        <f aca="false">IF(OR($A189="",$F189="",$E189=""),"",$F189+$E189)</f>
        <v/>
      </c>
      <c r="H189" s="21" t="str">
        <f aca="true">IF($G189="","",$G189-TODAY())</f>
        <v/>
      </c>
      <c r="I189" s="22" t="str">
        <f aca="false">IF($A189="","",COUNTIFS(점검이력!$B$3:$B$802,$A189))</f>
        <v/>
      </c>
      <c r="J189" s="22" t="str">
        <f aca="false">IF($H189="","",IF($H189&lt;0,"기한초과",IF($H189&lt;=사용안내!$C$17,"임박","정상")))</f>
        <v/>
      </c>
    </row>
    <row r="190" customFormat="false" ht="15" hidden="false" customHeight="true" outlineLevel="0" collapsed="false">
      <c r="A190" s="15" t="str">
        <f aca="false">IF(설비목록!$A187="","",설비목록!$A187)</f>
        <v/>
      </c>
      <c r="B190" s="15" t="str">
        <f aca="false">IF($A190="","",설비목록!$B187)</f>
        <v/>
      </c>
      <c r="C190" s="15" t="str">
        <f aca="false">IF($A190="","",설비목록!$C187)</f>
        <v/>
      </c>
      <c r="D190" s="15" t="str">
        <f aca="false">IF($A190="","",설비목록!$D187)</f>
        <v/>
      </c>
      <c r="E190" s="22" t="str">
        <f aca="false">IF($A190="","",설비목록!$E187)</f>
        <v/>
      </c>
      <c r="F190" s="20" t="str">
        <f aca="false">IF($A190="","",IF(COUNTIFS(점검이력!$B$3:$B$802,$A190)=0,설비목록!$F187,_xlfn.MAXIFS(점검이력!$A$3:$A$802,점검이력!$B$3:$B$802,$A190)))</f>
        <v/>
      </c>
      <c r="G190" s="20" t="str">
        <f aca="false">IF(OR($A190="",$F190="",$E190=""),"",$F190+$E190)</f>
        <v/>
      </c>
      <c r="H190" s="21" t="str">
        <f aca="true">IF($G190="","",$G190-TODAY())</f>
        <v/>
      </c>
      <c r="I190" s="22" t="str">
        <f aca="false">IF($A190="","",COUNTIFS(점검이력!$B$3:$B$802,$A190))</f>
        <v/>
      </c>
      <c r="J190" s="22" t="str">
        <f aca="false">IF($H190="","",IF($H190&lt;0,"기한초과",IF($H190&lt;=사용안내!$C$17,"임박","정상")))</f>
        <v/>
      </c>
    </row>
    <row r="191" customFormat="false" ht="15" hidden="false" customHeight="true" outlineLevel="0" collapsed="false">
      <c r="A191" s="15" t="str">
        <f aca="false">IF(설비목록!$A188="","",설비목록!$A188)</f>
        <v/>
      </c>
      <c r="B191" s="15" t="str">
        <f aca="false">IF($A191="","",설비목록!$B188)</f>
        <v/>
      </c>
      <c r="C191" s="15" t="str">
        <f aca="false">IF($A191="","",설비목록!$C188)</f>
        <v/>
      </c>
      <c r="D191" s="15" t="str">
        <f aca="false">IF($A191="","",설비목록!$D188)</f>
        <v/>
      </c>
      <c r="E191" s="22" t="str">
        <f aca="false">IF($A191="","",설비목록!$E188)</f>
        <v/>
      </c>
      <c r="F191" s="20" t="str">
        <f aca="false">IF($A191="","",IF(COUNTIFS(점검이력!$B$3:$B$802,$A191)=0,설비목록!$F188,_xlfn.MAXIFS(점검이력!$A$3:$A$802,점검이력!$B$3:$B$802,$A191)))</f>
        <v/>
      </c>
      <c r="G191" s="20" t="str">
        <f aca="false">IF(OR($A191="",$F191="",$E191=""),"",$F191+$E191)</f>
        <v/>
      </c>
      <c r="H191" s="21" t="str">
        <f aca="true">IF($G191="","",$G191-TODAY())</f>
        <v/>
      </c>
      <c r="I191" s="22" t="str">
        <f aca="false">IF($A191="","",COUNTIFS(점검이력!$B$3:$B$802,$A191))</f>
        <v/>
      </c>
      <c r="J191" s="22" t="str">
        <f aca="false">IF($H191="","",IF($H191&lt;0,"기한초과",IF($H191&lt;=사용안내!$C$17,"임박","정상")))</f>
        <v/>
      </c>
    </row>
    <row r="192" customFormat="false" ht="15" hidden="false" customHeight="true" outlineLevel="0" collapsed="false">
      <c r="A192" s="15" t="str">
        <f aca="false">IF(설비목록!$A189="","",설비목록!$A189)</f>
        <v/>
      </c>
      <c r="B192" s="15" t="str">
        <f aca="false">IF($A192="","",설비목록!$B189)</f>
        <v/>
      </c>
      <c r="C192" s="15" t="str">
        <f aca="false">IF($A192="","",설비목록!$C189)</f>
        <v/>
      </c>
      <c r="D192" s="15" t="str">
        <f aca="false">IF($A192="","",설비목록!$D189)</f>
        <v/>
      </c>
      <c r="E192" s="22" t="str">
        <f aca="false">IF($A192="","",설비목록!$E189)</f>
        <v/>
      </c>
      <c r="F192" s="20" t="str">
        <f aca="false">IF($A192="","",IF(COUNTIFS(점검이력!$B$3:$B$802,$A192)=0,설비목록!$F189,_xlfn.MAXIFS(점검이력!$A$3:$A$802,점검이력!$B$3:$B$802,$A192)))</f>
        <v/>
      </c>
      <c r="G192" s="20" t="str">
        <f aca="false">IF(OR($A192="",$F192="",$E192=""),"",$F192+$E192)</f>
        <v/>
      </c>
      <c r="H192" s="21" t="str">
        <f aca="true">IF($G192="","",$G192-TODAY())</f>
        <v/>
      </c>
      <c r="I192" s="22" t="str">
        <f aca="false">IF($A192="","",COUNTIFS(점검이력!$B$3:$B$802,$A192))</f>
        <v/>
      </c>
      <c r="J192" s="22" t="str">
        <f aca="false">IF($H192="","",IF($H192&lt;0,"기한초과",IF($H192&lt;=사용안내!$C$17,"임박","정상")))</f>
        <v/>
      </c>
    </row>
    <row r="193" customFormat="false" ht="15" hidden="false" customHeight="true" outlineLevel="0" collapsed="false">
      <c r="A193" s="15" t="str">
        <f aca="false">IF(설비목록!$A190="","",설비목록!$A190)</f>
        <v/>
      </c>
      <c r="B193" s="15" t="str">
        <f aca="false">IF($A193="","",설비목록!$B190)</f>
        <v/>
      </c>
      <c r="C193" s="15" t="str">
        <f aca="false">IF($A193="","",설비목록!$C190)</f>
        <v/>
      </c>
      <c r="D193" s="15" t="str">
        <f aca="false">IF($A193="","",설비목록!$D190)</f>
        <v/>
      </c>
      <c r="E193" s="22" t="str">
        <f aca="false">IF($A193="","",설비목록!$E190)</f>
        <v/>
      </c>
      <c r="F193" s="20" t="str">
        <f aca="false">IF($A193="","",IF(COUNTIFS(점검이력!$B$3:$B$802,$A193)=0,설비목록!$F190,_xlfn.MAXIFS(점검이력!$A$3:$A$802,점검이력!$B$3:$B$802,$A193)))</f>
        <v/>
      </c>
      <c r="G193" s="20" t="str">
        <f aca="false">IF(OR($A193="",$F193="",$E193=""),"",$F193+$E193)</f>
        <v/>
      </c>
      <c r="H193" s="21" t="str">
        <f aca="true">IF($G193="","",$G193-TODAY())</f>
        <v/>
      </c>
      <c r="I193" s="22" t="str">
        <f aca="false">IF($A193="","",COUNTIFS(점검이력!$B$3:$B$802,$A193))</f>
        <v/>
      </c>
      <c r="J193" s="22" t="str">
        <f aca="false">IF($H193="","",IF($H193&lt;0,"기한초과",IF($H193&lt;=사용안내!$C$17,"임박","정상")))</f>
        <v/>
      </c>
    </row>
    <row r="194" customFormat="false" ht="15" hidden="false" customHeight="true" outlineLevel="0" collapsed="false">
      <c r="A194" s="15" t="str">
        <f aca="false">IF(설비목록!$A191="","",설비목록!$A191)</f>
        <v/>
      </c>
      <c r="B194" s="15" t="str">
        <f aca="false">IF($A194="","",설비목록!$B191)</f>
        <v/>
      </c>
      <c r="C194" s="15" t="str">
        <f aca="false">IF($A194="","",설비목록!$C191)</f>
        <v/>
      </c>
      <c r="D194" s="15" t="str">
        <f aca="false">IF($A194="","",설비목록!$D191)</f>
        <v/>
      </c>
      <c r="E194" s="22" t="str">
        <f aca="false">IF($A194="","",설비목록!$E191)</f>
        <v/>
      </c>
      <c r="F194" s="20" t="str">
        <f aca="false">IF($A194="","",IF(COUNTIFS(점검이력!$B$3:$B$802,$A194)=0,설비목록!$F191,_xlfn.MAXIFS(점검이력!$A$3:$A$802,점검이력!$B$3:$B$802,$A194)))</f>
        <v/>
      </c>
      <c r="G194" s="20" t="str">
        <f aca="false">IF(OR($A194="",$F194="",$E194=""),"",$F194+$E194)</f>
        <v/>
      </c>
      <c r="H194" s="21" t="str">
        <f aca="true">IF($G194="","",$G194-TODAY())</f>
        <v/>
      </c>
      <c r="I194" s="22" t="str">
        <f aca="false">IF($A194="","",COUNTIFS(점검이력!$B$3:$B$802,$A194))</f>
        <v/>
      </c>
      <c r="J194" s="22" t="str">
        <f aca="false">IF($H194="","",IF($H194&lt;0,"기한초과",IF($H194&lt;=사용안내!$C$17,"임박","정상")))</f>
        <v/>
      </c>
    </row>
    <row r="195" customFormat="false" ht="15" hidden="false" customHeight="true" outlineLevel="0" collapsed="false">
      <c r="A195" s="15" t="str">
        <f aca="false">IF(설비목록!$A192="","",설비목록!$A192)</f>
        <v/>
      </c>
      <c r="B195" s="15" t="str">
        <f aca="false">IF($A195="","",설비목록!$B192)</f>
        <v/>
      </c>
      <c r="C195" s="15" t="str">
        <f aca="false">IF($A195="","",설비목록!$C192)</f>
        <v/>
      </c>
      <c r="D195" s="15" t="str">
        <f aca="false">IF($A195="","",설비목록!$D192)</f>
        <v/>
      </c>
      <c r="E195" s="22" t="str">
        <f aca="false">IF($A195="","",설비목록!$E192)</f>
        <v/>
      </c>
      <c r="F195" s="20" t="str">
        <f aca="false">IF($A195="","",IF(COUNTIFS(점검이력!$B$3:$B$802,$A195)=0,설비목록!$F192,_xlfn.MAXIFS(점검이력!$A$3:$A$802,점검이력!$B$3:$B$802,$A195)))</f>
        <v/>
      </c>
      <c r="G195" s="20" t="str">
        <f aca="false">IF(OR($A195="",$F195="",$E195=""),"",$F195+$E195)</f>
        <v/>
      </c>
      <c r="H195" s="21" t="str">
        <f aca="true">IF($G195="","",$G195-TODAY())</f>
        <v/>
      </c>
      <c r="I195" s="22" t="str">
        <f aca="false">IF($A195="","",COUNTIFS(점검이력!$B$3:$B$802,$A195))</f>
        <v/>
      </c>
      <c r="J195" s="22" t="str">
        <f aca="false">IF($H195="","",IF($H195&lt;0,"기한초과",IF($H195&lt;=사용안내!$C$17,"임박","정상")))</f>
        <v/>
      </c>
    </row>
    <row r="196" customFormat="false" ht="15" hidden="false" customHeight="true" outlineLevel="0" collapsed="false">
      <c r="A196" s="15" t="str">
        <f aca="false">IF(설비목록!$A193="","",설비목록!$A193)</f>
        <v/>
      </c>
      <c r="B196" s="15" t="str">
        <f aca="false">IF($A196="","",설비목록!$B193)</f>
        <v/>
      </c>
      <c r="C196" s="15" t="str">
        <f aca="false">IF($A196="","",설비목록!$C193)</f>
        <v/>
      </c>
      <c r="D196" s="15" t="str">
        <f aca="false">IF($A196="","",설비목록!$D193)</f>
        <v/>
      </c>
      <c r="E196" s="22" t="str">
        <f aca="false">IF($A196="","",설비목록!$E193)</f>
        <v/>
      </c>
      <c r="F196" s="20" t="str">
        <f aca="false">IF($A196="","",IF(COUNTIFS(점검이력!$B$3:$B$802,$A196)=0,설비목록!$F193,_xlfn.MAXIFS(점검이력!$A$3:$A$802,점검이력!$B$3:$B$802,$A196)))</f>
        <v/>
      </c>
      <c r="G196" s="20" t="str">
        <f aca="false">IF(OR($A196="",$F196="",$E196=""),"",$F196+$E196)</f>
        <v/>
      </c>
      <c r="H196" s="21" t="str">
        <f aca="true">IF($G196="","",$G196-TODAY())</f>
        <v/>
      </c>
      <c r="I196" s="22" t="str">
        <f aca="false">IF($A196="","",COUNTIFS(점검이력!$B$3:$B$802,$A196))</f>
        <v/>
      </c>
      <c r="J196" s="22" t="str">
        <f aca="false">IF($H196="","",IF($H196&lt;0,"기한초과",IF($H196&lt;=사용안내!$C$17,"임박","정상")))</f>
        <v/>
      </c>
    </row>
    <row r="197" customFormat="false" ht="15" hidden="false" customHeight="true" outlineLevel="0" collapsed="false">
      <c r="A197" s="15" t="str">
        <f aca="false">IF(설비목록!$A194="","",설비목록!$A194)</f>
        <v/>
      </c>
      <c r="B197" s="15" t="str">
        <f aca="false">IF($A197="","",설비목록!$B194)</f>
        <v/>
      </c>
      <c r="C197" s="15" t="str">
        <f aca="false">IF($A197="","",설비목록!$C194)</f>
        <v/>
      </c>
      <c r="D197" s="15" t="str">
        <f aca="false">IF($A197="","",설비목록!$D194)</f>
        <v/>
      </c>
      <c r="E197" s="22" t="str">
        <f aca="false">IF($A197="","",설비목록!$E194)</f>
        <v/>
      </c>
      <c r="F197" s="20" t="str">
        <f aca="false">IF($A197="","",IF(COUNTIFS(점검이력!$B$3:$B$802,$A197)=0,설비목록!$F194,_xlfn.MAXIFS(점검이력!$A$3:$A$802,점검이력!$B$3:$B$802,$A197)))</f>
        <v/>
      </c>
      <c r="G197" s="20" t="str">
        <f aca="false">IF(OR($A197="",$F197="",$E197=""),"",$F197+$E197)</f>
        <v/>
      </c>
      <c r="H197" s="21" t="str">
        <f aca="true">IF($G197="","",$G197-TODAY())</f>
        <v/>
      </c>
      <c r="I197" s="22" t="str">
        <f aca="false">IF($A197="","",COUNTIFS(점검이력!$B$3:$B$802,$A197))</f>
        <v/>
      </c>
      <c r="J197" s="22" t="str">
        <f aca="false">IF($H197="","",IF($H197&lt;0,"기한초과",IF($H197&lt;=사용안내!$C$17,"임박","정상")))</f>
        <v/>
      </c>
    </row>
    <row r="198" customFormat="false" ht="15" hidden="false" customHeight="true" outlineLevel="0" collapsed="false">
      <c r="A198" s="15" t="str">
        <f aca="false">IF(설비목록!$A195="","",설비목록!$A195)</f>
        <v/>
      </c>
      <c r="B198" s="15" t="str">
        <f aca="false">IF($A198="","",설비목록!$B195)</f>
        <v/>
      </c>
      <c r="C198" s="15" t="str">
        <f aca="false">IF($A198="","",설비목록!$C195)</f>
        <v/>
      </c>
      <c r="D198" s="15" t="str">
        <f aca="false">IF($A198="","",설비목록!$D195)</f>
        <v/>
      </c>
      <c r="E198" s="22" t="str">
        <f aca="false">IF($A198="","",설비목록!$E195)</f>
        <v/>
      </c>
      <c r="F198" s="20" t="str">
        <f aca="false">IF($A198="","",IF(COUNTIFS(점검이력!$B$3:$B$802,$A198)=0,설비목록!$F195,_xlfn.MAXIFS(점검이력!$A$3:$A$802,점검이력!$B$3:$B$802,$A198)))</f>
        <v/>
      </c>
      <c r="G198" s="20" t="str">
        <f aca="false">IF(OR($A198="",$F198="",$E198=""),"",$F198+$E198)</f>
        <v/>
      </c>
      <c r="H198" s="21" t="str">
        <f aca="true">IF($G198="","",$G198-TODAY())</f>
        <v/>
      </c>
      <c r="I198" s="22" t="str">
        <f aca="false">IF($A198="","",COUNTIFS(점검이력!$B$3:$B$802,$A198))</f>
        <v/>
      </c>
      <c r="J198" s="22" t="str">
        <f aca="false">IF($H198="","",IF($H198&lt;0,"기한초과",IF($H198&lt;=사용안내!$C$17,"임박","정상")))</f>
        <v/>
      </c>
    </row>
    <row r="199" customFormat="false" ht="15" hidden="false" customHeight="true" outlineLevel="0" collapsed="false">
      <c r="A199" s="15" t="str">
        <f aca="false">IF(설비목록!$A196="","",설비목록!$A196)</f>
        <v/>
      </c>
      <c r="B199" s="15" t="str">
        <f aca="false">IF($A199="","",설비목록!$B196)</f>
        <v/>
      </c>
      <c r="C199" s="15" t="str">
        <f aca="false">IF($A199="","",설비목록!$C196)</f>
        <v/>
      </c>
      <c r="D199" s="15" t="str">
        <f aca="false">IF($A199="","",설비목록!$D196)</f>
        <v/>
      </c>
      <c r="E199" s="22" t="str">
        <f aca="false">IF($A199="","",설비목록!$E196)</f>
        <v/>
      </c>
      <c r="F199" s="20" t="str">
        <f aca="false">IF($A199="","",IF(COUNTIFS(점검이력!$B$3:$B$802,$A199)=0,설비목록!$F196,_xlfn.MAXIFS(점검이력!$A$3:$A$802,점검이력!$B$3:$B$802,$A199)))</f>
        <v/>
      </c>
      <c r="G199" s="20" t="str">
        <f aca="false">IF(OR($A199="",$F199="",$E199=""),"",$F199+$E199)</f>
        <v/>
      </c>
      <c r="H199" s="21" t="str">
        <f aca="true">IF($G199="","",$G199-TODAY())</f>
        <v/>
      </c>
      <c r="I199" s="22" t="str">
        <f aca="false">IF($A199="","",COUNTIFS(점검이력!$B$3:$B$802,$A199))</f>
        <v/>
      </c>
      <c r="J199" s="22" t="str">
        <f aca="false">IF($H199="","",IF($H199&lt;0,"기한초과",IF($H199&lt;=사용안내!$C$17,"임박","정상")))</f>
        <v/>
      </c>
    </row>
    <row r="200" customFormat="false" ht="15" hidden="false" customHeight="true" outlineLevel="0" collapsed="false">
      <c r="A200" s="15" t="str">
        <f aca="false">IF(설비목록!$A197="","",설비목록!$A197)</f>
        <v/>
      </c>
      <c r="B200" s="15" t="str">
        <f aca="false">IF($A200="","",설비목록!$B197)</f>
        <v/>
      </c>
      <c r="C200" s="15" t="str">
        <f aca="false">IF($A200="","",설비목록!$C197)</f>
        <v/>
      </c>
      <c r="D200" s="15" t="str">
        <f aca="false">IF($A200="","",설비목록!$D197)</f>
        <v/>
      </c>
      <c r="E200" s="22" t="str">
        <f aca="false">IF($A200="","",설비목록!$E197)</f>
        <v/>
      </c>
      <c r="F200" s="20" t="str">
        <f aca="false">IF($A200="","",IF(COUNTIFS(점검이력!$B$3:$B$802,$A200)=0,설비목록!$F197,_xlfn.MAXIFS(점검이력!$A$3:$A$802,점검이력!$B$3:$B$802,$A200)))</f>
        <v/>
      </c>
      <c r="G200" s="20" t="str">
        <f aca="false">IF(OR($A200="",$F200="",$E200=""),"",$F200+$E200)</f>
        <v/>
      </c>
      <c r="H200" s="21" t="str">
        <f aca="true">IF($G200="","",$G200-TODAY())</f>
        <v/>
      </c>
      <c r="I200" s="22" t="str">
        <f aca="false">IF($A200="","",COUNTIFS(점검이력!$B$3:$B$802,$A200))</f>
        <v/>
      </c>
      <c r="J200" s="22" t="str">
        <f aca="false">IF($H200="","",IF($H200&lt;0,"기한초과",IF($H200&lt;=사용안내!$C$17,"임박","정상")))</f>
        <v/>
      </c>
    </row>
    <row r="201" customFormat="false" ht="15" hidden="false" customHeight="true" outlineLevel="0" collapsed="false">
      <c r="A201" s="15" t="str">
        <f aca="false">IF(설비목록!$A198="","",설비목록!$A198)</f>
        <v/>
      </c>
      <c r="B201" s="15" t="str">
        <f aca="false">IF($A201="","",설비목록!$B198)</f>
        <v/>
      </c>
      <c r="C201" s="15" t="str">
        <f aca="false">IF($A201="","",설비목록!$C198)</f>
        <v/>
      </c>
      <c r="D201" s="15" t="str">
        <f aca="false">IF($A201="","",설비목록!$D198)</f>
        <v/>
      </c>
      <c r="E201" s="22" t="str">
        <f aca="false">IF($A201="","",설비목록!$E198)</f>
        <v/>
      </c>
      <c r="F201" s="20" t="str">
        <f aca="false">IF($A201="","",IF(COUNTIFS(점검이력!$B$3:$B$802,$A201)=0,설비목록!$F198,_xlfn.MAXIFS(점검이력!$A$3:$A$802,점검이력!$B$3:$B$802,$A201)))</f>
        <v/>
      </c>
      <c r="G201" s="20" t="str">
        <f aca="false">IF(OR($A201="",$F201="",$E201=""),"",$F201+$E201)</f>
        <v/>
      </c>
      <c r="H201" s="21" t="str">
        <f aca="true">IF($G201="","",$G201-TODAY())</f>
        <v/>
      </c>
      <c r="I201" s="22" t="str">
        <f aca="false">IF($A201="","",COUNTIFS(점검이력!$B$3:$B$802,$A201))</f>
        <v/>
      </c>
      <c r="J201" s="22" t="str">
        <f aca="false">IF($H201="","",IF($H201&lt;0,"기한초과",IF($H201&lt;=사용안내!$C$17,"임박","정상")))</f>
        <v/>
      </c>
    </row>
    <row r="202" customFormat="false" ht="15" hidden="false" customHeight="true" outlineLevel="0" collapsed="false">
      <c r="A202" s="15" t="str">
        <f aca="false">IF(설비목록!$A199="","",설비목록!$A199)</f>
        <v/>
      </c>
      <c r="B202" s="15" t="str">
        <f aca="false">IF($A202="","",설비목록!$B199)</f>
        <v/>
      </c>
      <c r="C202" s="15" t="str">
        <f aca="false">IF($A202="","",설비목록!$C199)</f>
        <v/>
      </c>
      <c r="D202" s="15" t="str">
        <f aca="false">IF($A202="","",설비목록!$D199)</f>
        <v/>
      </c>
      <c r="E202" s="22" t="str">
        <f aca="false">IF($A202="","",설비목록!$E199)</f>
        <v/>
      </c>
      <c r="F202" s="20" t="str">
        <f aca="false">IF($A202="","",IF(COUNTIFS(점검이력!$B$3:$B$802,$A202)=0,설비목록!$F199,_xlfn.MAXIFS(점검이력!$A$3:$A$802,점검이력!$B$3:$B$802,$A202)))</f>
        <v/>
      </c>
      <c r="G202" s="20" t="str">
        <f aca="false">IF(OR($A202="",$F202="",$E202=""),"",$F202+$E202)</f>
        <v/>
      </c>
      <c r="H202" s="21" t="str">
        <f aca="true">IF($G202="","",$G202-TODAY())</f>
        <v/>
      </c>
      <c r="I202" s="22" t="str">
        <f aca="false">IF($A202="","",COUNTIFS(점검이력!$B$3:$B$802,$A202))</f>
        <v/>
      </c>
      <c r="J202" s="22" t="str">
        <f aca="false">IF($H202="","",IF($H202&lt;0,"기한초과",IF($H202&lt;=사용안내!$C$17,"임박","정상")))</f>
        <v/>
      </c>
    </row>
    <row r="203" customFormat="false" ht="15" hidden="false" customHeight="true" outlineLevel="0" collapsed="false">
      <c r="A203" s="15" t="str">
        <f aca="false">IF(설비목록!$A200="","",설비목록!$A200)</f>
        <v/>
      </c>
      <c r="B203" s="15" t="str">
        <f aca="false">IF($A203="","",설비목록!$B200)</f>
        <v/>
      </c>
      <c r="C203" s="15" t="str">
        <f aca="false">IF($A203="","",설비목록!$C200)</f>
        <v/>
      </c>
      <c r="D203" s="15" t="str">
        <f aca="false">IF($A203="","",설비목록!$D200)</f>
        <v/>
      </c>
      <c r="E203" s="22" t="str">
        <f aca="false">IF($A203="","",설비목록!$E200)</f>
        <v/>
      </c>
      <c r="F203" s="20" t="str">
        <f aca="false">IF($A203="","",IF(COUNTIFS(점검이력!$B$3:$B$802,$A203)=0,설비목록!$F200,_xlfn.MAXIFS(점검이력!$A$3:$A$802,점검이력!$B$3:$B$802,$A203)))</f>
        <v/>
      </c>
      <c r="G203" s="20" t="str">
        <f aca="false">IF(OR($A203="",$F203="",$E203=""),"",$F203+$E203)</f>
        <v/>
      </c>
      <c r="H203" s="21" t="str">
        <f aca="true">IF($G203="","",$G203-TODAY())</f>
        <v/>
      </c>
      <c r="I203" s="22" t="str">
        <f aca="false">IF($A203="","",COUNTIFS(점검이력!$B$3:$B$802,$A203))</f>
        <v/>
      </c>
      <c r="J203" s="22" t="str">
        <f aca="false">IF($H203="","",IF($H203&lt;0,"기한초과",IF($H203&lt;=사용안내!$C$17,"임박","정상")))</f>
        <v/>
      </c>
    </row>
    <row r="204" customFormat="false" ht="15" hidden="false" customHeight="true" outlineLevel="0" collapsed="false">
      <c r="A204" s="15" t="str">
        <f aca="false">IF(설비목록!$A201="","",설비목록!$A201)</f>
        <v/>
      </c>
      <c r="B204" s="15" t="str">
        <f aca="false">IF($A204="","",설비목록!$B201)</f>
        <v/>
      </c>
      <c r="C204" s="15" t="str">
        <f aca="false">IF($A204="","",설비목록!$C201)</f>
        <v/>
      </c>
      <c r="D204" s="15" t="str">
        <f aca="false">IF($A204="","",설비목록!$D201)</f>
        <v/>
      </c>
      <c r="E204" s="22" t="str">
        <f aca="false">IF($A204="","",설비목록!$E201)</f>
        <v/>
      </c>
      <c r="F204" s="20" t="str">
        <f aca="false">IF($A204="","",IF(COUNTIFS(점검이력!$B$3:$B$802,$A204)=0,설비목록!$F201,_xlfn.MAXIFS(점검이력!$A$3:$A$802,점검이력!$B$3:$B$802,$A204)))</f>
        <v/>
      </c>
      <c r="G204" s="20" t="str">
        <f aca="false">IF(OR($A204="",$F204="",$E204=""),"",$F204+$E204)</f>
        <v/>
      </c>
      <c r="H204" s="21" t="str">
        <f aca="true">IF($G204="","",$G204-TODAY())</f>
        <v/>
      </c>
      <c r="I204" s="22" t="str">
        <f aca="false">IF($A204="","",COUNTIFS(점검이력!$B$3:$B$802,$A204))</f>
        <v/>
      </c>
      <c r="J204" s="22" t="str">
        <f aca="false">IF($H204="","",IF($H204&lt;0,"기한초과",IF($H204&lt;=사용안내!$C$17,"임박","정상")))</f>
        <v/>
      </c>
    </row>
    <row r="205" customFormat="false" ht="15" hidden="false" customHeight="true" outlineLevel="0" collapsed="false">
      <c r="A205" s="15" t="str">
        <f aca="false">IF(설비목록!$A202="","",설비목록!$A202)</f>
        <v/>
      </c>
      <c r="B205" s="15" t="str">
        <f aca="false">IF($A205="","",설비목록!$B202)</f>
        <v/>
      </c>
      <c r="C205" s="15" t="str">
        <f aca="false">IF($A205="","",설비목록!$C202)</f>
        <v/>
      </c>
      <c r="D205" s="15" t="str">
        <f aca="false">IF($A205="","",설비목록!$D202)</f>
        <v/>
      </c>
      <c r="E205" s="22" t="str">
        <f aca="false">IF($A205="","",설비목록!$E202)</f>
        <v/>
      </c>
      <c r="F205" s="20" t="str">
        <f aca="false">IF($A205="","",IF(COUNTIFS(점검이력!$B$3:$B$802,$A205)=0,설비목록!$F202,_xlfn.MAXIFS(점검이력!$A$3:$A$802,점검이력!$B$3:$B$802,$A205)))</f>
        <v/>
      </c>
      <c r="G205" s="20" t="str">
        <f aca="false">IF(OR($A205="",$F205="",$E205=""),"",$F205+$E205)</f>
        <v/>
      </c>
      <c r="H205" s="21" t="str">
        <f aca="true">IF($G205="","",$G205-TODAY())</f>
        <v/>
      </c>
      <c r="I205" s="22" t="str">
        <f aca="false">IF($A205="","",COUNTIFS(점검이력!$B$3:$B$802,$A205))</f>
        <v/>
      </c>
      <c r="J205" s="22" t="str">
        <f aca="false">IF($H205="","",IF($H205&lt;0,"기한초과",IF($H205&lt;=사용안내!$C$17,"임박","정상")))</f>
        <v/>
      </c>
    </row>
    <row r="207" customFormat="false" ht="15" hidden="false" customHeight="true" outlineLevel="0" collapsed="false">
      <c r="A207" s="6" t="s">
        <v>69</v>
      </c>
    </row>
    <row r="208" customFormat="false" ht="15" hidden="false" customHeight="true" outlineLevel="0" collapsed="false">
      <c r="A208" s="13" t="s">
        <v>70</v>
      </c>
    </row>
  </sheetData>
  <mergeCells count="1">
    <mergeCell ref="A1:J1"/>
  </mergeCells>
  <conditionalFormatting sqref="A6:J205">
    <cfRule type="expression" priority="2" aboveAverage="0" equalAverage="0" bottom="0" percent="0" rank="0" text="" dxfId="1">
      <formula>$J6="기한초과"</formula>
    </cfRule>
    <cfRule type="expression" priority="3" aboveAverage="0" equalAverage="0" bottom="0" percent="0" rank="0" text="" dxfId="2">
      <formula>$J6="임박"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22"/>
  </cols>
  <sheetData>
    <row r="1" customFormat="false" ht="25.5" hidden="false" customHeight="true" outlineLevel="0" collapsed="false">
      <c r="A1" s="2" t="s">
        <v>71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8" t="s">
        <v>72</v>
      </c>
      <c r="B2" s="8" t="s">
        <v>73</v>
      </c>
      <c r="C2" s="8" t="s">
        <v>74</v>
      </c>
      <c r="D2" s="8" t="s">
        <v>75</v>
      </c>
      <c r="E2" s="8" t="s">
        <v>76</v>
      </c>
      <c r="F2" s="8" t="s">
        <v>77</v>
      </c>
      <c r="G2" s="8" t="s">
        <v>36</v>
      </c>
    </row>
    <row r="3" customFormat="false" ht="15" hidden="false" customHeight="true" outlineLevel="0" collapsed="false">
      <c r="A3" s="9" t="s">
        <v>78</v>
      </c>
      <c r="B3" s="10" t="s">
        <v>79</v>
      </c>
      <c r="C3" s="9" t="s">
        <v>80</v>
      </c>
      <c r="D3" s="9" t="s">
        <v>81</v>
      </c>
      <c r="E3" s="11" t="n">
        <v>8</v>
      </c>
      <c r="F3" s="11" t="n">
        <v>4</v>
      </c>
      <c r="G3" s="9"/>
    </row>
    <row r="4" customFormat="false" ht="15" hidden="false" customHeight="true" outlineLevel="0" collapsed="false">
      <c r="A4" s="9" t="s">
        <v>82</v>
      </c>
      <c r="B4" s="10" t="s">
        <v>83</v>
      </c>
      <c r="C4" s="9" t="s">
        <v>84</v>
      </c>
      <c r="D4" s="10" t="s">
        <v>85</v>
      </c>
      <c r="E4" s="11" t="n">
        <v>3</v>
      </c>
      <c r="F4" s="11" t="n">
        <v>2</v>
      </c>
      <c r="G4" s="9"/>
    </row>
    <row r="5" customFormat="false" ht="15" hidden="false" customHeight="true" outlineLevel="0" collapsed="false">
      <c r="A5" s="9" t="s">
        <v>86</v>
      </c>
      <c r="B5" s="10" t="s">
        <v>87</v>
      </c>
      <c r="C5" s="9" t="s">
        <v>88</v>
      </c>
      <c r="D5" s="9" t="s">
        <v>89</v>
      </c>
      <c r="E5" s="11" t="n">
        <v>2</v>
      </c>
      <c r="F5" s="11" t="n">
        <v>2</v>
      </c>
      <c r="G5" s="9"/>
    </row>
    <row r="6" customFormat="false" ht="15" hidden="false" customHeight="true" outlineLevel="0" collapsed="false">
      <c r="A6" s="9"/>
      <c r="B6" s="9"/>
      <c r="C6" s="9"/>
      <c r="D6" s="9"/>
      <c r="E6" s="11"/>
      <c r="F6" s="11"/>
      <c r="G6" s="9"/>
    </row>
    <row r="7" customFormat="false" ht="15" hidden="false" customHeight="true" outlineLevel="0" collapsed="false">
      <c r="A7" s="9"/>
      <c r="B7" s="9"/>
      <c r="C7" s="9"/>
      <c r="D7" s="9"/>
      <c r="E7" s="11"/>
      <c r="F7" s="11"/>
      <c r="G7" s="9"/>
    </row>
    <row r="8" customFormat="false" ht="15" hidden="false" customHeight="true" outlineLevel="0" collapsed="false">
      <c r="A8" s="9"/>
      <c r="B8" s="9"/>
      <c r="C8" s="9"/>
      <c r="D8" s="9"/>
      <c r="E8" s="11"/>
      <c r="F8" s="11"/>
      <c r="G8" s="9"/>
    </row>
    <row r="9" customFormat="false" ht="15" hidden="false" customHeight="true" outlineLevel="0" collapsed="false">
      <c r="A9" s="9"/>
      <c r="B9" s="9"/>
      <c r="C9" s="9"/>
      <c r="D9" s="9"/>
      <c r="E9" s="11"/>
      <c r="F9" s="11"/>
      <c r="G9" s="9"/>
    </row>
    <row r="10" customFormat="false" ht="15" hidden="false" customHeight="true" outlineLevel="0" collapsed="false">
      <c r="A10" s="9"/>
      <c r="B10" s="9"/>
      <c r="C10" s="9"/>
      <c r="D10" s="9"/>
      <c r="E10" s="11"/>
      <c r="F10" s="11"/>
      <c r="G10" s="9"/>
    </row>
    <row r="11" customFormat="false" ht="15" hidden="false" customHeight="true" outlineLevel="0" collapsed="false">
      <c r="A11" s="9"/>
      <c r="B11" s="9"/>
      <c r="C11" s="9"/>
      <c r="D11" s="9"/>
      <c r="E11" s="11"/>
      <c r="F11" s="11"/>
      <c r="G11" s="9"/>
    </row>
    <row r="12" customFormat="false" ht="15" hidden="false" customHeight="true" outlineLevel="0" collapsed="false">
      <c r="A12" s="9"/>
      <c r="B12" s="9"/>
      <c r="C12" s="9"/>
      <c r="D12" s="9"/>
      <c r="E12" s="11"/>
      <c r="F12" s="11"/>
      <c r="G12" s="9"/>
    </row>
    <row r="13" customFormat="false" ht="15" hidden="false" customHeight="true" outlineLevel="0" collapsed="false">
      <c r="A13" s="9"/>
      <c r="B13" s="9"/>
      <c r="C13" s="9"/>
      <c r="D13" s="9"/>
      <c r="E13" s="11"/>
      <c r="F13" s="11"/>
      <c r="G13" s="9"/>
    </row>
    <row r="14" customFormat="false" ht="15" hidden="false" customHeight="true" outlineLevel="0" collapsed="false">
      <c r="A14" s="9"/>
      <c r="B14" s="9"/>
      <c r="C14" s="9"/>
      <c r="D14" s="9"/>
      <c r="E14" s="11"/>
      <c r="F14" s="11"/>
      <c r="G14" s="9"/>
    </row>
    <row r="15" customFormat="false" ht="15" hidden="false" customHeight="true" outlineLevel="0" collapsed="false">
      <c r="A15" s="9"/>
      <c r="B15" s="9"/>
      <c r="C15" s="9"/>
      <c r="D15" s="9"/>
      <c r="E15" s="11"/>
      <c r="F15" s="11"/>
      <c r="G15" s="9"/>
    </row>
    <row r="16" customFormat="false" ht="15" hidden="false" customHeight="true" outlineLevel="0" collapsed="false">
      <c r="A16" s="9"/>
      <c r="B16" s="9"/>
      <c r="C16" s="9"/>
      <c r="D16" s="9"/>
      <c r="E16" s="11"/>
      <c r="F16" s="11"/>
      <c r="G16" s="9"/>
    </row>
    <row r="17" customFormat="false" ht="15" hidden="false" customHeight="true" outlineLevel="0" collapsed="false">
      <c r="A17" s="9"/>
      <c r="B17" s="9"/>
      <c r="C17" s="9"/>
      <c r="D17" s="9"/>
      <c r="E17" s="11"/>
      <c r="F17" s="11"/>
      <c r="G17" s="9"/>
    </row>
    <row r="18" customFormat="false" ht="15" hidden="false" customHeight="true" outlineLevel="0" collapsed="false">
      <c r="A18" s="9"/>
      <c r="B18" s="9"/>
      <c r="C18" s="9"/>
      <c r="D18" s="9"/>
      <c r="E18" s="11"/>
      <c r="F18" s="11"/>
      <c r="G18" s="9"/>
    </row>
    <row r="19" customFormat="false" ht="15" hidden="false" customHeight="true" outlineLevel="0" collapsed="false">
      <c r="A19" s="9"/>
      <c r="B19" s="9"/>
      <c r="C19" s="9"/>
      <c r="D19" s="9"/>
      <c r="E19" s="11"/>
      <c r="F19" s="11"/>
      <c r="G19" s="9"/>
    </row>
    <row r="20" customFormat="false" ht="15" hidden="false" customHeight="true" outlineLevel="0" collapsed="false">
      <c r="A20" s="9"/>
      <c r="B20" s="9"/>
      <c r="C20" s="9"/>
      <c r="D20" s="9"/>
      <c r="E20" s="11"/>
      <c r="F20" s="11"/>
      <c r="G20" s="9"/>
    </row>
    <row r="21" customFormat="false" ht="15" hidden="false" customHeight="true" outlineLevel="0" collapsed="false">
      <c r="A21" s="9"/>
      <c r="B21" s="9"/>
      <c r="C21" s="9"/>
      <c r="D21" s="9"/>
      <c r="E21" s="11"/>
      <c r="F21" s="11"/>
      <c r="G21" s="9"/>
    </row>
    <row r="22" customFormat="false" ht="15" hidden="false" customHeight="true" outlineLevel="0" collapsed="false">
      <c r="A22" s="9"/>
      <c r="B22" s="9"/>
      <c r="C22" s="9"/>
      <c r="D22" s="9"/>
      <c r="E22" s="11"/>
      <c r="F22" s="11"/>
      <c r="G22" s="9"/>
    </row>
    <row r="23" customFormat="false" ht="15" hidden="false" customHeight="true" outlineLevel="0" collapsed="false">
      <c r="A23" s="9"/>
      <c r="B23" s="9"/>
      <c r="C23" s="9"/>
      <c r="D23" s="9"/>
      <c r="E23" s="11"/>
      <c r="F23" s="11"/>
      <c r="G23" s="9"/>
    </row>
    <row r="24" customFormat="false" ht="15" hidden="false" customHeight="true" outlineLevel="0" collapsed="false">
      <c r="A24" s="9"/>
      <c r="B24" s="9"/>
      <c r="C24" s="9"/>
      <c r="D24" s="9"/>
      <c r="E24" s="11"/>
      <c r="F24" s="11"/>
      <c r="G24" s="9"/>
    </row>
    <row r="25" customFormat="false" ht="15" hidden="false" customHeight="true" outlineLevel="0" collapsed="false">
      <c r="A25" s="9"/>
      <c r="B25" s="9"/>
      <c r="C25" s="9"/>
      <c r="D25" s="9"/>
      <c r="E25" s="11"/>
      <c r="F25" s="11"/>
      <c r="G25" s="9"/>
    </row>
    <row r="26" customFormat="false" ht="15" hidden="false" customHeight="true" outlineLevel="0" collapsed="false">
      <c r="A26" s="9"/>
      <c r="B26" s="9"/>
      <c r="C26" s="9"/>
      <c r="D26" s="9"/>
      <c r="E26" s="11"/>
      <c r="F26" s="11"/>
      <c r="G26" s="9"/>
    </row>
    <row r="27" customFormat="false" ht="15" hidden="false" customHeight="true" outlineLevel="0" collapsed="false">
      <c r="A27" s="9"/>
      <c r="B27" s="9"/>
      <c r="C27" s="9"/>
      <c r="D27" s="9"/>
      <c r="E27" s="11"/>
      <c r="F27" s="11"/>
      <c r="G27" s="9"/>
    </row>
    <row r="28" customFormat="false" ht="15" hidden="false" customHeight="true" outlineLevel="0" collapsed="false">
      <c r="A28" s="9"/>
      <c r="B28" s="9"/>
      <c r="C28" s="9"/>
      <c r="D28" s="9"/>
      <c r="E28" s="11"/>
      <c r="F28" s="11"/>
      <c r="G28" s="9"/>
    </row>
    <row r="29" customFormat="false" ht="15" hidden="false" customHeight="true" outlineLevel="0" collapsed="false">
      <c r="A29" s="9"/>
      <c r="B29" s="9"/>
      <c r="C29" s="9"/>
      <c r="D29" s="9"/>
      <c r="E29" s="11"/>
      <c r="F29" s="11"/>
      <c r="G29" s="9"/>
    </row>
    <row r="30" customFormat="false" ht="15" hidden="false" customHeight="true" outlineLevel="0" collapsed="false">
      <c r="A30" s="9"/>
      <c r="B30" s="9"/>
      <c r="C30" s="9"/>
      <c r="D30" s="9"/>
      <c r="E30" s="11"/>
      <c r="F30" s="11"/>
      <c r="G30" s="9"/>
    </row>
    <row r="31" customFormat="false" ht="15" hidden="false" customHeight="true" outlineLevel="0" collapsed="false">
      <c r="A31" s="9"/>
      <c r="B31" s="9"/>
      <c r="C31" s="9"/>
      <c r="D31" s="9"/>
      <c r="E31" s="11"/>
      <c r="F31" s="11"/>
      <c r="G31" s="9"/>
    </row>
    <row r="32" customFormat="false" ht="15" hidden="false" customHeight="true" outlineLevel="0" collapsed="false">
      <c r="A32" s="9"/>
      <c r="B32" s="9"/>
      <c r="C32" s="9"/>
      <c r="D32" s="9"/>
      <c r="E32" s="11"/>
      <c r="F32" s="11"/>
      <c r="G32" s="9"/>
    </row>
    <row r="33" customFormat="false" ht="15" hidden="false" customHeight="true" outlineLevel="0" collapsed="false">
      <c r="A33" s="9"/>
      <c r="B33" s="9"/>
      <c r="C33" s="9"/>
      <c r="D33" s="9"/>
      <c r="E33" s="11"/>
      <c r="F33" s="11"/>
      <c r="G33" s="9"/>
    </row>
    <row r="34" customFormat="false" ht="15" hidden="false" customHeight="true" outlineLevel="0" collapsed="false">
      <c r="A34" s="9"/>
      <c r="B34" s="9"/>
      <c r="C34" s="9"/>
      <c r="D34" s="9"/>
      <c r="E34" s="11"/>
      <c r="F34" s="11"/>
      <c r="G34" s="9"/>
    </row>
    <row r="35" customFormat="false" ht="15" hidden="false" customHeight="true" outlineLevel="0" collapsed="false">
      <c r="A35" s="9"/>
      <c r="B35" s="9"/>
      <c r="C35" s="9"/>
      <c r="D35" s="9"/>
      <c r="E35" s="11"/>
      <c r="F35" s="11"/>
      <c r="G35" s="9"/>
    </row>
    <row r="36" customFormat="false" ht="15" hidden="false" customHeight="true" outlineLevel="0" collapsed="false">
      <c r="A36" s="9"/>
      <c r="B36" s="9"/>
      <c r="C36" s="9"/>
      <c r="D36" s="9"/>
      <c r="E36" s="11"/>
      <c r="F36" s="11"/>
      <c r="G36" s="9"/>
    </row>
    <row r="37" customFormat="false" ht="15" hidden="false" customHeight="true" outlineLevel="0" collapsed="false">
      <c r="A37" s="9"/>
      <c r="B37" s="9"/>
      <c r="C37" s="9"/>
      <c r="D37" s="9"/>
      <c r="E37" s="11"/>
      <c r="F37" s="11"/>
      <c r="G37" s="9"/>
    </row>
    <row r="38" customFormat="false" ht="15" hidden="false" customHeight="true" outlineLevel="0" collapsed="false">
      <c r="A38" s="9"/>
      <c r="B38" s="9"/>
      <c r="C38" s="9"/>
      <c r="D38" s="9"/>
      <c r="E38" s="11"/>
      <c r="F38" s="11"/>
      <c r="G38" s="9"/>
    </row>
    <row r="39" customFormat="false" ht="15" hidden="false" customHeight="true" outlineLevel="0" collapsed="false">
      <c r="A39" s="9"/>
      <c r="B39" s="9"/>
      <c r="C39" s="9"/>
      <c r="D39" s="9"/>
      <c r="E39" s="11"/>
      <c r="F39" s="11"/>
      <c r="G39" s="9"/>
    </row>
    <row r="40" customFormat="false" ht="15" hidden="false" customHeight="true" outlineLevel="0" collapsed="false">
      <c r="A40" s="9"/>
      <c r="B40" s="9"/>
      <c r="C40" s="9"/>
      <c r="D40" s="9"/>
      <c r="E40" s="11"/>
      <c r="F40" s="11"/>
      <c r="G40" s="9"/>
    </row>
    <row r="41" customFormat="false" ht="15" hidden="false" customHeight="true" outlineLevel="0" collapsed="false">
      <c r="A41" s="9"/>
      <c r="B41" s="9"/>
      <c r="C41" s="9"/>
      <c r="D41" s="9"/>
      <c r="E41" s="11"/>
      <c r="F41" s="11"/>
      <c r="G41" s="9"/>
    </row>
    <row r="42" customFormat="false" ht="15" hidden="false" customHeight="true" outlineLevel="0" collapsed="false">
      <c r="A42" s="9"/>
      <c r="B42" s="9"/>
      <c r="C42" s="9"/>
      <c r="D42" s="9"/>
      <c r="E42" s="11"/>
      <c r="F42" s="11"/>
      <c r="G42" s="9"/>
    </row>
    <row r="43" customFormat="false" ht="15" hidden="false" customHeight="true" outlineLevel="0" collapsed="false">
      <c r="A43" s="9"/>
      <c r="B43" s="9"/>
      <c r="C43" s="9"/>
      <c r="D43" s="9"/>
      <c r="E43" s="11"/>
      <c r="F43" s="11"/>
      <c r="G43" s="9"/>
    </row>
    <row r="44" customFormat="false" ht="15" hidden="false" customHeight="true" outlineLevel="0" collapsed="false">
      <c r="A44" s="9"/>
      <c r="B44" s="9"/>
      <c r="C44" s="9"/>
      <c r="D44" s="9"/>
      <c r="E44" s="11"/>
      <c r="F44" s="11"/>
      <c r="G44" s="9"/>
    </row>
    <row r="45" customFormat="false" ht="15" hidden="false" customHeight="true" outlineLevel="0" collapsed="false">
      <c r="A45" s="9"/>
      <c r="B45" s="9"/>
      <c r="C45" s="9"/>
      <c r="D45" s="9"/>
      <c r="E45" s="11"/>
      <c r="F45" s="11"/>
      <c r="G45" s="9"/>
    </row>
    <row r="46" customFormat="false" ht="15" hidden="false" customHeight="true" outlineLevel="0" collapsed="false">
      <c r="A46" s="9"/>
      <c r="B46" s="9"/>
      <c r="C46" s="9"/>
      <c r="D46" s="9"/>
      <c r="E46" s="11"/>
      <c r="F46" s="11"/>
      <c r="G46" s="9"/>
    </row>
    <row r="47" customFormat="false" ht="15" hidden="false" customHeight="true" outlineLevel="0" collapsed="false">
      <c r="A47" s="9"/>
      <c r="B47" s="9"/>
      <c r="C47" s="9"/>
      <c r="D47" s="9"/>
      <c r="E47" s="11"/>
      <c r="F47" s="11"/>
      <c r="G47" s="9"/>
    </row>
    <row r="48" customFormat="false" ht="15" hidden="false" customHeight="true" outlineLevel="0" collapsed="false">
      <c r="A48" s="9"/>
      <c r="B48" s="9"/>
      <c r="C48" s="9"/>
      <c r="D48" s="9"/>
      <c r="E48" s="11"/>
      <c r="F48" s="11"/>
      <c r="G48" s="9"/>
    </row>
    <row r="49" customFormat="false" ht="15" hidden="false" customHeight="true" outlineLevel="0" collapsed="false">
      <c r="A49" s="9"/>
      <c r="B49" s="9"/>
      <c r="C49" s="9"/>
      <c r="D49" s="9"/>
      <c r="E49" s="11"/>
      <c r="F49" s="11"/>
      <c r="G49" s="9"/>
    </row>
    <row r="50" customFormat="false" ht="15" hidden="false" customHeight="true" outlineLevel="0" collapsed="false">
      <c r="A50" s="9"/>
      <c r="B50" s="9"/>
      <c r="C50" s="9"/>
      <c r="D50" s="9"/>
      <c r="E50" s="11"/>
      <c r="F50" s="11"/>
      <c r="G50" s="9"/>
    </row>
    <row r="51" customFormat="false" ht="15" hidden="false" customHeight="true" outlineLevel="0" collapsed="false">
      <c r="A51" s="9"/>
      <c r="B51" s="9"/>
      <c r="C51" s="9"/>
      <c r="D51" s="9"/>
      <c r="E51" s="11"/>
      <c r="F51" s="11"/>
      <c r="G51" s="9"/>
    </row>
    <row r="52" customFormat="false" ht="15" hidden="false" customHeight="true" outlineLevel="0" collapsed="false">
      <c r="A52" s="9"/>
      <c r="B52" s="9"/>
      <c r="C52" s="9"/>
      <c r="D52" s="9"/>
      <c r="E52" s="11"/>
      <c r="F52" s="11"/>
      <c r="G52" s="9"/>
    </row>
    <row r="53" customFormat="false" ht="15" hidden="false" customHeight="true" outlineLevel="0" collapsed="false">
      <c r="A53" s="9"/>
      <c r="B53" s="9"/>
      <c r="C53" s="9"/>
      <c r="D53" s="9"/>
      <c r="E53" s="11"/>
      <c r="F53" s="11"/>
      <c r="G53" s="9"/>
    </row>
    <row r="54" customFormat="false" ht="15" hidden="false" customHeight="true" outlineLevel="0" collapsed="false">
      <c r="A54" s="9"/>
      <c r="B54" s="9"/>
      <c r="C54" s="9"/>
      <c r="D54" s="9"/>
      <c r="E54" s="11"/>
      <c r="F54" s="11"/>
      <c r="G54" s="9"/>
    </row>
    <row r="55" customFormat="false" ht="15" hidden="false" customHeight="true" outlineLevel="0" collapsed="false">
      <c r="A55" s="9"/>
      <c r="B55" s="9"/>
      <c r="C55" s="9"/>
      <c r="D55" s="9"/>
      <c r="E55" s="11"/>
      <c r="F55" s="11"/>
      <c r="G55" s="9"/>
    </row>
    <row r="56" customFormat="false" ht="15" hidden="false" customHeight="true" outlineLevel="0" collapsed="false">
      <c r="A56" s="9"/>
      <c r="B56" s="9"/>
      <c r="C56" s="9"/>
      <c r="D56" s="9"/>
      <c r="E56" s="11"/>
      <c r="F56" s="11"/>
      <c r="G56" s="9"/>
    </row>
    <row r="57" customFormat="false" ht="15" hidden="false" customHeight="true" outlineLevel="0" collapsed="false">
      <c r="A57" s="9"/>
      <c r="B57" s="9"/>
      <c r="C57" s="9"/>
      <c r="D57" s="9"/>
      <c r="E57" s="11"/>
      <c r="F57" s="11"/>
      <c r="G57" s="9"/>
    </row>
    <row r="58" customFormat="false" ht="15" hidden="false" customHeight="true" outlineLevel="0" collapsed="false">
      <c r="A58" s="9"/>
      <c r="B58" s="9"/>
      <c r="C58" s="9"/>
      <c r="D58" s="9"/>
      <c r="E58" s="11"/>
      <c r="F58" s="11"/>
      <c r="G58" s="9"/>
    </row>
    <row r="59" customFormat="false" ht="15" hidden="false" customHeight="true" outlineLevel="0" collapsed="false">
      <c r="A59" s="9"/>
      <c r="B59" s="9"/>
      <c r="C59" s="9"/>
      <c r="D59" s="9"/>
      <c r="E59" s="11"/>
      <c r="F59" s="11"/>
      <c r="G59" s="9"/>
    </row>
    <row r="60" customFormat="false" ht="15" hidden="false" customHeight="true" outlineLevel="0" collapsed="false">
      <c r="A60" s="9"/>
      <c r="B60" s="9"/>
      <c r="C60" s="9"/>
      <c r="D60" s="9"/>
      <c r="E60" s="11"/>
      <c r="F60" s="11"/>
      <c r="G60" s="9"/>
    </row>
    <row r="61" customFormat="false" ht="15" hidden="false" customHeight="true" outlineLevel="0" collapsed="false">
      <c r="A61" s="9"/>
      <c r="B61" s="9"/>
      <c r="C61" s="9"/>
      <c r="D61" s="9"/>
      <c r="E61" s="11"/>
      <c r="F61" s="11"/>
      <c r="G61" s="9"/>
    </row>
    <row r="62" customFormat="false" ht="15" hidden="false" customHeight="true" outlineLevel="0" collapsed="false">
      <c r="A62" s="9"/>
      <c r="B62" s="9"/>
      <c r="C62" s="9"/>
      <c r="D62" s="9"/>
      <c r="E62" s="11"/>
      <c r="F62" s="11"/>
      <c r="G62" s="9"/>
    </row>
    <row r="63" customFormat="false" ht="15" hidden="false" customHeight="true" outlineLevel="0" collapsed="false">
      <c r="A63" s="9"/>
      <c r="B63" s="9"/>
      <c r="C63" s="9"/>
      <c r="D63" s="9"/>
      <c r="E63" s="11"/>
      <c r="F63" s="11"/>
      <c r="G63" s="9"/>
    </row>
    <row r="64" customFormat="false" ht="15" hidden="false" customHeight="true" outlineLevel="0" collapsed="false">
      <c r="A64" s="9"/>
      <c r="B64" s="9"/>
      <c r="C64" s="9"/>
      <c r="D64" s="9"/>
      <c r="E64" s="11"/>
      <c r="F64" s="11"/>
      <c r="G64" s="9"/>
    </row>
    <row r="65" customFormat="false" ht="15" hidden="false" customHeight="true" outlineLevel="0" collapsed="false">
      <c r="A65" s="9"/>
      <c r="B65" s="9"/>
      <c r="C65" s="9"/>
      <c r="D65" s="9"/>
      <c r="E65" s="11"/>
      <c r="F65" s="11"/>
      <c r="G65" s="9"/>
    </row>
    <row r="66" customFormat="false" ht="15" hidden="false" customHeight="true" outlineLevel="0" collapsed="false">
      <c r="A66" s="9"/>
      <c r="B66" s="9"/>
      <c r="C66" s="9"/>
      <c r="D66" s="9"/>
      <c r="E66" s="11"/>
      <c r="F66" s="11"/>
      <c r="G66" s="9"/>
    </row>
    <row r="67" customFormat="false" ht="15" hidden="false" customHeight="true" outlineLevel="0" collapsed="false">
      <c r="A67" s="9"/>
      <c r="B67" s="9"/>
      <c r="C67" s="9"/>
      <c r="D67" s="9"/>
      <c r="E67" s="11"/>
      <c r="F67" s="11"/>
      <c r="G67" s="9"/>
    </row>
    <row r="68" customFormat="false" ht="15" hidden="false" customHeight="true" outlineLevel="0" collapsed="false">
      <c r="A68" s="9"/>
      <c r="B68" s="9"/>
      <c r="C68" s="9"/>
      <c r="D68" s="9"/>
      <c r="E68" s="11"/>
      <c r="F68" s="11"/>
      <c r="G68" s="9"/>
    </row>
    <row r="69" customFormat="false" ht="15" hidden="false" customHeight="true" outlineLevel="0" collapsed="false">
      <c r="A69" s="9"/>
      <c r="B69" s="9"/>
      <c r="C69" s="9"/>
      <c r="D69" s="9"/>
      <c r="E69" s="11"/>
      <c r="F69" s="11"/>
      <c r="G69" s="9"/>
    </row>
    <row r="70" customFormat="false" ht="15" hidden="false" customHeight="true" outlineLevel="0" collapsed="false">
      <c r="A70" s="9"/>
      <c r="B70" s="9"/>
      <c r="C70" s="9"/>
      <c r="D70" s="9"/>
      <c r="E70" s="11"/>
      <c r="F70" s="11"/>
      <c r="G70" s="9"/>
    </row>
    <row r="71" customFormat="false" ht="15" hidden="false" customHeight="true" outlineLevel="0" collapsed="false">
      <c r="A71" s="9"/>
      <c r="B71" s="9"/>
      <c r="C71" s="9"/>
      <c r="D71" s="9"/>
      <c r="E71" s="11"/>
      <c r="F71" s="11"/>
      <c r="G71" s="9"/>
    </row>
    <row r="72" customFormat="false" ht="15" hidden="false" customHeight="true" outlineLevel="0" collapsed="false">
      <c r="A72" s="9"/>
      <c r="B72" s="9"/>
      <c r="C72" s="9"/>
      <c r="D72" s="9"/>
      <c r="E72" s="11"/>
      <c r="F72" s="11"/>
      <c r="G72" s="9"/>
    </row>
    <row r="73" customFormat="false" ht="15" hidden="false" customHeight="true" outlineLevel="0" collapsed="false">
      <c r="A73" s="9"/>
      <c r="B73" s="9"/>
      <c r="C73" s="9"/>
      <c r="D73" s="9"/>
      <c r="E73" s="11"/>
      <c r="F73" s="11"/>
      <c r="G73" s="9"/>
    </row>
    <row r="74" customFormat="false" ht="15" hidden="false" customHeight="true" outlineLevel="0" collapsed="false">
      <c r="A74" s="9"/>
      <c r="B74" s="9"/>
      <c r="C74" s="9"/>
      <c r="D74" s="9"/>
      <c r="E74" s="11"/>
      <c r="F74" s="11"/>
      <c r="G74" s="9"/>
    </row>
    <row r="75" customFormat="false" ht="15" hidden="false" customHeight="true" outlineLevel="0" collapsed="false">
      <c r="A75" s="9"/>
      <c r="B75" s="9"/>
      <c r="C75" s="9"/>
      <c r="D75" s="9"/>
      <c r="E75" s="11"/>
      <c r="F75" s="11"/>
      <c r="G75" s="9"/>
    </row>
    <row r="76" customFormat="false" ht="15" hidden="false" customHeight="true" outlineLevel="0" collapsed="false">
      <c r="A76" s="9"/>
      <c r="B76" s="9"/>
      <c r="C76" s="9"/>
      <c r="D76" s="9"/>
      <c r="E76" s="11"/>
      <c r="F76" s="11"/>
      <c r="G76" s="9"/>
    </row>
    <row r="77" customFormat="false" ht="15" hidden="false" customHeight="true" outlineLevel="0" collapsed="false">
      <c r="A77" s="9"/>
      <c r="B77" s="9"/>
      <c r="C77" s="9"/>
      <c r="D77" s="9"/>
      <c r="E77" s="11"/>
      <c r="F77" s="11"/>
      <c r="G77" s="9"/>
    </row>
    <row r="78" customFormat="false" ht="15" hidden="false" customHeight="true" outlineLevel="0" collapsed="false">
      <c r="A78" s="9"/>
      <c r="B78" s="9"/>
      <c r="C78" s="9"/>
      <c r="D78" s="9"/>
      <c r="E78" s="11"/>
      <c r="F78" s="11"/>
      <c r="G78" s="9"/>
    </row>
    <row r="79" customFormat="false" ht="15" hidden="false" customHeight="true" outlineLevel="0" collapsed="false">
      <c r="A79" s="9"/>
      <c r="B79" s="9"/>
      <c r="C79" s="9"/>
      <c r="D79" s="9"/>
      <c r="E79" s="11"/>
      <c r="F79" s="11"/>
      <c r="G79" s="9"/>
    </row>
    <row r="80" customFormat="false" ht="15" hidden="false" customHeight="true" outlineLevel="0" collapsed="false">
      <c r="A80" s="9"/>
      <c r="B80" s="9"/>
      <c r="C80" s="9"/>
      <c r="D80" s="9"/>
      <c r="E80" s="11"/>
      <c r="F80" s="11"/>
      <c r="G80" s="9"/>
    </row>
    <row r="81" customFormat="false" ht="15" hidden="false" customHeight="true" outlineLevel="0" collapsed="false">
      <c r="A81" s="9"/>
      <c r="B81" s="9"/>
      <c r="C81" s="9"/>
      <c r="D81" s="9"/>
      <c r="E81" s="11"/>
      <c r="F81" s="11"/>
      <c r="G81" s="9"/>
    </row>
    <row r="82" customFormat="false" ht="15" hidden="false" customHeight="true" outlineLevel="0" collapsed="false">
      <c r="A82" s="9"/>
      <c r="B82" s="9"/>
      <c r="C82" s="9"/>
      <c r="D82" s="9"/>
      <c r="E82" s="11"/>
      <c r="F82" s="11"/>
      <c r="G82" s="9"/>
    </row>
    <row r="83" customFormat="false" ht="15" hidden="false" customHeight="true" outlineLevel="0" collapsed="false">
      <c r="A83" s="9"/>
      <c r="B83" s="9"/>
      <c r="C83" s="9"/>
      <c r="D83" s="9"/>
      <c r="E83" s="11"/>
      <c r="F83" s="11"/>
      <c r="G83" s="9"/>
    </row>
    <row r="84" customFormat="false" ht="15" hidden="false" customHeight="true" outlineLevel="0" collapsed="false">
      <c r="A84" s="9"/>
      <c r="B84" s="9"/>
      <c r="C84" s="9"/>
      <c r="D84" s="9"/>
      <c r="E84" s="11"/>
      <c r="F84" s="11"/>
      <c r="G84" s="9"/>
    </row>
    <row r="85" customFormat="false" ht="15" hidden="false" customHeight="true" outlineLevel="0" collapsed="false">
      <c r="A85" s="9"/>
      <c r="B85" s="9"/>
      <c r="C85" s="9"/>
      <c r="D85" s="9"/>
      <c r="E85" s="11"/>
      <c r="F85" s="11"/>
      <c r="G85" s="9"/>
    </row>
    <row r="86" customFormat="false" ht="15" hidden="false" customHeight="true" outlineLevel="0" collapsed="false">
      <c r="A86" s="9"/>
      <c r="B86" s="9"/>
      <c r="C86" s="9"/>
      <c r="D86" s="9"/>
      <c r="E86" s="11"/>
      <c r="F86" s="11"/>
      <c r="G86" s="9"/>
    </row>
    <row r="87" customFormat="false" ht="15" hidden="false" customHeight="true" outlineLevel="0" collapsed="false">
      <c r="A87" s="9"/>
      <c r="B87" s="9"/>
      <c r="C87" s="9"/>
      <c r="D87" s="9"/>
      <c r="E87" s="11"/>
      <c r="F87" s="11"/>
      <c r="G87" s="9"/>
    </row>
    <row r="88" customFormat="false" ht="15" hidden="false" customHeight="true" outlineLevel="0" collapsed="false">
      <c r="A88" s="9"/>
      <c r="B88" s="9"/>
      <c r="C88" s="9"/>
      <c r="D88" s="9"/>
      <c r="E88" s="11"/>
      <c r="F88" s="11"/>
      <c r="G88" s="9"/>
    </row>
    <row r="89" customFormat="false" ht="15" hidden="false" customHeight="true" outlineLevel="0" collapsed="false">
      <c r="A89" s="9"/>
      <c r="B89" s="9"/>
      <c r="C89" s="9"/>
      <c r="D89" s="9"/>
      <c r="E89" s="11"/>
      <c r="F89" s="11"/>
      <c r="G89" s="9"/>
    </row>
    <row r="90" customFormat="false" ht="15" hidden="false" customHeight="true" outlineLevel="0" collapsed="false">
      <c r="A90" s="9"/>
      <c r="B90" s="9"/>
      <c r="C90" s="9"/>
      <c r="D90" s="9"/>
      <c r="E90" s="11"/>
      <c r="F90" s="11"/>
      <c r="G90" s="9"/>
    </row>
    <row r="91" customFormat="false" ht="15" hidden="false" customHeight="true" outlineLevel="0" collapsed="false">
      <c r="A91" s="9"/>
      <c r="B91" s="9"/>
      <c r="C91" s="9"/>
      <c r="D91" s="9"/>
      <c r="E91" s="11"/>
      <c r="F91" s="11"/>
      <c r="G91" s="9"/>
    </row>
    <row r="92" customFormat="false" ht="15" hidden="false" customHeight="true" outlineLevel="0" collapsed="false">
      <c r="A92" s="9"/>
      <c r="B92" s="9"/>
      <c r="C92" s="9"/>
      <c r="D92" s="9"/>
      <c r="E92" s="11"/>
      <c r="F92" s="11"/>
      <c r="G92" s="9"/>
    </row>
    <row r="93" customFormat="false" ht="15" hidden="false" customHeight="true" outlineLevel="0" collapsed="false">
      <c r="A93" s="9"/>
      <c r="B93" s="9"/>
      <c r="C93" s="9"/>
      <c r="D93" s="9"/>
      <c r="E93" s="11"/>
      <c r="F93" s="11"/>
      <c r="G93" s="9"/>
    </row>
    <row r="94" customFormat="false" ht="15" hidden="false" customHeight="true" outlineLevel="0" collapsed="false">
      <c r="A94" s="9"/>
      <c r="B94" s="9"/>
      <c r="C94" s="9"/>
      <c r="D94" s="9"/>
      <c r="E94" s="11"/>
      <c r="F94" s="11"/>
      <c r="G94" s="9"/>
    </row>
    <row r="95" customFormat="false" ht="15" hidden="false" customHeight="true" outlineLevel="0" collapsed="false">
      <c r="A95" s="9"/>
      <c r="B95" s="9"/>
      <c r="C95" s="9"/>
      <c r="D95" s="9"/>
      <c r="E95" s="11"/>
      <c r="F95" s="11"/>
      <c r="G95" s="9"/>
    </row>
    <row r="96" customFormat="false" ht="15" hidden="false" customHeight="true" outlineLevel="0" collapsed="false">
      <c r="A96" s="9"/>
      <c r="B96" s="9"/>
      <c r="C96" s="9"/>
      <c r="D96" s="9"/>
      <c r="E96" s="11"/>
      <c r="F96" s="11"/>
      <c r="G96" s="9"/>
    </row>
    <row r="97" customFormat="false" ht="15" hidden="false" customHeight="true" outlineLevel="0" collapsed="false">
      <c r="A97" s="9"/>
      <c r="B97" s="9"/>
      <c r="C97" s="9"/>
      <c r="D97" s="9"/>
      <c r="E97" s="11"/>
      <c r="F97" s="11"/>
      <c r="G97" s="9"/>
    </row>
    <row r="98" customFormat="false" ht="15" hidden="false" customHeight="true" outlineLevel="0" collapsed="false">
      <c r="A98" s="9"/>
      <c r="B98" s="9"/>
      <c r="C98" s="9"/>
      <c r="D98" s="9"/>
      <c r="E98" s="11"/>
      <c r="F98" s="11"/>
      <c r="G98" s="9"/>
    </row>
    <row r="99" customFormat="false" ht="15" hidden="false" customHeight="true" outlineLevel="0" collapsed="false">
      <c r="A99" s="9"/>
      <c r="B99" s="9"/>
      <c r="C99" s="9"/>
      <c r="D99" s="9"/>
      <c r="E99" s="11"/>
      <c r="F99" s="11"/>
      <c r="G99" s="9"/>
    </row>
    <row r="100" customFormat="false" ht="15" hidden="false" customHeight="true" outlineLevel="0" collapsed="false">
      <c r="A100" s="9"/>
      <c r="B100" s="9"/>
      <c r="C100" s="9"/>
      <c r="D100" s="9"/>
      <c r="E100" s="11"/>
      <c r="F100" s="11"/>
      <c r="G100" s="9"/>
    </row>
    <row r="101" customFormat="false" ht="15" hidden="false" customHeight="true" outlineLevel="0" collapsed="false">
      <c r="A101" s="9"/>
      <c r="B101" s="9"/>
      <c r="C101" s="9"/>
      <c r="D101" s="9"/>
      <c r="E101" s="11"/>
      <c r="F101" s="11"/>
      <c r="G101" s="9"/>
    </row>
    <row r="102" customFormat="false" ht="15" hidden="false" customHeight="true" outlineLevel="0" collapsed="false">
      <c r="A102" s="9"/>
      <c r="B102" s="9"/>
      <c r="C102" s="9"/>
      <c r="D102" s="9"/>
      <c r="E102" s="11"/>
      <c r="F102" s="11"/>
      <c r="G102" s="9"/>
    </row>
    <row r="103" customFormat="false" ht="15" hidden="false" customHeight="true" outlineLevel="0" collapsed="false">
      <c r="A103" s="9"/>
      <c r="B103" s="9"/>
      <c r="C103" s="9"/>
      <c r="D103" s="9"/>
      <c r="E103" s="11"/>
      <c r="F103" s="11"/>
      <c r="G103" s="9"/>
    </row>
    <row r="104" customFormat="false" ht="15" hidden="false" customHeight="true" outlineLevel="0" collapsed="false">
      <c r="A104" s="9"/>
      <c r="B104" s="9"/>
      <c r="C104" s="9"/>
      <c r="D104" s="9"/>
      <c r="E104" s="11"/>
      <c r="F104" s="11"/>
      <c r="G104" s="9"/>
    </row>
    <row r="105" customFormat="false" ht="15" hidden="false" customHeight="true" outlineLevel="0" collapsed="false">
      <c r="A105" s="9"/>
      <c r="B105" s="9"/>
      <c r="C105" s="9"/>
      <c r="D105" s="9"/>
      <c r="E105" s="11"/>
      <c r="F105" s="11"/>
      <c r="G105" s="9"/>
    </row>
    <row r="106" customFormat="false" ht="15" hidden="false" customHeight="true" outlineLevel="0" collapsed="false">
      <c r="A106" s="9"/>
      <c r="B106" s="9"/>
      <c r="C106" s="9"/>
      <c r="D106" s="9"/>
      <c r="E106" s="11"/>
      <c r="F106" s="11"/>
      <c r="G106" s="9"/>
    </row>
    <row r="107" customFormat="false" ht="15" hidden="false" customHeight="true" outlineLevel="0" collapsed="false">
      <c r="A107" s="9"/>
      <c r="B107" s="9"/>
      <c r="C107" s="9"/>
      <c r="D107" s="9"/>
      <c r="E107" s="11"/>
      <c r="F107" s="11"/>
      <c r="G107" s="9"/>
    </row>
    <row r="108" customFormat="false" ht="15" hidden="false" customHeight="true" outlineLevel="0" collapsed="false">
      <c r="A108" s="9"/>
      <c r="B108" s="9"/>
      <c r="C108" s="9"/>
      <c r="D108" s="9"/>
      <c r="E108" s="11"/>
      <c r="F108" s="11"/>
      <c r="G108" s="9"/>
    </row>
    <row r="109" customFormat="false" ht="15" hidden="false" customHeight="true" outlineLevel="0" collapsed="false">
      <c r="A109" s="9"/>
      <c r="B109" s="9"/>
      <c r="C109" s="9"/>
      <c r="D109" s="9"/>
      <c r="E109" s="11"/>
      <c r="F109" s="11"/>
      <c r="G109" s="9"/>
    </row>
    <row r="110" customFormat="false" ht="15" hidden="false" customHeight="true" outlineLevel="0" collapsed="false">
      <c r="A110" s="9"/>
      <c r="B110" s="9"/>
      <c r="C110" s="9"/>
      <c r="D110" s="9"/>
      <c r="E110" s="11"/>
      <c r="F110" s="11"/>
      <c r="G110" s="9"/>
    </row>
    <row r="111" customFormat="false" ht="15" hidden="false" customHeight="true" outlineLevel="0" collapsed="false">
      <c r="A111" s="9"/>
      <c r="B111" s="9"/>
      <c r="C111" s="9"/>
      <c r="D111" s="9"/>
      <c r="E111" s="11"/>
      <c r="F111" s="11"/>
      <c r="G111" s="9"/>
    </row>
    <row r="112" customFormat="false" ht="15" hidden="false" customHeight="true" outlineLevel="0" collapsed="false">
      <c r="A112" s="9"/>
      <c r="B112" s="9"/>
      <c r="C112" s="9"/>
      <c r="D112" s="9"/>
      <c r="E112" s="11"/>
      <c r="F112" s="11"/>
      <c r="G112" s="9"/>
    </row>
    <row r="113" customFormat="false" ht="15" hidden="false" customHeight="true" outlineLevel="0" collapsed="false">
      <c r="A113" s="9"/>
      <c r="B113" s="9"/>
      <c r="C113" s="9"/>
      <c r="D113" s="9"/>
      <c r="E113" s="11"/>
      <c r="F113" s="11"/>
      <c r="G113" s="9"/>
    </row>
    <row r="114" customFormat="false" ht="15" hidden="false" customHeight="true" outlineLevel="0" collapsed="false">
      <c r="A114" s="9"/>
      <c r="B114" s="9"/>
      <c r="C114" s="9"/>
      <c r="D114" s="9"/>
      <c r="E114" s="11"/>
      <c r="F114" s="11"/>
      <c r="G114" s="9"/>
    </row>
    <row r="115" customFormat="false" ht="15" hidden="false" customHeight="true" outlineLevel="0" collapsed="false">
      <c r="A115" s="9"/>
      <c r="B115" s="9"/>
      <c r="C115" s="9"/>
      <c r="D115" s="9"/>
      <c r="E115" s="11"/>
      <c r="F115" s="11"/>
      <c r="G115" s="9"/>
    </row>
    <row r="116" customFormat="false" ht="15" hidden="false" customHeight="true" outlineLevel="0" collapsed="false">
      <c r="A116" s="9"/>
      <c r="B116" s="9"/>
      <c r="C116" s="9"/>
      <c r="D116" s="9"/>
      <c r="E116" s="11"/>
      <c r="F116" s="11"/>
      <c r="G116" s="9"/>
    </row>
    <row r="117" customFormat="false" ht="15" hidden="false" customHeight="true" outlineLevel="0" collapsed="false">
      <c r="A117" s="9"/>
      <c r="B117" s="9"/>
      <c r="C117" s="9"/>
      <c r="D117" s="9"/>
      <c r="E117" s="11"/>
      <c r="F117" s="11"/>
      <c r="G117" s="9"/>
    </row>
    <row r="118" customFormat="false" ht="15" hidden="false" customHeight="true" outlineLevel="0" collapsed="false">
      <c r="A118" s="9"/>
      <c r="B118" s="9"/>
      <c r="C118" s="9"/>
      <c r="D118" s="9"/>
      <c r="E118" s="11"/>
      <c r="F118" s="11"/>
      <c r="G118" s="9"/>
    </row>
    <row r="119" customFormat="false" ht="15" hidden="false" customHeight="true" outlineLevel="0" collapsed="false">
      <c r="A119" s="9"/>
      <c r="B119" s="9"/>
      <c r="C119" s="9"/>
      <c r="D119" s="9"/>
      <c r="E119" s="11"/>
      <c r="F119" s="11"/>
      <c r="G119" s="9"/>
    </row>
    <row r="120" customFormat="false" ht="15" hidden="false" customHeight="true" outlineLevel="0" collapsed="false">
      <c r="A120" s="9"/>
      <c r="B120" s="9"/>
      <c r="C120" s="9"/>
      <c r="D120" s="9"/>
      <c r="E120" s="11"/>
      <c r="F120" s="11"/>
      <c r="G120" s="9"/>
    </row>
    <row r="121" customFormat="false" ht="15" hidden="false" customHeight="true" outlineLevel="0" collapsed="false">
      <c r="A121" s="9"/>
      <c r="B121" s="9"/>
      <c r="C121" s="9"/>
      <c r="D121" s="9"/>
      <c r="E121" s="11"/>
      <c r="F121" s="11"/>
      <c r="G121" s="9"/>
    </row>
    <row r="122" customFormat="false" ht="15" hidden="false" customHeight="true" outlineLevel="0" collapsed="false">
      <c r="A122" s="9"/>
      <c r="B122" s="9"/>
      <c r="C122" s="9"/>
      <c r="D122" s="9"/>
      <c r="E122" s="11"/>
      <c r="F122" s="11"/>
      <c r="G122" s="9"/>
    </row>
    <row r="123" customFormat="false" ht="15" hidden="false" customHeight="true" outlineLevel="0" collapsed="false">
      <c r="A123" s="9"/>
      <c r="B123" s="9"/>
      <c r="C123" s="9"/>
      <c r="D123" s="9"/>
      <c r="E123" s="11"/>
      <c r="F123" s="11"/>
      <c r="G123" s="9"/>
    </row>
    <row r="124" customFormat="false" ht="15" hidden="false" customHeight="true" outlineLevel="0" collapsed="false">
      <c r="A124" s="9"/>
      <c r="B124" s="9"/>
      <c r="C124" s="9"/>
      <c r="D124" s="9"/>
      <c r="E124" s="11"/>
      <c r="F124" s="11"/>
      <c r="G124" s="9"/>
    </row>
    <row r="125" customFormat="false" ht="15" hidden="false" customHeight="true" outlineLevel="0" collapsed="false">
      <c r="A125" s="9"/>
      <c r="B125" s="9"/>
      <c r="C125" s="9"/>
      <c r="D125" s="9"/>
      <c r="E125" s="11"/>
      <c r="F125" s="11"/>
      <c r="G125" s="9"/>
    </row>
    <row r="126" customFormat="false" ht="15" hidden="false" customHeight="true" outlineLevel="0" collapsed="false">
      <c r="A126" s="9"/>
      <c r="B126" s="9"/>
      <c r="C126" s="9"/>
      <c r="D126" s="9"/>
      <c r="E126" s="11"/>
      <c r="F126" s="11"/>
      <c r="G126" s="9"/>
    </row>
    <row r="127" customFormat="false" ht="15" hidden="false" customHeight="true" outlineLevel="0" collapsed="false">
      <c r="A127" s="9"/>
      <c r="B127" s="9"/>
      <c r="C127" s="9"/>
      <c r="D127" s="9"/>
      <c r="E127" s="11"/>
      <c r="F127" s="11"/>
      <c r="G127" s="9"/>
    </row>
    <row r="128" customFormat="false" ht="15" hidden="false" customHeight="true" outlineLevel="0" collapsed="false">
      <c r="A128" s="9"/>
      <c r="B128" s="9"/>
      <c r="C128" s="9"/>
      <c r="D128" s="9"/>
      <c r="E128" s="11"/>
      <c r="F128" s="11"/>
      <c r="G128" s="9"/>
    </row>
    <row r="129" customFormat="false" ht="15" hidden="false" customHeight="true" outlineLevel="0" collapsed="false">
      <c r="A129" s="9"/>
      <c r="B129" s="9"/>
      <c r="C129" s="9"/>
      <c r="D129" s="9"/>
      <c r="E129" s="11"/>
      <c r="F129" s="11"/>
      <c r="G129" s="9"/>
    </row>
    <row r="130" customFormat="false" ht="15" hidden="false" customHeight="true" outlineLevel="0" collapsed="false">
      <c r="A130" s="9"/>
      <c r="B130" s="9"/>
      <c r="C130" s="9"/>
      <c r="D130" s="9"/>
      <c r="E130" s="11"/>
      <c r="F130" s="11"/>
      <c r="G130" s="9"/>
    </row>
    <row r="131" customFormat="false" ht="15" hidden="false" customHeight="true" outlineLevel="0" collapsed="false">
      <c r="A131" s="9"/>
      <c r="B131" s="9"/>
      <c r="C131" s="9"/>
      <c r="D131" s="9"/>
      <c r="E131" s="11"/>
      <c r="F131" s="11"/>
      <c r="G131" s="9"/>
    </row>
    <row r="132" customFormat="false" ht="15" hidden="false" customHeight="true" outlineLevel="0" collapsed="false">
      <c r="A132" s="9"/>
      <c r="B132" s="9"/>
      <c r="C132" s="9"/>
      <c r="D132" s="9"/>
      <c r="E132" s="11"/>
      <c r="F132" s="11"/>
      <c r="G132" s="9"/>
    </row>
    <row r="133" customFormat="false" ht="15" hidden="false" customHeight="true" outlineLevel="0" collapsed="false">
      <c r="A133" s="9"/>
      <c r="B133" s="9"/>
      <c r="C133" s="9"/>
      <c r="D133" s="9"/>
      <c r="E133" s="11"/>
      <c r="F133" s="11"/>
      <c r="G133" s="9"/>
    </row>
    <row r="134" customFormat="false" ht="15" hidden="false" customHeight="true" outlineLevel="0" collapsed="false">
      <c r="A134" s="9"/>
      <c r="B134" s="9"/>
      <c r="C134" s="9"/>
      <c r="D134" s="9"/>
      <c r="E134" s="11"/>
      <c r="F134" s="11"/>
      <c r="G134" s="9"/>
    </row>
    <row r="135" customFormat="false" ht="15" hidden="false" customHeight="true" outlineLevel="0" collapsed="false">
      <c r="A135" s="9"/>
      <c r="B135" s="9"/>
      <c r="C135" s="9"/>
      <c r="D135" s="9"/>
      <c r="E135" s="11"/>
      <c r="F135" s="11"/>
      <c r="G135" s="9"/>
    </row>
    <row r="136" customFormat="false" ht="15" hidden="false" customHeight="true" outlineLevel="0" collapsed="false">
      <c r="A136" s="9"/>
      <c r="B136" s="9"/>
      <c r="C136" s="9"/>
      <c r="D136" s="9"/>
      <c r="E136" s="11"/>
      <c r="F136" s="11"/>
      <c r="G136" s="9"/>
    </row>
    <row r="137" customFormat="false" ht="15" hidden="false" customHeight="true" outlineLevel="0" collapsed="false">
      <c r="A137" s="9"/>
      <c r="B137" s="9"/>
      <c r="C137" s="9"/>
      <c r="D137" s="9"/>
      <c r="E137" s="11"/>
      <c r="F137" s="11"/>
      <c r="G137" s="9"/>
    </row>
    <row r="138" customFormat="false" ht="15" hidden="false" customHeight="true" outlineLevel="0" collapsed="false">
      <c r="A138" s="9"/>
      <c r="B138" s="9"/>
      <c r="C138" s="9"/>
      <c r="D138" s="9"/>
      <c r="E138" s="11"/>
      <c r="F138" s="11"/>
      <c r="G138" s="9"/>
    </row>
    <row r="139" customFormat="false" ht="15" hidden="false" customHeight="true" outlineLevel="0" collapsed="false">
      <c r="A139" s="9"/>
      <c r="B139" s="9"/>
      <c r="C139" s="9"/>
      <c r="D139" s="9"/>
      <c r="E139" s="11"/>
      <c r="F139" s="11"/>
      <c r="G139" s="9"/>
    </row>
    <row r="140" customFormat="false" ht="15" hidden="false" customHeight="true" outlineLevel="0" collapsed="false">
      <c r="A140" s="9"/>
      <c r="B140" s="9"/>
      <c r="C140" s="9"/>
      <c r="D140" s="9"/>
      <c r="E140" s="11"/>
      <c r="F140" s="11"/>
      <c r="G140" s="9"/>
    </row>
    <row r="141" customFormat="false" ht="15" hidden="false" customHeight="true" outlineLevel="0" collapsed="false">
      <c r="A141" s="9"/>
      <c r="B141" s="9"/>
      <c r="C141" s="9"/>
      <c r="D141" s="9"/>
      <c r="E141" s="11"/>
      <c r="F141" s="11"/>
      <c r="G141" s="9"/>
    </row>
    <row r="142" customFormat="false" ht="15" hidden="false" customHeight="true" outlineLevel="0" collapsed="false">
      <c r="A142" s="9"/>
      <c r="B142" s="9"/>
      <c r="C142" s="9"/>
      <c r="D142" s="9"/>
      <c r="E142" s="11"/>
      <c r="F142" s="11"/>
      <c r="G142" s="9"/>
    </row>
    <row r="143" customFormat="false" ht="15" hidden="false" customHeight="true" outlineLevel="0" collapsed="false">
      <c r="A143" s="9"/>
      <c r="B143" s="9"/>
      <c r="C143" s="9"/>
      <c r="D143" s="9"/>
      <c r="E143" s="11"/>
      <c r="F143" s="11"/>
      <c r="G143" s="9"/>
    </row>
    <row r="144" customFormat="false" ht="15" hidden="false" customHeight="true" outlineLevel="0" collapsed="false">
      <c r="A144" s="9"/>
      <c r="B144" s="9"/>
      <c r="C144" s="9"/>
      <c r="D144" s="9"/>
      <c r="E144" s="11"/>
      <c r="F144" s="11"/>
      <c r="G144" s="9"/>
    </row>
    <row r="145" customFormat="false" ht="15" hidden="false" customHeight="true" outlineLevel="0" collapsed="false">
      <c r="A145" s="9"/>
      <c r="B145" s="9"/>
      <c r="C145" s="9"/>
      <c r="D145" s="9"/>
      <c r="E145" s="11"/>
      <c r="F145" s="11"/>
      <c r="G145" s="9"/>
    </row>
    <row r="146" customFormat="false" ht="15" hidden="false" customHeight="true" outlineLevel="0" collapsed="false">
      <c r="A146" s="9"/>
      <c r="B146" s="9"/>
      <c r="C146" s="9"/>
      <c r="D146" s="9"/>
      <c r="E146" s="11"/>
      <c r="F146" s="11"/>
      <c r="G146" s="9"/>
    </row>
    <row r="147" customFormat="false" ht="15" hidden="false" customHeight="true" outlineLevel="0" collapsed="false">
      <c r="A147" s="9"/>
      <c r="B147" s="9"/>
      <c r="C147" s="9"/>
      <c r="D147" s="9"/>
      <c r="E147" s="11"/>
      <c r="F147" s="11"/>
      <c r="G147" s="9"/>
    </row>
    <row r="148" customFormat="false" ht="15" hidden="false" customHeight="true" outlineLevel="0" collapsed="false">
      <c r="A148" s="9"/>
      <c r="B148" s="9"/>
      <c r="C148" s="9"/>
      <c r="D148" s="9"/>
      <c r="E148" s="11"/>
      <c r="F148" s="11"/>
      <c r="G148" s="9"/>
    </row>
    <row r="149" customFormat="false" ht="15" hidden="false" customHeight="true" outlineLevel="0" collapsed="false">
      <c r="A149" s="9"/>
      <c r="B149" s="9"/>
      <c r="C149" s="9"/>
      <c r="D149" s="9"/>
      <c r="E149" s="11"/>
      <c r="F149" s="11"/>
      <c r="G149" s="9"/>
    </row>
    <row r="150" customFormat="false" ht="15" hidden="false" customHeight="true" outlineLevel="0" collapsed="false">
      <c r="A150" s="9"/>
      <c r="B150" s="9"/>
      <c r="C150" s="9"/>
      <c r="D150" s="9"/>
      <c r="E150" s="11"/>
      <c r="F150" s="11"/>
      <c r="G150" s="9"/>
    </row>
    <row r="151" customFormat="false" ht="15" hidden="false" customHeight="true" outlineLevel="0" collapsed="false">
      <c r="A151" s="9"/>
      <c r="B151" s="9"/>
      <c r="C151" s="9"/>
      <c r="D151" s="9"/>
      <c r="E151" s="11"/>
      <c r="F151" s="11"/>
      <c r="G151" s="9"/>
    </row>
    <row r="152" customFormat="false" ht="15" hidden="false" customHeight="true" outlineLevel="0" collapsed="false">
      <c r="A152" s="9"/>
      <c r="B152" s="9"/>
      <c r="C152" s="9"/>
      <c r="D152" s="9"/>
      <c r="E152" s="11"/>
      <c r="F152" s="11"/>
      <c r="G152" s="9"/>
    </row>
    <row r="153" customFormat="false" ht="15" hidden="false" customHeight="true" outlineLevel="0" collapsed="false">
      <c r="A153" s="9"/>
      <c r="B153" s="9"/>
      <c r="C153" s="9"/>
      <c r="D153" s="9"/>
      <c r="E153" s="11"/>
      <c r="F153" s="11"/>
      <c r="G153" s="9"/>
    </row>
    <row r="154" customFormat="false" ht="15" hidden="false" customHeight="true" outlineLevel="0" collapsed="false">
      <c r="A154" s="9"/>
      <c r="B154" s="9"/>
      <c r="C154" s="9"/>
      <c r="D154" s="9"/>
      <c r="E154" s="11"/>
      <c r="F154" s="11"/>
      <c r="G154" s="9"/>
    </row>
    <row r="155" customFormat="false" ht="15" hidden="false" customHeight="true" outlineLevel="0" collapsed="false">
      <c r="A155" s="9"/>
      <c r="B155" s="9"/>
      <c r="C155" s="9"/>
      <c r="D155" s="9"/>
      <c r="E155" s="11"/>
      <c r="F155" s="11"/>
      <c r="G155" s="9"/>
    </row>
    <row r="156" customFormat="false" ht="15" hidden="false" customHeight="true" outlineLevel="0" collapsed="false">
      <c r="A156" s="9"/>
      <c r="B156" s="9"/>
      <c r="C156" s="9"/>
      <c r="D156" s="9"/>
      <c r="E156" s="11"/>
      <c r="F156" s="11"/>
      <c r="G156" s="9"/>
    </row>
    <row r="157" customFormat="false" ht="15" hidden="false" customHeight="true" outlineLevel="0" collapsed="false">
      <c r="A157" s="9"/>
      <c r="B157" s="9"/>
      <c r="C157" s="9"/>
      <c r="D157" s="9"/>
      <c r="E157" s="11"/>
      <c r="F157" s="11"/>
      <c r="G157" s="9"/>
    </row>
    <row r="158" customFormat="false" ht="15" hidden="false" customHeight="true" outlineLevel="0" collapsed="false">
      <c r="A158" s="9"/>
      <c r="B158" s="9"/>
      <c r="C158" s="9"/>
      <c r="D158" s="9"/>
      <c r="E158" s="11"/>
      <c r="F158" s="11"/>
      <c r="G158" s="9"/>
    </row>
    <row r="159" customFormat="false" ht="15" hidden="false" customHeight="true" outlineLevel="0" collapsed="false">
      <c r="A159" s="9"/>
      <c r="B159" s="9"/>
      <c r="C159" s="9"/>
      <c r="D159" s="9"/>
      <c r="E159" s="11"/>
      <c r="F159" s="11"/>
      <c r="G159" s="9"/>
    </row>
    <row r="160" customFormat="false" ht="15" hidden="false" customHeight="true" outlineLevel="0" collapsed="false">
      <c r="A160" s="9"/>
      <c r="B160" s="9"/>
      <c r="C160" s="9"/>
      <c r="D160" s="9"/>
      <c r="E160" s="11"/>
      <c r="F160" s="11"/>
      <c r="G160" s="9"/>
    </row>
    <row r="161" customFormat="false" ht="15" hidden="false" customHeight="true" outlineLevel="0" collapsed="false">
      <c r="A161" s="9"/>
      <c r="B161" s="9"/>
      <c r="C161" s="9"/>
      <c r="D161" s="9"/>
      <c r="E161" s="11"/>
      <c r="F161" s="11"/>
      <c r="G161" s="9"/>
    </row>
    <row r="162" customFormat="false" ht="15" hidden="false" customHeight="true" outlineLevel="0" collapsed="false">
      <c r="A162" s="9"/>
      <c r="B162" s="9"/>
      <c r="C162" s="9"/>
      <c r="D162" s="9"/>
      <c r="E162" s="11"/>
      <c r="F162" s="11"/>
      <c r="G162" s="9"/>
    </row>
    <row r="163" customFormat="false" ht="15" hidden="false" customHeight="true" outlineLevel="0" collapsed="false">
      <c r="A163" s="9"/>
      <c r="B163" s="9"/>
      <c r="C163" s="9"/>
      <c r="D163" s="9"/>
      <c r="E163" s="11"/>
      <c r="F163" s="11"/>
      <c r="G163" s="9"/>
    </row>
    <row r="164" customFormat="false" ht="15" hidden="false" customHeight="true" outlineLevel="0" collapsed="false">
      <c r="A164" s="9"/>
      <c r="B164" s="9"/>
      <c r="C164" s="9"/>
      <c r="D164" s="9"/>
      <c r="E164" s="11"/>
      <c r="F164" s="11"/>
      <c r="G164" s="9"/>
    </row>
    <row r="165" customFormat="false" ht="15" hidden="false" customHeight="true" outlineLevel="0" collapsed="false">
      <c r="A165" s="9"/>
      <c r="B165" s="9"/>
      <c r="C165" s="9"/>
      <c r="D165" s="9"/>
      <c r="E165" s="11"/>
      <c r="F165" s="11"/>
      <c r="G165" s="9"/>
    </row>
    <row r="166" customFormat="false" ht="15" hidden="false" customHeight="true" outlineLevel="0" collapsed="false">
      <c r="A166" s="9"/>
      <c r="B166" s="9"/>
      <c r="C166" s="9"/>
      <c r="D166" s="9"/>
      <c r="E166" s="11"/>
      <c r="F166" s="11"/>
      <c r="G166" s="9"/>
    </row>
    <row r="167" customFormat="false" ht="15" hidden="false" customHeight="true" outlineLevel="0" collapsed="false">
      <c r="A167" s="9"/>
      <c r="B167" s="9"/>
      <c r="C167" s="9"/>
      <c r="D167" s="9"/>
      <c r="E167" s="11"/>
      <c r="F167" s="11"/>
      <c r="G167" s="9"/>
    </row>
    <row r="168" customFormat="false" ht="15" hidden="false" customHeight="true" outlineLevel="0" collapsed="false">
      <c r="A168" s="9"/>
      <c r="B168" s="9"/>
      <c r="C168" s="9"/>
      <c r="D168" s="9"/>
      <c r="E168" s="11"/>
      <c r="F168" s="11"/>
      <c r="G168" s="9"/>
    </row>
    <row r="169" customFormat="false" ht="15" hidden="false" customHeight="true" outlineLevel="0" collapsed="false">
      <c r="A169" s="9"/>
      <c r="B169" s="9"/>
      <c r="C169" s="9"/>
      <c r="D169" s="9"/>
      <c r="E169" s="11"/>
      <c r="F169" s="11"/>
      <c r="G169" s="9"/>
    </row>
    <row r="170" customFormat="false" ht="15" hidden="false" customHeight="true" outlineLevel="0" collapsed="false">
      <c r="A170" s="9"/>
      <c r="B170" s="9"/>
      <c r="C170" s="9"/>
      <c r="D170" s="9"/>
      <c r="E170" s="11"/>
      <c r="F170" s="11"/>
      <c r="G170" s="9"/>
    </row>
    <row r="171" customFormat="false" ht="15" hidden="false" customHeight="true" outlineLevel="0" collapsed="false">
      <c r="A171" s="9"/>
      <c r="B171" s="9"/>
      <c r="C171" s="9"/>
      <c r="D171" s="9"/>
      <c r="E171" s="11"/>
      <c r="F171" s="11"/>
      <c r="G171" s="9"/>
    </row>
    <row r="172" customFormat="false" ht="15" hidden="false" customHeight="true" outlineLevel="0" collapsed="false">
      <c r="A172" s="9"/>
      <c r="B172" s="9"/>
      <c r="C172" s="9"/>
      <c r="D172" s="9"/>
      <c r="E172" s="11"/>
      <c r="F172" s="11"/>
      <c r="G172" s="9"/>
    </row>
    <row r="173" customFormat="false" ht="15" hidden="false" customHeight="true" outlineLevel="0" collapsed="false">
      <c r="A173" s="9"/>
      <c r="B173" s="9"/>
      <c r="C173" s="9"/>
      <c r="D173" s="9"/>
      <c r="E173" s="11"/>
      <c r="F173" s="11"/>
      <c r="G173" s="9"/>
    </row>
    <row r="174" customFormat="false" ht="15" hidden="false" customHeight="true" outlineLevel="0" collapsed="false">
      <c r="A174" s="9"/>
      <c r="B174" s="9"/>
      <c r="C174" s="9"/>
      <c r="D174" s="9"/>
      <c r="E174" s="11"/>
      <c r="F174" s="11"/>
      <c r="G174" s="9"/>
    </row>
    <row r="175" customFormat="false" ht="15" hidden="false" customHeight="true" outlineLevel="0" collapsed="false">
      <c r="A175" s="9"/>
      <c r="B175" s="9"/>
      <c r="C175" s="9"/>
      <c r="D175" s="9"/>
      <c r="E175" s="11"/>
      <c r="F175" s="11"/>
      <c r="G175" s="9"/>
    </row>
    <row r="176" customFormat="false" ht="15" hidden="false" customHeight="true" outlineLevel="0" collapsed="false">
      <c r="A176" s="9"/>
      <c r="B176" s="9"/>
      <c r="C176" s="9"/>
      <c r="D176" s="9"/>
      <c r="E176" s="11"/>
      <c r="F176" s="11"/>
      <c r="G176" s="9"/>
    </row>
    <row r="177" customFormat="false" ht="15" hidden="false" customHeight="true" outlineLevel="0" collapsed="false">
      <c r="A177" s="9"/>
      <c r="B177" s="9"/>
      <c r="C177" s="9"/>
      <c r="D177" s="9"/>
      <c r="E177" s="11"/>
      <c r="F177" s="11"/>
      <c r="G177" s="9"/>
    </row>
    <row r="178" customFormat="false" ht="15" hidden="false" customHeight="true" outlineLevel="0" collapsed="false">
      <c r="A178" s="9"/>
      <c r="B178" s="9"/>
      <c r="C178" s="9"/>
      <c r="D178" s="9"/>
      <c r="E178" s="11"/>
      <c r="F178" s="11"/>
      <c r="G178" s="9"/>
    </row>
    <row r="179" customFormat="false" ht="15" hidden="false" customHeight="true" outlineLevel="0" collapsed="false">
      <c r="A179" s="9"/>
      <c r="B179" s="9"/>
      <c r="C179" s="9"/>
      <c r="D179" s="9"/>
      <c r="E179" s="11"/>
      <c r="F179" s="11"/>
      <c r="G179" s="9"/>
    </row>
    <row r="180" customFormat="false" ht="15" hidden="false" customHeight="true" outlineLevel="0" collapsed="false">
      <c r="A180" s="9"/>
      <c r="B180" s="9"/>
      <c r="C180" s="9"/>
      <c r="D180" s="9"/>
      <c r="E180" s="11"/>
      <c r="F180" s="11"/>
      <c r="G180" s="9"/>
    </row>
    <row r="181" customFormat="false" ht="15" hidden="false" customHeight="true" outlineLevel="0" collapsed="false">
      <c r="A181" s="9"/>
      <c r="B181" s="9"/>
      <c r="C181" s="9"/>
      <c r="D181" s="9"/>
      <c r="E181" s="11"/>
      <c r="F181" s="11"/>
      <c r="G181" s="9"/>
    </row>
    <row r="182" customFormat="false" ht="15" hidden="false" customHeight="true" outlineLevel="0" collapsed="false">
      <c r="A182" s="9"/>
      <c r="B182" s="9"/>
      <c r="C182" s="9"/>
      <c r="D182" s="9"/>
      <c r="E182" s="11"/>
      <c r="F182" s="11"/>
      <c r="G182" s="9"/>
    </row>
    <row r="183" customFormat="false" ht="15" hidden="false" customHeight="true" outlineLevel="0" collapsed="false">
      <c r="A183" s="9"/>
      <c r="B183" s="9"/>
      <c r="C183" s="9"/>
      <c r="D183" s="9"/>
      <c r="E183" s="11"/>
      <c r="F183" s="11"/>
      <c r="G183" s="9"/>
    </row>
    <row r="184" customFormat="false" ht="15" hidden="false" customHeight="true" outlineLevel="0" collapsed="false">
      <c r="A184" s="9"/>
      <c r="B184" s="9"/>
      <c r="C184" s="9"/>
      <c r="D184" s="9"/>
      <c r="E184" s="11"/>
      <c r="F184" s="11"/>
      <c r="G184" s="9"/>
    </row>
    <row r="185" customFormat="false" ht="15" hidden="false" customHeight="true" outlineLevel="0" collapsed="false">
      <c r="A185" s="9"/>
      <c r="B185" s="9"/>
      <c r="C185" s="9"/>
      <c r="D185" s="9"/>
      <c r="E185" s="11"/>
      <c r="F185" s="11"/>
      <c r="G185" s="9"/>
    </row>
    <row r="186" customFormat="false" ht="15" hidden="false" customHeight="true" outlineLevel="0" collapsed="false">
      <c r="A186" s="9"/>
      <c r="B186" s="9"/>
      <c r="C186" s="9"/>
      <c r="D186" s="9"/>
      <c r="E186" s="11"/>
      <c r="F186" s="11"/>
      <c r="G186" s="9"/>
    </row>
    <row r="187" customFormat="false" ht="15" hidden="false" customHeight="true" outlineLevel="0" collapsed="false">
      <c r="A187" s="9"/>
      <c r="B187" s="9"/>
      <c r="C187" s="9"/>
      <c r="D187" s="9"/>
      <c r="E187" s="11"/>
      <c r="F187" s="11"/>
      <c r="G187" s="9"/>
    </row>
    <row r="188" customFormat="false" ht="15" hidden="false" customHeight="true" outlineLevel="0" collapsed="false">
      <c r="A188" s="9"/>
      <c r="B188" s="9"/>
      <c r="C188" s="9"/>
      <c r="D188" s="9"/>
      <c r="E188" s="11"/>
      <c r="F188" s="11"/>
      <c r="G188" s="9"/>
    </row>
    <row r="189" customFormat="false" ht="15" hidden="false" customHeight="true" outlineLevel="0" collapsed="false">
      <c r="A189" s="9"/>
      <c r="B189" s="9"/>
      <c r="C189" s="9"/>
      <c r="D189" s="9"/>
      <c r="E189" s="11"/>
      <c r="F189" s="11"/>
      <c r="G189" s="9"/>
    </row>
    <row r="190" customFormat="false" ht="15" hidden="false" customHeight="true" outlineLevel="0" collapsed="false">
      <c r="A190" s="9"/>
      <c r="B190" s="9"/>
      <c r="C190" s="9"/>
      <c r="D190" s="9"/>
      <c r="E190" s="11"/>
      <c r="F190" s="11"/>
      <c r="G190" s="9"/>
    </row>
    <row r="191" customFormat="false" ht="15" hidden="false" customHeight="true" outlineLevel="0" collapsed="false">
      <c r="A191" s="9"/>
      <c r="B191" s="9"/>
      <c r="C191" s="9"/>
      <c r="D191" s="9"/>
      <c r="E191" s="11"/>
      <c r="F191" s="11"/>
      <c r="G191" s="9"/>
    </row>
    <row r="192" customFormat="false" ht="15" hidden="false" customHeight="true" outlineLevel="0" collapsed="false">
      <c r="A192" s="9"/>
      <c r="B192" s="9"/>
      <c r="C192" s="9"/>
      <c r="D192" s="9"/>
      <c r="E192" s="11"/>
      <c r="F192" s="11"/>
      <c r="G192" s="9"/>
    </row>
    <row r="193" customFormat="false" ht="15" hidden="false" customHeight="true" outlineLevel="0" collapsed="false">
      <c r="A193" s="9"/>
      <c r="B193" s="9"/>
      <c r="C193" s="9"/>
      <c r="D193" s="9"/>
      <c r="E193" s="11"/>
      <c r="F193" s="11"/>
      <c r="G193" s="9"/>
    </row>
    <row r="194" customFormat="false" ht="15" hidden="false" customHeight="true" outlineLevel="0" collapsed="false">
      <c r="A194" s="9"/>
      <c r="B194" s="9"/>
      <c r="C194" s="9"/>
      <c r="D194" s="9"/>
      <c r="E194" s="11"/>
      <c r="F194" s="11"/>
      <c r="G194" s="9"/>
    </row>
    <row r="195" customFormat="false" ht="15" hidden="false" customHeight="true" outlineLevel="0" collapsed="false">
      <c r="A195" s="9"/>
      <c r="B195" s="9"/>
      <c r="C195" s="9"/>
      <c r="D195" s="9"/>
      <c r="E195" s="11"/>
      <c r="F195" s="11"/>
      <c r="G195" s="9"/>
    </row>
    <row r="196" customFormat="false" ht="15" hidden="false" customHeight="true" outlineLevel="0" collapsed="false">
      <c r="A196" s="9"/>
      <c r="B196" s="9"/>
      <c r="C196" s="9"/>
      <c r="D196" s="9"/>
      <c r="E196" s="11"/>
      <c r="F196" s="11"/>
      <c r="G196" s="9"/>
    </row>
    <row r="197" customFormat="false" ht="15" hidden="false" customHeight="true" outlineLevel="0" collapsed="false">
      <c r="A197" s="9"/>
      <c r="B197" s="9"/>
      <c r="C197" s="9"/>
      <c r="D197" s="9"/>
      <c r="E197" s="11"/>
      <c r="F197" s="11"/>
      <c r="G197" s="9"/>
    </row>
    <row r="198" customFormat="false" ht="15" hidden="false" customHeight="true" outlineLevel="0" collapsed="false">
      <c r="A198" s="9"/>
      <c r="B198" s="9"/>
      <c r="C198" s="9"/>
      <c r="D198" s="9"/>
      <c r="E198" s="11"/>
      <c r="F198" s="11"/>
      <c r="G198" s="9"/>
    </row>
    <row r="199" customFormat="false" ht="15" hidden="false" customHeight="true" outlineLevel="0" collapsed="false">
      <c r="A199" s="9"/>
      <c r="B199" s="9"/>
      <c r="C199" s="9"/>
      <c r="D199" s="9"/>
      <c r="E199" s="11"/>
      <c r="F199" s="11"/>
      <c r="G199" s="9"/>
    </row>
    <row r="200" customFormat="false" ht="15" hidden="false" customHeight="true" outlineLevel="0" collapsed="false">
      <c r="A200" s="9"/>
      <c r="B200" s="9"/>
      <c r="C200" s="9"/>
      <c r="D200" s="9"/>
      <c r="E200" s="11"/>
      <c r="F200" s="11"/>
      <c r="G200" s="9"/>
    </row>
    <row r="201" customFormat="false" ht="15" hidden="false" customHeight="true" outlineLevel="0" collapsed="false">
      <c r="A201" s="9"/>
      <c r="B201" s="9"/>
      <c r="C201" s="9"/>
      <c r="D201" s="9"/>
      <c r="E201" s="11"/>
      <c r="F201" s="11"/>
      <c r="G201" s="9"/>
    </row>
    <row r="202" customFormat="false" ht="15" hidden="false" customHeight="true" outlineLevel="0" collapsed="false">
      <c r="A202" s="9"/>
      <c r="B202" s="9"/>
      <c r="C202" s="9"/>
      <c r="D202" s="9"/>
      <c r="E202" s="11"/>
      <c r="F202" s="11"/>
      <c r="G202" s="9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12"/>
    <col collapsed="false" customWidth="true" hidden="false" outlineLevel="0" max="11" min="11" style="1" width="18"/>
  </cols>
  <sheetData>
    <row r="1" customFormat="false" ht="25.5" hidden="false" customHeight="true" outlineLevel="0" collapsed="false">
      <c r="A1" s="2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8" t="s">
        <v>91</v>
      </c>
      <c r="B2" s="8" t="s">
        <v>92</v>
      </c>
      <c r="C2" s="8" t="s">
        <v>72</v>
      </c>
      <c r="D2" s="14" t="s">
        <v>93</v>
      </c>
      <c r="E2" s="14" t="s">
        <v>94</v>
      </c>
      <c r="F2" s="8" t="s">
        <v>95</v>
      </c>
      <c r="G2" s="8" t="s">
        <v>96</v>
      </c>
      <c r="H2" s="8" t="s">
        <v>97</v>
      </c>
      <c r="I2" s="8" t="s">
        <v>36</v>
      </c>
      <c r="J2" s="14" t="s">
        <v>98</v>
      </c>
      <c r="K2" s="14" t="s">
        <v>99</v>
      </c>
    </row>
    <row r="3" customFormat="false" ht="15" hidden="false" customHeight="true" outlineLevel="0" collapsed="false">
      <c r="A3" s="12"/>
      <c r="B3" s="9"/>
      <c r="C3" s="9"/>
      <c r="D3" s="15" t="str">
        <f aca="false">IF($C3="","",IFERROR(INDEX(예비품목록!$B$3:$B$202,MATCH($C3,예비품목록!$A$3:$A$202,0)),"미등록품번"))</f>
        <v/>
      </c>
      <c r="E3" s="15" t="str">
        <f aca="false">IF($C3="","",IFERROR(INDEX(예비품목록!$D$3:$D$202,MATCH($C3,예비품목록!$A$3:$A$202,0)),""))</f>
        <v/>
      </c>
      <c r="F3" s="11"/>
      <c r="G3" s="9"/>
      <c r="H3" s="9"/>
      <c r="I3" s="9"/>
      <c r="J3" s="23" t="str">
        <f aca="false">IF(OR($C3="",$F3=""),"",IF($B3="입고",$F3,IF($B3="출고",-$F3,$F3)))</f>
        <v/>
      </c>
      <c r="K3" s="24" t="str">
        <f aca="false">IF($C3="","",IFERROR(INDEX(예비품목록!$E$3:$E$202,MATCH($C3,예비품목록!$A$3:$A$202,0)),0)+SUMIFS($J$3:$J3,$C$3:$C3,$C3))</f>
        <v/>
      </c>
    </row>
    <row r="4" customFormat="false" ht="15" hidden="false" customHeight="true" outlineLevel="0" collapsed="false">
      <c r="A4" s="12"/>
      <c r="B4" s="9"/>
      <c r="C4" s="9"/>
      <c r="D4" s="15" t="str">
        <f aca="false">IF($C4="","",IFERROR(INDEX(예비품목록!$B$3:$B$202,MATCH($C4,예비품목록!$A$3:$A$202,0)),"미등록품번"))</f>
        <v/>
      </c>
      <c r="E4" s="15" t="str">
        <f aca="false">IF($C4="","",IFERROR(INDEX(예비품목록!$D$3:$D$202,MATCH($C4,예비품목록!$A$3:$A$202,0)),""))</f>
        <v/>
      </c>
      <c r="F4" s="11"/>
      <c r="G4" s="9"/>
      <c r="H4" s="9"/>
      <c r="I4" s="9"/>
      <c r="J4" s="23" t="str">
        <f aca="false">IF(OR($C4="",$F4=""),"",IF($B4="입고",$F4,IF($B4="출고",-$F4,$F4)))</f>
        <v/>
      </c>
      <c r="K4" s="24" t="str">
        <f aca="false">IF($C4="","",IFERROR(INDEX(예비품목록!$E$3:$E$202,MATCH($C4,예비품목록!$A$3:$A$202,0)),0)+SUMIFS($J$3:$J4,$C$3:$C4,$C4))</f>
        <v/>
      </c>
    </row>
    <row r="5" customFormat="false" ht="15" hidden="false" customHeight="true" outlineLevel="0" collapsed="false">
      <c r="A5" s="12"/>
      <c r="B5" s="9"/>
      <c r="C5" s="9"/>
      <c r="D5" s="15" t="str">
        <f aca="false">IF($C5="","",IFERROR(INDEX(예비품목록!$B$3:$B$202,MATCH($C5,예비품목록!$A$3:$A$202,0)),"미등록품번"))</f>
        <v/>
      </c>
      <c r="E5" s="15" t="str">
        <f aca="false">IF($C5="","",IFERROR(INDEX(예비품목록!$D$3:$D$202,MATCH($C5,예비품목록!$A$3:$A$202,0)),""))</f>
        <v/>
      </c>
      <c r="F5" s="11"/>
      <c r="G5" s="9"/>
      <c r="H5" s="9"/>
      <c r="I5" s="9"/>
      <c r="J5" s="23" t="str">
        <f aca="false">IF(OR($C5="",$F5=""),"",IF($B5="입고",$F5,IF($B5="출고",-$F5,$F5)))</f>
        <v/>
      </c>
      <c r="K5" s="24" t="str">
        <f aca="false">IF($C5="","",IFERROR(INDEX(예비품목록!$E$3:$E$202,MATCH($C5,예비품목록!$A$3:$A$202,0)),0)+SUMIFS($J$3:$J5,$C$3:$C5,$C5))</f>
        <v/>
      </c>
    </row>
    <row r="6" customFormat="false" ht="15" hidden="false" customHeight="true" outlineLevel="0" collapsed="false">
      <c r="A6" s="12"/>
      <c r="B6" s="9"/>
      <c r="C6" s="9"/>
      <c r="D6" s="15" t="str">
        <f aca="false">IF($C6="","",IFERROR(INDEX(예비품목록!$B$3:$B$202,MATCH($C6,예비품목록!$A$3:$A$202,0)),"미등록품번"))</f>
        <v/>
      </c>
      <c r="E6" s="15" t="str">
        <f aca="false">IF($C6="","",IFERROR(INDEX(예비품목록!$D$3:$D$202,MATCH($C6,예비품목록!$A$3:$A$202,0)),""))</f>
        <v/>
      </c>
      <c r="F6" s="11"/>
      <c r="G6" s="9"/>
      <c r="H6" s="9"/>
      <c r="I6" s="9"/>
      <c r="J6" s="23" t="str">
        <f aca="false">IF(OR($C6="",$F6=""),"",IF($B6="입고",$F6,IF($B6="출고",-$F6,$F6)))</f>
        <v/>
      </c>
      <c r="K6" s="24" t="str">
        <f aca="false">IF($C6="","",IFERROR(INDEX(예비품목록!$E$3:$E$202,MATCH($C6,예비품목록!$A$3:$A$202,0)),0)+SUMIFS($J$3:$J6,$C$3:$C6,$C6))</f>
        <v/>
      </c>
    </row>
    <row r="7" customFormat="false" ht="15" hidden="false" customHeight="true" outlineLevel="0" collapsed="false">
      <c r="A7" s="12"/>
      <c r="B7" s="9"/>
      <c r="C7" s="9"/>
      <c r="D7" s="15" t="str">
        <f aca="false">IF($C7="","",IFERROR(INDEX(예비품목록!$B$3:$B$202,MATCH($C7,예비품목록!$A$3:$A$202,0)),"미등록품번"))</f>
        <v/>
      </c>
      <c r="E7" s="15" t="str">
        <f aca="false">IF($C7="","",IFERROR(INDEX(예비품목록!$D$3:$D$202,MATCH($C7,예비품목록!$A$3:$A$202,0)),""))</f>
        <v/>
      </c>
      <c r="F7" s="11"/>
      <c r="G7" s="9"/>
      <c r="H7" s="9"/>
      <c r="I7" s="9"/>
      <c r="J7" s="23" t="str">
        <f aca="false">IF(OR($C7="",$F7=""),"",IF($B7="입고",$F7,IF($B7="출고",-$F7,$F7)))</f>
        <v/>
      </c>
      <c r="K7" s="24" t="str">
        <f aca="false">IF($C7="","",IFERROR(INDEX(예비품목록!$E$3:$E$202,MATCH($C7,예비품목록!$A$3:$A$202,0)),0)+SUMIFS($J$3:$J7,$C$3:$C7,$C7))</f>
        <v/>
      </c>
    </row>
    <row r="8" customFormat="false" ht="15" hidden="false" customHeight="true" outlineLevel="0" collapsed="false">
      <c r="A8" s="12"/>
      <c r="B8" s="9"/>
      <c r="C8" s="9"/>
      <c r="D8" s="15" t="str">
        <f aca="false">IF($C8="","",IFERROR(INDEX(예비품목록!$B$3:$B$202,MATCH($C8,예비품목록!$A$3:$A$202,0)),"미등록품번"))</f>
        <v/>
      </c>
      <c r="E8" s="15" t="str">
        <f aca="false">IF($C8="","",IFERROR(INDEX(예비품목록!$D$3:$D$202,MATCH($C8,예비품목록!$A$3:$A$202,0)),""))</f>
        <v/>
      </c>
      <c r="F8" s="11"/>
      <c r="G8" s="9"/>
      <c r="H8" s="9"/>
      <c r="I8" s="9"/>
      <c r="J8" s="23" t="str">
        <f aca="false">IF(OR($C8="",$F8=""),"",IF($B8="입고",$F8,IF($B8="출고",-$F8,$F8)))</f>
        <v/>
      </c>
      <c r="K8" s="24" t="str">
        <f aca="false">IF($C8="","",IFERROR(INDEX(예비품목록!$E$3:$E$202,MATCH($C8,예비품목록!$A$3:$A$202,0)),0)+SUMIFS($J$3:$J8,$C$3:$C8,$C8))</f>
        <v/>
      </c>
    </row>
    <row r="9" customFormat="false" ht="15" hidden="false" customHeight="true" outlineLevel="0" collapsed="false">
      <c r="A9" s="12"/>
      <c r="B9" s="9"/>
      <c r="C9" s="9"/>
      <c r="D9" s="15" t="str">
        <f aca="false">IF($C9="","",IFERROR(INDEX(예비품목록!$B$3:$B$202,MATCH($C9,예비품목록!$A$3:$A$202,0)),"미등록품번"))</f>
        <v/>
      </c>
      <c r="E9" s="15" t="str">
        <f aca="false">IF($C9="","",IFERROR(INDEX(예비품목록!$D$3:$D$202,MATCH($C9,예비품목록!$A$3:$A$202,0)),""))</f>
        <v/>
      </c>
      <c r="F9" s="11"/>
      <c r="G9" s="9"/>
      <c r="H9" s="9"/>
      <c r="I9" s="9"/>
      <c r="J9" s="23" t="str">
        <f aca="false">IF(OR($C9="",$F9=""),"",IF($B9="입고",$F9,IF($B9="출고",-$F9,$F9)))</f>
        <v/>
      </c>
      <c r="K9" s="24" t="str">
        <f aca="false">IF($C9="","",IFERROR(INDEX(예비품목록!$E$3:$E$202,MATCH($C9,예비품목록!$A$3:$A$202,0)),0)+SUMIFS($J$3:$J9,$C$3:$C9,$C9))</f>
        <v/>
      </c>
    </row>
    <row r="10" customFormat="false" ht="15" hidden="false" customHeight="true" outlineLevel="0" collapsed="false">
      <c r="A10" s="12"/>
      <c r="B10" s="9"/>
      <c r="C10" s="9"/>
      <c r="D10" s="15" t="str">
        <f aca="false">IF($C10="","",IFERROR(INDEX(예비품목록!$B$3:$B$202,MATCH($C10,예비품목록!$A$3:$A$202,0)),"미등록품번"))</f>
        <v/>
      </c>
      <c r="E10" s="15" t="str">
        <f aca="false">IF($C10="","",IFERROR(INDEX(예비품목록!$D$3:$D$202,MATCH($C10,예비품목록!$A$3:$A$202,0)),""))</f>
        <v/>
      </c>
      <c r="F10" s="11"/>
      <c r="G10" s="9"/>
      <c r="H10" s="9"/>
      <c r="I10" s="9"/>
      <c r="J10" s="23" t="str">
        <f aca="false">IF(OR($C10="",$F10=""),"",IF($B10="입고",$F10,IF($B10="출고",-$F10,$F10)))</f>
        <v/>
      </c>
      <c r="K10" s="24" t="str">
        <f aca="false">IF($C10="","",IFERROR(INDEX(예비품목록!$E$3:$E$202,MATCH($C10,예비품목록!$A$3:$A$202,0)),0)+SUMIFS($J$3:$J10,$C$3:$C10,$C10))</f>
        <v/>
      </c>
    </row>
    <row r="11" customFormat="false" ht="15" hidden="false" customHeight="true" outlineLevel="0" collapsed="false">
      <c r="A11" s="12"/>
      <c r="B11" s="9"/>
      <c r="C11" s="9"/>
      <c r="D11" s="15" t="str">
        <f aca="false">IF($C11="","",IFERROR(INDEX(예비품목록!$B$3:$B$202,MATCH($C11,예비품목록!$A$3:$A$202,0)),"미등록품번"))</f>
        <v/>
      </c>
      <c r="E11" s="15" t="str">
        <f aca="false">IF($C11="","",IFERROR(INDEX(예비품목록!$D$3:$D$202,MATCH($C11,예비품목록!$A$3:$A$202,0)),""))</f>
        <v/>
      </c>
      <c r="F11" s="11"/>
      <c r="G11" s="9"/>
      <c r="H11" s="9"/>
      <c r="I11" s="9"/>
      <c r="J11" s="23" t="str">
        <f aca="false">IF(OR($C11="",$F11=""),"",IF($B11="입고",$F11,IF($B11="출고",-$F11,$F11)))</f>
        <v/>
      </c>
      <c r="K11" s="24" t="str">
        <f aca="false">IF($C11="","",IFERROR(INDEX(예비품목록!$E$3:$E$202,MATCH($C11,예비품목록!$A$3:$A$202,0)),0)+SUMIFS($J$3:$J11,$C$3:$C11,$C11))</f>
        <v/>
      </c>
    </row>
    <row r="12" customFormat="false" ht="15" hidden="false" customHeight="true" outlineLevel="0" collapsed="false">
      <c r="A12" s="12"/>
      <c r="B12" s="9"/>
      <c r="C12" s="9"/>
      <c r="D12" s="15" t="str">
        <f aca="false">IF($C12="","",IFERROR(INDEX(예비품목록!$B$3:$B$202,MATCH($C12,예비품목록!$A$3:$A$202,0)),"미등록품번"))</f>
        <v/>
      </c>
      <c r="E12" s="15" t="str">
        <f aca="false">IF($C12="","",IFERROR(INDEX(예비품목록!$D$3:$D$202,MATCH($C12,예비품목록!$A$3:$A$202,0)),""))</f>
        <v/>
      </c>
      <c r="F12" s="11"/>
      <c r="G12" s="9"/>
      <c r="H12" s="9"/>
      <c r="I12" s="9"/>
      <c r="J12" s="23" t="str">
        <f aca="false">IF(OR($C12="",$F12=""),"",IF($B12="입고",$F12,IF($B12="출고",-$F12,$F12)))</f>
        <v/>
      </c>
      <c r="K12" s="24" t="str">
        <f aca="false">IF($C12="","",IFERROR(INDEX(예비품목록!$E$3:$E$202,MATCH($C12,예비품목록!$A$3:$A$202,0)),0)+SUMIFS($J$3:$J12,$C$3:$C12,$C12))</f>
        <v/>
      </c>
    </row>
    <row r="13" customFormat="false" ht="15" hidden="false" customHeight="true" outlineLevel="0" collapsed="false">
      <c r="A13" s="12"/>
      <c r="B13" s="9"/>
      <c r="C13" s="9"/>
      <c r="D13" s="15" t="str">
        <f aca="false">IF($C13="","",IFERROR(INDEX(예비품목록!$B$3:$B$202,MATCH($C13,예비품목록!$A$3:$A$202,0)),"미등록품번"))</f>
        <v/>
      </c>
      <c r="E13" s="15" t="str">
        <f aca="false">IF($C13="","",IFERROR(INDEX(예비품목록!$D$3:$D$202,MATCH($C13,예비품목록!$A$3:$A$202,0)),""))</f>
        <v/>
      </c>
      <c r="F13" s="11"/>
      <c r="G13" s="9"/>
      <c r="H13" s="9"/>
      <c r="I13" s="9"/>
      <c r="J13" s="23" t="str">
        <f aca="false">IF(OR($C13="",$F13=""),"",IF($B13="입고",$F13,IF($B13="출고",-$F13,$F13)))</f>
        <v/>
      </c>
      <c r="K13" s="24" t="str">
        <f aca="false">IF($C13="","",IFERROR(INDEX(예비품목록!$E$3:$E$202,MATCH($C13,예비품목록!$A$3:$A$202,0)),0)+SUMIFS($J$3:$J13,$C$3:$C13,$C13))</f>
        <v/>
      </c>
    </row>
    <row r="14" customFormat="false" ht="15" hidden="false" customHeight="true" outlineLevel="0" collapsed="false">
      <c r="A14" s="12"/>
      <c r="B14" s="9"/>
      <c r="C14" s="9"/>
      <c r="D14" s="15" t="str">
        <f aca="false">IF($C14="","",IFERROR(INDEX(예비품목록!$B$3:$B$202,MATCH($C14,예비품목록!$A$3:$A$202,0)),"미등록품번"))</f>
        <v/>
      </c>
      <c r="E14" s="15" t="str">
        <f aca="false">IF($C14="","",IFERROR(INDEX(예비품목록!$D$3:$D$202,MATCH($C14,예비품목록!$A$3:$A$202,0)),""))</f>
        <v/>
      </c>
      <c r="F14" s="11"/>
      <c r="G14" s="9"/>
      <c r="H14" s="9"/>
      <c r="I14" s="9"/>
      <c r="J14" s="23" t="str">
        <f aca="false">IF(OR($C14="",$F14=""),"",IF($B14="입고",$F14,IF($B14="출고",-$F14,$F14)))</f>
        <v/>
      </c>
      <c r="K14" s="24" t="str">
        <f aca="false">IF($C14="","",IFERROR(INDEX(예비품목록!$E$3:$E$202,MATCH($C14,예비품목록!$A$3:$A$202,0)),0)+SUMIFS($J$3:$J14,$C$3:$C14,$C14))</f>
        <v/>
      </c>
    </row>
    <row r="15" customFormat="false" ht="15" hidden="false" customHeight="true" outlineLevel="0" collapsed="false">
      <c r="A15" s="12"/>
      <c r="B15" s="9"/>
      <c r="C15" s="9"/>
      <c r="D15" s="15" t="str">
        <f aca="false">IF($C15="","",IFERROR(INDEX(예비품목록!$B$3:$B$202,MATCH($C15,예비품목록!$A$3:$A$202,0)),"미등록품번"))</f>
        <v/>
      </c>
      <c r="E15" s="15" t="str">
        <f aca="false">IF($C15="","",IFERROR(INDEX(예비품목록!$D$3:$D$202,MATCH($C15,예비품목록!$A$3:$A$202,0)),""))</f>
        <v/>
      </c>
      <c r="F15" s="11"/>
      <c r="G15" s="9"/>
      <c r="H15" s="9"/>
      <c r="I15" s="9"/>
      <c r="J15" s="23" t="str">
        <f aca="false">IF(OR($C15="",$F15=""),"",IF($B15="입고",$F15,IF($B15="출고",-$F15,$F15)))</f>
        <v/>
      </c>
      <c r="K15" s="24" t="str">
        <f aca="false">IF($C15="","",IFERROR(INDEX(예비품목록!$E$3:$E$202,MATCH($C15,예비품목록!$A$3:$A$202,0)),0)+SUMIFS($J$3:$J15,$C$3:$C15,$C15))</f>
        <v/>
      </c>
    </row>
    <row r="16" customFormat="false" ht="15" hidden="false" customHeight="true" outlineLevel="0" collapsed="false">
      <c r="A16" s="12"/>
      <c r="B16" s="9"/>
      <c r="C16" s="9"/>
      <c r="D16" s="15" t="str">
        <f aca="false">IF($C16="","",IFERROR(INDEX(예비품목록!$B$3:$B$202,MATCH($C16,예비품목록!$A$3:$A$202,0)),"미등록품번"))</f>
        <v/>
      </c>
      <c r="E16" s="15" t="str">
        <f aca="false">IF($C16="","",IFERROR(INDEX(예비품목록!$D$3:$D$202,MATCH($C16,예비품목록!$A$3:$A$202,0)),""))</f>
        <v/>
      </c>
      <c r="F16" s="11"/>
      <c r="G16" s="9"/>
      <c r="H16" s="9"/>
      <c r="I16" s="9"/>
      <c r="J16" s="23" t="str">
        <f aca="false">IF(OR($C16="",$F16=""),"",IF($B16="입고",$F16,IF($B16="출고",-$F16,$F16)))</f>
        <v/>
      </c>
      <c r="K16" s="24" t="str">
        <f aca="false">IF($C16="","",IFERROR(INDEX(예비품목록!$E$3:$E$202,MATCH($C16,예비품목록!$A$3:$A$202,0)),0)+SUMIFS($J$3:$J16,$C$3:$C16,$C16))</f>
        <v/>
      </c>
    </row>
    <row r="17" customFormat="false" ht="15" hidden="false" customHeight="true" outlineLevel="0" collapsed="false">
      <c r="A17" s="12"/>
      <c r="B17" s="9"/>
      <c r="C17" s="9"/>
      <c r="D17" s="15" t="str">
        <f aca="false">IF($C17="","",IFERROR(INDEX(예비품목록!$B$3:$B$202,MATCH($C17,예비품목록!$A$3:$A$202,0)),"미등록품번"))</f>
        <v/>
      </c>
      <c r="E17" s="15" t="str">
        <f aca="false">IF($C17="","",IFERROR(INDEX(예비품목록!$D$3:$D$202,MATCH($C17,예비품목록!$A$3:$A$202,0)),""))</f>
        <v/>
      </c>
      <c r="F17" s="11"/>
      <c r="G17" s="9"/>
      <c r="H17" s="9"/>
      <c r="I17" s="9"/>
      <c r="J17" s="23" t="str">
        <f aca="false">IF(OR($C17="",$F17=""),"",IF($B17="입고",$F17,IF($B17="출고",-$F17,$F17)))</f>
        <v/>
      </c>
      <c r="K17" s="24" t="str">
        <f aca="false">IF($C17="","",IFERROR(INDEX(예비품목록!$E$3:$E$202,MATCH($C17,예비품목록!$A$3:$A$202,0)),0)+SUMIFS($J$3:$J17,$C$3:$C17,$C17))</f>
        <v/>
      </c>
    </row>
    <row r="18" customFormat="false" ht="15" hidden="false" customHeight="true" outlineLevel="0" collapsed="false">
      <c r="A18" s="12"/>
      <c r="B18" s="9"/>
      <c r="C18" s="9"/>
      <c r="D18" s="15" t="str">
        <f aca="false">IF($C18="","",IFERROR(INDEX(예비품목록!$B$3:$B$202,MATCH($C18,예비품목록!$A$3:$A$202,0)),"미등록품번"))</f>
        <v/>
      </c>
      <c r="E18" s="15" t="str">
        <f aca="false">IF($C18="","",IFERROR(INDEX(예비품목록!$D$3:$D$202,MATCH($C18,예비품목록!$A$3:$A$202,0)),""))</f>
        <v/>
      </c>
      <c r="F18" s="11"/>
      <c r="G18" s="9"/>
      <c r="H18" s="9"/>
      <c r="I18" s="9"/>
      <c r="J18" s="23" t="str">
        <f aca="false">IF(OR($C18="",$F18=""),"",IF($B18="입고",$F18,IF($B18="출고",-$F18,$F18)))</f>
        <v/>
      </c>
      <c r="K18" s="24" t="str">
        <f aca="false">IF($C18="","",IFERROR(INDEX(예비품목록!$E$3:$E$202,MATCH($C18,예비품목록!$A$3:$A$202,0)),0)+SUMIFS($J$3:$J18,$C$3:$C18,$C18))</f>
        <v/>
      </c>
    </row>
    <row r="19" customFormat="false" ht="15" hidden="false" customHeight="true" outlineLevel="0" collapsed="false">
      <c r="A19" s="12"/>
      <c r="B19" s="9"/>
      <c r="C19" s="9"/>
      <c r="D19" s="15" t="str">
        <f aca="false">IF($C19="","",IFERROR(INDEX(예비품목록!$B$3:$B$202,MATCH($C19,예비품목록!$A$3:$A$202,0)),"미등록품번"))</f>
        <v/>
      </c>
      <c r="E19" s="15" t="str">
        <f aca="false">IF($C19="","",IFERROR(INDEX(예비품목록!$D$3:$D$202,MATCH($C19,예비품목록!$A$3:$A$202,0)),""))</f>
        <v/>
      </c>
      <c r="F19" s="11"/>
      <c r="G19" s="9"/>
      <c r="H19" s="9"/>
      <c r="I19" s="9"/>
      <c r="J19" s="23" t="str">
        <f aca="false">IF(OR($C19="",$F19=""),"",IF($B19="입고",$F19,IF($B19="출고",-$F19,$F19)))</f>
        <v/>
      </c>
      <c r="K19" s="24" t="str">
        <f aca="false">IF($C19="","",IFERROR(INDEX(예비품목록!$E$3:$E$202,MATCH($C19,예비품목록!$A$3:$A$202,0)),0)+SUMIFS($J$3:$J19,$C$3:$C19,$C19))</f>
        <v/>
      </c>
    </row>
    <row r="20" customFormat="false" ht="15" hidden="false" customHeight="true" outlineLevel="0" collapsed="false">
      <c r="A20" s="12"/>
      <c r="B20" s="9"/>
      <c r="C20" s="9"/>
      <c r="D20" s="15" t="str">
        <f aca="false">IF($C20="","",IFERROR(INDEX(예비품목록!$B$3:$B$202,MATCH($C20,예비품목록!$A$3:$A$202,0)),"미등록품번"))</f>
        <v/>
      </c>
      <c r="E20" s="15" t="str">
        <f aca="false">IF($C20="","",IFERROR(INDEX(예비품목록!$D$3:$D$202,MATCH($C20,예비품목록!$A$3:$A$202,0)),""))</f>
        <v/>
      </c>
      <c r="F20" s="11"/>
      <c r="G20" s="9"/>
      <c r="H20" s="9"/>
      <c r="I20" s="9"/>
      <c r="J20" s="23" t="str">
        <f aca="false">IF(OR($C20="",$F20=""),"",IF($B20="입고",$F20,IF($B20="출고",-$F20,$F20)))</f>
        <v/>
      </c>
      <c r="K20" s="24" t="str">
        <f aca="false">IF($C20="","",IFERROR(INDEX(예비품목록!$E$3:$E$202,MATCH($C20,예비품목록!$A$3:$A$202,0)),0)+SUMIFS($J$3:$J20,$C$3:$C20,$C20))</f>
        <v/>
      </c>
    </row>
    <row r="21" customFormat="false" ht="15" hidden="false" customHeight="true" outlineLevel="0" collapsed="false">
      <c r="A21" s="12"/>
      <c r="B21" s="9"/>
      <c r="C21" s="9"/>
      <c r="D21" s="15" t="str">
        <f aca="false">IF($C21="","",IFERROR(INDEX(예비품목록!$B$3:$B$202,MATCH($C21,예비품목록!$A$3:$A$202,0)),"미등록품번"))</f>
        <v/>
      </c>
      <c r="E21" s="15" t="str">
        <f aca="false">IF($C21="","",IFERROR(INDEX(예비품목록!$D$3:$D$202,MATCH($C21,예비품목록!$A$3:$A$202,0)),""))</f>
        <v/>
      </c>
      <c r="F21" s="11"/>
      <c r="G21" s="9"/>
      <c r="H21" s="9"/>
      <c r="I21" s="9"/>
      <c r="J21" s="23" t="str">
        <f aca="false">IF(OR($C21="",$F21=""),"",IF($B21="입고",$F21,IF($B21="출고",-$F21,$F21)))</f>
        <v/>
      </c>
      <c r="K21" s="24" t="str">
        <f aca="false">IF($C21="","",IFERROR(INDEX(예비품목록!$E$3:$E$202,MATCH($C21,예비품목록!$A$3:$A$202,0)),0)+SUMIFS($J$3:$J21,$C$3:$C21,$C21))</f>
        <v/>
      </c>
    </row>
    <row r="22" customFormat="false" ht="15" hidden="false" customHeight="true" outlineLevel="0" collapsed="false">
      <c r="A22" s="12"/>
      <c r="B22" s="9"/>
      <c r="C22" s="9"/>
      <c r="D22" s="15" t="str">
        <f aca="false">IF($C22="","",IFERROR(INDEX(예비품목록!$B$3:$B$202,MATCH($C22,예비품목록!$A$3:$A$202,0)),"미등록품번"))</f>
        <v/>
      </c>
      <c r="E22" s="15" t="str">
        <f aca="false">IF($C22="","",IFERROR(INDEX(예비품목록!$D$3:$D$202,MATCH($C22,예비품목록!$A$3:$A$202,0)),""))</f>
        <v/>
      </c>
      <c r="F22" s="11"/>
      <c r="G22" s="9"/>
      <c r="H22" s="9"/>
      <c r="I22" s="9"/>
      <c r="J22" s="23" t="str">
        <f aca="false">IF(OR($C22="",$F22=""),"",IF($B22="입고",$F22,IF($B22="출고",-$F22,$F22)))</f>
        <v/>
      </c>
      <c r="K22" s="24" t="str">
        <f aca="false">IF($C22="","",IFERROR(INDEX(예비품목록!$E$3:$E$202,MATCH($C22,예비품목록!$A$3:$A$202,0)),0)+SUMIFS($J$3:$J22,$C$3:$C22,$C22))</f>
        <v/>
      </c>
    </row>
    <row r="23" customFormat="false" ht="15" hidden="false" customHeight="true" outlineLevel="0" collapsed="false">
      <c r="A23" s="12"/>
      <c r="B23" s="9"/>
      <c r="C23" s="9"/>
      <c r="D23" s="15" t="str">
        <f aca="false">IF($C23="","",IFERROR(INDEX(예비품목록!$B$3:$B$202,MATCH($C23,예비품목록!$A$3:$A$202,0)),"미등록품번"))</f>
        <v/>
      </c>
      <c r="E23" s="15" t="str">
        <f aca="false">IF($C23="","",IFERROR(INDEX(예비품목록!$D$3:$D$202,MATCH($C23,예비품목록!$A$3:$A$202,0)),""))</f>
        <v/>
      </c>
      <c r="F23" s="11"/>
      <c r="G23" s="9"/>
      <c r="H23" s="9"/>
      <c r="I23" s="9"/>
      <c r="J23" s="23" t="str">
        <f aca="false">IF(OR($C23="",$F23=""),"",IF($B23="입고",$F23,IF($B23="출고",-$F23,$F23)))</f>
        <v/>
      </c>
      <c r="K23" s="24" t="str">
        <f aca="false">IF($C23="","",IFERROR(INDEX(예비품목록!$E$3:$E$202,MATCH($C23,예비품목록!$A$3:$A$202,0)),0)+SUMIFS($J$3:$J23,$C$3:$C23,$C23))</f>
        <v/>
      </c>
    </row>
    <row r="24" customFormat="false" ht="15" hidden="false" customHeight="true" outlineLevel="0" collapsed="false">
      <c r="A24" s="12"/>
      <c r="B24" s="9"/>
      <c r="C24" s="9"/>
      <c r="D24" s="15" t="str">
        <f aca="false">IF($C24="","",IFERROR(INDEX(예비품목록!$B$3:$B$202,MATCH($C24,예비품목록!$A$3:$A$202,0)),"미등록품번"))</f>
        <v/>
      </c>
      <c r="E24" s="15" t="str">
        <f aca="false">IF($C24="","",IFERROR(INDEX(예비품목록!$D$3:$D$202,MATCH($C24,예비품목록!$A$3:$A$202,0)),""))</f>
        <v/>
      </c>
      <c r="F24" s="11"/>
      <c r="G24" s="9"/>
      <c r="H24" s="9"/>
      <c r="I24" s="9"/>
      <c r="J24" s="23" t="str">
        <f aca="false">IF(OR($C24="",$F24=""),"",IF($B24="입고",$F24,IF($B24="출고",-$F24,$F24)))</f>
        <v/>
      </c>
      <c r="K24" s="24" t="str">
        <f aca="false">IF($C24="","",IFERROR(INDEX(예비품목록!$E$3:$E$202,MATCH($C24,예비품목록!$A$3:$A$202,0)),0)+SUMIFS($J$3:$J24,$C$3:$C24,$C24))</f>
        <v/>
      </c>
    </row>
    <row r="25" customFormat="false" ht="15" hidden="false" customHeight="true" outlineLevel="0" collapsed="false">
      <c r="A25" s="12"/>
      <c r="B25" s="9"/>
      <c r="C25" s="9"/>
      <c r="D25" s="15" t="str">
        <f aca="false">IF($C25="","",IFERROR(INDEX(예비품목록!$B$3:$B$202,MATCH($C25,예비품목록!$A$3:$A$202,0)),"미등록품번"))</f>
        <v/>
      </c>
      <c r="E25" s="15" t="str">
        <f aca="false">IF($C25="","",IFERROR(INDEX(예비품목록!$D$3:$D$202,MATCH($C25,예비품목록!$A$3:$A$202,0)),""))</f>
        <v/>
      </c>
      <c r="F25" s="11"/>
      <c r="G25" s="9"/>
      <c r="H25" s="9"/>
      <c r="I25" s="9"/>
      <c r="J25" s="23" t="str">
        <f aca="false">IF(OR($C25="",$F25=""),"",IF($B25="입고",$F25,IF($B25="출고",-$F25,$F25)))</f>
        <v/>
      </c>
      <c r="K25" s="24" t="str">
        <f aca="false">IF($C25="","",IFERROR(INDEX(예비품목록!$E$3:$E$202,MATCH($C25,예비품목록!$A$3:$A$202,0)),0)+SUMIFS($J$3:$J25,$C$3:$C25,$C25))</f>
        <v/>
      </c>
    </row>
    <row r="26" customFormat="false" ht="15" hidden="false" customHeight="true" outlineLevel="0" collapsed="false">
      <c r="A26" s="12"/>
      <c r="B26" s="9"/>
      <c r="C26" s="9"/>
      <c r="D26" s="15" t="str">
        <f aca="false">IF($C26="","",IFERROR(INDEX(예비품목록!$B$3:$B$202,MATCH($C26,예비품목록!$A$3:$A$202,0)),"미등록품번"))</f>
        <v/>
      </c>
      <c r="E26" s="15" t="str">
        <f aca="false">IF($C26="","",IFERROR(INDEX(예비품목록!$D$3:$D$202,MATCH($C26,예비품목록!$A$3:$A$202,0)),""))</f>
        <v/>
      </c>
      <c r="F26" s="11"/>
      <c r="G26" s="9"/>
      <c r="H26" s="9"/>
      <c r="I26" s="9"/>
      <c r="J26" s="23" t="str">
        <f aca="false">IF(OR($C26="",$F26=""),"",IF($B26="입고",$F26,IF($B26="출고",-$F26,$F26)))</f>
        <v/>
      </c>
      <c r="K26" s="24" t="str">
        <f aca="false">IF($C26="","",IFERROR(INDEX(예비품목록!$E$3:$E$202,MATCH($C26,예비품목록!$A$3:$A$202,0)),0)+SUMIFS($J$3:$J26,$C$3:$C26,$C26))</f>
        <v/>
      </c>
    </row>
    <row r="27" customFormat="false" ht="15" hidden="false" customHeight="true" outlineLevel="0" collapsed="false">
      <c r="A27" s="12"/>
      <c r="B27" s="9"/>
      <c r="C27" s="9"/>
      <c r="D27" s="15" t="str">
        <f aca="false">IF($C27="","",IFERROR(INDEX(예비품목록!$B$3:$B$202,MATCH($C27,예비품목록!$A$3:$A$202,0)),"미등록품번"))</f>
        <v/>
      </c>
      <c r="E27" s="15" t="str">
        <f aca="false">IF($C27="","",IFERROR(INDEX(예비품목록!$D$3:$D$202,MATCH($C27,예비품목록!$A$3:$A$202,0)),""))</f>
        <v/>
      </c>
      <c r="F27" s="11"/>
      <c r="G27" s="9"/>
      <c r="H27" s="9"/>
      <c r="I27" s="9"/>
      <c r="J27" s="23" t="str">
        <f aca="false">IF(OR($C27="",$F27=""),"",IF($B27="입고",$F27,IF($B27="출고",-$F27,$F27)))</f>
        <v/>
      </c>
      <c r="K27" s="24" t="str">
        <f aca="false">IF($C27="","",IFERROR(INDEX(예비품목록!$E$3:$E$202,MATCH($C27,예비품목록!$A$3:$A$202,0)),0)+SUMIFS($J$3:$J27,$C$3:$C27,$C27))</f>
        <v/>
      </c>
    </row>
    <row r="28" customFormat="false" ht="15" hidden="false" customHeight="true" outlineLevel="0" collapsed="false">
      <c r="A28" s="12"/>
      <c r="B28" s="9"/>
      <c r="C28" s="9"/>
      <c r="D28" s="15" t="str">
        <f aca="false">IF($C28="","",IFERROR(INDEX(예비품목록!$B$3:$B$202,MATCH($C28,예비품목록!$A$3:$A$202,0)),"미등록품번"))</f>
        <v/>
      </c>
      <c r="E28" s="15" t="str">
        <f aca="false">IF($C28="","",IFERROR(INDEX(예비품목록!$D$3:$D$202,MATCH($C28,예비품목록!$A$3:$A$202,0)),""))</f>
        <v/>
      </c>
      <c r="F28" s="11"/>
      <c r="G28" s="9"/>
      <c r="H28" s="9"/>
      <c r="I28" s="9"/>
      <c r="J28" s="23" t="str">
        <f aca="false">IF(OR($C28="",$F28=""),"",IF($B28="입고",$F28,IF($B28="출고",-$F28,$F28)))</f>
        <v/>
      </c>
      <c r="K28" s="24" t="str">
        <f aca="false">IF($C28="","",IFERROR(INDEX(예비품목록!$E$3:$E$202,MATCH($C28,예비품목록!$A$3:$A$202,0)),0)+SUMIFS($J$3:$J28,$C$3:$C28,$C28))</f>
        <v/>
      </c>
    </row>
    <row r="29" customFormat="false" ht="15" hidden="false" customHeight="true" outlineLevel="0" collapsed="false">
      <c r="A29" s="12"/>
      <c r="B29" s="9"/>
      <c r="C29" s="9"/>
      <c r="D29" s="15" t="str">
        <f aca="false">IF($C29="","",IFERROR(INDEX(예비품목록!$B$3:$B$202,MATCH($C29,예비품목록!$A$3:$A$202,0)),"미등록품번"))</f>
        <v/>
      </c>
      <c r="E29" s="15" t="str">
        <f aca="false">IF($C29="","",IFERROR(INDEX(예비품목록!$D$3:$D$202,MATCH($C29,예비품목록!$A$3:$A$202,0)),""))</f>
        <v/>
      </c>
      <c r="F29" s="11"/>
      <c r="G29" s="9"/>
      <c r="H29" s="9"/>
      <c r="I29" s="9"/>
      <c r="J29" s="23" t="str">
        <f aca="false">IF(OR($C29="",$F29=""),"",IF($B29="입고",$F29,IF($B29="출고",-$F29,$F29)))</f>
        <v/>
      </c>
      <c r="K29" s="24" t="str">
        <f aca="false">IF($C29="","",IFERROR(INDEX(예비품목록!$E$3:$E$202,MATCH($C29,예비품목록!$A$3:$A$202,0)),0)+SUMIFS($J$3:$J29,$C$3:$C29,$C29))</f>
        <v/>
      </c>
    </row>
    <row r="30" customFormat="false" ht="15" hidden="false" customHeight="true" outlineLevel="0" collapsed="false">
      <c r="A30" s="12"/>
      <c r="B30" s="9"/>
      <c r="C30" s="9"/>
      <c r="D30" s="15" t="str">
        <f aca="false">IF($C30="","",IFERROR(INDEX(예비품목록!$B$3:$B$202,MATCH($C30,예비품목록!$A$3:$A$202,0)),"미등록품번"))</f>
        <v/>
      </c>
      <c r="E30" s="15" t="str">
        <f aca="false">IF($C30="","",IFERROR(INDEX(예비품목록!$D$3:$D$202,MATCH($C30,예비품목록!$A$3:$A$202,0)),""))</f>
        <v/>
      </c>
      <c r="F30" s="11"/>
      <c r="G30" s="9"/>
      <c r="H30" s="9"/>
      <c r="I30" s="9"/>
      <c r="J30" s="23" t="str">
        <f aca="false">IF(OR($C30="",$F30=""),"",IF($B30="입고",$F30,IF($B30="출고",-$F30,$F30)))</f>
        <v/>
      </c>
      <c r="K30" s="24" t="str">
        <f aca="false">IF($C30="","",IFERROR(INDEX(예비품목록!$E$3:$E$202,MATCH($C30,예비품목록!$A$3:$A$202,0)),0)+SUMIFS($J$3:$J30,$C$3:$C30,$C30))</f>
        <v/>
      </c>
    </row>
    <row r="31" customFormat="false" ht="15" hidden="false" customHeight="true" outlineLevel="0" collapsed="false">
      <c r="A31" s="12"/>
      <c r="B31" s="9"/>
      <c r="C31" s="9"/>
      <c r="D31" s="15" t="str">
        <f aca="false">IF($C31="","",IFERROR(INDEX(예비품목록!$B$3:$B$202,MATCH($C31,예비품목록!$A$3:$A$202,0)),"미등록품번"))</f>
        <v/>
      </c>
      <c r="E31" s="15" t="str">
        <f aca="false">IF($C31="","",IFERROR(INDEX(예비품목록!$D$3:$D$202,MATCH($C31,예비품목록!$A$3:$A$202,0)),""))</f>
        <v/>
      </c>
      <c r="F31" s="11"/>
      <c r="G31" s="9"/>
      <c r="H31" s="9"/>
      <c r="I31" s="9"/>
      <c r="J31" s="23" t="str">
        <f aca="false">IF(OR($C31="",$F31=""),"",IF($B31="입고",$F31,IF($B31="출고",-$F31,$F31)))</f>
        <v/>
      </c>
      <c r="K31" s="24" t="str">
        <f aca="false">IF($C31="","",IFERROR(INDEX(예비품목록!$E$3:$E$202,MATCH($C31,예비품목록!$A$3:$A$202,0)),0)+SUMIFS($J$3:$J31,$C$3:$C31,$C31))</f>
        <v/>
      </c>
    </row>
    <row r="32" customFormat="false" ht="15" hidden="false" customHeight="true" outlineLevel="0" collapsed="false">
      <c r="A32" s="12"/>
      <c r="B32" s="9"/>
      <c r="C32" s="9"/>
      <c r="D32" s="15" t="str">
        <f aca="false">IF($C32="","",IFERROR(INDEX(예비품목록!$B$3:$B$202,MATCH($C32,예비품목록!$A$3:$A$202,0)),"미등록품번"))</f>
        <v/>
      </c>
      <c r="E32" s="15" t="str">
        <f aca="false">IF($C32="","",IFERROR(INDEX(예비품목록!$D$3:$D$202,MATCH($C32,예비품목록!$A$3:$A$202,0)),""))</f>
        <v/>
      </c>
      <c r="F32" s="11"/>
      <c r="G32" s="9"/>
      <c r="H32" s="9"/>
      <c r="I32" s="9"/>
      <c r="J32" s="23" t="str">
        <f aca="false">IF(OR($C32="",$F32=""),"",IF($B32="입고",$F32,IF($B32="출고",-$F32,$F32)))</f>
        <v/>
      </c>
      <c r="K32" s="24" t="str">
        <f aca="false">IF($C32="","",IFERROR(INDEX(예비품목록!$E$3:$E$202,MATCH($C32,예비품목록!$A$3:$A$202,0)),0)+SUMIFS($J$3:$J32,$C$3:$C32,$C32))</f>
        <v/>
      </c>
    </row>
    <row r="33" customFormat="false" ht="15" hidden="false" customHeight="true" outlineLevel="0" collapsed="false">
      <c r="A33" s="12"/>
      <c r="B33" s="9"/>
      <c r="C33" s="9"/>
      <c r="D33" s="15" t="str">
        <f aca="false">IF($C33="","",IFERROR(INDEX(예비품목록!$B$3:$B$202,MATCH($C33,예비품목록!$A$3:$A$202,0)),"미등록품번"))</f>
        <v/>
      </c>
      <c r="E33" s="15" t="str">
        <f aca="false">IF($C33="","",IFERROR(INDEX(예비품목록!$D$3:$D$202,MATCH($C33,예비품목록!$A$3:$A$202,0)),""))</f>
        <v/>
      </c>
      <c r="F33" s="11"/>
      <c r="G33" s="9"/>
      <c r="H33" s="9"/>
      <c r="I33" s="9"/>
      <c r="J33" s="23" t="str">
        <f aca="false">IF(OR($C33="",$F33=""),"",IF($B33="입고",$F33,IF($B33="출고",-$F33,$F33)))</f>
        <v/>
      </c>
      <c r="K33" s="24" t="str">
        <f aca="false">IF($C33="","",IFERROR(INDEX(예비품목록!$E$3:$E$202,MATCH($C33,예비품목록!$A$3:$A$202,0)),0)+SUMIFS($J$3:$J33,$C$3:$C33,$C33))</f>
        <v/>
      </c>
    </row>
    <row r="34" customFormat="false" ht="15" hidden="false" customHeight="true" outlineLevel="0" collapsed="false">
      <c r="A34" s="12"/>
      <c r="B34" s="9"/>
      <c r="C34" s="9"/>
      <c r="D34" s="15" t="str">
        <f aca="false">IF($C34="","",IFERROR(INDEX(예비품목록!$B$3:$B$202,MATCH($C34,예비품목록!$A$3:$A$202,0)),"미등록품번"))</f>
        <v/>
      </c>
      <c r="E34" s="15" t="str">
        <f aca="false">IF($C34="","",IFERROR(INDEX(예비품목록!$D$3:$D$202,MATCH($C34,예비품목록!$A$3:$A$202,0)),""))</f>
        <v/>
      </c>
      <c r="F34" s="11"/>
      <c r="G34" s="9"/>
      <c r="H34" s="9"/>
      <c r="I34" s="9"/>
      <c r="J34" s="23" t="str">
        <f aca="false">IF(OR($C34="",$F34=""),"",IF($B34="입고",$F34,IF($B34="출고",-$F34,$F34)))</f>
        <v/>
      </c>
      <c r="K34" s="24" t="str">
        <f aca="false">IF($C34="","",IFERROR(INDEX(예비품목록!$E$3:$E$202,MATCH($C34,예비품목록!$A$3:$A$202,0)),0)+SUMIFS($J$3:$J34,$C$3:$C34,$C34))</f>
        <v/>
      </c>
    </row>
    <row r="35" customFormat="false" ht="15" hidden="false" customHeight="true" outlineLevel="0" collapsed="false">
      <c r="A35" s="12"/>
      <c r="B35" s="9"/>
      <c r="C35" s="9"/>
      <c r="D35" s="15" t="str">
        <f aca="false">IF($C35="","",IFERROR(INDEX(예비품목록!$B$3:$B$202,MATCH($C35,예비품목록!$A$3:$A$202,0)),"미등록품번"))</f>
        <v/>
      </c>
      <c r="E35" s="15" t="str">
        <f aca="false">IF($C35="","",IFERROR(INDEX(예비품목록!$D$3:$D$202,MATCH($C35,예비품목록!$A$3:$A$202,0)),""))</f>
        <v/>
      </c>
      <c r="F35" s="11"/>
      <c r="G35" s="9"/>
      <c r="H35" s="9"/>
      <c r="I35" s="9"/>
      <c r="J35" s="23" t="str">
        <f aca="false">IF(OR($C35="",$F35=""),"",IF($B35="입고",$F35,IF($B35="출고",-$F35,$F35)))</f>
        <v/>
      </c>
      <c r="K35" s="24" t="str">
        <f aca="false">IF($C35="","",IFERROR(INDEX(예비품목록!$E$3:$E$202,MATCH($C35,예비품목록!$A$3:$A$202,0)),0)+SUMIFS($J$3:$J35,$C$3:$C35,$C35))</f>
        <v/>
      </c>
    </row>
    <row r="36" customFormat="false" ht="15" hidden="false" customHeight="true" outlineLevel="0" collapsed="false">
      <c r="A36" s="12"/>
      <c r="B36" s="9"/>
      <c r="C36" s="9"/>
      <c r="D36" s="15" t="str">
        <f aca="false">IF($C36="","",IFERROR(INDEX(예비품목록!$B$3:$B$202,MATCH($C36,예비품목록!$A$3:$A$202,0)),"미등록품번"))</f>
        <v/>
      </c>
      <c r="E36" s="15" t="str">
        <f aca="false">IF($C36="","",IFERROR(INDEX(예비품목록!$D$3:$D$202,MATCH($C36,예비품목록!$A$3:$A$202,0)),""))</f>
        <v/>
      </c>
      <c r="F36" s="11"/>
      <c r="G36" s="9"/>
      <c r="H36" s="9"/>
      <c r="I36" s="9"/>
      <c r="J36" s="23" t="str">
        <f aca="false">IF(OR($C36="",$F36=""),"",IF($B36="입고",$F36,IF($B36="출고",-$F36,$F36)))</f>
        <v/>
      </c>
      <c r="K36" s="24" t="str">
        <f aca="false">IF($C36="","",IFERROR(INDEX(예비품목록!$E$3:$E$202,MATCH($C36,예비품목록!$A$3:$A$202,0)),0)+SUMIFS($J$3:$J36,$C$3:$C36,$C36))</f>
        <v/>
      </c>
    </row>
    <row r="37" customFormat="false" ht="15" hidden="false" customHeight="true" outlineLevel="0" collapsed="false">
      <c r="A37" s="12"/>
      <c r="B37" s="9"/>
      <c r="C37" s="9"/>
      <c r="D37" s="15" t="str">
        <f aca="false">IF($C37="","",IFERROR(INDEX(예비품목록!$B$3:$B$202,MATCH($C37,예비품목록!$A$3:$A$202,0)),"미등록품번"))</f>
        <v/>
      </c>
      <c r="E37" s="15" t="str">
        <f aca="false">IF($C37="","",IFERROR(INDEX(예비품목록!$D$3:$D$202,MATCH($C37,예비품목록!$A$3:$A$202,0)),""))</f>
        <v/>
      </c>
      <c r="F37" s="11"/>
      <c r="G37" s="9"/>
      <c r="H37" s="9"/>
      <c r="I37" s="9"/>
      <c r="J37" s="23" t="str">
        <f aca="false">IF(OR($C37="",$F37=""),"",IF($B37="입고",$F37,IF($B37="출고",-$F37,$F37)))</f>
        <v/>
      </c>
      <c r="K37" s="24" t="str">
        <f aca="false">IF($C37="","",IFERROR(INDEX(예비품목록!$E$3:$E$202,MATCH($C37,예비품목록!$A$3:$A$202,0)),0)+SUMIFS($J$3:$J37,$C$3:$C37,$C37))</f>
        <v/>
      </c>
    </row>
    <row r="38" customFormat="false" ht="15" hidden="false" customHeight="true" outlineLevel="0" collapsed="false">
      <c r="A38" s="12"/>
      <c r="B38" s="9"/>
      <c r="C38" s="9"/>
      <c r="D38" s="15" t="str">
        <f aca="false">IF($C38="","",IFERROR(INDEX(예비품목록!$B$3:$B$202,MATCH($C38,예비품목록!$A$3:$A$202,0)),"미등록품번"))</f>
        <v/>
      </c>
      <c r="E38" s="15" t="str">
        <f aca="false">IF($C38="","",IFERROR(INDEX(예비품목록!$D$3:$D$202,MATCH($C38,예비품목록!$A$3:$A$202,0)),""))</f>
        <v/>
      </c>
      <c r="F38" s="11"/>
      <c r="G38" s="9"/>
      <c r="H38" s="9"/>
      <c r="I38" s="9"/>
      <c r="J38" s="23" t="str">
        <f aca="false">IF(OR($C38="",$F38=""),"",IF($B38="입고",$F38,IF($B38="출고",-$F38,$F38)))</f>
        <v/>
      </c>
      <c r="K38" s="24" t="str">
        <f aca="false">IF($C38="","",IFERROR(INDEX(예비품목록!$E$3:$E$202,MATCH($C38,예비품목록!$A$3:$A$202,0)),0)+SUMIFS($J$3:$J38,$C$3:$C38,$C38))</f>
        <v/>
      </c>
    </row>
    <row r="39" customFormat="false" ht="15" hidden="false" customHeight="true" outlineLevel="0" collapsed="false">
      <c r="A39" s="12"/>
      <c r="B39" s="9"/>
      <c r="C39" s="9"/>
      <c r="D39" s="15" t="str">
        <f aca="false">IF($C39="","",IFERROR(INDEX(예비품목록!$B$3:$B$202,MATCH($C39,예비품목록!$A$3:$A$202,0)),"미등록품번"))</f>
        <v/>
      </c>
      <c r="E39" s="15" t="str">
        <f aca="false">IF($C39="","",IFERROR(INDEX(예비품목록!$D$3:$D$202,MATCH($C39,예비품목록!$A$3:$A$202,0)),""))</f>
        <v/>
      </c>
      <c r="F39" s="11"/>
      <c r="G39" s="9"/>
      <c r="H39" s="9"/>
      <c r="I39" s="9"/>
      <c r="J39" s="23" t="str">
        <f aca="false">IF(OR($C39="",$F39=""),"",IF($B39="입고",$F39,IF($B39="출고",-$F39,$F39)))</f>
        <v/>
      </c>
      <c r="K39" s="24" t="str">
        <f aca="false">IF($C39="","",IFERROR(INDEX(예비품목록!$E$3:$E$202,MATCH($C39,예비품목록!$A$3:$A$202,0)),0)+SUMIFS($J$3:$J39,$C$3:$C39,$C39))</f>
        <v/>
      </c>
    </row>
    <row r="40" customFormat="false" ht="15" hidden="false" customHeight="true" outlineLevel="0" collapsed="false">
      <c r="A40" s="12"/>
      <c r="B40" s="9"/>
      <c r="C40" s="9"/>
      <c r="D40" s="15" t="str">
        <f aca="false">IF($C40="","",IFERROR(INDEX(예비품목록!$B$3:$B$202,MATCH($C40,예비품목록!$A$3:$A$202,0)),"미등록품번"))</f>
        <v/>
      </c>
      <c r="E40" s="15" t="str">
        <f aca="false">IF($C40="","",IFERROR(INDEX(예비품목록!$D$3:$D$202,MATCH($C40,예비품목록!$A$3:$A$202,0)),""))</f>
        <v/>
      </c>
      <c r="F40" s="11"/>
      <c r="G40" s="9"/>
      <c r="H40" s="9"/>
      <c r="I40" s="9"/>
      <c r="J40" s="23" t="str">
        <f aca="false">IF(OR($C40="",$F40=""),"",IF($B40="입고",$F40,IF($B40="출고",-$F40,$F40)))</f>
        <v/>
      </c>
      <c r="K40" s="24" t="str">
        <f aca="false">IF($C40="","",IFERROR(INDEX(예비품목록!$E$3:$E$202,MATCH($C40,예비품목록!$A$3:$A$202,0)),0)+SUMIFS($J$3:$J40,$C$3:$C40,$C40))</f>
        <v/>
      </c>
    </row>
    <row r="41" customFormat="false" ht="15" hidden="false" customHeight="true" outlineLevel="0" collapsed="false">
      <c r="A41" s="12"/>
      <c r="B41" s="9"/>
      <c r="C41" s="9"/>
      <c r="D41" s="15" t="str">
        <f aca="false">IF($C41="","",IFERROR(INDEX(예비품목록!$B$3:$B$202,MATCH($C41,예비품목록!$A$3:$A$202,0)),"미등록품번"))</f>
        <v/>
      </c>
      <c r="E41" s="15" t="str">
        <f aca="false">IF($C41="","",IFERROR(INDEX(예비품목록!$D$3:$D$202,MATCH($C41,예비품목록!$A$3:$A$202,0)),""))</f>
        <v/>
      </c>
      <c r="F41" s="11"/>
      <c r="G41" s="9"/>
      <c r="H41" s="9"/>
      <c r="I41" s="9"/>
      <c r="J41" s="23" t="str">
        <f aca="false">IF(OR($C41="",$F41=""),"",IF($B41="입고",$F41,IF($B41="출고",-$F41,$F41)))</f>
        <v/>
      </c>
      <c r="K41" s="24" t="str">
        <f aca="false">IF($C41="","",IFERROR(INDEX(예비품목록!$E$3:$E$202,MATCH($C41,예비품목록!$A$3:$A$202,0)),0)+SUMIFS($J$3:$J41,$C$3:$C41,$C41))</f>
        <v/>
      </c>
    </row>
    <row r="42" customFormat="false" ht="15" hidden="false" customHeight="true" outlineLevel="0" collapsed="false">
      <c r="A42" s="12"/>
      <c r="B42" s="9"/>
      <c r="C42" s="9"/>
      <c r="D42" s="15" t="str">
        <f aca="false">IF($C42="","",IFERROR(INDEX(예비품목록!$B$3:$B$202,MATCH($C42,예비품목록!$A$3:$A$202,0)),"미등록품번"))</f>
        <v/>
      </c>
      <c r="E42" s="15" t="str">
        <f aca="false">IF($C42="","",IFERROR(INDEX(예비품목록!$D$3:$D$202,MATCH($C42,예비품목록!$A$3:$A$202,0)),""))</f>
        <v/>
      </c>
      <c r="F42" s="11"/>
      <c r="G42" s="9"/>
      <c r="H42" s="9"/>
      <c r="I42" s="9"/>
      <c r="J42" s="23" t="str">
        <f aca="false">IF(OR($C42="",$F42=""),"",IF($B42="입고",$F42,IF($B42="출고",-$F42,$F42)))</f>
        <v/>
      </c>
      <c r="K42" s="24" t="str">
        <f aca="false">IF($C42="","",IFERROR(INDEX(예비품목록!$E$3:$E$202,MATCH($C42,예비품목록!$A$3:$A$202,0)),0)+SUMIFS($J$3:$J42,$C$3:$C42,$C42))</f>
        <v/>
      </c>
    </row>
    <row r="43" customFormat="false" ht="15" hidden="false" customHeight="true" outlineLevel="0" collapsed="false">
      <c r="A43" s="12"/>
      <c r="B43" s="9"/>
      <c r="C43" s="9"/>
      <c r="D43" s="15" t="str">
        <f aca="false">IF($C43="","",IFERROR(INDEX(예비품목록!$B$3:$B$202,MATCH($C43,예비품목록!$A$3:$A$202,0)),"미등록품번"))</f>
        <v/>
      </c>
      <c r="E43" s="15" t="str">
        <f aca="false">IF($C43="","",IFERROR(INDEX(예비품목록!$D$3:$D$202,MATCH($C43,예비품목록!$A$3:$A$202,0)),""))</f>
        <v/>
      </c>
      <c r="F43" s="11"/>
      <c r="G43" s="9"/>
      <c r="H43" s="9"/>
      <c r="I43" s="9"/>
      <c r="J43" s="23" t="str">
        <f aca="false">IF(OR($C43="",$F43=""),"",IF($B43="입고",$F43,IF($B43="출고",-$F43,$F43)))</f>
        <v/>
      </c>
      <c r="K43" s="24" t="str">
        <f aca="false">IF($C43="","",IFERROR(INDEX(예비품목록!$E$3:$E$202,MATCH($C43,예비품목록!$A$3:$A$202,0)),0)+SUMIFS($J$3:$J43,$C$3:$C43,$C43))</f>
        <v/>
      </c>
    </row>
    <row r="44" customFormat="false" ht="15" hidden="false" customHeight="true" outlineLevel="0" collapsed="false">
      <c r="A44" s="12"/>
      <c r="B44" s="9"/>
      <c r="C44" s="9"/>
      <c r="D44" s="15" t="str">
        <f aca="false">IF($C44="","",IFERROR(INDEX(예비품목록!$B$3:$B$202,MATCH($C44,예비품목록!$A$3:$A$202,0)),"미등록품번"))</f>
        <v/>
      </c>
      <c r="E44" s="15" t="str">
        <f aca="false">IF($C44="","",IFERROR(INDEX(예비품목록!$D$3:$D$202,MATCH($C44,예비품목록!$A$3:$A$202,0)),""))</f>
        <v/>
      </c>
      <c r="F44" s="11"/>
      <c r="G44" s="9"/>
      <c r="H44" s="9"/>
      <c r="I44" s="9"/>
      <c r="J44" s="23" t="str">
        <f aca="false">IF(OR($C44="",$F44=""),"",IF($B44="입고",$F44,IF($B44="출고",-$F44,$F44)))</f>
        <v/>
      </c>
      <c r="K44" s="24" t="str">
        <f aca="false">IF($C44="","",IFERROR(INDEX(예비품목록!$E$3:$E$202,MATCH($C44,예비품목록!$A$3:$A$202,0)),0)+SUMIFS($J$3:$J44,$C$3:$C44,$C44))</f>
        <v/>
      </c>
    </row>
    <row r="45" customFormat="false" ht="15" hidden="false" customHeight="true" outlineLevel="0" collapsed="false">
      <c r="A45" s="12"/>
      <c r="B45" s="9"/>
      <c r="C45" s="9"/>
      <c r="D45" s="15" t="str">
        <f aca="false">IF($C45="","",IFERROR(INDEX(예비품목록!$B$3:$B$202,MATCH($C45,예비품목록!$A$3:$A$202,0)),"미등록품번"))</f>
        <v/>
      </c>
      <c r="E45" s="15" t="str">
        <f aca="false">IF($C45="","",IFERROR(INDEX(예비품목록!$D$3:$D$202,MATCH($C45,예비품목록!$A$3:$A$202,0)),""))</f>
        <v/>
      </c>
      <c r="F45" s="11"/>
      <c r="G45" s="9"/>
      <c r="H45" s="9"/>
      <c r="I45" s="9"/>
      <c r="J45" s="23" t="str">
        <f aca="false">IF(OR($C45="",$F45=""),"",IF($B45="입고",$F45,IF($B45="출고",-$F45,$F45)))</f>
        <v/>
      </c>
      <c r="K45" s="24" t="str">
        <f aca="false">IF($C45="","",IFERROR(INDEX(예비품목록!$E$3:$E$202,MATCH($C45,예비품목록!$A$3:$A$202,0)),0)+SUMIFS($J$3:$J45,$C$3:$C45,$C45))</f>
        <v/>
      </c>
    </row>
    <row r="46" customFormat="false" ht="15" hidden="false" customHeight="true" outlineLevel="0" collapsed="false">
      <c r="A46" s="12"/>
      <c r="B46" s="9"/>
      <c r="C46" s="9"/>
      <c r="D46" s="15" t="str">
        <f aca="false">IF($C46="","",IFERROR(INDEX(예비품목록!$B$3:$B$202,MATCH($C46,예비품목록!$A$3:$A$202,0)),"미등록품번"))</f>
        <v/>
      </c>
      <c r="E46" s="15" t="str">
        <f aca="false">IF($C46="","",IFERROR(INDEX(예비품목록!$D$3:$D$202,MATCH($C46,예비품목록!$A$3:$A$202,0)),""))</f>
        <v/>
      </c>
      <c r="F46" s="11"/>
      <c r="G46" s="9"/>
      <c r="H46" s="9"/>
      <c r="I46" s="9"/>
      <c r="J46" s="23" t="str">
        <f aca="false">IF(OR($C46="",$F46=""),"",IF($B46="입고",$F46,IF($B46="출고",-$F46,$F46)))</f>
        <v/>
      </c>
      <c r="K46" s="24" t="str">
        <f aca="false">IF($C46="","",IFERROR(INDEX(예비품목록!$E$3:$E$202,MATCH($C46,예비품목록!$A$3:$A$202,0)),0)+SUMIFS($J$3:$J46,$C$3:$C46,$C46))</f>
        <v/>
      </c>
    </row>
    <row r="47" customFormat="false" ht="15" hidden="false" customHeight="true" outlineLevel="0" collapsed="false">
      <c r="A47" s="12"/>
      <c r="B47" s="9"/>
      <c r="C47" s="9"/>
      <c r="D47" s="15" t="str">
        <f aca="false">IF($C47="","",IFERROR(INDEX(예비품목록!$B$3:$B$202,MATCH($C47,예비품목록!$A$3:$A$202,0)),"미등록품번"))</f>
        <v/>
      </c>
      <c r="E47" s="15" t="str">
        <f aca="false">IF($C47="","",IFERROR(INDEX(예비품목록!$D$3:$D$202,MATCH($C47,예비품목록!$A$3:$A$202,0)),""))</f>
        <v/>
      </c>
      <c r="F47" s="11"/>
      <c r="G47" s="9"/>
      <c r="H47" s="9"/>
      <c r="I47" s="9"/>
      <c r="J47" s="23" t="str">
        <f aca="false">IF(OR($C47="",$F47=""),"",IF($B47="입고",$F47,IF($B47="출고",-$F47,$F47)))</f>
        <v/>
      </c>
      <c r="K47" s="24" t="str">
        <f aca="false">IF($C47="","",IFERROR(INDEX(예비품목록!$E$3:$E$202,MATCH($C47,예비품목록!$A$3:$A$202,0)),0)+SUMIFS($J$3:$J47,$C$3:$C47,$C47))</f>
        <v/>
      </c>
    </row>
    <row r="48" customFormat="false" ht="15" hidden="false" customHeight="true" outlineLevel="0" collapsed="false">
      <c r="A48" s="12"/>
      <c r="B48" s="9"/>
      <c r="C48" s="9"/>
      <c r="D48" s="15" t="str">
        <f aca="false">IF($C48="","",IFERROR(INDEX(예비품목록!$B$3:$B$202,MATCH($C48,예비품목록!$A$3:$A$202,0)),"미등록품번"))</f>
        <v/>
      </c>
      <c r="E48" s="15" t="str">
        <f aca="false">IF($C48="","",IFERROR(INDEX(예비품목록!$D$3:$D$202,MATCH($C48,예비품목록!$A$3:$A$202,0)),""))</f>
        <v/>
      </c>
      <c r="F48" s="11"/>
      <c r="G48" s="9"/>
      <c r="H48" s="9"/>
      <c r="I48" s="9"/>
      <c r="J48" s="23" t="str">
        <f aca="false">IF(OR($C48="",$F48=""),"",IF($B48="입고",$F48,IF($B48="출고",-$F48,$F48)))</f>
        <v/>
      </c>
      <c r="K48" s="24" t="str">
        <f aca="false">IF($C48="","",IFERROR(INDEX(예비품목록!$E$3:$E$202,MATCH($C48,예비품목록!$A$3:$A$202,0)),0)+SUMIFS($J$3:$J48,$C$3:$C48,$C48))</f>
        <v/>
      </c>
    </row>
    <row r="49" customFormat="false" ht="15" hidden="false" customHeight="true" outlineLevel="0" collapsed="false">
      <c r="A49" s="12"/>
      <c r="B49" s="9"/>
      <c r="C49" s="9"/>
      <c r="D49" s="15" t="str">
        <f aca="false">IF($C49="","",IFERROR(INDEX(예비품목록!$B$3:$B$202,MATCH($C49,예비품목록!$A$3:$A$202,0)),"미등록품번"))</f>
        <v/>
      </c>
      <c r="E49" s="15" t="str">
        <f aca="false">IF($C49="","",IFERROR(INDEX(예비품목록!$D$3:$D$202,MATCH($C49,예비품목록!$A$3:$A$202,0)),""))</f>
        <v/>
      </c>
      <c r="F49" s="11"/>
      <c r="G49" s="9"/>
      <c r="H49" s="9"/>
      <c r="I49" s="9"/>
      <c r="J49" s="23" t="str">
        <f aca="false">IF(OR($C49="",$F49=""),"",IF($B49="입고",$F49,IF($B49="출고",-$F49,$F49)))</f>
        <v/>
      </c>
      <c r="K49" s="24" t="str">
        <f aca="false">IF($C49="","",IFERROR(INDEX(예비품목록!$E$3:$E$202,MATCH($C49,예비품목록!$A$3:$A$202,0)),0)+SUMIFS($J$3:$J49,$C$3:$C49,$C49))</f>
        <v/>
      </c>
    </row>
    <row r="50" customFormat="false" ht="15" hidden="false" customHeight="true" outlineLevel="0" collapsed="false">
      <c r="A50" s="12"/>
      <c r="B50" s="9"/>
      <c r="C50" s="9"/>
      <c r="D50" s="15" t="str">
        <f aca="false">IF($C50="","",IFERROR(INDEX(예비품목록!$B$3:$B$202,MATCH($C50,예비품목록!$A$3:$A$202,0)),"미등록품번"))</f>
        <v/>
      </c>
      <c r="E50" s="15" t="str">
        <f aca="false">IF($C50="","",IFERROR(INDEX(예비품목록!$D$3:$D$202,MATCH($C50,예비품목록!$A$3:$A$202,0)),""))</f>
        <v/>
      </c>
      <c r="F50" s="11"/>
      <c r="G50" s="9"/>
      <c r="H50" s="9"/>
      <c r="I50" s="9"/>
      <c r="J50" s="23" t="str">
        <f aca="false">IF(OR($C50="",$F50=""),"",IF($B50="입고",$F50,IF($B50="출고",-$F50,$F50)))</f>
        <v/>
      </c>
      <c r="K50" s="24" t="str">
        <f aca="false">IF($C50="","",IFERROR(INDEX(예비품목록!$E$3:$E$202,MATCH($C50,예비품목록!$A$3:$A$202,0)),0)+SUMIFS($J$3:$J50,$C$3:$C50,$C50))</f>
        <v/>
      </c>
    </row>
    <row r="51" customFormat="false" ht="15" hidden="false" customHeight="true" outlineLevel="0" collapsed="false">
      <c r="A51" s="12"/>
      <c r="B51" s="9"/>
      <c r="C51" s="9"/>
      <c r="D51" s="15" t="str">
        <f aca="false">IF($C51="","",IFERROR(INDEX(예비품목록!$B$3:$B$202,MATCH($C51,예비품목록!$A$3:$A$202,0)),"미등록품번"))</f>
        <v/>
      </c>
      <c r="E51" s="15" t="str">
        <f aca="false">IF($C51="","",IFERROR(INDEX(예비품목록!$D$3:$D$202,MATCH($C51,예비품목록!$A$3:$A$202,0)),""))</f>
        <v/>
      </c>
      <c r="F51" s="11"/>
      <c r="G51" s="9"/>
      <c r="H51" s="9"/>
      <c r="I51" s="9"/>
      <c r="J51" s="23" t="str">
        <f aca="false">IF(OR($C51="",$F51=""),"",IF($B51="입고",$F51,IF($B51="출고",-$F51,$F51)))</f>
        <v/>
      </c>
      <c r="K51" s="24" t="str">
        <f aca="false">IF($C51="","",IFERROR(INDEX(예비품목록!$E$3:$E$202,MATCH($C51,예비품목록!$A$3:$A$202,0)),0)+SUMIFS($J$3:$J51,$C$3:$C51,$C51))</f>
        <v/>
      </c>
    </row>
    <row r="52" customFormat="false" ht="15" hidden="false" customHeight="true" outlineLevel="0" collapsed="false">
      <c r="A52" s="12"/>
      <c r="B52" s="9"/>
      <c r="C52" s="9"/>
      <c r="D52" s="15" t="str">
        <f aca="false">IF($C52="","",IFERROR(INDEX(예비품목록!$B$3:$B$202,MATCH($C52,예비품목록!$A$3:$A$202,0)),"미등록품번"))</f>
        <v/>
      </c>
      <c r="E52" s="15" t="str">
        <f aca="false">IF($C52="","",IFERROR(INDEX(예비품목록!$D$3:$D$202,MATCH($C52,예비품목록!$A$3:$A$202,0)),""))</f>
        <v/>
      </c>
      <c r="F52" s="11"/>
      <c r="G52" s="9"/>
      <c r="H52" s="9"/>
      <c r="I52" s="9"/>
      <c r="J52" s="23" t="str">
        <f aca="false">IF(OR($C52="",$F52=""),"",IF($B52="입고",$F52,IF($B52="출고",-$F52,$F52)))</f>
        <v/>
      </c>
      <c r="K52" s="24" t="str">
        <f aca="false">IF($C52="","",IFERROR(INDEX(예비품목록!$E$3:$E$202,MATCH($C52,예비품목록!$A$3:$A$202,0)),0)+SUMIFS($J$3:$J52,$C$3:$C52,$C52))</f>
        <v/>
      </c>
    </row>
    <row r="53" customFormat="false" ht="15" hidden="false" customHeight="true" outlineLevel="0" collapsed="false">
      <c r="A53" s="12"/>
      <c r="B53" s="9"/>
      <c r="C53" s="9"/>
      <c r="D53" s="15" t="str">
        <f aca="false">IF($C53="","",IFERROR(INDEX(예비품목록!$B$3:$B$202,MATCH($C53,예비품목록!$A$3:$A$202,0)),"미등록품번"))</f>
        <v/>
      </c>
      <c r="E53" s="15" t="str">
        <f aca="false">IF($C53="","",IFERROR(INDEX(예비품목록!$D$3:$D$202,MATCH($C53,예비품목록!$A$3:$A$202,0)),""))</f>
        <v/>
      </c>
      <c r="F53" s="11"/>
      <c r="G53" s="9"/>
      <c r="H53" s="9"/>
      <c r="I53" s="9"/>
      <c r="J53" s="23" t="str">
        <f aca="false">IF(OR($C53="",$F53=""),"",IF($B53="입고",$F53,IF($B53="출고",-$F53,$F53)))</f>
        <v/>
      </c>
      <c r="K53" s="24" t="str">
        <f aca="false">IF($C53="","",IFERROR(INDEX(예비품목록!$E$3:$E$202,MATCH($C53,예비품목록!$A$3:$A$202,0)),0)+SUMIFS($J$3:$J53,$C$3:$C53,$C53))</f>
        <v/>
      </c>
    </row>
    <row r="54" customFormat="false" ht="15" hidden="false" customHeight="true" outlineLevel="0" collapsed="false">
      <c r="A54" s="12"/>
      <c r="B54" s="9"/>
      <c r="C54" s="9"/>
      <c r="D54" s="15" t="str">
        <f aca="false">IF($C54="","",IFERROR(INDEX(예비품목록!$B$3:$B$202,MATCH($C54,예비품목록!$A$3:$A$202,0)),"미등록품번"))</f>
        <v/>
      </c>
      <c r="E54" s="15" t="str">
        <f aca="false">IF($C54="","",IFERROR(INDEX(예비품목록!$D$3:$D$202,MATCH($C54,예비품목록!$A$3:$A$202,0)),""))</f>
        <v/>
      </c>
      <c r="F54" s="11"/>
      <c r="G54" s="9"/>
      <c r="H54" s="9"/>
      <c r="I54" s="9"/>
      <c r="J54" s="23" t="str">
        <f aca="false">IF(OR($C54="",$F54=""),"",IF($B54="입고",$F54,IF($B54="출고",-$F54,$F54)))</f>
        <v/>
      </c>
      <c r="K54" s="24" t="str">
        <f aca="false">IF($C54="","",IFERROR(INDEX(예비품목록!$E$3:$E$202,MATCH($C54,예비품목록!$A$3:$A$202,0)),0)+SUMIFS($J$3:$J54,$C$3:$C54,$C54))</f>
        <v/>
      </c>
    </row>
    <row r="55" customFormat="false" ht="15" hidden="false" customHeight="true" outlineLevel="0" collapsed="false">
      <c r="A55" s="12"/>
      <c r="B55" s="9"/>
      <c r="C55" s="9"/>
      <c r="D55" s="15" t="str">
        <f aca="false">IF($C55="","",IFERROR(INDEX(예비품목록!$B$3:$B$202,MATCH($C55,예비품목록!$A$3:$A$202,0)),"미등록품번"))</f>
        <v/>
      </c>
      <c r="E55" s="15" t="str">
        <f aca="false">IF($C55="","",IFERROR(INDEX(예비품목록!$D$3:$D$202,MATCH($C55,예비품목록!$A$3:$A$202,0)),""))</f>
        <v/>
      </c>
      <c r="F55" s="11"/>
      <c r="G55" s="9"/>
      <c r="H55" s="9"/>
      <c r="I55" s="9"/>
      <c r="J55" s="23" t="str">
        <f aca="false">IF(OR($C55="",$F55=""),"",IF($B55="입고",$F55,IF($B55="출고",-$F55,$F55)))</f>
        <v/>
      </c>
      <c r="K55" s="24" t="str">
        <f aca="false">IF($C55="","",IFERROR(INDEX(예비품목록!$E$3:$E$202,MATCH($C55,예비품목록!$A$3:$A$202,0)),0)+SUMIFS($J$3:$J55,$C$3:$C55,$C55))</f>
        <v/>
      </c>
    </row>
    <row r="56" customFormat="false" ht="15" hidden="false" customHeight="true" outlineLevel="0" collapsed="false">
      <c r="A56" s="12"/>
      <c r="B56" s="9"/>
      <c r="C56" s="9"/>
      <c r="D56" s="15" t="str">
        <f aca="false">IF($C56="","",IFERROR(INDEX(예비품목록!$B$3:$B$202,MATCH($C56,예비품목록!$A$3:$A$202,0)),"미등록품번"))</f>
        <v/>
      </c>
      <c r="E56" s="15" t="str">
        <f aca="false">IF($C56="","",IFERROR(INDEX(예비품목록!$D$3:$D$202,MATCH($C56,예비품목록!$A$3:$A$202,0)),""))</f>
        <v/>
      </c>
      <c r="F56" s="11"/>
      <c r="G56" s="9"/>
      <c r="H56" s="9"/>
      <c r="I56" s="9"/>
      <c r="J56" s="23" t="str">
        <f aca="false">IF(OR($C56="",$F56=""),"",IF($B56="입고",$F56,IF($B56="출고",-$F56,$F56)))</f>
        <v/>
      </c>
      <c r="K56" s="24" t="str">
        <f aca="false">IF($C56="","",IFERROR(INDEX(예비품목록!$E$3:$E$202,MATCH($C56,예비품목록!$A$3:$A$202,0)),0)+SUMIFS($J$3:$J56,$C$3:$C56,$C56))</f>
        <v/>
      </c>
    </row>
    <row r="57" customFormat="false" ht="15" hidden="false" customHeight="true" outlineLevel="0" collapsed="false">
      <c r="A57" s="12"/>
      <c r="B57" s="9"/>
      <c r="C57" s="9"/>
      <c r="D57" s="15" t="str">
        <f aca="false">IF($C57="","",IFERROR(INDEX(예비품목록!$B$3:$B$202,MATCH($C57,예비품목록!$A$3:$A$202,0)),"미등록품번"))</f>
        <v/>
      </c>
      <c r="E57" s="15" t="str">
        <f aca="false">IF($C57="","",IFERROR(INDEX(예비품목록!$D$3:$D$202,MATCH($C57,예비품목록!$A$3:$A$202,0)),""))</f>
        <v/>
      </c>
      <c r="F57" s="11"/>
      <c r="G57" s="9"/>
      <c r="H57" s="9"/>
      <c r="I57" s="9"/>
      <c r="J57" s="23" t="str">
        <f aca="false">IF(OR($C57="",$F57=""),"",IF($B57="입고",$F57,IF($B57="출고",-$F57,$F57)))</f>
        <v/>
      </c>
      <c r="K57" s="24" t="str">
        <f aca="false">IF($C57="","",IFERROR(INDEX(예비품목록!$E$3:$E$202,MATCH($C57,예비품목록!$A$3:$A$202,0)),0)+SUMIFS($J$3:$J57,$C$3:$C57,$C57))</f>
        <v/>
      </c>
    </row>
    <row r="58" customFormat="false" ht="15" hidden="false" customHeight="true" outlineLevel="0" collapsed="false">
      <c r="A58" s="12"/>
      <c r="B58" s="9"/>
      <c r="C58" s="9"/>
      <c r="D58" s="15" t="str">
        <f aca="false">IF($C58="","",IFERROR(INDEX(예비품목록!$B$3:$B$202,MATCH($C58,예비품목록!$A$3:$A$202,0)),"미등록품번"))</f>
        <v/>
      </c>
      <c r="E58" s="15" t="str">
        <f aca="false">IF($C58="","",IFERROR(INDEX(예비품목록!$D$3:$D$202,MATCH($C58,예비품목록!$A$3:$A$202,0)),""))</f>
        <v/>
      </c>
      <c r="F58" s="11"/>
      <c r="G58" s="9"/>
      <c r="H58" s="9"/>
      <c r="I58" s="9"/>
      <c r="J58" s="23" t="str">
        <f aca="false">IF(OR($C58="",$F58=""),"",IF($B58="입고",$F58,IF($B58="출고",-$F58,$F58)))</f>
        <v/>
      </c>
      <c r="K58" s="24" t="str">
        <f aca="false">IF($C58="","",IFERROR(INDEX(예비품목록!$E$3:$E$202,MATCH($C58,예비품목록!$A$3:$A$202,0)),0)+SUMIFS($J$3:$J58,$C$3:$C58,$C58))</f>
        <v/>
      </c>
    </row>
    <row r="59" customFormat="false" ht="15" hidden="false" customHeight="true" outlineLevel="0" collapsed="false">
      <c r="A59" s="12"/>
      <c r="B59" s="9"/>
      <c r="C59" s="9"/>
      <c r="D59" s="15" t="str">
        <f aca="false">IF($C59="","",IFERROR(INDEX(예비품목록!$B$3:$B$202,MATCH($C59,예비품목록!$A$3:$A$202,0)),"미등록품번"))</f>
        <v/>
      </c>
      <c r="E59" s="15" t="str">
        <f aca="false">IF($C59="","",IFERROR(INDEX(예비품목록!$D$3:$D$202,MATCH($C59,예비품목록!$A$3:$A$202,0)),""))</f>
        <v/>
      </c>
      <c r="F59" s="11"/>
      <c r="G59" s="9"/>
      <c r="H59" s="9"/>
      <c r="I59" s="9"/>
      <c r="J59" s="23" t="str">
        <f aca="false">IF(OR($C59="",$F59=""),"",IF($B59="입고",$F59,IF($B59="출고",-$F59,$F59)))</f>
        <v/>
      </c>
      <c r="K59" s="24" t="str">
        <f aca="false">IF($C59="","",IFERROR(INDEX(예비품목록!$E$3:$E$202,MATCH($C59,예비품목록!$A$3:$A$202,0)),0)+SUMIFS($J$3:$J59,$C$3:$C59,$C59))</f>
        <v/>
      </c>
    </row>
    <row r="60" customFormat="false" ht="15" hidden="false" customHeight="true" outlineLevel="0" collapsed="false">
      <c r="A60" s="12"/>
      <c r="B60" s="9"/>
      <c r="C60" s="9"/>
      <c r="D60" s="15" t="str">
        <f aca="false">IF($C60="","",IFERROR(INDEX(예비품목록!$B$3:$B$202,MATCH($C60,예비품목록!$A$3:$A$202,0)),"미등록품번"))</f>
        <v/>
      </c>
      <c r="E60" s="15" t="str">
        <f aca="false">IF($C60="","",IFERROR(INDEX(예비품목록!$D$3:$D$202,MATCH($C60,예비품목록!$A$3:$A$202,0)),""))</f>
        <v/>
      </c>
      <c r="F60" s="11"/>
      <c r="G60" s="9"/>
      <c r="H60" s="9"/>
      <c r="I60" s="9"/>
      <c r="J60" s="23" t="str">
        <f aca="false">IF(OR($C60="",$F60=""),"",IF($B60="입고",$F60,IF($B60="출고",-$F60,$F60)))</f>
        <v/>
      </c>
      <c r="K60" s="24" t="str">
        <f aca="false">IF($C60="","",IFERROR(INDEX(예비품목록!$E$3:$E$202,MATCH($C60,예비품목록!$A$3:$A$202,0)),0)+SUMIFS($J$3:$J60,$C$3:$C60,$C60))</f>
        <v/>
      </c>
    </row>
    <row r="61" customFormat="false" ht="15" hidden="false" customHeight="true" outlineLevel="0" collapsed="false">
      <c r="A61" s="12"/>
      <c r="B61" s="9"/>
      <c r="C61" s="9"/>
      <c r="D61" s="15" t="str">
        <f aca="false">IF($C61="","",IFERROR(INDEX(예비품목록!$B$3:$B$202,MATCH($C61,예비품목록!$A$3:$A$202,0)),"미등록품번"))</f>
        <v/>
      </c>
      <c r="E61" s="15" t="str">
        <f aca="false">IF($C61="","",IFERROR(INDEX(예비품목록!$D$3:$D$202,MATCH($C61,예비품목록!$A$3:$A$202,0)),""))</f>
        <v/>
      </c>
      <c r="F61" s="11"/>
      <c r="G61" s="9"/>
      <c r="H61" s="9"/>
      <c r="I61" s="9"/>
      <c r="J61" s="23" t="str">
        <f aca="false">IF(OR($C61="",$F61=""),"",IF($B61="입고",$F61,IF($B61="출고",-$F61,$F61)))</f>
        <v/>
      </c>
      <c r="K61" s="24" t="str">
        <f aca="false">IF($C61="","",IFERROR(INDEX(예비품목록!$E$3:$E$202,MATCH($C61,예비품목록!$A$3:$A$202,0)),0)+SUMIFS($J$3:$J61,$C$3:$C61,$C61))</f>
        <v/>
      </c>
    </row>
    <row r="62" customFormat="false" ht="15" hidden="false" customHeight="true" outlineLevel="0" collapsed="false">
      <c r="A62" s="12"/>
      <c r="B62" s="9"/>
      <c r="C62" s="9"/>
      <c r="D62" s="15" t="str">
        <f aca="false">IF($C62="","",IFERROR(INDEX(예비품목록!$B$3:$B$202,MATCH($C62,예비품목록!$A$3:$A$202,0)),"미등록품번"))</f>
        <v/>
      </c>
      <c r="E62" s="15" t="str">
        <f aca="false">IF($C62="","",IFERROR(INDEX(예비품목록!$D$3:$D$202,MATCH($C62,예비품목록!$A$3:$A$202,0)),""))</f>
        <v/>
      </c>
      <c r="F62" s="11"/>
      <c r="G62" s="9"/>
      <c r="H62" s="9"/>
      <c r="I62" s="9"/>
      <c r="J62" s="23" t="str">
        <f aca="false">IF(OR($C62="",$F62=""),"",IF($B62="입고",$F62,IF($B62="출고",-$F62,$F62)))</f>
        <v/>
      </c>
      <c r="K62" s="24" t="str">
        <f aca="false">IF($C62="","",IFERROR(INDEX(예비품목록!$E$3:$E$202,MATCH($C62,예비품목록!$A$3:$A$202,0)),0)+SUMIFS($J$3:$J62,$C$3:$C62,$C62))</f>
        <v/>
      </c>
    </row>
    <row r="63" customFormat="false" ht="15" hidden="false" customHeight="true" outlineLevel="0" collapsed="false">
      <c r="A63" s="12"/>
      <c r="B63" s="9"/>
      <c r="C63" s="9"/>
      <c r="D63" s="15" t="str">
        <f aca="false">IF($C63="","",IFERROR(INDEX(예비품목록!$B$3:$B$202,MATCH($C63,예비품목록!$A$3:$A$202,0)),"미등록품번"))</f>
        <v/>
      </c>
      <c r="E63" s="15" t="str">
        <f aca="false">IF($C63="","",IFERROR(INDEX(예비품목록!$D$3:$D$202,MATCH($C63,예비품목록!$A$3:$A$202,0)),""))</f>
        <v/>
      </c>
      <c r="F63" s="11"/>
      <c r="G63" s="9"/>
      <c r="H63" s="9"/>
      <c r="I63" s="9"/>
      <c r="J63" s="23" t="str">
        <f aca="false">IF(OR($C63="",$F63=""),"",IF($B63="입고",$F63,IF($B63="출고",-$F63,$F63)))</f>
        <v/>
      </c>
      <c r="K63" s="24" t="str">
        <f aca="false">IF($C63="","",IFERROR(INDEX(예비품목록!$E$3:$E$202,MATCH($C63,예비품목록!$A$3:$A$202,0)),0)+SUMIFS($J$3:$J63,$C$3:$C63,$C63))</f>
        <v/>
      </c>
    </row>
    <row r="64" customFormat="false" ht="15" hidden="false" customHeight="true" outlineLevel="0" collapsed="false">
      <c r="A64" s="12"/>
      <c r="B64" s="9"/>
      <c r="C64" s="9"/>
      <c r="D64" s="15" t="str">
        <f aca="false">IF($C64="","",IFERROR(INDEX(예비품목록!$B$3:$B$202,MATCH($C64,예비품목록!$A$3:$A$202,0)),"미등록품번"))</f>
        <v/>
      </c>
      <c r="E64" s="15" t="str">
        <f aca="false">IF($C64="","",IFERROR(INDEX(예비품목록!$D$3:$D$202,MATCH($C64,예비품목록!$A$3:$A$202,0)),""))</f>
        <v/>
      </c>
      <c r="F64" s="11"/>
      <c r="G64" s="9"/>
      <c r="H64" s="9"/>
      <c r="I64" s="9"/>
      <c r="J64" s="23" t="str">
        <f aca="false">IF(OR($C64="",$F64=""),"",IF($B64="입고",$F64,IF($B64="출고",-$F64,$F64)))</f>
        <v/>
      </c>
      <c r="K64" s="24" t="str">
        <f aca="false">IF($C64="","",IFERROR(INDEX(예비품목록!$E$3:$E$202,MATCH($C64,예비품목록!$A$3:$A$202,0)),0)+SUMIFS($J$3:$J64,$C$3:$C64,$C64))</f>
        <v/>
      </c>
    </row>
    <row r="65" customFormat="false" ht="15" hidden="false" customHeight="true" outlineLevel="0" collapsed="false">
      <c r="A65" s="12"/>
      <c r="B65" s="9"/>
      <c r="C65" s="9"/>
      <c r="D65" s="15" t="str">
        <f aca="false">IF($C65="","",IFERROR(INDEX(예비품목록!$B$3:$B$202,MATCH($C65,예비품목록!$A$3:$A$202,0)),"미등록품번"))</f>
        <v/>
      </c>
      <c r="E65" s="15" t="str">
        <f aca="false">IF($C65="","",IFERROR(INDEX(예비품목록!$D$3:$D$202,MATCH($C65,예비품목록!$A$3:$A$202,0)),""))</f>
        <v/>
      </c>
      <c r="F65" s="11"/>
      <c r="G65" s="9"/>
      <c r="H65" s="9"/>
      <c r="I65" s="9"/>
      <c r="J65" s="23" t="str">
        <f aca="false">IF(OR($C65="",$F65=""),"",IF($B65="입고",$F65,IF($B65="출고",-$F65,$F65)))</f>
        <v/>
      </c>
      <c r="K65" s="24" t="str">
        <f aca="false">IF($C65="","",IFERROR(INDEX(예비품목록!$E$3:$E$202,MATCH($C65,예비품목록!$A$3:$A$202,0)),0)+SUMIFS($J$3:$J65,$C$3:$C65,$C65))</f>
        <v/>
      </c>
    </row>
    <row r="66" customFormat="false" ht="15" hidden="false" customHeight="true" outlineLevel="0" collapsed="false">
      <c r="A66" s="12"/>
      <c r="B66" s="9"/>
      <c r="C66" s="9"/>
      <c r="D66" s="15" t="str">
        <f aca="false">IF($C66="","",IFERROR(INDEX(예비품목록!$B$3:$B$202,MATCH($C66,예비품목록!$A$3:$A$202,0)),"미등록품번"))</f>
        <v/>
      </c>
      <c r="E66" s="15" t="str">
        <f aca="false">IF($C66="","",IFERROR(INDEX(예비품목록!$D$3:$D$202,MATCH($C66,예비품목록!$A$3:$A$202,0)),""))</f>
        <v/>
      </c>
      <c r="F66" s="11"/>
      <c r="G66" s="9"/>
      <c r="H66" s="9"/>
      <c r="I66" s="9"/>
      <c r="J66" s="23" t="str">
        <f aca="false">IF(OR($C66="",$F66=""),"",IF($B66="입고",$F66,IF($B66="출고",-$F66,$F66)))</f>
        <v/>
      </c>
      <c r="K66" s="24" t="str">
        <f aca="false">IF($C66="","",IFERROR(INDEX(예비품목록!$E$3:$E$202,MATCH($C66,예비품목록!$A$3:$A$202,0)),0)+SUMIFS($J$3:$J66,$C$3:$C66,$C66))</f>
        <v/>
      </c>
    </row>
    <row r="67" customFormat="false" ht="15" hidden="false" customHeight="true" outlineLevel="0" collapsed="false">
      <c r="A67" s="12"/>
      <c r="B67" s="9"/>
      <c r="C67" s="9"/>
      <c r="D67" s="15" t="str">
        <f aca="false">IF($C67="","",IFERROR(INDEX(예비품목록!$B$3:$B$202,MATCH($C67,예비품목록!$A$3:$A$202,0)),"미등록품번"))</f>
        <v/>
      </c>
      <c r="E67" s="15" t="str">
        <f aca="false">IF($C67="","",IFERROR(INDEX(예비품목록!$D$3:$D$202,MATCH($C67,예비품목록!$A$3:$A$202,0)),""))</f>
        <v/>
      </c>
      <c r="F67" s="11"/>
      <c r="G67" s="9"/>
      <c r="H67" s="9"/>
      <c r="I67" s="9"/>
      <c r="J67" s="23" t="str">
        <f aca="false">IF(OR($C67="",$F67=""),"",IF($B67="입고",$F67,IF($B67="출고",-$F67,$F67)))</f>
        <v/>
      </c>
      <c r="K67" s="24" t="str">
        <f aca="false">IF($C67="","",IFERROR(INDEX(예비품목록!$E$3:$E$202,MATCH($C67,예비품목록!$A$3:$A$202,0)),0)+SUMIFS($J$3:$J67,$C$3:$C67,$C67))</f>
        <v/>
      </c>
    </row>
    <row r="68" customFormat="false" ht="15" hidden="false" customHeight="true" outlineLevel="0" collapsed="false">
      <c r="A68" s="12"/>
      <c r="B68" s="9"/>
      <c r="C68" s="9"/>
      <c r="D68" s="15" t="str">
        <f aca="false">IF($C68="","",IFERROR(INDEX(예비품목록!$B$3:$B$202,MATCH($C68,예비품목록!$A$3:$A$202,0)),"미등록품번"))</f>
        <v/>
      </c>
      <c r="E68" s="15" t="str">
        <f aca="false">IF($C68="","",IFERROR(INDEX(예비품목록!$D$3:$D$202,MATCH($C68,예비품목록!$A$3:$A$202,0)),""))</f>
        <v/>
      </c>
      <c r="F68" s="11"/>
      <c r="G68" s="9"/>
      <c r="H68" s="9"/>
      <c r="I68" s="9"/>
      <c r="J68" s="23" t="str">
        <f aca="false">IF(OR($C68="",$F68=""),"",IF($B68="입고",$F68,IF($B68="출고",-$F68,$F68)))</f>
        <v/>
      </c>
      <c r="K68" s="24" t="str">
        <f aca="false">IF($C68="","",IFERROR(INDEX(예비품목록!$E$3:$E$202,MATCH($C68,예비품목록!$A$3:$A$202,0)),0)+SUMIFS($J$3:$J68,$C$3:$C68,$C68))</f>
        <v/>
      </c>
    </row>
    <row r="69" customFormat="false" ht="15" hidden="false" customHeight="true" outlineLevel="0" collapsed="false">
      <c r="A69" s="12"/>
      <c r="B69" s="9"/>
      <c r="C69" s="9"/>
      <c r="D69" s="15" t="str">
        <f aca="false">IF($C69="","",IFERROR(INDEX(예비품목록!$B$3:$B$202,MATCH($C69,예비품목록!$A$3:$A$202,0)),"미등록품번"))</f>
        <v/>
      </c>
      <c r="E69" s="15" t="str">
        <f aca="false">IF($C69="","",IFERROR(INDEX(예비품목록!$D$3:$D$202,MATCH($C69,예비품목록!$A$3:$A$202,0)),""))</f>
        <v/>
      </c>
      <c r="F69" s="11"/>
      <c r="G69" s="9"/>
      <c r="H69" s="9"/>
      <c r="I69" s="9"/>
      <c r="J69" s="23" t="str">
        <f aca="false">IF(OR($C69="",$F69=""),"",IF($B69="입고",$F69,IF($B69="출고",-$F69,$F69)))</f>
        <v/>
      </c>
      <c r="K69" s="24" t="str">
        <f aca="false">IF($C69="","",IFERROR(INDEX(예비품목록!$E$3:$E$202,MATCH($C69,예비품목록!$A$3:$A$202,0)),0)+SUMIFS($J$3:$J69,$C$3:$C69,$C69))</f>
        <v/>
      </c>
    </row>
    <row r="70" customFormat="false" ht="15" hidden="false" customHeight="true" outlineLevel="0" collapsed="false">
      <c r="A70" s="12"/>
      <c r="B70" s="9"/>
      <c r="C70" s="9"/>
      <c r="D70" s="15" t="str">
        <f aca="false">IF($C70="","",IFERROR(INDEX(예비품목록!$B$3:$B$202,MATCH($C70,예비품목록!$A$3:$A$202,0)),"미등록품번"))</f>
        <v/>
      </c>
      <c r="E70" s="15" t="str">
        <f aca="false">IF($C70="","",IFERROR(INDEX(예비품목록!$D$3:$D$202,MATCH($C70,예비품목록!$A$3:$A$202,0)),""))</f>
        <v/>
      </c>
      <c r="F70" s="11"/>
      <c r="G70" s="9"/>
      <c r="H70" s="9"/>
      <c r="I70" s="9"/>
      <c r="J70" s="23" t="str">
        <f aca="false">IF(OR($C70="",$F70=""),"",IF($B70="입고",$F70,IF($B70="출고",-$F70,$F70)))</f>
        <v/>
      </c>
      <c r="K70" s="24" t="str">
        <f aca="false">IF($C70="","",IFERROR(INDEX(예비품목록!$E$3:$E$202,MATCH($C70,예비품목록!$A$3:$A$202,0)),0)+SUMIFS($J$3:$J70,$C$3:$C70,$C70))</f>
        <v/>
      </c>
    </row>
    <row r="71" customFormat="false" ht="15" hidden="false" customHeight="true" outlineLevel="0" collapsed="false">
      <c r="A71" s="12"/>
      <c r="B71" s="9"/>
      <c r="C71" s="9"/>
      <c r="D71" s="15" t="str">
        <f aca="false">IF($C71="","",IFERROR(INDEX(예비품목록!$B$3:$B$202,MATCH($C71,예비품목록!$A$3:$A$202,0)),"미등록품번"))</f>
        <v/>
      </c>
      <c r="E71" s="15" t="str">
        <f aca="false">IF($C71="","",IFERROR(INDEX(예비품목록!$D$3:$D$202,MATCH($C71,예비품목록!$A$3:$A$202,0)),""))</f>
        <v/>
      </c>
      <c r="F71" s="11"/>
      <c r="G71" s="9"/>
      <c r="H71" s="9"/>
      <c r="I71" s="9"/>
      <c r="J71" s="23" t="str">
        <f aca="false">IF(OR($C71="",$F71=""),"",IF($B71="입고",$F71,IF($B71="출고",-$F71,$F71)))</f>
        <v/>
      </c>
      <c r="K71" s="24" t="str">
        <f aca="false">IF($C71="","",IFERROR(INDEX(예비품목록!$E$3:$E$202,MATCH($C71,예비품목록!$A$3:$A$202,0)),0)+SUMIFS($J$3:$J71,$C$3:$C71,$C71))</f>
        <v/>
      </c>
    </row>
    <row r="72" customFormat="false" ht="15" hidden="false" customHeight="true" outlineLevel="0" collapsed="false">
      <c r="A72" s="12"/>
      <c r="B72" s="9"/>
      <c r="C72" s="9"/>
      <c r="D72" s="15" t="str">
        <f aca="false">IF($C72="","",IFERROR(INDEX(예비품목록!$B$3:$B$202,MATCH($C72,예비품목록!$A$3:$A$202,0)),"미등록품번"))</f>
        <v/>
      </c>
      <c r="E72" s="15" t="str">
        <f aca="false">IF($C72="","",IFERROR(INDEX(예비품목록!$D$3:$D$202,MATCH($C72,예비품목록!$A$3:$A$202,0)),""))</f>
        <v/>
      </c>
      <c r="F72" s="11"/>
      <c r="G72" s="9"/>
      <c r="H72" s="9"/>
      <c r="I72" s="9"/>
      <c r="J72" s="23" t="str">
        <f aca="false">IF(OR($C72="",$F72=""),"",IF($B72="입고",$F72,IF($B72="출고",-$F72,$F72)))</f>
        <v/>
      </c>
      <c r="K72" s="24" t="str">
        <f aca="false">IF($C72="","",IFERROR(INDEX(예비품목록!$E$3:$E$202,MATCH($C72,예비품목록!$A$3:$A$202,0)),0)+SUMIFS($J$3:$J72,$C$3:$C72,$C72))</f>
        <v/>
      </c>
    </row>
    <row r="73" customFormat="false" ht="15" hidden="false" customHeight="true" outlineLevel="0" collapsed="false">
      <c r="A73" s="12"/>
      <c r="B73" s="9"/>
      <c r="C73" s="9"/>
      <c r="D73" s="15" t="str">
        <f aca="false">IF($C73="","",IFERROR(INDEX(예비품목록!$B$3:$B$202,MATCH($C73,예비품목록!$A$3:$A$202,0)),"미등록품번"))</f>
        <v/>
      </c>
      <c r="E73" s="15" t="str">
        <f aca="false">IF($C73="","",IFERROR(INDEX(예비품목록!$D$3:$D$202,MATCH($C73,예비품목록!$A$3:$A$202,0)),""))</f>
        <v/>
      </c>
      <c r="F73" s="11"/>
      <c r="G73" s="9"/>
      <c r="H73" s="9"/>
      <c r="I73" s="9"/>
      <c r="J73" s="23" t="str">
        <f aca="false">IF(OR($C73="",$F73=""),"",IF($B73="입고",$F73,IF($B73="출고",-$F73,$F73)))</f>
        <v/>
      </c>
      <c r="K73" s="24" t="str">
        <f aca="false">IF($C73="","",IFERROR(INDEX(예비품목록!$E$3:$E$202,MATCH($C73,예비품목록!$A$3:$A$202,0)),0)+SUMIFS($J$3:$J73,$C$3:$C73,$C73))</f>
        <v/>
      </c>
    </row>
    <row r="74" customFormat="false" ht="15" hidden="false" customHeight="true" outlineLevel="0" collapsed="false">
      <c r="A74" s="12"/>
      <c r="B74" s="9"/>
      <c r="C74" s="9"/>
      <c r="D74" s="15" t="str">
        <f aca="false">IF($C74="","",IFERROR(INDEX(예비품목록!$B$3:$B$202,MATCH($C74,예비품목록!$A$3:$A$202,0)),"미등록품번"))</f>
        <v/>
      </c>
      <c r="E74" s="15" t="str">
        <f aca="false">IF($C74="","",IFERROR(INDEX(예비품목록!$D$3:$D$202,MATCH($C74,예비품목록!$A$3:$A$202,0)),""))</f>
        <v/>
      </c>
      <c r="F74" s="11"/>
      <c r="G74" s="9"/>
      <c r="H74" s="9"/>
      <c r="I74" s="9"/>
      <c r="J74" s="23" t="str">
        <f aca="false">IF(OR($C74="",$F74=""),"",IF($B74="입고",$F74,IF($B74="출고",-$F74,$F74)))</f>
        <v/>
      </c>
      <c r="K74" s="24" t="str">
        <f aca="false">IF($C74="","",IFERROR(INDEX(예비품목록!$E$3:$E$202,MATCH($C74,예비품목록!$A$3:$A$202,0)),0)+SUMIFS($J$3:$J74,$C$3:$C74,$C74))</f>
        <v/>
      </c>
    </row>
    <row r="75" customFormat="false" ht="15" hidden="false" customHeight="true" outlineLevel="0" collapsed="false">
      <c r="A75" s="12"/>
      <c r="B75" s="9"/>
      <c r="C75" s="9"/>
      <c r="D75" s="15" t="str">
        <f aca="false">IF($C75="","",IFERROR(INDEX(예비품목록!$B$3:$B$202,MATCH($C75,예비품목록!$A$3:$A$202,0)),"미등록품번"))</f>
        <v/>
      </c>
      <c r="E75" s="15" t="str">
        <f aca="false">IF($C75="","",IFERROR(INDEX(예비품목록!$D$3:$D$202,MATCH($C75,예비품목록!$A$3:$A$202,0)),""))</f>
        <v/>
      </c>
      <c r="F75" s="11"/>
      <c r="G75" s="9"/>
      <c r="H75" s="9"/>
      <c r="I75" s="9"/>
      <c r="J75" s="23" t="str">
        <f aca="false">IF(OR($C75="",$F75=""),"",IF($B75="입고",$F75,IF($B75="출고",-$F75,$F75)))</f>
        <v/>
      </c>
      <c r="K75" s="24" t="str">
        <f aca="false">IF($C75="","",IFERROR(INDEX(예비품목록!$E$3:$E$202,MATCH($C75,예비품목록!$A$3:$A$202,0)),0)+SUMIFS($J$3:$J75,$C$3:$C75,$C75))</f>
        <v/>
      </c>
    </row>
    <row r="76" customFormat="false" ht="15" hidden="false" customHeight="true" outlineLevel="0" collapsed="false">
      <c r="A76" s="12"/>
      <c r="B76" s="9"/>
      <c r="C76" s="9"/>
      <c r="D76" s="15" t="str">
        <f aca="false">IF($C76="","",IFERROR(INDEX(예비품목록!$B$3:$B$202,MATCH($C76,예비품목록!$A$3:$A$202,0)),"미등록품번"))</f>
        <v/>
      </c>
      <c r="E76" s="15" t="str">
        <f aca="false">IF($C76="","",IFERROR(INDEX(예비품목록!$D$3:$D$202,MATCH($C76,예비품목록!$A$3:$A$202,0)),""))</f>
        <v/>
      </c>
      <c r="F76" s="11"/>
      <c r="G76" s="9"/>
      <c r="H76" s="9"/>
      <c r="I76" s="9"/>
      <c r="J76" s="23" t="str">
        <f aca="false">IF(OR($C76="",$F76=""),"",IF($B76="입고",$F76,IF($B76="출고",-$F76,$F76)))</f>
        <v/>
      </c>
      <c r="K76" s="24" t="str">
        <f aca="false">IF($C76="","",IFERROR(INDEX(예비품목록!$E$3:$E$202,MATCH($C76,예비품목록!$A$3:$A$202,0)),0)+SUMIFS($J$3:$J76,$C$3:$C76,$C76))</f>
        <v/>
      </c>
    </row>
    <row r="77" customFormat="false" ht="15" hidden="false" customHeight="true" outlineLevel="0" collapsed="false">
      <c r="A77" s="12"/>
      <c r="B77" s="9"/>
      <c r="C77" s="9"/>
      <c r="D77" s="15" t="str">
        <f aca="false">IF($C77="","",IFERROR(INDEX(예비품목록!$B$3:$B$202,MATCH($C77,예비품목록!$A$3:$A$202,0)),"미등록품번"))</f>
        <v/>
      </c>
      <c r="E77" s="15" t="str">
        <f aca="false">IF($C77="","",IFERROR(INDEX(예비품목록!$D$3:$D$202,MATCH($C77,예비품목록!$A$3:$A$202,0)),""))</f>
        <v/>
      </c>
      <c r="F77" s="11"/>
      <c r="G77" s="9"/>
      <c r="H77" s="9"/>
      <c r="I77" s="9"/>
      <c r="J77" s="23" t="str">
        <f aca="false">IF(OR($C77="",$F77=""),"",IF($B77="입고",$F77,IF($B77="출고",-$F77,$F77)))</f>
        <v/>
      </c>
      <c r="K77" s="24" t="str">
        <f aca="false">IF($C77="","",IFERROR(INDEX(예비품목록!$E$3:$E$202,MATCH($C77,예비품목록!$A$3:$A$202,0)),0)+SUMIFS($J$3:$J77,$C$3:$C77,$C77))</f>
        <v/>
      </c>
    </row>
    <row r="78" customFormat="false" ht="15" hidden="false" customHeight="true" outlineLevel="0" collapsed="false">
      <c r="A78" s="12"/>
      <c r="B78" s="9"/>
      <c r="C78" s="9"/>
      <c r="D78" s="15" t="str">
        <f aca="false">IF($C78="","",IFERROR(INDEX(예비품목록!$B$3:$B$202,MATCH($C78,예비품목록!$A$3:$A$202,0)),"미등록품번"))</f>
        <v/>
      </c>
      <c r="E78" s="15" t="str">
        <f aca="false">IF($C78="","",IFERROR(INDEX(예비품목록!$D$3:$D$202,MATCH($C78,예비품목록!$A$3:$A$202,0)),""))</f>
        <v/>
      </c>
      <c r="F78" s="11"/>
      <c r="G78" s="9"/>
      <c r="H78" s="9"/>
      <c r="I78" s="9"/>
      <c r="J78" s="23" t="str">
        <f aca="false">IF(OR($C78="",$F78=""),"",IF($B78="입고",$F78,IF($B78="출고",-$F78,$F78)))</f>
        <v/>
      </c>
      <c r="K78" s="24" t="str">
        <f aca="false">IF($C78="","",IFERROR(INDEX(예비품목록!$E$3:$E$202,MATCH($C78,예비품목록!$A$3:$A$202,0)),0)+SUMIFS($J$3:$J78,$C$3:$C78,$C78))</f>
        <v/>
      </c>
    </row>
    <row r="79" customFormat="false" ht="15" hidden="false" customHeight="true" outlineLevel="0" collapsed="false">
      <c r="A79" s="12"/>
      <c r="B79" s="9"/>
      <c r="C79" s="9"/>
      <c r="D79" s="15" t="str">
        <f aca="false">IF($C79="","",IFERROR(INDEX(예비품목록!$B$3:$B$202,MATCH($C79,예비품목록!$A$3:$A$202,0)),"미등록품번"))</f>
        <v/>
      </c>
      <c r="E79" s="15" t="str">
        <f aca="false">IF($C79="","",IFERROR(INDEX(예비품목록!$D$3:$D$202,MATCH($C79,예비품목록!$A$3:$A$202,0)),""))</f>
        <v/>
      </c>
      <c r="F79" s="11"/>
      <c r="G79" s="9"/>
      <c r="H79" s="9"/>
      <c r="I79" s="9"/>
      <c r="J79" s="23" t="str">
        <f aca="false">IF(OR($C79="",$F79=""),"",IF($B79="입고",$F79,IF($B79="출고",-$F79,$F79)))</f>
        <v/>
      </c>
      <c r="K79" s="24" t="str">
        <f aca="false">IF($C79="","",IFERROR(INDEX(예비품목록!$E$3:$E$202,MATCH($C79,예비품목록!$A$3:$A$202,0)),0)+SUMIFS($J$3:$J79,$C$3:$C79,$C79))</f>
        <v/>
      </c>
    </row>
    <row r="80" customFormat="false" ht="15" hidden="false" customHeight="true" outlineLevel="0" collapsed="false">
      <c r="A80" s="12"/>
      <c r="B80" s="9"/>
      <c r="C80" s="9"/>
      <c r="D80" s="15" t="str">
        <f aca="false">IF($C80="","",IFERROR(INDEX(예비품목록!$B$3:$B$202,MATCH($C80,예비품목록!$A$3:$A$202,0)),"미등록품번"))</f>
        <v/>
      </c>
      <c r="E80" s="15" t="str">
        <f aca="false">IF($C80="","",IFERROR(INDEX(예비품목록!$D$3:$D$202,MATCH($C80,예비품목록!$A$3:$A$202,0)),""))</f>
        <v/>
      </c>
      <c r="F80" s="11"/>
      <c r="G80" s="9"/>
      <c r="H80" s="9"/>
      <c r="I80" s="9"/>
      <c r="J80" s="23" t="str">
        <f aca="false">IF(OR($C80="",$F80=""),"",IF($B80="입고",$F80,IF($B80="출고",-$F80,$F80)))</f>
        <v/>
      </c>
      <c r="K80" s="24" t="str">
        <f aca="false">IF($C80="","",IFERROR(INDEX(예비품목록!$E$3:$E$202,MATCH($C80,예비품목록!$A$3:$A$202,0)),0)+SUMIFS($J$3:$J80,$C$3:$C80,$C80))</f>
        <v/>
      </c>
    </row>
    <row r="81" customFormat="false" ht="15" hidden="false" customHeight="true" outlineLevel="0" collapsed="false">
      <c r="A81" s="12"/>
      <c r="B81" s="9"/>
      <c r="C81" s="9"/>
      <c r="D81" s="15" t="str">
        <f aca="false">IF($C81="","",IFERROR(INDEX(예비품목록!$B$3:$B$202,MATCH($C81,예비품목록!$A$3:$A$202,0)),"미등록품번"))</f>
        <v/>
      </c>
      <c r="E81" s="15" t="str">
        <f aca="false">IF($C81="","",IFERROR(INDEX(예비품목록!$D$3:$D$202,MATCH($C81,예비품목록!$A$3:$A$202,0)),""))</f>
        <v/>
      </c>
      <c r="F81" s="11"/>
      <c r="G81" s="9"/>
      <c r="H81" s="9"/>
      <c r="I81" s="9"/>
      <c r="J81" s="23" t="str">
        <f aca="false">IF(OR($C81="",$F81=""),"",IF($B81="입고",$F81,IF($B81="출고",-$F81,$F81)))</f>
        <v/>
      </c>
      <c r="K81" s="24" t="str">
        <f aca="false">IF($C81="","",IFERROR(INDEX(예비품목록!$E$3:$E$202,MATCH($C81,예비품목록!$A$3:$A$202,0)),0)+SUMIFS($J$3:$J81,$C$3:$C81,$C81))</f>
        <v/>
      </c>
    </row>
    <row r="82" customFormat="false" ht="15" hidden="false" customHeight="true" outlineLevel="0" collapsed="false">
      <c r="A82" s="12"/>
      <c r="B82" s="9"/>
      <c r="C82" s="9"/>
      <c r="D82" s="15" t="str">
        <f aca="false">IF($C82="","",IFERROR(INDEX(예비품목록!$B$3:$B$202,MATCH($C82,예비품목록!$A$3:$A$202,0)),"미등록품번"))</f>
        <v/>
      </c>
      <c r="E82" s="15" t="str">
        <f aca="false">IF($C82="","",IFERROR(INDEX(예비품목록!$D$3:$D$202,MATCH($C82,예비품목록!$A$3:$A$202,0)),""))</f>
        <v/>
      </c>
      <c r="F82" s="11"/>
      <c r="G82" s="9"/>
      <c r="H82" s="9"/>
      <c r="I82" s="9"/>
      <c r="J82" s="23" t="str">
        <f aca="false">IF(OR($C82="",$F82=""),"",IF($B82="입고",$F82,IF($B82="출고",-$F82,$F82)))</f>
        <v/>
      </c>
      <c r="K82" s="24" t="str">
        <f aca="false">IF($C82="","",IFERROR(INDEX(예비품목록!$E$3:$E$202,MATCH($C82,예비품목록!$A$3:$A$202,0)),0)+SUMIFS($J$3:$J82,$C$3:$C82,$C82))</f>
        <v/>
      </c>
    </row>
    <row r="83" customFormat="false" ht="15" hidden="false" customHeight="true" outlineLevel="0" collapsed="false">
      <c r="A83" s="12"/>
      <c r="B83" s="9"/>
      <c r="C83" s="9"/>
      <c r="D83" s="15" t="str">
        <f aca="false">IF($C83="","",IFERROR(INDEX(예비품목록!$B$3:$B$202,MATCH($C83,예비품목록!$A$3:$A$202,0)),"미등록품번"))</f>
        <v/>
      </c>
      <c r="E83" s="15" t="str">
        <f aca="false">IF($C83="","",IFERROR(INDEX(예비품목록!$D$3:$D$202,MATCH($C83,예비품목록!$A$3:$A$202,0)),""))</f>
        <v/>
      </c>
      <c r="F83" s="11"/>
      <c r="G83" s="9"/>
      <c r="H83" s="9"/>
      <c r="I83" s="9"/>
      <c r="J83" s="23" t="str">
        <f aca="false">IF(OR($C83="",$F83=""),"",IF($B83="입고",$F83,IF($B83="출고",-$F83,$F83)))</f>
        <v/>
      </c>
      <c r="K83" s="24" t="str">
        <f aca="false">IF($C83="","",IFERROR(INDEX(예비품목록!$E$3:$E$202,MATCH($C83,예비품목록!$A$3:$A$202,0)),0)+SUMIFS($J$3:$J83,$C$3:$C83,$C83))</f>
        <v/>
      </c>
    </row>
    <row r="84" customFormat="false" ht="15" hidden="false" customHeight="true" outlineLevel="0" collapsed="false">
      <c r="A84" s="12"/>
      <c r="B84" s="9"/>
      <c r="C84" s="9"/>
      <c r="D84" s="15" t="str">
        <f aca="false">IF($C84="","",IFERROR(INDEX(예비품목록!$B$3:$B$202,MATCH($C84,예비품목록!$A$3:$A$202,0)),"미등록품번"))</f>
        <v/>
      </c>
      <c r="E84" s="15" t="str">
        <f aca="false">IF($C84="","",IFERROR(INDEX(예비품목록!$D$3:$D$202,MATCH($C84,예비품목록!$A$3:$A$202,0)),""))</f>
        <v/>
      </c>
      <c r="F84" s="11"/>
      <c r="G84" s="9"/>
      <c r="H84" s="9"/>
      <c r="I84" s="9"/>
      <c r="J84" s="23" t="str">
        <f aca="false">IF(OR($C84="",$F84=""),"",IF($B84="입고",$F84,IF($B84="출고",-$F84,$F84)))</f>
        <v/>
      </c>
      <c r="K84" s="24" t="str">
        <f aca="false">IF($C84="","",IFERROR(INDEX(예비품목록!$E$3:$E$202,MATCH($C84,예비품목록!$A$3:$A$202,0)),0)+SUMIFS($J$3:$J84,$C$3:$C84,$C84))</f>
        <v/>
      </c>
    </row>
    <row r="85" customFormat="false" ht="15" hidden="false" customHeight="true" outlineLevel="0" collapsed="false">
      <c r="A85" s="12"/>
      <c r="B85" s="9"/>
      <c r="C85" s="9"/>
      <c r="D85" s="15" t="str">
        <f aca="false">IF($C85="","",IFERROR(INDEX(예비품목록!$B$3:$B$202,MATCH($C85,예비품목록!$A$3:$A$202,0)),"미등록품번"))</f>
        <v/>
      </c>
      <c r="E85" s="15" t="str">
        <f aca="false">IF($C85="","",IFERROR(INDEX(예비품목록!$D$3:$D$202,MATCH($C85,예비품목록!$A$3:$A$202,0)),""))</f>
        <v/>
      </c>
      <c r="F85" s="11"/>
      <c r="G85" s="9"/>
      <c r="H85" s="9"/>
      <c r="I85" s="9"/>
      <c r="J85" s="23" t="str">
        <f aca="false">IF(OR($C85="",$F85=""),"",IF($B85="입고",$F85,IF($B85="출고",-$F85,$F85)))</f>
        <v/>
      </c>
      <c r="K85" s="24" t="str">
        <f aca="false">IF($C85="","",IFERROR(INDEX(예비품목록!$E$3:$E$202,MATCH($C85,예비품목록!$A$3:$A$202,0)),0)+SUMIFS($J$3:$J85,$C$3:$C85,$C85))</f>
        <v/>
      </c>
    </row>
    <row r="86" customFormat="false" ht="15" hidden="false" customHeight="true" outlineLevel="0" collapsed="false">
      <c r="A86" s="12"/>
      <c r="B86" s="9"/>
      <c r="C86" s="9"/>
      <c r="D86" s="15" t="str">
        <f aca="false">IF($C86="","",IFERROR(INDEX(예비품목록!$B$3:$B$202,MATCH($C86,예비품목록!$A$3:$A$202,0)),"미등록품번"))</f>
        <v/>
      </c>
      <c r="E86" s="15" t="str">
        <f aca="false">IF($C86="","",IFERROR(INDEX(예비품목록!$D$3:$D$202,MATCH($C86,예비품목록!$A$3:$A$202,0)),""))</f>
        <v/>
      </c>
      <c r="F86" s="11"/>
      <c r="G86" s="9"/>
      <c r="H86" s="9"/>
      <c r="I86" s="9"/>
      <c r="J86" s="23" t="str">
        <f aca="false">IF(OR($C86="",$F86=""),"",IF($B86="입고",$F86,IF($B86="출고",-$F86,$F86)))</f>
        <v/>
      </c>
      <c r="K86" s="24" t="str">
        <f aca="false">IF($C86="","",IFERROR(INDEX(예비품목록!$E$3:$E$202,MATCH($C86,예비품목록!$A$3:$A$202,0)),0)+SUMIFS($J$3:$J86,$C$3:$C86,$C86))</f>
        <v/>
      </c>
    </row>
    <row r="87" customFormat="false" ht="15" hidden="false" customHeight="true" outlineLevel="0" collapsed="false">
      <c r="A87" s="12"/>
      <c r="B87" s="9"/>
      <c r="C87" s="9"/>
      <c r="D87" s="15" t="str">
        <f aca="false">IF($C87="","",IFERROR(INDEX(예비품목록!$B$3:$B$202,MATCH($C87,예비품목록!$A$3:$A$202,0)),"미등록품번"))</f>
        <v/>
      </c>
      <c r="E87" s="15" t="str">
        <f aca="false">IF($C87="","",IFERROR(INDEX(예비품목록!$D$3:$D$202,MATCH($C87,예비품목록!$A$3:$A$202,0)),""))</f>
        <v/>
      </c>
      <c r="F87" s="11"/>
      <c r="G87" s="9"/>
      <c r="H87" s="9"/>
      <c r="I87" s="9"/>
      <c r="J87" s="23" t="str">
        <f aca="false">IF(OR($C87="",$F87=""),"",IF($B87="입고",$F87,IF($B87="출고",-$F87,$F87)))</f>
        <v/>
      </c>
      <c r="K87" s="24" t="str">
        <f aca="false">IF($C87="","",IFERROR(INDEX(예비품목록!$E$3:$E$202,MATCH($C87,예비품목록!$A$3:$A$202,0)),0)+SUMIFS($J$3:$J87,$C$3:$C87,$C87))</f>
        <v/>
      </c>
    </row>
    <row r="88" customFormat="false" ht="15" hidden="false" customHeight="true" outlineLevel="0" collapsed="false">
      <c r="A88" s="12"/>
      <c r="B88" s="9"/>
      <c r="C88" s="9"/>
      <c r="D88" s="15" t="str">
        <f aca="false">IF($C88="","",IFERROR(INDEX(예비품목록!$B$3:$B$202,MATCH($C88,예비품목록!$A$3:$A$202,0)),"미등록품번"))</f>
        <v/>
      </c>
      <c r="E88" s="15" t="str">
        <f aca="false">IF($C88="","",IFERROR(INDEX(예비품목록!$D$3:$D$202,MATCH($C88,예비품목록!$A$3:$A$202,0)),""))</f>
        <v/>
      </c>
      <c r="F88" s="11"/>
      <c r="G88" s="9"/>
      <c r="H88" s="9"/>
      <c r="I88" s="9"/>
      <c r="J88" s="23" t="str">
        <f aca="false">IF(OR($C88="",$F88=""),"",IF($B88="입고",$F88,IF($B88="출고",-$F88,$F88)))</f>
        <v/>
      </c>
      <c r="K88" s="24" t="str">
        <f aca="false">IF($C88="","",IFERROR(INDEX(예비품목록!$E$3:$E$202,MATCH($C88,예비품목록!$A$3:$A$202,0)),0)+SUMIFS($J$3:$J88,$C$3:$C88,$C88))</f>
        <v/>
      </c>
    </row>
    <row r="89" customFormat="false" ht="15" hidden="false" customHeight="true" outlineLevel="0" collapsed="false">
      <c r="A89" s="12"/>
      <c r="B89" s="9"/>
      <c r="C89" s="9"/>
      <c r="D89" s="15" t="str">
        <f aca="false">IF($C89="","",IFERROR(INDEX(예비품목록!$B$3:$B$202,MATCH($C89,예비품목록!$A$3:$A$202,0)),"미등록품번"))</f>
        <v/>
      </c>
      <c r="E89" s="15" t="str">
        <f aca="false">IF($C89="","",IFERROR(INDEX(예비품목록!$D$3:$D$202,MATCH($C89,예비품목록!$A$3:$A$202,0)),""))</f>
        <v/>
      </c>
      <c r="F89" s="11"/>
      <c r="G89" s="9"/>
      <c r="H89" s="9"/>
      <c r="I89" s="9"/>
      <c r="J89" s="23" t="str">
        <f aca="false">IF(OR($C89="",$F89=""),"",IF($B89="입고",$F89,IF($B89="출고",-$F89,$F89)))</f>
        <v/>
      </c>
      <c r="K89" s="24" t="str">
        <f aca="false">IF($C89="","",IFERROR(INDEX(예비품목록!$E$3:$E$202,MATCH($C89,예비품목록!$A$3:$A$202,0)),0)+SUMIFS($J$3:$J89,$C$3:$C89,$C89))</f>
        <v/>
      </c>
    </row>
    <row r="90" customFormat="false" ht="15" hidden="false" customHeight="true" outlineLevel="0" collapsed="false">
      <c r="A90" s="12"/>
      <c r="B90" s="9"/>
      <c r="C90" s="9"/>
      <c r="D90" s="15" t="str">
        <f aca="false">IF($C90="","",IFERROR(INDEX(예비품목록!$B$3:$B$202,MATCH($C90,예비품목록!$A$3:$A$202,0)),"미등록품번"))</f>
        <v/>
      </c>
      <c r="E90" s="15" t="str">
        <f aca="false">IF($C90="","",IFERROR(INDEX(예비품목록!$D$3:$D$202,MATCH($C90,예비품목록!$A$3:$A$202,0)),""))</f>
        <v/>
      </c>
      <c r="F90" s="11"/>
      <c r="G90" s="9"/>
      <c r="H90" s="9"/>
      <c r="I90" s="9"/>
      <c r="J90" s="23" t="str">
        <f aca="false">IF(OR($C90="",$F90=""),"",IF($B90="입고",$F90,IF($B90="출고",-$F90,$F90)))</f>
        <v/>
      </c>
      <c r="K90" s="24" t="str">
        <f aca="false">IF($C90="","",IFERROR(INDEX(예비품목록!$E$3:$E$202,MATCH($C90,예비품목록!$A$3:$A$202,0)),0)+SUMIFS($J$3:$J90,$C$3:$C90,$C90))</f>
        <v/>
      </c>
    </row>
    <row r="91" customFormat="false" ht="15" hidden="false" customHeight="true" outlineLevel="0" collapsed="false">
      <c r="A91" s="12"/>
      <c r="B91" s="9"/>
      <c r="C91" s="9"/>
      <c r="D91" s="15" t="str">
        <f aca="false">IF($C91="","",IFERROR(INDEX(예비품목록!$B$3:$B$202,MATCH($C91,예비품목록!$A$3:$A$202,0)),"미등록품번"))</f>
        <v/>
      </c>
      <c r="E91" s="15" t="str">
        <f aca="false">IF($C91="","",IFERROR(INDEX(예비품목록!$D$3:$D$202,MATCH($C91,예비품목록!$A$3:$A$202,0)),""))</f>
        <v/>
      </c>
      <c r="F91" s="11"/>
      <c r="G91" s="9"/>
      <c r="H91" s="9"/>
      <c r="I91" s="9"/>
      <c r="J91" s="23" t="str">
        <f aca="false">IF(OR($C91="",$F91=""),"",IF($B91="입고",$F91,IF($B91="출고",-$F91,$F91)))</f>
        <v/>
      </c>
      <c r="K91" s="24" t="str">
        <f aca="false">IF($C91="","",IFERROR(INDEX(예비품목록!$E$3:$E$202,MATCH($C91,예비품목록!$A$3:$A$202,0)),0)+SUMIFS($J$3:$J91,$C$3:$C91,$C91))</f>
        <v/>
      </c>
    </row>
    <row r="92" customFormat="false" ht="15" hidden="false" customHeight="true" outlineLevel="0" collapsed="false">
      <c r="A92" s="12"/>
      <c r="B92" s="9"/>
      <c r="C92" s="9"/>
      <c r="D92" s="15" t="str">
        <f aca="false">IF($C92="","",IFERROR(INDEX(예비품목록!$B$3:$B$202,MATCH($C92,예비품목록!$A$3:$A$202,0)),"미등록품번"))</f>
        <v/>
      </c>
      <c r="E92" s="15" t="str">
        <f aca="false">IF($C92="","",IFERROR(INDEX(예비품목록!$D$3:$D$202,MATCH($C92,예비품목록!$A$3:$A$202,0)),""))</f>
        <v/>
      </c>
      <c r="F92" s="11"/>
      <c r="G92" s="9"/>
      <c r="H92" s="9"/>
      <c r="I92" s="9"/>
      <c r="J92" s="23" t="str">
        <f aca="false">IF(OR($C92="",$F92=""),"",IF($B92="입고",$F92,IF($B92="출고",-$F92,$F92)))</f>
        <v/>
      </c>
      <c r="K92" s="24" t="str">
        <f aca="false">IF($C92="","",IFERROR(INDEX(예비품목록!$E$3:$E$202,MATCH($C92,예비품목록!$A$3:$A$202,0)),0)+SUMIFS($J$3:$J92,$C$3:$C92,$C92))</f>
        <v/>
      </c>
    </row>
    <row r="93" customFormat="false" ht="15" hidden="false" customHeight="true" outlineLevel="0" collapsed="false">
      <c r="A93" s="12"/>
      <c r="B93" s="9"/>
      <c r="C93" s="9"/>
      <c r="D93" s="15" t="str">
        <f aca="false">IF($C93="","",IFERROR(INDEX(예비품목록!$B$3:$B$202,MATCH($C93,예비품목록!$A$3:$A$202,0)),"미등록품번"))</f>
        <v/>
      </c>
      <c r="E93" s="15" t="str">
        <f aca="false">IF($C93="","",IFERROR(INDEX(예비품목록!$D$3:$D$202,MATCH($C93,예비품목록!$A$3:$A$202,0)),""))</f>
        <v/>
      </c>
      <c r="F93" s="11"/>
      <c r="G93" s="9"/>
      <c r="H93" s="9"/>
      <c r="I93" s="9"/>
      <c r="J93" s="23" t="str">
        <f aca="false">IF(OR($C93="",$F93=""),"",IF($B93="입고",$F93,IF($B93="출고",-$F93,$F93)))</f>
        <v/>
      </c>
      <c r="K93" s="24" t="str">
        <f aca="false">IF($C93="","",IFERROR(INDEX(예비품목록!$E$3:$E$202,MATCH($C93,예비품목록!$A$3:$A$202,0)),0)+SUMIFS($J$3:$J93,$C$3:$C93,$C93))</f>
        <v/>
      </c>
    </row>
    <row r="94" customFormat="false" ht="15" hidden="false" customHeight="true" outlineLevel="0" collapsed="false">
      <c r="A94" s="12"/>
      <c r="B94" s="9"/>
      <c r="C94" s="9"/>
      <c r="D94" s="15" t="str">
        <f aca="false">IF($C94="","",IFERROR(INDEX(예비품목록!$B$3:$B$202,MATCH($C94,예비품목록!$A$3:$A$202,0)),"미등록품번"))</f>
        <v/>
      </c>
      <c r="E94" s="15" t="str">
        <f aca="false">IF($C94="","",IFERROR(INDEX(예비품목록!$D$3:$D$202,MATCH($C94,예비품목록!$A$3:$A$202,0)),""))</f>
        <v/>
      </c>
      <c r="F94" s="11"/>
      <c r="G94" s="9"/>
      <c r="H94" s="9"/>
      <c r="I94" s="9"/>
      <c r="J94" s="23" t="str">
        <f aca="false">IF(OR($C94="",$F94=""),"",IF($B94="입고",$F94,IF($B94="출고",-$F94,$F94)))</f>
        <v/>
      </c>
      <c r="K94" s="24" t="str">
        <f aca="false">IF($C94="","",IFERROR(INDEX(예비품목록!$E$3:$E$202,MATCH($C94,예비품목록!$A$3:$A$202,0)),0)+SUMIFS($J$3:$J94,$C$3:$C94,$C94))</f>
        <v/>
      </c>
    </row>
    <row r="95" customFormat="false" ht="15" hidden="false" customHeight="true" outlineLevel="0" collapsed="false">
      <c r="A95" s="12"/>
      <c r="B95" s="9"/>
      <c r="C95" s="9"/>
      <c r="D95" s="15" t="str">
        <f aca="false">IF($C95="","",IFERROR(INDEX(예비품목록!$B$3:$B$202,MATCH($C95,예비품목록!$A$3:$A$202,0)),"미등록품번"))</f>
        <v/>
      </c>
      <c r="E95" s="15" t="str">
        <f aca="false">IF($C95="","",IFERROR(INDEX(예비품목록!$D$3:$D$202,MATCH($C95,예비품목록!$A$3:$A$202,0)),""))</f>
        <v/>
      </c>
      <c r="F95" s="11"/>
      <c r="G95" s="9"/>
      <c r="H95" s="9"/>
      <c r="I95" s="9"/>
      <c r="J95" s="23" t="str">
        <f aca="false">IF(OR($C95="",$F95=""),"",IF($B95="입고",$F95,IF($B95="출고",-$F95,$F95)))</f>
        <v/>
      </c>
      <c r="K95" s="24" t="str">
        <f aca="false">IF($C95="","",IFERROR(INDEX(예비품목록!$E$3:$E$202,MATCH($C95,예비품목록!$A$3:$A$202,0)),0)+SUMIFS($J$3:$J95,$C$3:$C95,$C95))</f>
        <v/>
      </c>
    </row>
    <row r="96" customFormat="false" ht="15" hidden="false" customHeight="true" outlineLevel="0" collapsed="false">
      <c r="A96" s="12"/>
      <c r="B96" s="9"/>
      <c r="C96" s="9"/>
      <c r="D96" s="15" t="str">
        <f aca="false">IF($C96="","",IFERROR(INDEX(예비품목록!$B$3:$B$202,MATCH($C96,예비품목록!$A$3:$A$202,0)),"미등록품번"))</f>
        <v/>
      </c>
      <c r="E96" s="15" t="str">
        <f aca="false">IF($C96="","",IFERROR(INDEX(예비품목록!$D$3:$D$202,MATCH($C96,예비품목록!$A$3:$A$202,0)),""))</f>
        <v/>
      </c>
      <c r="F96" s="11"/>
      <c r="G96" s="9"/>
      <c r="H96" s="9"/>
      <c r="I96" s="9"/>
      <c r="J96" s="23" t="str">
        <f aca="false">IF(OR($C96="",$F96=""),"",IF($B96="입고",$F96,IF($B96="출고",-$F96,$F96)))</f>
        <v/>
      </c>
      <c r="K96" s="24" t="str">
        <f aca="false">IF($C96="","",IFERROR(INDEX(예비품목록!$E$3:$E$202,MATCH($C96,예비품목록!$A$3:$A$202,0)),0)+SUMIFS($J$3:$J96,$C$3:$C96,$C96))</f>
        <v/>
      </c>
    </row>
    <row r="97" customFormat="false" ht="15" hidden="false" customHeight="true" outlineLevel="0" collapsed="false">
      <c r="A97" s="12"/>
      <c r="B97" s="9"/>
      <c r="C97" s="9"/>
      <c r="D97" s="15" t="str">
        <f aca="false">IF($C97="","",IFERROR(INDEX(예비품목록!$B$3:$B$202,MATCH($C97,예비품목록!$A$3:$A$202,0)),"미등록품번"))</f>
        <v/>
      </c>
      <c r="E97" s="15" t="str">
        <f aca="false">IF($C97="","",IFERROR(INDEX(예비품목록!$D$3:$D$202,MATCH($C97,예비품목록!$A$3:$A$202,0)),""))</f>
        <v/>
      </c>
      <c r="F97" s="11"/>
      <c r="G97" s="9"/>
      <c r="H97" s="9"/>
      <c r="I97" s="9"/>
      <c r="J97" s="23" t="str">
        <f aca="false">IF(OR($C97="",$F97=""),"",IF($B97="입고",$F97,IF($B97="출고",-$F97,$F97)))</f>
        <v/>
      </c>
      <c r="K97" s="24" t="str">
        <f aca="false">IF($C97="","",IFERROR(INDEX(예비품목록!$E$3:$E$202,MATCH($C97,예비품목록!$A$3:$A$202,0)),0)+SUMIFS($J$3:$J97,$C$3:$C97,$C97))</f>
        <v/>
      </c>
    </row>
    <row r="98" customFormat="false" ht="15" hidden="false" customHeight="true" outlineLevel="0" collapsed="false">
      <c r="A98" s="12"/>
      <c r="B98" s="9"/>
      <c r="C98" s="9"/>
      <c r="D98" s="15" t="str">
        <f aca="false">IF($C98="","",IFERROR(INDEX(예비품목록!$B$3:$B$202,MATCH($C98,예비품목록!$A$3:$A$202,0)),"미등록품번"))</f>
        <v/>
      </c>
      <c r="E98" s="15" t="str">
        <f aca="false">IF($C98="","",IFERROR(INDEX(예비품목록!$D$3:$D$202,MATCH($C98,예비품목록!$A$3:$A$202,0)),""))</f>
        <v/>
      </c>
      <c r="F98" s="11"/>
      <c r="G98" s="9"/>
      <c r="H98" s="9"/>
      <c r="I98" s="9"/>
      <c r="J98" s="23" t="str">
        <f aca="false">IF(OR($C98="",$F98=""),"",IF($B98="입고",$F98,IF($B98="출고",-$F98,$F98)))</f>
        <v/>
      </c>
      <c r="K98" s="24" t="str">
        <f aca="false">IF($C98="","",IFERROR(INDEX(예비품목록!$E$3:$E$202,MATCH($C98,예비품목록!$A$3:$A$202,0)),0)+SUMIFS($J$3:$J98,$C$3:$C98,$C98))</f>
        <v/>
      </c>
    </row>
    <row r="99" customFormat="false" ht="15" hidden="false" customHeight="true" outlineLevel="0" collapsed="false">
      <c r="A99" s="12"/>
      <c r="B99" s="9"/>
      <c r="C99" s="9"/>
      <c r="D99" s="15" t="str">
        <f aca="false">IF($C99="","",IFERROR(INDEX(예비품목록!$B$3:$B$202,MATCH($C99,예비품목록!$A$3:$A$202,0)),"미등록품번"))</f>
        <v/>
      </c>
      <c r="E99" s="15" t="str">
        <f aca="false">IF($C99="","",IFERROR(INDEX(예비품목록!$D$3:$D$202,MATCH($C99,예비품목록!$A$3:$A$202,0)),""))</f>
        <v/>
      </c>
      <c r="F99" s="11"/>
      <c r="G99" s="9"/>
      <c r="H99" s="9"/>
      <c r="I99" s="9"/>
      <c r="J99" s="23" t="str">
        <f aca="false">IF(OR($C99="",$F99=""),"",IF($B99="입고",$F99,IF($B99="출고",-$F99,$F99)))</f>
        <v/>
      </c>
      <c r="K99" s="24" t="str">
        <f aca="false">IF($C99="","",IFERROR(INDEX(예비품목록!$E$3:$E$202,MATCH($C99,예비품목록!$A$3:$A$202,0)),0)+SUMIFS($J$3:$J99,$C$3:$C99,$C99))</f>
        <v/>
      </c>
    </row>
    <row r="100" customFormat="false" ht="15" hidden="false" customHeight="true" outlineLevel="0" collapsed="false">
      <c r="A100" s="12"/>
      <c r="B100" s="9"/>
      <c r="C100" s="9"/>
      <c r="D100" s="15" t="str">
        <f aca="false">IF($C100="","",IFERROR(INDEX(예비품목록!$B$3:$B$202,MATCH($C100,예비품목록!$A$3:$A$202,0)),"미등록품번"))</f>
        <v/>
      </c>
      <c r="E100" s="15" t="str">
        <f aca="false">IF($C100="","",IFERROR(INDEX(예비품목록!$D$3:$D$202,MATCH($C100,예비품목록!$A$3:$A$202,0)),""))</f>
        <v/>
      </c>
      <c r="F100" s="11"/>
      <c r="G100" s="9"/>
      <c r="H100" s="9"/>
      <c r="I100" s="9"/>
      <c r="J100" s="23" t="str">
        <f aca="false">IF(OR($C100="",$F100=""),"",IF($B100="입고",$F100,IF($B100="출고",-$F100,$F100)))</f>
        <v/>
      </c>
      <c r="K100" s="24" t="str">
        <f aca="false">IF($C100="","",IFERROR(INDEX(예비품목록!$E$3:$E$202,MATCH($C100,예비품목록!$A$3:$A$202,0)),0)+SUMIFS($J$3:$J100,$C$3:$C100,$C100))</f>
        <v/>
      </c>
    </row>
    <row r="101" customFormat="false" ht="15" hidden="false" customHeight="true" outlineLevel="0" collapsed="false">
      <c r="A101" s="12"/>
      <c r="B101" s="9"/>
      <c r="C101" s="9"/>
      <c r="D101" s="15" t="str">
        <f aca="false">IF($C101="","",IFERROR(INDEX(예비품목록!$B$3:$B$202,MATCH($C101,예비품목록!$A$3:$A$202,0)),"미등록품번"))</f>
        <v/>
      </c>
      <c r="E101" s="15" t="str">
        <f aca="false">IF($C101="","",IFERROR(INDEX(예비품목록!$D$3:$D$202,MATCH($C101,예비품목록!$A$3:$A$202,0)),""))</f>
        <v/>
      </c>
      <c r="F101" s="11"/>
      <c r="G101" s="9"/>
      <c r="H101" s="9"/>
      <c r="I101" s="9"/>
      <c r="J101" s="23" t="str">
        <f aca="false">IF(OR($C101="",$F101=""),"",IF($B101="입고",$F101,IF($B101="출고",-$F101,$F101)))</f>
        <v/>
      </c>
      <c r="K101" s="24" t="str">
        <f aca="false">IF($C101="","",IFERROR(INDEX(예비품목록!$E$3:$E$202,MATCH($C101,예비품목록!$A$3:$A$202,0)),0)+SUMIFS($J$3:$J101,$C$3:$C101,$C101))</f>
        <v/>
      </c>
    </row>
    <row r="102" customFormat="false" ht="15" hidden="false" customHeight="true" outlineLevel="0" collapsed="false">
      <c r="A102" s="12"/>
      <c r="B102" s="9"/>
      <c r="C102" s="9"/>
      <c r="D102" s="15" t="str">
        <f aca="false">IF($C102="","",IFERROR(INDEX(예비품목록!$B$3:$B$202,MATCH($C102,예비품목록!$A$3:$A$202,0)),"미등록품번"))</f>
        <v/>
      </c>
      <c r="E102" s="15" t="str">
        <f aca="false">IF($C102="","",IFERROR(INDEX(예비품목록!$D$3:$D$202,MATCH($C102,예비품목록!$A$3:$A$202,0)),""))</f>
        <v/>
      </c>
      <c r="F102" s="11"/>
      <c r="G102" s="9"/>
      <c r="H102" s="9"/>
      <c r="I102" s="9"/>
      <c r="J102" s="23" t="str">
        <f aca="false">IF(OR($C102="",$F102=""),"",IF($B102="입고",$F102,IF($B102="출고",-$F102,$F102)))</f>
        <v/>
      </c>
      <c r="K102" s="24" t="str">
        <f aca="false">IF($C102="","",IFERROR(INDEX(예비품목록!$E$3:$E$202,MATCH($C102,예비품목록!$A$3:$A$202,0)),0)+SUMIFS($J$3:$J102,$C$3:$C102,$C102))</f>
        <v/>
      </c>
    </row>
    <row r="103" customFormat="false" ht="15" hidden="false" customHeight="true" outlineLevel="0" collapsed="false">
      <c r="A103" s="12"/>
      <c r="B103" s="9"/>
      <c r="C103" s="9"/>
      <c r="D103" s="15" t="str">
        <f aca="false">IF($C103="","",IFERROR(INDEX(예비품목록!$B$3:$B$202,MATCH($C103,예비품목록!$A$3:$A$202,0)),"미등록품번"))</f>
        <v/>
      </c>
      <c r="E103" s="15" t="str">
        <f aca="false">IF($C103="","",IFERROR(INDEX(예비품목록!$D$3:$D$202,MATCH($C103,예비품목록!$A$3:$A$202,0)),""))</f>
        <v/>
      </c>
      <c r="F103" s="11"/>
      <c r="G103" s="9"/>
      <c r="H103" s="9"/>
      <c r="I103" s="9"/>
      <c r="J103" s="23" t="str">
        <f aca="false">IF(OR($C103="",$F103=""),"",IF($B103="입고",$F103,IF($B103="출고",-$F103,$F103)))</f>
        <v/>
      </c>
      <c r="K103" s="24" t="str">
        <f aca="false">IF($C103="","",IFERROR(INDEX(예비품목록!$E$3:$E$202,MATCH($C103,예비품목록!$A$3:$A$202,0)),0)+SUMIFS($J$3:$J103,$C$3:$C103,$C103))</f>
        <v/>
      </c>
    </row>
    <row r="104" customFormat="false" ht="15" hidden="false" customHeight="true" outlineLevel="0" collapsed="false">
      <c r="A104" s="12"/>
      <c r="B104" s="9"/>
      <c r="C104" s="9"/>
      <c r="D104" s="15" t="str">
        <f aca="false">IF($C104="","",IFERROR(INDEX(예비품목록!$B$3:$B$202,MATCH($C104,예비품목록!$A$3:$A$202,0)),"미등록품번"))</f>
        <v/>
      </c>
      <c r="E104" s="15" t="str">
        <f aca="false">IF($C104="","",IFERROR(INDEX(예비품목록!$D$3:$D$202,MATCH($C104,예비품목록!$A$3:$A$202,0)),""))</f>
        <v/>
      </c>
      <c r="F104" s="11"/>
      <c r="G104" s="9"/>
      <c r="H104" s="9"/>
      <c r="I104" s="9"/>
      <c r="J104" s="23" t="str">
        <f aca="false">IF(OR($C104="",$F104=""),"",IF($B104="입고",$F104,IF($B104="출고",-$F104,$F104)))</f>
        <v/>
      </c>
      <c r="K104" s="24" t="str">
        <f aca="false">IF($C104="","",IFERROR(INDEX(예비품목록!$E$3:$E$202,MATCH($C104,예비품목록!$A$3:$A$202,0)),0)+SUMIFS($J$3:$J104,$C$3:$C104,$C104))</f>
        <v/>
      </c>
    </row>
    <row r="105" customFormat="false" ht="15" hidden="false" customHeight="true" outlineLevel="0" collapsed="false">
      <c r="A105" s="12"/>
      <c r="B105" s="9"/>
      <c r="C105" s="9"/>
      <c r="D105" s="15" t="str">
        <f aca="false">IF($C105="","",IFERROR(INDEX(예비품목록!$B$3:$B$202,MATCH($C105,예비품목록!$A$3:$A$202,0)),"미등록품번"))</f>
        <v/>
      </c>
      <c r="E105" s="15" t="str">
        <f aca="false">IF($C105="","",IFERROR(INDEX(예비품목록!$D$3:$D$202,MATCH($C105,예비품목록!$A$3:$A$202,0)),""))</f>
        <v/>
      </c>
      <c r="F105" s="11"/>
      <c r="G105" s="9"/>
      <c r="H105" s="9"/>
      <c r="I105" s="9"/>
      <c r="J105" s="23" t="str">
        <f aca="false">IF(OR($C105="",$F105=""),"",IF($B105="입고",$F105,IF($B105="출고",-$F105,$F105)))</f>
        <v/>
      </c>
      <c r="K105" s="24" t="str">
        <f aca="false">IF($C105="","",IFERROR(INDEX(예비품목록!$E$3:$E$202,MATCH($C105,예비품목록!$A$3:$A$202,0)),0)+SUMIFS($J$3:$J105,$C$3:$C105,$C105))</f>
        <v/>
      </c>
    </row>
    <row r="106" customFormat="false" ht="15" hidden="false" customHeight="true" outlineLevel="0" collapsed="false">
      <c r="A106" s="12"/>
      <c r="B106" s="9"/>
      <c r="C106" s="9"/>
      <c r="D106" s="15" t="str">
        <f aca="false">IF($C106="","",IFERROR(INDEX(예비품목록!$B$3:$B$202,MATCH($C106,예비품목록!$A$3:$A$202,0)),"미등록품번"))</f>
        <v/>
      </c>
      <c r="E106" s="15" t="str">
        <f aca="false">IF($C106="","",IFERROR(INDEX(예비품목록!$D$3:$D$202,MATCH($C106,예비품목록!$A$3:$A$202,0)),""))</f>
        <v/>
      </c>
      <c r="F106" s="11"/>
      <c r="G106" s="9"/>
      <c r="H106" s="9"/>
      <c r="I106" s="9"/>
      <c r="J106" s="23" t="str">
        <f aca="false">IF(OR($C106="",$F106=""),"",IF($B106="입고",$F106,IF($B106="출고",-$F106,$F106)))</f>
        <v/>
      </c>
      <c r="K106" s="24" t="str">
        <f aca="false">IF($C106="","",IFERROR(INDEX(예비품목록!$E$3:$E$202,MATCH($C106,예비품목록!$A$3:$A$202,0)),0)+SUMIFS($J$3:$J106,$C$3:$C106,$C106))</f>
        <v/>
      </c>
    </row>
    <row r="107" customFormat="false" ht="15" hidden="false" customHeight="true" outlineLevel="0" collapsed="false">
      <c r="A107" s="12"/>
      <c r="B107" s="9"/>
      <c r="C107" s="9"/>
      <c r="D107" s="15" t="str">
        <f aca="false">IF($C107="","",IFERROR(INDEX(예비품목록!$B$3:$B$202,MATCH($C107,예비품목록!$A$3:$A$202,0)),"미등록품번"))</f>
        <v/>
      </c>
      <c r="E107" s="15" t="str">
        <f aca="false">IF($C107="","",IFERROR(INDEX(예비품목록!$D$3:$D$202,MATCH($C107,예비품목록!$A$3:$A$202,0)),""))</f>
        <v/>
      </c>
      <c r="F107" s="11"/>
      <c r="G107" s="9"/>
      <c r="H107" s="9"/>
      <c r="I107" s="9"/>
      <c r="J107" s="23" t="str">
        <f aca="false">IF(OR($C107="",$F107=""),"",IF($B107="입고",$F107,IF($B107="출고",-$F107,$F107)))</f>
        <v/>
      </c>
      <c r="K107" s="24" t="str">
        <f aca="false">IF($C107="","",IFERROR(INDEX(예비품목록!$E$3:$E$202,MATCH($C107,예비품목록!$A$3:$A$202,0)),0)+SUMIFS($J$3:$J107,$C$3:$C107,$C107))</f>
        <v/>
      </c>
    </row>
    <row r="108" customFormat="false" ht="15" hidden="false" customHeight="true" outlineLevel="0" collapsed="false">
      <c r="A108" s="12"/>
      <c r="B108" s="9"/>
      <c r="C108" s="9"/>
      <c r="D108" s="15" t="str">
        <f aca="false">IF($C108="","",IFERROR(INDEX(예비품목록!$B$3:$B$202,MATCH($C108,예비품목록!$A$3:$A$202,0)),"미등록품번"))</f>
        <v/>
      </c>
      <c r="E108" s="15" t="str">
        <f aca="false">IF($C108="","",IFERROR(INDEX(예비품목록!$D$3:$D$202,MATCH($C108,예비품목록!$A$3:$A$202,0)),""))</f>
        <v/>
      </c>
      <c r="F108" s="11"/>
      <c r="G108" s="9"/>
      <c r="H108" s="9"/>
      <c r="I108" s="9"/>
      <c r="J108" s="23" t="str">
        <f aca="false">IF(OR($C108="",$F108=""),"",IF($B108="입고",$F108,IF($B108="출고",-$F108,$F108)))</f>
        <v/>
      </c>
      <c r="K108" s="24" t="str">
        <f aca="false">IF($C108="","",IFERROR(INDEX(예비품목록!$E$3:$E$202,MATCH($C108,예비품목록!$A$3:$A$202,0)),0)+SUMIFS($J$3:$J108,$C$3:$C108,$C108))</f>
        <v/>
      </c>
    </row>
    <row r="109" customFormat="false" ht="15" hidden="false" customHeight="true" outlineLevel="0" collapsed="false">
      <c r="A109" s="12"/>
      <c r="B109" s="9"/>
      <c r="C109" s="9"/>
      <c r="D109" s="15" t="str">
        <f aca="false">IF($C109="","",IFERROR(INDEX(예비품목록!$B$3:$B$202,MATCH($C109,예비품목록!$A$3:$A$202,0)),"미등록품번"))</f>
        <v/>
      </c>
      <c r="E109" s="15" t="str">
        <f aca="false">IF($C109="","",IFERROR(INDEX(예비품목록!$D$3:$D$202,MATCH($C109,예비품목록!$A$3:$A$202,0)),""))</f>
        <v/>
      </c>
      <c r="F109" s="11"/>
      <c r="G109" s="9"/>
      <c r="H109" s="9"/>
      <c r="I109" s="9"/>
      <c r="J109" s="23" t="str">
        <f aca="false">IF(OR($C109="",$F109=""),"",IF($B109="입고",$F109,IF($B109="출고",-$F109,$F109)))</f>
        <v/>
      </c>
      <c r="K109" s="24" t="str">
        <f aca="false">IF($C109="","",IFERROR(INDEX(예비품목록!$E$3:$E$202,MATCH($C109,예비품목록!$A$3:$A$202,0)),0)+SUMIFS($J$3:$J109,$C$3:$C109,$C109))</f>
        <v/>
      </c>
    </row>
    <row r="110" customFormat="false" ht="15" hidden="false" customHeight="true" outlineLevel="0" collapsed="false">
      <c r="A110" s="12"/>
      <c r="B110" s="9"/>
      <c r="C110" s="9"/>
      <c r="D110" s="15" t="str">
        <f aca="false">IF($C110="","",IFERROR(INDEX(예비품목록!$B$3:$B$202,MATCH($C110,예비품목록!$A$3:$A$202,0)),"미등록품번"))</f>
        <v/>
      </c>
      <c r="E110" s="15" t="str">
        <f aca="false">IF($C110="","",IFERROR(INDEX(예비품목록!$D$3:$D$202,MATCH($C110,예비품목록!$A$3:$A$202,0)),""))</f>
        <v/>
      </c>
      <c r="F110" s="11"/>
      <c r="G110" s="9"/>
      <c r="H110" s="9"/>
      <c r="I110" s="9"/>
      <c r="J110" s="23" t="str">
        <f aca="false">IF(OR($C110="",$F110=""),"",IF($B110="입고",$F110,IF($B110="출고",-$F110,$F110)))</f>
        <v/>
      </c>
      <c r="K110" s="24" t="str">
        <f aca="false">IF($C110="","",IFERROR(INDEX(예비품목록!$E$3:$E$202,MATCH($C110,예비품목록!$A$3:$A$202,0)),0)+SUMIFS($J$3:$J110,$C$3:$C110,$C110))</f>
        <v/>
      </c>
    </row>
    <row r="111" customFormat="false" ht="15" hidden="false" customHeight="true" outlineLevel="0" collapsed="false">
      <c r="A111" s="12"/>
      <c r="B111" s="9"/>
      <c r="C111" s="9"/>
      <c r="D111" s="15" t="str">
        <f aca="false">IF($C111="","",IFERROR(INDEX(예비품목록!$B$3:$B$202,MATCH($C111,예비품목록!$A$3:$A$202,0)),"미등록품번"))</f>
        <v/>
      </c>
      <c r="E111" s="15" t="str">
        <f aca="false">IF($C111="","",IFERROR(INDEX(예비품목록!$D$3:$D$202,MATCH($C111,예비품목록!$A$3:$A$202,0)),""))</f>
        <v/>
      </c>
      <c r="F111" s="11"/>
      <c r="G111" s="9"/>
      <c r="H111" s="9"/>
      <c r="I111" s="9"/>
      <c r="J111" s="23" t="str">
        <f aca="false">IF(OR($C111="",$F111=""),"",IF($B111="입고",$F111,IF($B111="출고",-$F111,$F111)))</f>
        <v/>
      </c>
      <c r="K111" s="24" t="str">
        <f aca="false">IF($C111="","",IFERROR(INDEX(예비품목록!$E$3:$E$202,MATCH($C111,예비품목록!$A$3:$A$202,0)),0)+SUMIFS($J$3:$J111,$C$3:$C111,$C111))</f>
        <v/>
      </c>
    </row>
    <row r="112" customFormat="false" ht="15" hidden="false" customHeight="true" outlineLevel="0" collapsed="false">
      <c r="A112" s="12"/>
      <c r="B112" s="9"/>
      <c r="C112" s="9"/>
      <c r="D112" s="15" t="str">
        <f aca="false">IF($C112="","",IFERROR(INDEX(예비품목록!$B$3:$B$202,MATCH($C112,예비품목록!$A$3:$A$202,0)),"미등록품번"))</f>
        <v/>
      </c>
      <c r="E112" s="15" t="str">
        <f aca="false">IF($C112="","",IFERROR(INDEX(예비품목록!$D$3:$D$202,MATCH($C112,예비품목록!$A$3:$A$202,0)),""))</f>
        <v/>
      </c>
      <c r="F112" s="11"/>
      <c r="G112" s="9"/>
      <c r="H112" s="9"/>
      <c r="I112" s="9"/>
      <c r="J112" s="23" t="str">
        <f aca="false">IF(OR($C112="",$F112=""),"",IF($B112="입고",$F112,IF($B112="출고",-$F112,$F112)))</f>
        <v/>
      </c>
      <c r="K112" s="24" t="str">
        <f aca="false">IF($C112="","",IFERROR(INDEX(예비품목록!$E$3:$E$202,MATCH($C112,예비품목록!$A$3:$A$202,0)),0)+SUMIFS($J$3:$J112,$C$3:$C112,$C112))</f>
        <v/>
      </c>
    </row>
    <row r="113" customFormat="false" ht="15" hidden="false" customHeight="true" outlineLevel="0" collapsed="false">
      <c r="A113" s="12"/>
      <c r="B113" s="9"/>
      <c r="C113" s="9"/>
      <c r="D113" s="15" t="str">
        <f aca="false">IF($C113="","",IFERROR(INDEX(예비품목록!$B$3:$B$202,MATCH($C113,예비품목록!$A$3:$A$202,0)),"미등록품번"))</f>
        <v/>
      </c>
      <c r="E113" s="15" t="str">
        <f aca="false">IF($C113="","",IFERROR(INDEX(예비품목록!$D$3:$D$202,MATCH($C113,예비품목록!$A$3:$A$202,0)),""))</f>
        <v/>
      </c>
      <c r="F113" s="11"/>
      <c r="G113" s="9"/>
      <c r="H113" s="9"/>
      <c r="I113" s="9"/>
      <c r="J113" s="23" t="str">
        <f aca="false">IF(OR($C113="",$F113=""),"",IF($B113="입고",$F113,IF($B113="출고",-$F113,$F113)))</f>
        <v/>
      </c>
      <c r="K113" s="24" t="str">
        <f aca="false">IF($C113="","",IFERROR(INDEX(예비품목록!$E$3:$E$202,MATCH($C113,예비품목록!$A$3:$A$202,0)),0)+SUMIFS($J$3:$J113,$C$3:$C113,$C113))</f>
        <v/>
      </c>
    </row>
    <row r="114" customFormat="false" ht="15" hidden="false" customHeight="true" outlineLevel="0" collapsed="false">
      <c r="A114" s="12"/>
      <c r="B114" s="9"/>
      <c r="C114" s="9"/>
      <c r="D114" s="15" t="str">
        <f aca="false">IF($C114="","",IFERROR(INDEX(예비품목록!$B$3:$B$202,MATCH($C114,예비품목록!$A$3:$A$202,0)),"미등록품번"))</f>
        <v/>
      </c>
      <c r="E114" s="15" t="str">
        <f aca="false">IF($C114="","",IFERROR(INDEX(예비품목록!$D$3:$D$202,MATCH($C114,예비품목록!$A$3:$A$202,0)),""))</f>
        <v/>
      </c>
      <c r="F114" s="11"/>
      <c r="G114" s="9"/>
      <c r="H114" s="9"/>
      <c r="I114" s="9"/>
      <c r="J114" s="23" t="str">
        <f aca="false">IF(OR($C114="",$F114=""),"",IF($B114="입고",$F114,IF($B114="출고",-$F114,$F114)))</f>
        <v/>
      </c>
      <c r="K114" s="24" t="str">
        <f aca="false">IF($C114="","",IFERROR(INDEX(예비품목록!$E$3:$E$202,MATCH($C114,예비품목록!$A$3:$A$202,0)),0)+SUMIFS($J$3:$J114,$C$3:$C114,$C114))</f>
        <v/>
      </c>
    </row>
    <row r="115" customFormat="false" ht="15" hidden="false" customHeight="true" outlineLevel="0" collapsed="false">
      <c r="A115" s="12"/>
      <c r="B115" s="9"/>
      <c r="C115" s="9"/>
      <c r="D115" s="15" t="str">
        <f aca="false">IF($C115="","",IFERROR(INDEX(예비품목록!$B$3:$B$202,MATCH($C115,예비품목록!$A$3:$A$202,0)),"미등록품번"))</f>
        <v/>
      </c>
      <c r="E115" s="15" t="str">
        <f aca="false">IF($C115="","",IFERROR(INDEX(예비품목록!$D$3:$D$202,MATCH($C115,예비품목록!$A$3:$A$202,0)),""))</f>
        <v/>
      </c>
      <c r="F115" s="11"/>
      <c r="G115" s="9"/>
      <c r="H115" s="9"/>
      <c r="I115" s="9"/>
      <c r="J115" s="23" t="str">
        <f aca="false">IF(OR($C115="",$F115=""),"",IF($B115="입고",$F115,IF($B115="출고",-$F115,$F115)))</f>
        <v/>
      </c>
      <c r="K115" s="24" t="str">
        <f aca="false">IF($C115="","",IFERROR(INDEX(예비품목록!$E$3:$E$202,MATCH($C115,예비품목록!$A$3:$A$202,0)),0)+SUMIFS($J$3:$J115,$C$3:$C115,$C115))</f>
        <v/>
      </c>
    </row>
    <row r="116" customFormat="false" ht="15" hidden="false" customHeight="true" outlineLevel="0" collapsed="false">
      <c r="A116" s="12"/>
      <c r="B116" s="9"/>
      <c r="C116" s="9"/>
      <c r="D116" s="15" t="str">
        <f aca="false">IF($C116="","",IFERROR(INDEX(예비품목록!$B$3:$B$202,MATCH($C116,예비품목록!$A$3:$A$202,0)),"미등록품번"))</f>
        <v/>
      </c>
      <c r="E116" s="15" t="str">
        <f aca="false">IF($C116="","",IFERROR(INDEX(예비품목록!$D$3:$D$202,MATCH($C116,예비품목록!$A$3:$A$202,0)),""))</f>
        <v/>
      </c>
      <c r="F116" s="11"/>
      <c r="G116" s="9"/>
      <c r="H116" s="9"/>
      <c r="I116" s="9"/>
      <c r="J116" s="23" t="str">
        <f aca="false">IF(OR($C116="",$F116=""),"",IF($B116="입고",$F116,IF($B116="출고",-$F116,$F116)))</f>
        <v/>
      </c>
      <c r="K116" s="24" t="str">
        <f aca="false">IF($C116="","",IFERROR(INDEX(예비품목록!$E$3:$E$202,MATCH($C116,예비품목록!$A$3:$A$202,0)),0)+SUMIFS($J$3:$J116,$C$3:$C116,$C116))</f>
        <v/>
      </c>
    </row>
    <row r="117" customFormat="false" ht="15" hidden="false" customHeight="true" outlineLevel="0" collapsed="false">
      <c r="A117" s="12"/>
      <c r="B117" s="9"/>
      <c r="C117" s="9"/>
      <c r="D117" s="15" t="str">
        <f aca="false">IF($C117="","",IFERROR(INDEX(예비품목록!$B$3:$B$202,MATCH($C117,예비품목록!$A$3:$A$202,0)),"미등록품번"))</f>
        <v/>
      </c>
      <c r="E117" s="15" t="str">
        <f aca="false">IF($C117="","",IFERROR(INDEX(예비품목록!$D$3:$D$202,MATCH($C117,예비품목록!$A$3:$A$202,0)),""))</f>
        <v/>
      </c>
      <c r="F117" s="11"/>
      <c r="G117" s="9"/>
      <c r="H117" s="9"/>
      <c r="I117" s="9"/>
      <c r="J117" s="23" t="str">
        <f aca="false">IF(OR($C117="",$F117=""),"",IF($B117="입고",$F117,IF($B117="출고",-$F117,$F117)))</f>
        <v/>
      </c>
      <c r="K117" s="24" t="str">
        <f aca="false">IF($C117="","",IFERROR(INDEX(예비품목록!$E$3:$E$202,MATCH($C117,예비품목록!$A$3:$A$202,0)),0)+SUMIFS($J$3:$J117,$C$3:$C117,$C117))</f>
        <v/>
      </c>
    </row>
    <row r="118" customFormat="false" ht="15" hidden="false" customHeight="true" outlineLevel="0" collapsed="false">
      <c r="A118" s="12"/>
      <c r="B118" s="9"/>
      <c r="C118" s="9"/>
      <c r="D118" s="15" t="str">
        <f aca="false">IF($C118="","",IFERROR(INDEX(예비품목록!$B$3:$B$202,MATCH($C118,예비품목록!$A$3:$A$202,0)),"미등록품번"))</f>
        <v/>
      </c>
      <c r="E118" s="15" t="str">
        <f aca="false">IF($C118="","",IFERROR(INDEX(예비품목록!$D$3:$D$202,MATCH($C118,예비품목록!$A$3:$A$202,0)),""))</f>
        <v/>
      </c>
      <c r="F118" s="11"/>
      <c r="G118" s="9"/>
      <c r="H118" s="9"/>
      <c r="I118" s="9"/>
      <c r="J118" s="23" t="str">
        <f aca="false">IF(OR($C118="",$F118=""),"",IF($B118="입고",$F118,IF($B118="출고",-$F118,$F118)))</f>
        <v/>
      </c>
      <c r="K118" s="24" t="str">
        <f aca="false">IF($C118="","",IFERROR(INDEX(예비품목록!$E$3:$E$202,MATCH($C118,예비품목록!$A$3:$A$202,0)),0)+SUMIFS($J$3:$J118,$C$3:$C118,$C118))</f>
        <v/>
      </c>
    </row>
    <row r="119" customFormat="false" ht="15" hidden="false" customHeight="true" outlineLevel="0" collapsed="false">
      <c r="A119" s="12"/>
      <c r="B119" s="9"/>
      <c r="C119" s="9"/>
      <c r="D119" s="15" t="str">
        <f aca="false">IF($C119="","",IFERROR(INDEX(예비품목록!$B$3:$B$202,MATCH($C119,예비품목록!$A$3:$A$202,0)),"미등록품번"))</f>
        <v/>
      </c>
      <c r="E119" s="15" t="str">
        <f aca="false">IF($C119="","",IFERROR(INDEX(예비품목록!$D$3:$D$202,MATCH($C119,예비품목록!$A$3:$A$202,0)),""))</f>
        <v/>
      </c>
      <c r="F119" s="11"/>
      <c r="G119" s="9"/>
      <c r="H119" s="9"/>
      <c r="I119" s="9"/>
      <c r="J119" s="23" t="str">
        <f aca="false">IF(OR($C119="",$F119=""),"",IF($B119="입고",$F119,IF($B119="출고",-$F119,$F119)))</f>
        <v/>
      </c>
      <c r="K119" s="24" t="str">
        <f aca="false">IF($C119="","",IFERROR(INDEX(예비품목록!$E$3:$E$202,MATCH($C119,예비품목록!$A$3:$A$202,0)),0)+SUMIFS($J$3:$J119,$C$3:$C119,$C119))</f>
        <v/>
      </c>
    </row>
    <row r="120" customFormat="false" ht="15" hidden="false" customHeight="true" outlineLevel="0" collapsed="false">
      <c r="A120" s="12"/>
      <c r="B120" s="9"/>
      <c r="C120" s="9"/>
      <c r="D120" s="15" t="str">
        <f aca="false">IF($C120="","",IFERROR(INDEX(예비품목록!$B$3:$B$202,MATCH($C120,예비품목록!$A$3:$A$202,0)),"미등록품번"))</f>
        <v/>
      </c>
      <c r="E120" s="15" t="str">
        <f aca="false">IF($C120="","",IFERROR(INDEX(예비품목록!$D$3:$D$202,MATCH($C120,예비품목록!$A$3:$A$202,0)),""))</f>
        <v/>
      </c>
      <c r="F120" s="11"/>
      <c r="G120" s="9"/>
      <c r="H120" s="9"/>
      <c r="I120" s="9"/>
      <c r="J120" s="23" t="str">
        <f aca="false">IF(OR($C120="",$F120=""),"",IF($B120="입고",$F120,IF($B120="출고",-$F120,$F120)))</f>
        <v/>
      </c>
      <c r="K120" s="24" t="str">
        <f aca="false">IF($C120="","",IFERROR(INDEX(예비품목록!$E$3:$E$202,MATCH($C120,예비품목록!$A$3:$A$202,0)),0)+SUMIFS($J$3:$J120,$C$3:$C120,$C120))</f>
        <v/>
      </c>
    </row>
    <row r="121" customFormat="false" ht="15" hidden="false" customHeight="true" outlineLevel="0" collapsed="false">
      <c r="A121" s="12"/>
      <c r="B121" s="9"/>
      <c r="C121" s="9"/>
      <c r="D121" s="15" t="str">
        <f aca="false">IF($C121="","",IFERROR(INDEX(예비품목록!$B$3:$B$202,MATCH($C121,예비품목록!$A$3:$A$202,0)),"미등록품번"))</f>
        <v/>
      </c>
      <c r="E121" s="15" t="str">
        <f aca="false">IF($C121="","",IFERROR(INDEX(예비품목록!$D$3:$D$202,MATCH($C121,예비품목록!$A$3:$A$202,0)),""))</f>
        <v/>
      </c>
      <c r="F121" s="11"/>
      <c r="G121" s="9"/>
      <c r="H121" s="9"/>
      <c r="I121" s="9"/>
      <c r="J121" s="23" t="str">
        <f aca="false">IF(OR($C121="",$F121=""),"",IF($B121="입고",$F121,IF($B121="출고",-$F121,$F121)))</f>
        <v/>
      </c>
      <c r="K121" s="24" t="str">
        <f aca="false">IF($C121="","",IFERROR(INDEX(예비품목록!$E$3:$E$202,MATCH($C121,예비품목록!$A$3:$A$202,0)),0)+SUMIFS($J$3:$J121,$C$3:$C121,$C121))</f>
        <v/>
      </c>
    </row>
    <row r="122" customFormat="false" ht="15" hidden="false" customHeight="true" outlineLevel="0" collapsed="false">
      <c r="A122" s="12"/>
      <c r="B122" s="9"/>
      <c r="C122" s="9"/>
      <c r="D122" s="15" t="str">
        <f aca="false">IF($C122="","",IFERROR(INDEX(예비품목록!$B$3:$B$202,MATCH($C122,예비품목록!$A$3:$A$202,0)),"미등록품번"))</f>
        <v/>
      </c>
      <c r="E122" s="15" t="str">
        <f aca="false">IF($C122="","",IFERROR(INDEX(예비품목록!$D$3:$D$202,MATCH($C122,예비품목록!$A$3:$A$202,0)),""))</f>
        <v/>
      </c>
      <c r="F122" s="11"/>
      <c r="G122" s="9"/>
      <c r="H122" s="9"/>
      <c r="I122" s="9"/>
      <c r="J122" s="23" t="str">
        <f aca="false">IF(OR($C122="",$F122=""),"",IF($B122="입고",$F122,IF($B122="출고",-$F122,$F122)))</f>
        <v/>
      </c>
      <c r="K122" s="24" t="str">
        <f aca="false">IF($C122="","",IFERROR(INDEX(예비품목록!$E$3:$E$202,MATCH($C122,예비품목록!$A$3:$A$202,0)),0)+SUMIFS($J$3:$J122,$C$3:$C122,$C122))</f>
        <v/>
      </c>
    </row>
    <row r="123" customFormat="false" ht="15" hidden="false" customHeight="true" outlineLevel="0" collapsed="false">
      <c r="A123" s="12"/>
      <c r="B123" s="9"/>
      <c r="C123" s="9"/>
      <c r="D123" s="15" t="str">
        <f aca="false">IF($C123="","",IFERROR(INDEX(예비품목록!$B$3:$B$202,MATCH($C123,예비품목록!$A$3:$A$202,0)),"미등록품번"))</f>
        <v/>
      </c>
      <c r="E123" s="15" t="str">
        <f aca="false">IF($C123="","",IFERROR(INDEX(예비품목록!$D$3:$D$202,MATCH($C123,예비품목록!$A$3:$A$202,0)),""))</f>
        <v/>
      </c>
      <c r="F123" s="11"/>
      <c r="G123" s="9"/>
      <c r="H123" s="9"/>
      <c r="I123" s="9"/>
      <c r="J123" s="23" t="str">
        <f aca="false">IF(OR($C123="",$F123=""),"",IF($B123="입고",$F123,IF($B123="출고",-$F123,$F123)))</f>
        <v/>
      </c>
      <c r="K123" s="24" t="str">
        <f aca="false">IF($C123="","",IFERROR(INDEX(예비품목록!$E$3:$E$202,MATCH($C123,예비품목록!$A$3:$A$202,0)),0)+SUMIFS($J$3:$J123,$C$3:$C123,$C123))</f>
        <v/>
      </c>
    </row>
    <row r="124" customFormat="false" ht="15" hidden="false" customHeight="true" outlineLevel="0" collapsed="false">
      <c r="A124" s="12"/>
      <c r="B124" s="9"/>
      <c r="C124" s="9"/>
      <c r="D124" s="15" t="str">
        <f aca="false">IF($C124="","",IFERROR(INDEX(예비품목록!$B$3:$B$202,MATCH($C124,예비품목록!$A$3:$A$202,0)),"미등록품번"))</f>
        <v/>
      </c>
      <c r="E124" s="15" t="str">
        <f aca="false">IF($C124="","",IFERROR(INDEX(예비품목록!$D$3:$D$202,MATCH($C124,예비품목록!$A$3:$A$202,0)),""))</f>
        <v/>
      </c>
      <c r="F124" s="11"/>
      <c r="G124" s="9"/>
      <c r="H124" s="9"/>
      <c r="I124" s="9"/>
      <c r="J124" s="23" t="str">
        <f aca="false">IF(OR($C124="",$F124=""),"",IF($B124="입고",$F124,IF($B124="출고",-$F124,$F124)))</f>
        <v/>
      </c>
      <c r="K124" s="24" t="str">
        <f aca="false">IF($C124="","",IFERROR(INDEX(예비품목록!$E$3:$E$202,MATCH($C124,예비품목록!$A$3:$A$202,0)),0)+SUMIFS($J$3:$J124,$C$3:$C124,$C124))</f>
        <v/>
      </c>
    </row>
    <row r="125" customFormat="false" ht="15" hidden="false" customHeight="true" outlineLevel="0" collapsed="false">
      <c r="A125" s="12"/>
      <c r="B125" s="9"/>
      <c r="C125" s="9"/>
      <c r="D125" s="15" t="str">
        <f aca="false">IF($C125="","",IFERROR(INDEX(예비품목록!$B$3:$B$202,MATCH($C125,예비품목록!$A$3:$A$202,0)),"미등록품번"))</f>
        <v/>
      </c>
      <c r="E125" s="15" t="str">
        <f aca="false">IF($C125="","",IFERROR(INDEX(예비품목록!$D$3:$D$202,MATCH($C125,예비품목록!$A$3:$A$202,0)),""))</f>
        <v/>
      </c>
      <c r="F125" s="11"/>
      <c r="G125" s="9"/>
      <c r="H125" s="9"/>
      <c r="I125" s="9"/>
      <c r="J125" s="23" t="str">
        <f aca="false">IF(OR($C125="",$F125=""),"",IF($B125="입고",$F125,IF($B125="출고",-$F125,$F125)))</f>
        <v/>
      </c>
      <c r="K125" s="24" t="str">
        <f aca="false">IF($C125="","",IFERROR(INDEX(예비품목록!$E$3:$E$202,MATCH($C125,예비품목록!$A$3:$A$202,0)),0)+SUMIFS($J$3:$J125,$C$3:$C125,$C125))</f>
        <v/>
      </c>
    </row>
    <row r="126" customFormat="false" ht="15" hidden="false" customHeight="true" outlineLevel="0" collapsed="false">
      <c r="A126" s="12"/>
      <c r="B126" s="9"/>
      <c r="C126" s="9"/>
      <c r="D126" s="15" t="str">
        <f aca="false">IF($C126="","",IFERROR(INDEX(예비품목록!$B$3:$B$202,MATCH($C126,예비품목록!$A$3:$A$202,0)),"미등록품번"))</f>
        <v/>
      </c>
      <c r="E126" s="15" t="str">
        <f aca="false">IF($C126="","",IFERROR(INDEX(예비품목록!$D$3:$D$202,MATCH($C126,예비품목록!$A$3:$A$202,0)),""))</f>
        <v/>
      </c>
      <c r="F126" s="11"/>
      <c r="G126" s="9"/>
      <c r="H126" s="9"/>
      <c r="I126" s="9"/>
      <c r="J126" s="23" t="str">
        <f aca="false">IF(OR($C126="",$F126=""),"",IF($B126="입고",$F126,IF($B126="출고",-$F126,$F126)))</f>
        <v/>
      </c>
      <c r="K126" s="24" t="str">
        <f aca="false">IF($C126="","",IFERROR(INDEX(예비품목록!$E$3:$E$202,MATCH($C126,예비품목록!$A$3:$A$202,0)),0)+SUMIFS($J$3:$J126,$C$3:$C126,$C126))</f>
        <v/>
      </c>
    </row>
    <row r="127" customFormat="false" ht="15" hidden="false" customHeight="true" outlineLevel="0" collapsed="false">
      <c r="A127" s="12"/>
      <c r="B127" s="9"/>
      <c r="C127" s="9"/>
      <c r="D127" s="15" t="str">
        <f aca="false">IF($C127="","",IFERROR(INDEX(예비품목록!$B$3:$B$202,MATCH($C127,예비품목록!$A$3:$A$202,0)),"미등록품번"))</f>
        <v/>
      </c>
      <c r="E127" s="15" t="str">
        <f aca="false">IF($C127="","",IFERROR(INDEX(예비품목록!$D$3:$D$202,MATCH($C127,예비품목록!$A$3:$A$202,0)),""))</f>
        <v/>
      </c>
      <c r="F127" s="11"/>
      <c r="G127" s="9"/>
      <c r="H127" s="9"/>
      <c r="I127" s="9"/>
      <c r="J127" s="23" t="str">
        <f aca="false">IF(OR($C127="",$F127=""),"",IF($B127="입고",$F127,IF($B127="출고",-$F127,$F127)))</f>
        <v/>
      </c>
      <c r="K127" s="24" t="str">
        <f aca="false">IF($C127="","",IFERROR(INDEX(예비품목록!$E$3:$E$202,MATCH($C127,예비품목록!$A$3:$A$202,0)),0)+SUMIFS($J$3:$J127,$C$3:$C127,$C127))</f>
        <v/>
      </c>
    </row>
    <row r="128" customFormat="false" ht="15" hidden="false" customHeight="true" outlineLevel="0" collapsed="false">
      <c r="A128" s="12"/>
      <c r="B128" s="9"/>
      <c r="C128" s="9"/>
      <c r="D128" s="15" t="str">
        <f aca="false">IF($C128="","",IFERROR(INDEX(예비품목록!$B$3:$B$202,MATCH($C128,예비품목록!$A$3:$A$202,0)),"미등록품번"))</f>
        <v/>
      </c>
      <c r="E128" s="15" t="str">
        <f aca="false">IF($C128="","",IFERROR(INDEX(예비품목록!$D$3:$D$202,MATCH($C128,예비품목록!$A$3:$A$202,0)),""))</f>
        <v/>
      </c>
      <c r="F128" s="11"/>
      <c r="G128" s="9"/>
      <c r="H128" s="9"/>
      <c r="I128" s="9"/>
      <c r="J128" s="23" t="str">
        <f aca="false">IF(OR($C128="",$F128=""),"",IF($B128="입고",$F128,IF($B128="출고",-$F128,$F128)))</f>
        <v/>
      </c>
      <c r="K128" s="24" t="str">
        <f aca="false">IF($C128="","",IFERROR(INDEX(예비품목록!$E$3:$E$202,MATCH($C128,예비품목록!$A$3:$A$202,0)),0)+SUMIFS($J$3:$J128,$C$3:$C128,$C128))</f>
        <v/>
      </c>
    </row>
    <row r="129" customFormat="false" ht="15" hidden="false" customHeight="true" outlineLevel="0" collapsed="false">
      <c r="A129" s="12"/>
      <c r="B129" s="9"/>
      <c r="C129" s="9"/>
      <c r="D129" s="15" t="str">
        <f aca="false">IF($C129="","",IFERROR(INDEX(예비품목록!$B$3:$B$202,MATCH($C129,예비품목록!$A$3:$A$202,0)),"미등록품번"))</f>
        <v/>
      </c>
      <c r="E129" s="15" t="str">
        <f aca="false">IF($C129="","",IFERROR(INDEX(예비품목록!$D$3:$D$202,MATCH($C129,예비품목록!$A$3:$A$202,0)),""))</f>
        <v/>
      </c>
      <c r="F129" s="11"/>
      <c r="G129" s="9"/>
      <c r="H129" s="9"/>
      <c r="I129" s="9"/>
      <c r="J129" s="23" t="str">
        <f aca="false">IF(OR($C129="",$F129=""),"",IF($B129="입고",$F129,IF($B129="출고",-$F129,$F129)))</f>
        <v/>
      </c>
      <c r="K129" s="24" t="str">
        <f aca="false">IF($C129="","",IFERROR(INDEX(예비품목록!$E$3:$E$202,MATCH($C129,예비품목록!$A$3:$A$202,0)),0)+SUMIFS($J$3:$J129,$C$3:$C129,$C129))</f>
        <v/>
      </c>
    </row>
    <row r="130" customFormat="false" ht="15" hidden="false" customHeight="true" outlineLevel="0" collapsed="false">
      <c r="A130" s="12"/>
      <c r="B130" s="9"/>
      <c r="C130" s="9"/>
      <c r="D130" s="15" t="str">
        <f aca="false">IF($C130="","",IFERROR(INDEX(예비품목록!$B$3:$B$202,MATCH($C130,예비품목록!$A$3:$A$202,0)),"미등록품번"))</f>
        <v/>
      </c>
      <c r="E130" s="15" t="str">
        <f aca="false">IF($C130="","",IFERROR(INDEX(예비품목록!$D$3:$D$202,MATCH($C130,예비품목록!$A$3:$A$202,0)),""))</f>
        <v/>
      </c>
      <c r="F130" s="11"/>
      <c r="G130" s="9"/>
      <c r="H130" s="9"/>
      <c r="I130" s="9"/>
      <c r="J130" s="23" t="str">
        <f aca="false">IF(OR($C130="",$F130=""),"",IF($B130="입고",$F130,IF($B130="출고",-$F130,$F130)))</f>
        <v/>
      </c>
      <c r="K130" s="24" t="str">
        <f aca="false">IF($C130="","",IFERROR(INDEX(예비품목록!$E$3:$E$202,MATCH($C130,예비품목록!$A$3:$A$202,0)),0)+SUMIFS($J$3:$J130,$C$3:$C130,$C130))</f>
        <v/>
      </c>
    </row>
    <row r="131" customFormat="false" ht="15" hidden="false" customHeight="true" outlineLevel="0" collapsed="false">
      <c r="A131" s="12"/>
      <c r="B131" s="9"/>
      <c r="C131" s="9"/>
      <c r="D131" s="15" t="str">
        <f aca="false">IF($C131="","",IFERROR(INDEX(예비품목록!$B$3:$B$202,MATCH($C131,예비품목록!$A$3:$A$202,0)),"미등록품번"))</f>
        <v/>
      </c>
      <c r="E131" s="15" t="str">
        <f aca="false">IF($C131="","",IFERROR(INDEX(예비품목록!$D$3:$D$202,MATCH($C131,예비품목록!$A$3:$A$202,0)),""))</f>
        <v/>
      </c>
      <c r="F131" s="11"/>
      <c r="G131" s="9"/>
      <c r="H131" s="9"/>
      <c r="I131" s="9"/>
      <c r="J131" s="23" t="str">
        <f aca="false">IF(OR($C131="",$F131=""),"",IF($B131="입고",$F131,IF($B131="출고",-$F131,$F131)))</f>
        <v/>
      </c>
      <c r="K131" s="24" t="str">
        <f aca="false">IF($C131="","",IFERROR(INDEX(예비품목록!$E$3:$E$202,MATCH($C131,예비품목록!$A$3:$A$202,0)),0)+SUMIFS($J$3:$J131,$C$3:$C131,$C131))</f>
        <v/>
      </c>
    </row>
    <row r="132" customFormat="false" ht="15" hidden="false" customHeight="true" outlineLevel="0" collapsed="false">
      <c r="A132" s="12"/>
      <c r="B132" s="9"/>
      <c r="C132" s="9"/>
      <c r="D132" s="15" t="str">
        <f aca="false">IF($C132="","",IFERROR(INDEX(예비품목록!$B$3:$B$202,MATCH($C132,예비품목록!$A$3:$A$202,0)),"미등록품번"))</f>
        <v/>
      </c>
      <c r="E132" s="15" t="str">
        <f aca="false">IF($C132="","",IFERROR(INDEX(예비품목록!$D$3:$D$202,MATCH($C132,예비품목록!$A$3:$A$202,0)),""))</f>
        <v/>
      </c>
      <c r="F132" s="11"/>
      <c r="G132" s="9"/>
      <c r="H132" s="9"/>
      <c r="I132" s="9"/>
      <c r="J132" s="23" t="str">
        <f aca="false">IF(OR($C132="",$F132=""),"",IF($B132="입고",$F132,IF($B132="출고",-$F132,$F132)))</f>
        <v/>
      </c>
      <c r="K132" s="24" t="str">
        <f aca="false">IF($C132="","",IFERROR(INDEX(예비품목록!$E$3:$E$202,MATCH($C132,예비품목록!$A$3:$A$202,0)),0)+SUMIFS($J$3:$J132,$C$3:$C132,$C132))</f>
        <v/>
      </c>
    </row>
    <row r="133" customFormat="false" ht="15" hidden="false" customHeight="true" outlineLevel="0" collapsed="false">
      <c r="A133" s="12"/>
      <c r="B133" s="9"/>
      <c r="C133" s="9"/>
      <c r="D133" s="15" t="str">
        <f aca="false">IF($C133="","",IFERROR(INDEX(예비품목록!$B$3:$B$202,MATCH($C133,예비품목록!$A$3:$A$202,0)),"미등록품번"))</f>
        <v/>
      </c>
      <c r="E133" s="15" t="str">
        <f aca="false">IF($C133="","",IFERROR(INDEX(예비품목록!$D$3:$D$202,MATCH($C133,예비품목록!$A$3:$A$202,0)),""))</f>
        <v/>
      </c>
      <c r="F133" s="11"/>
      <c r="G133" s="9"/>
      <c r="H133" s="9"/>
      <c r="I133" s="9"/>
      <c r="J133" s="23" t="str">
        <f aca="false">IF(OR($C133="",$F133=""),"",IF($B133="입고",$F133,IF($B133="출고",-$F133,$F133)))</f>
        <v/>
      </c>
      <c r="K133" s="24" t="str">
        <f aca="false">IF($C133="","",IFERROR(INDEX(예비품목록!$E$3:$E$202,MATCH($C133,예비품목록!$A$3:$A$202,0)),0)+SUMIFS($J$3:$J133,$C$3:$C133,$C133))</f>
        <v/>
      </c>
    </row>
    <row r="134" customFormat="false" ht="15" hidden="false" customHeight="true" outlineLevel="0" collapsed="false">
      <c r="A134" s="12"/>
      <c r="B134" s="9"/>
      <c r="C134" s="9"/>
      <c r="D134" s="15" t="str">
        <f aca="false">IF($C134="","",IFERROR(INDEX(예비품목록!$B$3:$B$202,MATCH($C134,예비품목록!$A$3:$A$202,0)),"미등록품번"))</f>
        <v/>
      </c>
      <c r="E134" s="15" t="str">
        <f aca="false">IF($C134="","",IFERROR(INDEX(예비품목록!$D$3:$D$202,MATCH($C134,예비품목록!$A$3:$A$202,0)),""))</f>
        <v/>
      </c>
      <c r="F134" s="11"/>
      <c r="G134" s="9"/>
      <c r="H134" s="9"/>
      <c r="I134" s="9"/>
      <c r="J134" s="23" t="str">
        <f aca="false">IF(OR($C134="",$F134=""),"",IF($B134="입고",$F134,IF($B134="출고",-$F134,$F134)))</f>
        <v/>
      </c>
      <c r="K134" s="24" t="str">
        <f aca="false">IF($C134="","",IFERROR(INDEX(예비품목록!$E$3:$E$202,MATCH($C134,예비품목록!$A$3:$A$202,0)),0)+SUMIFS($J$3:$J134,$C$3:$C134,$C134))</f>
        <v/>
      </c>
    </row>
    <row r="135" customFormat="false" ht="15" hidden="false" customHeight="true" outlineLevel="0" collapsed="false">
      <c r="A135" s="12"/>
      <c r="B135" s="9"/>
      <c r="C135" s="9"/>
      <c r="D135" s="15" t="str">
        <f aca="false">IF($C135="","",IFERROR(INDEX(예비품목록!$B$3:$B$202,MATCH($C135,예비품목록!$A$3:$A$202,0)),"미등록품번"))</f>
        <v/>
      </c>
      <c r="E135" s="15" t="str">
        <f aca="false">IF($C135="","",IFERROR(INDEX(예비품목록!$D$3:$D$202,MATCH($C135,예비품목록!$A$3:$A$202,0)),""))</f>
        <v/>
      </c>
      <c r="F135" s="11"/>
      <c r="G135" s="9"/>
      <c r="H135" s="9"/>
      <c r="I135" s="9"/>
      <c r="J135" s="23" t="str">
        <f aca="false">IF(OR($C135="",$F135=""),"",IF($B135="입고",$F135,IF($B135="출고",-$F135,$F135)))</f>
        <v/>
      </c>
      <c r="K135" s="24" t="str">
        <f aca="false">IF($C135="","",IFERROR(INDEX(예비품목록!$E$3:$E$202,MATCH($C135,예비품목록!$A$3:$A$202,0)),0)+SUMIFS($J$3:$J135,$C$3:$C135,$C135))</f>
        <v/>
      </c>
    </row>
    <row r="136" customFormat="false" ht="15" hidden="false" customHeight="true" outlineLevel="0" collapsed="false">
      <c r="A136" s="12"/>
      <c r="B136" s="9"/>
      <c r="C136" s="9"/>
      <c r="D136" s="15" t="str">
        <f aca="false">IF($C136="","",IFERROR(INDEX(예비품목록!$B$3:$B$202,MATCH($C136,예비품목록!$A$3:$A$202,0)),"미등록품번"))</f>
        <v/>
      </c>
      <c r="E136" s="15" t="str">
        <f aca="false">IF($C136="","",IFERROR(INDEX(예비품목록!$D$3:$D$202,MATCH($C136,예비품목록!$A$3:$A$202,0)),""))</f>
        <v/>
      </c>
      <c r="F136" s="11"/>
      <c r="G136" s="9"/>
      <c r="H136" s="9"/>
      <c r="I136" s="9"/>
      <c r="J136" s="23" t="str">
        <f aca="false">IF(OR($C136="",$F136=""),"",IF($B136="입고",$F136,IF($B136="출고",-$F136,$F136)))</f>
        <v/>
      </c>
      <c r="K136" s="24" t="str">
        <f aca="false">IF($C136="","",IFERROR(INDEX(예비품목록!$E$3:$E$202,MATCH($C136,예비품목록!$A$3:$A$202,0)),0)+SUMIFS($J$3:$J136,$C$3:$C136,$C136))</f>
        <v/>
      </c>
    </row>
    <row r="137" customFormat="false" ht="15" hidden="false" customHeight="true" outlineLevel="0" collapsed="false">
      <c r="A137" s="12"/>
      <c r="B137" s="9"/>
      <c r="C137" s="9"/>
      <c r="D137" s="15" t="str">
        <f aca="false">IF($C137="","",IFERROR(INDEX(예비품목록!$B$3:$B$202,MATCH($C137,예비품목록!$A$3:$A$202,0)),"미등록품번"))</f>
        <v/>
      </c>
      <c r="E137" s="15" t="str">
        <f aca="false">IF($C137="","",IFERROR(INDEX(예비품목록!$D$3:$D$202,MATCH($C137,예비품목록!$A$3:$A$202,0)),""))</f>
        <v/>
      </c>
      <c r="F137" s="11"/>
      <c r="G137" s="9"/>
      <c r="H137" s="9"/>
      <c r="I137" s="9"/>
      <c r="J137" s="23" t="str">
        <f aca="false">IF(OR($C137="",$F137=""),"",IF($B137="입고",$F137,IF($B137="출고",-$F137,$F137)))</f>
        <v/>
      </c>
      <c r="K137" s="24" t="str">
        <f aca="false">IF($C137="","",IFERROR(INDEX(예비품목록!$E$3:$E$202,MATCH($C137,예비품목록!$A$3:$A$202,0)),0)+SUMIFS($J$3:$J137,$C$3:$C137,$C137))</f>
        <v/>
      </c>
    </row>
    <row r="138" customFormat="false" ht="15" hidden="false" customHeight="true" outlineLevel="0" collapsed="false">
      <c r="A138" s="12"/>
      <c r="B138" s="9"/>
      <c r="C138" s="9"/>
      <c r="D138" s="15" t="str">
        <f aca="false">IF($C138="","",IFERROR(INDEX(예비품목록!$B$3:$B$202,MATCH($C138,예비품목록!$A$3:$A$202,0)),"미등록품번"))</f>
        <v/>
      </c>
      <c r="E138" s="15" t="str">
        <f aca="false">IF($C138="","",IFERROR(INDEX(예비품목록!$D$3:$D$202,MATCH($C138,예비품목록!$A$3:$A$202,0)),""))</f>
        <v/>
      </c>
      <c r="F138" s="11"/>
      <c r="G138" s="9"/>
      <c r="H138" s="9"/>
      <c r="I138" s="9"/>
      <c r="J138" s="23" t="str">
        <f aca="false">IF(OR($C138="",$F138=""),"",IF($B138="입고",$F138,IF($B138="출고",-$F138,$F138)))</f>
        <v/>
      </c>
      <c r="K138" s="24" t="str">
        <f aca="false">IF($C138="","",IFERROR(INDEX(예비품목록!$E$3:$E$202,MATCH($C138,예비품목록!$A$3:$A$202,0)),0)+SUMIFS($J$3:$J138,$C$3:$C138,$C138))</f>
        <v/>
      </c>
    </row>
    <row r="139" customFormat="false" ht="15" hidden="false" customHeight="true" outlineLevel="0" collapsed="false">
      <c r="A139" s="12"/>
      <c r="B139" s="9"/>
      <c r="C139" s="9"/>
      <c r="D139" s="15" t="str">
        <f aca="false">IF($C139="","",IFERROR(INDEX(예비품목록!$B$3:$B$202,MATCH($C139,예비품목록!$A$3:$A$202,0)),"미등록품번"))</f>
        <v/>
      </c>
      <c r="E139" s="15" t="str">
        <f aca="false">IF($C139="","",IFERROR(INDEX(예비품목록!$D$3:$D$202,MATCH($C139,예비품목록!$A$3:$A$202,0)),""))</f>
        <v/>
      </c>
      <c r="F139" s="11"/>
      <c r="G139" s="9"/>
      <c r="H139" s="9"/>
      <c r="I139" s="9"/>
      <c r="J139" s="23" t="str">
        <f aca="false">IF(OR($C139="",$F139=""),"",IF($B139="입고",$F139,IF($B139="출고",-$F139,$F139)))</f>
        <v/>
      </c>
      <c r="K139" s="24" t="str">
        <f aca="false">IF($C139="","",IFERROR(INDEX(예비품목록!$E$3:$E$202,MATCH($C139,예비품목록!$A$3:$A$202,0)),0)+SUMIFS($J$3:$J139,$C$3:$C139,$C139))</f>
        <v/>
      </c>
    </row>
    <row r="140" customFormat="false" ht="15" hidden="false" customHeight="true" outlineLevel="0" collapsed="false">
      <c r="A140" s="12"/>
      <c r="B140" s="9"/>
      <c r="C140" s="9"/>
      <c r="D140" s="15" t="str">
        <f aca="false">IF($C140="","",IFERROR(INDEX(예비품목록!$B$3:$B$202,MATCH($C140,예비품목록!$A$3:$A$202,0)),"미등록품번"))</f>
        <v/>
      </c>
      <c r="E140" s="15" t="str">
        <f aca="false">IF($C140="","",IFERROR(INDEX(예비품목록!$D$3:$D$202,MATCH($C140,예비품목록!$A$3:$A$202,0)),""))</f>
        <v/>
      </c>
      <c r="F140" s="11"/>
      <c r="G140" s="9"/>
      <c r="H140" s="9"/>
      <c r="I140" s="9"/>
      <c r="J140" s="23" t="str">
        <f aca="false">IF(OR($C140="",$F140=""),"",IF($B140="입고",$F140,IF($B140="출고",-$F140,$F140)))</f>
        <v/>
      </c>
      <c r="K140" s="24" t="str">
        <f aca="false">IF($C140="","",IFERROR(INDEX(예비품목록!$E$3:$E$202,MATCH($C140,예비품목록!$A$3:$A$202,0)),0)+SUMIFS($J$3:$J140,$C$3:$C140,$C140))</f>
        <v/>
      </c>
    </row>
    <row r="141" customFormat="false" ht="15" hidden="false" customHeight="true" outlineLevel="0" collapsed="false">
      <c r="A141" s="12"/>
      <c r="B141" s="9"/>
      <c r="C141" s="9"/>
      <c r="D141" s="15" t="str">
        <f aca="false">IF($C141="","",IFERROR(INDEX(예비품목록!$B$3:$B$202,MATCH($C141,예비품목록!$A$3:$A$202,0)),"미등록품번"))</f>
        <v/>
      </c>
      <c r="E141" s="15" t="str">
        <f aca="false">IF($C141="","",IFERROR(INDEX(예비품목록!$D$3:$D$202,MATCH($C141,예비품목록!$A$3:$A$202,0)),""))</f>
        <v/>
      </c>
      <c r="F141" s="11"/>
      <c r="G141" s="9"/>
      <c r="H141" s="9"/>
      <c r="I141" s="9"/>
      <c r="J141" s="23" t="str">
        <f aca="false">IF(OR($C141="",$F141=""),"",IF($B141="입고",$F141,IF($B141="출고",-$F141,$F141)))</f>
        <v/>
      </c>
      <c r="K141" s="24" t="str">
        <f aca="false">IF($C141="","",IFERROR(INDEX(예비품목록!$E$3:$E$202,MATCH($C141,예비품목록!$A$3:$A$202,0)),0)+SUMIFS($J$3:$J141,$C$3:$C141,$C141))</f>
        <v/>
      </c>
    </row>
    <row r="142" customFormat="false" ht="15" hidden="false" customHeight="true" outlineLevel="0" collapsed="false">
      <c r="A142" s="12"/>
      <c r="B142" s="9"/>
      <c r="C142" s="9"/>
      <c r="D142" s="15" t="str">
        <f aca="false">IF($C142="","",IFERROR(INDEX(예비품목록!$B$3:$B$202,MATCH($C142,예비품목록!$A$3:$A$202,0)),"미등록품번"))</f>
        <v/>
      </c>
      <c r="E142" s="15" t="str">
        <f aca="false">IF($C142="","",IFERROR(INDEX(예비품목록!$D$3:$D$202,MATCH($C142,예비품목록!$A$3:$A$202,0)),""))</f>
        <v/>
      </c>
      <c r="F142" s="11"/>
      <c r="G142" s="9"/>
      <c r="H142" s="9"/>
      <c r="I142" s="9"/>
      <c r="J142" s="23" t="str">
        <f aca="false">IF(OR($C142="",$F142=""),"",IF($B142="입고",$F142,IF($B142="출고",-$F142,$F142)))</f>
        <v/>
      </c>
      <c r="K142" s="24" t="str">
        <f aca="false">IF($C142="","",IFERROR(INDEX(예비품목록!$E$3:$E$202,MATCH($C142,예비품목록!$A$3:$A$202,0)),0)+SUMIFS($J$3:$J142,$C$3:$C142,$C142))</f>
        <v/>
      </c>
    </row>
    <row r="143" customFormat="false" ht="15" hidden="false" customHeight="true" outlineLevel="0" collapsed="false">
      <c r="A143" s="12"/>
      <c r="B143" s="9"/>
      <c r="C143" s="9"/>
      <c r="D143" s="15" t="str">
        <f aca="false">IF($C143="","",IFERROR(INDEX(예비품목록!$B$3:$B$202,MATCH($C143,예비품목록!$A$3:$A$202,0)),"미등록품번"))</f>
        <v/>
      </c>
      <c r="E143" s="15" t="str">
        <f aca="false">IF($C143="","",IFERROR(INDEX(예비품목록!$D$3:$D$202,MATCH($C143,예비품목록!$A$3:$A$202,0)),""))</f>
        <v/>
      </c>
      <c r="F143" s="11"/>
      <c r="G143" s="9"/>
      <c r="H143" s="9"/>
      <c r="I143" s="9"/>
      <c r="J143" s="23" t="str">
        <f aca="false">IF(OR($C143="",$F143=""),"",IF($B143="입고",$F143,IF($B143="출고",-$F143,$F143)))</f>
        <v/>
      </c>
      <c r="K143" s="24" t="str">
        <f aca="false">IF($C143="","",IFERROR(INDEX(예비품목록!$E$3:$E$202,MATCH($C143,예비품목록!$A$3:$A$202,0)),0)+SUMIFS($J$3:$J143,$C$3:$C143,$C143))</f>
        <v/>
      </c>
    </row>
    <row r="144" customFormat="false" ht="15" hidden="false" customHeight="true" outlineLevel="0" collapsed="false">
      <c r="A144" s="12"/>
      <c r="B144" s="9"/>
      <c r="C144" s="9"/>
      <c r="D144" s="15" t="str">
        <f aca="false">IF($C144="","",IFERROR(INDEX(예비품목록!$B$3:$B$202,MATCH($C144,예비품목록!$A$3:$A$202,0)),"미등록품번"))</f>
        <v/>
      </c>
      <c r="E144" s="15" t="str">
        <f aca="false">IF($C144="","",IFERROR(INDEX(예비품목록!$D$3:$D$202,MATCH($C144,예비품목록!$A$3:$A$202,0)),""))</f>
        <v/>
      </c>
      <c r="F144" s="11"/>
      <c r="G144" s="9"/>
      <c r="H144" s="9"/>
      <c r="I144" s="9"/>
      <c r="J144" s="23" t="str">
        <f aca="false">IF(OR($C144="",$F144=""),"",IF($B144="입고",$F144,IF($B144="출고",-$F144,$F144)))</f>
        <v/>
      </c>
      <c r="K144" s="24" t="str">
        <f aca="false">IF($C144="","",IFERROR(INDEX(예비품목록!$E$3:$E$202,MATCH($C144,예비품목록!$A$3:$A$202,0)),0)+SUMIFS($J$3:$J144,$C$3:$C144,$C144))</f>
        <v/>
      </c>
    </row>
    <row r="145" customFormat="false" ht="15" hidden="false" customHeight="true" outlineLevel="0" collapsed="false">
      <c r="A145" s="12"/>
      <c r="B145" s="9"/>
      <c r="C145" s="9"/>
      <c r="D145" s="15" t="str">
        <f aca="false">IF($C145="","",IFERROR(INDEX(예비품목록!$B$3:$B$202,MATCH($C145,예비품목록!$A$3:$A$202,0)),"미등록품번"))</f>
        <v/>
      </c>
      <c r="E145" s="15" t="str">
        <f aca="false">IF($C145="","",IFERROR(INDEX(예비품목록!$D$3:$D$202,MATCH($C145,예비품목록!$A$3:$A$202,0)),""))</f>
        <v/>
      </c>
      <c r="F145" s="11"/>
      <c r="G145" s="9"/>
      <c r="H145" s="9"/>
      <c r="I145" s="9"/>
      <c r="J145" s="23" t="str">
        <f aca="false">IF(OR($C145="",$F145=""),"",IF($B145="입고",$F145,IF($B145="출고",-$F145,$F145)))</f>
        <v/>
      </c>
      <c r="K145" s="24" t="str">
        <f aca="false">IF($C145="","",IFERROR(INDEX(예비품목록!$E$3:$E$202,MATCH($C145,예비품목록!$A$3:$A$202,0)),0)+SUMIFS($J$3:$J145,$C$3:$C145,$C145))</f>
        <v/>
      </c>
    </row>
    <row r="146" customFormat="false" ht="15" hidden="false" customHeight="true" outlineLevel="0" collapsed="false">
      <c r="A146" s="12"/>
      <c r="B146" s="9"/>
      <c r="C146" s="9"/>
      <c r="D146" s="15" t="str">
        <f aca="false">IF($C146="","",IFERROR(INDEX(예비품목록!$B$3:$B$202,MATCH($C146,예비품목록!$A$3:$A$202,0)),"미등록품번"))</f>
        <v/>
      </c>
      <c r="E146" s="15" t="str">
        <f aca="false">IF($C146="","",IFERROR(INDEX(예비품목록!$D$3:$D$202,MATCH($C146,예비품목록!$A$3:$A$202,0)),""))</f>
        <v/>
      </c>
      <c r="F146" s="11"/>
      <c r="G146" s="9"/>
      <c r="H146" s="9"/>
      <c r="I146" s="9"/>
      <c r="J146" s="23" t="str">
        <f aca="false">IF(OR($C146="",$F146=""),"",IF($B146="입고",$F146,IF($B146="출고",-$F146,$F146)))</f>
        <v/>
      </c>
      <c r="K146" s="24" t="str">
        <f aca="false">IF($C146="","",IFERROR(INDEX(예비품목록!$E$3:$E$202,MATCH($C146,예비품목록!$A$3:$A$202,0)),0)+SUMIFS($J$3:$J146,$C$3:$C146,$C146))</f>
        <v/>
      </c>
    </row>
    <row r="147" customFormat="false" ht="15" hidden="false" customHeight="true" outlineLevel="0" collapsed="false">
      <c r="A147" s="12"/>
      <c r="B147" s="9"/>
      <c r="C147" s="9"/>
      <c r="D147" s="15" t="str">
        <f aca="false">IF($C147="","",IFERROR(INDEX(예비품목록!$B$3:$B$202,MATCH($C147,예비품목록!$A$3:$A$202,0)),"미등록품번"))</f>
        <v/>
      </c>
      <c r="E147" s="15" t="str">
        <f aca="false">IF($C147="","",IFERROR(INDEX(예비품목록!$D$3:$D$202,MATCH($C147,예비품목록!$A$3:$A$202,0)),""))</f>
        <v/>
      </c>
      <c r="F147" s="11"/>
      <c r="G147" s="9"/>
      <c r="H147" s="9"/>
      <c r="I147" s="9"/>
      <c r="J147" s="23" t="str">
        <f aca="false">IF(OR($C147="",$F147=""),"",IF($B147="입고",$F147,IF($B147="출고",-$F147,$F147)))</f>
        <v/>
      </c>
      <c r="K147" s="24" t="str">
        <f aca="false">IF($C147="","",IFERROR(INDEX(예비품목록!$E$3:$E$202,MATCH($C147,예비품목록!$A$3:$A$202,0)),0)+SUMIFS($J$3:$J147,$C$3:$C147,$C147))</f>
        <v/>
      </c>
    </row>
    <row r="148" customFormat="false" ht="15" hidden="false" customHeight="true" outlineLevel="0" collapsed="false">
      <c r="A148" s="12"/>
      <c r="B148" s="9"/>
      <c r="C148" s="9"/>
      <c r="D148" s="15" t="str">
        <f aca="false">IF($C148="","",IFERROR(INDEX(예비품목록!$B$3:$B$202,MATCH($C148,예비품목록!$A$3:$A$202,0)),"미등록품번"))</f>
        <v/>
      </c>
      <c r="E148" s="15" t="str">
        <f aca="false">IF($C148="","",IFERROR(INDEX(예비품목록!$D$3:$D$202,MATCH($C148,예비품목록!$A$3:$A$202,0)),""))</f>
        <v/>
      </c>
      <c r="F148" s="11"/>
      <c r="G148" s="9"/>
      <c r="H148" s="9"/>
      <c r="I148" s="9"/>
      <c r="J148" s="23" t="str">
        <f aca="false">IF(OR($C148="",$F148=""),"",IF($B148="입고",$F148,IF($B148="출고",-$F148,$F148)))</f>
        <v/>
      </c>
      <c r="K148" s="24" t="str">
        <f aca="false">IF($C148="","",IFERROR(INDEX(예비품목록!$E$3:$E$202,MATCH($C148,예비품목록!$A$3:$A$202,0)),0)+SUMIFS($J$3:$J148,$C$3:$C148,$C148))</f>
        <v/>
      </c>
    </row>
    <row r="149" customFormat="false" ht="15" hidden="false" customHeight="true" outlineLevel="0" collapsed="false">
      <c r="A149" s="12"/>
      <c r="B149" s="9"/>
      <c r="C149" s="9"/>
      <c r="D149" s="15" t="str">
        <f aca="false">IF($C149="","",IFERROR(INDEX(예비품목록!$B$3:$B$202,MATCH($C149,예비품목록!$A$3:$A$202,0)),"미등록품번"))</f>
        <v/>
      </c>
      <c r="E149" s="15" t="str">
        <f aca="false">IF($C149="","",IFERROR(INDEX(예비품목록!$D$3:$D$202,MATCH($C149,예비품목록!$A$3:$A$202,0)),""))</f>
        <v/>
      </c>
      <c r="F149" s="11"/>
      <c r="G149" s="9"/>
      <c r="H149" s="9"/>
      <c r="I149" s="9"/>
      <c r="J149" s="23" t="str">
        <f aca="false">IF(OR($C149="",$F149=""),"",IF($B149="입고",$F149,IF($B149="출고",-$F149,$F149)))</f>
        <v/>
      </c>
      <c r="K149" s="24" t="str">
        <f aca="false">IF($C149="","",IFERROR(INDEX(예비품목록!$E$3:$E$202,MATCH($C149,예비품목록!$A$3:$A$202,0)),0)+SUMIFS($J$3:$J149,$C$3:$C149,$C149))</f>
        <v/>
      </c>
    </row>
    <row r="150" customFormat="false" ht="15" hidden="false" customHeight="true" outlineLevel="0" collapsed="false">
      <c r="A150" s="12"/>
      <c r="B150" s="9"/>
      <c r="C150" s="9"/>
      <c r="D150" s="15" t="str">
        <f aca="false">IF($C150="","",IFERROR(INDEX(예비품목록!$B$3:$B$202,MATCH($C150,예비품목록!$A$3:$A$202,0)),"미등록품번"))</f>
        <v/>
      </c>
      <c r="E150" s="15" t="str">
        <f aca="false">IF($C150="","",IFERROR(INDEX(예비품목록!$D$3:$D$202,MATCH($C150,예비품목록!$A$3:$A$202,0)),""))</f>
        <v/>
      </c>
      <c r="F150" s="11"/>
      <c r="G150" s="9"/>
      <c r="H150" s="9"/>
      <c r="I150" s="9"/>
      <c r="J150" s="23" t="str">
        <f aca="false">IF(OR($C150="",$F150=""),"",IF($B150="입고",$F150,IF($B150="출고",-$F150,$F150)))</f>
        <v/>
      </c>
      <c r="K150" s="24" t="str">
        <f aca="false">IF($C150="","",IFERROR(INDEX(예비품목록!$E$3:$E$202,MATCH($C150,예비품목록!$A$3:$A$202,0)),0)+SUMIFS($J$3:$J150,$C$3:$C150,$C150))</f>
        <v/>
      </c>
    </row>
    <row r="151" customFormat="false" ht="15" hidden="false" customHeight="true" outlineLevel="0" collapsed="false">
      <c r="A151" s="12"/>
      <c r="B151" s="9"/>
      <c r="C151" s="9"/>
      <c r="D151" s="15" t="str">
        <f aca="false">IF($C151="","",IFERROR(INDEX(예비품목록!$B$3:$B$202,MATCH($C151,예비품목록!$A$3:$A$202,0)),"미등록품번"))</f>
        <v/>
      </c>
      <c r="E151" s="15" t="str">
        <f aca="false">IF($C151="","",IFERROR(INDEX(예비품목록!$D$3:$D$202,MATCH($C151,예비품목록!$A$3:$A$202,0)),""))</f>
        <v/>
      </c>
      <c r="F151" s="11"/>
      <c r="G151" s="9"/>
      <c r="H151" s="9"/>
      <c r="I151" s="9"/>
      <c r="J151" s="23" t="str">
        <f aca="false">IF(OR($C151="",$F151=""),"",IF($B151="입고",$F151,IF($B151="출고",-$F151,$F151)))</f>
        <v/>
      </c>
      <c r="K151" s="24" t="str">
        <f aca="false">IF($C151="","",IFERROR(INDEX(예비품목록!$E$3:$E$202,MATCH($C151,예비품목록!$A$3:$A$202,0)),0)+SUMIFS($J$3:$J151,$C$3:$C151,$C151))</f>
        <v/>
      </c>
    </row>
    <row r="152" customFormat="false" ht="15" hidden="false" customHeight="true" outlineLevel="0" collapsed="false">
      <c r="A152" s="12"/>
      <c r="B152" s="9"/>
      <c r="C152" s="9"/>
      <c r="D152" s="15" t="str">
        <f aca="false">IF($C152="","",IFERROR(INDEX(예비품목록!$B$3:$B$202,MATCH($C152,예비품목록!$A$3:$A$202,0)),"미등록품번"))</f>
        <v/>
      </c>
      <c r="E152" s="15" t="str">
        <f aca="false">IF($C152="","",IFERROR(INDEX(예비품목록!$D$3:$D$202,MATCH($C152,예비품목록!$A$3:$A$202,0)),""))</f>
        <v/>
      </c>
      <c r="F152" s="11"/>
      <c r="G152" s="9"/>
      <c r="H152" s="9"/>
      <c r="I152" s="9"/>
      <c r="J152" s="23" t="str">
        <f aca="false">IF(OR($C152="",$F152=""),"",IF($B152="입고",$F152,IF($B152="출고",-$F152,$F152)))</f>
        <v/>
      </c>
      <c r="K152" s="24" t="str">
        <f aca="false">IF($C152="","",IFERROR(INDEX(예비품목록!$E$3:$E$202,MATCH($C152,예비품목록!$A$3:$A$202,0)),0)+SUMIFS($J$3:$J152,$C$3:$C152,$C152))</f>
        <v/>
      </c>
    </row>
    <row r="153" customFormat="false" ht="15" hidden="false" customHeight="true" outlineLevel="0" collapsed="false">
      <c r="A153" s="12"/>
      <c r="B153" s="9"/>
      <c r="C153" s="9"/>
      <c r="D153" s="15" t="str">
        <f aca="false">IF($C153="","",IFERROR(INDEX(예비품목록!$B$3:$B$202,MATCH($C153,예비품목록!$A$3:$A$202,0)),"미등록품번"))</f>
        <v/>
      </c>
      <c r="E153" s="15" t="str">
        <f aca="false">IF($C153="","",IFERROR(INDEX(예비품목록!$D$3:$D$202,MATCH($C153,예비품목록!$A$3:$A$202,0)),""))</f>
        <v/>
      </c>
      <c r="F153" s="11"/>
      <c r="G153" s="9"/>
      <c r="H153" s="9"/>
      <c r="I153" s="9"/>
      <c r="J153" s="23" t="str">
        <f aca="false">IF(OR($C153="",$F153=""),"",IF($B153="입고",$F153,IF($B153="출고",-$F153,$F153)))</f>
        <v/>
      </c>
      <c r="K153" s="24" t="str">
        <f aca="false">IF($C153="","",IFERROR(INDEX(예비품목록!$E$3:$E$202,MATCH($C153,예비품목록!$A$3:$A$202,0)),0)+SUMIFS($J$3:$J153,$C$3:$C153,$C153))</f>
        <v/>
      </c>
    </row>
    <row r="154" customFormat="false" ht="15" hidden="false" customHeight="true" outlineLevel="0" collapsed="false">
      <c r="A154" s="12"/>
      <c r="B154" s="9"/>
      <c r="C154" s="9"/>
      <c r="D154" s="15" t="str">
        <f aca="false">IF($C154="","",IFERROR(INDEX(예비품목록!$B$3:$B$202,MATCH($C154,예비품목록!$A$3:$A$202,0)),"미등록품번"))</f>
        <v/>
      </c>
      <c r="E154" s="15" t="str">
        <f aca="false">IF($C154="","",IFERROR(INDEX(예비품목록!$D$3:$D$202,MATCH($C154,예비품목록!$A$3:$A$202,0)),""))</f>
        <v/>
      </c>
      <c r="F154" s="11"/>
      <c r="G154" s="9"/>
      <c r="H154" s="9"/>
      <c r="I154" s="9"/>
      <c r="J154" s="23" t="str">
        <f aca="false">IF(OR($C154="",$F154=""),"",IF($B154="입고",$F154,IF($B154="출고",-$F154,$F154)))</f>
        <v/>
      </c>
      <c r="K154" s="24" t="str">
        <f aca="false">IF($C154="","",IFERROR(INDEX(예비품목록!$E$3:$E$202,MATCH($C154,예비품목록!$A$3:$A$202,0)),0)+SUMIFS($J$3:$J154,$C$3:$C154,$C154))</f>
        <v/>
      </c>
    </row>
    <row r="155" customFormat="false" ht="15" hidden="false" customHeight="true" outlineLevel="0" collapsed="false">
      <c r="A155" s="12"/>
      <c r="B155" s="9"/>
      <c r="C155" s="9"/>
      <c r="D155" s="15" t="str">
        <f aca="false">IF($C155="","",IFERROR(INDEX(예비품목록!$B$3:$B$202,MATCH($C155,예비품목록!$A$3:$A$202,0)),"미등록품번"))</f>
        <v/>
      </c>
      <c r="E155" s="15" t="str">
        <f aca="false">IF($C155="","",IFERROR(INDEX(예비품목록!$D$3:$D$202,MATCH($C155,예비품목록!$A$3:$A$202,0)),""))</f>
        <v/>
      </c>
      <c r="F155" s="11"/>
      <c r="G155" s="9"/>
      <c r="H155" s="9"/>
      <c r="I155" s="9"/>
      <c r="J155" s="23" t="str">
        <f aca="false">IF(OR($C155="",$F155=""),"",IF($B155="입고",$F155,IF($B155="출고",-$F155,$F155)))</f>
        <v/>
      </c>
      <c r="K155" s="24" t="str">
        <f aca="false">IF($C155="","",IFERROR(INDEX(예비품목록!$E$3:$E$202,MATCH($C155,예비품목록!$A$3:$A$202,0)),0)+SUMIFS($J$3:$J155,$C$3:$C155,$C155))</f>
        <v/>
      </c>
    </row>
    <row r="156" customFormat="false" ht="15" hidden="false" customHeight="true" outlineLevel="0" collapsed="false">
      <c r="A156" s="12"/>
      <c r="B156" s="9"/>
      <c r="C156" s="9"/>
      <c r="D156" s="15" t="str">
        <f aca="false">IF($C156="","",IFERROR(INDEX(예비품목록!$B$3:$B$202,MATCH($C156,예비품목록!$A$3:$A$202,0)),"미등록품번"))</f>
        <v/>
      </c>
      <c r="E156" s="15" t="str">
        <f aca="false">IF($C156="","",IFERROR(INDEX(예비품목록!$D$3:$D$202,MATCH($C156,예비품목록!$A$3:$A$202,0)),""))</f>
        <v/>
      </c>
      <c r="F156" s="11"/>
      <c r="G156" s="9"/>
      <c r="H156" s="9"/>
      <c r="I156" s="9"/>
      <c r="J156" s="23" t="str">
        <f aca="false">IF(OR($C156="",$F156=""),"",IF($B156="입고",$F156,IF($B156="출고",-$F156,$F156)))</f>
        <v/>
      </c>
      <c r="K156" s="24" t="str">
        <f aca="false">IF($C156="","",IFERROR(INDEX(예비품목록!$E$3:$E$202,MATCH($C156,예비품목록!$A$3:$A$202,0)),0)+SUMIFS($J$3:$J156,$C$3:$C156,$C156))</f>
        <v/>
      </c>
    </row>
    <row r="157" customFormat="false" ht="15" hidden="false" customHeight="true" outlineLevel="0" collapsed="false">
      <c r="A157" s="12"/>
      <c r="B157" s="9"/>
      <c r="C157" s="9"/>
      <c r="D157" s="15" t="str">
        <f aca="false">IF($C157="","",IFERROR(INDEX(예비품목록!$B$3:$B$202,MATCH($C157,예비품목록!$A$3:$A$202,0)),"미등록품번"))</f>
        <v/>
      </c>
      <c r="E157" s="15" t="str">
        <f aca="false">IF($C157="","",IFERROR(INDEX(예비품목록!$D$3:$D$202,MATCH($C157,예비품목록!$A$3:$A$202,0)),""))</f>
        <v/>
      </c>
      <c r="F157" s="11"/>
      <c r="G157" s="9"/>
      <c r="H157" s="9"/>
      <c r="I157" s="9"/>
      <c r="J157" s="23" t="str">
        <f aca="false">IF(OR($C157="",$F157=""),"",IF($B157="입고",$F157,IF($B157="출고",-$F157,$F157)))</f>
        <v/>
      </c>
      <c r="K157" s="24" t="str">
        <f aca="false">IF($C157="","",IFERROR(INDEX(예비품목록!$E$3:$E$202,MATCH($C157,예비품목록!$A$3:$A$202,0)),0)+SUMIFS($J$3:$J157,$C$3:$C157,$C157))</f>
        <v/>
      </c>
    </row>
    <row r="158" customFormat="false" ht="15" hidden="false" customHeight="true" outlineLevel="0" collapsed="false">
      <c r="A158" s="12"/>
      <c r="B158" s="9"/>
      <c r="C158" s="9"/>
      <c r="D158" s="15" t="str">
        <f aca="false">IF($C158="","",IFERROR(INDEX(예비품목록!$B$3:$B$202,MATCH($C158,예비품목록!$A$3:$A$202,0)),"미등록품번"))</f>
        <v/>
      </c>
      <c r="E158" s="15" t="str">
        <f aca="false">IF($C158="","",IFERROR(INDEX(예비품목록!$D$3:$D$202,MATCH($C158,예비품목록!$A$3:$A$202,0)),""))</f>
        <v/>
      </c>
      <c r="F158" s="11"/>
      <c r="G158" s="9"/>
      <c r="H158" s="9"/>
      <c r="I158" s="9"/>
      <c r="J158" s="23" t="str">
        <f aca="false">IF(OR($C158="",$F158=""),"",IF($B158="입고",$F158,IF($B158="출고",-$F158,$F158)))</f>
        <v/>
      </c>
      <c r="K158" s="24" t="str">
        <f aca="false">IF($C158="","",IFERROR(INDEX(예비품목록!$E$3:$E$202,MATCH($C158,예비품목록!$A$3:$A$202,0)),0)+SUMIFS($J$3:$J158,$C$3:$C158,$C158))</f>
        <v/>
      </c>
    </row>
    <row r="159" customFormat="false" ht="15" hidden="false" customHeight="true" outlineLevel="0" collapsed="false">
      <c r="A159" s="12"/>
      <c r="B159" s="9"/>
      <c r="C159" s="9"/>
      <c r="D159" s="15" t="str">
        <f aca="false">IF($C159="","",IFERROR(INDEX(예비품목록!$B$3:$B$202,MATCH($C159,예비품목록!$A$3:$A$202,0)),"미등록품번"))</f>
        <v/>
      </c>
      <c r="E159" s="15" t="str">
        <f aca="false">IF($C159="","",IFERROR(INDEX(예비품목록!$D$3:$D$202,MATCH($C159,예비품목록!$A$3:$A$202,0)),""))</f>
        <v/>
      </c>
      <c r="F159" s="11"/>
      <c r="G159" s="9"/>
      <c r="H159" s="9"/>
      <c r="I159" s="9"/>
      <c r="J159" s="23" t="str">
        <f aca="false">IF(OR($C159="",$F159=""),"",IF($B159="입고",$F159,IF($B159="출고",-$F159,$F159)))</f>
        <v/>
      </c>
      <c r="K159" s="24" t="str">
        <f aca="false">IF($C159="","",IFERROR(INDEX(예비품목록!$E$3:$E$202,MATCH($C159,예비품목록!$A$3:$A$202,0)),0)+SUMIFS($J$3:$J159,$C$3:$C159,$C159))</f>
        <v/>
      </c>
    </row>
    <row r="160" customFormat="false" ht="15" hidden="false" customHeight="true" outlineLevel="0" collapsed="false">
      <c r="A160" s="12"/>
      <c r="B160" s="9"/>
      <c r="C160" s="9"/>
      <c r="D160" s="15" t="str">
        <f aca="false">IF($C160="","",IFERROR(INDEX(예비품목록!$B$3:$B$202,MATCH($C160,예비품목록!$A$3:$A$202,0)),"미등록품번"))</f>
        <v/>
      </c>
      <c r="E160" s="15" t="str">
        <f aca="false">IF($C160="","",IFERROR(INDEX(예비품목록!$D$3:$D$202,MATCH($C160,예비품목록!$A$3:$A$202,0)),""))</f>
        <v/>
      </c>
      <c r="F160" s="11"/>
      <c r="G160" s="9"/>
      <c r="H160" s="9"/>
      <c r="I160" s="9"/>
      <c r="J160" s="23" t="str">
        <f aca="false">IF(OR($C160="",$F160=""),"",IF($B160="입고",$F160,IF($B160="출고",-$F160,$F160)))</f>
        <v/>
      </c>
      <c r="K160" s="24" t="str">
        <f aca="false">IF($C160="","",IFERROR(INDEX(예비품목록!$E$3:$E$202,MATCH($C160,예비품목록!$A$3:$A$202,0)),0)+SUMIFS($J$3:$J160,$C$3:$C160,$C160))</f>
        <v/>
      </c>
    </row>
    <row r="161" customFormat="false" ht="15" hidden="false" customHeight="true" outlineLevel="0" collapsed="false">
      <c r="A161" s="12"/>
      <c r="B161" s="9"/>
      <c r="C161" s="9"/>
      <c r="D161" s="15" t="str">
        <f aca="false">IF($C161="","",IFERROR(INDEX(예비품목록!$B$3:$B$202,MATCH($C161,예비품목록!$A$3:$A$202,0)),"미등록품번"))</f>
        <v/>
      </c>
      <c r="E161" s="15" t="str">
        <f aca="false">IF($C161="","",IFERROR(INDEX(예비품목록!$D$3:$D$202,MATCH($C161,예비품목록!$A$3:$A$202,0)),""))</f>
        <v/>
      </c>
      <c r="F161" s="11"/>
      <c r="G161" s="9"/>
      <c r="H161" s="9"/>
      <c r="I161" s="9"/>
      <c r="J161" s="23" t="str">
        <f aca="false">IF(OR($C161="",$F161=""),"",IF($B161="입고",$F161,IF($B161="출고",-$F161,$F161)))</f>
        <v/>
      </c>
      <c r="K161" s="24" t="str">
        <f aca="false">IF($C161="","",IFERROR(INDEX(예비품목록!$E$3:$E$202,MATCH($C161,예비품목록!$A$3:$A$202,0)),0)+SUMIFS($J$3:$J161,$C$3:$C161,$C161))</f>
        <v/>
      </c>
    </row>
    <row r="162" customFormat="false" ht="15" hidden="false" customHeight="true" outlineLevel="0" collapsed="false">
      <c r="A162" s="12"/>
      <c r="B162" s="9"/>
      <c r="C162" s="9"/>
      <c r="D162" s="15" t="str">
        <f aca="false">IF($C162="","",IFERROR(INDEX(예비품목록!$B$3:$B$202,MATCH($C162,예비품목록!$A$3:$A$202,0)),"미등록품번"))</f>
        <v/>
      </c>
      <c r="E162" s="15" t="str">
        <f aca="false">IF($C162="","",IFERROR(INDEX(예비품목록!$D$3:$D$202,MATCH($C162,예비품목록!$A$3:$A$202,0)),""))</f>
        <v/>
      </c>
      <c r="F162" s="11"/>
      <c r="G162" s="9"/>
      <c r="H162" s="9"/>
      <c r="I162" s="9"/>
      <c r="J162" s="23" t="str">
        <f aca="false">IF(OR($C162="",$F162=""),"",IF($B162="입고",$F162,IF($B162="출고",-$F162,$F162)))</f>
        <v/>
      </c>
      <c r="K162" s="24" t="str">
        <f aca="false">IF($C162="","",IFERROR(INDEX(예비품목록!$E$3:$E$202,MATCH($C162,예비품목록!$A$3:$A$202,0)),0)+SUMIFS($J$3:$J162,$C$3:$C162,$C162))</f>
        <v/>
      </c>
    </row>
    <row r="163" customFormat="false" ht="15" hidden="false" customHeight="true" outlineLevel="0" collapsed="false">
      <c r="A163" s="12"/>
      <c r="B163" s="9"/>
      <c r="C163" s="9"/>
      <c r="D163" s="15" t="str">
        <f aca="false">IF($C163="","",IFERROR(INDEX(예비품목록!$B$3:$B$202,MATCH($C163,예비품목록!$A$3:$A$202,0)),"미등록품번"))</f>
        <v/>
      </c>
      <c r="E163" s="15" t="str">
        <f aca="false">IF($C163="","",IFERROR(INDEX(예비품목록!$D$3:$D$202,MATCH($C163,예비품목록!$A$3:$A$202,0)),""))</f>
        <v/>
      </c>
      <c r="F163" s="11"/>
      <c r="G163" s="9"/>
      <c r="H163" s="9"/>
      <c r="I163" s="9"/>
      <c r="J163" s="23" t="str">
        <f aca="false">IF(OR($C163="",$F163=""),"",IF($B163="입고",$F163,IF($B163="출고",-$F163,$F163)))</f>
        <v/>
      </c>
      <c r="K163" s="24" t="str">
        <f aca="false">IF($C163="","",IFERROR(INDEX(예비품목록!$E$3:$E$202,MATCH($C163,예비품목록!$A$3:$A$202,0)),0)+SUMIFS($J$3:$J163,$C$3:$C163,$C163))</f>
        <v/>
      </c>
    </row>
    <row r="164" customFormat="false" ht="15" hidden="false" customHeight="true" outlineLevel="0" collapsed="false">
      <c r="A164" s="12"/>
      <c r="B164" s="9"/>
      <c r="C164" s="9"/>
      <c r="D164" s="15" t="str">
        <f aca="false">IF($C164="","",IFERROR(INDEX(예비품목록!$B$3:$B$202,MATCH($C164,예비품목록!$A$3:$A$202,0)),"미등록품번"))</f>
        <v/>
      </c>
      <c r="E164" s="15" t="str">
        <f aca="false">IF($C164="","",IFERROR(INDEX(예비품목록!$D$3:$D$202,MATCH($C164,예비품목록!$A$3:$A$202,0)),""))</f>
        <v/>
      </c>
      <c r="F164" s="11"/>
      <c r="G164" s="9"/>
      <c r="H164" s="9"/>
      <c r="I164" s="9"/>
      <c r="J164" s="23" t="str">
        <f aca="false">IF(OR($C164="",$F164=""),"",IF($B164="입고",$F164,IF($B164="출고",-$F164,$F164)))</f>
        <v/>
      </c>
      <c r="K164" s="24" t="str">
        <f aca="false">IF($C164="","",IFERROR(INDEX(예비품목록!$E$3:$E$202,MATCH($C164,예비품목록!$A$3:$A$202,0)),0)+SUMIFS($J$3:$J164,$C$3:$C164,$C164))</f>
        <v/>
      </c>
    </row>
    <row r="165" customFormat="false" ht="15" hidden="false" customHeight="true" outlineLevel="0" collapsed="false">
      <c r="A165" s="12"/>
      <c r="B165" s="9"/>
      <c r="C165" s="9"/>
      <c r="D165" s="15" t="str">
        <f aca="false">IF($C165="","",IFERROR(INDEX(예비품목록!$B$3:$B$202,MATCH($C165,예비품목록!$A$3:$A$202,0)),"미등록품번"))</f>
        <v/>
      </c>
      <c r="E165" s="15" t="str">
        <f aca="false">IF($C165="","",IFERROR(INDEX(예비품목록!$D$3:$D$202,MATCH($C165,예비품목록!$A$3:$A$202,0)),""))</f>
        <v/>
      </c>
      <c r="F165" s="11"/>
      <c r="G165" s="9"/>
      <c r="H165" s="9"/>
      <c r="I165" s="9"/>
      <c r="J165" s="23" t="str">
        <f aca="false">IF(OR($C165="",$F165=""),"",IF($B165="입고",$F165,IF($B165="출고",-$F165,$F165)))</f>
        <v/>
      </c>
      <c r="K165" s="24" t="str">
        <f aca="false">IF($C165="","",IFERROR(INDEX(예비품목록!$E$3:$E$202,MATCH($C165,예비품목록!$A$3:$A$202,0)),0)+SUMIFS($J$3:$J165,$C$3:$C165,$C165))</f>
        <v/>
      </c>
    </row>
    <row r="166" customFormat="false" ht="15" hidden="false" customHeight="true" outlineLevel="0" collapsed="false">
      <c r="A166" s="12"/>
      <c r="B166" s="9"/>
      <c r="C166" s="9"/>
      <c r="D166" s="15" t="str">
        <f aca="false">IF($C166="","",IFERROR(INDEX(예비품목록!$B$3:$B$202,MATCH($C166,예비품목록!$A$3:$A$202,0)),"미등록품번"))</f>
        <v/>
      </c>
      <c r="E166" s="15" t="str">
        <f aca="false">IF($C166="","",IFERROR(INDEX(예비품목록!$D$3:$D$202,MATCH($C166,예비품목록!$A$3:$A$202,0)),""))</f>
        <v/>
      </c>
      <c r="F166" s="11"/>
      <c r="G166" s="9"/>
      <c r="H166" s="9"/>
      <c r="I166" s="9"/>
      <c r="J166" s="23" t="str">
        <f aca="false">IF(OR($C166="",$F166=""),"",IF($B166="입고",$F166,IF($B166="출고",-$F166,$F166)))</f>
        <v/>
      </c>
      <c r="K166" s="24" t="str">
        <f aca="false">IF($C166="","",IFERROR(INDEX(예비품목록!$E$3:$E$202,MATCH($C166,예비품목록!$A$3:$A$202,0)),0)+SUMIFS($J$3:$J166,$C$3:$C166,$C166))</f>
        <v/>
      </c>
    </row>
    <row r="167" customFormat="false" ht="15" hidden="false" customHeight="true" outlineLevel="0" collapsed="false">
      <c r="A167" s="12"/>
      <c r="B167" s="9"/>
      <c r="C167" s="9"/>
      <c r="D167" s="15" t="str">
        <f aca="false">IF($C167="","",IFERROR(INDEX(예비품목록!$B$3:$B$202,MATCH($C167,예비품목록!$A$3:$A$202,0)),"미등록품번"))</f>
        <v/>
      </c>
      <c r="E167" s="15" t="str">
        <f aca="false">IF($C167="","",IFERROR(INDEX(예비품목록!$D$3:$D$202,MATCH($C167,예비품목록!$A$3:$A$202,0)),""))</f>
        <v/>
      </c>
      <c r="F167" s="11"/>
      <c r="G167" s="9"/>
      <c r="H167" s="9"/>
      <c r="I167" s="9"/>
      <c r="J167" s="23" t="str">
        <f aca="false">IF(OR($C167="",$F167=""),"",IF($B167="입고",$F167,IF($B167="출고",-$F167,$F167)))</f>
        <v/>
      </c>
      <c r="K167" s="24" t="str">
        <f aca="false">IF($C167="","",IFERROR(INDEX(예비품목록!$E$3:$E$202,MATCH($C167,예비품목록!$A$3:$A$202,0)),0)+SUMIFS($J$3:$J167,$C$3:$C167,$C167))</f>
        <v/>
      </c>
    </row>
    <row r="168" customFormat="false" ht="15" hidden="false" customHeight="true" outlineLevel="0" collapsed="false">
      <c r="A168" s="12"/>
      <c r="B168" s="9"/>
      <c r="C168" s="9"/>
      <c r="D168" s="15" t="str">
        <f aca="false">IF($C168="","",IFERROR(INDEX(예비품목록!$B$3:$B$202,MATCH($C168,예비품목록!$A$3:$A$202,0)),"미등록품번"))</f>
        <v/>
      </c>
      <c r="E168" s="15" t="str">
        <f aca="false">IF($C168="","",IFERROR(INDEX(예비품목록!$D$3:$D$202,MATCH($C168,예비품목록!$A$3:$A$202,0)),""))</f>
        <v/>
      </c>
      <c r="F168" s="11"/>
      <c r="G168" s="9"/>
      <c r="H168" s="9"/>
      <c r="I168" s="9"/>
      <c r="J168" s="23" t="str">
        <f aca="false">IF(OR($C168="",$F168=""),"",IF($B168="입고",$F168,IF($B168="출고",-$F168,$F168)))</f>
        <v/>
      </c>
      <c r="K168" s="24" t="str">
        <f aca="false">IF($C168="","",IFERROR(INDEX(예비품목록!$E$3:$E$202,MATCH($C168,예비품목록!$A$3:$A$202,0)),0)+SUMIFS($J$3:$J168,$C$3:$C168,$C168))</f>
        <v/>
      </c>
    </row>
    <row r="169" customFormat="false" ht="15" hidden="false" customHeight="true" outlineLevel="0" collapsed="false">
      <c r="A169" s="12"/>
      <c r="B169" s="9"/>
      <c r="C169" s="9"/>
      <c r="D169" s="15" t="str">
        <f aca="false">IF($C169="","",IFERROR(INDEX(예비품목록!$B$3:$B$202,MATCH($C169,예비품목록!$A$3:$A$202,0)),"미등록품번"))</f>
        <v/>
      </c>
      <c r="E169" s="15" t="str">
        <f aca="false">IF($C169="","",IFERROR(INDEX(예비품목록!$D$3:$D$202,MATCH($C169,예비품목록!$A$3:$A$202,0)),""))</f>
        <v/>
      </c>
      <c r="F169" s="11"/>
      <c r="G169" s="9"/>
      <c r="H169" s="9"/>
      <c r="I169" s="9"/>
      <c r="J169" s="23" t="str">
        <f aca="false">IF(OR($C169="",$F169=""),"",IF($B169="입고",$F169,IF($B169="출고",-$F169,$F169)))</f>
        <v/>
      </c>
      <c r="K169" s="24" t="str">
        <f aca="false">IF($C169="","",IFERROR(INDEX(예비품목록!$E$3:$E$202,MATCH($C169,예비품목록!$A$3:$A$202,0)),0)+SUMIFS($J$3:$J169,$C$3:$C169,$C169))</f>
        <v/>
      </c>
    </row>
    <row r="170" customFormat="false" ht="15" hidden="false" customHeight="true" outlineLevel="0" collapsed="false">
      <c r="A170" s="12"/>
      <c r="B170" s="9"/>
      <c r="C170" s="9"/>
      <c r="D170" s="15" t="str">
        <f aca="false">IF($C170="","",IFERROR(INDEX(예비품목록!$B$3:$B$202,MATCH($C170,예비품목록!$A$3:$A$202,0)),"미등록품번"))</f>
        <v/>
      </c>
      <c r="E170" s="15" t="str">
        <f aca="false">IF($C170="","",IFERROR(INDEX(예비품목록!$D$3:$D$202,MATCH($C170,예비품목록!$A$3:$A$202,0)),""))</f>
        <v/>
      </c>
      <c r="F170" s="11"/>
      <c r="G170" s="9"/>
      <c r="H170" s="9"/>
      <c r="I170" s="9"/>
      <c r="J170" s="23" t="str">
        <f aca="false">IF(OR($C170="",$F170=""),"",IF($B170="입고",$F170,IF($B170="출고",-$F170,$F170)))</f>
        <v/>
      </c>
      <c r="K170" s="24" t="str">
        <f aca="false">IF($C170="","",IFERROR(INDEX(예비품목록!$E$3:$E$202,MATCH($C170,예비품목록!$A$3:$A$202,0)),0)+SUMIFS($J$3:$J170,$C$3:$C170,$C170))</f>
        <v/>
      </c>
    </row>
    <row r="171" customFormat="false" ht="15" hidden="false" customHeight="true" outlineLevel="0" collapsed="false">
      <c r="A171" s="12"/>
      <c r="B171" s="9"/>
      <c r="C171" s="9"/>
      <c r="D171" s="15" t="str">
        <f aca="false">IF($C171="","",IFERROR(INDEX(예비품목록!$B$3:$B$202,MATCH($C171,예비품목록!$A$3:$A$202,0)),"미등록품번"))</f>
        <v/>
      </c>
      <c r="E171" s="15" t="str">
        <f aca="false">IF($C171="","",IFERROR(INDEX(예비품목록!$D$3:$D$202,MATCH($C171,예비품목록!$A$3:$A$202,0)),""))</f>
        <v/>
      </c>
      <c r="F171" s="11"/>
      <c r="G171" s="9"/>
      <c r="H171" s="9"/>
      <c r="I171" s="9"/>
      <c r="J171" s="23" t="str">
        <f aca="false">IF(OR($C171="",$F171=""),"",IF($B171="입고",$F171,IF($B171="출고",-$F171,$F171)))</f>
        <v/>
      </c>
      <c r="K171" s="24" t="str">
        <f aca="false">IF($C171="","",IFERROR(INDEX(예비품목록!$E$3:$E$202,MATCH($C171,예비품목록!$A$3:$A$202,0)),0)+SUMIFS($J$3:$J171,$C$3:$C171,$C171))</f>
        <v/>
      </c>
    </row>
    <row r="172" customFormat="false" ht="15" hidden="false" customHeight="true" outlineLevel="0" collapsed="false">
      <c r="A172" s="12"/>
      <c r="B172" s="9"/>
      <c r="C172" s="9"/>
      <c r="D172" s="15" t="str">
        <f aca="false">IF($C172="","",IFERROR(INDEX(예비품목록!$B$3:$B$202,MATCH($C172,예비품목록!$A$3:$A$202,0)),"미등록품번"))</f>
        <v/>
      </c>
      <c r="E172" s="15" t="str">
        <f aca="false">IF($C172="","",IFERROR(INDEX(예비품목록!$D$3:$D$202,MATCH($C172,예비품목록!$A$3:$A$202,0)),""))</f>
        <v/>
      </c>
      <c r="F172" s="11"/>
      <c r="G172" s="9"/>
      <c r="H172" s="9"/>
      <c r="I172" s="9"/>
      <c r="J172" s="23" t="str">
        <f aca="false">IF(OR($C172="",$F172=""),"",IF($B172="입고",$F172,IF($B172="출고",-$F172,$F172)))</f>
        <v/>
      </c>
      <c r="K172" s="24" t="str">
        <f aca="false">IF($C172="","",IFERROR(INDEX(예비품목록!$E$3:$E$202,MATCH($C172,예비품목록!$A$3:$A$202,0)),0)+SUMIFS($J$3:$J172,$C$3:$C172,$C172))</f>
        <v/>
      </c>
    </row>
    <row r="173" customFormat="false" ht="15" hidden="false" customHeight="true" outlineLevel="0" collapsed="false">
      <c r="A173" s="12"/>
      <c r="B173" s="9"/>
      <c r="C173" s="9"/>
      <c r="D173" s="15" t="str">
        <f aca="false">IF($C173="","",IFERROR(INDEX(예비품목록!$B$3:$B$202,MATCH($C173,예비품목록!$A$3:$A$202,0)),"미등록품번"))</f>
        <v/>
      </c>
      <c r="E173" s="15" t="str">
        <f aca="false">IF($C173="","",IFERROR(INDEX(예비품목록!$D$3:$D$202,MATCH($C173,예비품목록!$A$3:$A$202,0)),""))</f>
        <v/>
      </c>
      <c r="F173" s="11"/>
      <c r="G173" s="9"/>
      <c r="H173" s="9"/>
      <c r="I173" s="9"/>
      <c r="J173" s="23" t="str">
        <f aca="false">IF(OR($C173="",$F173=""),"",IF($B173="입고",$F173,IF($B173="출고",-$F173,$F173)))</f>
        <v/>
      </c>
      <c r="K173" s="24" t="str">
        <f aca="false">IF($C173="","",IFERROR(INDEX(예비품목록!$E$3:$E$202,MATCH($C173,예비품목록!$A$3:$A$202,0)),0)+SUMIFS($J$3:$J173,$C$3:$C173,$C173))</f>
        <v/>
      </c>
    </row>
    <row r="174" customFormat="false" ht="15" hidden="false" customHeight="true" outlineLevel="0" collapsed="false">
      <c r="A174" s="12"/>
      <c r="B174" s="9"/>
      <c r="C174" s="9"/>
      <c r="D174" s="15" t="str">
        <f aca="false">IF($C174="","",IFERROR(INDEX(예비품목록!$B$3:$B$202,MATCH($C174,예비품목록!$A$3:$A$202,0)),"미등록품번"))</f>
        <v/>
      </c>
      <c r="E174" s="15" t="str">
        <f aca="false">IF($C174="","",IFERROR(INDEX(예비품목록!$D$3:$D$202,MATCH($C174,예비품목록!$A$3:$A$202,0)),""))</f>
        <v/>
      </c>
      <c r="F174" s="11"/>
      <c r="G174" s="9"/>
      <c r="H174" s="9"/>
      <c r="I174" s="9"/>
      <c r="J174" s="23" t="str">
        <f aca="false">IF(OR($C174="",$F174=""),"",IF($B174="입고",$F174,IF($B174="출고",-$F174,$F174)))</f>
        <v/>
      </c>
      <c r="K174" s="24" t="str">
        <f aca="false">IF($C174="","",IFERROR(INDEX(예비품목록!$E$3:$E$202,MATCH($C174,예비품목록!$A$3:$A$202,0)),0)+SUMIFS($J$3:$J174,$C$3:$C174,$C174))</f>
        <v/>
      </c>
    </row>
    <row r="175" customFormat="false" ht="15" hidden="false" customHeight="true" outlineLevel="0" collapsed="false">
      <c r="A175" s="12"/>
      <c r="B175" s="9"/>
      <c r="C175" s="9"/>
      <c r="D175" s="15" t="str">
        <f aca="false">IF($C175="","",IFERROR(INDEX(예비품목록!$B$3:$B$202,MATCH($C175,예비품목록!$A$3:$A$202,0)),"미등록품번"))</f>
        <v/>
      </c>
      <c r="E175" s="15" t="str">
        <f aca="false">IF($C175="","",IFERROR(INDEX(예비품목록!$D$3:$D$202,MATCH($C175,예비품목록!$A$3:$A$202,0)),""))</f>
        <v/>
      </c>
      <c r="F175" s="11"/>
      <c r="G175" s="9"/>
      <c r="H175" s="9"/>
      <c r="I175" s="9"/>
      <c r="J175" s="23" t="str">
        <f aca="false">IF(OR($C175="",$F175=""),"",IF($B175="입고",$F175,IF($B175="출고",-$F175,$F175)))</f>
        <v/>
      </c>
      <c r="K175" s="24" t="str">
        <f aca="false">IF($C175="","",IFERROR(INDEX(예비품목록!$E$3:$E$202,MATCH($C175,예비품목록!$A$3:$A$202,0)),0)+SUMIFS($J$3:$J175,$C$3:$C175,$C175))</f>
        <v/>
      </c>
    </row>
    <row r="176" customFormat="false" ht="15" hidden="false" customHeight="true" outlineLevel="0" collapsed="false">
      <c r="A176" s="12"/>
      <c r="B176" s="9"/>
      <c r="C176" s="9"/>
      <c r="D176" s="15" t="str">
        <f aca="false">IF($C176="","",IFERROR(INDEX(예비품목록!$B$3:$B$202,MATCH($C176,예비품목록!$A$3:$A$202,0)),"미등록품번"))</f>
        <v/>
      </c>
      <c r="E176" s="15" t="str">
        <f aca="false">IF($C176="","",IFERROR(INDEX(예비품목록!$D$3:$D$202,MATCH($C176,예비품목록!$A$3:$A$202,0)),""))</f>
        <v/>
      </c>
      <c r="F176" s="11"/>
      <c r="G176" s="9"/>
      <c r="H176" s="9"/>
      <c r="I176" s="9"/>
      <c r="J176" s="23" t="str">
        <f aca="false">IF(OR($C176="",$F176=""),"",IF($B176="입고",$F176,IF($B176="출고",-$F176,$F176)))</f>
        <v/>
      </c>
      <c r="K176" s="24" t="str">
        <f aca="false">IF($C176="","",IFERROR(INDEX(예비품목록!$E$3:$E$202,MATCH($C176,예비품목록!$A$3:$A$202,0)),0)+SUMIFS($J$3:$J176,$C$3:$C176,$C176))</f>
        <v/>
      </c>
    </row>
    <row r="177" customFormat="false" ht="15" hidden="false" customHeight="true" outlineLevel="0" collapsed="false">
      <c r="A177" s="12"/>
      <c r="B177" s="9"/>
      <c r="C177" s="9"/>
      <c r="D177" s="15" t="str">
        <f aca="false">IF($C177="","",IFERROR(INDEX(예비품목록!$B$3:$B$202,MATCH($C177,예비품목록!$A$3:$A$202,0)),"미등록품번"))</f>
        <v/>
      </c>
      <c r="E177" s="15" t="str">
        <f aca="false">IF($C177="","",IFERROR(INDEX(예비품목록!$D$3:$D$202,MATCH($C177,예비품목록!$A$3:$A$202,0)),""))</f>
        <v/>
      </c>
      <c r="F177" s="11"/>
      <c r="G177" s="9"/>
      <c r="H177" s="9"/>
      <c r="I177" s="9"/>
      <c r="J177" s="23" t="str">
        <f aca="false">IF(OR($C177="",$F177=""),"",IF($B177="입고",$F177,IF($B177="출고",-$F177,$F177)))</f>
        <v/>
      </c>
      <c r="K177" s="24" t="str">
        <f aca="false">IF($C177="","",IFERROR(INDEX(예비품목록!$E$3:$E$202,MATCH($C177,예비품목록!$A$3:$A$202,0)),0)+SUMIFS($J$3:$J177,$C$3:$C177,$C177))</f>
        <v/>
      </c>
    </row>
    <row r="178" customFormat="false" ht="15" hidden="false" customHeight="true" outlineLevel="0" collapsed="false">
      <c r="A178" s="12"/>
      <c r="B178" s="9"/>
      <c r="C178" s="9"/>
      <c r="D178" s="15" t="str">
        <f aca="false">IF($C178="","",IFERROR(INDEX(예비품목록!$B$3:$B$202,MATCH($C178,예비품목록!$A$3:$A$202,0)),"미등록품번"))</f>
        <v/>
      </c>
      <c r="E178" s="15" t="str">
        <f aca="false">IF($C178="","",IFERROR(INDEX(예비품목록!$D$3:$D$202,MATCH($C178,예비품목록!$A$3:$A$202,0)),""))</f>
        <v/>
      </c>
      <c r="F178" s="11"/>
      <c r="G178" s="9"/>
      <c r="H178" s="9"/>
      <c r="I178" s="9"/>
      <c r="J178" s="23" t="str">
        <f aca="false">IF(OR($C178="",$F178=""),"",IF($B178="입고",$F178,IF($B178="출고",-$F178,$F178)))</f>
        <v/>
      </c>
      <c r="K178" s="24" t="str">
        <f aca="false">IF($C178="","",IFERROR(INDEX(예비품목록!$E$3:$E$202,MATCH($C178,예비품목록!$A$3:$A$202,0)),0)+SUMIFS($J$3:$J178,$C$3:$C178,$C178))</f>
        <v/>
      </c>
    </row>
    <row r="179" customFormat="false" ht="15" hidden="false" customHeight="true" outlineLevel="0" collapsed="false">
      <c r="A179" s="12"/>
      <c r="B179" s="9"/>
      <c r="C179" s="9"/>
      <c r="D179" s="15" t="str">
        <f aca="false">IF($C179="","",IFERROR(INDEX(예비품목록!$B$3:$B$202,MATCH($C179,예비품목록!$A$3:$A$202,0)),"미등록품번"))</f>
        <v/>
      </c>
      <c r="E179" s="15" t="str">
        <f aca="false">IF($C179="","",IFERROR(INDEX(예비품목록!$D$3:$D$202,MATCH($C179,예비품목록!$A$3:$A$202,0)),""))</f>
        <v/>
      </c>
      <c r="F179" s="11"/>
      <c r="G179" s="9"/>
      <c r="H179" s="9"/>
      <c r="I179" s="9"/>
      <c r="J179" s="23" t="str">
        <f aca="false">IF(OR($C179="",$F179=""),"",IF($B179="입고",$F179,IF($B179="출고",-$F179,$F179)))</f>
        <v/>
      </c>
      <c r="K179" s="24" t="str">
        <f aca="false">IF($C179="","",IFERROR(INDEX(예비품목록!$E$3:$E$202,MATCH($C179,예비품목록!$A$3:$A$202,0)),0)+SUMIFS($J$3:$J179,$C$3:$C179,$C179))</f>
        <v/>
      </c>
    </row>
    <row r="180" customFormat="false" ht="15" hidden="false" customHeight="true" outlineLevel="0" collapsed="false">
      <c r="A180" s="12"/>
      <c r="B180" s="9"/>
      <c r="C180" s="9"/>
      <c r="D180" s="15" t="str">
        <f aca="false">IF($C180="","",IFERROR(INDEX(예비품목록!$B$3:$B$202,MATCH($C180,예비품목록!$A$3:$A$202,0)),"미등록품번"))</f>
        <v/>
      </c>
      <c r="E180" s="15" t="str">
        <f aca="false">IF($C180="","",IFERROR(INDEX(예비품목록!$D$3:$D$202,MATCH($C180,예비품목록!$A$3:$A$202,0)),""))</f>
        <v/>
      </c>
      <c r="F180" s="11"/>
      <c r="G180" s="9"/>
      <c r="H180" s="9"/>
      <c r="I180" s="9"/>
      <c r="J180" s="23" t="str">
        <f aca="false">IF(OR($C180="",$F180=""),"",IF($B180="입고",$F180,IF($B180="출고",-$F180,$F180)))</f>
        <v/>
      </c>
      <c r="K180" s="24" t="str">
        <f aca="false">IF($C180="","",IFERROR(INDEX(예비품목록!$E$3:$E$202,MATCH($C180,예비품목록!$A$3:$A$202,0)),0)+SUMIFS($J$3:$J180,$C$3:$C180,$C180))</f>
        <v/>
      </c>
    </row>
    <row r="181" customFormat="false" ht="15" hidden="false" customHeight="true" outlineLevel="0" collapsed="false">
      <c r="A181" s="12"/>
      <c r="B181" s="9"/>
      <c r="C181" s="9"/>
      <c r="D181" s="15" t="str">
        <f aca="false">IF($C181="","",IFERROR(INDEX(예비품목록!$B$3:$B$202,MATCH($C181,예비품목록!$A$3:$A$202,0)),"미등록품번"))</f>
        <v/>
      </c>
      <c r="E181" s="15" t="str">
        <f aca="false">IF($C181="","",IFERROR(INDEX(예비품목록!$D$3:$D$202,MATCH($C181,예비품목록!$A$3:$A$202,0)),""))</f>
        <v/>
      </c>
      <c r="F181" s="11"/>
      <c r="G181" s="9"/>
      <c r="H181" s="9"/>
      <c r="I181" s="9"/>
      <c r="J181" s="23" t="str">
        <f aca="false">IF(OR($C181="",$F181=""),"",IF($B181="입고",$F181,IF($B181="출고",-$F181,$F181)))</f>
        <v/>
      </c>
      <c r="K181" s="24" t="str">
        <f aca="false">IF($C181="","",IFERROR(INDEX(예비품목록!$E$3:$E$202,MATCH($C181,예비품목록!$A$3:$A$202,0)),0)+SUMIFS($J$3:$J181,$C$3:$C181,$C181))</f>
        <v/>
      </c>
    </row>
    <row r="182" customFormat="false" ht="15" hidden="false" customHeight="true" outlineLevel="0" collapsed="false">
      <c r="A182" s="12"/>
      <c r="B182" s="9"/>
      <c r="C182" s="9"/>
      <c r="D182" s="15" t="str">
        <f aca="false">IF($C182="","",IFERROR(INDEX(예비품목록!$B$3:$B$202,MATCH($C182,예비품목록!$A$3:$A$202,0)),"미등록품번"))</f>
        <v/>
      </c>
      <c r="E182" s="15" t="str">
        <f aca="false">IF($C182="","",IFERROR(INDEX(예비품목록!$D$3:$D$202,MATCH($C182,예비품목록!$A$3:$A$202,0)),""))</f>
        <v/>
      </c>
      <c r="F182" s="11"/>
      <c r="G182" s="9"/>
      <c r="H182" s="9"/>
      <c r="I182" s="9"/>
      <c r="J182" s="23" t="str">
        <f aca="false">IF(OR($C182="",$F182=""),"",IF($B182="입고",$F182,IF($B182="출고",-$F182,$F182)))</f>
        <v/>
      </c>
      <c r="K182" s="24" t="str">
        <f aca="false">IF($C182="","",IFERROR(INDEX(예비품목록!$E$3:$E$202,MATCH($C182,예비품목록!$A$3:$A$202,0)),0)+SUMIFS($J$3:$J182,$C$3:$C182,$C182))</f>
        <v/>
      </c>
    </row>
    <row r="183" customFormat="false" ht="15" hidden="false" customHeight="true" outlineLevel="0" collapsed="false">
      <c r="A183" s="12"/>
      <c r="B183" s="9"/>
      <c r="C183" s="9"/>
      <c r="D183" s="15" t="str">
        <f aca="false">IF($C183="","",IFERROR(INDEX(예비품목록!$B$3:$B$202,MATCH($C183,예비품목록!$A$3:$A$202,0)),"미등록품번"))</f>
        <v/>
      </c>
      <c r="E183" s="15" t="str">
        <f aca="false">IF($C183="","",IFERROR(INDEX(예비품목록!$D$3:$D$202,MATCH($C183,예비품목록!$A$3:$A$202,0)),""))</f>
        <v/>
      </c>
      <c r="F183" s="11"/>
      <c r="G183" s="9"/>
      <c r="H183" s="9"/>
      <c r="I183" s="9"/>
      <c r="J183" s="23" t="str">
        <f aca="false">IF(OR($C183="",$F183=""),"",IF($B183="입고",$F183,IF($B183="출고",-$F183,$F183)))</f>
        <v/>
      </c>
      <c r="K183" s="24" t="str">
        <f aca="false">IF($C183="","",IFERROR(INDEX(예비품목록!$E$3:$E$202,MATCH($C183,예비품목록!$A$3:$A$202,0)),0)+SUMIFS($J$3:$J183,$C$3:$C183,$C183))</f>
        <v/>
      </c>
    </row>
    <row r="184" customFormat="false" ht="15" hidden="false" customHeight="true" outlineLevel="0" collapsed="false">
      <c r="A184" s="12"/>
      <c r="B184" s="9"/>
      <c r="C184" s="9"/>
      <c r="D184" s="15" t="str">
        <f aca="false">IF($C184="","",IFERROR(INDEX(예비품목록!$B$3:$B$202,MATCH($C184,예비품목록!$A$3:$A$202,0)),"미등록품번"))</f>
        <v/>
      </c>
      <c r="E184" s="15" t="str">
        <f aca="false">IF($C184="","",IFERROR(INDEX(예비품목록!$D$3:$D$202,MATCH($C184,예비품목록!$A$3:$A$202,0)),""))</f>
        <v/>
      </c>
      <c r="F184" s="11"/>
      <c r="G184" s="9"/>
      <c r="H184" s="9"/>
      <c r="I184" s="9"/>
      <c r="J184" s="23" t="str">
        <f aca="false">IF(OR($C184="",$F184=""),"",IF($B184="입고",$F184,IF($B184="출고",-$F184,$F184)))</f>
        <v/>
      </c>
      <c r="K184" s="24" t="str">
        <f aca="false">IF($C184="","",IFERROR(INDEX(예비품목록!$E$3:$E$202,MATCH($C184,예비품목록!$A$3:$A$202,0)),0)+SUMIFS($J$3:$J184,$C$3:$C184,$C184))</f>
        <v/>
      </c>
    </row>
    <row r="185" customFormat="false" ht="15" hidden="false" customHeight="true" outlineLevel="0" collapsed="false">
      <c r="A185" s="12"/>
      <c r="B185" s="9"/>
      <c r="C185" s="9"/>
      <c r="D185" s="15" t="str">
        <f aca="false">IF($C185="","",IFERROR(INDEX(예비품목록!$B$3:$B$202,MATCH($C185,예비품목록!$A$3:$A$202,0)),"미등록품번"))</f>
        <v/>
      </c>
      <c r="E185" s="15" t="str">
        <f aca="false">IF($C185="","",IFERROR(INDEX(예비품목록!$D$3:$D$202,MATCH($C185,예비품목록!$A$3:$A$202,0)),""))</f>
        <v/>
      </c>
      <c r="F185" s="11"/>
      <c r="G185" s="9"/>
      <c r="H185" s="9"/>
      <c r="I185" s="9"/>
      <c r="J185" s="23" t="str">
        <f aca="false">IF(OR($C185="",$F185=""),"",IF($B185="입고",$F185,IF($B185="출고",-$F185,$F185)))</f>
        <v/>
      </c>
      <c r="K185" s="24" t="str">
        <f aca="false">IF($C185="","",IFERROR(INDEX(예비품목록!$E$3:$E$202,MATCH($C185,예비품목록!$A$3:$A$202,0)),0)+SUMIFS($J$3:$J185,$C$3:$C185,$C185))</f>
        <v/>
      </c>
    </row>
    <row r="186" customFormat="false" ht="15" hidden="false" customHeight="true" outlineLevel="0" collapsed="false">
      <c r="A186" s="12"/>
      <c r="B186" s="9"/>
      <c r="C186" s="9"/>
      <c r="D186" s="15" t="str">
        <f aca="false">IF($C186="","",IFERROR(INDEX(예비품목록!$B$3:$B$202,MATCH($C186,예비품목록!$A$3:$A$202,0)),"미등록품번"))</f>
        <v/>
      </c>
      <c r="E186" s="15" t="str">
        <f aca="false">IF($C186="","",IFERROR(INDEX(예비품목록!$D$3:$D$202,MATCH($C186,예비품목록!$A$3:$A$202,0)),""))</f>
        <v/>
      </c>
      <c r="F186" s="11"/>
      <c r="G186" s="9"/>
      <c r="H186" s="9"/>
      <c r="I186" s="9"/>
      <c r="J186" s="23" t="str">
        <f aca="false">IF(OR($C186="",$F186=""),"",IF($B186="입고",$F186,IF($B186="출고",-$F186,$F186)))</f>
        <v/>
      </c>
      <c r="K186" s="24" t="str">
        <f aca="false">IF($C186="","",IFERROR(INDEX(예비품목록!$E$3:$E$202,MATCH($C186,예비품목록!$A$3:$A$202,0)),0)+SUMIFS($J$3:$J186,$C$3:$C186,$C186))</f>
        <v/>
      </c>
    </row>
    <row r="187" customFormat="false" ht="15" hidden="false" customHeight="true" outlineLevel="0" collapsed="false">
      <c r="A187" s="12"/>
      <c r="B187" s="9"/>
      <c r="C187" s="9"/>
      <c r="D187" s="15" t="str">
        <f aca="false">IF($C187="","",IFERROR(INDEX(예비품목록!$B$3:$B$202,MATCH($C187,예비품목록!$A$3:$A$202,0)),"미등록품번"))</f>
        <v/>
      </c>
      <c r="E187" s="15" t="str">
        <f aca="false">IF($C187="","",IFERROR(INDEX(예비품목록!$D$3:$D$202,MATCH($C187,예비품목록!$A$3:$A$202,0)),""))</f>
        <v/>
      </c>
      <c r="F187" s="11"/>
      <c r="G187" s="9"/>
      <c r="H187" s="9"/>
      <c r="I187" s="9"/>
      <c r="J187" s="23" t="str">
        <f aca="false">IF(OR($C187="",$F187=""),"",IF($B187="입고",$F187,IF($B187="출고",-$F187,$F187)))</f>
        <v/>
      </c>
      <c r="K187" s="24" t="str">
        <f aca="false">IF($C187="","",IFERROR(INDEX(예비품목록!$E$3:$E$202,MATCH($C187,예비품목록!$A$3:$A$202,0)),0)+SUMIFS($J$3:$J187,$C$3:$C187,$C187))</f>
        <v/>
      </c>
    </row>
    <row r="188" customFormat="false" ht="15" hidden="false" customHeight="true" outlineLevel="0" collapsed="false">
      <c r="A188" s="12"/>
      <c r="B188" s="9"/>
      <c r="C188" s="9"/>
      <c r="D188" s="15" t="str">
        <f aca="false">IF($C188="","",IFERROR(INDEX(예비품목록!$B$3:$B$202,MATCH($C188,예비품목록!$A$3:$A$202,0)),"미등록품번"))</f>
        <v/>
      </c>
      <c r="E188" s="15" t="str">
        <f aca="false">IF($C188="","",IFERROR(INDEX(예비품목록!$D$3:$D$202,MATCH($C188,예비품목록!$A$3:$A$202,0)),""))</f>
        <v/>
      </c>
      <c r="F188" s="11"/>
      <c r="G188" s="9"/>
      <c r="H188" s="9"/>
      <c r="I188" s="9"/>
      <c r="J188" s="23" t="str">
        <f aca="false">IF(OR($C188="",$F188=""),"",IF($B188="입고",$F188,IF($B188="출고",-$F188,$F188)))</f>
        <v/>
      </c>
      <c r="K188" s="24" t="str">
        <f aca="false">IF($C188="","",IFERROR(INDEX(예비품목록!$E$3:$E$202,MATCH($C188,예비품목록!$A$3:$A$202,0)),0)+SUMIFS($J$3:$J188,$C$3:$C188,$C188))</f>
        <v/>
      </c>
    </row>
    <row r="189" customFormat="false" ht="15" hidden="false" customHeight="true" outlineLevel="0" collapsed="false">
      <c r="A189" s="12"/>
      <c r="B189" s="9"/>
      <c r="C189" s="9"/>
      <c r="D189" s="15" t="str">
        <f aca="false">IF($C189="","",IFERROR(INDEX(예비품목록!$B$3:$B$202,MATCH($C189,예비품목록!$A$3:$A$202,0)),"미등록품번"))</f>
        <v/>
      </c>
      <c r="E189" s="15" t="str">
        <f aca="false">IF($C189="","",IFERROR(INDEX(예비품목록!$D$3:$D$202,MATCH($C189,예비품목록!$A$3:$A$202,0)),""))</f>
        <v/>
      </c>
      <c r="F189" s="11"/>
      <c r="G189" s="9"/>
      <c r="H189" s="9"/>
      <c r="I189" s="9"/>
      <c r="J189" s="23" t="str">
        <f aca="false">IF(OR($C189="",$F189=""),"",IF($B189="입고",$F189,IF($B189="출고",-$F189,$F189)))</f>
        <v/>
      </c>
      <c r="K189" s="24" t="str">
        <f aca="false">IF($C189="","",IFERROR(INDEX(예비품목록!$E$3:$E$202,MATCH($C189,예비품목록!$A$3:$A$202,0)),0)+SUMIFS($J$3:$J189,$C$3:$C189,$C189))</f>
        <v/>
      </c>
    </row>
    <row r="190" customFormat="false" ht="15" hidden="false" customHeight="true" outlineLevel="0" collapsed="false">
      <c r="A190" s="12"/>
      <c r="B190" s="9"/>
      <c r="C190" s="9"/>
      <c r="D190" s="15" t="str">
        <f aca="false">IF($C190="","",IFERROR(INDEX(예비품목록!$B$3:$B$202,MATCH($C190,예비품목록!$A$3:$A$202,0)),"미등록품번"))</f>
        <v/>
      </c>
      <c r="E190" s="15" t="str">
        <f aca="false">IF($C190="","",IFERROR(INDEX(예비품목록!$D$3:$D$202,MATCH($C190,예비품목록!$A$3:$A$202,0)),""))</f>
        <v/>
      </c>
      <c r="F190" s="11"/>
      <c r="G190" s="9"/>
      <c r="H190" s="9"/>
      <c r="I190" s="9"/>
      <c r="J190" s="23" t="str">
        <f aca="false">IF(OR($C190="",$F190=""),"",IF($B190="입고",$F190,IF($B190="출고",-$F190,$F190)))</f>
        <v/>
      </c>
      <c r="K190" s="24" t="str">
        <f aca="false">IF($C190="","",IFERROR(INDEX(예비품목록!$E$3:$E$202,MATCH($C190,예비품목록!$A$3:$A$202,0)),0)+SUMIFS($J$3:$J190,$C$3:$C190,$C190))</f>
        <v/>
      </c>
    </row>
    <row r="191" customFormat="false" ht="15" hidden="false" customHeight="true" outlineLevel="0" collapsed="false">
      <c r="A191" s="12"/>
      <c r="B191" s="9"/>
      <c r="C191" s="9"/>
      <c r="D191" s="15" t="str">
        <f aca="false">IF($C191="","",IFERROR(INDEX(예비품목록!$B$3:$B$202,MATCH($C191,예비품목록!$A$3:$A$202,0)),"미등록품번"))</f>
        <v/>
      </c>
      <c r="E191" s="15" t="str">
        <f aca="false">IF($C191="","",IFERROR(INDEX(예비품목록!$D$3:$D$202,MATCH($C191,예비품목록!$A$3:$A$202,0)),""))</f>
        <v/>
      </c>
      <c r="F191" s="11"/>
      <c r="G191" s="9"/>
      <c r="H191" s="9"/>
      <c r="I191" s="9"/>
      <c r="J191" s="23" t="str">
        <f aca="false">IF(OR($C191="",$F191=""),"",IF($B191="입고",$F191,IF($B191="출고",-$F191,$F191)))</f>
        <v/>
      </c>
      <c r="K191" s="24" t="str">
        <f aca="false">IF($C191="","",IFERROR(INDEX(예비품목록!$E$3:$E$202,MATCH($C191,예비품목록!$A$3:$A$202,0)),0)+SUMIFS($J$3:$J191,$C$3:$C191,$C191))</f>
        <v/>
      </c>
    </row>
    <row r="192" customFormat="false" ht="15" hidden="false" customHeight="true" outlineLevel="0" collapsed="false">
      <c r="A192" s="12"/>
      <c r="B192" s="9"/>
      <c r="C192" s="9"/>
      <c r="D192" s="15" t="str">
        <f aca="false">IF($C192="","",IFERROR(INDEX(예비품목록!$B$3:$B$202,MATCH($C192,예비품목록!$A$3:$A$202,0)),"미등록품번"))</f>
        <v/>
      </c>
      <c r="E192" s="15" t="str">
        <f aca="false">IF($C192="","",IFERROR(INDEX(예비품목록!$D$3:$D$202,MATCH($C192,예비품목록!$A$3:$A$202,0)),""))</f>
        <v/>
      </c>
      <c r="F192" s="11"/>
      <c r="G192" s="9"/>
      <c r="H192" s="9"/>
      <c r="I192" s="9"/>
      <c r="J192" s="23" t="str">
        <f aca="false">IF(OR($C192="",$F192=""),"",IF($B192="입고",$F192,IF($B192="출고",-$F192,$F192)))</f>
        <v/>
      </c>
      <c r="K192" s="24" t="str">
        <f aca="false">IF($C192="","",IFERROR(INDEX(예비품목록!$E$3:$E$202,MATCH($C192,예비품목록!$A$3:$A$202,0)),0)+SUMIFS($J$3:$J192,$C$3:$C192,$C192))</f>
        <v/>
      </c>
    </row>
    <row r="193" customFormat="false" ht="15" hidden="false" customHeight="true" outlineLevel="0" collapsed="false">
      <c r="A193" s="12"/>
      <c r="B193" s="9"/>
      <c r="C193" s="9"/>
      <c r="D193" s="15" t="str">
        <f aca="false">IF($C193="","",IFERROR(INDEX(예비품목록!$B$3:$B$202,MATCH($C193,예비품목록!$A$3:$A$202,0)),"미등록품번"))</f>
        <v/>
      </c>
      <c r="E193" s="15" t="str">
        <f aca="false">IF($C193="","",IFERROR(INDEX(예비품목록!$D$3:$D$202,MATCH($C193,예비품목록!$A$3:$A$202,0)),""))</f>
        <v/>
      </c>
      <c r="F193" s="11"/>
      <c r="G193" s="9"/>
      <c r="H193" s="9"/>
      <c r="I193" s="9"/>
      <c r="J193" s="23" t="str">
        <f aca="false">IF(OR($C193="",$F193=""),"",IF($B193="입고",$F193,IF($B193="출고",-$F193,$F193)))</f>
        <v/>
      </c>
      <c r="K193" s="24" t="str">
        <f aca="false">IF($C193="","",IFERROR(INDEX(예비품목록!$E$3:$E$202,MATCH($C193,예비품목록!$A$3:$A$202,0)),0)+SUMIFS($J$3:$J193,$C$3:$C193,$C193))</f>
        <v/>
      </c>
    </row>
    <row r="194" customFormat="false" ht="15" hidden="false" customHeight="true" outlineLevel="0" collapsed="false">
      <c r="A194" s="12"/>
      <c r="B194" s="9"/>
      <c r="C194" s="9"/>
      <c r="D194" s="15" t="str">
        <f aca="false">IF($C194="","",IFERROR(INDEX(예비품목록!$B$3:$B$202,MATCH($C194,예비품목록!$A$3:$A$202,0)),"미등록품번"))</f>
        <v/>
      </c>
      <c r="E194" s="15" t="str">
        <f aca="false">IF($C194="","",IFERROR(INDEX(예비품목록!$D$3:$D$202,MATCH($C194,예비품목록!$A$3:$A$202,0)),""))</f>
        <v/>
      </c>
      <c r="F194" s="11"/>
      <c r="G194" s="9"/>
      <c r="H194" s="9"/>
      <c r="I194" s="9"/>
      <c r="J194" s="23" t="str">
        <f aca="false">IF(OR($C194="",$F194=""),"",IF($B194="입고",$F194,IF($B194="출고",-$F194,$F194)))</f>
        <v/>
      </c>
      <c r="K194" s="24" t="str">
        <f aca="false">IF($C194="","",IFERROR(INDEX(예비품목록!$E$3:$E$202,MATCH($C194,예비품목록!$A$3:$A$202,0)),0)+SUMIFS($J$3:$J194,$C$3:$C194,$C194))</f>
        <v/>
      </c>
    </row>
    <row r="195" customFormat="false" ht="15" hidden="false" customHeight="true" outlineLevel="0" collapsed="false">
      <c r="A195" s="12"/>
      <c r="B195" s="9"/>
      <c r="C195" s="9"/>
      <c r="D195" s="15" t="str">
        <f aca="false">IF($C195="","",IFERROR(INDEX(예비품목록!$B$3:$B$202,MATCH($C195,예비품목록!$A$3:$A$202,0)),"미등록품번"))</f>
        <v/>
      </c>
      <c r="E195" s="15" t="str">
        <f aca="false">IF($C195="","",IFERROR(INDEX(예비품목록!$D$3:$D$202,MATCH($C195,예비품목록!$A$3:$A$202,0)),""))</f>
        <v/>
      </c>
      <c r="F195" s="11"/>
      <c r="G195" s="9"/>
      <c r="H195" s="9"/>
      <c r="I195" s="9"/>
      <c r="J195" s="23" t="str">
        <f aca="false">IF(OR($C195="",$F195=""),"",IF($B195="입고",$F195,IF($B195="출고",-$F195,$F195)))</f>
        <v/>
      </c>
      <c r="K195" s="24" t="str">
        <f aca="false">IF($C195="","",IFERROR(INDEX(예비품목록!$E$3:$E$202,MATCH($C195,예비품목록!$A$3:$A$202,0)),0)+SUMIFS($J$3:$J195,$C$3:$C195,$C195))</f>
        <v/>
      </c>
    </row>
    <row r="196" customFormat="false" ht="15" hidden="false" customHeight="true" outlineLevel="0" collapsed="false">
      <c r="A196" s="12"/>
      <c r="B196" s="9"/>
      <c r="C196" s="9"/>
      <c r="D196" s="15" t="str">
        <f aca="false">IF($C196="","",IFERROR(INDEX(예비품목록!$B$3:$B$202,MATCH($C196,예비품목록!$A$3:$A$202,0)),"미등록품번"))</f>
        <v/>
      </c>
      <c r="E196" s="15" t="str">
        <f aca="false">IF($C196="","",IFERROR(INDEX(예비품목록!$D$3:$D$202,MATCH($C196,예비품목록!$A$3:$A$202,0)),""))</f>
        <v/>
      </c>
      <c r="F196" s="11"/>
      <c r="G196" s="9"/>
      <c r="H196" s="9"/>
      <c r="I196" s="9"/>
      <c r="J196" s="23" t="str">
        <f aca="false">IF(OR($C196="",$F196=""),"",IF($B196="입고",$F196,IF($B196="출고",-$F196,$F196)))</f>
        <v/>
      </c>
      <c r="K196" s="24" t="str">
        <f aca="false">IF($C196="","",IFERROR(INDEX(예비품목록!$E$3:$E$202,MATCH($C196,예비품목록!$A$3:$A$202,0)),0)+SUMIFS($J$3:$J196,$C$3:$C196,$C196))</f>
        <v/>
      </c>
    </row>
    <row r="197" customFormat="false" ht="15" hidden="false" customHeight="true" outlineLevel="0" collapsed="false">
      <c r="A197" s="12"/>
      <c r="B197" s="9"/>
      <c r="C197" s="9"/>
      <c r="D197" s="15" t="str">
        <f aca="false">IF($C197="","",IFERROR(INDEX(예비품목록!$B$3:$B$202,MATCH($C197,예비품목록!$A$3:$A$202,0)),"미등록품번"))</f>
        <v/>
      </c>
      <c r="E197" s="15" t="str">
        <f aca="false">IF($C197="","",IFERROR(INDEX(예비품목록!$D$3:$D$202,MATCH($C197,예비품목록!$A$3:$A$202,0)),""))</f>
        <v/>
      </c>
      <c r="F197" s="11"/>
      <c r="G197" s="9"/>
      <c r="H197" s="9"/>
      <c r="I197" s="9"/>
      <c r="J197" s="23" t="str">
        <f aca="false">IF(OR($C197="",$F197=""),"",IF($B197="입고",$F197,IF($B197="출고",-$F197,$F197)))</f>
        <v/>
      </c>
      <c r="K197" s="24" t="str">
        <f aca="false">IF($C197="","",IFERROR(INDEX(예비품목록!$E$3:$E$202,MATCH($C197,예비품목록!$A$3:$A$202,0)),0)+SUMIFS($J$3:$J197,$C$3:$C197,$C197))</f>
        <v/>
      </c>
    </row>
    <row r="198" customFormat="false" ht="15" hidden="false" customHeight="true" outlineLevel="0" collapsed="false">
      <c r="A198" s="12"/>
      <c r="B198" s="9"/>
      <c r="C198" s="9"/>
      <c r="D198" s="15" t="str">
        <f aca="false">IF($C198="","",IFERROR(INDEX(예비품목록!$B$3:$B$202,MATCH($C198,예비품목록!$A$3:$A$202,0)),"미등록품번"))</f>
        <v/>
      </c>
      <c r="E198" s="15" t="str">
        <f aca="false">IF($C198="","",IFERROR(INDEX(예비품목록!$D$3:$D$202,MATCH($C198,예비품목록!$A$3:$A$202,0)),""))</f>
        <v/>
      </c>
      <c r="F198" s="11"/>
      <c r="G198" s="9"/>
      <c r="H198" s="9"/>
      <c r="I198" s="9"/>
      <c r="J198" s="23" t="str">
        <f aca="false">IF(OR($C198="",$F198=""),"",IF($B198="입고",$F198,IF($B198="출고",-$F198,$F198)))</f>
        <v/>
      </c>
      <c r="K198" s="24" t="str">
        <f aca="false">IF($C198="","",IFERROR(INDEX(예비품목록!$E$3:$E$202,MATCH($C198,예비품목록!$A$3:$A$202,0)),0)+SUMIFS($J$3:$J198,$C$3:$C198,$C198))</f>
        <v/>
      </c>
    </row>
    <row r="199" customFormat="false" ht="15" hidden="false" customHeight="true" outlineLevel="0" collapsed="false">
      <c r="A199" s="12"/>
      <c r="B199" s="9"/>
      <c r="C199" s="9"/>
      <c r="D199" s="15" t="str">
        <f aca="false">IF($C199="","",IFERROR(INDEX(예비품목록!$B$3:$B$202,MATCH($C199,예비품목록!$A$3:$A$202,0)),"미등록품번"))</f>
        <v/>
      </c>
      <c r="E199" s="15" t="str">
        <f aca="false">IF($C199="","",IFERROR(INDEX(예비품목록!$D$3:$D$202,MATCH($C199,예비품목록!$A$3:$A$202,0)),""))</f>
        <v/>
      </c>
      <c r="F199" s="11"/>
      <c r="G199" s="9"/>
      <c r="H199" s="9"/>
      <c r="I199" s="9"/>
      <c r="J199" s="23" t="str">
        <f aca="false">IF(OR($C199="",$F199=""),"",IF($B199="입고",$F199,IF($B199="출고",-$F199,$F199)))</f>
        <v/>
      </c>
      <c r="K199" s="24" t="str">
        <f aca="false">IF($C199="","",IFERROR(INDEX(예비품목록!$E$3:$E$202,MATCH($C199,예비품목록!$A$3:$A$202,0)),0)+SUMIFS($J$3:$J199,$C$3:$C199,$C199))</f>
        <v/>
      </c>
    </row>
    <row r="200" customFormat="false" ht="15" hidden="false" customHeight="true" outlineLevel="0" collapsed="false">
      <c r="A200" s="12"/>
      <c r="B200" s="9"/>
      <c r="C200" s="9"/>
      <c r="D200" s="15" t="str">
        <f aca="false">IF($C200="","",IFERROR(INDEX(예비품목록!$B$3:$B$202,MATCH($C200,예비품목록!$A$3:$A$202,0)),"미등록품번"))</f>
        <v/>
      </c>
      <c r="E200" s="15" t="str">
        <f aca="false">IF($C200="","",IFERROR(INDEX(예비품목록!$D$3:$D$202,MATCH($C200,예비품목록!$A$3:$A$202,0)),""))</f>
        <v/>
      </c>
      <c r="F200" s="11"/>
      <c r="G200" s="9"/>
      <c r="H200" s="9"/>
      <c r="I200" s="9"/>
      <c r="J200" s="23" t="str">
        <f aca="false">IF(OR($C200="",$F200=""),"",IF($B200="입고",$F200,IF($B200="출고",-$F200,$F200)))</f>
        <v/>
      </c>
      <c r="K200" s="24" t="str">
        <f aca="false">IF($C200="","",IFERROR(INDEX(예비품목록!$E$3:$E$202,MATCH($C200,예비품목록!$A$3:$A$202,0)),0)+SUMIFS($J$3:$J200,$C$3:$C200,$C200))</f>
        <v/>
      </c>
    </row>
    <row r="201" customFormat="false" ht="15" hidden="false" customHeight="true" outlineLevel="0" collapsed="false">
      <c r="A201" s="12"/>
      <c r="B201" s="9"/>
      <c r="C201" s="9"/>
      <c r="D201" s="15" t="str">
        <f aca="false">IF($C201="","",IFERROR(INDEX(예비품목록!$B$3:$B$202,MATCH($C201,예비품목록!$A$3:$A$202,0)),"미등록품번"))</f>
        <v/>
      </c>
      <c r="E201" s="15" t="str">
        <f aca="false">IF($C201="","",IFERROR(INDEX(예비품목록!$D$3:$D$202,MATCH($C201,예비품목록!$A$3:$A$202,0)),""))</f>
        <v/>
      </c>
      <c r="F201" s="11"/>
      <c r="G201" s="9"/>
      <c r="H201" s="9"/>
      <c r="I201" s="9"/>
      <c r="J201" s="23" t="str">
        <f aca="false">IF(OR($C201="",$F201=""),"",IF($B201="입고",$F201,IF($B201="출고",-$F201,$F201)))</f>
        <v/>
      </c>
      <c r="K201" s="24" t="str">
        <f aca="false">IF($C201="","",IFERROR(INDEX(예비품목록!$E$3:$E$202,MATCH($C201,예비품목록!$A$3:$A$202,0)),0)+SUMIFS($J$3:$J201,$C$3:$C201,$C201))</f>
        <v/>
      </c>
    </row>
    <row r="202" customFormat="false" ht="15" hidden="false" customHeight="true" outlineLevel="0" collapsed="false">
      <c r="A202" s="12"/>
      <c r="B202" s="9"/>
      <c r="C202" s="9"/>
      <c r="D202" s="15" t="str">
        <f aca="false">IF($C202="","",IFERROR(INDEX(예비품목록!$B$3:$B$202,MATCH($C202,예비품목록!$A$3:$A$202,0)),"미등록품번"))</f>
        <v/>
      </c>
      <c r="E202" s="15" t="str">
        <f aca="false">IF($C202="","",IFERROR(INDEX(예비품목록!$D$3:$D$202,MATCH($C202,예비품목록!$A$3:$A$202,0)),""))</f>
        <v/>
      </c>
      <c r="F202" s="11"/>
      <c r="G202" s="9"/>
      <c r="H202" s="9"/>
      <c r="I202" s="9"/>
      <c r="J202" s="23" t="str">
        <f aca="false">IF(OR($C202="",$F202=""),"",IF($B202="입고",$F202,IF($B202="출고",-$F202,$F202)))</f>
        <v/>
      </c>
      <c r="K202" s="24" t="str">
        <f aca="false">IF($C202="","",IFERROR(INDEX(예비품목록!$E$3:$E$202,MATCH($C202,예비품목록!$A$3:$A$202,0)),0)+SUMIFS($J$3:$J202,$C$3:$C202,$C202))</f>
        <v/>
      </c>
    </row>
    <row r="203" customFormat="false" ht="15" hidden="false" customHeight="true" outlineLevel="0" collapsed="false">
      <c r="A203" s="12"/>
      <c r="B203" s="9"/>
      <c r="C203" s="9"/>
      <c r="D203" s="15" t="str">
        <f aca="false">IF($C203="","",IFERROR(INDEX(예비품목록!$B$3:$B$202,MATCH($C203,예비품목록!$A$3:$A$202,0)),"미등록품번"))</f>
        <v/>
      </c>
      <c r="E203" s="15" t="str">
        <f aca="false">IF($C203="","",IFERROR(INDEX(예비품목록!$D$3:$D$202,MATCH($C203,예비품목록!$A$3:$A$202,0)),""))</f>
        <v/>
      </c>
      <c r="F203" s="11"/>
      <c r="G203" s="9"/>
      <c r="H203" s="9"/>
      <c r="I203" s="9"/>
      <c r="J203" s="23" t="str">
        <f aca="false">IF(OR($C203="",$F203=""),"",IF($B203="입고",$F203,IF($B203="출고",-$F203,$F203)))</f>
        <v/>
      </c>
      <c r="K203" s="24" t="str">
        <f aca="false">IF($C203="","",IFERROR(INDEX(예비품목록!$E$3:$E$202,MATCH($C203,예비품목록!$A$3:$A$202,0)),0)+SUMIFS($J$3:$J203,$C$3:$C203,$C203))</f>
        <v/>
      </c>
    </row>
    <row r="204" customFormat="false" ht="15" hidden="false" customHeight="true" outlineLevel="0" collapsed="false">
      <c r="A204" s="12"/>
      <c r="B204" s="9"/>
      <c r="C204" s="9"/>
      <c r="D204" s="15" t="str">
        <f aca="false">IF($C204="","",IFERROR(INDEX(예비품목록!$B$3:$B$202,MATCH($C204,예비품목록!$A$3:$A$202,0)),"미등록품번"))</f>
        <v/>
      </c>
      <c r="E204" s="15" t="str">
        <f aca="false">IF($C204="","",IFERROR(INDEX(예비품목록!$D$3:$D$202,MATCH($C204,예비품목록!$A$3:$A$202,0)),""))</f>
        <v/>
      </c>
      <c r="F204" s="11"/>
      <c r="G204" s="9"/>
      <c r="H204" s="9"/>
      <c r="I204" s="9"/>
      <c r="J204" s="23" t="str">
        <f aca="false">IF(OR($C204="",$F204=""),"",IF($B204="입고",$F204,IF($B204="출고",-$F204,$F204)))</f>
        <v/>
      </c>
      <c r="K204" s="24" t="str">
        <f aca="false">IF($C204="","",IFERROR(INDEX(예비품목록!$E$3:$E$202,MATCH($C204,예비품목록!$A$3:$A$202,0)),0)+SUMIFS($J$3:$J204,$C$3:$C204,$C204))</f>
        <v/>
      </c>
    </row>
    <row r="205" customFormat="false" ht="15" hidden="false" customHeight="true" outlineLevel="0" collapsed="false">
      <c r="A205" s="12"/>
      <c r="B205" s="9"/>
      <c r="C205" s="9"/>
      <c r="D205" s="15" t="str">
        <f aca="false">IF($C205="","",IFERROR(INDEX(예비품목록!$B$3:$B$202,MATCH($C205,예비품목록!$A$3:$A$202,0)),"미등록품번"))</f>
        <v/>
      </c>
      <c r="E205" s="15" t="str">
        <f aca="false">IF($C205="","",IFERROR(INDEX(예비품목록!$D$3:$D$202,MATCH($C205,예비품목록!$A$3:$A$202,0)),""))</f>
        <v/>
      </c>
      <c r="F205" s="11"/>
      <c r="G205" s="9"/>
      <c r="H205" s="9"/>
      <c r="I205" s="9"/>
      <c r="J205" s="23" t="str">
        <f aca="false">IF(OR($C205="",$F205=""),"",IF($B205="입고",$F205,IF($B205="출고",-$F205,$F205)))</f>
        <v/>
      </c>
      <c r="K205" s="24" t="str">
        <f aca="false">IF($C205="","",IFERROR(INDEX(예비품목록!$E$3:$E$202,MATCH($C205,예비품목록!$A$3:$A$202,0)),0)+SUMIFS($J$3:$J205,$C$3:$C205,$C205))</f>
        <v/>
      </c>
    </row>
    <row r="206" customFormat="false" ht="15" hidden="false" customHeight="true" outlineLevel="0" collapsed="false">
      <c r="A206" s="12"/>
      <c r="B206" s="9"/>
      <c r="C206" s="9"/>
      <c r="D206" s="15" t="str">
        <f aca="false">IF($C206="","",IFERROR(INDEX(예비품목록!$B$3:$B$202,MATCH($C206,예비품목록!$A$3:$A$202,0)),"미등록품번"))</f>
        <v/>
      </c>
      <c r="E206" s="15" t="str">
        <f aca="false">IF($C206="","",IFERROR(INDEX(예비품목록!$D$3:$D$202,MATCH($C206,예비품목록!$A$3:$A$202,0)),""))</f>
        <v/>
      </c>
      <c r="F206" s="11"/>
      <c r="G206" s="9"/>
      <c r="H206" s="9"/>
      <c r="I206" s="9"/>
      <c r="J206" s="23" t="str">
        <f aca="false">IF(OR($C206="",$F206=""),"",IF($B206="입고",$F206,IF($B206="출고",-$F206,$F206)))</f>
        <v/>
      </c>
      <c r="K206" s="24" t="str">
        <f aca="false">IF($C206="","",IFERROR(INDEX(예비품목록!$E$3:$E$202,MATCH($C206,예비품목록!$A$3:$A$202,0)),0)+SUMIFS($J$3:$J206,$C$3:$C206,$C206))</f>
        <v/>
      </c>
    </row>
    <row r="207" customFormat="false" ht="15" hidden="false" customHeight="true" outlineLevel="0" collapsed="false">
      <c r="A207" s="12"/>
      <c r="B207" s="9"/>
      <c r="C207" s="9"/>
      <c r="D207" s="15" t="str">
        <f aca="false">IF($C207="","",IFERROR(INDEX(예비품목록!$B$3:$B$202,MATCH($C207,예비품목록!$A$3:$A$202,0)),"미등록품번"))</f>
        <v/>
      </c>
      <c r="E207" s="15" t="str">
        <f aca="false">IF($C207="","",IFERROR(INDEX(예비품목록!$D$3:$D$202,MATCH($C207,예비품목록!$A$3:$A$202,0)),""))</f>
        <v/>
      </c>
      <c r="F207" s="11"/>
      <c r="G207" s="9"/>
      <c r="H207" s="9"/>
      <c r="I207" s="9"/>
      <c r="J207" s="23" t="str">
        <f aca="false">IF(OR($C207="",$F207=""),"",IF($B207="입고",$F207,IF($B207="출고",-$F207,$F207)))</f>
        <v/>
      </c>
      <c r="K207" s="24" t="str">
        <f aca="false">IF($C207="","",IFERROR(INDEX(예비품목록!$E$3:$E$202,MATCH($C207,예비품목록!$A$3:$A$202,0)),0)+SUMIFS($J$3:$J207,$C$3:$C207,$C207))</f>
        <v/>
      </c>
    </row>
    <row r="208" customFormat="false" ht="15" hidden="false" customHeight="true" outlineLevel="0" collapsed="false">
      <c r="A208" s="12"/>
      <c r="B208" s="9"/>
      <c r="C208" s="9"/>
      <c r="D208" s="15" t="str">
        <f aca="false">IF($C208="","",IFERROR(INDEX(예비품목록!$B$3:$B$202,MATCH($C208,예비품목록!$A$3:$A$202,0)),"미등록품번"))</f>
        <v/>
      </c>
      <c r="E208" s="15" t="str">
        <f aca="false">IF($C208="","",IFERROR(INDEX(예비품목록!$D$3:$D$202,MATCH($C208,예비품목록!$A$3:$A$202,0)),""))</f>
        <v/>
      </c>
      <c r="F208" s="11"/>
      <c r="G208" s="9"/>
      <c r="H208" s="9"/>
      <c r="I208" s="9"/>
      <c r="J208" s="23" t="str">
        <f aca="false">IF(OR($C208="",$F208=""),"",IF($B208="입고",$F208,IF($B208="출고",-$F208,$F208)))</f>
        <v/>
      </c>
      <c r="K208" s="24" t="str">
        <f aca="false">IF($C208="","",IFERROR(INDEX(예비품목록!$E$3:$E$202,MATCH($C208,예비품목록!$A$3:$A$202,0)),0)+SUMIFS($J$3:$J208,$C$3:$C208,$C208))</f>
        <v/>
      </c>
    </row>
    <row r="209" customFormat="false" ht="15" hidden="false" customHeight="true" outlineLevel="0" collapsed="false">
      <c r="A209" s="12"/>
      <c r="B209" s="9"/>
      <c r="C209" s="9"/>
      <c r="D209" s="15" t="str">
        <f aca="false">IF($C209="","",IFERROR(INDEX(예비품목록!$B$3:$B$202,MATCH($C209,예비품목록!$A$3:$A$202,0)),"미등록품번"))</f>
        <v/>
      </c>
      <c r="E209" s="15" t="str">
        <f aca="false">IF($C209="","",IFERROR(INDEX(예비품목록!$D$3:$D$202,MATCH($C209,예비품목록!$A$3:$A$202,0)),""))</f>
        <v/>
      </c>
      <c r="F209" s="11"/>
      <c r="G209" s="9"/>
      <c r="H209" s="9"/>
      <c r="I209" s="9"/>
      <c r="J209" s="23" t="str">
        <f aca="false">IF(OR($C209="",$F209=""),"",IF($B209="입고",$F209,IF($B209="출고",-$F209,$F209)))</f>
        <v/>
      </c>
      <c r="K209" s="24" t="str">
        <f aca="false">IF($C209="","",IFERROR(INDEX(예비품목록!$E$3:$E$202,MATCH($C209,예비품목록!$A$3:$A$202,0)),0)+SUMIFS($J$3:$J209,$C$3:$C209,$C209))</f>
        <v/>
      </c>
    </row>
    <row r="210" customFormat="false" ht="15" hidden="false" customHeight="true" outlineLevel="0" collapsed="false">
      <c r="A210" s="12"/>
      <c r="B210" s="9"/>
      <c r="C210" s="9"/>
      <c r="D210" s="15" t="str">
        <f aca="false">IF($C210="","",IFERROR(INDEX(예비품목록!$B$3:$B$202,MATCH($C210,예비품목록!$A$3:$A$202,0)),"미등록품번"))</f>
        <v/>
      </c>
      <c r="E210" s="15" t="str">
        <f aca="false">IF($C210="","",IFERROR(INDEX(예비품목록!$D$3:$D$202,MATCH($C210,예비품목록!$A$3:$A$202,0)),""))</f>
        <v/>
      </c>
      <c r="F210" s="11"/>
      <c r="G210" s="9"/>
      <c r="H210" s="9"/>
      <c r="I210" s="9"/>
      <c r="J210" s="23" t="str">
        <f aca="false">IF(OR($C210="",$F210=""),"",IF($B210="입고",$F210,IF($B210="출고",-$F210,$F210)))</f>
        <v/>
      </c>
      <c r="K210" s="24" t="str">
        <f aca="false">IF($C210="","",IFERROR(INDEX(예비품목록!$E$3:$E$202,MATCH($C210,예비품목록!$A$3:$A$202,0)),0)+SUMIFS($J$3:$J210,$C$3:$C210,$C210))</f>
        <v/>
      </c>
    </row>
    <row r="211" customFormat="false" ht="15" hidden="false" customHeight="true" outlineLevel="0" collapsed="false">
      <c r="A211" s="12"/>
      <c r="B211" s="9"/>
      <c r="C211" s="9"/>
      <c r="D211" s="15" t="str">
        <f aca="false">IF($C211="","",IFERROR(INDEX(예비품목록!$B$3:$B$202,MATCH($C211,예비품목록!$A$3:$A$202,0)),"미등록품번"))</f>
        <v/>
      </c>
      <c r="E211" s="15" t="str">
        <f aca="false">IF($C211="","",IFERROR(INDEX(예비품목록!$D$3:$D$202,MATCH($C211,예비품목록!$A$3:$A$202,0)),""))</f>
        <v/>
      </c>
      <c r="F211" s="11"/>
      <c r="G211" s="9"/>
      <c r="H211" s="9"/>
      <c r="I211" s="9"/>
      <c r="J211" s="23" t="str">
        <f aca="false">IF(OR($C211="",$F211=""),"",IF($B211="입고",$F211,IF($B211="출고",-$F211,$F211)))</f>
        <v/>
      </c>
      <c r="K211" s="24" t="str">
        <f aca="false">IF($C211="","",IFERROR(INDEX(예비품목록!$E$3:$E$202,MATCH($C211,예비품목록!$A$3:$A$202,0)),0)+SUMIFS($J$3:$J211,$C$3:$C211,$C211))</f>
        <v/>
      </c>
    </row>
    <row r="212" customFormat="false" ht="15" hidden="false" customHeight="true" outlineLevel="0" collapsed="false">
      <c r="A212" s="12"/>
      <c r="B212" s="9"/>
      <c r="C212" s="9"/>
      <c r="D212" s="15" t="str">
        <f aca="false">IF($C212="","",IFERROR(INDEX(예비품목록!$B$3:$B$202,MATCH($C212,예비품목록!$A$3:$A$202,0)),"미등록품번"))</f>
        <v/>
      </c>
      <c r="E212" s="15" t="str">
        <f aca="false">IF($C212="","",IFERROR(INDEX(예비품목록!$D$3:$D$202,MATCH($C212,예비품목록!$A$3:$A$202,0)),""))</f>
        <v/>
      </c>
      <c r="F212" s="11"/>
      <c r="G212" s="9"/>
      <c r="H212" s="9"/>
      <c r="I212" s="9"/>
      <c r="J212" s="23" t="str">
        <f aca="false">IF(OR($C212="",$F212=""),"",IF($B212="입고",$F212,IF($B212="출고",-$F212,$F212)))</f>
        <v/>
      </c>
      <c r="K212" s="24" t="str">
        <f aca="false">IF($C212="","",IFERROR(INDEX(예비품목록!$E$3:$E$202,MATCH($C212,예비품목록!$A$3:$A$202,0)),0)+SUMIFS($J$3:$J212,$C$3:$C212,$C212))</f>
        <v/>
      </c>
    </row>
    <row r="213" customFormat="false" ht="15" hidden="false" customHeight="true" outlineLevel="0" collapsed="false">
      <c r="A213" s="12"/>
      <c r="B213" s="9"/>
      <c r="C213" s="9"/>
      <c r="D213" s="15" t="str">
        <f aca="false">IF($C213="","",IFERROR(INDEX(예비품목록!$B$3:$B$202,MATCH($C213,예비품목록!$A$3:$A$202,0)),"미등록품번"))</f>
        <v/>
      </c>
      <c r="E213" s="15" t="str">
        <f aca="false">IF($C213="","",IFERROR(INDEX(예비품목록!$D$3:$D$202,MATCH($C213,예비품목록!$A$3:$A$202,0)),""))</f>
        <v/>
      </c>
      <c r="F213" s="11"/>
      <c r="G213" s="9"/>
      <c r="H213" s="9"/>
      <c r="I213" s="9"/>
      <c r="J213" s="23" t="str">
        <f aca="false">IF(OR($C213="",$F213=""),"",IF($B213="입고",$F213,IF($B213="출고",-$F213,$F213)))</f>
        <v/>
      </c>
      <c r="K213" s="24" t="str">
        <f aca="false">IF($C213="","",IFERROR(INDEX(예비품목록!$E$3:$E$202,MATCH($C213,예비품목록!$A$3:$A$202,0)),0)+SUMIFS($J$3:$J213,$C$3:$C213,$C213))</f>
        <v/>
      </c>
    </row>
    <row r="214" customFormat="false" ht="15" hidden="false" customHeight="true" outlineLevel="0" collapsed="false">
      <c r="A214" s="12"/>
      <c r="B214" s="9"/>
      <c r="C214" s="9"/>
      <c r="D214" s="15" t="str">
        <f aca="false">IF($C214="","",IFERROR(INDEX(예비품목록!$B$3:$B$202,MATCH($C214,예비품목록!$A$3:$A$202,0)),"미등록품번"))</f>
        <v/>
      </c>
      <c r="E214" s="15" t="str">
        <f aca="false">IF($C214="","",IFERROR(INDEX(예비품목록!$D$3:$D$202,MATCH($C214,예비품목록!$A$3:$A$202,0)),""))</f>
        <v/>
      </c>
      <c r="F214" s="11"/>
      <c r="G214" s="9"/>
      <c r="H214" s="9"/>
      <c r="I214" s="9"/>
      <c r="J214" s="23" t="str">
        <f aca="false">IF(OR($C214="",$F214=""),"",IF($B214="입고",$F214,IF($B214="출고",-$F214,$F214)))</f>
        <v/>
      </c>
      <c r="K214" s="24" t="str">
        <f aca="false">IF($C214="","",IFERROR(INDEX(예비품목록!$E$3:$E$202,MATCH($C214,예비품목록!$A$3:$A$202,0)),0)+SUMIFS($J$3:$J214,$C$3:$C214,$C214))</f>
        <v/>
      </c>
    </row>
    <row r="215" customFormat="false" ht="15" hidden="false" customHeight="true" outlineLevel="0" collapsed="false">
      <c r="A215" s="12"/>
      <c r="B215" s="9"/>
      <c r="C215" s="9"/>
      <c r="D215" s="15" t="str">
        <f aca="false">IF($C215="","",IFERROR(INDEX(예비품목록!$B$3:$B$202,MATCH($C215,예비품목록!$A$3:$A$202,0)),"미등록품번"))</f>
        <v/>
      </c>
      <c r="E215" s="15" t="str">
        <f aca="false">IF($C215="","",IFERROR(INDEX(예비품목록!$D$3:$D$202,MATCH($C215,예비품목록!$A$3:$A$202,0)),""))</f>
        <v/>
      </c>
      <c r="F215" s="11"/>
      <c r="G215" s="9"/>
      <c r="H215" s="9"/>
      <c r="I215" s="9"/>
      <c r="J215" s="23" t="str">
        <f aca="false">IF(OR($C215="",$F215=""),"",IF($B215="입고",$F215,IF($B215="출고",-$F215,$F215)))</f>
        <v/>
      </c>
      <c r="K215" s="24" t="str">
        <f aca="false">IF($C215="","",IFERROR(INDEX(예비품목록!$E$3:$E$202,MATCH($C215,예비품목록!$A$3:$A$202,0)),0)+SUMIFS($J$3:$J215,$C$3:$C215,$C215))</f>
        <v/>
      </c>
    </row>
    <row r="216" customFormat="false" ht="15" hidden="false" customHeight="true" outlineLevel="0" collapsed="false">
      <c r="A216" s="12"/>
      <c r="B216" s="9"/>
      <c r="C216" s="9"/>
      <c r="D216" s="15" t="str">
        <f aca="false">IF($C216="","",IFERROR(INDEX(예비품목록!$B$3:$B$202,MATCH($C216,예비품목록!$A$3:$A$202,0)),"미등록품번"))</f>
        <v/>
      </c>
      <c r="E216" s="15" t="str">
        <f aca="false">IF($C216="","",IFERROR(INDEX(예비품목록!$D$3:$D$202,MATCH($C216,예비품목록!$A$3:$A$202,0)),""))</f>
        <v/>
      </c>
      <c r="F216" s="11"/>
      <c r="G216" s="9"/>
      <c r="H216" s="9"/>
      <c r="I216" s="9"/>
      <c r="J216" s="23" t="str">
        <f aca="false">IF(OR($C216="",$F216=""),"",IF($B216="입고",$F216,IF($B216="출고",-$F216,$F216)))</f>
        <v/>
      </c>
      <c r="K216" s="24" t="str">
        <f aca="false">IF($C216="","",IFERROR(INDEX(예비품목록!$E$3:$E$202,MATCH($C216,예비품목록!$A$3:$A$202,0)),0)+SUMIFS($J$3:$J216,$C$3:$C216,$C216))</f>
        <v/>
      </c>
    </row>
    <row r="217" customFormat="false" ht="15" hidden="false" customHeight="true" outlineLevel="0" collapsed="false">
      <c r="A217" s="12"/>
      <c r="B217" s="9"/>
      <c r="C217" s="9"/>
      <c r="D217" s="15" t="str">
        <f aca="false">IF($C217="","",IFERROR(INDEX(예비품목록!$B$3:$B$202,MATCH($C217,예비품목록!$A$3:$A$202,0)),"미등록품번"))</f>
        <v/>
      </c>
      <c r="E217" s="15" t="str">
        <f aca="false">IF($C217="","",IFERROR(INDEX(예비품목록!$D$3:$D$202,MATCH($C217,예비품목록!$A$3:$A$202,0)),""))</f>
        <v/>
      </c>
      <c r="F217" s="11"/>
      <c r="G217" s="9"/>
      <c r="H217" s="9"/>
      <c r="I217" s="9"/>
      <c r="J217" s="23" t="str">
        <f aca="false">IF(OR($C217="",$F217=""),"",IF($B217="입고",$F217,IF($B217="출고",-$F217,$F217)))</f>
        <v/>
      </c>
      <c r="K217" s="24" t="str">
        <f aca="false">IF($C217="","",IFERROR(INDEX(예비품목록!$E$3:$E$202,MATCH($C217,예비품목록!$A$3:$A$202,0)),0)+SUMIFS($J$3:$J217,$C$3:$C217,$C217))</f>
        <v/>
      </c>
    </row>
    <row r="218" customFormat="false" ht="15" hidden="false" customHeight="true" outlineLevel="0" collapsed="false">
      <c r="A218" s="12"/>
      <c r="B218" s="9"/>
      <c r="C218" s="9"/>
      <c r="D218" s="15" t="str">
        <f aca="false">IF($C218="","",IFERROR(INDEX(예비품목록!$B$3:$B$202,MATCH($C218,예비품목록!$A$3:$A$202,0)),"미등록품번"))</f>
        <v/>
      </c>
      <c r="E218" s="15" t="str">
        <f aca="false">IF($C218="","",IFERROR(INDEX(예비품목록!$D$3:$D$202,MATCH($C218,예비품목록!$A$3:$A$202,0)),""))</f>
        <v/>
      </c>
      <c r="F218" s="11"/>
      <c r="G218" s="9"/>
      <c r="H218" s="9"/>
      <c r="I218" s="9"/>
      <c r="J218" s="23" t="str">
        <f aca="false">IF(OR($C218="",$F218=""),"",IF($B218="입고",$F218,IF($B218="출고",-$F218,$F218)))</f>
        <v/>
      </c>
      <c r="K218" s="24" t="str">
        <f aca="false">IF($C218="","",IFERROR(INDEX(예비품목록!$E$3:$E$202,MATCH($C218,예비품목록!$A$3:$A$202,0)),0)+SUMIFS($J$3:$J218,$C$3:$C218,$C218))</f>
        <v/>
      </c>
    </row>
    <row r="219" customFormat="false" ht="15" hidden="false" customHeight="true" outlineLevel="0" collapsed="false">
      <c r="A219" s="12"/>
      <c r="B219" s="9"/>
      <c r="C219" s="9"/>
      <c r="D219" s="15" t="str">
        <f aca="false">IF($C219="","",IFERROR(INDEX(예비품목록!$B$3:$B$202,MATCH($C219,예비품목록!$A$3:$A$202,0)),"미등록품번"))</f>
        <v/>
      </c>
      <c r="E219" s="15" t="str">
        <f aca="false">IF($C219="","",IFERROR(INDEX(예비품목록!$D$3:$D$202,MATCH($C219,예비품목록!$A$3:$A$202,0)),""))</f>
        <v/>
      </c>
      <c r="F219" s="11"/>
      <c r="G219" s="9"/>
      <c r="H219" s="9"/>
      <c r="I219" s="9"/>
      <c r="J219" s="23" t="str">
        <f aca="false">IF(OR($C219="",$F219=""),"",IF($B219="입고",$F219,IF($B219="출고",-$F219,$F219)))</f>
        <v/>
      </c>
      <c r="K219" s="24" t="str">
        <f aca="false">IF($C219="","",IFERROR(INDEX(예비품목록!$E$3:$E$202,MATCH($C219,예비품목록!$A$3:$A$202,0)),0)+SUMIFS($J$3:$J219,$C$3:$C219,$C219))</f>
        <v/>
      </c>
    </row>
    <row r="220" customFormat="false" ht="15" hidden="false" customHeight="true" outlineLevel="0" collapsed="false">
      <c r="A220" s="12"/>
      <c r="B220" s="9"/>
      <c r="C220" s="9"/>
      <c r="D220" s="15" t="str">
        <f aca="false">IF($C220="","",IFERROR(INDEX(예비품목록!$B$3:$B$202,MATCH($C220,예비품목록!$A$3:$A$202,0)),"미등록품번"))</f>
        <v/>
      </c>
      <c r="E220" s="15" t="str">
        <f aca="false">IF($C220="","",IFERROR(INDEX(예비품목록!$D$3:$D$202,MATCH($C220,예비품목록!$A$3:$A$202,0)),""))</f>
        <v/>
      </c>
      <c r="F220" s="11"/>
      <c r="G220" s="9"/>
      <c r="H220" s="9"/>
      <c r="I220" s="9"/>
      <c r="J220" s="23" t="str">
        <f aca="false">IF(OR($C220="",$F220=""),"",IF($B220="입고",$F220,IF($B220="출고",-$F220,$F220)))</f>
        <v/>
      </c>
      <c r="K220" s="24" t="str">
        <f aca="false">IF($C220="","",IFERROR(INDEX(예비품목록!$E$3:$E$202,MATCH($C220,예비품목록!$A$3:$A$202,0)),0)+SUMIFS($J$3:$J220,$C$3:$C220,$C220))</f>
        <v/>
      </c>
    </row>
    <row r="221" customFormat="false" ht="15" hidden="false" customHeight="true" outlineLevel="0" collapsed="false">
      <c r="A221" s="12"/>
      <c r="B221" s="9"/>
      <c r="C221" s="9"/>
      <c r="D221" s="15" t="str">
        <f aca="false">IF($C221="","",IFERROR(INDEX(예비품목록!$B$3:$B$202,MATCH($C221,예비품목록!$A$3:$A$202,0)),"미등록품번"))</f>
        <v/>
      </c>
      <c r="E221" s="15" t="str">
        <f aca="false">IF($C221="","",IFERROR(INDEX(예비품목록!$D$3:$D$202,MATCH($C221,예비품목록!$A$3:$A$202,0)),""))</f>
        <v/>
      </c>
      <c r="F221" s="11"/>
      <c r="G221" s="9"/>
      <c r="H221" s="9"/>
      <c r="I221" s="9"/>
      <c r="J221" s="23" t="str">
        <f aca="false">IF(OR($C221="",$F221=""),"",IF($B221="입고",$F221,IF($B221="출고",-$F221,$F221)))</f>
        <v/>
      </c>
      <c r="K221" s="24" t="str">
        <f aca="false">IF($C221="","",IFERROR(INDEX(예비품목록!$E$3:$E$202,MATCH($C221,예비품목록!$A$3:$A$202,0)),0)+SUMIFS($J$3:$J221,$C$3:$C221,$C221))</f>
        <v/>
      </c>
    </row>
    <row r="222" customFormat="false" ht="15" hidden="false" customHeight="true" outlineLevel="0" collapsed="false">
      <c r="A222" s="12"/>
      <c r="B222" s="9"/>
      <c r="C222" s="9"/>
      <c r="D222" s="15" t="str">
        <f aca="false">IF($C222="","",IFERROR(INDEX(예비품목록!$B$3:$B$202,MATCH($C222,예비품목록!$A$3:$A$202,0)),"미등록품번"))</f>
        <v/>
      </c>
      <c r="E222" s="15" t="str">
        <f aca="false">IF($C222="","",IFERROR(INDEX(예비품목록!$D$3:$D$202,MATCH($C222,예비품목록!$A$3:$A$202,0)),""))</f>
        <v/>
      </c>
      <c r="F222" s="11"/>
      <c r="G222" s="9"/>
      <c r="H222" s="9"/>
      <c r="I222" s="9"/>
      <c r="J222" s="23" t="str">
        <f aca="false">IF(OR($C222="",$F222=""),"",IF($B222="입고",$F222,IF($B222="출고",-$F222,$F222)))</f>
        <v/>
      </c>
      <c r="K222" s="24" t="str">
        <f aca="false">IF($C222="","",IFERROR(INDEX(예비품목록!$E$3:$E$202,MATCH($C222,예비품목록!$A$3:$A$202,0)),0)+SUMIFS($J$3:$J222,$C$3:$C222,$C222))</f>
        <v/>
      </c>
    </row>
    <row r="223" customFormat="false" ht="15" hidden="false" customHeight="true" outlineLevel="0" collapsed="false">
      <c r="A223" s="12"/>
      <c r="B223" s="9"/>
      <c r="C223" s="9"/>
      <c r="D223" s="15" t="str">
        <f aca="false">IF($C223="","",IFERROR(INDEX(예비품목록!$B$3:$B$202,MATCH($C223,예비품목록!$A$3:$A$202,0)),"미등록품번"))</f>
        <v/>
      </c>
      <c r="E223" s="15" t="str">
        <f aca="false">IF($C223="","",IFERROR(INDEX(예비품목록!$D$3:$D$202,MATCH($C223,예비품목록!$A$3:$A$202,0)),""))</f>
        <v/>
      </c>
      <c r="F223" s="11"/>
      <c r="G223" s="9"/>
      <c r="H223" s="9"/>
      <c r="I223" s="9"/>
      <c r="J223" s="23" t="str">
        <f aca="false">IF(OR($C223="",$F223=""),"",IF($B223="입고",$F223,IF($B223="출고",-$F223,$F223)))</f>
        <v/>
      </c>
      <c r="K223" s="24" t="str">
        <f aca="false">IF($C223="","",IFERROR(INDEX(예비품목록!$E$3:$E$202,MATCH($C223,예비품목록!$A$3:$A$202,0)),0)+SUMIFS($J$3:$J223,$C$3:$C223,$C223))</f>
        <v/>
      </c>
    </row>
    <row r="224" customFormat="false" ht="15" hidden="false" customHeight="true" outlineLevel="0" collapsed="false">
      <c r="A224" s="12"/>
      <c r="B224" s="9"/>
      <c r="C224" s="9"/>
      <c r="D224" s="15" t="str">
        <f aca="false">IF($C224="","",IFERROR(INDEX(예비품목록!$B$3:$B$202,MATCH($C224,예비품목록!$A$3:$A$202,0)),"미등록품번"))</f>
        <v/>
      </c>
      <c r="E224" s="15" t="str">
        <f aca="false">IF($C224="","",IFERROR(INDEX(예비품목록!$D$3:$D$202,MATCH($C224,예비품목록!$A$3:$A$202,0)),""))</f>
        <v/>
      </c>
      <c r="F224" s="11"/>
      <c r="G224" s="9"/>
      <c r="H224" s="9"/>
      <c r="I224" s="9"/>
      <c r="J224" s="23" t="str">
        <f aca="false">IF(OR($C224="",$F224=""),"",IF($B224="입고",$F224,IF($B224="출고",-$F224,$F224)))</f>
        <v/>
      </c>
      <c r="K224" s="24" t="str">
        <f aca="false">IF($C224="","",IFERROR(INDEX(예비품목록!$E$3:$E$202,MATCH($C224,예비품목록!$A$3:$A$202,0)),0)+SUMIFS($J$3:$J224,$C$3:$C224,$C224))</f>
        <v/>
      </c>
    </row>
    <row r="225" customFormat="false" ht="15" hidden="false" customHeight="true" outlineLevel="0" collapsed="false">
      <c r="A225" s="12"/>
      <c r="B225" s="9"/>
      <c r="C225" s="9"/>
      <c r="D225" s="15" t="str">
        <f aca="false">IF($C225="","",IFERROR(INDEX(예비품목록!$B$3:$B$202,MATCH($C225,예비품목록!$A$3:$A$202,0)),"미등록품번"))</f>
        <v/>
      </c>
      <c r="E225" s="15" t="str">
        <f aca="false">IF($C225="","",IFERROR(INDEX(예비품목록!$D$3:$D$202,MATCH($C225,예비품목록!$A$3:$A$202,0)),""))</f>
        <v/>
      </c>
      <c r="F225" s="11"/>
      <c r="G225" s="9"/>
      <c r="H225" s="9"/>
      <c r="I225" s="9"/>
      <c r="J225" s="23" t="str">
        <f aca="false">IF(OR($C225="",$F225=""),"",IF($B225="입고",$F225,IF($B225="출고",-$F225,$F225)))</f>
        <v/>
      </c>
      <c r="K225" s="24" t="str">
        <f aca="false">IF($C225="","",IFERROR(INDEX(예비품목록!$E$3:$E$202,MATCH($C225,예비품목록!$A$3:$A$202,0)),0)+SUMIFS($J$3:$J225,$C$3:$C225,$C225))</f>
        <v/>
      </c>
    </row>
    <row r="226" customFormat="false" ht="15" hidden="false" customHeight="true" outlineLevel="0" collapsed="false">
      <c r="A226" s="12"/>
      <c r="B226" s="9"/>
      <c r="C226" s="9"/>
      <c r="D226" s="15" t="str">
        <f aca="false">IF($C226="","",IFERROR(INDEX(예비품목록!$B$3:$B$202,MATCH($C226,예비품목록!$A$3:$A$202,0)),"미등록품번"))</f>
        <v/>
      </c>
      <c r="E226" s="15" t="str">
        <f aca="false">IF($C226="","",IFERROR(INDEX(예비품목록!$D$3:$D$202,MATCH($C226,예비품목록!$A$3:$A$202,0)),""))</f>
        <v/>
      </c>
      <c r="F226" s="11"/>
      <c r="G226" s="9"/>
      <c r="H226" s="9"/>
      <c r="I226" s="9"/>
      <c r="J226" s="23" t="str">
        <f aca="false">IF(OR($C226="",$F226=""),"",IF($B226="입고",$F226,IF($B226="출고",-$F226,$F226)))</f>
        <v/>
      </c>
      <c r="K226" s="24" t="str">
        <f aca="false">IF($C226="","",IFERROR(INDEX(예비품목록!$E$3:$E$202,MATCH($C226,예비품목록!$A$3:$A$202,0)),0)+SUMIFS($J$3:$J226,$C$3:$C226,$C226))</f>
        <v/>
      </c>
    </row>
    <row r="227" customFormat="false" ht="15" hidden="false" customHeight="true" outlineLevel="0" collapsed="false">
      <c r="A227" s="12"/>
      <c r="B227" s="9"/>
      <c r="C227" s="9"/>
      <c r="D227" s="15" t="str">
        <f aca="false">IF($C227="","",IFERROR(INDEX(예비품목록!$B$3:$B$202,MATCH($C227,예비품목록!$A$3:$A$202,0)),"미등록품번"))</f>
        <v/>
      </c>
      <c r="E227" s="15" t="str">
        <f aca="false">IF($C227="","",IFERROR(INDEX(예비품목록!$D$3:$D$202,MATCH($C227,예비품목록!$A$3:$A$202,0)),""))</f>
        <v/>
      </c>
      <c r="F227" s="11"/>
      <c r="G227" s="9"/>
      <c r="H227" s="9"/>
      <c r="I227" s="9"/>
      <c r="J227" s="23" t="str">
        <f aca="false">IF(OR($C227="",$F227=""),"",IF($B227="입고",$F227,IF($B227="출고",-$F227,$F227)))</f>
        <v/>
      </c>
      <c r="K227" s="24" t="str">
        <f aca="false">IF($C227="","",IFERROR(INDEX(예비품목록!$E$3:$E$202,MATCH($C227,예비품목록!$A$3:$A$202,0)),0)+SUMIFS($J$3:$J227,$C$3:$C227,$C227))</f>
        <v/>
      </c>
    </row>
    <row r="228" customFormat="false" ht="15" hidden="false" customHeight="true" outlineLevel="0" collapsed="false">
      <c r="A228" s="12"/>
      <c r="B228" s="9"/>
      <c r="C228" s="9"/>
      <c r="D228" s="15" t="str">
        <f aca="false">IF($C228="","",IFERROR(INDEX(예비품목록!$B$3:$B$202,MATCH($C228,예비품목록!$A$3:$A$202,0)),"미등록품번"))</f>
        <v/>
      </c>
      <c r="E228" s="15" t="str">
        <f aca="false">IF($C228="","",IFERROR(INDEX(예비품목록!$D$3:$D$202,MATCH($C228,예비품목록!$A$3:$A$202,0)),""))</f>
        <v/>
      </c>
      <c r="F228" s="11"/>
      <c r="G228" s="9"/>
      <c r="H228" s="9"/>
      <c r="I228" s="9"/>
      <c r="J228" s="23" t="str">
        <f aca="false">IF(OR($C228="",$F228=""),"",IF($B228="입고",$F228,IF($B228="출고",-$F228,$F228)))</f>
        <v/>
      </c>
      <c r="K228" s="24" t="str">
        <f aca="false">IF($C228="","",IFERROR(INDEX(예비품목록!$E$3:$E$202,MATCH($C228,예비품목록!$A$3:$A$202,0)),0)+SUMIFS($J$3:$J228,$C$3:$C228,$C228))</f>
        <v/>
      </c>
    </row>
    <row r="229" customFormat="false" ht="15" hidden="false" customHeight="true" outlineLevel="0" collapsed="false">
      <c r="A229" s="12"/>
      <c r="B229" s="9"/>
      <c r="C229" s="9"/>
      <c r="D229" s="15" t="str">
        <f aca="false">IF($C229="","",IFERROR(INDEX(예비품목록!$B$3:$B$202,MATCH($C229,예비품목록!$A$3:$A$202,0)),"미등록품번"))</f>
        <v/>
      </c>
      <c r="E229" s="15" t="str">
        <f aca="false">IF($C229="","",IFERROR(INDEX(예비품목록!$D$3:$D$202,MATCH($C229,예비품목록!$A$3:$A$202,0)),""))</f>
        <v/>
      </c>
      <c r="F229" s="11"/>
      <c r="G229" s="9"/>
      <c r="H229" s="9"/>
      <c r="I229" s="9"/>
      <c r="J229" s="23" t="str">
        <f aca="false">IF(OR($C229="",$F229=""),"",IF($B229="입고",$F229,IF($B229="출고",-$F229,$F229)))</f>
        <v/>
      </c>
      <c r="K229" s="24" t="str">
        <f aca="false">IF($C229="","",IFERROR(INDEX(예비품목록!$E$3:$E$202,MATCH($C229,예비품목록!$A$3:$A$202,0)),0)+SUMIFS($J$3:$J229,$C$3:$C229,$C229))</f>
        <v/>
      </c>
    </row>
    <row r="230" customFormat="false" ht="15" hidden="false" customHeight="true" outlineLevel="0" collapsed="false">
      <c r="A230" s="12"/>
      <c r="B230" s="9"/>
      <c r="C230" s="9"/>
      <c r="D230" s="15" t="str">
        <f aca="false">IF($C230="","",IFERROR(INDEX(예비품목록!$B$3:$B$202,MATCH($C230,예비품목록!$A$3:$A$202,0)),"미등록품번"))</f>
        <v/>
      </c>
      <c r="E230" s="15" t="str">
        <f aca="false">IF($C230="","",IFERROR(INDEX(예비품목록!$D$3:$D$202,MATCH($C230,예비품목록!$A$3:$A$202,0)),""))</f>
        <v/>
      </c>
      <c r="F230" s="11"/>
      <c r="G230" s="9"/>
      <c r="H230" s="9"/>
      <c r="I230" s="9"/>
      <c r="J230" s="23" t="str">
        <f aca="false">IF(OR($C230="",$F230=""),"",IF($B230="입고",$F230,IF($B230="출고",-$F230,$F230)))</f>
        <v/>
      </c>
      <c r="K230" s="24" t="str">
        <f aca="false">IF($C230="","",IFERROR(INDEX(예비품목록!$E$3:$E$202,MATCH($C230,예비품목록!$A$3:$A$202,0)),0)+SUMIFS($J$3:$J230,$C$3:$C230,$C230))</f>
        <v/>
      </c>
    </row>
    <row r="231" customFormat="false" ht="15" hidden="false" customHeight="true" outlineLevel="0" collapsed="false">
      <c r="A231" s="12"/>
      <c r="B231" s="9"/>
      <c r="C231" s="9"/>
      <c r="D231" s="15" t="str">
        <f aca="false">IF($C231="","",IFERROR(INDEX(예비품목록!$B$3:$B$202,MATCH($C231,예비품목록!$A$3:$A$202,0)),"미등록품번"))</f>
        <v/>
      </c>
      <c r="E231" s="15" t="str">
        <f aca="false">IF($C231="","",IFERROR(INDEX(예비품목록!$D$3:$D$202,MATCH($C231,예비품목록!$A$3:$A$202,0)),""))</f>
        <v/>
      </c>
      <c r="F231" s="11"/>
      <c r="G231" s="9"/>
      <c r="H231" s="9"/>
      <c r="I231" s="9"/>
      <c r="J231" s="23" t="str">
        <f aca="false">IF(OR($C231="",$F231=""),"",IF($B231="입고",$F231,IF($B231="출고",-$F231,$F231)))</f>
        <v/>
      </c>
      <c r="K231" s="24" t="str">
        <f aca="false">IF($C231="","",IFERROR(INDEX(예비품목록!$E$3:$E$202,MATCH($C231,예비품목록!$A$3:$A$202,0)),0)+SUMIFS($J$3:$J231,$C$3:$C231,$C231))</f>
        <v/>
      </c>
    </row>
    <row r="232" customFormat="false" ht="15" hidden="false" customHeight="true" outlineLevel="0" collapsed="false">
      <c r="A232" s="12"/>
      <c r="B232" s="9"/>
      <c r="C232" s="9"/>
      <c r="D232" s="15" t="str">
        <f aca="false">IF($C232="","",IFERROR(INDEX(예비품목록!$B$3:$B$202,MATCH($C232,예비품목록!$A$3:$A$202,0)),"미등록품번"))</f>
        <v/>
      </c>
      <c r="E232" s="15" t="str">
        <f aca="false">IF($C232="","",IFERROR(INDEX(예비품목록!$D$3:$D$202,MATCH($C232,예비품목록!$A$3:$A$202,0)),""))</f>
        <v/>
      </c>
      <c r="F232" s="11"/>
      <c r="G232" s="9"/>
      <c r="H232" s="9"/>
      <c r="I232" s="9"/>
      <c r="J232" s="23" t="str">
        <f aca="false">IF(OR($C232="",$F232=""),"",IF($B232="입고",$F232,IF($B232="출고",-$F232,$F232)))</f>
        <v/>
      </c>
      <c r="K232" s="24" t="str">
        <f aca="false">IF($C232="","",IFERROR(INDEX(예비품목록!$E$3:$E$202,MATCH($C232,예비품목록!$A$3:$A$202,0)),0)+SUMIFS($J$3:$J232,$C$3:$C232,$C232))</f>
        <v/>
      </c>
    </row>
    <row r="233" customFormat="false" ht="15" hidden="false" customHeight="true" outlineLevel="0" collapsed="false">
      <c r="A233" s="12"/>
      <c r="B233" s="9"/>
      <c r="C233" s="9"/>
      <c r="D233" s="15" t="str">
        <f aca="false">IF($C233="","",IFERROR(INDEX(예비품목록!$B$3:$B$202,MATCH($C233,예비품목록!$A$3:$A$202,0)),"미등록품번"))</f>
        <v/>
      </c>
      <c r="E233" s="15" t="str">
        <f aca="false">IF($C233="","",IFERROR(INDEX(예비품목록!$D$3:$D$202,MATCH($C233,예비품목록!$A$3:$A$202,0)),""))</f>
        <v/>
      </c>
      <c r="F233" s="11"/>
      <c r="G233" s="9"/>
      <c r="H233" s="9"/>
      <c r="I233" s="9"/>
      <c r="J233" s="23" t="str">
        <f aca="false">IF(OR($C233="",$F233=""),"",IF($B233="입고",$F233,IF($B233="출고",-$F233,$F233)))</f>
        <v/>
      </c>
      <c r="K233" s="24" t="str">
        <f aca="false">IF($C233="","",IFERROR(INDEX(예비품목록!$E$3:$E$202,MATCH($C233,예비품목록!$A$3:$A$202,0)),0)+SUMIFS($J$3:$J233,$C$3:$C233,$C233))</f>
        <v/>
      </c>
    </row>
    <row r="234" customFormat="false" ht="15" hidden="false" customHeight="true" outlineLevel="0" collapsed="false">
      <c r="A234" s="12"/>
      <c r="B234" s="9"/>
      <c r="C234" s="9"/>
      <c r="D234" s="15" t="str">
        <f aca="false">IF($C234="","",IFERROR(INDEX(예비품목록!$B$3:$B$202,MATCH($C234,예비품목록!$A$3:$A$202,0)),"미등록품번"))</f>
        <v/>
      </c>
      <c r="E234" s="15" t="str">
        <f aca="false">IF($C234="","",IFERROR(INDEX(예비품목록!$D$3:$D$202,MATCH($C234,예비품목록!$A$3:$A$202,0)),""))</f>
        <v/>
      </c>
      <c r="F234" s="11"/>
      <c r="G234" s="9"/>
      <c r="H234" s="9"/>
      <c r="I234" s="9"/>
      <c r="J234" s="23" t="str">
        <f aca="false">IF(OR($C234="",$F234=""),"",IF($B234="입고",$F234,IF($B234="출고",-$F234,$F234)))</f>
        <v/>
      </c>
      <c r="K234" s="24" t="str">
        <f aca="false">IF($C234="","",IFERROR(INDEX(예비품목록!$E$3:$E$202,MATCH($C234,예비품목록!$A$3:$A$202,0)),0)+SUMIFS($J$3:$J234,$C$3:$C234,$C234))</f>
        <v/>
      </c>
    </row>
    <row r="235" customFormat="false" ht="15" hidden="false" customHeight="true" outlineLevel="0" collapsed="false">
      <c r="A235" s="12"/>
      <c r="B235" s="9"/>
      <c r="C235" s="9"/>
      <c r="D235" s="15" t="str">
        <f aca="false">IF($C235="","",IFERROR(INDEX(예비품목록!$B$3:$B$202,MATCH($C235,예비품목록!$A$3:$A$202,0)),"미등록품번"))</f>
        <v/>
      </c>
      <c r="E235" s="15" t="str">
        <f aca="false">IF($C235="","",IFERROR(INDEX(예비품목록!$D$3:$D$202,MATCH($C235,예비품목록!$A$3:$A$202,0)),""))</f>
        <v/>
      </c>
      <c r="F235" s="11"/>
      <c r="G235" s="9"/>
      <c r="H235" s="9"/>
      <c r="I235" s="9"/>
      <c r="J235" s="23" t="str">
        <f aca="false">IF(OR($C235="",$F235=""),"",IF($B235="입고",$F235,IF($B235="출고",-$F235,$F235)))</f>
        <v/>
      </c>
      <c r="K235" s="24" t="str">
        <f aca="false">IF($C235="","",IFERROR(INDEX(예비품목록!$E$3:$E$202,MATCH($C235,예비품목록!$A$3:$A$202,0)),0)+SUMIFS($J$3:$J235,$C$3:$C235,$C235))</f>
        <v/>
      </c>
    </row>
    <row r="236" customFormat="false" ht="15" hidden="false" customHeight="true" outlineLevel="0" collapsed="false">
      <c r="A236" s="12"/>
      <c r="B236" s="9"/>
      <c r="C236" s="9"/>
      <c r="D236" s="15" t="str">
        <f aca="false">IF($C236="","",IFERROR(INDEX(예비품목록!$B$3:$B$202,MATCH($C236,예비품목록!$A$3:$A$202,0)),"미등록품번"))</f>
        <v/>
      </c>
      <c r="E236" s="15" t="str">
        <f aca="false">IF($C236="","",IFERROR(INDEX(예비품목록!$D$3:$D$202,MATCH($C236,예비품목록!$A$3:$A$202,0)),""))</f>
        <v/>
      </c>
      <c r="F236" s="11"/>
      <c r="G236" s="9"/>
      <c r="H236" s="9"/>
      <c r="I236" s="9"/>
      <c r="J236" s="23" t="str">
        <f aca="false">IF(OR($C236="",$F236=""),"",IF($B236="입고",$F236,IF($B236="출고",-$F236,$F236)))</f>
        <v/>
      </c>
      <c r="K236" s="24" t="str">
        <f aca="false">IF($C236="","",IFERROR(INDEX(예비품목록!$E$3:$E$202,MATCH($C236,예비품목록!$A$3:$A$202,0)),0)+SUMIFS($J$3:$J236,$C$3:$C236,$C236))</f>
        <v/>
      </c>
    </row>
    <row r="237" customFormat="false" ht="15" hidden="false" customHeight="true" outlineLevel="0" collapsed="false">
      <c r="A237" s="12"/>
      <c r="B237" s="9"/>
      <c r="C237" s="9"/>
      <c r="D237" s="15" t="str">
        <f aca="false">IF($C237="","",IFERROR(INDEX(예비품목록!$B$3:$B$202,MATCH($C237,예비품목록!$A$3:$A$202,0)),"미등록품번"))</f>
        <v/>
      </c>
      <c r="E237" s="15" t="str">
        <f aca="false">IF($C237="","",IFERROR(INDEX(예비품목록!$D$3:$D$202,MATCH($C237,예비품목록!$A$3:$A$202,0)),""))</f>
        <v/>
      </c>
      <c r="F237" s="11"/>
      <c r="G237" s="9"/>
      <c r="H237" s="9"/>
      <c r="I237" s="9"/>
      <c r="J237" s="23" t="str">
        <f aca="false">IF(OR($C237="",$F237=""),"",IF($B237="입고",$F237,IF($B237="출고",-$F237,$F237)))</f>
        <v/>
      </c>
      <c r="K237" s="24" t="str">
        <f aca="false">IF($C237="","",IFERROR(INDEX(예비품목록!$E$3:$E$202,MATCH($C237,예비품목록!$A$3:$A$202,0)),0)+SUMIFS($J$3:$J237,$C$3:$C237,$C237))</f>
        <v/>
      </c>
    </row>
    <row r="238" customFormat="false" ht="15" hidden="false" customHeight="true" outlineLevel="0" collapsed="false">
      <c r="A238" s="12"/>
      <c r="B238" s="9"/>
      <c r="C238" s="9"/>
      <c r="D238" s="15" t="str">
        <f aca="false">IF($C238="","",IFERROR(INDEX(예비품목록!$B$3:$B$202,MATCH($C238,예비품목록!$A$3:$A$202,0)),"미등록품번"))</f>
        <v/>
      </c>
      <c r="E238" s="15" t="str">
        <f aca="false">IF($C238="","",IFERROR(INDEX(예비품목록!$D$3:$D$202,MATCH($C238,예비품목록!$A$3:$A$202,0)),""))</f>
        <v/>
      </c>
      <c r="F238" s="11"/>
      <c r="G238" s="9"/>
      <c r="H238" s="9"/>
      <c r="I238" s="9"/>
      <c r="J238" s="23" t="str">
        <f aca="false">IF(OR($C238="",$F238=""),"",IF($B238="입고",$F238,IF($B238="출고",-$F238,$F238)))</f>
        <v/>
      </c>
      <c r="K238" s="24" t="str">
        <f aca="false">IF($C238="","",IFERROR(INDEX(예비품목록!$E$3:$E$202,MATCH($C238,예비품목록!$A$3:$A$202,0)),0)+SUMIFS($J$3:$J238,$C$3:$C238,$C238))</f>
        <v/>
      </c>
    </row>
    <row r="239" customFormat="false" ht="15" hidden="false" customHeight="true" outlineLevel="0" collapsed="false">
      <c r="A239" s="12"/>
      <c r="B239" s="9"/>
      <c r="C239" s="9"/>
      <c r="D239" s="15" t="str">
        <f aca="false">IF($C239="","",IFERROR(INDEX(예비품목록!$B$3:$B$202,MATCH($C239,예비품목록!$A$3:$A$202,0)),"미등록품번"))</f>
        <v/>
      </c>
      <c r="E239" s="15" t="str">
        <f aca="false">IF($C239="","",IFERROR(INDEX(예비품목록!$D$3:$D$202,MATCH($C239,예비품목록!$A$3:$A$202,0)),""))</f>
        <v/>
      </c>
      <c r="F239" s="11"/>
      <c r="G239" s="9"/>
      <c r="H239" s="9"/>
      <c r="I239" s="9"/>
      <c r="J239" s="23" t="str">
        <f aca="false">IF(OR($C239="",$F239=""),"",IF($B239="입고",$F239,IF($B239="출고",-$F239,$F239)))</f>
        <v/>
      </c>
      <c r="K239" s="24" t="str">
        <f aca="false">IF($C239="","",IFERROR(INDEX(예비품목록!$E$3:$E$202,MATCH($C239,예비품목록!$A$3:$A$202,0)),0)+SUMIFS($J$3:$J239,$C$3:$C239,$C239))</f>
        <v/>
      </c>
    </row>
    <row r="240" customFormat="false" ht="15" hidden="false" customHeight="true" outlineLevel="0" collapsed="false">
      <c r="A240" s="12"/>
      <c r="B240" s="9"/>
      <c r="C240" s="9"/>
      <c r="D240" s="15" t="str">
        <f aca="false">IF($C240="","",IFERROR(INDEX(예비품목록!$B$3:$B$202,MATCH($C240,예비품목록!$A$3:$A$202,0)),"미등록품번"))</f>
        <v/>
      </c>
      <c r="E240" s="15" t="str">
        <f aca="false">IF($C240="","",IFERROR(INDEX(예비품목록!$D$3:$D$202,MATCH($C240,예비품목록!$A$3:$A$202,0)),""))</f>
        <v/>
      </c>
      <c r="F240" s="11"/>
      <c r="G240" s="9"/>
      <c r="H240" s="9"/>
      <c r="I240" s="9"/>
      <c r="J240" s="23" t="str">
        <f aca="false">IF(OR($C240="",$F240=""),"",IF($B240="입고",$F240,IF($B240="출고",-$F240,$F240)))</f>
        <v/>
      </c>
      <c r="K240" s="24" t="str">
        <f aca="false">IF($C240="","",IFERROR(INDEX(예비품목록!$E$3:$E$202,MATCH($C240,예비품목록!$A$3:$A$202,0)),0)+SUMIFS($J$3:$J240,$C$3:$C240,$C240))</f>
        <v/>
      </c>
    </row>
    <row r="241" customFormat="false" ht="15" hidden="false" customHeight="true" outlineLevel="0" collapsed="false">
      <c r="A241" s="12"/>
      <c r="B241" s="9"/>
      <c r="C241" s="9"/>
      <c r="D241" s="15" t="str">
        <f aca="false">IF($C241="","",IFERROR(INDEX(예비품목록!$B$3:$B$202,MATCH($C241,예비품목록!$A$3:$A$202,0)),"미등록품번"))</f>
        <v/>
      </c>
      <c r="E241" s="15" t="str">
        <f aca="false">IF($C241="","",IFERROR(INDEX(예비품목록!$D$3:$D$202,MATCH($C241,예비품목록!$A$3:$A$202,0)),""))</f>
        <v/>
      </c>
      <c r="F241" s="11"/>
      <c r="G241" s="9"/>
      <c r="H241" s="9"/>
      <c r="I241" s="9"/>
      <c r="J241" s="23" t="str">
        <f aca="false">IF(OR($C241="",$F241=""),"",IF($B241="입고",$F241,IF($B241="출고",-$F241,$F241)))</f>
        <v/>
      </c>
      <c r="K241" s="24" t="str">
        <f aca="false">IF($C241="","",IFERROR(INDEX(예비품목록!$E$3:$E$202,MATCH($C241,예비품목록!$A$3:$A$202,0)),0)+SUMIFS($J$3:$J241,$C$3:$C241,$C241))</f>
        <v/>
      </c>
    </row>
    <row r="242" customFormat="false" ht="15" hidden="false" customHeight="true" outlineLevel="0" collapsed="false">
      <c r="A242" s="12"/>
      <c r="B242" s="9"/>
      <c r="C242" s="9"/>
      <c r="D242" s="15" t="str">
        <f aca="false">IF($C242="","",IFERROR(INDEX(예비품목록!$B$3:$B$202,MATCH($C242,예비품목록!$A$3:$A$202,0)),"미등록품번"))</f>
        <v/>
      </c>
      <c r="E242" s="15" t="str">
        <f aca="false">IF($C242="","",IFERROR(INDEX(예비품목록!$D$3:$D$202,MATCH($C242,예비품목록!$A$3:$A$202,0)),""))</f>
        <v/>
      </c>
      <c r="F242" s="11"/>
      <c r="G242" s="9"/>
      <c r="H242" s="9"/>
      <c r="I242" s="9"/>
      <c r="J242" s="23" t="str">
        <f aca="false">IF(OR($C242="",$F242=""),"",IF($B242="입고",$F242,IF($B242="출고",-$F242,$F242)))</f>
        <v/>
      </c>
      <c r="K242" s="24" t="str">
        <f aca="false">IF($C242="","",IFERROR(INDEX(예비품목록!$E$3:$E$202,MATCH($C242,예비품목록!$A$3:$A$202,0)),0)+SUMIFS($J$3:$J242,$C$3:$C242,$C242))</f>
        <v/>
      </c>
    </row>
    <row r="243" customFormat="false" ht="15" hidden="false" customHeight="true" outlineLevel="0" collapsed="false">
      <c r="A243" s="12"/>
      <c r="B243" s="9"/>
      <c r="C243" s="9"/>
      <c r="D243" s="15" t="str">
        <f aca="false">IF($C243="","",IFERROR(INDEX(예비품목록!$B$3:$B$202,MATCH($C243,예비품목록!$A$3:$A$202,0)),"미등록품번"))</f>
        <v/>
      </c>
      <c r="E243" s="15" t="str">
        <f aca="false">IF($C243="","",IFERROR(INDEX(예비품목록!$D$3:$D$202,MATCH($C243,예비품목록!$A$3:$A$202,0)),""))</f>
        <v/>
      </c>
      <c r="F243" s="11"/>
      <c r="G243" s="9"/>
      <c r="H243" s="9"/>
      <c r="I243" s="9"/>
      <c r="J243" s="23" t="str">
        <f aca="false">IF(OR($C243="",$F243=""),"",IF($B243="입고",$F243,IF($B243="출고",-$F243,$F243)))</f>
        <v/>
      </c>
      <c r="K243" s="24" t="str">
        <f aca="false">IF($C243="","",IFERROR(INDEX(예비품목록!$E$3:$E$202,MATCH($C243,예비품목록!$A$3:$A$202,0)),0)+SUMIFS($J$3:$J243,$C$3:$C243,$C243))</f>
        <v/>
      </c>
    </row>
    <row r="244" customFormat="false" ht="15" hidden="false" customHeight="true" outlineLevel="0" collapsed="false">
      <c r="A244" s="12"/>
      <c r="B244" s="9"/>
      <c r="C244" s="9"/>
      <c r="D244" s="15" t="str">
        <f aca="false">IF($C244="","",IFERROR(INDEX(예비품목록!$B$3:$B$202,MATCH($C244,예비품목록!$A$3:$A$202,0)),"미등록품번"))</f>
        <v/>
      </c>
      <c r="E244" s="15" t="str">
        <f aca="false">IF($C244="","",IFERROR(INDEX(예비품목록!$D$3:$D$202,MATCH($C244,예비품목록!$A$3:$A$202,0)),""))</f>
        <v/>
      </c>
      <c r="F244" s="11"/>
      <c r="G244" s="9"/>
      <c r="H244" s="9"/>
      <c r="I244" s="9"/>
      <c r="J244" s="23" t="str">
        <f aca="false">IF(OR($C244="",$F244=""),"",IF($B244="입고",$F244,IF($B244="출고",-$F244,$F244)))</f>
        <v/>
      </c>
      <c r="K244" s="24" t="str">
        <f aca="false">IF($C244="","",IFERROR(INDEX(예비품목록!$E$3:$E$202,MATCH($C244,예비품목록!$A$3:$A$202,0)),0)+SUMIFS($J$3:$J244,$C$3:$C244,$C244))</f>
        <v/>
      </c>
    </row>
    <row r="245" customFormat="false" ht="15" hidden="false" customHeight="true" outlineLevel="0" collapsed="false">
      <c r="A245" s="12"/>
      <c r="B245" s="9"/>
      <c r="C245" s="9"/>
      <c r="D245" s="15" t="str">
        <f aca="false">IF($C245="","",IFERROR(INDEX(예비품목록!$B$3:$B$202,MATCH($C245,예비품목록!$A$3:$A$202,0)),"미등록품번"))</f>
        <v/>
      </c>
      <c r="E245" s="15" t="str">
        <f aca="false">IF($C245="","",IFERROR(INDEX(예비품목록!$D$3:$D$202,MATCH($C245,예비품목록!$A$3:$A$202,0)),""))</f>
        <v/>
      </c>
      <c r="F245" s="11"/>
      <c r="G245" s="9"/>
      <c r="H245" s="9"/>
      <c r="I245" s="9"/>
      <c r="J245" s="23" t="str">
        <f aca="false">IF(OR($C245="",$F245=""),"",IF($B245="입고",$F245,IF($B245="출고",-$F245,$F245)))</f>
        <v/>
      </c>
      <c r="K245" s="24" t="str">
        <f aca="false">IF($C245="","",IFERROR(INDEX(예비품목록!$E$3:$E$202,MATCH($C245,예비품목록!$A$3:$A$202,0)),0)+SUMIFS($J$3:$J245,$C$3:$C245,$C245))</f>
        <v/>
      </c>
    </row>
    <row r="246" customFormat="false" ht="15" hidden="false" customHeight="true" outlineLevel="0" collapsed="false">
      <c r="A246" s="12"/>
      <c r="B246" s="9"/>
      <c r="C246" s="9"/>
      <c r="D246" s="15" t="str">
        <f aca="false">IF($C246="","",IFERROR(INDEX(예비품목록!$B$3:$B$202,MATCH($C246,예비품목록!$A$3:$A$202,0)),"미등록품번"))</f>
        <v/>
      </c>
      <c r="E246" s="15" t="str">
        <f aca="false">IF($C246="","",IFERROR(INDEX(예비품목록!$D$3:$D$202,MATCH($C246,예비품목록!$A$3:$A$202,0)),""))</f>
        <v/>
      </c>
      <c r="F246" s="11"/>
      <c r="G246" s="9"/>
      <c r="H246" s="9"/>
      <c r="I246" s="9"/>
      <c r="J246" s="23" t="str">
        <f aca="false">IF(OR($C246="",$F246=""),"",IF($B246="입고",$F246,IF($B246="출고",-$F246,$F246)))</f>
        <v/>
      </c>
      <c r="K246" s="24" t="str">
        <f aca="false">IF($C246="","",IFERROR(INDEX(예비품목록!$E$3:$E$202,MATCH($C246,예비품목록!$A$3:$A$202,0)),0)+SUMIFS($J$3:$J246,$C$3:$C246,$C246))</f>
        <v/>
      </c>
    </row>
    <row r="247" customFormat="false" ht="15" hidden="false" customHeight="true" outlineLevel="0" collapsed="false">
      <c r="A247" s="12"/>
      <c r="B247" s="9"/>
      <c r="C247" s="9"/>
      <c r="D247" s="15" t="str">
        <f aca="false">IF($C247="","",IFERROR(INDEX(예비품목록!$B$3:$B$202,MATCH($C247,예비품목록!$A$3:$A$202,0)),"미등록품번"))</f>
        <v/>
      </c>
      <c r="E247" s="15" t="str">
        <f aca="false">IF($C247="","",IFERROR(INDEX(예비품목록!$D$3:$D$202,MATCH($C247,예비품목록!$A$3:$A$202,0)),""))</f>
        <v/>
      </c>
      <c r="F247" s="11"/>
      <c r="G247" s="9"/>
      <c r="H247" s="9"/>
      <c r="I247" s="9"/>
      <c r="J247" s="23" t="str">
        <f aca="false">IF(OR($C247="",$F247=""),"",IF($B247="입고",$F247,IF($B247="출고",-$F247,$F247)))</f>
        <v/>
      </c>
      <c r="K247" s="24" t="str">
        <f aca="false">IF($C247="","",IFERROR(INDEX(예비품목록!$E$3:$E$202,MATCH($C247,예비품목록!$A$3:$A$202,0)),0)+SUMIFS($J$3:$J247,$C$3:$C247,$C247))</f>
        <v/>
      </c>
    </row>
    <row r="248" customFormat="false" ht="15" hidden="false" customHeight="true" outlineLevel="0" collapsed="false">
      <c r="A248" s="12"/>
      <c r="B248" s="9"/>
      <c r="C248" s="9"/>
      <c r="D248" s="15" t="str">
        <f aca="false">IF($C248="","",IFERROR(INDEX(예비품목록!$B$3:$B$202,MATCH($C248,예비품목록!$A$3:$A$202,0)),"미등록품번"))</f>
        <v/>
      </c>
      <c r="E248" s="15" t="str">
        <f aca="false">IF($C248="","",IFERROR(INDEX(예비품목록!$D$3:$D$202,MATCH($C248,예비품목록!$A$3:$A$202,0)),""))</f>
        <v/>
      </c>
      <c r="F248" s="11"/>
      <c r="G248" s="9"/>
      <c r="H248" s="9"/>
      <c r="I248" s="9"/>
      <c r="J248" s="23" t="str">
        <f aca="false">IF(OR($C248="",$F248=""),"",IF($B248="입고",$F248,IF($B248="출고",-$F248,$F248)))</f>
        <v/>
      </c>
      <c r="K248" s="24" t="str">
        <f aca="false">IF($C248="","",IFERROR(INDEX(예비품목록!$E$3:$E$202,MATCH($C248,예비품목록!$A$3:$A$202,0)),0)+SUMIFS($J$3:$J248,$C$3:$C248,$C248))</f>
        <v/>
      </c>
    </row>
    <row r="249" customFormat="false" ht="15" hidden="false" customHeight="true" outlineLevel="0" collapsed="false">
      <c r="A249" s="12"/>
      <c r="B249" s="9"/>
      <c r="C249" s="9"/>
      <c r="D249" s="15" t="str">
        <f aca="false">IF($C249="","",IFERROR(INDEX(예비품목록!$B$3:$B$202,MATCH($C249,예비품목록!$A$3:$A$202,0)),"미등록품번"))</f>
        <v/>
      </c>
      <c r="E249" s="15" t="str">
        <f aca="false">IF($C249="","",IFERROR(INDEX(예비품목록!$D$3:$D$202,MATCH($C249,예비품목록!$A$3:$A$202,0)),""))</f>
        <v/>
      </c>
      <c r="F249" s="11"/>
      <c r="G249" s="9"/>
      <c r="H249" s="9"/>
      <c r="I249" s="9"/>
      <c r="J249" s="23" t="str">
        <f aca="false">IF(OR($C249="",$F249=""),"",IF($B249="입고",$F249,IF($B249="출고",-$F249,$F249)))</f>
        <v/>
      </c>
      <c r="K249" s="24" t="str">
        <f aca="false">IF($C249="","",IFERROR(INDEX(예비품목록!$E$3:$E$202,MATCH($C249,예비품목록!$A$3:$A$202,0)),0)+SUMIFS($J$3:$J249,$C$3:$C249,$C249))</f>
        <v/>
      </c>
    </row>
    <row r="250" customFormat="false" ht="15" hidden="false" customHeight="true" outlineLevel="0" collapsed="false">
      <c r="A250" s="12"/>
      <c r="B250" s="9"/>
      <c r="C250" s="9"/>
      <c r="D250" s="15" t="str">
        <f aca="false">IF($C250="","",IFERROR(INDEX(예비품목록!$B$3:$B$202,MATCH($C250,예비품목록!$A$3:$A$202,0)),"미등록품번"))</f>
        <v/>
      </c>
      <c r="E250" s="15" t="str">
        <f aca="false">IF($C250="","",IFERROR(INDEX(예비품목록!$D$3:$D$202,MATCH($C250,예비품목록!$A$3:$A$202,0)),""))</f>
        <v/>
      </c>
      <c r="F250" s="11"/>
      <c r="G250" s="9"/>
      <c r="H250" s="9"/>
      <c r="I250" s="9"/>
      <c r="J250" s="23" t="str">
        <f aca="false">IF(OR($C250="",$F250=""),"",IF($B250="입고",$F250,IF($B250="출고",-$F250,$F250)))</f>
        <v/>
      </c>
      <c r="K250" s="24" t="str">
        <f aca="false">IF($C250="","",IFERROR(INDEX(예비품목록!$E$3:$E$202,MATCH($C250,예비품목록!$A$3:$A$202,0)),0)+SUMIFS($J$3:$J250,$C$3:$C250,$C250))</f>
        <v/>
      </c>
    </row>
    <row r="251" customFormat="false" ht="15" hidden="false" customHeight="true" outlineLevel="0" collapsed="false">
      <c r="A251" s="12"/>
      <c r="B251" s="9"/>
      <c r="C251" s="9"/>
      <c r="D251" s="15" t="str">
        <f aca="false">IF($C251="","",IFERROR(INDEX(예비품목록!$B$3:$B$202,MATCH($C251,예비품목록!$A$3:$A$202,0)),"미등록품번"))</f>
        <v/>
      </c>
      <c r="E251" s="15" t="str">
        <f aca="false">IF($C251="","",IFERROR(INDEX(예비품목록!$D$3:$D$202,MATCH($C251,예비품목록!$A$3:$A$202,0)),""))</f>
        <v/>
      </c>
      <c r="F251" s="11"/>
      <c r="G251" s="9"/>
      <c r="H251" s="9"/>
      <c r="I251" s="9"/>
      <c r="J251" s="23" t="str">
        <f aca="false">IF(OR($C251="",$F251=""),"",IF($B251="입고",$F251,IF($B251="출고",-$F251,$F251)))</f>
        <v/>
      </c>
      <c r="K251" s="24" t="str">
        <f aca="false">IF($C251="","",IFERROR(INDEX(예비품목록!$E$3:$E$202,MATCH($C251,예비품목록!$A$3:$A$202,0)),0)+SUMIFS($J$3:$J251,$C$3:$C251,$C251))</f>
        <v/>
      </c>
    </row>
    <row r="252" customFormat="false" ht="15" hidden="false" customHeight="true" outlineLevel="0" collapsed="false">
      <c r="A252" s="12"/>
      <c r="B252" s="9"/>
      <c r="C252" s="9"/>
      <c r="D252" s="15" t="str">
        <f aca="false">IF($C252="","",IFERROR(INDEX(예비품목록!$B$3:$B$202,MATCH($C252,예비품목록!$A$3:$A$202,0)),"미등록품번"))</f>
        <v/>
      </c>
      <c r="E252" s="15" t="str">
        <f aca="false">IF($C252="","",IFERROR(INDEX(예비품목록!$D$3:$D$202,MATCH($C252,예비품목록!$A$3:$A$202,0)),""))</f>
        <v/>
      </c>
      <c r="F252" s="11"/>
      <c r="G252" s="9"/>
      <c r="H252" s="9"/>
      <c r="I252" s="9"/>
      <c r="J252" s="23" t="str">
        <f aca="false">IF(OR($C252="",$F252=""),"",IF($B252="입고",$F252,IF($B252="출고",-$F252,$F252)))</f>
        <v/>
      </c>
      <c r="K252" s="24" t="str">
        <f aca="false">IF($C252="","",IFERROR(INDEX(예비품목록!$E$3:$E$202,MATCH($C252,예비품목록!$A$3:$A$202,0)),0)+SUMIFS($J$3:$J252,$C$3:$C252,$C252))</f>
        <v/>
      </c>
    </row>
    <row r="253" customFormat="false" ht="15" hidden="false" customHeight="true" outlineLevel="0" collapsed="false">
      <c r="A253" s="12"/>
      <c r="B253" s="9"/>
      <c r="C253" s="9"/>
      <c r="D253" s="15" t="str">
        <f aca="false">IF($C253="","",IFERROR(INDEX(예비품목록!$B$3:$B$202,MATCH($C253,예비품목록!$A$3:$A$202,0)),"미등록품번"))</f>
        <v/>
      </c>
      <c r="E253" s="15" t="str">
        <f aca="false">IF($C253="","",IFERROR(INDEX(예비품목록!$D$3:$D$202,MATCH($C253,예비품목록!$A$3:$A$202,0)),""))</f>
        <v/>
      </c>
      <c r="F253" s="11"/>
      <c r="G253" s="9"/>
      <c r="H253" s="9"/>
      <c r="I253" s="9"/>
      <c r="J253" s="23" t="str">
        <f aca="false">IF(OR($C253="",$F253=""),"",IF($B253="입고",$F253,IF($B253="출고",-$F253,$F253)))</f>
        <v/>
      </c>
      <c r="K253" s="24" t="str">
        <f aca="false">IF($C253="","",IFERROR(INDEX(예비품목록!$E$3:$E$202,MATCH($C253,예비품목록!$A$3:$A$202,0)),0)+SUMIFS($J$3:$J253,$C$3:$C253,$C253))</f>
        <v/>
      </c>
    </row>
    <row r="254" customFormat="false" ht="15" hidden="false" customHeight="true" outlineLevel="0" collapsed="false">
      <c r="A254" s="12"/>
      <c r="B254" s="9"/>
      <c r="C254" s="9"/>
      <c r="D254" s="15" t="str">
        <f aca="false">IF($C254="","",IFERROR(INDEX(예비품목록!$B$3:$B$202,MATCH($C254,예비품목록!$A$3:$A$202,0)),"미등록품번"))</f>
        <v/>
      </c>
      <c r="E254" s="15" t="str">
        <f aca="false">IF($C254="","",IFERROR(INDEX(예비품목록!$D$3:$D$202,MATCH($C254,예비품목록!$A$3:$A$202,0)),""))</f>
        <v/>
      </c>
      <c r="F254" s="11"/>
      <c r="G254" s="9"/>
      <c r="H254" s="9"/>
      <c r="I254" s="9"/>
      <c r="J254" s="23" t="str">
        <f aca="false">IF(OR($C254="",$F254=""),"",IF($B254="입고",$F254,IF($B254="출고",-$F254,$F254)))</f>
        <v/>
      </c>
      <c r="K254" s="24" t="str">
        <f aca="false">IF($C254="","",IFERROR(INDEX(예비품목록!$E$3:$E$202,MATCH($C254,예비품목록!$A$3:$A$202,0)),0)+SUMIFS($J$3:$J254,$C$3:$C254,$C254))</f>
        <v/>
      </c>
    </row>
    <row r="255" customFormat="false" ht="15" hidden="false" customHeight="true" outlineLevel="0" collapsed="false">
      <c r="A255" s="12"/>
      <c r="B255" s="9"/>
      <c r="C255" s="9"/>
      <c r="D255" s="15" t="str">
        <f aca="false">IF($C255="","",IFERROR(INDEX(예비품목록!$B$3:$B$202,MATCH($C255,예비품목록!$A$3:$A$202,0)),"미등록품번"))</f>
        <v/>
      </c>
      <c r="E255" s="15" t="str">
        <f aca="false">IF($C255="","",IFERROR(INDEX(예비품목록!$D$3:$D$202,MATCH($C255,예비품목록!$A$3:$A$202,0)),""))</f>
        <v/>
      </c>
      <c r="F255" s="11"/>
      <c r="G255" s="9"/>
      <c r="H255" s="9"/>
      <c r="I255" s="9"/>
      <c r="J255" s="23" t="str">
        <f aca="false">IF(OR($C255="",$F255=""),"",IF($B255="입고",$F255,IF($B255="출고",-$F255,$F255)))</f>
        <v/>
      </c>
      <c r="K255" s="24" t="str">
        <f aca="false">IF($C255="","",IFERROR(INDEX(예비품목록!$E$3:$E$202,MATCH($C255,예비품목록!$A$3:$A$202,0)),0)+SUMIFS($J$3:$J255,$C$3:$C255,$C255))</f>
        <v/>
      </c>
    </row>
    <row r="256" customFormat="false" ht="15" hidden="false" customHeight="true" outlineLevel="0" collapsed="false">
      <c r="A256" s="12"/>
      <c r="B256" s="9"/>
      <c r="C256" s="9"/>
      <c r="D256" s="15" t="str">
        <f aca="false">IF($C256="","",IFERROR(INDEX(예비품목록!$B$3:$B$202,MATCH($C256,예비품목록!$A$3:$A$202,0)),"미등록품번"))</f>
        <v/>
      </c>
      <c r="E256" s="15" t="str">
        <f aca="false">IF($C256="","",IFERROR(INDEX(예비품목록!$D$3:$D$202,MATCH($C256,예비품목록!$A$3:$A$202,0)),""))</f>
        <v/>
      </c>
      <c r="F256" s="11"/>
      <c r="G256" s="9"/>
      <c r="H256" s="9"/>
      <c r="I256" s="9"/>
      <c r="J256" s="23" t="str">
        <f aca="false">IF(OR($C256="",$F256=""),"",IF($B256="입고",$F256,IF($B256="출고",-$F256,$F256)))</f>
        <v/>
      </c>
      <c r="K256" s="24" t="str">
        <f aca="false">IF($C256="","",IFERROR(INDEX(예비품목록!$E$3:$E$202,MATCH($C256,예비품목록!$A$3:$A$202,0)),0)+SUMIFS($J$3:$J256,$C$3:$C256,$C256))</f>
        <v/>
      </c>
    </row>
    <row r="257" customFormat="false" ht="15" hidden="false" customHeight="true" outlineLevel="0" collapsed="false">
      <c r="A257" s="12"/>
      <c r="B257" s="9"/>
      <c r="C257" s="9"/>
      <c r="D257" s="15" t="str">
        <f aca="false">IF($C257="","",IFERROR(INDEX(예비품목록!$B$3:$B$202,MATCH($C257,예비품목록!$A$3:$A$202,0)),"미등록품번"))</f>
        <v/>
      </c>
      <c r="E257" s="15" t="str">
        <f aca="false">IF($C257="","",IFERROR(INDEX(예비품목록!$D$3:$D$202,MATCH($C257,예비품목록!$A$3:$A$202,0)),""))</f>
        <v/>
      </c>
      <c r="F257" s="11"/>
      <c r="G257" s="9"/>
      <c r="H257" s="9"/>
      <c r="I257" s="9"/>
      <c r="J257" s="23" t="str">
        <f aca="false">IF(OR($C257="",$F257=""),"",IF($B257="입고",$F257,IF($B257="출고",-$F257,$F257)))</f>
        <v/>
      </c>
      <c r="K257" s="24" t="str">
        <f aca="false">IF($C257="","",IFERROR(INDEX(예비품목록!$E$3:$E$202,MATCH($C257,예비품목록!$A$3:$A$202,0)),0)+SUMIFS($J$3:$J257,$C$3:$C257,$C257))</f>
        <v/>
      </c>
    </row>
    <row r="258" customFormat="false" ht="15" hidden="false" customHeight="true" outlineLevel="0" collapsed="false">
      <c r="A258" s="12"/>
      <c r="B258" s="9"/>
      <c r="C258" s="9"/>
      <c r="D258" s="15" t="str">
        <f aca="false">IF($C258="","",IFERROR(INDEX(예비품목록!$B$3:$B$202,MATCH($C258,예비품목록!$A$3:$A$202,0)),"미등록품번"))</f>
        <v/>
      </c>
      <c r="E258" s="15" t="str">
        <f aca="false">IF($C258="","",IFERROR(INDEX(예비품목록!$D$3:$D$202,MATCH($C258,예비품목록!$A$3:$A$202,0)),""))</f>
        <v/>
      </c>
      <c r="F258" s="11"/>
      <c r="G258" s="9"/>
      <c r="H258" s="9"/>
      <c r="I258" s="9"/>
      <c r="J258" s="23" t="str">
        <f aca="false">IF(OR($C258="",$F258=""),"",IF($B258="입고",$F258,IF($B258="출고",-$F258,$F258)))</f>
        <v/>
      </c>
      <c r="K258" s="24" t="str">
        <f aca="false">IF($C258="","",IFERROR(INDEX(예비품목록!$E$3:$E$202,MATCH($C258,예비품목록!$A$3:$A$202,0)),0)+SUMIFS($J$3:$J258,$C$3:$C258,$C258))</f>
        <v/>
      </c>
    </row>
    <row r="259" customFormat="false" ht="15" hidden="false" customHeight="true" outlineLevel="0" collapsed="false">
      <c r="A259" s="12"/>
      <c r="B259" s="9"/>
      <c r="C259" s="9"/>
      <c r="D259" s="15" t="str">
        <f aca="false">IF($C259="","",IFERROR(INDEX(예비품목록!$B$3:$B$202,MATCH($C259,예비품목록!$A$3:$A$202,0)),"미등록품번"))</f>
        <v/>
      </c>
      <c r="E259" s="15" t="str">
        <f aca="false">IF($C259="","",IFERROR(INDEX(예비품목록!$D$3:$D$202,MATCH($C259,예비품목록!$A$3:$A$202,0)),""))</f>
        <v/>
      </c>
      <c r="F259" s="11"/>
      <c r="G259" s="9"/>
      <c r="H259" s="9"/>
      <c r="I259" s="9"/>
      <c r="J259" s="23" t="str">
        <f aca="false">IF(OR($C259="",$F259=""),"",IF($B259="입고",$F259,IF($B259="출고",-$F259,$F259)))</f>
        <v/>
      </c>
      <c r="K259" s="24" t="str">
        <f aca="false">IF($C259="","",IFERROR(INDEX(예비품목록!$E$3:$E$202,MATCH($C259,예비품목록!$A$3:$A$202,0)),0)+SUMIFS($J$3:$J259,$C$3:$C259,$C259))</f>
        <v/>
      </c>
    </row>
    <row r="260" customFormat="false" ht="15" hidden="false" customHeight="true" outlineLevel="0" collapsed="false">
      <c r="A260" s="12"/>
      <c r="B260" s="9"/>
      <c r="C260" s="9"/>
      <c r="D260" s="15" t="str">
        <f aca="false">IF($C260="","",IFERROR(INDEX(예비품목록!$B$3:$B$202,MATCH($C260,예비품목록!$A$3:$A$202,0)),"미등록품번"))</f>
        <v/>
      </c>
      <c r="E260" s="15" t="str">
        <f aca="false">IF($C260="","",IFERROR(INDEX(예비품목록!$D$3:$D$202,MATCH($C260,예비품목록!$A$3:$A$202,0)),""))</f>
        <v/>
      </c>
      <c r="F260" s="11"/>
      <c r="G260" s="9"/>
      <c r="H260" s="9"/>
      <c r="I260" s="9"/>
      <c r="J260" s="23" t="str">
        <f aca="false">IF(OR($C260="",$F260=""),"",IF($B260="입고",$F260,IF($B260="출고",-$F260,$F260)))</f>
        <v/>
      </c>
      <c r="K260" s="24" t="str">
        <f aca="false">IF($C260="","",IFERROR(INDEX(예비품목록!$E$3:$E$202,MATCH($C260,예비품목록!$A$3:$A$202,0)),0)+SUMIFS($J$3:$J260,$C$3:$C260,$C260))</f>
        <v/>
      </c>
    </row>
    <row r="261" customFormat="false" ht="15" hidden="false" customHeight="true" outlineLevel="0" collapsed="false">
      <c r="A261" s="12"/>
      <c r="B261" s="9"/>
      <c r="C261" s="9"/>
      <c r="D261" s="15" t="str">
        <f aca="false">IF($C261="","",IFERROR(INDEX(예비품목록!$B$3:$B$202,MATCH($C261,예비품목록!$A$3:$A$202,0)),"미등록품번"))</f>
        <v/>
      </c>
      <c r="E261" s="15" t="str">
        <f aca="false">IF($C261="","",IFERROR(INDEX(예비품목록!$D$3:$D$202,MATCH($C261,예비품목록!$A$3:$A$202,0)),""))</f>
        <v/>
      </c>
      <c r="F261" s="11"/>
      <c r="G261" s="9"/>
      <c r="H261" s="9"/>
      <c r="I261" s="9"/>
      <c r="J261" s="23" t="str">
        <f aca="false">IF(OR($C261="",$F261=""),"",IF($B261="입고",$F261,IF($B261="출고",-$F261,$F261)))</f>
        <v/>
      </c>
      <c r="K261" s="24" t="str">
        <f aca="false">IF($C261="","",IFERROR(INDEX(예비품목록!$E$3:$E$202,MATCH($C261,예비품목록!$A$3:$A$202,0)),0)+SUMIFS($J$3:$J261,$C$3:$C261,$C261))</f>
        <v/>
      </c>
    </row>
    <row r="262" customFormat="false" ht="15" hidden="false" customHeight="true" outlineLevel="0" collapsed="false">
      <c r="A262" s="12"/>
      <c r="B262" s="9"/>
      <c r="C262" s="9"/>
      <c r="D262" s="15" t="str">
        <f aca="false">IF($C262="","",IFERROR(INDEX(예비품목록!$B$3:$B$202,MATCH($C262,예비품목록!$A$3:$A$202,0)),"미등록품번"))</f>
        <v/>
      </c>
      <c r="E262" s="15" t="str">
        <f aca="false">IF($C262="","",IFERROR(INDEX(예비품목록!$D$3:$D$202,MATCH($C262,예비품목록!$A$3:$A$202,0)),""))</f>
        <v/>
      </c>
      <c r="F262" s="11"/>
      <c r="G262" s="9"/>
      <c r="H262" s="9"/>
      <c r="I262" s="9"/>
      <c r="J262" s="23" t="str">
        <f aca="false">IF(OR($C262="",$F262=""),"",IF($B262="입고",$F262,IF($B262="출고",-$F262,$F262)))</f>
        <v/>
      </c>
      <c r="K262" s="24" t="str">
        <f aca="false">IF($C262="","",IFERROR(INDEX(예비품목록!$E$3:$E$202,MATCH($C262,예비품목록!$A$3:$A$202,0)),0)+SUMIFS($J$3:$J262,$C$3:$C262,$C262))</f>
        <v/>
      </c>
    </row>
    <row r="263" customFormat="false" ht="15" hidden="false" customHeight="true" outlineLevel="0" collapsed="false">
      <c r="A263" s="12"/>
      <c r="B263" s="9"/>
      <c r="C263" s="9"/>
      <c r="D263" s="15" t="str">
        <f aca="false">IF($C263="","",IFERROR(INDEX(예비품목록!$B$3:$B$202,MATCH($C263,예비품목록!$A$3:$A$202,0)),"미등록품번"))</f>
        <v/>
      </c>
      <c r="E263" s="15" t="str">
        <f aca="false">IF($C263="","",IFERROR(INDEX(예비품목록!$D$3:$D$202,MATCH($C263,예비품목록!$A$3:$A$202,0)),""))</f>
        <v/>
      </c>
      <c r="F263" s="11"/>
      <c r="G263" s="9"/>
      <c r="H263" s="9"/>
      <c r="I263" s="9"/>
      <c r="J263" s="23" t="str">
        <f aca="false">IF(OR($C263="",$F263=""),"",IF($B263="입고",$F263,IF($B263="출고",-$F263,$F263)))</f>
        <v/>
      </c>
      <c r="K263" s="24" t="str">
        <f aca="false">IF($C263="","",IFERROR(INDEX(예비품목록!$E$3:$E$202,MATCH($C263,예비품목록!$A$3:$A$202,0)),0)+SUMIFS($J$3:$J263,$C$3:$C263,$C263))</f>
        <v/>
      </c>
    </row>
    <row r="264" customFormat="false" ht="15" hidden="false" customHeight="true" outlineLevel="0" collapsed="false">
      <c r="A264" s="12"/>
      <c r="B264" s="9"/>
      <c r="C264" s="9"/>
      <c r="D264" s="15" t="str">
        <f aca="false">IF($C264="","",IFERROR(INDEX(예비품목록!$B$3:$B$202,MATCH($C264,예비품목록!$A$3:$A$202,0)),"미등록품번"))</f>
        <v/>
      </c>
      <c r="E264" s="15" t="str">
        <f aca="false">IF($C264="","",IFERROR(INDEX(예비품목록!$D$3:$D$202,MATCH($C264,예비품목록!$A$3:$A$202,0)),""))</f>
        <v/>
      </c>
      <c r="F264" s="11"/>
      <c r="G264" s="9"/>
      <c r="H264" s="9"/>
      <c r="I264" s="9"/>
      <c r="J264" s="23" t="str">
        <f aca="false">IF(OR($C264="",$F264=""),"",IF($B264="입고",$F264,IF($B264="출고",-$F264,$F264)))</f>
        <v/>
      </c>
      <c r="K264" s="24" t="str">
        <f aca="false">IF($C264="","",IFERROR(INDEX(예비품목록!$E$3:$E$202,MATCH($C264,예비품목록!$A$3:$A$202,0)),0)+SUMIFS($J$3:$J264,$C$3:$C264,$C264))</f>
        <v/>
      </c>
    </row>
    <row r="265" customFormat="false" ht="15" hidden="false" customHeight="true" outlineLevel="0" collapsed="false">
      <c r="A265" s="12"/>
      <c r="B265" s="9"/>
      <c r="C265" s="9"/>
      <c r="D265" s="15" t="str">
        <f aca="false">IF($C265="","",IFERROR(INDEX(예비품목록!$B$3:$B$202,MATCH($C265,예비품목록!$A$3:$A$202,0)),"미등록품번"))</f>
        <v/>
      </c>
      <c r="E265" s="15" t="str">
        <f aca="false">IF($C265="","",IFERROR(INDEX(예비품목록!$D$3:$D$202,MATCH($C265,예비품목록!$A$3:$A$202,0)),""))</f>
        <v/>
      </c>
      <c r="F265" s="11"/>
      <c r="G265" s="9"/>
      <c r="H265" s="9"/>
      <c r="I265" s="9"/>
      <c r="J265" s="23" t="str">
        <f aca="false">IF(OR($C265="",$F265=""),"",IF($B265="입고",$F265,IF($B265="출고",-$F265,$F265)))</f>
        <v/>
      </c>
      <c r="K265" s="24" t="str">
        <f aca="false">IF($C265="","",IFERROR(INDEX(예비품목록!$E$3:$E$202,MATCH($C265,예비품목록!$A$3:$A$202,0)),0)+SUMIFS($J$3:$J265,$C$3:$C265,$C265))</f>
        <v/>
      </c>
    </row>
    <row r="266" customFormat="false" ht="15" hidden="false" customHeight="true" outlineLevel="0" collapsed="false">
      <c r="A266" s="12"/>
      <c r="B266" s="9"/>
      <c r="C266" s="9"/>
      <c r="D266" s="15" t="str">
        <f aca="false">IF($C266="","",IFERROR(INDEX(예비품목록!$B$3:$B$202,MATCH($C266,예비품목록!$A$3:$A$202,0)),"미등록품번"))</f>
        <v/>
      </c>
      <c r="E266" s="15" t="str">
        <f aca="false">IF($C266="","",IFERROR(INDEX(예비품목록!$D$3:$D$202,MATCH($C266,예비품목록!$A$3:$A$202,0)),""))</f>
        <v/>
      </c>
      <c r="F266" s="11"/>
      <c r="G266" s="9"/>
      <c r="H266" s="9"/>
      <c r="I266" s="9"/>
      <c r="J266" s="23" t="str">
        <f aca="false">IF(OR($C266="",$F266=""),"",IF($B266="입고",$F266,IF($B266="출고",-$F266,$F266)))</f>
        <v/>
      </c>
      <c r="K266" s="24" t="str">
        <f aca="false">IF($C266="","",IFERROR(INDEX(예비품목록!$E$3:$E$202,MATCH($C266,예비품목록!$A$3:$A$202,0)),0)+SUMIFS($J$3:$J266,$C$3:$C266,$C266))</f>
        <v/>
      </c>
    </row>
    <row r="267" customFormat="false" ht="15" hidden="false" customHeight="true" outlineLevel="0" collapsed="false">
      <c r="A267" s="12"/>
      <c r="B267" s="9"/>
      <c r="C267" s="9"/>
      <c r="D267" s="15" t="str">
        <f aca="false">IF($C267="","",IFERROR(INDEX(예비품목록!$B$3:$B$202,MATCH($C267,예비품목록!$A$3:$A$202,0)),"미등록품번"))</f>
        <v/>
      </c>
      <c r="E267" s="15" t="str">
        <f aca="false">IF($C267="","",IFERROR(INDEX(예비품목록!$D$3:$D$202,MATCH($C267,예비품목록!$A$3:$A$202,0)),""))</f>
        <v/>
      </c>
      <c r="F267" s="11"/>
      <c r="G267" s="9"/>
      <c r="H267" s="9"/>
      <c r="I267" s="9"/>
      <c r="J267" s="23" t="str">
        <f aca="false">IF(OR($C267="",$F267=""),"",IF($B267="입고",$F267,IF($B267="출고",-$F267,$F267)))</f>
        <v/>
      </c>
      <c r="K267" s="24" t="str">
        <f aca="false">IF($C267="","",IFERROR(INDEX(예비품목록!$E$3:$E$202,MATCH($C267,예비품목록!$A$3:$A$202,0)),0)+SUMIFS($J$3:$J267,$C$3:$C267,$C267))</f>
        <v/>
      </c>
    </row>
    <row r="268" customFormat="false" ht="15" hidden="false" customHeight="true" outlineLevel="0" collapsed="false">
      <c r="A268" s="12"/>
      <c r="B268" s="9"/>
      <c r="C268" s="9"/>
      <c r="D268" s="15" t="str">
        <f aca="false">IF($C268="","",IFERROR(INDEX(예비품목록!$B$3:$B$202,MATCH($C268,예비품목록!$A$3:$A$202,0)),"미등록품번"))</f>
        <v/>
      </c>
      <c r="E268" s="15" t="str">
        <f aca="false">IF($C268="","",IFERROR(INDEX(예비품목록!$D$3:$D$202,MATCH($C268,예비품목록!$A$3:$A$202,0)),""))</f>
        <v/>
      </c>
      <c r="F268" s="11"/>
      <c r="G268" s="9"/>
      <c r="H268" s="9"/>
      <c r="I268" s="9"/>
      <c r="J268" s="23" t="str">
        <f aca="false">IF(OR($C268="",$F268=""),"",IF($B268="입고",$F268,IF($B268="출고",-$F268,$F268)))</f>
        <v/>
      </c>
      <c r="K268" s="24" t="str">
        <f aca="false">IF($C268="","",IFERROR(INDEX(예비품목록!$E$3:$E$202,MATCH($C268,예비품목록!$A$3:$A$202,0)),0)+SUMIFS($J$3:$J268,$C$3:$C268,$C268))</f>
        <v/>
      </c>
    </row>
    <row r="269" customFormat="false" ht="15" hidden="false" customHeight="true" outlineLevel="0" collapsed="false">
      <c r="A269" s="12"/>
      <c r="B269" s="9"/>
      <c r="C269" s="9"/>
      <c r="D269" s="15" t="str">
        <f aca="false">IF($C269="","",IFERROR(INDEX(예비품목록!$B$3:$B$202,MATCH($C269,예비품목록!$A$3:$A$202,0)),"미등록품번"))</f>
        <v/>
      </c>
      <c r="E269" s="15" t="str">
        <f aca="false">IF($C269="","",IFERROR(INDEX(예비품목록!$D$3:$D$202,MATCH($C269,예비품목록!$A$3:$A$202,0)),""))</f>
        <v/>
      </c>
      <c r="F269" s="11"/>
      <c r="G269" s="9"/>
      <c r="H269" s="9"/>
      <c r="I269" s="9"/>
      <c r="J269" s="23" t="str">
        <f aca="false">IF(OR($C269="",$F269=""),"",IF($B269="입고",$F269,IF($B269="출고",-$F269,$F269)))</f>
        <v/>
      </c>
      <c r="K269" s="24" t="str">
        <f aca="false">IF($C269="","",IFERROR(INDEX(예비품목록!$E$3:$E$202,MATCH($C269,예비품목록!$A$3:$A$202,0)),0)+SUMIFS($J$3:$J269,$C$3:$C269,$C269))</f>
        <v/>
      </c>
    </row>
    <row r="270" customFormat="false" ht="15" hidden="false" customHeight="true" outlineLevel="0" collapsed="false">
      <c r="A270" s="12"/>
      <c r="B270" s="9"/>
      <c r="C270" s="9"/>
      <c r="D270" s="15" t="str">
        <f aca="false">IF($C270="","",IFERROR(INDEX(예비품목록!$B$3:$B$202,MATCH($C270,예비품목록!$A$3:$A$202,0)),"미등록품번"))</f>
        <v/>
      </c>
      <c r="E270" s="15" t="str">
        <f aca="false">IF($C270="","",IFERROR(INDEX(예비품목록!$D$3:$D$202,MATCH($C270,예비품목록!$A$3:$A$202,0)),""))</f>
        <v/>
      </c>
      <c r="F270" s="11"/>
      <c r="G270" s="9"/>
      <c r="H270" s="9"/>
      <c r="I270" s="9"/>
      <c r="J270" s="23" t="str">
        <f aca="false">IF(OR($C270="",$F270=""),"",IF($B270="입고",$F270,IF($B270="출고",-$F270,$F270)))</f>
        <v/>
      </c>
      <c r="K270" s="24" t="str">
        <f aca="false">IF($C270="","",IFERROR(INDEX(예비품목록!$E$3:$E$202,MATCH($C270,예비품목록!$A$3:$A$202,0)),0)+SUMIFS($J$3:$J270,$C$3:$C270,$C270))</f>
        <v/>
      </c>
    </row>
    <row r="271" customFormat="false" ht="15" hidden="false" customHeight="true" outlineLevel="0" collapsed="false">
      <c r="A271" s="12"/>
      <c r="B271" s="9"/>
      <c r="C271" s="9"/>
      <c r="D271" s="15" t="str">
        <f aca="false">IF($C271="","",IFERROR(INDEX(예비품목록!$B$3:$B$202,MATCH($C271,예비품목록!$A$3:$A$202,0)),"미등록품번"))</f>
        <v/>
      </c>
      <c r="E271" s="15" t="str">
        <f aca="false">IF($C271="","",IFERROR(INDEX(예비품목록!$D$3:$D$202,MATCH($C271,예비품목록!$A$3:$A$202,0)),""))</f>
        <v/>
      </c>
      <c r="F271" s="11"/>
      <c r="G271" s="9"/>
      <c r="H271" s="9"/>
      <c r="I271" s="9"/>
      <c r="J271" s="23" t="str">
        <f aca="false">IF(OR($C271="",$F271=""),"",IF($B271="입고",$F271,IF($B271="출고",-$F271,$F271)))</f>
        <v/>
      </c>
      <c r="K271" s="24" t="str">
        <f aca="false">IF($C271="","",IFERROR(INDEX(예비품목록!$E$3:$E$202,MATCH($C271,예비품목록!$A$3:$A$202,0)),0)+SUMIFS($J$3:$J271,$C$3:$C271,$C271))</f>
        <v/>
      </c>
    </row>
    <row r="272" customFormat="false" ht="15" hidden="false" customHeight="true" outlineLevel="0" collapsed="false">
      <c r="A272" s="12"/>
      <c r="B272" s="9"/>
      <c r="C272" s="9"/>
      <c r="D272" s="15" t="str">
        <f aca="false">IF($C272="","",IFERROR(INDEX(예비품목록!$B$3:$B$202,MATCH($C272,예비품목록!$A$3:$A$202,0)),"미등록품번"))</f>
        <v/>
      </c>
      <c r="E272" s="15" t="str">
        <f aca="false">IF($C272="","",IFERROR(INDEX(예비품목록!$D$3:$D$202,MATCH($C272,예비품목록!$A$3:$A$202,0)),""))</f>
        <v/>
      </c>
      <c r="F272" s="11"/>
      <c r="G272" s="9"/>
      <c r="H272" s="9"/>
      <c r="I272" s="9"/>
      <c r="J272" s="23" t="str">
        <f aca="false">IF(OR($C272="",$F272=""),"",IF($B272="입고",$F272,IF($B272="출고",-$F272,$F272)))</f>
        <v/>
      </c>
      <c r="K272" s="24" t="str">
        <f aca="false">IF($C272="","",IFERROR(INDEX(예비품목록!$E$3:$E$202,MATCH($C272,예비품목록!$A$3:$A$202,0)),0)+SUMIFS($J$3:$J272,$C$3:$C272,$C272))</f>
        <v/>
      </c>
    </row>
    <row r="273" customFormat="false" ht="15" hidden="false" customHeight="true" outlineLevel="0" collapsed="false">
      <c r="A273" s="12"/>
      <c r="B273" s="9"/>
      <c r="C273" s="9"/>
      <c r="D273" s="15" t="str">
        <f aca="false">IF($C273="","",IFERROR(INDEX(예비품목록!$B$3:$B$202,MATCH($C273,예비품목록!$A$3:$A$202,0)),"미등록품번"))</f>
        <v/>
      </c>
      <c r="E273" s="15" t="str">
        <f aca="false">IF($C273="","",IFERROR(INDEX(예비품목록!$D$3:$D$202,MATCH($C273,예비품목록!$A$3:$A$202,0)),""))</f>
        <v/>
      </c>
      <c r="F273" s="11"/>
      <c r="G273" s="9"/>
      <c r="H273" s="9"/>
      <c r="I273" s="9"/>
      <c r="J273" s="23" t="str">
        <f aca="false">IF(OR($C273="",$F273=""),"",IF($B273="입고",$F273,IF($B273="출고",-$F273,$F273)))</f>
        <v/>
      </c>
      <c r="K273" s="24" t="str">
        <f aca="false">IF($C273="","",IFERROR(INDEX(예비품목록!$E$3:$E$202,MATCH($C273,예비품목록!$A$3:$A$202,0)),0)+SUMIFS($J$3:$J273,$C$3:$C273,$C273))</f>
        <v/>
      </c>
    </row>
    <row r="274" customFormat="false" ht="15" hidden="false" customHeight="true" outlineLevel="0" collapsed="false">
      <c r="A274" s="12"/>
      <c r="B274" s="9"/>
      <c r="C274" s="9"/>
      <c r="D274" s="15" t="str">
        <f aca="false">IF($C274="","",IFERROR(INDEX(예비품목록!$B$3:$B$202,MATCH($C274,예비품목록!$A$3:$A$202,0)),"미등록품번"))</f>
        <v/>
      </c>
      <c r="E274" s="15" t="str">
        <f aca="false">IF($C274="","",IFERROR(INDEX(예비품목록!$D$3:$D$202,MATCH($C274,예비품목록!$A$3:$A$202,0)),""))</f>
        <v/>
      </c>
      <c r="F274" s="11"/>
      <c r="G274" s="9"/>
      <c r="H274" s="9"/>
      <c r="I274" s="9"/>
      <c r="J274" s="23" t="str">
        <f aca="false">IF(OR($C274="",$F274=""),"",IF($B274="입고",$F274,IF($B274="출고",-$F274,$F274)))</f>
        <v/>
      </c>
      <c r="K274" s="24" t="str">
        <f aca="false">IF($C274="","",IFERROR(INDEX(예비품목록!$E$3:$E$202,MATCH($C274,예비품목록!$A$3:$A$202,0)),0)+SUMIFS($J$3:$J274,$C$3:$C274,$C274))</f>
        <v/>
      </c>
    </row>
    <row r="275" customFormat="false" ht="15" hidden="false" customHeight="true" outlineLevel="0" collapsed="false">
      <c r="A275" s="12"/>
      <c r="B275" s="9"/>
      <c r="C275" s="9"/>
      <c r="D275" s="15" t="str">
        <f aca="false">IF($C275="","",IFERROR(INDEX(예비품목록!$B$3:$B$202,MATCH($C275,예비품목록!$A$3:$A$202,0)),"미등록품번"))</f>
        <v/>
      </c>
      <c r="E275" s="15" t="str">
        <f aca="false">IF($C275="","",IFERROR(INDEX(예비품목록!$D$3:$D$202,MATCH($C275,예비품목록!$A$3:$A$202,0)),""))</f>
        <v/>
      </c>
      <c r="F275" s="11"/>
      <c r="G275" s="9"/>
      <c r="H275" s="9"/>
      <c r="I275" s="9"/>
      <c r="J275" s="23" t="str">
        <f aca="false">IF(OR($C275="",$F275=""),"",IF($B275="입고",$F275,IF($B275="출고",-$F275,$F275)))</f>
        <v/>
      </c>
      <c r="K275" s="24" t="str">
        <f aca="false">IF($C275="","",IFERROR(INDEX(예비품목록!$E$3:$E$202,MATCH($C275,예비품목록!$A$3:$A$202,0)),0)+SUMIFS($J$3:$J275,$C$3:$C275,$C275))</f>
        <v/>
      </c>
    </row>
    <row r="276" customFormat="false" ht="15" hidden="false" customHeight="true" outlineLevel="0" collapsed="false">
      <c r="A276" s="12"/>
      <c r="B276" s="9"/>
      <c r="C276" s="9"/>
      <c r="D276" s="15" t="str">
        <f aca="false">IF($C276="","",IFERROR(INDEX(예비품목록!$B$3:$B$202,MATCH($C276,예비품목록!$A$3:$A$202,0)),"미등록품번"))</f>
        <v/>
      </c>
      <c r="E276" s="15" t="str">
        <f aca="false">IF($C276="","",IFERROR(INDEX(예비품목록!$D$3:$D$202,MATCH($C276,예비품목록!$A$3:$A$202,0)),""))</f>
        <v/>
      </c>
      <c r="F276" s="11"/>
      <c r="G276" s="9"/>
      <c r="H276" s="9"/>
      <c r="I276" s="9"/>
      <c r="J276" s="23" t="str">
        <f aca="false">IF(OR($C276="",$F276=""),"",IF($B276="입고",$F276,IF($B276="출고",-$F276,$F276)))</f>
        <v/>
      </c>
      <c r="K276" s="24" t="str">
        <f aca="false">IF($C276="","",IFERROR(INDEX(예비품목록!$E$3:$E$202,MATCH($C276,예비품목록!$A$3:$A$202,0)),0)+SUMIFS($J$3:$J276,$C$3:$C276,$C276))</f>
        <v/>
      </c>
    </row>
    <row r="277" customFormat="false" ht="15" hidden="false" customHeight="true" outlineLevel="0" collapsed="false">
      <c r="A277" s="12"/>
      <c r="B277" s="9"/>
      <c r="C277" s="9"/>
      <c r="D277" s="15" t="str">
        <f aca="false">IF($C277="","",IFERROR(INDEX(예비품목록!$B$3:$B$202,MATCH($C277,예비품목록!$A$3:$A$202,0)),"미등록품번"))</f>
        <v/>
      </c>
      <c r="E277" s="15" t="str">
        <f aca="false">IF($C277="","",IFERROR(INDEX(예비품목록!$D$3:$D$202,MATCH($C277,예비품목록!$A$3:$A$202,0)),""))</f>
        <v/>
      </c>
      <c r="F277" s="11"/>
      <c r="G277" s="9"/>
      <c r="H277" s="9"/>
      <c r="I277" s="9"/>
      <c r="J277" s="23" t="str">
        <f aca="false">IF(OR($C277="",$F277=""),"",IF($B277="입고",$F277,IF($B277="출고",-$F277,$F277)))</f>
        <v/>
      </c>
      <c r="K277" s="24" t="str">
        <f aca="false">IF($C277="","",IFERROR(INDEX(예비품목록!$E$3:$E$202,MATCH($C277,예비품목록!$A$3:$A$202,0)),0)+SUMIFS($J$3:$J277,$C$3:$C277,$C277))</f>
        <v/>
      </c>
    </row>
    <row r="278" customFormat="false" ht="15" hidden="false" customHeight="true" outlineLevel="0" collapsed="false">
      <c r="A278" s="12"/>
      <c r="B278" s="9"/>
      <c r="C278" s="9"/>
      <c r="D278" s="15" t="str">
        <f aca="false">IF($C278="","",IFERROR(INDEX(예비품목록!$B$3:$B$202,MATCH($C278,예비품목록!$A$3:$A$202,0)),"미등록품번"))</f>
        <v/>
      </c>
      <c r="E278" s="15" t="str">
        <f aca="false">IF($C278="","",IFERROR(INDEX(예비품목록!$D$3:$D$202,MATCH($C278,예비품목록!$A$3:$A$202,0)),""))</f>
        <v/>
      </c>
      <c r="F278" s="11"/>
      <c r="G278" s="9"/>
      <c r="H278" s="9"/>
      <c r="I278" s="9"/>
      <c r="J278" s="23" t="str">
        <f aca="false">IF(OR($C278="",$F278=""),"",IF($B278="입고",$F278,IF($B278="출고",-$F278,$F278)))</f>
        <v/>
      </c>
      <c r="K278" s="24" t="str">
        <f aca="false">IF($C278="","",IFERROR(INDEX(예비품목록!$E$3:$E$202,MATCH($C278,예비품목록!$A$3:$A$202,0)),0)+SUMIFS($J$3:$J278,$C$3:$C278,$C278))</f>
        <v/>
      </c>
    </row>
    <row r="279" customFormat="false" ht="15" hidden="false" customHeight="true" outlineLevel="0" collapsed="false">
      <c r="A279" s="12"/>
      <c r="B279" s="9"/>
      <c r="C279" s="9"/>
      <c r="D279" s="15" t="str">
        <f aca="false">IF($C279="","",IFERROR(INDEX(예비품목록!$B$3:$B$202,MATCH($C279,예비품목록!$A$3:$A$202,0)),"미등록품번"))</f>
        <v/>
      </c>
      <c r="E279" s="15" t="str">
        <f aca="false">IF($C279="","",IFERROR(INDEX(예비품목록!$D$3:$D$202,MATCH($C279,예비품목록!$A$3:$A$202,0)),""))</f>
        <v/>
      </c>
      <c r="F279" s="11"/>
      <c r="G279" s="9"/>
      <c r="H279" s="9"/>
      <c r="I279" s="9"/>
      <c r="J279" s="23" t="str">
        <f aca="false">IF(OR($C279="",$F279=""),"",IF($B279="입고",$F279,IF($B279="출고",-$F279,$F279)))</f>
        <v/>
      </c>
      <c r="K279" s="24" t="str">
        <f aca="false">IF($C279="","",IFERROR(INDEX(예비품목록!$E$3:$E$202,MATCH($C279,예비품목록!$A$3:$A$202,0)),0)+SUMIFS($J$3:$J279,$C$3:$C279,$C279))</f>
        <v/>
      </c>
    </row>
    <row r="280" customFormat="false" ht="15" hidden="false" customHeight="true" outlineLevel="0" collapsed="false">
      <c r="A280" s="12"/>
      <c r="B280" s="9"/>
      <c r="C280" s="9"/>
      <c r="D280" s="15" t="str">
        <f aca="false">IF($C280="","",IFERROR(INDEX(예비품목록!$B$3:$B$202,MATCH($C280,예비품목록!$A$3:$A$202,0)),"미등록품번"))</f>
        <v/>
      </c>
      <c r="E280" s="15" t="str">
        <f aca="false">IF($C280="","",IFERROR(INDEX(예비품목록!$D$3:$D$202,MATCH($C280,예비품목록!$A$3:$A$202,0)),""))</f>
        <v/>
      </c>
      <c r="F280" s="11"/>
      <c r="G280" s="9"/>
      <c r="H280" s="9"/>
      <c r="I280" s="9"/>
      <c r="J280" s="23" t="str">
        <f aca="false">IF(OR($C280="",$F280=""),"",IF($B280="입고",$F280,IF($B280="출고",-$F280,$F280)))</f>
        <v/>
      </c>
      <c r="K280" s="24" t="str">
        <f aca="false">IF($C280="","",IFERROR(INDEX(예비품목록!$E$3:$E$202,MATCH($C280,예비품목록!$A$3:$A$202,0)),0)+SUMIFS($J$3:$J280,$C$3:$C280,$C280))</f>
        <v/>
      </c>
    </row>
    <row r="281" customFormat="false" ht="15" hidden="false" customHeight="true" outlineLevel="0" collapsed="false">
      <c r="A281" s="12"/>
      <c r="B281" s="9"/>
      <c r="C281" s="9"/>
      <c r="D281" s="15" t="str">
        <f aca="false">IF($C281="","",IFERROR(INDEX(예비품목록!$B$3:$B$202,MATCH($C281,예비품목록!$A$3:$A$202,0)),"미등록품번"))</f>
        <v/>
      </c>
      <c r="E281" s="15" t="str">
        <f aca="false">IF($C281="","",IFERROR(INDEX(예비품목록!$D$3:$D$202,MATCH($C281,예비품목록!$A$3:$A$202,0)),""))</f>
        <v/>
      </c>
      <c r="F281" s="11"/>
      <c r="G281" s="9"/>
      <c r="H281" s="9"/>
      <c r="I281" s="9"/>
      <c r="J281" s="23" t="str">
        <f aca="false">IF(OR($C281="",$F281=""),"",IF($B281="입고",$F281,IF($B281="출고",-$F281,$F281)))</f>
        <v/>
      </c>
      <c r="K281" s="24" t="str">
        <f aca="false">IF($C281="","",IFERROR(INDEX(예비품목록!$E$3:$E$202,MATCH($C281,예비품목록!$A$3:$A$202,0)),0)+SUMIFS($J$3:$J281,$C$3:$C281,$C281))</f>
        <v/>
      </c>
    </row>
    <row r="282" customFormat="false" ht="15" hidden="false" customHeight="true" outlineLevel="0" collapsed="false">
      <c r="A282" s="12"/>
      <c r="B282" s="9"/>
      <c r="C282" s="9"/>
      <c r="D282" s="15" t="str">
        <f aca="false">IF($C282="","",IFERROR(INDEX(예비품목록!$B$3:$B$202,MATCH($C282,예비품목록!$A$3:$A$202,0)),"미등록품번"))</f>
        <v/>
      </c>
      <c r="E282" s="15" t="str">
        <f aca="false">IF($C282="","",IFERROR(INDEX(예비품목록!$D$3:$D$202,MATCH($C282,예비품목록!$A$3:$A$202,0)),""))</f>
        <v/>
      </c>
      <c r="F282" s="11"/>
      <c r="G282" s="9"/>
      <c r="H282" s="9"/>
      <c r="I282" s="9"/>
      <c r="J282" s="23" t="str">
        <f aca="false">IF(OR($C282="",$F282=""),"",IF($B282="입고",$F282,IF($B282="출고",-$F282,$F282)))</f>
        <v/>
      </c>
      <c r="K282" s="24" t="str">
        <f aca="false">IF($C282="","",IFERROR(INDEX(예비품목록!$E$3:$E$202,MATCH($C282,예비품목록!$A$3:$A$202,0)),0)+SUMIFS($J$3:$J282,$C$3:$C282,$C282))</f>
        <v/>
      </c>
    </row>
    <row r="283" customFormat="false" ht="15" hidden="false" customHeight="true" outlineLevel="0" collapsed="false">
      <c r="A283" s="12"/>
      <c r="B283" s="9"/>
      <c r="C283" s="9"/>
      <c r="D283" s="15" t="str">
        <f aca="false">IF($C283="","",IFERROR(INDEX(예비품목록!$B$3:$B$202,MATCH($C283,예비품목록!$A$3:$A$202,0)),"미등록품번"))</f>
        <v/>
      </c>
      <c r="E283" s="15" t="str">
        <f aca="false">IF($C283="","",IFERROR(INDEX(예비품목록!$D$3:$D$202,MATCH($C283,예비품목록!$A$3:$A$202,0)),""))</f>
        <v/>
      </c>
      <c r="F283" s="11"/>
      <c r="G283" s="9"/>
      <c r="H283" s="9"/>
      <c r="I283" s="9"/>
      <c r="J283" s="23" t="str">
        <f aca="false">IF(OR($C283="",$F283=""),"",IF($B283="입고",$F283,IF($B283="출고",-$F283,$F283)))</f>
        <v/>
      </c>
      <c r="K283" s="24" t="str">
        <f aca="false">IF($C283="","",IFERROR(INDEX(예비품목록!$E$3:$E$202,MATCH($C283,예비품목록!$A$3:$A$202,0)),0)+SUMIFS($J$3:$J283,$C$3:$C283,$C283))</f>
        <v/>
      </c>
    </row>
    <row r="284" customFormat="false" ht="15" hidden="false" customHeight="true" outlineLevel="0" collapsed="false">
      <c r="A284" s="12"/>
      <c r="B284" s="9"/>
      <c r="C284" s="9"/>
      <c r="D284" s="15" t="str">
        <f aca="false">IF($C284="","",IFERROR(INDEX(예비품목록!$B$3:$B$202,MATCH($C284,예비품목록!$A$3:$A$202,0)),"미등록품번"))</f>
        <v/>
      </c>
      <c r="E284" s="15" t="str">
        <f aca="false">IF($C284="","",IFERROR(INDEX(예비품목록!$D$3:$D$202,MATCH($C284,예비품목록!$A$3:$A$202,0)),""))</f>
        <v/>
      </c>
      <c r="F284" s="11"/>
      <c r="G284" s="9"/>
      <c r="H284" s="9"/>
      <c r="I284" s="9"/>
      <c r="J284" s="23" t="str">
        <f aca="false">IF(OR($C284="",$F284=""),"",IF($B284="입고",$F284,IF($B284="출고",-$F284,$F284)))</f>
        <v/>
      </c>
      <c r="K284" s="24" t="str">
        <f aca="false">IF($C284="","",IFERROR(INDEX(예비품목록!$E$3:$E$202,MATCH($C284,예비품목록!$A$3:$A$202,0)),0)+SUMIFS($J$3:$J284,$C$3:$C284,$C284))</f>
        <v/>
      </c>
    </row>
    <row r="285" customFormat="false" ht="15" hidden="false" customHeight="true" outlineLevel="0" collapsed="false">
      <c r="A285" s="12"/>
      <c r="B285" s="9"/>
      <c r="C285" s="9"/>
      <c r="D285" s="15" t="str">
        <f aca="false">IF($C285="","",IFERROR(INDEX(예비품목록!$B$3:$B$202,MATCH($C285,예비품목록!$A$3:$A$202,0)),"미등록품번"))</f>
        <v/>
      </c>
      <c r="E285" s="15" t="str">
        <f aca="false">IF($C285="","",IFERROR(INDEX(예비품목록!$D$3:$D$202,MATCH($C285,예비품목록!$A$3:$A$202,0)),""))</f>
        <v/>
      </c>
      <c r="F285" s="11"/>
      <c r="G285" s="9"/>
      <c r="H285" s="9"/>
      <c r="I285" s="9"/>
      <c r="J285" s="23" t="str">
        <f aca="false">IF(OR($C285="",$F285=""),"",IF($B285="입고",$F285,IF($B285="출고",-$F285,$F285)))</f>
        <v/>
      </c>
      <c r="K285" s="24" t="str">
        <f aca="false">IF($C285="","",IFERROR(INDEX(예비품목록!$E$3:$E$202,MATCH($C285,예비품목록!$A$3:$A$202,0)),0)+SUMIFS($J$3:$J285,$C$3:$C285,$C285))</f>
        <v/>
      </c>
    </row>
    <row r="286" customFormat="false" ht="15" hidden="false" customHeight="true" outlineLevel="0" collapsed="false">
      <c r="A286" s="12"/>
      <c r="B286" s="9"/>
      <c r="C286" s="9"/>
      <c r="D286" s="15" t="str">
        <f aca="false">IF($C286="","",IFERROR(INDEX(예비품목록!$B$3:$B$202,MATCH($C286,예비품목록!$A$3:$A$202,0)),"미등록품번"))</f>
        <v/>
      </c>
      <c r="E286" s="15" t="str">
        <f aca="false">IF($C286="","",IFERROR(INDEX(예비품목록!$D$3:$D$202,MATCH($C286,예비품목록!$A$3:$A$202,0)),""))</f>
        <v/>
      </c>
      <c r="F286" s="11"/>
      <c r="G286" s="9"/>
      <c r="H286" s="9"/>
      <c r="I286" s="9"/>
      <c r="J286" s="23" t="str">
        <f aca="false">IF(OR($C286="",$F286=""),"",IF($B286="입고",$F286,IF($B286="출고",-$F286,$F286)))</f>
        <v/>
      </c>
      <c r="K286" s="24" t="str">
        <f aca="false">IF($C286="","",IFERROR(INDEX(예비품목록!$E$3:$E$202,MATCH($C286,예비품목록!$A$3:$A$202,0)),0)+SUMIFS($J$3:$J286,$C$3:$C286,$C286))</f>
        <v/>
      </c>
    </row>
    <row r="287" customFormat="false" ht="15" hidden="false" customHeight="true" outlineLevel="0" collapsed="false">
      <c r="A287" s="12"/>
      <c r="B287" s="9"/>
      <c r="C287" s="9"/>
      <c r="D287" s="15" t="str">
        <f aca="false">IF($C287="","",IFERROR(INDEX(예비품목록!$B$3:$B$202,MATCH($C287,예비품목록!$A$3:$A$202,0)),"미등록품번"))</f>
        <v/>
      </c>
      <c r="E287" s="15" t="str">
        <f aca="false">IF($C287="","",IFERROR(INDEX(예비품목록!$D$3:$D$202,MATCH($C287,예비품목록!$A$3:$A$202,0)),""))</f>
        <v/>
      </c>
      <c r="F287" s="11"/>
      <c r="G287" s="9"/>
      <c r="H287" s="9"/>
      <c r="I287" s="9"/>
      <c r="J287" s="23" t="str">
        <f aca="false">IF(OR($C287="",$F287=""),"",IF($B287="입고",$F287,IF($B287="출고",-$F287,$F287)))</f>
        <v/>
      </c>
      <c r="K287" s="24" t="str">
        <f aca="false">IF($C287="","",IFERROR(INDEX(예비품목록!$E$3:$E$202,MATCH($C287,예비품목록!$A$3:$A$202,0)),0)+SUMIFS($J$3:$J287,$C$3:$C287,$C287))</f>
        <v/>
      </c>
    </row>
    <row r="288" customFormat="false" ht="15" hidden="false" customHeight="true" outlineLevel="0" collapsed="false">
      <c r="A288" s="12"/>
      <c r="B288" s="9"/>
      <c r="C288" s="9"/>
      <c r="D288" s="15" t="str">
        <f aca="false">IF($C288="","",IFERROR(INDEX(예비품목록!$B$3:$B$202,MATCH($C288,예비품목록!$A$3:$A$202,0)),"미등록품번"))</f>
        <v/>
      </c>
      <c r="E288" s="15" t="str">
        <f aca="false">IF($C288="","",IFERROR(INDEX(예비품목록!$D$3:$D$202,MATCH($C288,예비품목록!$A$3:$A$202,0)),""))</f>
        <v/>
      </c>
      <c r="F288" s="11"/>
      <c r="G288" s="9"/>
      <c r="H288" s="9"/>
      <c r="I288" s="9"/>
      <c r="J288" s="23" t="str">
        <f aca="false">IF(OR($C288="",$F288=""),"",IF($B288="입고",$F288,IF($B288="출고",-$F288,$F288)))</f>
        <v/>
      </c>
      <c r="K288" s="24" t="str">
        <f aca="false">IF($C288="","",IFERROR(INDEX(예비품목록!$E$3:$E$202,MATCH($C288,예비품목록!$A$3:$A$202,0)),0)+SUMIFS($J$3:$J288,$C$3:$C288,$C288))</f>
        <v/>
      </c>
    </row>
    <row r="289" customFormat="false" ht="15" hidden="false" customHeight="true" outlineLevel="0" collapsed="false">
      <c r="A289" s="12"/>
      <c r="B289" s="9"/>
      <c r="C289" s="9"/>
      <c r="D289" s="15" t="str">
        <f aca="false">IF($C289="","",IFERROR(INDEX(예비품목록!$B$3:$B$202,MATCH($C289,예비품목록!$A$3:$A$202,0)),"미등록품번"))</f>
        <v/>
      </c>
      <c r="E289" s="15" t="str">
        <f aca="false">IF($C289="","",IFERROR(INDEX(예비품목록!$D$3:$D$202,MATCH($C289,예비품목록!$A$3:$A$202,0)),""))</f>
        <v/>
      </c>
      <c r="F289" s="11"/>
      <c r="G289" s="9"/>
      <c r="H289" s="9"/>
      <c r="I289" s="9"/>
      <c r="J289" s="23" t="str">
        <f aca="false">IF(OR($C289="",$F289=""),"",IF($B289="입고",$F289,IF($B289="출고",-$F289,$F289)))</f>
        <v/>
      </c>
      <c r="K289" s="24" t="str">
        <f aca="false">IF($C289="","",IFERROR(INDEX(예비품목록!$E$3:$E$202,MATCH($C289,예비품목록!$A$3:$A$202,0)),0)+SUMIFS($J$3:$J289,$C$3:$C289,$C289))</f>
        <v/>
      </c>
    </row>
    <row r="290" customFormat="false" ht="15" hidden="false" customHeight="true" outlineLevel="0" collapsed="false">
      <c r="A290" s="12"/>
      <c r="B290" s="9"/>
      <c r="C290" s="9"/>
      <c r="D290" s="15" t="str">
        <f aca="false">IF($C290="","",IFERROR(INDEX(예비품목록!$B$3:$B$202,MATCH($C290,예비품목록!$A$3:$A$202,0)),"미등록품번"))</f>
        <v/>
      </c>
      <c r="E290" s="15" t="str">
        <f aca="false">IF($C290="","",IFERROR(INDEX(예비품목록!$D$3:$D$202,MATCH($C290,예비품목록!$A$3:$A$202,0)),""))</f>
        <v/>
      </c>
      <c r="F290" s="11"/>
      <c r="G290" s="9"/>
      <c r="H290" s="9"/>
      <c r="I290" s="9"/>
      <c r="J290" s="23" t="str">
        <f aca="false">IF(OR($C290="",$F290=""),"",IF($B290="입고",$F290,IF($B290="출고",-$F290,$F290)))</f>
        <v/>
      </c>
      <c r="K290" s="24" t="str">
        <f aca="false">IF($C290="","",IFERROR(INDEX(예비품목록!$E$3:$E$202,MATCH($C290,예비품목록!$A$3:$A$202,0)),0)+SUMIFS($J$3:$J290,$C$3:$C290,$C290))</f>
        <v/>
      </c>
    </row>
    <row r="291" customFormat="false" ht="15" hidden="false" customHeight="true" outlineLevel="0" collapsed="false">
      <c r="A291" s="12"/>
      <c r="B291" s="9"/>
      <c r="C291" s="9"/>
      <c r="D291" s="15" t="str">
        <f aca="false">IF($C291="","",IFERROR(INDEX(예비품목록!$B$3:$B$202,MATCH($C291,예비품목록!$A$3:$A$202,0)),"미등록품번"))</f>
        <v/>
      </c>
      <c r="E291" s="15" t="str">
        <f aca="false">IF($C291="","",IFERROR(INDEX(예비품목록!$D$3:$D$202,MATCH($C291,예비품목록!$A$3:$A$202,0)),""))</f>
        <v/>
      </c>
      <c r="F291" s="11"/>
      <c r="G291" s="9"/>
      <c r="H291" s="9"/>
      <c r="I291" s="9"/>
      <c r="J291" s="23" t="str">
        <f aca="false">IF(OR($C291="",$F291=""),"",IF($B291="입고",$F291,IF($B291="출고",-$F291,$F291)))</f>
        <v/>
      </c>
      <c r="K291" s="24" t="str">
        <f aca="false">IF($C291="","",IFERROR(INDEX(예비품목록!$E$3:$E$202,MATCH($C291,예비품목록!$A$3:$A$202,0)),0)+SUMIFS($J$3:$J291,$C$3:$C291,$C291))</f>
        <v/>
      </c>
    </row>
    <row r="292" customFormat="false" ht="15" hidden="false" customHeight="true" outlineLevel="0" collapsed="false">
      <c r="A292" s="12"/>
      <c r="B292" s="9"/>
      <c r="C292" s="9"/>
      <c r="D292" s="15" t="str">
        <f aca="false">IF($C292="","",IFERROR(INDEX(예비품목록!$B$3:$B$202,MATCH($C292,예비품목록!$A$3:$A$202,0)),"미등록품번"))</f>
        <v/>
      </c>
      <c r="E292" s="15" t="str">
        <f aca="false">IF($C292="","",IFERROR(INDEX(예비품목록!$D$3:$D$202,MATCH($C292,예비품목록!$A$3:$A$202,0)),""))</f>
        <v/>
      </c>
      <c r="F292" s="11"/>
      <c r="G292" s="9"/>
      <c r="H292" s="9"/>
      <c r="I292" s="9"/>
      <c r="J292" s="23" t="str">
        <f aca="false">IF(OR($C292="",$F292=""),"",IF($B292="입고",$F292,IF($B292="출고",-$F292,$F292)))</f>
        <v/>
      </c>
      <c r="K292" s="24" t="str">
        <f aca="false">IF($C292="","",IFERROR(INDEX(예비품목록!$E$3:$E$202,MATCH($C292,예비품목록!$A$3:$A$202,0)),0)+SUMIFS($J$3:$J292,$C$3:$C292,$C292))</f>
        <v/>
      </c>
    </row>
    <row r="293" customFormat="false" ht="15" hidden="false" customHeight="true" outlineLevel="0" collapsed="false">
      <c r="A293" s="12"/>
      <c r="B293" s="9"/>
      <c r="C293" s="9"/>
      <c r="D293" s="15" t="str">
        <f aca="false">IF($C293="","",IFERROR(INDEX(예비품목록!$B$3:$B$202,MATCH($C293,예비품목록!$A$3:$A$202,0)),"미등록품번"))</f>
        <v/>
      </c>
      <c r="E293" s="15" t="str">
        <f aca="false">IF($C293="","",IFERROR(INDEX(예비품목록!$D$3:$D$202,MATCH($C293,예비품목록!$A$3:$A$202,0)),""))</f>
        <v/>
      </c>
      <c r="F293" s="11"/>
      <c r="G293" s="9"/>
      <c r="H293" s="9"/>
      <c r="I293" s="9"/>
      <c r="J293" s="23" t="str">
        <f aca="false">IF(OR($C293="",$F293=""),"",IF($B293="입고",$F293,IF($B293="출고",-$F293,$F293)))</f>
        <v/>
      </c>
      <c r="K293" s="24" t="str">
        <f aca="false">IF($C293="","",IFERROR(INDEX(예비품목록!$E$3:$E$202,MATCH($C293,예비품목록!$A$3:$A$202,0)),0)+SUMIFS($J$3:$J293,$C$3:$C293,$C293))</f>
        <v/>
      </c>
    </row>
    <row r="294" customFormat="false" ht="15" hidden="false" customHeight="true" outlineLevel="0" collapsed="false">
      <c r="A294" s="12"/>
      <c r="B294" s="9"/>
      <c r="C294" s="9"/>
      <c r="D294" s="15" t="str">
        <f aca="false">IF($C294="","",IFERROR(INDEX(예비품목록!$B$3:$B$202,MATCH($C294,예비품목록!$A$3:$A$202,0)),"미등록품번"))</f>
        <v/>
      </c>
      <c r="E294" s="15" t="str">
        <f aca="false">IF($C294="","",IFERROR(INDEX(예비품목록!$D$3:$D$202,MATCH($C294,예비품목록!$A$3:$A$202,0)),""))</f>
        <v/>
      </c>
      <c r="F294" s="11"/>
      <c r="G294" s="9"/>
      <c r="H294" s="9"/>
      <c r="I294" s="9"/>
      <c r="J294" s="23" t="str">
        <f aca="false">IF(OR($C294="",$F294=""),"",IF($B294="입고",$F294,IF($B294="출고",-$F294,$F294)))</f>
        <v/>
      </c>
      <c r="K294" s="24" t="str">
        <f aca="false">IF($C294="","",IFERROR(INDEX(예비품목록!$E$3:$E$202,MATCH($C294,예비품목록!$A$3:$A$202,0)),0)+SUMIFS($J$3:$J294,$C$3:$C294,$C294))</f>
        <v/>
      </c>
    </row>
    <row r="295" customFormat="false" ht="15" hidden="false" customHeight="true" outlineLevel="0" collapsed="false">
      <c r="A295" s="12"/>
      <c r="B295" s="9"/>
      <c r="C295" s="9"/>
      <c r="D295" s="15" t="str">
        <f aca="false">IF($C295="","",IFERROR(INDEX(예비품목록!$B$3:$B$202,MATCH($C295,예비품목록!$A$3:$A$202,0)),"미등록품번"))</f>
        <v/>
      </c>
      <c r="E295" s="15" t="str">
        <f aca="false">IF($C295="","",IFERROR(INDEX(예비품목록!$D$3:$D$202,MATCH($C295,예비품목록!$A$3:$A$202,0)),""))</f>
        <v/>
      </c>
      <c r="F295" s="11"/>
      <c r="G295" s="9"/>
      <c r="H295" s="9"/>
      <c r="I295" s="9"/>
      <c r="J295" s="23" t="str">
        <f aca="false">IF(OR($C295="",$F295=""),"",IF($B295="입고",$F295,IF($B295="출고",-$F295,$F295)))</f>
        <v/>
      </c>
      <c r="K295" s="24" t="str">
        <f aca="false">IF($C295="","",IFERROR(INDEX(예비품목록!$E$3:$E$202,MATCH($C295,예비품목록!$A$3:$A$202,0)),0)+SUMIFS($J$3:$J295,$C$3:$C295,$C295))</f>
        <v/>
      </c>
    </row>
    <row r="296" customFormat="false" ht="15" hidden="false" customHeight="true" outlineLevel="0" collapsed="false">
      <c r="A296" s="12"/>
      <c r="B296" s="9"/>
      <c r="C296" s="9"/>
      <c r="D296" s="15" t="str">
        <f aca="false">IF($C296="","",IFERROR(INDEX(예비품목록!$B$3:$B$202,MATCH($C296,예비품목록!$A$3:$A$202,0)),"미등록품번"))</f>
        <v/>
      </c>
      <c r="E296" s="15" t="str">
        <f aca="false">IF($C296="","",IFERROR(INDEX(예비품목록!$D$3:$D$202,MATCH($C296,예비품목록!$A$3:$A$202,0)),""))</f>
        <v/>
      </c>
      <c r="F296" s="11"/>
      <c r="G296" s="9"/>
      <c r="H296" s="9"/>
      <c r="I296" s="9"/>
      <c r="J296" s="23" t="str">
        <f aca="false">IF(OR($C296="",$F296=""),"",IF($B296="입고",$F296,IF($B296="출고",-$F296,$F296)))</f>
        <v/>
      </c>
      <c r="K296" s="24" t="str">
        <f aca="false">IF($C296="","",IFERROR(INDEX(예비품목록!$E$3:$E$202,MATCH($C296,예비품목록!$A$3:$A$202,0)),0)+SUMIFS($J$3:$J296,$C$3:$C296,$C296))</f>
        <v/>
      </c>
    </row>
    <row r="297" customFormat="false" ht="15" hidden="false" customHeight="true" outlineLevel="0" collapsed="false">
      <c r="A297" s="12"/>
      <c r="B297" s="9"/>
      <c r="C297" s="9"/>
      <c r="D297" s="15" t="str">
        <f aca="false">IF($C297="","",IFERROR(INDEX(예비품목록!$B$3:$B$202,MATCH($C297,예비품목록!$A$3:$A$202,0)),"미등록품번"))</f>
        <v/>
      </c>
      <c r="E297" s="15" t="str">
        <f aca="false">IF($C297="","",IFERROR(INDEX(예비품목록!$D$3:$D$202,MATCH($C297,예비품목록!$A$3:$A$202,0)),""))</f>
        <v/>
      </c>
      <c r="F297" s="11"/>
      <c r="G297" s="9"/>
      <c r="H297" s="9"/>
      <c r="I297" s="9"/>
      <c r="J297" s="23" t="str">
        <f aca="false">IF(OR($C297="",$F297=""),"",IF($B297="입고",$F297,IF($B297="출고",-$F297,$F297)))</f>
        <v/>
      </c>
      <c r="K297" s="24" t="str">
        <f aca="false">IF($C297="","",IFERROR(INDEX(예비품목록!$E$3:$E$202,MATCH($C297,예비품목록!$A$3:$A$202,0)),0)+SUMIFS($J$3:$J297,$C$3:$C297,$C297))</f>
        <v/>
      </c>
    </row>
    <row r="298" customFormat="false" ht="15" hidden="false" customHeight="true" outlineLevel="0" collapsed="false">
      <c r="A298" s="12"/>
      <c r="B298" s="9"/>
      <c r="C298" s="9"/>
      <c r="D298" s="15" t="str">
        <f aca="false">IF($C298="","",IFERROR(INDEX(예비품목록!$B$3:$B$202,MATCH($C298,예비품목록!$A$3:$A$202,0)),"미등록품번"))</f>
        <v/>
      </c>
      <c r="E298" s="15" t="str">
        <f aca="false">IF($C298="","",IFERROR(INDEX(예비품목록!$D$3:$D$202,MATCH($C298,예비품목록!$A$3:$A$202,0)),""))</f>
        <v/>
      </c>
      <c r="F298" s="11"/>
      <c r="G298" s="9"/>
      <c r="H298" s="9"/>
      <c r="I298" s="9"/>
      <c r="J298" s="23" t="str">
        <f aca="false">IF(OR($C298="",$F298=""),"",IF($B298="입고",$F298,IF($B298="출고",-$F298,$F298)))</f>
        <v/>
      </c>
      <c r="K298" s="24" t="str">
        <f aca="false">IF($C298="","",IFERROR(INDEX(예비품목록!$E$3:$E$202,MATCH($C298,예비품목록!$A$3:$A$202,0)),0)+SUMIFS($J$3:$J298,$C$3:$C298,$C298))</f>
        <v/>
      </c>
    </row>
    <row r="299" customFormat="false" ht="15" hidden="false" customHeight="true" outlineLevel="0" collapsed="false">
      <c r="A299" s="12"/>
      <c r="B299" s="9"/>
      <c r="C299" s="9"/>
      <c r="D299" s="15" t="str">
        <f aca="false">IF($C299="","",IFERROR(INDEX(예비품목록!$B$3:$B$202,MATCH($C299,예비품목록!$A$3:$A$202,0)),"미등록품번"))</f>
        <v/>
      </c>
      <c r="E299" s="15" t="str">
        <f aca="false">IF($C299="","",IFERROR(INDEX(예비품목록!$D$3:$D$202,MATCH($C299,예비품목록!$A$3:$A$202,0)),""))</f>
        <v/>
      </c>
      <c r="F299" s="11"/>
      <c r="G299" s="9"/>
      <c r="H299" s="9"/>
      <c r="I299" s="9"/>
      <c r="J299" s="23" t="str">
        <f aca="false">IF(OR($C299="",$F299=""),"",IF($B299="입고",$F299,IF($B299="출고",-$F299,$F299)))</f>
        <v/>
      </c>
      <c r="K299" s="24" t="str">
        <f aca="false">IF($C299="","",IFERROR(INDEX(예비품목록!$E$3:$E$202,MATCH($C299,예비품목록!$A$3:$A$202,0)),0)+SUMIFS($J$3:$J299,$C$3:$C299,$C299))</f>
        <v/>
      </c>
    </row>
    <row r="300" customFormat="false" ht="15" hidden="false" customHeight="true" outlineLevel="0" collapsed="false">
      <c r="A300" s="12"/>
      <c r="B300" s="9"/>
      <c r="C300" s="9"/>
      <c r="D300" s="15" t="str">
        <f aca="false">IF($C300="","",IFERROR(INDEX(예비품목록!$B$3:$B$202,MATCH($C300,예비품목록!$A$3:$A$202,0)),"미등록품번"))</f>
        <v/>
      </c>
      <c r="E300" s="15" t="str">
        <f aca="false">IF($C300="","",IFERROR(INDEX(예비품목록!$D$3:$D$202,MATCH($C300,예비품목록!$A$3:$A$202,0)),""))</f>
        <v/>
      </c>
      <c r="F300" s="11"/>
      <c r="G300" s="9"/>
      <c r="H300" s="9"/>
      <c r="I300" s="9"/>
      <c r="J300" s="23" t="str">
        <f aca="false">IF(OR($C300="",$F300=""),"",IF($B300="입고",$F300,IF($B300="출고",-$F300,$F300)))</f>
        <v/>
      </c>
      <c r="K300" s="24" t="str">
        <f aca="false">IF($C300="","",IFERROR(INDEX(예비품목록!$E$3:$E$202,MATCH($C300,예비품목록!$A$3:$A$202,0)),0)+SUMIFS($J$3:$J300,$C$3:$C300,$C300))</f>
        <v/>
      </c>
    </row>
    <row r="301" customFormat="false" ht="15" hidden="false" customHeight="true" outlineLevel="0" collapsed="false">
      <c r="A301" s="12"/>
      <c r="B301" s="9"/>
      <c r="C301" s="9"/>
      <c r="D301" s="15" t="str">
        <f aca="false">IF($C301="","",IFERROR(INDEX(예비품목록!$B$3:$B$202,MATCH($C301,예비품목록!$A$3:$A$202,0)),"미등록품번"))</f>
        <v/>
      </c>
      <c r="E301" s="15" t="str">
        <f aca="false">IF($C301="","",IFERROR(INDEX(예비품목록!$D$3:$D$202,MATCH($C301,예비품목록!$A$3:$A$202,0)),""))</f>
        <v/>
      </c>
      <c r="F301" s="11"/>
      <c r="G301" s="9"/>
      <c r="H301" s="9"/>
      <c r="I301" s="9"/>
      <c r="J301" s="23" t="str">
        <f aca="false">IF(OR($C301="",$F301=""),"",IF($B301="입고",$F301,IF($B301="출고",-$F301,$F301)))</f>
        <v/>
      </c>
      <c r="K301" s="24" t="str">
        <f aca="false">IF($C301="","",IFERROR(INDEX(예비품목록!$E$3:$E$202,MATCH($C301,예비품목록!$A$3:$A$202,0)),0)+SUMIFS($J$3:$J301,$C$3:$C301,$C301))</f>
        <v/>
      </c>
    </row>
    <row r="302" customFormat="false" ht="15" hidden="false" customHeight="true" outlineLevel="0" collapsed="false">
      <c r="A302" s="12"/>
      <c r="B302" s="9"/>
      <c r="C302" s="9"/>
      <c r="D302" s="15" t="str">
        <f aca="false">IF($C302="","",IFERROR(INDEX(예비품목록!$B$3:$B$202,MATCH($C302,예비품목록!$A$3:$A$202,0)),"미등록품번"))</f>
        <v/>
      </c>
      <c r="E302" s="15" t="str">
        <f aca="false">IF($C302="","",IFERROR(INDEX(예비품목록!$D$3:$D$202,MATCH($C302,예비품목록!$A$3:$A$202,0)),""))</f>
        <v/>
      </c>
      <c r="F302" s="11"/>
      <c r="G302" s="9"/>
      <c r="H302" s="9"/>
      <c r="I302" s="9"/>
      <c r="J302" s="23" t="str">
        <f aca="false">IF(OR($C302="",$F302=""),"",IF($B302="입고",$F302,IF($B302="출고",-$F302,$F302)))</f>
        <v/>
      </c>
      <c r="K302" s="24" t="str">
        <f aca="false">IF($C302="","",IFERROR(INDEX(예비품목록!$E$3:$E$202,MATCH($C302,예비품목록!$A$3:$A$202,0)),0)+SUMIFS($J$3:$J302,$C$3:$C302,$C302))</f>
        <v/>
      </c>
    </row>
    <row r="303" customFormat="false" ht="15" hidden="false" customHeight="true" outlineLevel="0" collapsed="false">
      <c r="A303" s="12"/>
      <c r="B303" s="9"/>
      <c r="C303" s="9"/>
      <c r="D303" s="15" t="str">
        <f aca="false">IF($C303="","",IFERROR(INDEX(예비품목록!$B$3:$B$202,MATCH($C303,예비품목록!$A$3:$A$202,0)),"미등록품번"))</f>
        <v/>
      </c>
      <c r="E303" s="15" t="str">
        <f aca="false">IF($C303="","",IFERROR(INDEX(예비품목록!$D$3:$D$202,MATCH($C303,예비품목록!$A$3:$A$202,0)),""))</f>
        <v/>
      </c>
      <c r="F303" s="11"/>
      <c r="G303" s="9"/>
      <c r="H303" s="9"/>
      <c r="I303" s="9"/>
      <c r="J303" s="23" t="str">
        <f aca="false">IF(OR($C303="",$F303=""),"",IF($B303="입고",$F303,IF($B303="출고",-$F303,$F303)))</f>
        <v/>
      </c>
      <c r="K303" s="24" t="str">
        <f aca="false">IF($C303="","",IFERROR(INDEX(예비품목록!$E$3:$E$202,MATCH($C303,예비품목록!$A$3:$A$202,0)),0)+SUMIFS($J$3:$J303,$C$3:$C303,$C303))</f>
        <v/>
      </c>
    </row>
    <row r="304" customFormat="false" ht="15" hidden="false" customHeight="true" outlineLevel="0" collapsed="false">
      <c r="A304" s="12"/>
      <c r="B304" s="9"/>
      <c r="C304" s="9"/>
      <c r="D304" s="15" t="str">
        <f aca="false">IF($C304="","",IFERROR(INDEX(예비품목록!$B$3:$B$202,MATCH($C304,예비품목록!$A$3:$A$202,0)),"미등록품번"))</f>
        <v/>
      </c>
      <c r="E304" s="15" t="str">
        <f aca="false">IF($C304="","",IFERROR(INDEX(예비품목록!$D$3:$D$202,MATCH($C304,예비품목록!$A$3:$A$202,0)),""))</f>
        <v/>
      </c>
      <c r="F304" s="11"/>
      <c r="G304" s="9"/>
      <c r="H304" s="9"/>
      <c r="I304" s="9"/>
      <c r="J304" s="23" t="str">
        <f aca="false">IF(OR($C304="",$F304=""),"",IF($B304="입고",$F304,IF($B304="출고",-$F304,$F304)))</f>
        <v/>
      </c>
      <c r="K304" s="24" t="str">
        <f aca="false">IF($C304="","",IFERROR(INDEX(예비품목록!$E$3:$E$202,MATCH($C304,예비품목록!$A$3:$A$202,0)),0)+SUMIFS($J$3:$J304,$C$3:$C304,$C304))</f>
        <v/>
      </c>
    </row>
    <row r="305" customFormat="false" ht="15" hidden="false" customHeight="true" outlineLevel="0" collapsed="false">
      <c r="A305" s="12"/>
      <c r="B305" s="9"/>
      <c r="C305" s="9"/>
      <c r="D305" s="15" t="str">
        <f aca="false">IF($C305="","",IFERROR(INDEX(예비품목록!$B$3:$B$202,MATCH($C305,예비품목록!$A$3:$A$202,0)),"미등록품번"))</f>
        <v/>
      </c>
      <c r="E305" s="15" t="str">
        <f aca="false">IF($C305="","",IFERROR(INDEX(예비품목록!$D$3:$D$202,MATCH($C305,예비품목록!$A$3:$A$202,0)),""))</f>
        <v/>
      </c>
      <c r="F305" s="11"/>
      <c r="G305" s="9"/>
      <c r="H305" s="9"/>
      <c r="I305" s="9"/>
      <c r="J305" s="23" t="str">
        <f aca="false">IF(OR($C305="",$F305=""),"",IF($B305="입고",$F305,IF($B305="출고",-$F305,$F305)))</f>
        <v/>
      </c>
      <c r="K305" s="24" t="str">
        <f aca="false">IF($C305="","",IFERROR(INDEX(예비품목록!$E$3:$E$202,MATCH($C305,예비품목록!$A$3:$A$202,0)),0)+SUMIFS($J$3:$J305,$C$3:$C305,$C305))</f>
        <v/>
      </c>
    </row>
    <row r="306" customFormat="false" ht="15" hidden="false" customHeight="true" outlineLevel="0" collapsed="false">
      <c r="A306" s="12"/>
      <c r="B306" s="9"/>
      <c r="C306" s="9"/>
      <c r="D306" s="15" t="str">
        <f aca="false">IF($C306="","",IFERROR(INDEX(예비품목록!$B$3:$B$202,MATCH($C306,예비품목록!$A$3:$A$202,0)),"미등록품번"))</f>
        <v/>
      </c>
      <c r="E306" s="15" t="str">
        <f aca="false">IF($C306="","",IFERROR(INDEX(예비품목록!$D$3:$D$202,MATCH($C306,예비품목록!$A$3:$A$202,0)),""))</f>
        <v/>
      </c>
      <c r="F306" s="11"/>
      <c r="G306" s="9"/>
      <c r="H306" s="9"/>
      <c r="I306" s="9"/>
      <c r="J306" s="23" t="str">
        <f aca="false">IF(OR($C306="",$F306=""),"",IF($B306="입고",$F306,IF($B306="출고",-$F306,$F306)))</f>
        <v/>
      </c>
      <c r="K306" s="24" t="str">
        <f aca="false">IF($C306="","",IFERROR(INDEX(예비품목록!$E$3:$E$202,MATCH($C306,예비품목록!$A$3:$A$202,0)),0)+SUMIFS($J$3:$J306,$C$3:$C306,$C306))</f>
        <v/>
      </c>
    </row>
    <row r="307" customFormat="false" ht="15" hidden="false" customHeight="true" outlineLevel="0" collapsed="false">
      <c r="A307" s="12"/>
      <c r="B307" s="9"/>
      <c r="C307" s="9"/>
      <c r="D307" s="15" t="str">
        <f aca="false">IF($C307="","",IFERROR(INDEX(예비품목록!$B$3:$B$202,MATCH($C307,예비품목록!$A$3:$A$202,0)),"미등록품번"))</f>
        <v/>
      </c>
      <c r="E307" s="15" t="str">
        <f aca="false">IF($C307="","",IFERROR(INDEX(예비품목록!$D$3:$D$202,MATCH($C307,예비품목록!$A$3:$A$202,0)),""))</f>
        <v/>
      </c>
      <c r="F307" s="11"/>
      <c r="G307" s="9"/>
      <c r="H307" s="9"/>
      <c r="I307" s="9"/>
      <c r="J307" s="23" t="str">
        <f aca="false">IF(OR($C307="",$F307=""),"",IF($B307="입고",$F307,IF($B307="출고",-$F307,$F307)))</f>
        <v/>
      </c>
      <c r="K307" s="24" t="str">
        <f aca="false">IF($C307="","",IFERROR(INDEX(예비품목록!$E$3:$E$202,MATCH($C307,예비품목록!$A$3:$A$202,0)),0)+SUMIFS($J$3:$J307,$C$3:$C307,$C307))</f>
        <v/>
      </c>
    </row>
    <row r="308" customFormat="false" ht="15" hidden="false" customHeight="true" outlineLevel="0" collapsed="false">
      <c r="A308" s="12"/>
      <c r="B308" s="9"/>
      <c r="C308" s="9"/>
      <c r="D308" s="15" t="str">
        <f aca="false">IF($C308="","",IFERROR(INDEX(예비품목록!$B$3:$B$202,MATCH($C308,예비품목록!$A$3:$A$202,0)),"미등록품번"))</f>
        <v/>
      </c>
      <c r="E308" s="15" t="str">
        <f aca="false">IF($C308="","",IFERROR(INDEX(예비품목록!$D$3:$D$202,MATCH($C308,예비품목록!$A$3:$A$202,0)),""))</f>
        <v/>
      </c>
      <c r="F308" s="11"/>
      <c r="G308" s="9"/>
      <c r="H308" s="9"/>
      <c r="I308" s="9"/>
      <c r="J308" s="23" t="str">
        <f aca="false">IF(OR($C308="",$F308=""),"",IF($B308="입고",$F308,IF($B308="출고",-$F308,$F308)))</f>
        <v/>
      </c>
      <c r="K308" s="24" t="str">
        <f aca="false">IF($C308="","",IFERROR(INDEX(예비품목록!$E$3:$E$202,MATCH($C308,예비품목록!$A$3:$A$202,0)),0)+SUMIFS($J$3:$J308,$C$3:$C308,$C308))</f>
        <v/>
      </c>
    </row>
    <row r="309" customFormat="false" ht="15" hidden="false" customHeight="true" outlineLevel="0" collapsed="false">
      <c r="A309" s="12"/>
      <c r="B309" s="9"/>
      <c r="C309" s="9"/>
      <c r="D309" s="15" t="str">
        <f aca="false">IF($C309="","",IFERROR(INDEX(예비품목록!$B$3:$B$202,MATCH($C309,예비품목록!$A$3:$A$202,0)),"미등록품번"))</f>
        <v/>
      </c>
      <c r="E309" s="15" t="str">
        <f aca="false">IF($C309="","",IFERROR(INDEX(예비품목록!$D$3:$D$202,MATCH($C309,예비품목록!$A$3:$A$202,0)),""))</f>
        <v/>
      </c>
      <c r="F309" s="11"/>
      <c r="G309" s="9"/>
      <c r="H309" s="9"/>
      <c r="I309" s="9"/>
      <c r="J309" s="23" t="str">
        <f aca="false">IF(OR($C309="",$F309=""),"",IF($B309="입고",$F309,IF($B309="출고",-$F309,$F309)))</f>
        <v/>
      </c>
      <c r="K309" s="24" t="str">
        <f aca="false">IF($C309="","",IFERROR(INDEX(예비품목록!$E$3:$E$202,MATCH($C309,예비품목록!$A$3:$A$202,0)),0)+SUMIFS($J$3:$J309,$C$3:$C309,$C309))</f>
        <v/>
      </c>
    </row>
    <row r="310" customFormat="false" ht="15" hidden="false" customHeight="true" outlineLevel="0" collapsed="false">
      <c r="A310" s="12"/>
      <c r="B310" s="9"/>
      <c r="C310" s="9"/>
      <c r="D310" s="15" t="str">
        <f aca="false">IF($C310="","",IFERROR(INDEX(예비품목록!$B$3:$B$202,MATCH($C310,예비품목록!$A$3:$A$202,0)),"미등록품번"))</f>
        <v/>
      </c>
      <c r="E310" s="15" t="str">
        <f aca="false">IF($C310="","",IFERROR(INDEX(예비품목록!$D$3:$D$202,MATCH($C310,예비품목록!$A$3:$A$202,0)),""))</f>
        <v/>
      </c>
      <c r="F310" s="11"/>
      <c r="G310" s="9"/>
      <c r="H310" s="9"/>
      <c r="I310" s="9"/>
      <c r="J310" s="23" t="str">
        <f aca="false">IF(OR($C310="",$F310=""),"",IF($B310="입고",$F310,IF($B310="출고",-$F310,$F310)))</f>
        <v/>
      </c>
      <c r="K310" s="24" t="str">
        <f aca="false">IF($C310="","",IFERROR(INDEX(예비품목록!$E$3:$E$202,MATCH($C310,예비품목록!$A$3:$A$202,0)),0)+SUMIFS($J$3:$J310,$C$3:$C310,$C310))</f>
        <v/>
      </c>
    </row>
    <row r="311" customFormat="false" ht="15" hidden="false" customHeight="true" outlineLevel="0" collapsed="false">
      <c r="A311" s="12"/>
      <c r="B311" s="9"/>
      <c r="C311" s="9"/>
      <c r="D311" s="15" t="str">
        <f aca="false">IF($C311="","",IFERROR(INDEX(예비품목록!$B$3:$B$202,MATCH($C311,예비품목록!$A$3:$A$202,0)),"미등록품번"))</f>
        <v/>
      </c>
      <c r="E311" s="15" t="str">
        <f aca="false">IF($C311="","",IFERROR(INDEX(예비품목록!$D$3:$D$202,MATCH($C311,예비품목록!$A$3:$A$202,0)),""))</f>
        <v/>
      </c>
      <c r="F311" s="11"/>
      <c r="G311" s="9"/>
      <c r="H311" s="9"/>
      <c r="I311" s="9"/>
      <c r="J311" s="23" t="str">
        <f aca="false">IF(OR($C311="",$F311=""),"",IF($B311="입고",$F311,IF($B311="출고",-$F311,$F311)))</f>
        <v/>
      </c>
      <c r="K311" s="24" t="str">
        <f aca="false">IF($C311="","",IFERROR(INDEX(예비품목록!$E$3:$E$202,MATCH($C311,예비품목록!$A$3:$A$202,0)),0)+SUMIFS($J$3:$J311,$C$3:$C311,$C311))</f>
        <v/>
      </c>
    </row>
    <row r="312" customFormat="false" ht="15" hidden="false" customHeight="true" outlineLevel="0" collapsed="false">
      <c r="A312" s="12"/>
      <c r="B312" s="9"/>
      <c r="C312" s="9"/>
      <c r="D312" s="15" t="str">
        <f aca="false">IF($C312="","",IFERROR(INDEX(예비품목록!$B$3:$B$202,MATCH($C312,예비품목록!$A$3:$A$202,0)),"미등록품번"))</f>
        <v/>
      </c>
      <c r="E312" s="15" t="str">
        <f aca="false">IF($C312="","",IFERROR(INDEX(예비품목록!$D$3:$D$202,MATCH($C312,예비품목록!$A$3:$A$202,0)),""))</f>
        <v/>
      </c>
      <c r="F312" s="11"/>
      <c r="G312" s="9"/>
      <c r="H312" s="9"/>
      <c r="I312" s="9"/>
      <c r="J312" s="23" t="str">
        <f aca="false">IF(OR($C312="",$F312=""),"",IF($B312="입고",$F312,IF($B312="출고",-$F312,$F312)))</f>
        <v/>
      </c>
      <c r="K312" s="24" t="str">
        <f aca="false">IF($C312="","",IFERROR(INDEX(예비품목록!$E$3:$E$202,MATCH($C312,예비품목록!$A$3:$A$202,0)),0)+SUMIFS($J$3:$J312,$C$3:$C312,$C312))</f>
        <v/>
      </c>
    </row>
    <row r="313" customFormat="false" ht="15" hidden="false" customHeight="true" outlineLevel="0" collapsed="false">
      <c r="A313" s="12"/>
      <c r="B313" s="9"/>
      <c r="C313" s="9"/>
      <c r="D313" s="15" t="str">
        <f aca="false">IF($C313="","",IFERROR(INDEX(예비품목록!$B$3:$B$202,MATCH($C313,예비품목록!$A$3:$A$202,0)),"미등록품번"))</f>
        <v/>
      </c>
      <c r="E313" s="15" t="str">
        <f aca="false">IF($C313="","",IFERROR(INDEX(예비품목록!$D$3:$D$202,MATCH($C313,예비품목록!$A$3:$A$202,0)),""))</f>
        <v/>
      </c>
      <c r="F313" s="11"/>
      <c r="G313" s="9"/>
      <c r="H313" s="9"/>
      <c r="I313" s="9"/>
      <c r="J313" s="23" t="str">
        <f aca="false">IF(OR($C313="",$F313=""),"",IF($B313="입고",$F313,IF($B313="출고",-$F313,$F313)))</f>
        <v/>
      </c>
      <c r="K313" s="24" t="str">
        <f aca="false">IF($C313="","",IFERROR(INDEX(예비품목록!$E$3:$E$202,MATCH($C313,예비품목록!$A$3:$A$202,0)),0)+SUMIFS($J$3:$J313,$C$3:$C313,$C313))</f>
        <v/>
      </c>
    </row>
    <row r="314" customFormat="false" ht="15" hidden="false" customHeight="true" outlineLevel="0" collapsed="false">
      <c r="A314" s="12"/>
      <c r="B314" s="9"/>
      <c r="C314" s="9"/>
      <c r="D314" s="15" t="str">
        <f aca="false">IF($C314="","",IFERROR(INDEX(예비품목록!$B$3:$B$202,MATCH($C314,예비품목록!$A$3:$A$202,0)),"미등록품번"))</f>
        <v/>
      </c>
      <c r="E314" s="15" t="str">
        <f aca="false">IF($C314="","",IFERROR(INDEX(예비품목록!$D$3:$D$202,MATCH($C314,예비품목록!$A$3:$A$202,0)),""))</f>
        <v/>
      </c>
      <c r="F314" s="11"/>
      <c r="G314" s="9"/>
      <c r="H314" s="9"/>
      <c r="I314" s="9"/>
      <c r="J314" s="23" t="str">
        <f aca="false">IF(OR($C314="",$F314=""),"",IF($B314="입고",$F314,IF($B314="출고",-$F314,$F314)))</f>
        <v/>
      </c>
      <c r="K314" s="24" t="str">
        <f aca="false">IF($C314="","",IFERROR(INDEX(예비품목록!$E$3:$E$202,MATCH($C314,예비품목록!$A$3:$A$202,0)),0)+SUMIFS($J$3:$J314,$C$3:$C314,$C314))</f>
        <v/>
      </c>
    </row>
    <row r="315" customFormat="false" ht="15" hidden="false" customHeight="true" outlineLevel="0" collapsed="false">
      <c r="A315" s="12"/>
      <c r="B315" s="9"/>
      <c r="C315" s="9"/>
      <c r="D315" s="15" t="str">
        <f aca="false">IF($C315="","",IFERROR(INDEX(예비품목록!$B$3:$B$202,MATCH($C315,예비품목록!$A$3:$A$202,0)),"미등록품번"))</f>
        <v/>
      </c>
      <c r="E315" s="15" t="str">
        <f aca="false">IF($C315="","",IFERROR(INDEX(예비품목록!$D$3:$D$202,MATCH($C315,예비품목록!$A$3:$A$202,0)),""))</f>
        <v/>
      </c>
      <c r="F315" s="11"/>
      <c r="G315" s="9"/>
      <c r="H315" s="9"/>
      <c r="I315" s="9"/>
      <c r="J315" s="23" t="str">
        <f aca="false">IF(OR($C315="",$F315=""),"",IF($B315="입고",$F315,IF($B315="출고",-$F315,$F315)))</f>
        <v/>
      </c>
      <c r="K315" s="24" t="str">
        <f aca="false">IF($C315="","",IFERROR(INDEX(예비품목록!$E$3:$E$202,MATCH($C315,예비품목록!$A$3:$A$202,0)),0)+SUMIFS($J$3:$J315,$C$3:$C315,$C315))</f>
        <v/>
      </c>
    </row>
    <row r="316" customFormat="false" ht="15" hidden="false" customHeight="true" outlineLevel="0" collapsed="false">
      <c r="A316" s="12"/>
      <c r="B316" s="9"/>
      <c r="C316" s="9"/>
      <c r="D316" s="15" t="str">
        <f aca="false">IF($C316="","",IFERROR(INDEX(예비품목록!$B$3:$B$202,MATCH($C316,예비품목록!$A$3:$A$202,0)),"미등록품번"))</f>
        <v/>
      </c>
      <c r="E316" s="15" t="str">
        <f aca="false">IF($C316="","",IFERROR(INDEX(예비품목록!$D$3:$D$202,MATCH($C316,예비품목록!$A$3:$A$202,0)),""))</f>
        <v/>
      </c>
      <c r="F316" s="11"/>
      <c r="G316" s="9"/>
      <c r="H316" s="9"/>
      <c r="I316" s="9"/>
      <c r="J316" s="23" t="str">
        <f aca="false">IF(OR($C316="",$F316=""),"",IF($B316="입고",$F316,IF($B316="출고",-$F316,$F316)))</f>
        <v/>
      </c>
      <c r="K316" s="24" t="str">
        <f aca="false">IF($C316="","",IFERROR(INDEX(예비품목록!$E$3:$E$202,MATCH($C316,예비품목록!$A$3:$A$202,0)),0)+SUMIFS($J$3:$J316,$C$3:$C316,$C316))</f>
        <v/>
      </c>
    </row>
    <row r="317" customFormat="false" ht="15" hidden="false" customHeight="true" outlineLevel="0" collapsed="false">
      <c r="A317" s="12"/>
      <c r="B317" s="9"/>
      <c r="C317" s="9"/>
      <c r="D317" s="15" t="str">
        <f aca="false">IF($C317="","",IFERROR(INDEX(예비품목록!$B$3:$B$202,MATCH($C317,예비품목록!$A$3:$A$202,0)),"미등록품번"))</f>
        <v/>
      </c>
      <c r="E317" s="15" t="str">
        <f aca="false">IF($C317="","",IFERROR(INDEX(예비품목록!$D$3:$D$202,MATCH($C317,예비품목록!$A$3:$A$202,0)),""))</f>
        <v/>
      </c>
      <c r="F317" s="11"/>
      <c r="G317" s="9"/>
      <c r="H317" s="9"/>
      <c r="I317" s="9"/>
      <c r="J317" s="23" t="str">
        <f aca="false">IF(OR($C317="",$F317=""),"",IF($B317="입고",$F317,IF($B317="출고",-$F317,$F317)))</f>
        <v/>
      </c>
      <c r="K317" s="24" t="str">
        <f aca="false">IF($C317="","",IFERROR(INDEX(예비품목록!$E$3:$E$202,MATCH($C317,예비품목록!$A$3:$A$202,0)),0)+SUMIFS($J$3:$J317,$C$3:$C317,$C317))</f>
        <v/>
      </c>
    </row>
    <row r="318" customFormat="false" ht="15" hidden="false" customHeight="true" outlineLevel="0" collapsed="false">
      <c r="A318" s="12"/>
      <c r="B318" s="9"/>
      <c r="C318" s="9"/>
      <c r="D318" s="15" t="str">
        <f aca="false">IF($C318="","",IFERROR(INDEX(예비품목록!$B$3:$B$202,MATCH($C318,예비품목록!$A$3:$A$202,0)),"미등록품번"))</f>
        <v/>
      </c>
      <c r="E318" s="15" t="str">
        <f aca="false">IF($C318="","",IFERROR(INDEX(예비품목록!$D$3:$D$202,MATCH($C318,예비품목록!$A$3:$A$202,0)),""))</f>
        <v/>
      </c>
      <c r="F318" s="11"/>
      <c r="G318" s="9"/>
      <c r="H318" s="9"/>
      <c r="I318" s="9"/>
      <c r="J318" s="23" t="str">
        <f aca="false">IF(OR($C318="",$F318=""),"",IF($B318="입고",$F318,IF($B318="출고",-$F318,$F318)))</f>
        <v/>
      </c>
      <c r="K318" s="24" t="str">
        <f aca="false">IF($C318="","",IFERROR(INDEX(예비품목록!$E$3:$E$202,MATCH($C318,예비품목록!$A$3:$A$202,0)),0)+SUMIFS($J$3:$J318,$C$3:$C318,$C318))</f>
        <v/>
      </c>
    </row>
    <row r="319" customFormat="false" ht="15" hidden="false" customHeight="true" outlineLevel="0" collapsed="false">
      <c r="A319" s="12"/>
      <c r="B319" s="9"/>
      <c r="C319" s="9"/>
      <c r="D319" s="15" t="str">
        <f aca="false">IF($C319="","",IFERROR(INDEX(예비품목록!$B$3:$B$202,MATCH($C319,예비품목록!$A$3:$A$202,0)),"미등록품번"))</f>
        <v/>
      </c>
      <c r="E319" s="15" t="str">
        <f aca="false">IF($C319="","",IFERROR(INDEX(예비품목록!$D$3:$D$202,MATCH($C319,예비품목록!$A$3:$A$202,0)),""))</f>
        <v/>
      </c>
      <c r="F319" s="11"/>
      <c r="G319" s="9"/>
      <c r="H319" s="9"/>
      <c r="I319" s="9"/>
      <c r="J319" s="23" t="str">
        <f aca="false">IF(OR($C319="",$F319=""),"",IF($B319="입고",$F319,IF($B319="출고",-$F319,$F319)))</f>
        <v/>
      </c>
      <c r="K319" s="24" t="str">
        <f aca="false">IF($C319="","",IFERROR(INDEX(예비품목록!$E$3:$E$202,MATCH($C319,예비품목록!$A$3:$A$202,0)),0)+SUMIFS($J$3:$J319,$C$3:$C319,$C319))</f>
        <v/>
      </c>
    </row>
    <row r="320" customFormat="false" ht="15" hidden="false" customHeight="true" outlineLevel="0" collapsed="false">
      <c r="A320" s="12"/>
      <c r="B320" s="9"/>
      <c r="C320" s="9"/>
      <c r="D320" s="15" t="str">
        <f aca="false">IF($C320="","",IFERROR(INDEX(예비품목록!$B$3:$B$202,MATCH($C320,예비품목록!$A$3:$A$202,0)),"미등록품번"))</f>
        <v/>
      </c>
      <c r="E320" s="15" t="str">
        <f aca="false">IF($C320="","",IFERROR(INDEX(예비품목록!$D$3:$D$202,MATCH($C320,예비품목록!$A$3:$A$202,0)),""))</f>
        <v/>
      </c>
      <c r="F320" s="11"/>
      <c r="G320" s="9"/>
      <c r="H320" s="9"/>
      <c r="I320" s="9"/>
      <c r="J320" s="23" t="str">
        <f aca="false">IF(OR($C320="",$F320=""),"",IF($B320="입고",$F320,IF($B320="출고",-$F320,$F320)))</f>
        <v/>
      </c>
      <c r="K320" s="24" t="str">
        <f aca="false">IF($C320="","",IFERROR(INDEX(예비품목록!$E$3:$E$202,MATCH($C320,예비품목록!$A$3:$A$202,0)),0)+SUMIFS($J$3:$J320,$C$3:$C320,$C320))</f>
        <v/>
      </c>
    </row>
    <row r="321" customFormat="false" ht="15" hidden="false" customHeight="true" outlineLevel="0" collapsed="false">
      <c r="A321" s="12"/>
      <c r="B321" s="9"/>
      <c r="C321" s="9"/>
      <c r="D321" s="15" t="str">
        <f aca="false">IF($C321="","",IFERROR(INDEX(예비품목록!$B$3:$B$202,MATCH($C321,예비품목록!$A$3:$A$202,0)),"미등록품번"))</f>
        <v/>
      </c>
      <c r="E321" s="15" t="str">
        <f aca="false">IF($C321="","",IFERROR(INDEX(예비품목록!$D$3:$D$202,MATCH($C321,예비품목록!$A$3:$A$202,0)),""))</f>
        <v/>
      </c>
      <c r="F321" s="11"/>
      <c r="G321" s="9"/>
      <c r="H321" s="9"/>
      <c r="I321" s="9"/>
      <c r="J321" s="23" t="str">
        <f aca="false">IF(OR($C321="",$F321=""),"",IF($B321="입고",$F321,IF($B321="출고",-$F321,$F321)))</f>
        <v/>
      </c>
      <c r="K321" s="24" t="str">
        <f aca="false">IF($C321="","",IFERROR(INDEX(예비품목록!$E$3:$E$202,MATCH($C321,예비품목록!$A$3:$A$202,0)),0)+SUMIFS($J$3:$J321,$C$3:$C321,$C321))</f>
        <v/>
      </c>
    </row>
    <row r="322" customFormat="false" ht="15" hidden="false" customHeight="true" outlineLevel="0" collapsed="false">
      <c r="A322" s="12"/>
      <c r="B322" s="9"/>
      <c r="C322" s="9"/>
      <c r="D322" s="15" t="str">
        <f aca="false">IF($C322="","",IFERROR(INDEX(예비품목록!$B$3:$B$202,MATCH($C322,예비품목록!$A$3:$A$202,0)),"미등록품번"))</f>
        <v/>
      </c>
      <c r="E322" s="15" t="str">
        <f aca="false">IF($C322="","",IFERROR(INDEX(예비품목록!$D$3:$D$202,MATCH($C322,예비품목록!$A$3:$A$202,0)),""))</f>
        <v/>
      </c>
      <c r="F322" s="11"/>
      <c r="G322" s="9"/>
      <c r="H322" s="9"/>
      <c r="I322" s="9"/>
      <c r="J322" s="23" t="str">
        <f aca="false">IF(OR($C322="",$F322=""),"",IF($B322="입고",$F322,IF($B322="출고",-$F322,$F322)))</f>
        <v/>
      </c>
      <c r="K322" s="24" t="str">
        <f aca="false">IF($C322="","",IFERROR(INDEX(예비품목록!$E$3:$E$202,MATCH($C322,예비품목록!$A$3:$A$202,0)),0)+SUMIFS($J$3:$J322,$C$3:$C322,$C322))</f>
        <v/>
      </c>
    </row>
    <row r="323" customFormat="false" ht="15" hidden="false" customHeight="true" outlineLevel="0" collapsed="false">
      <c r="A323" s="12"/>
      <c r="B323" s="9"/>
      <c r="C323" s="9"/>
      <c r="D323" s="15" t="str">
        <f aca="false">IF($C323="","",IFERROR(INDEX(예비품목록!$B$3:$B$202,MATCH($C323,예비품목록!$A$3:$A$202,0)),"미등록품번"))</f>
        <v/>
      </c>
      <c r="E323" s="15" t="str">
        <f aca="false">IF($C323="","",IFERROR(INDEX(예비품목록!$D$3:$D$202,MATCH($C323,예비품목록!$A$3:$A$202,0)),""))</f>
        <v/>
      </c>
      <c r="F323" s="11"/>
      <c r="G323" s="9"/>
      <c r="H323" s="9"/>
      <c r="I323" s="9"/>
      <c r="J323" s="23" t="str">
        <f aca="false">IF(OR($C323="",$F323=""),"",IF($B323="입고",$F323,IF($B323="출고",-$F323,$F323)))</f>
        <v/>
      </c>
      <c r="K323" s="24" t="str">
        <f aca="false">IF($C323="","",IFERROR(INDEX(예비품목록!$E$3:$E$202,MATCH($C323,예비품목록!$A$3:$A$202,0)),0)+SUMIFS($J$3:$J323,$C$3:$C323,$C323))</f>
        <v/>
      </c>
    </row>
    <row r="324" customFormat="false" ht="15" hidden="false" customHeight="true" outlineLevel="0" collapsed="false">
      <c r="A324" s="12"/>
      <c r="B324" s="9"/>
      <c r="C324" s="9"/>
      <c r="D324" s="15" t="str">
        <f aca="false">IF($C324="","",IFERROR(INDEX(예비품목록!$B$3:$B$202,MATCH($C324,예비품목록!$A$3:$A$202,0)),"미등록품번"))</f>
        <v/>
      </c>
      <c r="E324" s="15" t="str">
        <f aca="false">IF($C324="","",IFERROR(INDEX(예비품목록!$D$3:$D$202,MATCH($C324,예비품목록!$A$3:$A$202,0)),""))</f>
        <v/>
      </c>
      <c r="F324" s="11"/>
      <c r="G324" s="9"/>
      <c r="H324" s="9"/>
      <c r="I324" s="9"/>
      <c r="J324" s="23" t="str">
        <f aca="false">IF(OR($C324="",$F324=""),"",IF($B324="입고",$F324,IF($B324="출고",-$F324,$F324)))</f>
        <v/>
      </c>
      <c r="K324" s="24" t="str">
        <f aca="false">IF($C324="","",IFERROR(INDEX(예비품목록!$E$3:$E$202,MATCH($C324,예비품목록!$A$3:$A$202,0)),0)+SUMIFS($J$3:$J324,$C$3:$C324,$C324))</f>
        <v/>
      </c>
    </row>
    <row r="325" customFormat="false" ht="15" hidden="false" customHeight="true" outlineLevel="0" collapsed="false">
      <c r="A325" s="12"/>
      <c r="B325" s="9"/>
      <c r="C325" s="9"/>
      <c r="D325" s="15" t="str">
        <f aca="false">IF($C325="","",IFERROR(INDEX(예비품목록!$B$3:$B$202,MATCH($C325,예비품목록!$A$3:$A$202,0)),"미등록품번"))</f>
        <v/>
      </c>
      <c r="E325" s="15" t="str">
        <f aca="false">IF($C325="","",IFERROR(INDEX(예비품목록!$D$3:$D$202,MATCH($C325,예비품목록!$A$3:$A$202,0)),""))</f>
        <v/>
      </c>
      <c r="F325" s="11"/>
      <c r="G325" s="9"/>
      <c r="H325" s="9"/>
      <c r="I325" s="9"/>
      <c r="J325" s="23" t="str">
        <f aca="false">IF(OR($C325="",$F325=""),"",IF($B325="입고",$F325,IF($B325="출고",-$F325,$F325)))</f>
        <v/>
      </c>
      <c r="K325" s="24" t="str">
        <f aca="false">IF($C325="","",IFERROR(INDEX(예비품목록!$E$3:$E$202,MATCH($C325,예비품목록!$A$3:$A$202,0)),0)+SUMIFS($J$3:$J325,$C$3:$C325,$C325))</f>
        <v/>
      </c>
    </row>
    <row r="326" customFormat="false" ht="15" hidden="false" customHeight="true" outlineLevel="0" collapsed="false">
      <c r="A326" s="12"/>
      <c r="B326" s="9"/>
      <c r="C326" s="9"/>
      <c r="D326" s="15" t="str">
        <f aca="false">IF($C326="","",IFERROR(INDEX(예비품목록!$B$3:$B$202,MATCH($C326,예비품목록!$A$3:$A$202,0)),"미등록품번"))</f>
        <v/>
      </c>
      <c r="E326" s="15" t="str">
        <f aca="false">IF($C326="","",IFERROR(INDEX(예비품목록!$D$3:$D$202,MATCH($C326,예비품목록!$A$3:$A$202,0)),""))</f>
        <v/>
      </c>
      <c r="F326" s="11"/>
      <c r="G326" s="9"/>
      <c r="H326" s="9"/>
      <c r="I326" s="9"/>
      <c r="J326" s="23" t="str">
        <f aca="false">IF(OR($C326="",$F326=""),"",IF($B326="입고",$F326,IF($B326="출고",-$F326,$F326)))</f>
        <v/>
      </c>
      <c r="K326" s="24" t="str">
        <f aca="false">IF($C326="","",IFERROR(INDEX(예비품목록!$E$3:$E$202,MATCH($C326,예비품목록!$A$3:$A$202,0)),0)+SUMIFS($J$3:$J326,$C$3:$C326,$C326))</f>
        <v/>
      </c>
    </row>
    <row r="327" customFormat="false" ht="15" hidden="false" customHeight="true" outlineLevel="0" collapsed="false">
      <c r="A327" s="12"/>
      <c r="B327" s="9"/>
      <c r="C327" s="9"/>
      <c r="D327" s="15" t="str">
        <f aca="false">IF($C327="","",IFERROR(INDEX(예비품목록!$B$3:$B$202,MATCH($C327,예비품목록!$A$3:$A$202,0)),"미등록품번"))</f>
        <v/>
      </c>
      <c r="E327" s="15" t="str">
        <f aca="false">IF($C327="","",IFERROR(INDEX(예비품목록!$D$3:$D$202,MATCH($C327,예비품목록!$A$3:$A$202,0)),""))</f>
        <v/>
      </c>
      <c r="F327" s="11"/>
      <c r="G327" s="9"/>
      <c r="H327" s="9"/>
      <c r="I327" s="9"/>
      <c r="J327" s="23" t="str">
        <f aca="false">IF(OR($C327="",$F327=""),"",IF($B327="입고",$F327,IF($B327="출고",-$F327,$F327)))</f>
        <v/>
      </c>
      <c r="K327" s="24" t="str">
        <f aca="false">IF($C327="","",IFERROR(INDEX(예비품목록!$E$3:$E$202,MATCH($C327,예비품목록!$A$3:$A$202,0)),0)+SUMIFS($J$3:$J327,$C$3:$C327,$C327))</f>
        <v/>
      </c>
    </row>
    <row r="328" customFormat="false" ht="15" hidden="false" customHeight="true" outlineLevel="0" collapsed="false">
      <c r="A328" s="12"/>
      <c r="B328" s="9"/>
      <c r="C328" s="9"/>
      <c r="D328" s="15" t="str">
        <f aca="false">IF($C328="","",IFERROR(INDEX(예비품목록!$B$3:$B$202,MATCH($C328,예비품목록!$A$3:$A$202,0)),"미등록품번"))</f>
        <v/>
      </c>
      <c r="E328" s="15" t="str">
        <f aca="false">IF($C328="","",IFERROR(INDEX(예비품목록!$D$3:$D$202,MATCH($C328,예비품목록!$A$3:$A$202,0)),""))</f>
        <v/>
      </c>
      <c r="F328" s="11"/>
      <c r="G328" s="9"/>
      <c r="H328" s="9"/>
      <c r="I328" s="9"/>
      <c r="J328" s="23" t="str">
        <f aca="false">IF(OR($C328="",$F328=""),"",IF($B328="입고",$F328,IF($B328="출고",-$F328,$F328)))</f>
        <v/>
      </c>
      <c r="K328" s="24" t="str">
        <f aca="false">IF($C328="","",IFERROR(INDEX(예비품목록!$E$3:$E$202,MATCH($C328,예비품목록!$A$3:$A$202,0)),0)+SUMIFS($J$3:$J328,$C$3:$C328,$C328))</f>
        <v/>
      </c>
    </row>
    <row r="329" customFormat="false" ht="15" hidden="false" customHeight="true" outlineLevel="0" collapsed="false">
      <c r="A329" s="12"/>
      <c r="B329" s="9"/>
      <c r="C329" s="9"/>
      <c r="D329" s="15" t="str">
        <f aca="false">IF($C329="","",IFERROR(INDEX(예비품목록!$B$3:$B$202,MATCH($C329,예비품목록!$A$3:$A$202,0)),"미등록품번"))</f>
        <v/>
      </c>
      <c r="E329" s="15" t="str">
        <f aca="false">IF($C329="","",IFERROR(INDEX(예비품목록!$D$3:$D$202,MATCH($C329,예비품목록!$A$3:$A$202,0)),""))</f>
        <v/>
      </c>
      <c r="F329" s="11"/>
      <c r="G329" s="9"/>
      <c r="H329" s="9"/>
      <c r="I329" s="9"/>
      <c r="J329" s="23" t="str">
        <f aca="false">IF(OR($C329="",$F329=""),"",IF($B329="입고",$F329,IF($B329="출고",-$F329,$F329)))</f>
        <v/>
      </c>
      <c r="K329" s="24" t="str">
        <f aca="false">IF($C329="","",IFERROR(INDEX(예비품목록!$E$3:$E$202,MATCH($C329,예비품목록!$A$3:$A$202,0)),0)+SUMIFS($J$3:$J329,$C$3:$C329,$C329))</f>
        <v/>
      </c>
    </row>
    <row r="330" customFormat="false" ht="15" hidden="false" customHeight="true" outlineLevel="0" collapsed="false">
      <c r="A330" s="12"/>
      <c r="B330" s="9"/>
      <c r="C330" s="9"/>
      <c r="D330" s="15" t="str">
        <f aca="false">IF($C330="","",IFERROR(INDEX(예비품목록!$B$3:$B$202,MATCH($C330,예비품목록!$A$3:$A$202,0)),"미등록품번"))</f>
        <v/>
      </c>
      <c r="E330" s="15" t="str">
        <f aca="false">IF($C330="","",IFERROR(INDEX(예비품목록!$D$3:$D$202,MATCH($C330,예비품목록!$A$3:$A$202,0)),""))</f>
        <v/>
      </c>
      <c r="F330" s="11"/>
      <c r="G330" s="9"/>
      <c r="H330" s="9"/>
      <c r="I330" s="9"/>
      <c r="J330" s="23" t="str">
        <f aca="false">IF(OR($C330="",$F330=""),"",IF($B330="입고",$F330,IF($B330="출고",-$F330,$F330)))</f>
        <v/>
      </c>
      <c r="K330" s="24" t="str">
        <f aca="false">IF($C330="","",IFERROR(INDEX(예비품목록!$E$3:$E$202,MATCH($C330,예비품목록!$A$3:$A$202,0)),0)+SUMIFS($J$3:$J330,$C$3:$C330,$C330))</f>
        <v/>
      </c>
    </row>
    <row r="331" customFormat="false" ht="15" hidden="false" customHeight="true" outlineLevel="0" collapsed="false">
      <c r="A331" s="12"/>
      <c r="B331" s="9"/>
      <c r="C331" s="9"/>
      <c r="D331" s="15" t="str">
        <f aca="false">IF($C331="","",IFERROR(INDEX(예비품목록!$B$3:$B$202,MATCH($C331,예비품목록!$A$3:$A$202,0)),"미등록품번"))</f>
        <v/>
      </c>
      <c r="E331" s="15" t="str">
        <f aca="false">IF($C331="","",IFERROR(INDEX(예비품목록!$D$3:$D$202,MATCH($C331,예비품목록!$A$3:$A$202,0)),""))</f>
        <v/>
      </c>
      <c r="F331" s="11"/>
      <c r="G331" s="9"/>
      <c r="H331" s="9"/>
      <c r="I331" s="9"/>
      <c r="J331" s="23" t="str">
        <f aca="false">IF(OR($C331="",$F331=""),"",IF($B331="입고",$F331,IF($B331="출고",-$F331,$F331)))</f>
        <v/>
      </c>
      <c r="K331" s="24" t="str">
        <f aca="false">IF($C331="","",IFERROR(INDEX(예비품목록!$E$3:$E$202,MATCH($C331,예비품목록!$A$3:$A$202,0)),0)+SUMIFS($J$3:$J331,$C$3:$C331,$C331))</f>
        <v/>
      </c>
    </row>
    <row r="332" customFormat="false" ht="15" hidden="false" customHeight="true" outlineLevel="0" collapsed="false">
      <c r="A332" s="12"/>
      <c r="B332" s="9"/>
      <c r="C332" s="9"/>
      <c r="D332" s="15" t="str">
        <f aca="false">IF($C332="","",IFERROR(INDEX(예비품목록!$B$3:$B$202,MATCH($C332,예비품목록!$A$3:$A$202,0)),"미등록품번"))</f>
        <v/>
      </c>
      <c r="E332" s="15" t="str">
        <f aca="false">IF($C332="","",IFERROR(INDEX(예비품목록!$D$3:$D$202,MATCH($C332,예비품목록!$A$3:$A$202,0)),""))</f>
        <v/>
      </c>
      <c r="F332" s="11"/>
      <c r="G332" s="9"/>
      <c r="H332" s="9"/>
      <c r="I332" s="9"/>
      <c r="J332" s="23" t="str">
        <f aca="false">IF(OR($C332="",$F332=""),"",IF($B332="입고",$F332,IF($B332="출고",-$F332,$F332)))</f>
        <v/>
      </c>
      <c r="K332" s="24" t="str">
        <f aca="false">IF($C332="","",IFERROR(INDEX(예비품목록!$E$3:$E$202,MATCH($C332,예비품목록!$A$3:$A$202,0)),0)+SUMIFS($J$3:$J332,$C$3:$C332,$C332))</f>
        <v/>
      </c>
    </row>
    <row r="333" customFormat="false" ht="15" hidden="false" customHeight="true" outlineLevel="0" collapsed="false">
      <c r="A333" s="12"/>
      <c r="B333" s="9"/>
      <c r="C333" s="9"/>
      <c r="D333" s="15" t="str">
        <f aca="false">IF($C333="","",IFERROR(INDEX(예비품목록!$B$3:$B$202,MATCH($C333,예비품목록!$A$3:$A$202,0)),"미등록품번"))</f>
        <v/>
      </c>
      <c r="E333" s="15" t="str">
        <f aca="false">IF($C333="","",IFERROR(INDEX(예비품목록!$D$3:$D$202,MATCH($C333,예비품목록!$A$3:$A$202,0)),""))</f>
        <v/>
      </c>
      <c r="F333" s="11"/>
      <c r="G333" s="9"/>
      <c r="H333" s="9"/>
      <c r="I333" s="9"/>
      <c r="J333" s="23" t="str">
        <f aca="false">IF(OR($C333="",$F333=""),"",IF($B333="입고",$F333,IF($B333="출고",-$F333,$F333)))</f>
        <v/>
      </c>
      <c r="K333" s="24" t="str">
        <f aca="false">IF($C333="","",IFERROR(INDEX(예비품목록!$E$3:$E$202,MATCH($C333,예비품목록!$A$3:$A$202,0)),0)+SUMIFS($J$3:$J333,$C$3:$C333,$C333))</f>
        <v/>
      </c>
    </row>
    <row r="334" customFormat="false" ht="15" hidden="false" customHeight="true" outlineLevel="0" collapsed="false">
      <c r="A334" s="12"/>
      <c r="B334" s="9"/>
      <c r="C334" s="9"/>
      <c r="D334" s="15" t="str">
        <f aca="false">IF($C334="","",IFERROR(INDEX(예비품목록!$B$3:$B$202,MATCH($C334,예비품목록!$A$3:$A$202,0)),"미등록품번"))</f>
        <v/>
      </c>
      <c r="E334" s="15" t="str">
        <f aca="false">IF($C334="","",IFERROR(INDEX(예비품목록!$D$3:$D$202,MATCH($C334,예비품목록!$A$3:$A$202,0)),""))</f>
        <v/>
      </c>
      <c r="F334" s="11"/>
      <c r="G334" s="9"/>
      <c r="H334" s="9"/>
      <c r="I334" s="9"/>
      <c r="J334" s="23" t="str">
        <f aca="false">IF(OR($C334="",$F334=""),"",IF($B334="입고",$F334,IF($B334="출고",-$F334,$F334)))</f>
        <v/>
      </c>
      <c r="K334" s="24" t="str">
        <f aca="false">IF($C334="","",IFERROR(INDEX(예비품목록!$E$3:$E$202,MATCH($C334,예비품목록!$A$3:$A$202,0)),0)+SUMIFS($J$3:$J334,$C$3:$C334,$C334))</f>
        <v/>
      </c>
    </row>
    <row r="335" customFormat="false" ht="15" hidden="false" customHeight="true" outlineLevel="0" collapsed="false">
      <c r="A335" s="12"/>
      <c r="B335" s="9"/>
      <c r="C335" s="9"/>
      <c r="D335" s="15" t="str">
        <f aca="false">IF($C335="","",IFERROR(INDEX(예비품목록!$B$3:$B$202,MATCH($C335,예비품목록!$A$3:$A$202,0)),"미등록품번"))</f>
        <v/>
      </c>
      <c r="E335" s="15" t="str">
        <f aca="false">IF($C335="","",IFERROR(INDEX(예비품목록!$D$3:$D$202,MATCH($C335,예비품목록!$A$3:$A$202,0)),""))</f>
        <v/>
      </c>
      <c r="F335" s="11"/>
      <c r="G335" s="9"/>
      <c r="H335" s="9"/>
      <c r="I335" s="9"/>
      <c r="J335" s="23" t="str">
        <f aca="false">IF(OR($C335="",$F335=""),"",IF($B335="입고",$F335,IF($B335="출고",-$F335,$F335)))</f>
        <v/>
      </c>
      <c r="K335" s="24" t="str">
        <f aca="false">IF($C335="","",IFERROR(INDEX(예비품목록!$E$3:$E$202,MATCH($C335,예비품목록!$A$3:$A$202,0)),0)+SUMIFS($J$3:$J335,$C$3:$C335,$C335))</f>
        <v/>
      </c>
    </row>
    <row r="336" customFormat="false" ht="15" hidden="false" customHeight="true" outlineLevel="0" collapsed="false">
      <c r="A336" s="12"/>
      <c r="B336" s="9"/>
      <c r="C336" s="9"/>
      <c r="D336" s="15" t="str">
        <f aca="false">IF($C336="","",IFERROR(INDEX(예비품목록!$B$3:$B$202,MATCH($C336,예비품목록!$A$3:$A$202,0)),"미등록품번"))</f>
        <v/>
      </c>
      <c r="E336" s="15" t="str">
        <f aca="false">IF($C336="","",IFERROR(INDEX(예비품목록!$D$3:$D$202,MATCH($C336,예비품목록!$A$3:$A$202,0)),""))</f>
        <v/>
      </c>
      <c r="F336" s="11"/>
      <c r="G336" s="9"/>
      <c r="H336" s="9"/>
      <c r="I336" s="9"/>
      <c r="J336" s="23" t="str">
        <f aca="false">IF(OR($C336="",$F336=""),"",IF($B336="입고",$F336,IF($B336="출고",-$F336,$F336)))</f>
        <v/>
      </c>
      <c r="K336" s="24" t="str">
        <f aca="false">IF($C336="","",IFERROR(INDEX(예비품목록!$E$3:$E$202,MATCH($C336,예비품목록!$A$3:$A$202,0)),0)+SUMIFS($J$3:$J336,$C$3:$C336,$C336))</f>
        <v/>
      </c>
    </row>
    <row r="337" customFormat="false" ht="15" hidden="false" customHeight="true" outlineLevel="0" collapsed="false">
      <c r="A337" s="12"/>
      <c r="B337" s="9"/>
      <c r="C337" s="9"/>
      <c r="D337" s="15" t="str">
        <f aca="false">IF($C337="","",IFERROR(INDEX(예비품목록!$B$3:$B$202,MATCH($C337,예비품목록!$A$3:$A$202,0)),"미등록품번"))</f>
        <v/>
      </c>
      <c r="E337" s="15" t="str">
        <f aca="false">IF($C337="","",IFERROR(INDEX(예비품목록!$D$3:$D$202,MATCH($C337,예비품목록!$A$3:$A$202,0)),""))</f>
        <v/>
      </c>
      <c r="F337" s="11"/>
      <c r="G337" s="9"/>
      <c r="H337" s="9"/>
      <c r="I337" s="9"/>
      <c r="J337" s="23" t="str">
        <f aca="false">IF(OR($C337="",$F337=""),"",IF($B337="입고",$F337,IF($B337="출고",-$F337,$F337)))</f>
        <v/>
      </c>
      <c r="K337" s="24" t="str">
        <f aca="false">IF($C337="","",IFERROR(INDEX(예비품목록!$E$3:$E$202,MATCH($C337,예비품목록!$A$3:$A$202,0)),0)+SUMIFS($J$3:$J337,$C$3:$C337,$C337))</f>
        <v/>
      </c>
    </row>
    <row r="338" customFormat="false" ht="15" hidden="false" customHeight="true" outlineLevel="0" collapsed="false">
      <c r="A338" s="12"/>
      <c r="B338" s="9"/>
      <c r="C338" s="9"/>
      <c r="D338" s="15" t="str">
        <f aca="false">IF($C338="","",IFERROR(INDEX(예비품목록!$B$3:$B$202,MATCH($C338,예비품목록!$A$3:$A$202,0)),"미등록품번"))</f>
        <v/>
      </c>
      <c r="E338" s="15" t="str">
        <f aca="false">IF($C338="","",IFERROR(INDEX(예비품목록!$D$3:$D$202,MATCH($C338,예비품목록!$A$3:$A$202,0)),""))</f>
        <v/>
      </c>
      <c r="F338" s="11"/>
      <c r="G338" s="9"/>
      <c r="H338" s="9"/>
      <c r="I338" s="9"/>
      <c r="J338" s="23" t="str">
        <f aca="false">IF(OR($C338="",$F338=""),"",IF($B338="입고",$F338,IF($B338="출고",-$F338,$F338)))</f>
        <v/>
      </c>
      <c r="K338" s="24" t="str">
        <f aca="false">IF($C338="","",IFERROR(INDEX(예비품목록!$E$3:$E$202,MATCH($C338,예비품목록!$A$3:$A$202,0)),0)+SUMIFS($J$3:$J338,$C$3:$C338,$C338))</f>
        <v/>
      </c>
    </row>
    <row r="339" customFormat="false" ht="15" hidden="false" customHeight="true" outlineLevel="0" collapsed="false">
      <c r="A339" s="12"/>
      <c r="B339" s="9"/>
      <c r="C339" s="9"/>
      <c r="D339" s="15" t="str">
        <f aca="false">IF($C339="","",IFERROR(INDEX(예비품목록!$B$3:$B$202,MATCH($C339,예비품목록!$A$3:$A$202,0)),"미등록품번"))</f>
        <v/>
      </c>
      <c r="E339" s="15" t="str">
        <f aca="false">IF($C339="","",IFERROR(INDEX(예비품목록!$D$3:$D$202,MATCH($C339,예비품목록!$A$3:$A$202,0)),""))</f>
        <v/>
      </c>
      <c r="F339" s="11"/>
      <c r="G339" s="9"/>
      <c r="H339" s="9"/>
      <c r="I339" s="9"/>
      <c r="J339" s="23" t="str">
        <f aca="false">IF(OR($C339="",$F339=""),"",IF($B339="입고",$F339,IF($B339="출고",-$F339,$F339)))</f>
        <v/>
      </c>
      <c r="K339" s="24" t="str">
        <f aca="false">IF($C339="","",IFERROR(INDEX(예비품목록!$E$3:$E$202,MATCH($C339,예비품목록!$A$3:$A$202,0)),0)+SUMIFS($J$3:$J339,$C$3:$C339,$C339))</f>
        <v/>
      </c>
    </row>
    <row r="340" customFormat="false" ht="15" hidden="false" customHeight="true" outlineLevel="0" collapsed="false">
      <c r="A340" s="12"/>
      <c r="B340" s="9"/>
      <c r="C340" s="9"/>
      <c r="D340" s="15" t="str">
        <f aca="false">IF($C340="","",IFERROR(INDEX(예비품목록!$B$3:$B$202,MATCH($C340,예비품목록!$A$3:$A$202,0)),"미등록품번"))</f>
        <v/>
      </c>
      <c r="E340" s="15" t="str">
        <f aca="false">IF($C340="","",IFERROR(INDEX(예비품목록!$D$3:$D$202,MATCH($C340,예비품목록!$A$3:$A$202,0)),""))</f>
        <v/>
      </c>
      <c r="F340" s="11"/>
      <c r="G340" s="9"/>
      <c r="H340" s="9"/>
      <c r="I340" s="9"/>
      <c r="J340" s="23" t="str">
        <f aca="false">IF(OR($C340="",$F340=""),"",IF($B340="입고",$F340,IF($B340="출고",-$F340,$F340)))</f>
        <v/>
      </c>
      <c r="K340" s="24" t="str">
        <f aca="false">IF($C340="","",IFERROR(INDEX(예비품목록!$E$3:$E$202,MATCH($C340,예비품목록!$A$3:$A$202,0)),0)+SUMIFS($J$3:$J340,$C$3:$C340,$C340))</f>
        <v/>
      </c>
    </row>
    <row r="341" customFormat="false" ht="15" hidden="false" customHeight="true" outlineLevel="0" collapsed="false">
      <c r="A341" s="12"/>
      <c r="B341" s="9"/>
      <c r="C341" s="9"/>
      <c r="D341" s="15" t="str">
        <f aca="false">IF($C341="","",IFERROR(INDEX(예비품목록!$B$3:$B$202,MATCH($C341,예비품목록!$A$3:$A$202,0)),"미등록품번"))</f>
        <v/>
      </c>
      <c r="E341" s="15" t="str">
        <f aca="false">IF($C341="","",IFERROR(INDEX(예비품목록!$D$3:$D$202,MATCH($C341,예비품목록!$A$3:$A$202,0)),""))</f>
        <v/>
      </c>
      <c r="F341" s="11"/>
      <c r="G341" s="9"/>
      <c r="H341" s="9"/>
      <c r="I341" s="9"/>
      <c r="J341" s="23" t="str">
        <f aca="false">IF(OR($C341="",$F341=""),"",IF($B341="입고",$F341,IF($B341="출고",-$F341,$F341)))</f>
        <v/>
      </c>
      <c r="K341" s="24" t="str">
        <f aca="false">IF($C341="","",IFERROR(INDEX(예비품목록!$E$3:$E$202,MATCH($C341,예비품목록!$A$3:$A$202,0)),0)+SUMIFS($J$3:$J341,$C$3:$C341,$C341))</f>
        <v/>
      </c>
    </row>
    <row r="342" customFormat="false" ht="15" hidden="false" customHeight="true" outlineLevel="0" collapsed="false">
      <c r="A342" s="12"/>
      <c r="B342" s="9"/>
      <c r="C342" s="9"/>
      <c r="D342" s="15" t="str">
        <f aca="false">IF($C342="","",IFERROR(INDEX(예비품목록!$B$3:$B$202,MATCH($C342,예비품목록!$A$3:$A$202,0)),"미등록품번"))</f>
        <v/>
      </c>
      <c r="E342" s="15" t="str">
        <f aca="false">IF($C342="","",IFERROR(INDEX(예비품목록!$D$3:$D$202,MATCH($C342,예비품목록!$A$3:$A$202,0)),""))</f>
        <v/>
      </c>
      <c r="F342" s="11"/>
      <c r="G342" s="9"/>
      <c r="H342" s="9"/>
      <c r="I342" s="9"/>
      <c r="J342" s="23" t="str">
        <f aca="false">IF(OR($C342="",$F342=""),"",IF($B342="입고",$F342,IF($B342="출고",-$F342,$F342)))</f>
        <v/>
      </c>
      <c r="K342" s="24" t="str">
        <f aca="false">IF($C342="","",IFERROR(INDEX(예비품목록!$E$3:$E$202,MATCH($C342,예비품목록!$A$3:$A$202,0)),0)+SUMIFS($J$3:$J342,$C$3:$C342,$C342))</f>
        <v/>
      </c>
    </row>
    <row r="343" customFormat="false" ht="15" hidden="false" customHeight="true" outlineLevel="0" collapsed="false">
      <c r="A343" s="12"/>
      <c r="B343" s="9"/>
      <c r="C343" s="9"/>
      <c r="D343" s="15" t="str">
        <f aca="false">IF($C343="","",IFERROR(INDEX(예비품목록!$B$3:$B$202,MATCH($C343,예비품목록!$A$3:$A$202,0)),"미등록품번"))</f>
        <v/>
      </c>
      <c r="E343" s="15" t="str">
        <f aca="false">IF($C343="","",IFERROR(INDEX(예비품목록!$D$3:$D$202,MATCH($C343,예비품목록!$A$3:$A$202,0)),""))</f>
        <v/>
      </c>
      <c r="F343" s="11"/>
      <c r="G343" s="9"/>
      <c r="H343" s="9"/>
      <c r="I343" s="9"/>
      <c r="J343" s="23" t="str">
        <f aca="false">IF(OR($C343="",$F343=""),"",IF($B343="입고",$F343,IF($B343="출고",-$F343,$F343)))</f>
        <v/>
      </c>
      <c r="K343" s="24" t="str">
        <f aca="false">IF($C343="","",IFERROR(INDEX(예비품목록!$E$3:$E$202,MATCH($C343,예비품목록!$A$3:$A$202,0)),0)+SUMIFS($J$3:$J343,$C$3:$C343,$C343))</f>
        <v/>
      </c>
    </row>
    <row r="344" customFormat="false" ht="15" hidden="false" customHeight="true" outlineLevel="0" collapsed="false">
      <c r="A344" s="12"/>
      <c r="B344" s="9"/>
      <c r="C344" s="9"/>
      <c r="D344" s="15" t="str">
        <f aca="false">IF($C344="","",IFERROR(INDEX(예비품목록!$B$3:$B$202,MATCH($C344,예비품목록!$A$3:$A$202,0)),"미등록품번"))</f>
        <v/>
      </c>
      <c r="E344" s="15" t="str">
        <f aca="false">IF($C344="","",IFERROR(INDEX(예비품목록!$D$3:$D$202,MATCH($C344,예비품목록!$A$3:$A$202,0)),""))</f>
        <v/>
      </c>
      <c r="F344" s="11"/>
      <c r="G344" s="9"/>
      <c r="H344" s="9"/>
      <c r="I344" s="9"/>
      <c r="J344" s="23" t="str">
        <f aca="false">IF(OR($C344="",$F344=""),"",IF($B344="입고",$F344,IF($B344="출고",-$F344,$F344)))</f>
        <v/>
      </c>
      <c r="K344" s="24" t="str">
        <f aca="false">IF($C344="","",IFERROR(INDEX(예비품목록!$E$3:$E$202,MATCH($C344,예비품목록!$A$3:$A$202,0)),0)+SUMIFS($J$3:$J344,$C$3:$C344,$C344))</f>
        <v/>
      </c>
    </row>
    <row r="345" customFormat="false" ht="15" hidden="false" customHeight="true" outlineLevel="0" collapsed="false">
      <c r="A345" s="12"/>
      <c r="B345" s="9"/>
      <c r="C345" s="9"/>
      <c r="D345" s="15" t="str">
        <f aca="false">IF($C345="","",IFERROR(INDEX(예비품목록!$B$3:$B$202,MATCH($C345,예비품목록!$A$3:$A$202,0)),"미등록품번"))</f>
        <v/>
      </c>
      <c r="E345" s="15" t="str">
        <f aca="false">IF($C345="","",IFERROR(INDEX(예비품목록!$D$3:$D$202,MATCH($C345,예비품목록!$A$3:$A$202,0)),""))</f>
        <v/>
      </c>
      <c r="F345" s="11"/>
      <c r="G345" s="9"/>
      <c r="H345" s="9"/>
      <c r="I345" s="9"/>
      <c r="J345" s="23" t="str">
        <f aca="false">IF(OR($C345="",$F345=""),"",IF($B345="입고",$F345,IF($B345="출고",-$F345,$F345)))</f>
        <v/>
      </c>
      <c r="K345" s="24" t="str">
        <f aca="false">IF($C345="","",IFERROR(INDEX(예비품목록!$E$3:$E$202,MATCH($C345,예비품목록!$A$3:$A$202,0)),0)+SUMIFS($J$3:$J345,$C$3:$C345,$C345))</f>
        <v/>
      </c>
    </row>
    <row r="346" customFormat="false" ht="15" hidden="false" customHeight="true" outlineLevel="0" collapsed="false">
      <c r="A346" s="12"/>
      <c r="B346" s="9"/>
      <c r="C346" s="9"/>
      <c r="D346" s="15" t="str">
        <f aca="false">IF($C346="","",IFERROR(INDEX(예비품목록!$B$3:$B$202,MATCH($C346,예비품목록!$A$3:$A$202,0)),"미등록품번"))</f>
        <v/>
      </c>
      <c r="E346" s="15" t="str">
        <f aca="false">IF($C346="","",IFERROR(INDEX(예비품목록!$D$3:$D$202,MATCH($C346,예비품목록!$A$3:$A$202,0)),""))</f>
        <v/>
      </c>
      <c r="F346" s="11"/>
      <c r="G346" s="9"/>
      <c r="H346" s="9"/>
      <c r="I346" s="9"/>
      <c r="J346" s="23" t="str">
        <f aca="false">IF(OR($C346="",$F346=""),"",IF($B346="입고",$F346,IF($B346="출고",-$F346,$F346)))</f>
        <v/>
      </c>
      <c r="K346" s="24" t="str">
        <f aca="false">IF($C346="","",IFERROR(INDEX(예비품목록!$E$3:$E$202,MATCH($C346,예비품목록!$A$3:$A$202,0)),0)+SUMIFS($J$3:$J346,$C$3:$C346,$C346))</f>
        <v/>
      </c>
    </row>
    <row r="347" customFormat="false" ht="15" hidden="false" customHeight="true" outlineLevel="0" collapsed="false">
      <c r="A347" s="12"/>
      <c r="B347" s="9"/>
      <c r="C347" s="9"/>
      <c r="D347" s="15" t="str">
        <f aca="false">IF($C347="","",IFERROR(INDEX(예비품목록!$B$3:$B$202,MATCH($C347,예비품목록!$A$3:$A$202,0)),"미등록품번"))</f>
        <v/>
      </c>
      <c r="E347" s="15" t="str">
        <f aca="false">IF($C347="","",IFERROR(INDEX(예비품목록!$D$3:$D$202,MATCH($C347,예비품목록!$A$3:$A$202,0)),""))</f>
        <v/>
      </c>
      <c r="F347" s="11"/>
      <c r="G347" s="9"/>
      <c r="H347" s="9"/>
      <c r="I347" s="9"/>
      <c r="J347" s="23" t="str">
        <f aca="false">IF(OR($C347="",$F347=""),"",IF($B347="입고",$F347,IF($B347="출고",-$F347,$F347)))</f>
        <v/>
      </c>
      <c r="K347" s="24" t="str">
        <f aca="false">IF($C347="","",IFERROR(INDEX(예비품목록!$E$3:$E$202,MATCH($C347,예비품목록!$A$3:$A$202,0)),0)+SUMIFS($J$3:$J347,$C$3:$C347,$C347))</f>
        <v/>
      </c>
    </row>
    <row r="348" customFormat="false" ht="15" hidden="false" customHeight="true" outlineLevel="0" collapsed="false">
      <c r="A348" s="12"/>
      <c r="B348" s="9"/>
      <c r="C348" s="9"/>
      <c r="D348" s="15" t="str">
        <f aca="false">IF($C348="","",IFERROR(INDEX(예비품목록!$B$3:$B$202,MATCH($C348,예비품목록!$A$3:$A$202,0)),"미등록품번"))</f>
        <v/>
      </c>
      <c r="E348" s="15" t="str">
        <f aca="false">IF($C348="","",IFERROR(INDEX(예비품목록!$D$3:$D$202,MATCH($C348,예비품목록!$A$3:$A$202,0)),""))</f>
        <v/>
      </c>
      <c r="F348" s="11"/>
      <c r="G348" s="9"/>
      <c r="H348" s="9"/>
      <c r="I348" s="9"/>
      <c r="J348" s="23" t="str">
        <f aca="false">IF(OR($C348="",$F348=""),"",IF($B348="입고",$F348,IF($B348="출고",-$F348,$F348)))</f>
        <v/>
      </c>
      <c r="K348" s="24" t="str">
        <f aca="false">IF($C348="","",IFERROR(INDEX(예비품목록!$E$3:$E$202,MATCH($C348,예비품목록!$A$3:$A$202,0)),0)+SUMIFS($J$3:$J348,$C$3:$C348,$C348))</f>
        <v/>
      </c>
    </row>
    <row r="349" customFormat="false" ht="15" hidden="false" customHeight="true" outlineLevel="0" collapsed="false">
      <c r="A349" s="12"/>
      <c r="B349" s="9"/>
      <c r="C349" s="9"/>
      <c r="D349" s="15" t="str">
        <f aca="false">IF($C349="","",IFERROR(INDEX(예비품목록!$B$3:$B$202,MATCH($C349,예비품목록!$A$3:$A$202,0)),"미등록품번"))</f>
        <v/>
      </c>
      <c r="E349" s="15" t="str">
        <f aca="false">IF($C349="","",IFERROR(INDEX(예비품목록!$D$3:$D$202,MATCH($C349,예비품목록!$A$3:$A$202,0)),""))</f>
        <v/>
      </c>
      <c r="F349" s="11"/>
      <c r="G349" s="9"/>
      <c r="H349" s="9"/>
      <c r="I349" s="9"/>
      <c r="J349" s="23" t="str">
        <f aca="false">IF(OR($C349="",$F349=""),"",IF($B349="입고",$F349,IF($B349="출고",-$F349,$F349)))</f>
        <v/>
      </c>
      <c r="K349" s="24" t="str">
        <f aca="false">IF($C349="","",IFERROR(INDEX(예비품목록!$E$3:$E$202,MATCH($C349,예비품목록!$A$3:$A$202,0)),0)+SUMIFS($J$3:$J349,$C$3:$C349,$C349))</f>
        <v/>
      </c>
    </row>
    <row r="350" customFormat="false" ht="15" hidden="false" customHeight="true" outlineLevel="0" collapsed="false">
      <c r="A350" s="12"/>
      <c r="B350" s="9"/>
      <c r="C350" s="9"/>
      <c r="D350" s="15" t="str">
        <f aca="false">IF($C350="","",IFERROR(INDEX(예비품목록!$B$3:$B$202,MATCH($C350,예비품목록!$A$3:$A$202,0)),"미등록품번"))</f>
        <v/>
      </c>
      <c r="E350" s="15" t="str">
        <f aca="false">IF($C350="","",IFERROR(INDEX(예비품목록!$D$3:$D$202,MATCH($C350,예비품목록!$A$3:$A$202,0)),""))</f>
        <v/>
      </c>
      <c r="F350" s="11"/>
      <c r="G350" s="9"/>
      <c r="H350" s="9"/>
      <c r="I350" s="9"/>
      <c r="J350" s="23" t="str">
        <f aca="false">IF(OR($C350="",$F350=""),"",IF($B350="입고",$F350,IF($B350="출고",-$F350,$F350)))</f>
        <v/>
      </c>
      <c r="K350" s="24" t="str">
        <f aca="false">IF($C350="","",IFERROR(INDEX(예비품목록!$E$3:$E$202,MATCH($C350,예비품목록!$A$3:$A$202,0)),0)+SUMIFS($J$3:$J350,$C$3:$C350,$C350))</f>
        <v/>
      </c>
    </row>
    <row r="351" customFormat="false" ht="15" hidden="false" customHeight="true" outlineLevel="0" collapsed="false">
      <c r="A351" s="12"/>
      <c r="B351" s="9"/>
      <c r="C351" s="9"/>
      <c r="D351" s="15" t="str">
        <f aca="false">IF($C351="","",IFERROR(INDEX(예비품목록!$B$3:$B$202,MATCH($C351,예비품목록!$A$3:$A$202,0)),"미등록품번"))</f>
        <v/>
      </c>
      <c r="E351" s="15" t="str">
        <f aca="false">IF($C351="","",IFERROR(INDEX(예비품목록!$D$3:$D$202,MATCH($C351,예비품목록!$A$3:$A$202,0)),""))</f>
        <v/>
      </c>
      <c r="F351" s="11"/>
      <c r="G351" s="9"/>
      <c r="H351" s="9"/>
      <c r="I351" s="9"/>
      <c r="J351" s="23" t="str">
        <f aca="false">IF(OR($C351="",$F351=""),"",IF($B351="입고",$F351,IF($B351="출고",-$F351,$F351)))</f>
        <v/>
      </c>
      <c r="K351" s="24" t="str">
        <f aca="false">IF($C351="","",IFERROR(INDEX(예비품목록!$E$3:$E$202,MATCH($C351,예비품목록!$A$3:$A$202,0)),0)+SUMIFS($J$3:$J351,$C$3:$C351,$C351))</f>
        <v/>
      </c>
    </row>
    <row r="352" customFormat="false" ht="15" hidden="false" customHeight="true" outlineLevel="0" collapsed="false">
      <c r="A352" s="12"/>
      <c r="B352" s="9"/>
      <c r="C352" s="9"/>
      <c r="D352" s="15" t="str">
        <f aca="false">IF($C352="","",IFERROR(INDEX(예비품목록!$B$3:$B$202,MATCH($C352,예비품목록!$A$3:$A$202,0)),"미등록품번"))</f>
        <v/>
      </c>
      <c r="E352" s="15" t="str">
        <f aca="false">IF($C352="","",IFERROR(INDEX(예비품목록!$D$3:$D$202,MATCH($C352,예비품목록!$A$3:$A$202,0)),""))</f>
        <v/>
      </c>
      <c r="F352" s="11"/>
      <c r="G352" s="9"/>
      <c r="H352" s="9"/>
      <c r="I352" s="9"/>
      <c r="J352" s="23" t="str">
        <f aca="false">IF(OR($C352="",$F352=""),"",IF($B352="입고",$F352,IF($B352="출고",-$F352,$F352)))</f>
        <v/>
      </c>
      <c r="K352" s="24" t="str">
        <f aca="false">IF($C352="","",IFERROR(INDEX(예비품목록!$E$3:$E$202,MATCH($C352,예비품목록!$A$3:$A$202,0)),0)+SUMIFS($J$3:$J352,$C$3:$C352,$C352))</f>
        <v/>
      </c>
    </row>
    <row r="353" customFormat="false" ht="15" hidden="false" customHeight="true" outlineLevel="0" collapsed="false">
      <c r="A353" s="12"/>
      <c r="B353" s="9"/>
      <c r="C353" s="9"/>
      <c r="D353" s="15" t="str">
        <f aca="false">IF($C353="","",IFERROR(INDEX(예비품목록!$B$3:$B$202,MATCH($C353,예비품목록!$A$3:$A$202,0)),"미등록품번"))</f>
        <v/>
      </c>
      <c r="E353" s="15" t="str">
        <f aca="false">IF($C353="","",IFERROR(INDEX(예비품목록!$D$3:$D$202,MATCH($C353,예비품목록!$A$3:$A$202,0)),""))</f>
        <v/>
      </c>
      <c r="F353" s="11"/>
      <c r="G353" s="9"/>
      <c r="H353" s="9"/>
      <c r="I353" s="9"/>
      <c r="J353" s="23" t="str">
        <f aca="false">IF(OR($C353="",$F353=""),"",IF($B353="입고",$F353,IF($B353="출고",-$F353,$F353)))</f>
        <v/>
      </c>
      <c r="K353" s="24" t="str">
        <f aca="false">IF($C353="","",IFERROR(INDEX(예비품목록!$E$3:$E$202,MATCH($C353,예비품목록!$A$3:$A$202,0)),0)+SUMIFS($J$3:$J353,$C$3:$C353,$C353))</f>
        <v/>
      </c>
    </row>
    <row r="354" customFormat="false" ht="15" hidden="false" customHeight="true" outlineLevel="0" collapsed="false">
      <c r="A354" s="12"/>
      <c r="B354" s="9"/>
      <c r="C354" s="9"/>
      <c r="D354" s="15" t="str">
        <f aca="false">IF($C354="","",IFERROR(INDEX(예비품목록!$B$3:$B$202,MATCH($C354,예비품목록!$A$3:$A$202,0)),"미등록품번"))</f>
        <v/>
      </c>
      <c r="E354" s="15" t="str">
        <f aca="false">IF($C354="","",IFERROR(INDEX(예비품목록!$D$3:$D$202,MATCH($C354,예비품목록!$A$3:$A$202,0)),""))</f>
        <v/>
      </c>
      <c r="F354" s="11"/>
      <c r="G354" s="9"/>
      <c r="H354" s="9"/>
      <c r="I354" s="9"/>
      <c r="J354" s="23" t="str">
        <f aca="false">IF(OR($C354="",$F354=""),"",IF($B354="입고",$F354,IF($B354="출고",-$F354,$F354)))</f>
        <v/>
      </c>
      <c r="K354" s="24" t="str">
        <f aca="false">IF($C354="","",IFERROR(INDEX(예비품목록!$E$3:$E$202,MATCH($C354,예비품목록!$A$3:$A$202,0)),0)+SUMIFS($J$3:$J354,$C$3:$C354,$C354))</f>
        <v/>
      </c>
    </row>
    <row r="355" customFormat="false" ht="15" hidden="false" customHeight="true" outlineLevel="0" collapsed="false">
      <c r="A355" s="12"/>
      <c r="B355" s="9"/>
      <c r="C355" s="9"/>
      <c r="D355" s="15" t="str">
        <f aca="false">IF($C355="","",IFERROR(INDEX(예비품목록!$B$3:$B$202,MATCH($C355,예비품목록!$A$3:$A$202,0)),"미등록품번"))</f>
        <v/>
      </c>
      <c r="E355" s="15" t="str">
        <f aca="false">IF($C355="","",IFERROR(INDEX(예비품목록!$D$3:$D$202,MATCH($C355,예비품목록!$A$3:$A$202,0)),""))</f>
        <v/>
      </c>
      <c r="F355" s="11"/>
      <c r="G355" s="9"/>
      <c r="H355" s="9"/>
      <c r="I355" s="9"/>
      <c r="J355" s="23" t="str">
        <f aca="false">IF(OR($C355="",$F355=""),"",IF($B355="입고",$F355,IF($B355="출고",-$F355,$F355)))</f>
        <v/>
      </c>
      <c r="K355" s="24" t="str">
        <f aca="false">IF($C355="","",IFERROR(INDEX(예비품목록!$E$3:$E$202,MATCH($C355,예비품목록!$A$3:$A$202,0)),0)+SUMIFS($J$3:$J355,$C$3:$C355,$C355))</f>
        <v/>
      </c>
    </row>
    <row r="356" customFormat="false" ht="15" hidden="false" customHeight="true" outlineLevel="0" collapsed="false">
      <c r="A356" s="12"/>
      <c r="B356" s="9"/>
      <c r="C356" s="9"/>
      <c r="D356" s="15" t="str">
        <f aca="false">IF($C356="","",IFERROR(INDEX(예비품목록!$B$3:$B$202,MATCH($C356,예비품목록!$A$3:$A$202,0)),"미등록품번"))</f>
        <v/>
      </c>
      <c r="E356" s="15" t="str">
        <f aca="false">IF($C356="","",IFERROR(INDEX(예비품목록!$D$3:$D$202,MATCH($C356,예비품목록!$A$3:$A$202,0)),""))</f>
        <v/>
      </c>
      <c r="F356" s="11"/>
      <c r="G356" s="9"/>
      <c r="H356" s="9"/>
      <c r="I356" s="9"/>
      <c r="J356" s="23" t="str">
        <f aca="false">IF(OR($C356="",$F356=""),"",IF($B356="입고",$F356,IF($B356="출고",-$F356,$F356)))</f>
        <v/>
      </c>
      <c r="K356" s="24" t="str">
        <f aca="false">IF($C356="","",IFERROR(INDEX(예비품목록!$E$3:$E$202,MATCH($C356,예비품목록!$A$3:$A$202,0)),0)+SUMIFS($J$3:$J356,$C$3:$C356,$C356))</f>
        <v/>
      </c>
    </row>
    <row r="357" customFormat="false" ht="15" hidden="false" customHeight="true" outlineLevel="0" collapsed="false">
      <c r="A357" s="12"/>
      <c r="B357" s="9"/>
      <c r="C357" s="9"/>
      <c r="D357" s="15" t="str">
        <f aca="false">IF($C357="","",IFERROR(INDEX(예비품목록!$B$3:$B$202,MATCH($C357,예비품목록!$A$3:$A$202,0)),"미등록품번"))</f>
        <v/>
      </c>
      <c r="E357" s="15" t="str">
        <f aca="false">IF($C357="","",IFERROR(INDEX(예비품목록!$D$3:$D$202,MATCH($C357,예비품목록!$A$3:$A$202,0)),""))</f>
        <v/>
      </c>
      <c r="F357" s="11"/>
      <c r="G357" s="9"/>
      <c r="H357" s="9"/>
      <c r="I357" s="9"/>
      <c r="J357" s="23" t="str">
        <f aca="false">IF(OR($C357="",$F357=""),"",IF($B357="입고",$F357,IF($B357="출고",-$F357,$F357)))</f>
        <v/>
      </c>
      <c r="K357" s="24" t="str">
        <f aca="false">IF($C357="","",IFERROR(INDEX(예비품목록!$E$3:$E$202,MATCH($C357,예비품목록!$A$3:$A$202,0)),0)+SUMIFS($J$3:$J357,$C$3:$C357,$C357))</f>
        <v/>
      </c>
    </row>
    <row r="358" customFormat="false" ht="15" hidden="false" customHeight="true" outlineLevel="0" collapsed="false">
      <c r="A358" s="12"/>
      <c r="B358" s="9"/>
      <c r="C358" s="9"/>
      <c r="D358" s="15" t="str">
        <f aca="false">IF($C358="","",IFERROR(INDEX(예비품목록!$B$3:$B$202,MATCH($C358,예비품목록!$A$3:$A$202,0)),"미등록품번"))</f>
        <v/>
      </c>
      <c r="E358" s="15" t="str">
        <f aca="false">IF($C358="","",IFERROR(INDEX(예비품목록!$D$3:$D$202,MATCH($C358,예비품목록!$A$3:$A$202,0)),""))</f>
        <v/>
      </c>
      <c r="F358" s="11"/>
      <c r="G358" s="9"/>
      <c r="H358" s="9"/>
      <c r="I358" s="9"/>
      <c r="J358" s="23" t="str">
        <f aca="false">IF(OR($C358="",$F358=""),"",IF($B358="입고",$F358,IF($B358="출고",-$F358,$F358)))</f>
        <v/>
      </c>
      <c r="K358" s="24" t="str">
        <f aca="false">IF($C358="","",IFERROR(INDEX(예비품목록!$E$3:$E$202,MATCH($C358,예비품목록!$A$3:$A$202,0)),0)+SUMIFS($J$3:$J358,$C$3:$C358,$C358))</f>
        <v/>
      </c>
    </row>
    <row r="359" customFormat="false" ht="15" hidden="false" customHeight="true" outlineLevel="0" collapsed="false">
      <c r="A359" s="12"/>
      <c r="B359" s="9"/>
      <c r="C359" s="9"/>
      <c r="D359" s="15" t="str">
        <f aca="false">IF($C359="","",IFERROR(INDEX(예비품목록!$B$3:$B$202,MATCH($C359,예비품목록!$A$3:$A$202,0)),"미등록품번"))</f>
        <v/>
      </c>
      <c r="E359" s="15" t="str">
        <f aca="false">IF($C359="","",IFERROR(INDEX(예비품목록!$D$3:$D$202,MATCH($C359,예비품목록!$A$3:$A$202,0)),""))</f>
        <v/>
      </c>
      <c r="F359" s="11"/>
      <c r="G359" s="9"/>
      <c r="H359" s="9"/>
      <c r="I359" s="9"/>
      <c r="J359" s="23" t="str">
        <f aca="false">IF(OR($C359="",$F359=""),"",IF($B359="입고",$F359,IF($B359="출고",-$F359,$F359)))</f>
        <v/>
      </c>
      <c r="K359" s="24" t="str">
        <f aca="false">IF($C359="","",IFERROR(INDEX(예비품목록!$E$3:$E$202,MATCH($C359,예비품목록!$A$3:$A$202,0)),0)+SUMIFS($J$3:$J359,$C$3:$C359,$C359))</f>
        <v/>
      </c>
    </row>
    <row r="360" customFormat="false" ht="15" hidden="false" customHeight="true" outlineLevel="0" collapsed="false">
      <c r="A360" s="12"/>
      <c r="B360" s="9"/>
      <c r="C360" s="9"/>
      <c r="D360" s="15" t="str">
        <f aca="false">IF($C360="","",IFERROR(INDEX(예비품목록!$B$3:$B$202,MATCH($C360,예비품목록!$A$3:$A$202,0)),"미등록품번"))</f>
        <v/>
      </c>
      <c r="E360" s="15" t="str">
        <f aca="false">IF($C360="","",IFERROR(INDEX(예비품목록!$D$3:$D$202,MATCH($C360,예비품목록!$A$3:$A$202,0)),""))</f>
        <v/>
      </c>
      <c r="F360" s="11"/>
      <c r="G360" s="9"/>
      <c r="H360" s="9"/>
      <c r="I360" s="9"/>
      <c r="J360" s="23" t="str">
        <f aca="false">IF(OR($C360="",$F360=""),"",IF($B360="입고",$F360,IF($B360="출고",-$F360,$F360)))</f>
        <v/>
      </c>
      <c r="K360" s="24" t="str">
        <f aca="false">IF($C360="","",IFERROR(INDEX(예비품목록!$E$3:$E$202,MATCH($C360,예비품목록!$A$3:$A$202,0)),0)+SUMIFS($J$3:$J360,$C$3:$C360,$C360))</f>
        <v/>
      </c>
    </row>
    <row r="361" customFormat="false" ht="15" hidden="false" customHeight="true" outlineLevel="0" collapsed="false">
      <c r="A361" s="12"/>
      <c r="B361" s="9"/>
      <c r="C361" s="9"/>
      <c r="D361" s="15" t="str">
        <f aca="false">IF($C361="","",IFERROR(INDEX(예비품목록!$B$3:$B$202,MATCH($C361,예비품목록!$A$3:$A$202,0)),"미등록품번"))</f>
        <v/>
      </c>
      <c r="E361" s="15" t="str">
        <f aca="false">IF($C361="","",IFERROR(INDEX(예비품목록!$D$3:$D$202,MATCH($C361,예비품목록!$A$3:$A$202,0)),""))</f>
        <v/>
      </c>
      <c r="F361" s="11"/>
      <c r="G361" s="9"/>
      <c r="H361" s="9"/>
      <c r="I361" s="9"/>
      <c r="J361" s="23" t="str">
        <f aca="false">IF(OR($C361="",$F361=""),"",IF($B361="입고",$F361,IF($B361="출고",-$F361,$F361)))</f>
        <v/>
      </c>
      <c r="K361" s="24" t="str">
        <f aca="false">IF($C361="","",IFERROR(INDEX(예비품목록!$E$3:$E$202,MATCH($C361,예비품목록!$A$3:$A$202,0)),0)+SUMIFS($J$3:$J361,$C$3:$C361,$C361))</f>
        <v/>
      </c>
    </row>
    <row r="362" customFormat="false" ht="15" hidden="false" customHeight="true" outlineLevel="0" collapsed="false">
      <c r="A362" s="12"/>
      <c r="B362" s="9"/>
      <c r="C362" s="9"/>
      <c r="D362" s="15" t="str">
        <f aca="false">IF($C362="","",IFERROR(INDEX(예비품목록!$B$3:$B$202,MATCH($C362,예비품목록!$A$3:$A$202,0)),"미등록품번"))</f>
        <v/>
      </c>
      <c r="E362" s="15" t="str">
        <f aca="false">IF($C362="","",IFERROR(INDEX(예비품목록!$D$3:$D$202,MATCH($C362,예비품목록!$A$3:$A$202,0)),""))</f>
        <v/>
      </c>
      <c r="F362" s="11"/>
      <c r="G362" s="9"/>
      <c r="H362" s="9"/>
      <c r="I362" s="9"/>
      <c r="J362" s="23" t="str">
        <f aca="false">IF(OR($C362="",$F362=""),"",IF($B362="입고",$F362,IF($B362="출고",-$F362,$F362)))</f>
        <v/>
      </c>
      <c r="K362" s="24" t="str">
        <f aca="false">IF($C362="","",IFERROR(INDEX(예비품목록!$E$3:$E$202,MATCH($C362,예비품목록!$A$3:$A$202,0)),0)+SUMIFS($J$3:$J362,$C$3:$C362,$C362))</f>
        <v/>
      </c>
    </row>
    <row r="363" customFormat="false" ht="15" hidden="false" customHeight="true" outlineLevel="0" collapsed="false">
      <c r="A363" s="12"/>
      <c r="B363" s="9"/>
      <c r="C363" s="9"/>
      <c r="D363" s="15" t="str">
        <f aca="false">IF($C363="","",IFERROR(INDEX(예비품목록!$B$3:$B$202,MATCH($C363,예비품목록!$A$3:$A$202,0)),"미등록품번"))</f>
        <v/>
      </c>
      <c r="E363" s="15" t="str">
        <f aca="false">IF($C363="","",IFERROR(INDEX(예비품목록!$D$3:$D$202,MATCH($C363,예비품목록!$A$3:$A$202,0)),""))</f>
        <v/>
      </c>
      <c r="F363" s="11"/>
      <c r="G363" s="9"/>
      <c r="H363" s="9"/>
      <c r="I363" s="9"/>
      <c r="J363" s="23" t="str">
        <f aca="false">IF(OR($C363="",$F363=""),"",IF($B363="입고",$F363,IF($B363="출고",-$F363,$F363)))</f>
        <v/>
      </c>
      <c r="K363" s="24" t="str">
        <f aca="false">IF($C363="","",IFERROR(INDEX(예비품목록!$E$3:$E$202,MATCH($C363,예비품목록!$A$3:$A$202,0)),0)+SUMIFS($J$3:$J363,$C$3:$C363,$C363))</f>
        <v/>
      </c>
    </row>
    <row r="364" customFormat="false" ht="15" hidden="false" customHeight="true" outlineLevel="0" collapsed="false">
      <c r="A364" s="12"/>
      <c r="B364" s="9"/>
      <c r="C364" s="9"/>
      <c r="D364" s="15" t="str">
        <f aca="false">IF($C364="","",IFERROR(INDEX(예비품목록!$B$3:$B$202,MATCH($C364,예비품목록!$A$3:$A$202,0)),"미등록품번"))</f>
        <v/>
      </c>
      <c r="E364" s="15" t="str">
        <f aca="false">IF($C364="","",IFERROR(INDEX(예비품목록!$D$3:$D$202,MATCH($C364,예비품목록!$A$3:$A$202,0)),""))</f>
        <v/>
      </c>
      <c r="F364" s="11"/>
      <c r="G364" s="9"/>
      <c r="H364" s="9"/>
      <c r="I364" s="9"/>
      <c r="J364" s="23" t="str">
        <f aca="false">IF(OR($C364="",$F364=""),"",IF($B364="입고",$F364,IF($B364="출고",-$F364,$F364)))</f>
        <v/>
      </c>
      <c r="K364" s="24" t="str">
        <f aca="false">IF($C364="","",IFERROR(INDEX(예비품목록!$E$3:$E$202,MATCH($C364,예비품목록!$A$3:$A$202,0)),0)+SUMIFS($J$3:$J364,$C$3:$C364,$C364))</f>
        <v/>
      </c>
    </row>
    <row r="365" customFormat="false" ht="15" hidden="false" customHeight="true" outlineLevel="0" collapsed="false">
      <c r="A365" s="12"/>
      <c r="B365" s="9"/>
      <c r="C365" s="9"/>
      <c r="D365" s="15" t="str">
        <f aca="false">IF($C365="","",IFERROR(INDEX(예비품목록!$B$3:$B$202,MATCH($C365,예비품목록!$A$3:$A$202,0)),"미등록품번"))</f>
        <v/>
      </c>
      <c r="E365" s="15" t="str">
        <f aca="false">IF($C365="","",IFERROR(INDEX(예비품목록!$D$3:$D$202,MATCH($C365,예비품목록!$A$3:$A$202,0)),""))</f>
        <v/>
      </c>
      <c r="F365" s="11"/>
      <c r="G365" s="9"/>
      <c r="H365" s="9"/>
      <c r="I365" s="9"/>
      <c r="J365" s="23" t="str">
        <f aca="false">IF(OR($C365="",$F365=""),"",IF($B365="입고",$F365,IF($B365="출고",-$F365,$F365)))</f>
        <v/>
      </c>
      <c r="K365" s="24" t="str">
        <f aca="false">IF($C365="","",IFERROR(INDEX(예비품목록!$E$3:$E$202,MATCH($C365,예비품목록!$A$3:$A$202,0)),0)+SUMIFS($J$3:$J365,$C$3:$C365,$C365))</f>
        <v/>
      </c>
    </row>
    <row r="366" customFormat="false" ht="15" hidden="false" customHeight="true" outlineLevel="0" collapsed="false">
      <c r="A366" s="12"/>
      <c r="B366" s="9"/>
      <c r="C366" s="9"/>
      <c r="D366" s="15" t="str">
        <f aca="false">IF($C366="","",IFERROR(INDEX(예비품목록!$B$3:$B$202,MATCH($C366,예비품목록!$A$3:$A$202,0)),"미등록품번"))</f>
        <v/>
      </c>
      <c r="E366" s="15" t="str">
        <f aca="false">IF($C366="","",IFERROR(INDEX(예비품목록!$D$3:$D$202,MATCH($C366,예비품목록!$A$3:$A$202,0)),""))</f>
        <v/>
      </c>
      <c r="F366" s="11"/>
      <c r="G366" s="9"/>
      <c r="H366" s="9"/>
      <c r="I366" s="9"/>
      <c r="J366" s="23" t="str">
        <f aca="false">IF(OR($C366="",$F366=""),"",IF($B366="입고",$F366,IF($B366="출고",-$F366,$F366)))</f>
        <v/>
      </c>
      <c r="K366" s="24" t="str">
        <f aca="false">IF($C366="","",IFERROR(INDEX(예비품목록!$E$3:$E$202,MATCH($C366,예비품목록!$A$3:$A$202,0)),0)+SUMIFS($J$3:$J366,$C$3:$C366,$C366))</f>
        <v/>
      </c>
    </row>
    <row r="367" customFormat="false" ht="15" hidden="false" customHeight="true" outlineLevel="0" collapsed="false">
      <c r="A367" s="12"/>
      <c r="B367" s="9"/>
      <c r="C367" s="9"/>
      <c r="D367" s="15" t="str">
        <f aca="false">IF($C367="","",IFERROR(INDEX(예비품목록!$B$3:$B$202,MATCH($C367,예비품목록!$A$3:$A$202,0)),"미등록품번"))</f>
        <v/>
      </c>
      <c r="E367" s="15" t="str">
        <f aca="false">IF($C367="","",IFERROR(INDEX(예비품목록!$D$3:$D$202,MATCH($C367,예비품목록!$A$3:$A$202,0)),""))</f>
        <v/>
      </c>
      <c r="F367" s="11"/>
      <c r="G367" s="9"/>
      <c r="H367" s="9"/>
      <c r="I367" s="9"/>
      <c r="J367" s="23" t="str">
        <f aca="false">IF(OR($C367="",$F367=""),"",IF($B367="입고",$F367,IF($B367="출고",-$F367,$F367)))</f>
        <v/>
      </c>
      <c r="K367" s="24" t="str">
        <f aca="false">IF($C367="","",IFERROR(INDEX(예비품목록!$E$3:$E$202,MATCH($C367,예비품목록!$A$3:$A$202,0)),0)+SUMIFS($J$3:$J367,$C$3:$C367,$C367))</f>
        <v/>
      </c>
    </row>
    <row r="368" customFormat="false" ht="15" hidden="false" customHeight="true" outlineLevel="0" collapsed="false">
      <c r="A368" s="12"/>
      <c r="B368" s="9"/>
      <c r="C368" s="9"/>
      <c r="D368" s="15" t="str">
        <f aca="false">IF($C368="","",IFERROR(INDEX(예비품목록!$B$3:$B$202,MATCH($C368,예비품목록!$A$3:$A$202,0)),"미등록품번"))</f>
        <v/>
      </c>
      <c r="E368" s="15" t="str">
        <f aca="false">IF($C368="","",IFERROR(INDEX(예비품목록!$D$3:$D$202,MATCH($C368,예비품목록!$A$3:$A$202,0)),""))</f>
        <v/>
      </c>
      <c r="F368" s="11"/>
      <c r="G368" s="9"/>
      <c r="H368" s="9"/>
      <c r="I368" s="9"/>
      <c r="J368" s="23" t="str">
        <f aca="false">IF(OR($C368="",$F368=""),"",IF($B368="입고",$F368,IF($B368="출고",-$F368,$F368)))</f>
        <v/>
      </c>
      <c r="K368" s="24" t="str">
        <f aca="false">IF($C368="","",IFERROR(INDEX(예비품목록!$E$3:$E$202,MATCH($C368,예비품목록!$A$3:$A$202,0)),0)+SUMIFS($J$3:$J368,$C$3:$C368,$C368))</f>
        <v/>
      </c>
    </row>
    <row r="369" customFormat="false" ht="15" hidden="false" customHeight="true" outlineLevel="0" collapsed="false">
      <c r="A369" s="12"/>
      <c r="B369" s="9"/>
      <c r="C369" s="9"/>
      <c r="D369" s="15" t="str">
        <f aca="false">IF($C369="","",IFERROR(INDEX(예비품목록!$B$3:$B$202,MATCH($C369,예비품목록!$A$3:$A$202,0)),"미등록품번"))</f>
        <v/>
      </c>
      <c r="E369" s="15" t="str">
        <f aca="false">IF($C369="","",IFERROR(INDEX(예비품목록!$D$3:$D$202,MATCH($C369,예비품목록!$A$3:$A$202,0)),""))</f>
        <v/>
      </c>
      <c r="F369" s="11"/>
      <c r="G369" s="9"/>
      <c r="H369" s="9"/>
      <c r="I369" s="9"/>
      <c r="J369" s="23" t="str">
        <f aca="false">IF(OR($C369="",$F369=""),"",IF($B369="입고",$F369,IF($B369="출고",-$F369,$F369)))</f>
        <v/>
      </c>
      <c r="K369" s="24" t="str">
        <f aca="false">IF($C369="","",IFERROR(INDEX(예비품목록!$E$3:$E$202,MATCH($C369,예비품목록!$A$3:$A$202,0)),0)+SUMIFS($J$3:$J369,$C$3:$C369,$C369))</f>
        <v/>
      </c>
    </row>
    <row r="370" customFormat="false" ht="15" hidden="false" customHeight="true" outlineLevel="0" collapsed="false">
      <c r="A370" s="12"/>
      <c r="B370" s="9"/>
      <c r="C370" s="9"/>
      <c r="D370" s="15" t="str">
        <f aca="false">IF($C370="","",IFERROR(INDEX(예비품목록!$B$3:$B$202,MATCH($C370,예비품목록!$A$3:$A$202,0)),"미등록품번"))</f>
        <v/>
      </c>
      <c r="E370" s="15" t="str">
        <f aca="false">IF($C370="","",IFERROR(INDEX(예비품목록!$D$3:$D$202,MATCH($C370,예비품목록!$A$3:$A$202,0)),""))</f>
        <v/>
      </c>
      <c r="F370" s="11"/>
      <c r="G370" s="9"/>
      <c r="H370" s="9"/>
      <c r="I370" s="9"/>
      <c r="J370" s="23" t="str">
        <f aca="false">IF(OR($C370="",$F370=""),"",IF($B370="입고",$F370,IF($B370="출고",-$F370,$F370)))</f>
        <v/>
      </c>
      <c r="K370" s="24" t="str">
        <f aca="false">IF($C370="","",IFERROR(INDEX(예비품목록!$E$3:$E$202,MATCH($C370,예비품목록!$A$3:$A$202,0)),0)+SUMIFS($J$3:$J370,$C$3:$C370,$C370))</f>
        <v/>
      </c>
    </row>
    <row r="371" customFormat="false" ht="15" hidden="false" customHeight="true" outlineLevel="0" collapsed="false">
      <c r="A371" s="12"/>
      <c r="B371" s="9"/>
      <c r="C371" s="9"/>
      <c r="D371" s="15" t="str">
        <f aca="false">IF($C371="","",IFERROR(INDEX(예비품목록!$B$3:$B$202,MATCH($C371,예비품목록!$A$3:$A$202,0)),"미등록품번"))</f>
        <v/>
      </c>
      <c r="E371" s="15" t="str">
        <f aca="false">IF($C371="","",IFERROR(INDEX(예비품목록!$D$3:$D$202,MATCH($C371,예비품목록!$A$3:$A$202,0)),""))</f>
        <v/>
      </c>
      <c r="F371" s="11"/>
      <c r="G371" s="9"/>
      <c r="H371" s="9"/>
      <c r="I371" s="9"/>
      <c r="J371" s="23" t="str">
        <f aca="false">IF(OR($C371="",$F371=""),"",IF($B371="입고",$F371,IF($B371="출고",-$F371,$F371)))</f>
        <v/>
      </c>
      <c r="K371" s="24" t="str">
        <f aca="false">IF($C371="","",IFERROR(INDEX(예비품목록!$E$3:$E$202,MATCH($C371,예비품목록!$A$3:$A$202,0)),0)+SUMIFS($J$3:$J371,$C$3:$C371,$C371))</f>
        <v/>
      </c>
    </row>
    <row r="372" customFormat="false" ht="15" hidden="false" customHeight="true" outlineLevel="0" collapsed="false">
      <c r="A372" s="12"/>
      <c r="B372" s="9"/>
      <c r="C372" s="9"/>
      <c r="D372" s="15" t="str">
        <f aca="false">IF($C372="","",IFERROR(INDEX(예비품목록!$B$3:$B$202,MATCH($C372,예비품목록!$A$3:$A$202,0)),"미등록품번"))</f>
        <v/>
      </c>
      <c r="E372" s="15" t="str">
        <f aca="false">IF($C372="","",IFERROR(INDEX(예비품목록!$D$3:$D$202,MATCH($C372,예비품목록!$A$3:$A$202,0)),""))</f>
        <v/>
      </c>
      <c r="F372" s="11"/>
      <c r="G372" s="9"/>
      <c r="H372" s="9"/>
      <c r="I372" s="9"/>
      <c r="J372" s="23" t="str">
        <f aca="false">IF(OR($C372="",$F372=""),"",IF($B372="입고",$F372,IF($B372="출고",-$F372,$F372)))</f>
        <v/>
      </c>
      <c r="K372" s="24" t="str">
        <f aca="false">IF($C372="","",IFERROR(INDEX(예비품목록!$E$3:$E$202,MATCH($C372,예비품목록!$A$3:$A$202,0)),0)+SUMIFS($J$3:$J372,$C$3:$C372,$C372))</f>
        <v/>
      </c>
    </row>
    <row r="373" customFormat="false" ht="15" hidden="false" customHeight="true" outlineLevel="0" collapsed="false">
      <c r="A373" s="12"/>
      <c r="B373" s="9"/>
      <c r="C373" s="9"/>
      <c r="D373" s="15" t="str">
        <f aca="false">IF($C373="","",IFERROR(INDEX(예비품목록!$B$3:$B$202,MATCH($C373,예비품목록!$A$3:$A$202,0)),"미등록품번"))</f>
        <v/>
      </c>
      <c r="E373" s="15" t="str">
        <f aca="false">IF($C373="","",IFERROR(INDEX(예비품목록!$D$3:$D$202,MATCH($C373,예비품목록!$A$3:$A$202,0)),""))</f>
        <v/>
      </c>
      <c r="F373" s="11"/>
      <c r="G373" s="9"/>
      <c r="H373" s="9"/>
      <c r="I373" s="9"/>
      <c r="J373" s="23" t="str">
        <f aca="false">IF(OR($C373="",$F373=""),"",IF($B373="입고",$F373,IF($B373="출고",-$F373,$F373)))</f>
        <v/>
      </c>
      <c r="K373" s="24" t="str">
        <f aca="false">IF($C373="","",IFERROR(INDEX(예비품목록!$E$3:$E$202,MATCH($C373,예비품목록!$A$3:$A$202,0)),0)+SUMIFS($J$3:$J373,$C$3:$C373,$C373))</f>
        <v/>
      </c>
    </row>
    <row r="374" customFormat="false" ht="15" hidden="false" customHeight="true" outlineLevel="0" collapsed="false">
      <c r="A374" s="12"/>
      <c r="B374" s="9"/>
      <c r="C374" s="9"/>
      <c r="D374" s="15" t="str">
        <f aca="false">IF($C374="","",IFERROR(INDEX(예비품목록!$B$3:$B$202,MATCH($C374,예비품목록!$A$3:$A$202,0)),"미등록품번"))</f>
        <v/>
      </c>
      <c r="E374" s="15" t="str">
        <f aca="false">IF($C374="","",IFERROR(INDEX(예비품목록!$D$3:$D$202,MATCH($C374,예비품목록!$A$3:$A$202,0)),""))</f>
        <v/>
      </c>
      <c r="F374" s="11"/>
      <c r="G374" s="9"/>
      <c r="H374" s="9"/>
      <c r="I374" s="9"/>
      <c r="J374" s="23" t="str">
        <f aca="false">IF(OR($C374="",$F374=""),"",IF($B374="입고",$F374,IF($B374="출고",-$F374,$F374)))</f>
        <v/>
      </c>
      <c r="K374" s="24" t="str">
        <f aca="false">IF($C374="","",IFERROR(INDEX(예비품목록!$E$3:$E$202,MATCH($C374,예비품목록!$A$3:$A$202,0)),0)+SUMIFS($J$3:$J374,$C$3:$C374,$C374))</f>
        <v/>
      </c>
    </row>
    <row r="375" customFormat="false" ht="15" hidden="false" customHeight="true" outlineLevel="0" collapsed="false">
      <c r="A375" s="12"/>
      <c r="B375" s="9"/>
      <c r="C375" s="9"/>
      <c r="D375" s="15" t="str">
        <f aca="false">IF($C375="","",IFERROR(INDEX(예비품목록!$B$3:$B$202,MATCH($C375,예비품목록!$A$3:$A$202,0)),"미등록품번"))</f>
        <v/>
      </c>
      <c r="E375" s="15" t="str">
        <f aca="false">IF($C375="","",IFERROR(INDEX(예비품목록!$D$3:$D$202,MATCH($C375,예비품목록!$A$3:$A$202,0)),""))</f>
        <v/>
      </c>
      <c r="F375" s="11"/>
      <c r="G375" s="9"/>
      <c r="H375" s="9"/>
      <c r="I375" s="9"/>
      <c r="J375" s="23" t="str">
        <f aca="false">IF(OR($C375="",$F375=""),"",IF($B375="입고",$F375,IF($B375="출고",-$F375,$F375)))</f>
        <v/>
      </c>
      <c r="K375" s="24" t="str">
        <f aca="false">IF($C375="","",IFERROR(INDEX(예비품목록!$E$3:$E$202,MATCH($C375,예비품목록!$A$3:$A$202,0)),0)+SUMIFS($J$3:$J375,$C$3:$C375,$C375))</f>
        <v/>
      </c>
    </row>
    <row r="376" customFormat="false" ht="15" hidden="false" customHeight="true" outlineLevel="0" collapsed="false">
      <c r="A376" s="12"/>
      <c r="B376" s="9"/>
      <c r="C376" s="9"/>
      <c r="D376" s="15" t="str">
        <f aca="false">IF($C376="","",IFERROR(INDEX(예비품목록!$B$3:$B$202,MATCH($C376,예비품목록!$A$3:$A$202,0)),"미등록품번"))</f>
        <v/>
      </c>
      <c r="E376" s="15" t="str">
        <f aca="false">IF($C376="","",IFERROR(INDEX(예비품목록!$D$3:$D$202,MATCH($C376,예비품목록!$A$3:$A$202,0)),""))</f>
        <v/>
      </c>
      <c r="F376" s="11"/>
      <c r="G376" s="9"/>
      <c r="H376" s="9"/>
      <c r="I376" s="9"/>
      <c r="J376" s="23" t="str">
        <f aca="false">IF(OR($C376="",$F376=""),"",IF($B376="입고",$F376,IF($B376="출고",-$F376,$F376)))</f>
        <v/>
      </c>
      <c r="K376" s="24" t="str">
        <f aca="false">IF($C376="","",IFERROR(INDEX(예비품목록!$E$3:$E$202,MATCH($C376,예비품목록!$A$3:$A$202,0)),0)+SUMIFS($J$3:$J376,$C$3:$C376,$C376))</f>
        <v/>
      </c>
    </row>
    <row r="377" customFormat="false" ht="15" hidden="false" customHeight="true" outlineLevel="0" collapsed="false">
      <c r="A377" s="12"/>
      <c r="B377" s="9"/>
      <c r="C377" s="9"/>
      <c r="D377" s="15" t="str">
        <f aca="false">IF($C377="","",IFERROR(INDEX(예비품목록!$B$3:$B$202,MATCH($C377,예비품목록!$A$3:$A$202,0)),"미등록품번"))</f>
        <v/>
      </c>
      <c r="E377" s="15" t="str">
        <f aca="false">IF($C377="","",IFERROR(INDEX(예비품목록!$D$3:$D$202,MATCH($C377,예비품목록!$A$3:$A$202,0)),""))</f>
        <v/>
      </c>
      <c r="F377" s="11"/>
      <c r="G377" s="9"/>
      <c r="H377" s="9"/>
      <c r="I377" s="9"/>
      <c r="J377" s="23" t="str">
        <f aca="false">IF(OR($C377="",$F377=""),"",IF($B377="입고",$F377,IF($B377="출고",-$F377,$F377)))</f>
        <v/>
      </c>
      <c r="K377" s="24" t="str">
        <f aca="false">IF($C377="","",IFERROR(INDEX(예비품목록!$E$3:$E$202,MATCH($C377,예비품목록!$A$3:$A$202,0)),0)+SUMIFS($J$3:$J377,$C$3:$C377,$C377))</f>
        <v/>
      </c>
    </row>
    <row r="378" customFormat="false" ht="15" hidden="false" customHeight="true" outlineLevel="0" collapsed="false">
      <c r="A378" s="12"/>
      <c r="B378" s="9"/>
      <c r="C378" s="9"/>
      <c r="D378" s="15" t="str">
        <f aca="false">IF($C378="","",IFERROR(INDEX(예비품목록!$B$3:$B$202,MATCH($C378,예비품목록!$A$3:$A$202,0)),"미등록품번"))</f>
        <v/>
      </c>
      <c r="E378" s="15" t="str">
        <f aca="false">IF($C378="","",IFERROR(INDEX(예비품목록!$D$3:$D$202,MATCH($C378,예비품목록!$A$3:$A$202,0)),""))</f>
        <v/>
      </c>
      <c r="F378" s="11"/>
      <c r="G378" s="9"/>
      <c r="H378" s="9"/>
      <c r="I378" s="9"/>
      <c r="J378" s="23" t="str">
        <f aca="false">IF(OR($C378="",$F378=""),"",IF($B378="입고",$F378,IF($B378="출고",-$F378,$F378)))</f>
        <v/>
      </c>
      <c r="K378" s="24" t="str">
        <f aca="false">IF($C378="","",IFERROR(INDEX(예비품목록!$E$3:$E$202,MATCH($C378,예비품목록!$A$3:$A$202,0)),0)+SUMIFS($J$3:$J378,$C$3:$C378,$C378))</f>
        <v/>
      </c>
    </row>
    <row r="379" customFormat="false" ht="15" hidden="false" customHeight="true" outlineLevel="0" collapsed="false">
      <c r="A379" s="12"/>
      <c r="B379" s="9"/>
      <c r="C379" s="9"/>
      <c r="D379" s="15" t="str">
        <f aca="false">IF($C379="","",IFERROR(INDEX(예비품목록!$B$3:$B$202,MATCH($C379,예비품목록!$A$3:$A$202,0)),"미등록품번"))</f>
        <v/>
      </c>
      <c r="E379" s="15" t="str">
        <f aca="false">IF($C379="","",IFERROR(INDEX(예비품목록!$D$3:$D$202,MATCH($C379,예비품목록!$A$3:$A$202,0)),""))</f>
        <v/>
      </c>
      <c r="F379" s="11"/>
      <c r="G379" s="9"/>
      <c r="H379" s="9"/>
      <c r="I379" s="9"/>
      <c r="J379" s="23" t="str">
        <f aca="false">IF(OR($C379="",$F379=""),"",IF($B379="입고",$F379,IF($B379="출고",-$F379,$F379)))</f>
        <v/>
      </c>
      <c r="K379" s="24" t="str">
        <f aca="false">IF($C379="","",IFERROR(INDEX(예비품목록!$E$3:$E$202,MATCH($C379,예비품목록!$A$3:$A$202,0)),0)+SUMIFS($J$3:$J379,$C$3:$C379,$C379))</f>
        <v/>
      </c>
    </row>
    <row r="380" customFormat="false" ht="15" hidden="false" customHeight="true" outlineLevel="0" collapsed="false">
      <c r="A380" s="12"/>
      <c r="B380" s="9"/>
      <c r="C380" s="9"/>
      <c r="D380" s="15" t="str">
        <f aca="false">IF($C380="","",IFERROR(INDEX(예비품목록!$B$3:$B$202,MATCH($C380,예비품목록!$A$3:$A$202,0)),"미등록품번"))</f>
        <v/>
      </c>
      <c r="E380" s="15" t="str">
        <f aca="false">IF($C380="","",IFERROR(INDEX(예비품목록!$D$3:$D$202,MATCH($C380,예비품목록!$A$3:$A$202,0)),""))</f>
        <v/>
      </c>
      <c r="F380" s="11"/>
      <c r="G380" s="9"/>
      <c r="H380" s="9"/>
      <c r="I380" s="9"/>
      <c r="J380" s="23" t="str">
        <f aca="false">IF(OR($C380="",$F380=""),"",IF($B380="입고",$F380,IF($B380="출고",-$F380,$F380)))</f>
        <v/>
      </c>
      <c r="K380" s="24" t="str">
        <f aca="false">IF($C380="","",IFERROR(INDEX(예비품목록!$E$3:$E$202,MATCH($C380,예비품목록!$A$3:$A$202,0)),0)+SUMIFS($J$3:$J380,$C$3:$C380,$C380))</f>
        <v/>
      </c>
    </row>
    <row r="381" customFormat="false" ht="15" hidden="false" customHeight="true" outlineLevel="0" collapsed="false">
      <c r="A381" s="12"/>
      <c r="B381" s="9"/>
      <c r="C381" s="9"/>
      <c r="D381" s="15" t="str">
        <f aca="false">IF($C381="","",IFERROR(INDEX(예비품목록!$B$3:$B$202,MATCH($C381,예비품목록!$A$3:$A$202,0)),"미등록품번"))</f>
        <v/>
      </c>
      <c r="E381" s="15" t="str">
        <f aca="false">IF($C381="","",IFERROR(INDEX(예비품목록!$D$3:$D$202,MATCH($C381,예비품목록!$A$3:$A$202,0)),""))</f>
        <v/>
      </c>
      <c r="F381" s="11"/>
      <c r="G381" s="9"/>
      <c r="H381" s="9"/>
      <c r="I381" s="9"/>
      <c r="J381" s="23" t="str">
        <f aca="false">IF(OR($C381="",$F381=""),"",IF($B381="입고",$F381,IF($B381="출고",-$F381,$F381)))</f>
        <v/>
      </c>
      <c r="K381" s="24" t="str">
        <f aca="false">IF($C381="","",IFERROR(INDEX(예비품목록!$E$3:$E$202,MATCH($C381,예비품목록!$A$3:$A$202,0)),0)+SUMIFS($J$3:$J381,$C$3:$C381,$C381))</f>
        <v/>
      </c>
    </row>
    <row r="382" customFormat="false" ht="15" hidden="false" customHeight="true" outlineLevel="0" collapsed="false">
      <c r="A382" s="12"/>
      <c r="B382" s="9"/>
      <c r="C382" s="9"/>
      <c r="D382" s="15" t="str">
        <f aca="false">IF($C382="","",IFERROR(INDEX(예비품목록!$B$3:$B$202,MATCH($C382,예비품목록!$A$3:$A$202,0)),"미등록품번"))</f>
        <v/>
      </c>
      <c r="E382" s="15" t="str">
        <f aca="false">IF($C382="","",IFERROR(INDEX(예비품목록!$D$3:$D$202,MATCH($C382,예비품목록!$A$3:$A$202,0)),""))</f>
        <v/>
      </c>
      <c r="F382" s="11"/>
      <c r="G382" s="9"/>
      <c r="H382" s="9"/>
      <c r="I382" s="9"/>
      <c r="J382" s="23" t="str">
        <f aca="false">IF(OR($C382="",$F382=""),"",IF($B382="입고",$F382,IF($B382="출고",-$F382,$F382)))</f>
        <v/>
      </c>
      <c r="K382" s="24" t="str">
        <f aca="false">IF($C382="","",IFERROR(INDEX(예비품목록!$E$3:$E$202,MATCH($C382,예비품목록!$A$3:$A$202,0)),0)+SUMIFS($J$3:$J382,$C$3:$C382,$C382))</f>
        <v/>
      </c>
    </row>
    <row r="383" customFormat="false" ht="15" hidden="false" customHeight="true" outlineLevel="0" collapsed="false">
      <c r="A383" s="12"/>
      <c r="B383" s="9"/>
      <c r="C383" s="9"/>
      <c r="D383" s="15" t="str">
        <f aca="false">IF($C383="","",IFERROR(INDEX(예비품목록!$B$3:$B$202,MATCH($C383,예비품목록!$A$3:$A$202,0)),"미등록품번"))</f>
        <v/>
      </c>
      <c r="E383" s="15" t="str">
        <f aca="false">IF($C383="","",IFERROR(INDEX(예비품목록!$D$3:$D$202,MATCH($C383,예비품목록!$A$3:$A$202,0)),""))</f>
        <v/>
      </c>
      <c r="F383" s="11"/>
      <c r="G383" s="9"/>
      <c r="H383" s="9"/>
      <c r="I383" s="9"/>
      <c r="J383" s="23" t="str">
        <f aca="false">IF(OR($C383="",$F383=""),"",IF($B383="입고",$F383,IF($B383="출고",-$F383,$F383)))</f>
        <v/>
      </c>
      <c r="K383" s="24" t="str">
        <f aca="false">IF($C383="","",IFERROR(INDEX(예비품목록!$E$3:$E$202,MATCH($C383,예비품목록!$A$3:$A$202,0)),0)+SUMIFS($J$3:$J383,$C$3:$C383,$C383))</f>
        <v/>
      </c>
    </row>
    <row r="384" customFormat="false" ht="15" hidden="false" customHeight="true" outlineLevel="0" collapsed="false">
      <c r="A384" s="12"/>
      <c r="B384" s="9"/>
      <c r="C384" s="9"/>
      <c r="D384" s="15" t="str">
        <f aca="false">IF($C384="","",IFERROR(INDEX(예비품목록!$B$3:$B$202,MATCH($C384,예비품목록!$A$3:$A$202,0)),"미등록품번"))</f>
        <v/>
      </c>
      <c r="E384" s="15" t="str">
        <f aca="false">IF($C384="","",IFERROR(INDEX(예비품목록!$D$3:$D$202,MATCH($C384,예비품목록!$A$3:$A$202,0)),""))</f>
        <v/>
      </c>
      <c r="F384" s="11"/>
      <c r="G384" s="9"/>
      <c r="H384" s="9"/>
      <c r="I384" s="9"/>
      <c r="J384" s="23" t="str">
        <f aca="false">IF(OR($C384="",$F384=""),"",IF($B384="입고",$F384,IF($B384="출고",-$F384,$F384)))</f>
        <v/>
      </c>
      <c r="K384" s="24" t="str">
        <f aca="false">IF($C384="","",IFERROR(INDEX(예비품목록!$E$3:$E$202,MATCH($C384,예비품목록!$A$3:$A$202,0)),0)+SUMIFS($J$3:$J384,$C$3:$C384,$C384))</f>
        <v/>
      </c>
    </row>
    <row r="385" customFormat="false" ht="15" hidden="false" customHeight="true" outlineLevel="0" collapsed="false">
      <c r="A385" s="12"/>
      <c r="B385" s="9"/>
      <c r="C385" s="9"/>
      <c r="D385" s="15" t="str">
        <f aca="false">IF($C385="","",IFERROR(INDEX(예비품목록!$B$3:$B$202,MATCH($C385,예비품목록!$A$3:$A$202,0)),"미등록품번"))</f>
        <v/>
      </c>
      <c r="E385" s="15" t="str">
        <f aca="false">IF($C385="","",IFERROR(INDEX(예비품목록!$D$3:$D$202,MATCH($C385,예비품목록!$A$3:$A$202,0)),""))</f>
        <v/>
      </c>
      <c r="F385" s="11"/>
      <c r="G385" s="9"/>
      <c r="H385" s="9"/>
      <c r="I385" s="9"/>
      <c r="J385" s="23" t="str">
        <f aca="false">IF(OR($C385="",$F385=""),"",IF($B385="입고",$F385,IF($B385="출고",-$F385,$F385)))</f>
        <v/>
      </c>
      <c r="K385" s="24" t="str">
        <f aca="false">IF($C385="","",IFERROR(INDEX(예비품목록!$E$3:$E$202,MATCH($C385,예비품목록!$A$3:$A$202,0)),0)+SUMIFS($J$3:$J385,$C$3:$C385,$C385))</f>
        <v/>
      </c>
    </row>
    <row r="386" customFormat="false" ht="15" hidden="false" customHeight="true" outlineLevel="0" collapsed="false">
      <c r="A386" s="12"/>
      <c r="B386" s="9"/>
      <c r="C386" s="9"/>
      <c r="D386" s="15" t="str">
        <f aca="false">IF($C386="","",IFERROR(INDEX(예비품목록!$B$3:$B$202,MATCH($C386,예비품목록!$A$3:$A$202,0)),"미등록품번"))</f>
        <v/>
      </c>
      <c r="E386" s="15" t="str">
        <f aca="false">IF($C386="","",IFERROR(INDEX(예비품목록!$D$3:$D$202,MATCH($C386,예비품목록!$A$3:$A$202,0)),""))</f>
        <v/>
      </c>
      <c r="F386" s="11"/>
      <c r="G386" s="9"/>
      <c r="H386" s="9"/>
      <c r="I386" s="9"/>
      <c r="J386" s="23" t="str">
        <f aca="false">IF(OR($C386="",$F386=""),"",IF($B386="입고",$F386,IF($B386="출고",-$F386,$F386)))</f>
        <v/>
      </c>
      <c r="K386" s="24" t="str">
        <f aca="false">IF($C386="","",IFERROR(INDEX(예비품목록!$E$3:$E$202,MATCH($C386,예비품목록!$A$3:$A$202,0)),0)+SUMIFS($J$3:$J386,$C$3:$C386,$C386))</f>
        <v/>
      </c>
    </row>
    <row r="387" customFormat="false" ht="15" hidden="false" customHeight="true" outlineLevel="0" collapsed="false">
      <c r="A387" s="12"/>
      <c r="B387" s="9"/>
      <c r="C387" s="9"/>
      <c r="D387" s="15" t="str">
        <f aca="false">IF($C387="","",IFERROR(INDEX(예비품목록!$B$3:$B$202,MATCH($C387,예비품목록!$A$3:$A$202,0)),"미등록품번"))</f>
        <v/>
      </c>
      <c r="E387" s="15" t="str">
        <f aca="false">IF($C387="","",IFERROR(INDEX(예비품목록!$D$3:$D$202,MATCH($C387,예비품목록!$A$3:$A$202,0)),""))</f>
        <v/>
      </c>
      <c r="F387" s="11"/>
      <c r="G387" s="9"/>
      <c r="H387" s="9"/>
      <c r="I387" s="9"/>
      <c r="J387" s="23" t="str">
        <f aca="false">IF(OR($C387="",$F387=""),"",IF($B387="입고",$F387,IF($B387="출고",-$F387,$F387)))</f>
        <v/>
      </c>
      <c r="K387" s="24" t="str">
        <f aca="false">IF($C387="","",IFERROR(INDEX(예비품목록!$E$3:$E$202,MATCH($C387,예비품목록!$A$3:$A$202,0)),0)+SUMIFS($J$3:$J387,$C$3:$C387,$C387))</f>
        <v/>
      </c>
    </row>
    <row r="388" customFormat="false" ht="15" hidden="false" customHeight="true" outlineLevel="0" collapsed="false">
      <c r="A388" s="12"/>
      <c r="B388" s="9"/>
      <c r="C388" s="9"/>
      <c r="D388" s="15" t="str">
        <f aca="false">IF($C388="","",IFERROR(INDEX(예비품목록!$B$3:$B$202,MATCH($C388,예비품목록!$A$3:$A$202,0)),"미등록품번"))</f>
        <v/>
      </c>
      <c r="E388" s="15" t="str">
        <f aca="false">IF($C388="","",IFERROR(INDEX(예비품목록!$D$3:$D$202,MATCH($C388,예비품목록!$A$3:$A$202,0)),""))</f>
        <v/>
      </c>
      <c r="F388" s="11"/>
      <c r="G388" s="9"/>
      <c r="H388" s="9"/>
      <c r="I388" s="9"/>
      <c r="J388" s="23" t="str">
        <f aca="false">IF(OR($C388="",$F388=""),"",IF($B388="입고",$F388,IF($B388="출고",-$F388,$F388)))</f>
        <v/>
      </c>
      <c r="K388" s="24" t="str">
        <f aca="false">IF($C388="","",IFERROR(INDEX(예비품목록!$E$3:$E$202,MATCH($C388,예비품목록!$A$3:$A$202,0)),0)+SUMIFS($J$3:$J388,$C$3:$C388,$C388))</f>
        <v/>
      </c>
    </row>
    <row r="389" customFormat="false" ht="15" hidden="false" customHeight="true" outlineLevel="0" collapsed="false">
      <c r="A389" s="12"/>
      <c r="B389" s="9"/>
      <c r="C389" s="9"/>
      <c r="D389" s="15" t="str">
        <f aca="false">IF($C389="","",IFERROR(INDEX(예비품목록!$B$3:$B$202,MATCH($C389,예비품목록!$A$3:$A$202,0)),"미등록품번"))</f>
        <v/>
      </c>
      <c r="E389" s="15" t="str">
        <f aca="false">IF($C389="","",IFERROR(INDEX(예비품목록!$D$3:$D$202,MATCH($C389,예비품목록!$A$3:$A$202,0)),""))</f>
        <v/>
      </c>
      <c r="F389" s="11"/>
      <c r="G389" s="9"/>
      <c r="H389" s="9"/>
      <c r="I389" s="9"/>
      <c r="J389" s="23" t="str">
        <f aca="false">IF(OR($C389="",$F389=""),"",IF($B389="입고",$F389,IF($B389="출고",-$F389,$F389)))</f>
        <v/>
      </c>
      <c r="K389" s="24" t="str">
        <f aca="false">IF($C389="","",IFERROR(INDEX(예비품목록!$E$3:$E$202,MATCH($C389,예비품목록!$A$3:$A$202,0)),0)+SUMIFS($J$3:$J389,$C$3:$C389,$C389))</f>
        <v/>
      </c>
    </row>
    <row r="390" customFormat="false" ht="15" hidden="false" customHeight="true" outlineLevel="0" collapsed="false">
      <c r="A390" s="12"/>
      <c r="B390" s="9"/>
      <c r="C390" s="9"/>
      <c r="D390" s="15" t="str">
        <f aca="false">IF($C390="","",IFERROR(INDEX(예비품목록!$B$3:$B$202,MATCH($C390,예비품목록!$A$3:$A$202,0)),"미등록품번"))</f>
        <v/>
      </c>
      <c r="E390" s="15" t="str">
        <f aca="false">IF($C390="","",IFERROR(INDEX(예비품목록!$D$3:$D$202,MATCH($C390,예비품목록!$A$3:$A$202,0)),""))</f>
        <v/>
      </c>
      <c r="F390" s="11"/>
      <c r="G390" s="9"/>
      <c r="H390" s="9"/>
      <c r="I390" s="9"/>
      <c r="J390" s="23" t="str">
        <f aca="false">IF(OR($C390="",$F390=""),"",IF($B390="입고",$F390,IF($B390="출고",-$F390,$F390)))</f>
        <v/>
      </c>
      <c r="K390" s="24" t="str">
        <f aca="false">IF($C390="","",IFERROR(INDEX(예비품목록!$E$3:$E$202,MATCH($C390,예비품목록!$A$3:$A$202,0)),0)+SUMIFS($J$3:$J390,$C$3:$C390,$C390))</f>
        <v/>
      </c>
    </row>
    <row r="391" customFormat="false" ht="15" hidden="false" customHeight="true" outlineLevel="0" collapsed="false">
      <c r="A391" s="12"/>
      <c r="B391" s="9"/>
      <c r="C391" s="9"/>
      <c r="D391" s="15" t="str">
        <f aca="false">IF($C391="","",IFERROR(INDEX(예비품목록!$B$3:$B$202,MATCH($C391,예비품목록!$A$3:$A$202,0)),"미등록품번"))</f>
        <v/>
      </c>
      <c r="E391" s="15" t="str">
        <f aca="false">IF($C391="","",IFERROR(INDEX(예비품목록!$D$3:$D$202,MATCH($C391,예비품목록!$A$3:$A$202,0)),""))</f>
        <v/>
      </c>
      <c r="F391" s="11"/>
      <c r="G391" s="9"/>
      <c r="H391" s="9"/>
      <c r="I391" s="9"/>
      <c r="J391" s="23" t="str">
        <f aca="false">IF(OR($C391="",$F391=""),"",IF($B391="입고",$F391,IF($B391="출고",-$F391,$F391)))</f>
        <v/>
      </c>
      <c r="K391" s="24" t="str">
        <f aca="false">IF($C391="","",IFERROR(INDEX(예비품목록!$E$3:$E$202,MATCH($C391,예비품목록!$A$3:$A$202,0)),0)+SUMIFS($J$3:$J391,$C$3:$C391,$C391))</f>
        <v/>
      </c>
    </row>
    <row r="392" customFormat="false" ht="15" hidden="false" customHeight="true" outlineLevel="0" collapsed="false">
      <c r="A392" s="12"/>
      <c r="B392" s="9"/>
      <c r="C392" s="9"/>
      <c r="D392" s="15" t="str">
        <f aca="false">IF($C392="","",IFERROR(INDEX(예비품목록!$B$3:$B$202,MATCH($C392,예비품목록!$A$3:$A$202,0)),"미등록품번"))</f>
        <v/>
      </c>
      <c r="E392" s="15" t="str">
        <f aca="false">IF($C392="","",IFERROR(INDEX(예비품목록!$D$3:$D$202,MATCH($C392,예비품목록!$A$3:$A$202,0)),""))</f>
        <v/>
      </c>
      <c r="F392" s="11"/>
      <c r="G392" s="9"/>
      <c r="H392" s="9"/>
      <c r="I392" s="9"/>
      <c r="J392" s="23" t="str">
        <f aca="false">IF(OR($C392="",$F392=""),"",IF($B392="입고",$F392,IF($B392="출고",-$F392,$F392)))</f>
        <v/>
      </c>
      <c r="K392" s="24" t="str">
        <f aca="false">IF($C392="","",IFERROR(INDEX(예비품목록!$E$3:$E$202,MATCH($C392,예비품목록!$A$3:$A$202,0)),0)+SUMIFS($J$3:$J392,$C$3:$C392,$C392))</f>
        <v/>
      </c>
    </row>
    <row r="393" customFormat="false" ht="15" hidden="false" customHeight="true" outlineLevel="0" collapsed="false">
      <c r="A393" s="12"/>
      <c r="B393" s="9"/>
      <c r="C393" s="9"/>
      <c r="D393" s="15" t="str">
        <f aca="false">IF($C393="","",IFERROR(INDEX(예비품목록!$B$3:$B$202,MATCH($C393,예비품목록!$A$3:$A$202,0)),"미등록품번"))</f>
        <v/>
      </c>
      <c r="E393" s="15" t="str">
        <f aca="false">IF($C393="","",IFERROR(INDEX(예비품목록!$D$3:$D$202,MATCH($C393,예비품목록!$A$3:$A$202,0)),""))</f>
        <v/>
      </c>
      <c r="F393" s="11"/>
      <c r="G393" s="9"/>
      <c r="H393" s="9"/>
      <c r="I393" s="9"/>
      <c r="J393" s="23" t="str">
        <f aca="false">IF(OR($C393="",$F393=""),"",IF($B393="입고",$F393,IF($B393="출고",-$F393,$F393)))</f>
        <v/>
      </c>
      <c r="K393" s="24" t="str">
        <f aca="false">IF($C393="","",IFERROR(INDEX(예비품목록!$E$3:$E$202,MATCH($C393,예비품목록!$A$3:$A$202,0)),0)+SUMIFS($J$3:$J393,$C$3:$C393,$C393))</f>
        <v/>
      </c>
    </row>
    <row r="394" customFormat="false" ht="15" hidden="false" customHeight="true" outlineLevel="0" collapsed="false">
      <c r="A394" s="12"/>
      <c r="B394" s="9"/>
      <c r="C394" s="9"/>
      <c r="D394" s="15" t="str">
        <f aca="false">IF($C394="","",IFERROR(INDEX(예비품목록!$B$3:$B$202,MATCH($C394,예비품목록!$A$3:$A$202,0)),"미등록품번"))</f>
        <v/>
      </c>
      <c r="E394" s="15" t="str">
        <f aca="false">IF($C394="","",IFERROR(INDEX(예비품목록!$D$3:$D$202,MATCH($C394,예비품목록!$A$3:$A$202,0)),""))</f>
        <v/>
      </c>
      <c r="F394" s="11"/>
      <c r="G394" s="9"/>
      <c r="H394" s="9"/>
      <c r="I394" s="9"/>
      <c r="J394" s="23" t="str">
        <f aca="false">IF(OR($C394="",$F394=""),"",IF($B394="입고",$F394,IF($B394="출고",-$F394,$F394)))</f>
        <v/>
      </c>
      <c r="K394" s="24" t="str">
        <f aca="false">IF($C394="","",IFERROR(INDEX(예비품목록!$E$3:$E$202,MATCH($C394,예비품목록!$A$3:$A$202,0)),0)+SUMIFS($J$3:$J394,$C$3:$C394,$C394))</f>
        <v/>
      </c>
    </row>
    <row r="395" customFormat="false" ht="15" hidden="false" customHeight="true" outlineLevel="0" collapsed="false">
      <c r="A395" s="12"/>
      <c r="B395" s="9"/>
      <c r="C395" s="9"/>
      <c r="D395" s="15" t="str">
        <f aca="false">IF($C395="","",IFERROR(INDEX(예비품목록!$B$3:$B$202,MATCH($C395,예비품목록!$A$3:$A$202,0)),"미등록품번"))</f>
        <v/>
      </c>
      <c r="E395" s="15" t="str">
        <f aca="false">IF($C395="","",IFERROR(INDEX(예비품목록!$D$3:$D$202,MATCH($C395,예비품목록!$A$3:$A$202,0)),""))</f>
        <v/>
      </c>
      <c r="F395" s="11"/>
      <c r="G395" s="9"/>
      <c r="H395" s="9"/>
      <c r="I395" s="9"/>
      <c r="J395" s="23" t="str">
        <f aca="false">IF(OR($C395="",$F395=""),"",IF($B395="입고",$F395,IF($B395="출고",-$F395,$F395)))</f>
        <v/>
      </c>
      <c r="K395" s="24" t="str">
        <f aca="false">IF($C395="","",IFERROR(INDEX(예비품목록!$E$3:$E$202,MATCH($C395,예비품목록!$A$3:$A$202,0)),0)+SUMIFS($J$3:$J395,$C$3:$C395,$C395))</f>
        <v/>
      </c>
    </row>
    <row r="396" customFormat="false" ht="15" hidden="false" customHeight="true" outlineLevel="0" collapsed="false">
      <c r="A396" s="12"/>
      <c r="B396" s="9"/>
      <c r="C396" s="9"/>
      <c r="D396" s="15" t="str">
        <f aca="false">IF($C396="","",IFERROR(INDEX(예비품목록!$B$3:$B$202,MATCH($C396,예비품목록!$A$3:$A$202,0)),"미등록품번"))</f>
        <v/>
      </c>
      <c r="E396" s="15" t="str">
        <f aca="false">IF($C396="","",IFERROR(INDEX(예비품목록!$D$3:$D$202,MATCH($C396,예비품목록!$A$3:$A$202,0)),""))</f>
        <v/>
      </c>
      <c r="F396" s="11"/>
      <c r="G396" s="9"/>
      <c r="H396" s="9"/>
      <c r="I396" s="9"/>
      <c r="J396" s="23" t="str">
        <f aca="false">IF(OR($C396="",$F396=""),"",IF($B396="입고",$F396,IF($B396="출고",-$F396,$F396)))</f>
        <v/>
      </c>
      <c r="K396" s="24" t="str">
        <f aca="false">IF($C396="","",IFERROR(INDEX(예비품목록!$E$3:$E$202,MATCH($C396,예비품목록!$A$3:$A$202,0)),0)+SUMIFS($J$3:$J396,$C$3:$C396,$C396))</f>
        <v/>
      </c>
    </row>
    <row r="397" customFormat="false" ht="15" hidden="false" customHeight="true" outlineLevel="0" collapsed="false">
      <c r="A397" s="12"/>
      <c r="B397" s="9"/>
      <c r="C397" s="9"/>
      <c r="D397" s="15" t="str">
        <f aca="false">IF($C397="","",IFERROR(INDEX(예비품목록!$B$3:$B$202,MATCH($C397,예비품목록!$A$3:$A$202,0)),"미등록품번"))</f>
        <v/>
      </c>
      <c r="E397" s="15" t="str">
        <f aca="false">IF($C397="","",IFERROR(INDEX(예비품목록!$D$3:$D$202,MATCH($C397,예비품목록!$A$3:$A$202,0)),""))</f>
        <v/>
      </c>
      <c r="F397" s="11"/>
      <c r="G397" s="9"/>
      <c r="H397" s="9"/>
      <c r="I397" s="9"/>
      <c r="J397" s="23" t="str">
        <f aca="false">IF(OR($C397="",$F397=""),"",IF($B397="입고",$F397,IF($B397="출고",-$F397,$F397)))</f>
        <v/>
      </c>
      <c r="K397" s="24" t="str">
        <f aca="false">IF($C397="","",IFERROR(INDEX(예비품목록!$E$3:$E$202,MATCH($C397,예비품목록!$A$3:$A$202,0)),0)+SUMIFS($J$3:$J397,$C$3:$C397,$C397))</f>
        <v/>
      </c>
    </row>
    <row r="398" customFormat="false" ht="15" hidden="false" customHeight="true" outlineLevel="0" collapsed="false">
      <c r="A398" s="12"/>
      <c r="B398" s="9"/>
      <c r="C398" s="9"/>
      <c r="D398" s="15" t="str">
        <f aca="false">IF($C398="","",IFERROR(INDEX(예비품목록!$B$3:$B$202,MATCH($C398,예비품목록!$A$3:$A$202,0)),"미등록품번"))</f>
        <v/>
      </c>
      <c r="E398" s="15" t="str">
        <f aca="false">IF($C398="","",IFERROR(INDEX(예비품목록!$D$3:$D$202,MATCH($C398,예비품목록!$A$3:$A$202,0)),""))</f>
        <v/>
      </c>
      <c r="F398" s="11"/>
      <c r="G398" s="9"/>
      <c r="H398" s="9"/>
      <c r="I398" s="9"/>
      <c r="J398" s="23" t="str">
        <f aca="false">IF(OR($C398="",$F398=""),"",IF($B398="입고",$F398,IF($B398="출고",-$F398,$F398)))</f>
        <v/>
      </c>
      <c r="K398" s="24" t="str">
        <f aca="false">IF($C398="","",IFERROR(INDEX(예비품목록!$E$3:$E$202,MATCH($C398,예비품목록!$A$3:$A$202,0)),0)+SUMIFS($J$3:$J398,$C$3:$C398,$C398))</f>
        <v/>
      </c>
    </row>
    <row r="399" customFormat="false" ht="15" hidden="false" customHeight="true" outlineLevel="0" collapsed="false">
      <c r="A399" s="12"/>
      <c r="B399" s="9"/>
      <c r="C399" s="9"/>
      <c r="D399" s="15" t="str">
        <f aca="false">IF($C399="","",IFERROR(INDEX(예비품목록!$B$3:$B$202,MATCH($C399,예비품목록!$A$3:$A$202,0)),"미등록품번"))</f>
        <v/>
      </c>
      <c r="E399" s="15" t="str">
        <f aca="false">IF($C399="","",IFERROR(INDEX(예비품목록!$D$3:$D$202,MATCH($C399,예비품목록!$A$3:$A$202,0)),""))</f>
        <v/>
      </c>
      <c r="F399" s="11"/>
      <c r="G399" s="9"/>
      <c r="H399" s="9"/>
      <c r="I399" s="9"/>
      <c r="J399" s="23" t="str">
        <f aca="false">IF(OR($C399="",$F399=""),"",IF($B399="입고",$F399,IF($B399="출고",-$F399,$F399)))</f>
        <v/>
      </c>
      <c r="K399" s="24" t="str">
        <f aca="false">IF($C399="","",IFERROR(INDEX(예비품목록!$E$3:$E$202,MATCH($C399,예비품목록!$A$3:$A$202,0)),0)+SUMIFS($J$3:$J399,$C$3:$C399,$C399))</f>
        <v/>
      </c>
    </row>
    <row r="400" customFormat="false" ht="15" hidden="false" customHeight="true" outlineLevel="0" collapsed="false">
      <c r="A400" s="12"/>
      <c r="B400" s="9"/>
      <c r="C400" s="9"/>
      <c r="D400" s="15" t="str">
        <f aca="false">IF($C400="","",IFERROR(INDEX(예비품목록!$B$3:$B$202,MATCH($C400,예비품목록!$A$3:$A$202,0)),"미등록품번"))</f>
        <v/>
      </c>
      <c r="E400" s="15" t="str">
        <f aca="false">IF($C400="","",IFERROR(INDEX(예비품목록!$D$3:$D$202,MATCH($C400,예비품목록!$A$3:$A$202,0)),""))</f>
        <v/>
      </c>
      <c r="F400" s="11"/>
      <c r="G400" s="9"/>
      <c r="H400" s="9"/>
      <c r="I400" s="9"/>
      <c r="J400" s="23" t="str">
        <f aca="false">IF(OR($C400="",$F400=""),"",IF($B400="입고",$F400,IF($B400="출고",-$F400,$F400)))</f>
        <v/>
      </c>
      <c r="K400" s="24" t="str">
        <f aca="false">IF($C400="","",IFERROR(INDEX(예비품목록!$E$3:$E$202,MATCH($C400,예비품목록!$A$3:$A$202,0)),0)+SUMIFS($J$3:$J400,$C$3:$C400,$C400))</f>
        <v/>
      </c>
    </row>
    <row r="401" customFormat="false" ht="15" hidden="false" customHeight="true" outlineLevel="0" collapsed="false">
      <c r="A401" s="12"/>
      <c r="B401" s="9"/>
      <c r="C401" s="9"/>
      <c r="D401" s="15" t="str">
        <f aca="false">IF($C401="","",IFERROR(INDEX(예비품목록!$B$3:$B$202,MATCH($C401,예비품목록!$A$3:$A$202,0)),"미등록품번"))</f>
        <v/>
      </c>
      <c r="E401" s="15" t="str">
        <f aca="false">IF($C401="","",IFERROR(INDEX(예비품목록!$D$3:$D$202,MATCH($C401,예비품목록!$A$3:$A$202,0)),""))</f>
        <v/>
      </c>
      <c r="F401" s="11"/>
      <c r="G401" s="9"/>
      <c r="H401" s="9"/>
      <c r="I401" s="9"/>
      <c r="J401" s="23" t="str">
        <f aca="false">IF(OR($C401="",$F401=""),"",IF($B401="입고",$F401,IF($B401="출고",-$F401,$F401)))</f>
        <v/>
      </c>
      <c r="K401" s="24" t="str">
        <f aca="false">IF($C401="","",IFERROR(INDEX(예비품목록!$E$3:$E$202,MATCH($C401,예비품목록!$A$3:$A$202,0)),0)+SUMIFS($J$3:$J401,$C$3:$C401,$C401))</f>
        <v/>
      </c>
    </row>
    <row r="402" customFormat="false" ht="15" hidden="false" customHeight="true" outlineLevel="0" collapsed="false">
      <c r="A402" s="12"/>
      <c r="B402" s="9"/>
      <c r="C402" s="9"/>
      <c r="D402" s="15" t="str">
        <f aca="false">IF($C402="","",IFERROR(INDEX(예비품목록!$B$3:$B$202,MATCH($C402,예비품목록!$A$3:$A$202,0)),"미등록품번"))</f>
        <v/>
      </c>
      <c r="E402" s="15" t="str">
        <f aca="false">IF($C402="","",IFERROR(INDEX(예비품목록!$D$3:$D$202,MATCH($C402,예비품목록!$A$3:$A$202,0)),""))</f>
        <v/>
      </c>
      <c r="F402" s="11"/>
      <c r="G402" s="9"/>
      <c r="H402" s="9"/>
      <c r="I402" s="9"/>
      <c r="J402" s="23" t="str">
        <f aca="false">IF(OR($C402="",$F402=""),"",IF($B402="입고",$F402,IF($B402="출고",-$F402,$F402)))</f>
        <v/>
      </c>
      <c r="K402" s="24" t="str">
        <f aca="false">IF($C402="","",IFERROR(INDEX(예비품목록!$E$3:$E$202,MATCH($C402,예비품목록!$A$3:$A$202,0)),0)+SUMIFS($J$3:$J402,$C$3:$C402,$C402))</f>
        <v/>
      </c>
    </row>
    <row r="403" customFormat="false" ht="15" hidden="false" customHeight="true" outlineLevel="0" collapsed="false">
      <c r="A403" s="12"/>
      <c r="B403" s="9"/>
      <c r="C403" s="9"/>
      <c r="D403" s="15" t="str">
        <f aca="false">IF($C403="","",IFERROR(INDEX(예비품목록!$B$3:$B$202,MATCH($C403,예비품목록!$A$3:$A$202,0)),"미등록품번"))</f>
        <v/>
      </c>
      <c r="E403" s="15" t="str">
        <f aca="false">IF($C403="","",IFERROR(INDEX(예비품목록!$D$3:$D$202,MATCH($C403,예비품목록!$A$3:$A$202,0)),""))</f>
        <v/>
      </c>
      <c r="F403" s="11"/>
      <c r="G403" s="9"/>
      <c r="H403" s="9"/>
      <c r="I403" s="9"/>
      <c r="J403" s="23" t="str">
        <f aca="false">IF(OR($C403="",$F403=""),"",IF($B403="입고",$F403,IF($B403="출고",-$F403,$F403)))</f>
        <v/>
      </c>
      <c r="K403" s="24" t="str">
        <f aca="false">IF($C403="","",IFERROR(INDEX(예비품목록!$E$3:$E$202,MATCH($C403,예비품목록!$A$3:$A$202,0)),0)+SUMIFS($J$3:$J403,$C$3:$C403,$C403))</f>
        <v/>
      </c>
    </row>
    <row r="404" customFormat="false" ht="15" hidden="false" customHeight="true" outlineLevel="0" collapsed="false">
      <c r="A404" s="12"/>
      <c r="B404" s="9"/>
      <c r="C404" s="9"/>
      <c r="D404" s="15" t="str">
        <f aca="false">IF($C404="","",IFERROR(INDEX(예비품목록!$B$3:$B$202,MATCH($C404,예비품목록!$A$3:$A$202,0)),"미등록품번"))</f>
        <v/>
      </c>
      <c r="E404" s="15" t="str">
        <f aca="false">IF($C404="","",IFERROR(INDEX(예비품목록!$D$3:$D$202,MATCH($C404,예비품목록!$A$3:$A$202,0)),""))</f>
        <v/>
      </c>
      <c r="F404" s="11"/>
      <c r="G404" s="9"/>
      <c r="H404" s="9"/>
      <c r="I404" s="9"/>
      <c r="J404" s="23" t="str">
        <f aca="false">IF(OR($C404="",$F404=""),"",IF($B404="입고",$F404,IF($B404="출고",-$F404,$F404)))</f>
        <v/>
      </c>
      <c r="K404" s="24" t="str">
        <f aca="false">IF($C404="","",IFERROR(INDEX(예비품목록!$E$3:$E$202,MATCH($C404,예비품목록!$A$3:$A$202,0)),0)+SUMIFS($J$3:$J404,$C$3:$C404,$C404))</f>
        <v/>
      </c>
    </row>
    <row r="405" customFormat="false" ht="15" hidden="false" customHeight="true" outlineLevel="0" collapsed="false">
      <c r="A405" s="12"/>
      <c r="B405" s="9"/>
      <c r="C405" s="9"/>
      <c r="D405" s="15" t="str">
        <f aca="false">IF($C405="","",IFERROR(INDEX(예비품목록!$B$3:$B$202,MATCH($C405,예비품목록!$A$3:$A$202,0)),"미등록품번"))</f>
        <v/>
      </c>
      <c r="E405" s="15" t="str">
        <f aca="false">IF($C405="","",IFERROR(INDEX(예비품목록!$D$3:$D$202,MATCH($C405,예비품목록!$A$3:$A$202,0)),""))</f>
        <v/>
      </c>
      <c r="F405" s="11"/>
      <c r="G405" s="9"/>
      <c r="H405" s="9"/>
      <c r="I405" s="9"/>
      <c r="J405" s="23" t="str">
        <f aca="false">IF(OR($C405="",$F405=""),"",IF($B405="입고",$F405,IF($B405="출고",-$F405,$F405)))</f>
        <v/>
      </c>
      <c r="K405" s="24" t="str">
        <f aca="false">IF($C405="","",IFERROR(INDEX(예비품목록!$E$3:$E$202,MATCH($C405,예비품목록!$A$3:$A$202,0)),0)+SUMIFS($J$3:$J405,$C$3:$C405,$C405))</f>
        <v/>
      </c>
    </row>
    <row r="406" customFormat="false" ht="15" hidden="false" customHeight="true" outlineLevel="0" collapsed="false">
      <c r="A406" s="12"/>
      <c r="B406" s="9"/>
      <c r="C406" s="9"/>
      <c r="D406" s="15" t="str">
        <f aca="false">IF($C406="","",IFERROR(INDEX(예비품목록!$B$3:$B$202,MATCH($C406,예비품목록!$A$3:$A$202,0)),"미등록품번"))</f>
        <v/>
      </c>
      <c r="E406" s="15" t="str">
        <f aca="false">IF($C406="","",IFERROR(INDEX(예비품목록!$D$3:$D$202,MATCH($C406,예비품목록!$A$3:$A$202,0)),""))</f>
        <v/>
      </c>
      <c r="F406" s="11"/>
      <c r="G406" s="9"/>
      <c r="H406" s="9"/>
      <c r="I406" s="9"/>
      <c r="J406" s="23" t="str">
        <f aca="false">IF(OR($C406="",$F406=""),"",IF($B406="입고",$F406,IF($B406="출고",-$F406,$F406)))</f>
        <v/>
      </c>
      <c r="K406" s="24" t="str">
        <f aca="false">IF($C406="","",IFERROR(INDEX(예비품목록!$E$3:$E$202,MATCH($C406,예비품목록!$A$3:$A$202,0)),0)+SUMIFS($J$3:$J406,$C$3:$C406,$C406))</f>
        <v/>
      </c>
    </row>
    <row r="407" customFormat="false" ht="15" hidden="false" customHeight="true" outlineLevel="0" collapsed="false">
      <c r="A407" s="12"/>
      <c r="B407" s="9"/>
      <c r="C407" s="9"/>
      <c r="D407" s="15" t="str">
        <f aca="false">IF($C407="","",IFERROR(INDEX(예비품목록!$B$3:$B$202,MATCH($C407,예비품목록!$A$3:$A$202,0)),"미등록품번"))</f>
        <v/>
      </c>
      <c r="E407" s="15" t="str">
        <f aca="false">IF($C407="","",IFERROR(INDEX(예비품목록!$D$3:$D$202,MATCH($C407,예비품목록!$A$3:$A$202,0)),""))</f>
        <v/>
      </c>
      <c r="F407" s="11"/>
      <c r="G407" s="9"/>
      <c r="H407" s="9"/>
      <c r="I407" s="9"/>
      <c r="J407" s="23" t="str">
        <f aca="false">IF(OR($C407="",$F407=""),"",IF($B407="입고",$F407,IF($B407="출고",-$F407,$F407)))</f>
        <v/>
      </c>
      <c r="K407" s="24" t="str">
        <f aca="false">IF($C407="","",IFERROR(INDEX(예비품목록!$E$3:$E$202,MATCH($C407,예비품목록!$A$3:$A$202,0)),0)+SUMIFS($J$3:$J407,$C$3:$C407,$C407))</f>
        <v/>
      </c>
    </row>
    <row r="408" customFormat="false" ht="15" hidden="false" customHeight="true" outlineLevel="0" collapsed="false">
      <c r="A408" s="12"/>
      <c r="B408" s="9"/>
      <c r="C408" s="9"/>
      <c r="D408" s="15" t="str">
        <f aca="false">IF($C408="","",IFERROR(INDEX(예비품목록!$B$3:$B$202,MATCH($C408,예비품목록!$A$3:$A$202,0)),"미등록품번"))</f>
        <v/>
      </c>
      <c r="E408" s="15" t="str">
        <f aca="false">IF($C408="","",IFERROR(INDEX(예비품목록!$D$3:$D$202,MATCH($C408,예비품목록!$A$3:$A$202,0)),""))</f>
        <v/>
      </c>
      <c r="F408" s="11"/>
      <c r="G408" s="9"/>
      <c r="H408" s="9"/>
      <c r="I408" s="9"/>
      <c r="J408" s="23" t="str">
        <f aca="false">IF(OR($C408="",$F408=""),"",IF($B408="입고",$F408,IF($B408="출고",-$F408,$F408)))</f>
        <v/>
      </c>
      <c r="K408" s="24" t="str">
        <f aca="false">IF($C408="","",IFERROR(INDEX(예비품목록!$E$3:$E$202,MATCH($C408,예비품목록!$A$3:$A$202,0)),0)+SUMIFS($J$3:$J408,$C$3:$C408,$C408))</f>
        <v/>
      </c>
    </row>
    <row r="409" customFormat="false" ht="15" hidden="false" customHeight="true" outlineLevel="0" collapsed="false">
      <c r="A409" s="12"/>
      <c r="B409" s="9"/>
      <c r="C409" s="9"/>
      <c r="D409" s="15" t="str">
        <f aca="false">IF($C409="","",IFERROR(INDEX(예비품목록!$B$3:$B$202,MATCH($C409,예비품목록!$A$3:$A$202,0)),"미등록품번"))</f>
        <v/>
      </c>
      <c r="E409" s="15" t="str">
        <f aca="false">IF($C409="","",IFERROR(INDEX(예비품목록!$D$3:$D$202,MATCH($C409,예비품목록!$A$3:$A$202,0)),""))</f>
        <v/>
      </c>
      <c r="F409" s="11"/>
      <c r="G409" s="9"/>
      <c r="H409" s="9"/>
      <c r="I409" s="9"/>
      <c r="J409" s="23" t="str">
        <f aca="false">IF(OR($C409="",$F409=""),"",IF($B409="입고",$F409,IF($B409="출고",-$F409,$F409)))</f>
        <v/>
      </c>
      <c r="K409" s="24" t="str">
        <f aca="false">IF($C409="","",IFERROR(INDEX(예비품목록!$E$3:$E$202,MATCH($C409,예비품목록!$A$3:$A$202,0)),0)+SUMIFS($J$3:$J409,$C$3:$C409,$C409))</f>
        <v/>
      </c>
    </row>
    <row r="410" customFormat="false" ht="15" hidden="false" customHeight="true" outlineLevel="0" collapsed="false">
      <c r="A410" s="12"/>
      <c r="B410" s="9"/>
      <c r="C410" s="9"/>
      <c r="D410" s="15" t="str">
        <f aca="false">IF($C410="","",IFERROR(INDEX(예비품목록!$B$3:$B$202,MATCH($C410,예비품목록!$A$3:$A$202,0)),"미등록품번"))</f>
        <v/>
      </c>
      <c r="E410" s="15" t="str">
        <f aca="false">IF($C410="","",IFERROR(INDEX(예비품목록!$D$3:$D$202,MATCH($C410,예비품목록!$A$3:$A$202,0)),""))</f>
        <v/>
      </c>
      <c r="F410" s="11"/>
      <c r="G410" s="9"/>
      <c r="H410" s="9"/>
      <c r="I410" s="9"/>
      <c r="J410" s="23" t="str">
        <f aca="false">IF(OR($C410="",$F410=""),"",IF($B410="입고",$F410,IF($B410="출고",-$F410,$F410)))</f>
        <v/>
      </c>
      <c r="K410" s="24" t="str">
        <f aca="false">IF($C410="","",IFERROR(INDEX(예비품목록!$E$3:$E$202,MATCH($C410,예비품목록!$A$3:$A$202,0)),0)+SUMIFS($J$3:$J410,$C$3:$C410,$C410))</f>
        <v/>
      </c>
    </row>
    <row r="411" customFormat="false" ht="15" hidden="false" customHeight="true" outlineLevel="0" collapsed="false">
      <c r="A411" s="12"/>
      <c r="B411" s="9"/>
      <c r="C411" s="9"/>
      <c r="D411" s="15" t="str">
        <f aca="false">IF($C411="","",IFERROR(INDEX(예비품목록!$B$3:$B$202,MATCH($C411,예비품목록!$A$3:$A$202,0)),"미등록품번"))</f>
        <v/>
      </c>
      <c r="E411" s="15" t="str">
        <f aca="false">IF($C411="","",IFERROR(INDEX(예비품목록!$D$3:$D$202,MATCH($C411,예비품목록!$A$3:$A$202,0)),""))</f>
        <v/>
      </c>
      <c r="F411" s="11"/>
      <c r="G411" s="9"/>
      <c r="H411" s="9"/>
      <c r="I411" s="9"/>
      <c r="J411" s="23" t="str">
        <f aca="false">IF(OR($C411="",$F411=""),"",IF($B411="입고",$F411,IF($B411="출고",-$F411,$F411)))</f>
        <v/>
      </c>
      <c r="K411" s="24" t="str">
        <f aca="false">IF($C411="","",IFERROR(INDEX(예비품목록!$E$3:$E$202,MATCH($C411,예비품목록!$A$3:$A$202,0)),0)+SUMIFS($J$3:$J411,$C$3:$C411,$C411))</f>
        <v/>
      </c>
    </row>
    <row r="412" customFormat="false" ht="15" hidden="false" customHeight="true" outlineLevel="0" collapsed="false">
      <c r="A412" s="12"/>
      <c r="B412" s="9"/>
      <c r="C412" s="9"/>
      <c r="D412" s="15" t="str">
        <f aca="false">IF($C412="","",IFERROR(INDEX(예비품목록!$B$3:$B$202,MATCH($C412,예비품목록!$A$3:$A$202,0)),"미등록품번"))</f>
        <v/>
      </c>
      <c r="E412" s="15" t="str">
        <f aca="false">IF($C412="","",IFERROR(INDEX(예비품목록!$D$3:$D$202,MATCH($C412,예비품목록!$A$3:$A$202,0)),""))</f>
        <v/>
      </c>
      <c r="F412" s="11"/>
      <c r="G412" s="9"/>
      <c r="H412" s="9"/>
      <c r="I412" s="9"/>
      <c r="J412" s="23" t="str">
        <f aca="false">IF(OR($C412="",$F412=""),"",IF($B412="입고",$F412,IF($B412="출고",-$F412,$F412)))</f>
        <v/>
      </c>
      <c r="K412" s="24" t="str">
        <f aca="false">IF($C412="","",IFERROR(INDEX(예비품목록!$E$3:$E$202,MATCH($C412,예비품목록!$A$3:$A$202,0)),0)+SUMIFS($J$3:$J412,$C$3:$C412,$C412))</f>
        <v/>
      </c>
    </row>
    <row r="413" customFormat="false" ht="15" hidden="false" customHeight="true" outlineLevel="0" collapsed="false">
      <c r="A413" s="12"/>
      <c r="B413" s="9"/>
      <c r="C413" s="9"/>
      <c r="D413" s="15" t="str">
        <f aca="false">IF($C413="","",IFERROR(INDEX(예비품목록!$B$3:$B$202,MATCH($C413,예비품목록!$A$3:$A$202,0)),"미등록품번"))</f>
        <v/>
      </c>
      <c r="E413" s="15" t="str">
        <f aca="false">IF($C413="","",IFERROR(INDEX(예비품목록!$D$3:$D$202,MATCH($C413,예비품목록!$A$3:$A$202,0)),""))</f>
        <v/>
      </c>
      <c r="F413" s="11"/>
      <c r="G413" s="9"/>
      <c r="H413" s="9"/>
      <c r="I413" s="9"/>
      <c r="J413" s="23" t="str">
        <f aca="false">IF(OR($C413="",$F413=""),"",IF($B413="입고",$F413,IF($B413="출고",-$F413,$F413)))</f>
        <v/>
      </c>
      <c r="K413" s="24" t="str">
        <f aca="false">IF($C413="","",IFERROR(INDEX(예비품목록!$E$3:$E$202,MATCH($C413,예비품목록!$A$3:$A$202,0)),0)+SUMIFS($J$3:$J413,$C$3:$C413,$C413))</f>
        <v/>
      </c>
    </row>
    <row r="414" customFormat="false" ht="15" hidden="false" customHeight="true" outlineLevel="0" collapsed="false">
      <c r="A414" s="12"/>
      <c r="B414" s="9"/>
      <c r="C414" s="9"/>
      <c r="D414" s="15" t="str">
        <f aca="false">IF($C414="","",IFERROR(INDEX(예비품목록!$B$3:$B$202,MATCH($C414,예비품목록!$A$3:$A$202,0)),"미등록품번"))</f>
        <v/>
      </c>
      <c r="E414" s="15" t="str">
        <f aca="false">IF($C414="","",IFERROR(INDEX(예비품목록!$D$3:$D$202,MATCH($C414,예비품목록!$A$3:$A$202,0)),""))</f>
        <v/>
      </c>
      <c r="F414" s="11"/>
      <c r="G414" s="9"/>
      <c r="H414" s="9"/>
      <c r="I414" s="9"/>
      <c r="J414" s="23" t="str">
        <f aca="false">IF(OR($C414="",$F414=""),"",IF($B414="입고",$F414,IF($B414="출고",-$F414,$F414)))</f>
        <v/>
      </c>
      <c r="K414" s="24" t="str">
        <f aca="false">IF($C414="","",IFERROR(INDEX(예비품목록!$E$3:$E$202,MATCH($C414,예비품목록!$A$3:$A$202,0)),0)+SUMIFS($J$3:$J414,$C$3:$C414,$C414))</f>
        <v/>
      </c>
    </row>
    <row r="415" customFormat="false" ht="15" hidden="false" customHeight="true" outlineLevel="0" collapsed="false">
      <c r="A415" s="12"/>
      <c r="B415" s="9"/>
      <c r="C415" s="9"/>
      <c r="D415" s="15" t="str">
        <f aca="false">IF($C415="","",IFERROR(INDEX(예비품목록!$B$3:$B$202,MATCH($C415,예비품목록!$A$3:$A$202,0)),"미등록품번"))</f>
        <v/>
      </c>
      <c r="E415" s="15" t="str">
        <f aca="false">IF($C415="","",IFERROR(INDEX(예비품목록!$D$3:$D$202,MATCH($C415,예비품목록!$A$3:$A$202,0)),""))</f>
        <v/>
      </c>
      <c r="F415" s="11"/>
      <c r="G415" s="9"/>
      <c r="H415" s="9"/>
      <c r="I415" s="9"/>
      <c r="J415" s="23" t="str">
        <f aca="false">IF(OR($C415="",$F415=""),"",IF($B415="입고",$F415,IF($B415="출고",-$F415,$F415)))</f>
        <v/>
      </c>
      <c r="K415" s="24" t="str">
        <f aca="false">IF($C415="","",IFERROR(INDEX(예비품목록!$E$3:$E$202,MATCH($C415,예비품목록!$A$3:$A$202,0)),0)+SUMIFS($J$3:$J415,$C$3:$C415,$C415))</f>
        <v/>
      </c>
    </row>
    <row r="416" customFormat="false" ht="15" hidden="false" customHeight="true" outlineLevel="0" collapsed="false">
      <c r="A416" s="12"/>
      <c r="B416" s="9"/>
      <c r="C416" s="9"/>
      <c r="D416" s="15" t="str">
        <f aca="false">IF($C416="","",IFERROR(INDEX(예비품목록!$B$3:$B$202,MATCH($C416,예비품목록!$A$3:$A$202,0)),"미등록품번"))</f>
        <v/>
      </c>
      <c r="E416" s="15" t="str">
        <f aca="false">IF($C416="","",IFERROR(INDEX(예비품목록!$D$3:$D$202,MATCH($C416,예비품목록!$A$3:$A$202,0)),""))</f>
        <v/>
      </c>
      <c r="F416" s="11"/>
      <c r="G416" s="9"/>
      <c r="H416" s="9"/>
      <c r="I416" s="9"/>
      <c r="J416" s="23" t="str">
        <f aca="false">IF(OR($C416="",$F416=""),"",IF($B416="입고",$F416,IF($B416="출고",-$F416,$F416)))</f>
        <v/>
      </c>
      <c r="K416" s="24" t="str">
        <f aca="false">IF($C416="","",IFERROR(INDEX(예비품목록!$E$3:$E$202,MATCH($C416,예비품목록!$A$3:$A$202,0)),0)+SUMIFS($J$3:$J416,$C$3:$C416,$C416))</f>
        <v/>
      </c>
    </row>
    <row r="417" customFormat="false" ht="15" hidden="false" customHeight="true" outlineLevel="0" collapsed="false">
      <c r="A417" s="12"/>
      <c r="B417" s="9"/>
      <c r="C417" s="9"/>
      <c r="D417" s="15" t="str">
        <f aca="false">IF($C417="","",IFERROR(INDEX(예비품목록!$B$3:$B$202,MATCH($C417,예비품목록!$A$3:$A$202,0)),"미등록품번"))</f>
        <v/>
      </c>
      <c r="E417" s="15" t="str">
        <f aca="false">IF($C417="","",IFERROR(INDEX(예비품목록!$D$3:$D$202,MATCH($C417,예비품목록!$A$3:$A$202,0)),""))</f>
        <v/>
      </c>
      <c r="F417" s="11"/>
      <c r="G417" s="9"/>
      <c r="H417" s="9"/>
      <c r="I417" s="9"/>
      <c r="J417" s="23" t="str">
        <f aca="false">IF(OR($C417="",$F417=""),"",IF($B417="입고",$F417,IF($B417="출고",-$F417,$F417)))</f>
        <v/>
      </c>
      <c r="K417" s="24" t="str">
        <f aca="false">IF($C417="","",IFERROR(INDEX(예비품목록!$E$3:$E$202,MATCH($C417,예비품목록!$A$3:$A$202,0)),0)+SUMIFS($J$3:$J417,$C$3:$C417,$C417))</f>
        <v/>
      </c>
    </row>
    <row r="418" customFormat="false" ht="15" hidden="false" customHeight="true" outlineLevel="0" collapsed="false">
      <c r="A418" s="12"/>
      <c r="B418" s="9"/>
      <c r="C418" s="9"/>
      <c r="D418" s="15" t="str">
        <f aca="false">IF($C418="","",IFERROR(INDEX(예비품목록!$B$3:$B$202,MATCH($C418,예비품목록!$A$3:$A$202,0)),"미등록품번"))</f>
        <v/>
      </c>
      <c r="E418" s="15" t="str">
        <f aca="false">IF($C418="","",IFERROR(INDEX(예비품목록!$D$3:$D$202,MATCH($C418,예비품목록!$A$3:$A$202,0)),""))</f>
        <v/>
      </c>
      <c r="F418" s="11"/>
      <c r="G418" s="9"/>
      <c r="H418" s="9"/>
      <c r="I418" s="9"/>
      <c r="J418" s="23" t="str">
        <f aca="false">IF(OR($C418="",$F418=""),"",IF($B418="입고",$F418,IF($B418="출고",-$F418,$F418)))</f>
        <v/>
      </c>
      <c r="K418" s="24" t="str">
        <f aca="false">IF($C418="","",IFERROR(INDEX(예비품목록!$E$3:$E$202,MATCH($C418,예비품목록!$A$3:$A$202,0)),0)+SUMIFS($J$3:$J418,$C$3:$C418,$C418))</f>
        <v/>
      </c>
    </row>
    <row r="419" customFormat="false" ht="15" hidden="false" customHeight="true" outlineLevel="0" collapsed="false">
      <c r="A419" s="12"/>
      <c r="B419" s="9"/>
      <c r="C419" s="9"/>
      <c r="D419" s="15" t="str">
        <f aca="false">IF($C419="","",IFERROR(INDEX(예비품목록!$B$3:$B$202,MATCH($C419,예비품목록!$A$3:$A$202,0)),"미등록품번"))</f>
        <v/>
      </c>
      <c r="E419" s="15" t="str">
        <f aca="false">IF($C419="","",IFERROR(INDEX(예비품목록!$D$3:$D$202,MATCH($C419,예비품목록!$A$3:$A$202,0)),""))</f>
        <v/>
      </c>
      <c r="F419" s="11"/>
      <c r="G419" s="9"/>
      <c r="H419" s="9"/>
      <c r="I419" s="9"/>
      <c r="J419" s="23" t="str">
        <f aca="false">IF(OR($C419="",$F419=""),"",IF($B419="입고",$F419,IF($B419="출고",-$F419,$F419)))</f>
        <v/>
      </c>
      <c r="K419" s="24" t="str">
        <f aca="false">IF($C419="","",IFERROR(INDEX(예비품목록!$E$3:$E$202,MATCH($C419,예비품목록!$A$3:$A$202,0)),0)+SUMIFS($J$3:$J419,$C$3:$C419,$C419))</f>
        <v/>
      </c>
    </row>
    <row r="420" customFormat="false" ht="15" hidden="false" customHeight="true" outlineLevel="0" collapsed="false">
      <c r="A420" s="12"/>
      <c r="B420" s="9"/>
      <c r="C420" s="9"/>
      <c r="D420" s="15" t="str">
        <f aca="false">IF($C420="","",IFERROR(INDEX(예비품목록!$B$3:$B$202,MATCH($C420,예비품목록!$A$3:$A$202,0)),"미등록품번"))</f>
        <v/>
      </c>
      <c r="E420" s="15" t="str">
        <f aca="false">IF($C420="","",IFERROR(INDEX(예비품목록!$D$3:$D$202,MATCH($C420,예비품목록!$A$3:$A$202,0)),""))</f>
        <v/>
      </c>
      <c r="F420" s="11"/>
      <c r="G420" s="9"/>
      <c r="H420" s="9"/>
      <c r="I420" s="9"/>
      <c r="J420" s="23" t="str">
        <f aca="false">IF(OR($C420="",$F420=""),"",IF($B420="입고",$F420,IF($B420="출고",-$F420,$F420)))</f>
        <v/>
      </c>
      <c r="K420" s="24" t="str">
        <f aca="false">IF($C420="","",IFERROR(INDEX(예비품목록!$E$3:$E$202,MATCH($C420,예비품목록!$A$3:$A$202,0)),0)+SUMIFS($J$3:$J420,$C$3:$C420,$C420))</f>
        <v/>
      </c>
    </row>
    <row r="421" customFormat="false" ht="15" hidden="false" customHeight="true" outlineLevel="0" collapsed="false">
      <c r="A421" s="12"/>
      <c r="B421" s="9"/>
      <c r="C421" s="9"/>
      <c r="D421" s="15" t="str">
        <f aca="false">IF($C421="","",IFERROR(INDEX(예비품목록!$B$3:$B$202,MATCH($C421,예비품목록!$A$3:$A$202,0)),"미등록품번"))</f>
        <v/>
      </c>
      <c r="E421" s="15" t="str">
        <f aca="false">IF($C421="","",IFERROR(INDEX(예비품목록!$D$3:$D$202,MATCH($C421,예비품목록!$A$3:$A$202,0)),""))</f>
        <v/>
      </c>
      <c r="F421" s="11"/>
      <c r="G421" s="9"/>
      <c r="H421" s="9"/>
      <c r="I421" s="9"/>
      <c r="J421" s="23" t="str">
        <f aca="false">IF(OR($C421="",$F421=""),"",IF($B421="입고",$F421,IF($B421="출고",-$F421,$F421)))</f>
        <v/>
      </c>
      <c r="K421" s="24" t="str">
        <f aca="false">IF($C421="","",IFERROR(INDEX(예비품목록!$E$3:$E$202,MATCH($C421,예비품목록!$A$3:$A$202,0)),0)+SUMIFS($J$3:$J421,$C$3:$C421,$C421))</f>
        <v/>
      </c>
    </row>
    <row r="422" customFormat="false" ht="15" hidden="false" customHeight="true" outlineLevel="0" collapsed="false">
      <c r="A422" s="12"/>
      <c r="B422" s="9"/>
      <c r="C422" s="9"/>
      <c r="D422" s="15" t="str">
        <f aca="false">IF($C422="","",IFERROR(INDEX(예비품목록!$B$3:$B$202,MATCH($C422,예비품목록!$A$3:$A$202,0)),"미등록품번"))</f>
        <v/>
      </c>
      <c r="E422" s="15" t="str">
        <f aca="false">IF($C422="","",IFERROR(INDEX(예비품목록!$D$3:$D$202,MATCH($C422,예비품목록!$A$3:$A$202,0)),""))</f>
        <v/>
      </c>
      <c r="F422" s="11"/>
      <c r="G422" s="9"/>
      <c r="H422" s="9"/>
      <c r="I422" s="9"/>
      <c r="J422" s="23" t="str">
        <f aca="false">IF(OR($C422="",$F422=""),"",IF($B422="입고",$F422,IF($B422="출고",-$F422,$F422)))</f>
        <v/>
      </c>
      <c r="K422" s="24" t="str">
        <f aca="false">IF($C422="","",IFERROR(INDEX(예비품목록!$E$3:$E$202,MATCH($C422,예비품목록!$A$3:$A$202,0)),0)+SUMIFS($J$3:$J422,$C$3:$C422,$C422))</f>
        <v/>
      </c>
    </row>
    <row r="423" customFormat="false" ht="15" hidden="false" customHeight="true" outlineLevel="0" collapsed="false">
      <c r="A423" s="12"/>
      <c r="B423" s="9"/>
      <c r="C423" s="9"/>
      <c r="D423" s="15" t="str">
        <f aca="false">IF($C423="","",IFERROR(INDEX(예비품목록!$B$3:$B$202,MATCH($C423,예비품목록!$A$3:$A$202,0)),"미등록품번"))</f>
        <v/>
      </c>
      <c r="E423" s="15" t="str">
        <f aca="false">IF($C423="","",IFERROR(INDEX(예비품목록!$D$3:$D$202,MATCH($C423,예비품목록!$A$3:$A$202,0)),""))</f>
        <v/>
      </c>
      <c r="F423" s="11"/>
      <c r="G423" s="9"/>
      <c r="H423" s="9"/>
      <c r="I423" s="9"/>
      <c r="J423" s="23" t="str">
        <f aca="false">IF(OR($C423="",$F423=""),"",IF($B423="입고",$F423,IF($B423="출고",-$F423,$F423)))</f>
        <v/>
      </c>
      <c r="K423" s="24" t="str">
        <f aca="false">IF($C423="","",IFERROR(INDEX(예비품목록!$E$3:$E$202,MATCH($C423,예비품목록!$A$3:$A$202,0)),0)+SUMIFS($J$3:$J423,$C$3:$C423,$C423))</f>
        <v/>
      </c>
    </row>
    <row r="424" customFormat="false" ht="15" hidden="false" customHeight="true" outlineLevel="0" collapsed="false">
      <c r="A424" s="12"/>
      <c r="B424" s="9"/>
      <c r="C424" s="9"/>
      <c r="D424" s="15" t="str">
        <f aca="false">IF($C424="","",IFERROR(INDEX(예비품목록!$B$3:$B$202,MATCH($C424,예비품목록!$A$3:$A$202,0)),"미등록품번"))</f>
        <v/>
      </c>
      <c r="E424" s="15" t="str">
        <f aca="false">IF($C424="","",IFERROR(INDEX(예비품목록!$D$3:$D$202,MATCH($C424,예비품목록!$A$3:$A$202,0)),""))</f>
        <v/>
      </c>
      <c r="F424" s="11"/>
      <c r="G424" s="9"/>
      <c r="H424" s="9"/>
      <c r="I424" s="9"/>
      <c r="J424" s="23" t="str">
        <f aca="false">IF(OR($C424="",$F424=""),"",IF($B424="입고",$F424,IF($B424="출고",-$F424,$F424)))</f>
        <v/>
      </c>
      <c r="K424" s="24" t="str">
        <f aca="false">IF($C424="","",IFERROR(INDEX(예비품목록!$E$3:$E$202,MATCH($C424,예비품목록!$A$3:$A$202,0)),0)+SUMIFS($J$3:$J424,$C$3:$C424,$C424))</f>
        <v/>
      </c>
    </row>
    <row r="425" customFormat="false" ht="15" hidden="false" customHeight="true" outlineLevel="0" collapsed="false">
      <c r="A425" s="12"/>
      <c r="B425" s="9"/>
      <c r="C425" s="9"/>
      <c r="D425" s="15" t="str">
        <f aca="false">IF($C425="","",IFERROR(INDEX(예비품목록!$B$3:$B$202,MATCH($C425,예비품목록!$A$3:$A$202,0)),"미등록품번"))</f>
        <v/>
      </c>
      <c r="E425" s="15" t="str">
        <f aca="false">IF($C425="","",IFERROR(INDEX(예비품목록!$D$3:$D$202,MATCH($C425,예비품목록!$A$3:$A$202,0)),""))</f>
        <v/>
      </c>
      <c r="F425" s="11"/>
      <c r="G425" s="9"/>
      <c r="H425" s="9"/>
      <c r="I425" s="9"/>
      <c r="J425" s="23" t="str">
        <f aca="false">IF(OR($C425="",$F425=""),"",IF($B425="입고",$F425,IF($B425="출고",-$F425,$F425)))</f>
        <v/>
      </c>
      <c r="K425" s="24" t="str">
        <f aca="false">IF($C425="","",IFERROR(INDEX(예비품목록!$E$3:$E$202,MATCH($C425,예비품목록!$A$3:$A$202,0)),0)+SUMIFS($J$3:$J425,$C$3:$C425,$C425))</f>
        <v/>
      </c>
    </row>
    <row r="426" customFormat="false" ht="15" hidden="false" customHeight="true" outlineLevel="0" collapsed="false">
      <c r="A426" s="12"/>
      <c r="B426" s="9"/>
      <c r="C426" s="9"/>
      <c r="D426" s="15" t="str">
        <f aca="false">IF($C426="","",IFERROR(INDEX(예비품목록!$B$3:$B$202,MATCH($C426,예비품목록!$A$3:$A$202,0)),"미등록품번"))</f>
        <v/>
      </c>
      <c r="E426" s="15" t="str">
        <f aca="false">IF($C426="","",IFERROR(INDEX(예비품목록!$D$3:$D$202,MATCH($C426,예비품목록!$A$3:$A$202,0)),""))</f>
        <v/>
      </c>
      <c r="F426" s="11"/>
      <c r="G426" s="9"/>
      <c r="H426" s="9"/>
      <c r="I426" s="9"/>
      <c r="J426" s="23" t="str">
        <f aca="false">IF(OR($C426="",$F426=""),"",IF($B426="입고",$F426,IF($B426="출고",-$F426,$F426)))</f>
        <v/>
      </c>
      <c r="K426" s="24" t="str">
        <f aca="false">IF($C426="","",IFERROR(INDEX(예비품목록!$E$3:$E$202,MATCH($C426,예비품목록!$A$3:$A$202,0)),0)+SUMIFS($J$3:$J426,$C$3:$C426,$C426))</f>
        <v/>
      </c>
    </row>
    <row r="427" customFormat="false" ht="15" hidden="false" customHeight="true" outlineLevel="0" collapsed="false">
      <c r="A427" s="12"/>
      <c r="B427" s="9"/>
      <c r="C427" s="9"/>
      <c r="D427" s="15" t="str">
        <f aca="false">IF($C427="","",IFERROR(INDEX(예비품목록!$B$3:$B$202,MATCH($C427,예비품목록!$A$3:$A$202,0)),"미등록품번"))</f>
        <v/>
      </c>
      <c r="E427" s="15" t="str">
        <f aca="false">IF($C427="","",IFERROR(INDEX(예비품목록!$D$3:$D$202,MATCH($C427,예비품목록!$A$3:$A$202,0)),""))</f>
        <v/>
      </c>
      <c r="F427" s="11"/>
      <c r="G427" s="9"/>
      <c r="H427" s="9"/>
      <c r="I427" s="9"/>
      <c r="J427" s="23" t="str">
        <f aca="false">IF(OR($C427="",$F427=""),"",IF($B427="입고",$F427,IF($B427="출고",-$F427,$F427)))</f>
        <v/>
      </c>
      <c r="K427" s="24" t="str">
        <f aca="false">IF($C427="","",IFERROR(INDEX(예비품목록!$E$3:$E$202,MATCH($C427,예비품목록!$A$3:$A$202,0)),0)+SUMIFS($J$3:$J427,$C$3:$C427,$C427))</f>
        <v/>
      </c>
    </row>
    <row r="428" customFormat="false" ht="15" hidden="false" customHeight="true" outlineLevel="0" collapsed="false">
      <c r="A428" s="12"/>
      <c r="B428" s="9"/>
      <c r="C428" s="9"/>
      <c r="D428" s="15" t="str">
        <f aca="false">IF($C428="","",IFERROR(INDEX(예비품목록!$B$3:$B$202,MATCH($C428,예비품목록!$A$3:$A$202,0)),"미등록품번"))</f>
        <v/>
      </c>
      <c r="E428" s="15" t="str">
        <f aca="false">IF($C428="","",IFERROR(INDEX(예비품목록!$D$3:$D$202,MATCH($C428,예비품목록!$A$3:$A$202,0)),""))</f>
        <v/>
      </c>
      <c r="F428" s="11"/>
      <c r="G428" s="9"/>
      <c r="H428" s="9"/>
      <c r="I428" s="9"/>
      <c r="J428" s="23" t="str">
        <f aca="false">IF(OR($C428="",$F428=""),"",IF($B428="입고",$F428,IF($B428="출고",-$F428,$F428)))</f>
        <v/>
      </c>
      <c r="K428" s="24" t="str">
        <f aca="false">IF($C428="","",IFERROR(INDEX(예비품목록!$E$3:$E$202,MATCH($C428,예비품목록!$A$3:$A$202,0)),0)+SUMIFS($J$3:$J428,$C$3:$C428,$C428))</f>
        <v/>
      </c>
    </row>
    <row r="429" customFormat="false" ht="15" hidden="false" customHeight="true" outlineLevel="0" collapsed="false">
      <c r="A429" s="12"/>
      <c r="B429" s="9"/>
      <c r="C429" s="9"/>
      <c r="D429" s="15" t="str">
        <f aca="false">IF($C429="","",IFERROR(INDEX(예비품목록!$B$3:$B$202,MATCH($C429,예비품목록!$A$3:$A$202,0)),"미등록품번"))</f>
        <v/>
      </c>
      <c r="E429" s="15" t="str">
        <f aca="false">IF($C429="","",IFERROR(INDEX(예비품목록!$D$3:$D$202,MATCH($C429,예비품목록!$A$3:$A$202,0)),""))</f>
        <v/>
      </c>
      <c r="F429" s="11"/>
      <c r="G429" s="9"/>
      <c r="H429" s="9"/>
      <c r="I429" s="9"/>
      <c r="J429" s="23" t="str">
        <f aca="false">IF(OR($C429="",$F429=""),"",IF($B429="입고",$F429,IF($B429="출고",-$F429,$F429)))</f>
        <v/>
      </c>
      <c r="K429" s="24" t="str">
        <f aca="false">IF($C429="","",IFERROR(INDEX(예비품목록!$E$3:$E$202,MATCH($C429,예비품목록!$A$3:$A$202,0)),0)+SUMIFS($J$3:$J429,$C$3:$C429,$C429))</f>
        <v/>
      </c>
    </row>
    <row r="430" customFormat="false" ht="15" hidden="false" customHeight="true" outlineLevel="0" collapsed="false">
      <c r="A430" s="12"/>
      <c r="B430" s="9"/>
      <c r="C430" s="9"/>
      <c r="D430" s="15" t="str">
        <f aca="false">IF($C430="","",IFERROR(INDEX(예비품목록!$B$3:$B$202,MATCH($C430,예비품목록!$A$3:$A$202,0)),"미등록품번"))</f>
        <v/>
      </c>
      <c r="E430" s="15" t="str">
        <f aca="false">IF($C430="","",IFERROR(INDEX(예비품목록!$D$3:$D$202,MATCH($C430,예비품목록!$A$3:$A$202,0)),""))</f>
        <v/>
      </c>
      <c r="F430" s="11"/>
      <c r="G430" s="9"/>
      <c r="H430" s="9"/>
      <c r="I430" s="9"/>
      <c r="J430" s="23" t="str">
        <f aca="false">IF(OR($C430="",$F430=""),"",IF($B430="입고",$F430,IF($B430="출고",-$F430,$F430)))</f>
        <v/>
      </c>
      <c r="K430" s="24" t="str">
        <f aca="false">IF($C430="","",IFERROR(INDEX(예비품목록!$E$3:$E$202,MATCH($C430,예비품목록!$A$3:$A$202,0)),0)+SUMIFS($J$3:$J430,$C$3:$C430,$C430))</f>
        <v/>
      </c>
    </row>
    <row r="431" customFormat="false" ht="15" hidden="false" customHeight="true" outlineLevel="0" collapsed="false">
      <c r="A431" s="12"/>
      <c r="B431" s="9"/>
      <c r="C431" s="9"/>
      <c r="D431" s="15" t="str">
        <f aca="false">IF($C431="","",IFERROR(INDEX(예비품목록!$B$3:$B$202,MATCH($C431,예비품목록!$A$3:$A$202,0)),"미등록품번"))</f>
        <v/>
      </c>
      <c r="E431" s="15" t="str">
        <f aca="false">IF($C431="","",IFERROR(INDEX(예비품목록!$D$3:$D$202,MATCH($C431,예비품목록!$A$3:$A$202,0)),""))</f>
        <v/>
      </c>
      <c r="F431" s="11"/>
      <c r="G431" s="9"/>
      <c r="H431" s="9"/>
      <c r="I431" s="9"/>
      <c r="J431" s="23" t="str">
        <f aca="false">IF(OR($C431="",$F431=""),"",IF($B431="입고",$F431,IF($B431="출고",-$F431,$F431)))</f>
        <v/>
      </c>
      <c r="K431" s="24" t="str">
        <f aca="false">IF($C431="","",IFERROR(INDEX(예비품목록!$E$3:$E$202,MATCH($C431,예비품목록!$A$3:$A$202,0)),0)+SUMIFS($J$3:$J431,$C$3:$C431,$C431))</f>
        <v/>
      </c>
    </row>
    <row r="432" customFormat="false" ht="15" hidden="false" customHeight="true" outlineLevel="0" collapsed="false">
      <c r="A432" s="12"/>
      <c r="B432" s="9"/>
      <c r="C432" s="9"/>
      <c r="D432" s="15" t="str">
        <f aca="false">IF($C432="","",IFERROR(INDEX(예비품목록!$B$3:$B$202,MATCH($C432,예비품목록!$A$3:$A$202,0)),"미등록품번"))</f>
        <v/>
      </c>
      <c r="E432" s="15" t="str">
        <f aca="false">IF($C432="","",IFERROR(INDEX(예비품목록!$D$3:$D$202,MATCH($C432,예비품목록!$A$3:$A$202,0)),""))</f>
        <v/>
      </c>
      <c r="F432" s="11"/>
      <c r="G432" s="9"/>
      <c r="H432" s="9"/>
      <c r="I432" s="9"/>
      <c r="J432" s="23" t="str">
        <f aca="false">IF(OR($C432="",$F432=""),"",IF($B432="입고",$F432,IF($B432="출고",-$F432,$F432)))</f>
        <v/>
      </c>
      <c r="K432" s="24" t="str">
        <f aca="false">IF($C432="","",IFERROR(INDEX(예비품목록!$E$3:$E$202,MATCH($C432,예비품목록!$A$3:$A$202,0)),0)+SUMIFS($J$3:$J432,$C$3:$C432,$C432))</f>
        <v/>
      </c>
    </row>
    <row r="433" customFormat="false" ht="15" hidden="false" customHeight="true" outlineLevel="0" collapsed="false">
      <c r="A433" s="12"/>
      <c r="B433" s="9"/>
      <c r="C433" s="9"/>
      <c r="D433" s="15" t="str">
        <f aca="false">IF($C433="","",IFERROR(INDEX(예비품목록!$B$3:$B$202,MATCH($C433,예비품목록!$A$3:$A$202,0)),"미등록품번"))</f>
        <v/>
      </c>
      <c r="E433" s="15" t="str">
        <f aca="false">IF($C433="","",IFERROR(INDEX(예비품목록!$D$3:$D$202,MATCH($C433,예비품목록!$A$3:$A$202,0)),""))</f>
        <v/>
      </c>
      <c r="F433" s="11"/>
      <c r="G433" s="9"/>
      <c r="H433" s="9"/>
      <c r="I433" s="9"/>
      <c r="J433" s="23" t="str">
        <f aca="false">IF(OR($C433="",$F433=""),"",IF($B433="입고",$F433,IF($B433="출고",-$F433,$F433)))</f>
        <v/>
      </c>
      <c r="K433" s="24" t="str">
        <f aca="false">IF($C433="","",IFERROR(INDEX(예비품목록!$E$3:$E$202,MATCH($C433,예비품목록!$A$3:$A$202,0)),0)+SUMIFS($J$3:$J433,$C$3:$C433,$C433))</f>
        <v/>
      </c>
    </row>
    <row r="434" customFormat="false" ht="15" hidden="false" customHeight="true" outlineLevel="0" collapsed="false">
      <c r="A434" s="12"/>
      <c r="B434" s="9"/>
      <c r="C434" s="9"/>
      <c r="D434" s="15" t="str">
        <f aca="false">IF($C434="","",IFERROR(INDEX(예비품목록!$B$3:$B$202,MATCH($C434,예비품목록!$A$3:$A$202,0)),"미등록품번"))</f>
        <v/>
      </c>
      <c r="E434" s="15" t="str">
        <f aca="false">IF($C434="","",IFERROR(INDEX(예비품목록!$D$3:$D$202,MATCH($C434,예비품목록!$A$3:$A$202,0)),""))</f>
        <v/>
      </c>
      <c r="F434" s="11"/>
      <c r="G434" s="9"/>
      <c r="H434" s="9"/>
      <c r="I434" s="9"/>
      <c r="J434" s="23" t="str">
        <f aca="false">IF(OR($C434="",$F434=""),"",IF($B434="입고",$F434,IF($B434="출고",-$F434,$F434)))</f>
        <v/>
      </c>
      <c r="K434" s="24" t="str">
        <f aca="false">IF($C434="","",IFERROR(INDEX(예비품목록!$E$3:$E$202,MATCH($C434,예비품목록!$A$3:$A$202,0)),0)+SUMIFS($J$3:$J434,$C$3:$C434,$C434))</f>
        <v/>
      </c>
    </row>
    <row r="435" customFormat="false" ht="15" hidden="false" customHeight="true" outlineLevel="0" collapsed="false">
      <c r="A435" s="12"/>
      <c r="B435" s="9"/>
      <c r="C435" s="9"/>
      <c r="D435" s="15" t="str">
        <f aca="false">IF($C435="","",IFERROR(INDEX(예비품목록!$B$3:$B$202,MATCH($C435,예비품목록!$A$3:$A$202,0)),"미등록품번"))</f>
        <v/>
      </c>
      <c r="E435" s="15" t="str">
        <f aca="false">IF($C435="","",IFERROR(INDEX(예비품목록!$D$3:$D$202,MATCH($C435,예비품목록!$A$3:$A$202,0)),""))</f>
        <v/>
      </c>
      <c r="F435" s="11"/>
      <c r="G435" s="9"/>
      <c r="H435" s="9"/>
      <c r="I435" s="9"/>
      <c r="J435" s="23" t="str">
        <f aca="false">IF(OR($C435="",$F435=""),"",IF($B435="입고",$F435,IF($B435="출고",-$F435,$F435)))</f>
        <v/>
      </c>
      <c r="K435" s="24" t="str">
        <f aca="false">IF($C435="","",IFERROR(INDEX(예비품목록!$E$3:$E$202,MATCH($C435,예비품목록!$A$3:$A$202,0)),0)+SUMIFS($J$3:$J435,$C$3:$C435,$C435))</f>
        <v/>
      </c>
    </row>
    <row r="436" customFormat="false" ht="15" hidden="false" customHeight="true" outlineLevel="0" collapsed="false">
      <c r="A436" s="12"/>
      <c r="B436" s="9"/>
      <c r="C436" s="9"/>
      <c r="D436" s="15" t="str">
        <f aca="false">IF($C436="","",IFERROR(INDEX(예비품목록!$B$3:$B$202,MATCH($C436,예비품목록!$A$3:$A$202,0)),"미등록품번"))</f>
        <v/>
      </c>
      <c r="E436" s="15" t="str">
        <f aca="false">IF($C436="","",IFERROR(INDEX(예비품목록!$D$3:$D$202,MATCH($C436,예비품목록!$A$3:$A$202,0)),""))</f>
        <v/>
      </c>
      <c r="F436" s="11"/>
      <c r="G436" s="9"/>
      <c r="H436" s="9"/>
      <c r="I436" s="9"/>
      <c r="J436" s="23" t="str">
        <f aca="false">IF(OR($C436="",$F436=""),"",IF($B436="입고",$F436,IF($B436="출고",-$F436,$F436)))</f>
        <v/>
      </c>
      <c r="K436" s="24" t="str">
        <f aca="false">IF($C436="","",IFERROR(INDEX(예비품목록!$E$3:$E$202,MATCH($C436,예비품목록!$A$3:$A$202,0)),0)+SUMIFS($J$3:$J436,$C$3:$C436,$C436))</f>
        <v/>
      </c>
    </row>
    <row r="437" customFormat="false" ht="15" hidden="false" customHeight="true" outlineLevel="0" collapsed="false">
      <c r="A437" s="12"/>
      <c r="B437" s="9"/>
      <c r="C437" s="9"/>
      <c r="D437" s="15" t="str">
        <f aca="false">IF($C437="","",IFERROR(INDEX(예비품목록!$B$3:$B$202,MATCH($C437,예비품목록!$A$3:$A$202,0)),"미등록품번"))</f>
        <v/>
      </c>
      <c r="E437" s="15" t="str">
        <f aca="false">IF($C437="","",IFERROR(INDEX(예비품목록!$D$3:$D$202,MATCH($C437,예비품목록!$A$3:$A$202,0)),""))</f>
        <v/>
      </c>
      <c r="F437" s="11"/>
      <c r="G437" s="9"/>
      <c r="H437" s="9"/>
      <c r="I437" s="9"/>
      <c r="J437" s="23" t="str">
        <f aca="false">IF(OR($C437="",$F437=""),"",IF($B437="입고",$F437,IF($B437="출고",-$F437,$F437)))</f>
        <v/>
      </c>
      <c r="K437" s="24" t="str">
        <f aca="false">IF($C437="","",IFERROR(INDEX(예비품목록!$E$3:$E$202,MATCH($C437,예비품목록!$A$3:$A$202,0)),0)+SUMIFS($J$3:$J437,$C$3:$C437,$C437))</f>
        <v/>
      </c>
    </row>
    <row r="438" customFormat="false" ht="15" hidden="false" customHeight="true" outlineLevel="0" collapsed="false">
      <c r="A438" s="12"/>
      <c r="B438" s="9"/>
      <c r="C438" s="9"/>
      <c r="D438" s="15" t="str">
        <f aca="false">IF($C438="","",IFERROR(INDEX(예비품목록!$B$3:$B$202,MATCH($C438,예비품목록!$A$3:$A$202,0)),"미등록품번"))</f>
        <v/>
      </c>
      <c r="E438" s="15" t="str">
        <f aca="false">IF($C438="","",IFERROR(INDEX(예비품목록!$D$3:$D$202,MATCH($C438,예비품목록!$A$3:$A$202,0)),""))</f>
        <v/>
      </c>
      <c r="F438" s="11"/>
      <c r="G438" s="9"/>
      <c r="H438" s="9"/>
      <c r="I438" s="9"/>
      <c r="J438" s="23" t="str">
        <f aca="false">IF(OR($C438="",$F438=""),"",IF($B438="입고",$F438,IF($B438="출고",-$F438,$F438)))</f>
        <v/>
      </c>
      <c r="K438" s="24" t="str">
        <f aca="false">IF($C438="","",IFERROR(INDEX(예비품목록!$E$3:$E$202,MATCH($C438,예비품목록!$A$3:$A$202,0)),0)+SUMIFS($J$3:$J438,$C$3:$C438,$C438))</f>
        <v/>
      </c>
    </row>
    <row r="439" customFormat="false" ht="15" hidden="false" customHeight="true" outlineLevel="0" collapsed="false">
      <c r="A439" s="12"/>
      <c r="B439" s="9"/>
      <c r="C439" s="9"/>
      <c r="D439" s="15" t="str">
        <f aca="false">IF($C439="","",IFERROR(INDEX(예비품목록!$B$3:$B$202,MATCH($C439,예비품목록!$A$3:$A$202,0)),"미등록품번"))</f>
        <v/>
      </c>
      <c r="E439" s="15" t="str">
        <f aca="false">IF($C439="","",IFERROR(INDEX(예비품목록!$D$3:$D$202,MATCH($C439,예비품목록!$A$3:$A$202,0)),""))</f>
        <v/>
      </c>
      <c r="F439" s="11"/>
      <c r="G439" s="9"/>
      <c r="H439" s="9"/>
      <c r="I439" s="9"/>
      <c r="J439" s="23" t="str">
        <f aca="false">IF(OR($C439="",$F439=""),"",IF($B439="입고",$F439,IF($B439="출고",-$F439,$F439)))</f>
        <v/>
      </c>
      <c r="K439" s="24" t="str">
        <f aca="false">IF($C439="","",IFERROR(INDEX(예비품목록!$E$3:$E$202,MATCH($C439,예비품목록!$A$3:$A$202,0)),0)+SUMIFS($J$3:$J439,$C$3:$C439,$C439))</f>
        <v/>
      </c>
    </row>
    <row r="440" customFormat="false" ht="15" hidden="false" customHeight="true" outlineLevel="0" collapsed="false">
      <c r="A440" s="12"/>
      <c r="B440" s="9"/>
      <c r="C440" s="9"/>
      <c r="D440" s="15" t="str">
        <f aca="false">IF($C440="","",IFERROR(INDEX(예비품목록!$B$3:$B$202,MATCH($C440,예비품목록!$A$3:$A$202,0)),"미등록품번"))</f>
        <v/>
      </c>
      <c r="E440" s="15" t="str">
        <f aca="false">IF($C440="","",IFERROR(INDEX(예비품목록!$D$3:$D$202,MATCH($C440,예비품목록!$A$3:$A$202,0)),""))</f>
        <v/>
      </c>
      <c r="F440" s="11"/>
      <c r="G440" s="9"/>
      <c r="H440" s="9"/>
      <c r="I440" s="9"/>
      <c r="J440" s="23" t="str">
        <f aca="false">IF(OR($C440="",$F440=""),"",IF($B440="입고",$F440,IF($B440="출고",-$F440,$F440)))</f>
        <v/>
      </c>
      <c r="K440" s="24" t="str">
        <f aca="false">IF($C440="","",IFERROR(INDEX(예비품목록!$E$3:$E$202,MATCH($C440,예비품목록!$A$3:$A$202,0)),0)+SUMIFS($J$3:$J440,$C$3:$C440,$C440))</f>
        <v/>
      </c>
    </row>
    <row r="441" customFormat="false" ht="15" hidden="false" customHeight="true" outlineLevel="0" collapsed="false">
      <c r="A441" s="12"/>
      <c r="B441" s="9"/>
      <c r="C441" s="9"/>
      <c r="D441" s="15" t="str">
        <f aca="false">IF($C441="","",IFERROR(INDEX(예비품목록!$B$3:$B$202,MATCH($C441,예비품목록!$A$3:$A$202,0)),"미등록품번"))</f>
        <v/>
      </c>
      <c r="E441" s="15" t="str">
        <f aca="false">IF($C441="","",IFERROR(INDEX(예비품목록!$D$3:$D$202,MATCH($C441,예비품목록!$A$3:$A$202,0)),""))</f>
        <v/>
      </c>
      <c r="F441" s="11"/>
      <c r="G441" s="9"/>
      <c r="H441" s="9"/>
      <c r="I441" s="9"/>
      <c r="J441" s="23" t="str">
        <f aca="false">IF(OR($C441="",$F441=""),"",IF($B441="입고",$F441,IF($B441="출고",-$F441,$F441)))</f>
        <v/>
      </c>
      <c r="K441" s="24" t="str">
        <f aca="false">IF($C441="","",IFERROR(INDEX(예비품목록!$E$3:$E$202,MATCH($C441,예비품목록!$A$3:$A$202,0)),0)+SUMIFS($J$3:$J441,$C$3:$C441,$C441))</f>
        <v/>
      </c>
    </row>
    <row r="442" customFormat="false" ht="15" hidden="false" customHeight="true" outlineLevel="0" collapsed="false">
      <c r="A442" s="12"/>
      <c r="B442" s="9"/>
      <c r="C442" s="9"/>
      <c r="D442" s="15" t="str">
        <f aca="false">IF($C442="","",IFERROR(INDEX(예비품목록!$B$3:$B$202,MATCH($C442,예비품목록!$A$3:$A$202,0)),"미등록품번"))</f>
        <v/>
      </c>
      <c r="E442" s="15" t="str">
        <f aca="false">IF($C442="","",IFERROR(INDEX(예비품목록!$D$3:$D$202,MATCH($C442,예비품목록!$A$3:$A$202,0)),""))</f>
        <v/>
      </c>
      <c r="F442" s="11"/>
      <c r="G442" s="9"/>
      <c r="H442" s="9"/>
      <c r="I442" s="9"/>
      <c r="J442" s="23" t="str">
        <f aca="false">IF(OR($C442="",$F442=""),"",IF($B442="입고",$F442,IF($B442="출고",-$F442,$F442)))</f>
        <v/>
      </c>
      <c r="K442" s="24" t="str">
        <f aca="false">IF($C442="","",IFERROR(INDEX(예비품목록!$E$3:$E$202,MATCH($C442,예비품목록!$A$3:$A$202,0)),0)+SUMIFS($J$3:$J442,$C$3:$C442,$C442))</f>
        <v/>
      </c>
    </row>
    <row r="443" customFormat="false" ht="15" hidden="false" customHeight="true" outlineLevel="0" collapsed="false">
      <c r="A443" s="12"/>
      <c r="B443" s="9"/>
      <c r="C443" s="9"/>
      <c r="D443" s="15" t="str">
        <f aca="false">IF($C443="","",IFERROR(INDEX(예비품목록!$B$3:$B$202,MATCH($C443,예비품목록!$A$3:$A$202,0)),"미등록품번"))</f>
        <v/>
      </c>
      <c r="E443" s="15" t="str">
        <f aca="false">IF($C443="","",IFERROR(INDEX(예비품목록!$D$3:$D$202,MATCH($C443,예비품목록!$A$3:$A$202,0)),""))</f>
        <v/>
      </c>
      <c r="F443" s="11"/>
      <c r="G443" s="9"/>
      <c r="H443" s="9"/>
      <c r="I443" s="9"/>
      <c r="J443" s="23" t="str">
        <f aca="false">IF(OR($C443="",$F443=""),"",IF($B443="입고",$F443,IF($B443="출고",-$F443,$F443)))</f>
        <v/>
      </c>
      <c r="K443" s="24" t="str">
        <f aca="false">IF($C443="","",IFERROR(INDEX(예비품목록!$E$3:$E$202,MATCH($C443,예비품목록!$A$3:$A$202,0)),0)+SUMIFS($J$3:$J443,$C$3:$C443,$C443))</f>
        <v/>
      </c>
    </row>
    <row r="444" customFormat="false" ht="15" hidden="false" customHeight="true" outlineLevel="0" collapsed="false">
      <c r="A444" s="12"/>
      <c r="B444" s="9"/>
      <c r="C444" s="9"/>
      <c r="D444" s="15" t="str">
        <f aca="false">IF($C444="","",IFERROR(INDEX(예비품목록!$B$3:$B$202,MATCH($C444,예비품목록!$A$3:$A$202,0)),"미등록품번"))</f>
        <v/>
      </c>
      <c r="E444" s="15" t="str">
        <f aca="false">IF($C444="","",IFERROR(INDEX(예비품목록!$D$3:$D$202,MATCH($C444,예비품목록!$A$3:$A$202,0)),""))</f>
        <v/>
      </c>
      <c r="F444" s="11"/>
      <c r="G444" s="9"/>
      <c r="H444" s="9"/>
      <c r="I444" s="9"/>
      <c r="J444" s="23" t="str">
        <f aca="false">IF(OR($C444="",$F444=""),"",IF($B444="입고",$F444,IF($B444="출고",-$F444,$F444)))</f>
        <v/>
      </c>
      <c r="K444" s="24" t="str">
        <f aca="false">IF($C444="","",IFERROR(INDEX(예비품목록!$E$3:$E$202,MATCH($C444,예비품목록!$A$3:$A$202,0)),0)+SUMIFS($J$3:$J444,$C$3:$C444,$C444))</f>
        <v/>
      </c>
    </row>
    <row r="445" customFormat="false" ht="15" hidden="false" customHeight="true" outlineLevel="0" collapsed="false">
      <c r="A445" s="12"/>
      <c r="B445" s="9"/>
      <c r="C445" s="9"/>
      <c r="D445" s="15" t="str">
        <f aca="false">IF($C445="","",IFERROR(INDEX(예비품목록!$B$3:$B$202,MATCH($C445,예비품목록!$A$3:$A$202,0)),"미등록품번"))</f>
        <v/>
      </c>
      <c r="E445" s="15" t="str">
        <f aca="false">IF($C445="","",IFERROR(INDEX(예비품목록!$D$3:$D$202,MATCH($C445,예비품목록!$A$3:$A$202,0)),""))</f>
        <v/>
      </c>
      <c r="F445" s="11"/>
      <c r="G445" s="9"/>
      <c r="H445" s="9"/>
      <c r="I445" s="9"/>
      <c r="J445" s="23" t="str">
        <f aca="false">IF(OR($C445="",$F445=""),"",IF($B445="입고",$F445,IF($B445="출고",-$F445,$F445)))</f>
        <v/>
      </c>
      <c r="K445" s="24" t="str">
        <f aca="false">IF($C445="","",IFERROR(INDEX(예비품목록!$E$3:$E$202,MATCH($C445,예비품목록!$A$3:$A$202,0)),0)+SUMIFS($J$3:$J445,$C$3:$C445,$C445))</f>
        <v/>
      </c>
    </row>
    <row r="446" customFormat="false" ht="15" hidden="false" customHeight="true" outlineLevel="0" collapsed="false">
      <c r="A446" s="12"/>
      <c r="B446" s="9"/>
      <c r="C446" s="9"/>
      <c r="D446" s="15" t="str">
        <f aca="false">IF($C446="","",IFERROR(INDEX(예비품목록!$B$3:$B$202,MATCH($C446,예비품목록!$A$3:$A$202,0)),"미등록품번"))</f>
        <v/>
      </c>
      <c r="E446" s="15" t="str">
        <f aca="false">IF($C446="","",IFERROR(INDEX(예비품목록!$D$3:$D$202,MATCH($C446,예비품목록!$A$3:$A$202,0)),""))</f>
        <v/>
      </c>
      <c r="F446" s="11"/>
      <c r="G446" s="9"/>
      <c r="H446" s="9"/>
      <c r="I446" s="9"/>
      <c r="J446" s="23" t="str">
        <f aca="false">IF(OR($C446="",$F446=""),"",IF($B446="입고",$F446,IF($B446="출고",-$F446,$F446)))</f>
        <v/>
      </c>
      <c r="K446" s="24" t="str">
        <f aca="false">IF($C446="","",IFERROR(INDEX(예비품목록!$E$3:$E$202,MATCH($C446,예비품목록!$A$3:$A$202,0)),0)+SUMIFS($J$3:$J446,$C$3:$C446,$C446))</f>
        <v/>
      </c>
    </row>
    <row r="447" customFormat="false" ht="15" hidden="false" customHeight="true" outlineLevel="0" collapsed="false">
      <c r="A447" s="12"/>
      <c r="B447" s="9"/>
      <c r="C447" s="9"/>
      <c r="D447" s="15" t="str">
        <f aca="false">IF($C447="","",IFERROR(INDEX(예비품목록!$B$3:$B$202,MATCH($C447,예비품목록!$A$3:$A$202,0)),"미등록품번"))</f>
        <v/>
      </c>
      <c r="E447" s="15" t="str">
        <f aca="false">IF($C447="","",IFERROR(INDEX(예비품목록!$D$3:$D$202,MATCH($C447,예비품목록!$A$3:$A$202,0)),""))</f>
        <v/>
      </c>
      <c r="F447" s="11"/>
      <c r="G447" s="9"/>
      <c r="H447" s="9"/>
      <c r="I447" s="9"/>
      <c r="J447" s="23" t="str">
        <f aca="false">IF(OR($C447="",$F447=""),"",IF($B447="입고",$F447,IF($B447="출고",-$F447,$F447)))</f>
        <v/>
      </c>
      <c r="K447" s="24" t="str">
        <f aca="false">IF($C447="","",IFERROR(INDEX(예비품목록!$E$3:$E$202,MATCH($C447,예비품목록!$A$3:$A$202,0)),0)+SUMIFS($J$3:$J447,$C$3:$C447,$C447))</f>
        <v/>
      </c>
    </row>
    <row r="448" customFormat="false" ht="15" hidden="false" customHeight="true" outlineLevel="0" collapsed="false">
      <c r="A448" s="12"/>
      <c r="B448" s="9"/>
      <c r="C448" s="9"/>
      <c r="D448" s="15" t="str">
        <f aca="false">IF($C448="","",IFERROR(INDEX(예비품목록!$B$3:$B$202,MATCH($C448,예비품목록!$A$3:$A$202,0)),"미등록품번"))</f>
        <v/>
      </c>
      <c r="E448" s="15" t="str">
        <f aca="false">IF($C448="","",IFERROR(INDEX(예비품목록!$D$3:$D$202,MATCH($C448,예비품목록!$A$3:$A$202,0)),""))</f>
        <v/>
      </c>
      <c r="F448" s="11"/>
      <c r="G448" s="9"/>
      <c r="H448" s="9"/>
      <c r="I448" s="9"/>
      <c r="J448" s="23" t="str">
        <f aca="false">IF(OR($C448="",$F448=""),"",IF($B448="입고",$F448,IF($B448="출고",-$F448,$F448)))</f>
        <v/>
      </c>
      <c r="K448" s="24" t="str">
        <f aca="false">IF($C448="","",IFERROR(INDEX(예비품목록!$E$3:$E$202,MATCH($C448,예비품목록!$A$3:$A$202,0)),0)+SUMIFS($J$3:$J448,$C$3:$C448,$C448))</f>
        <v/>
      </c>
    </row>
    <row r="449" customFormat="false" ht="15" hidden="false" customHeight="true" outlineLevel="0" collapsed="false">
      <c r="A449" s="12"/>
      <c r="B449" s="9"/>
      <c r="C449" s="9"/>
      <c r="D449" s="15" t="str">
        <f aca="false">IF($C449="","",IFERROR(INDEX(예비품목록!$B$3:$B$202,MATCH($C449,예비품목록!$A$3:$A$202,0)),"미등록품번"))</f>
        <v/>
      </c>
      <c r="E449" s="15" t="str">
        <f aca="false">IF($C449="","",IFERROR(INDEX(예비품목록!$D$3:$D$202,MATCH($C449,예비품목록!$A$3:$A$202,0)),""))</f>
        <v/>
      </c>
      <c r="F449" s="11"/>
      <c r="G449" s="9"/>
      <c r="H449" s="9"/>
      <c r="I449" s="9"/>
      <c r="J449" s="23" t="str">
        <f aca="false">IF(OR($C449="",$F449=""),"",IF($B449="입고",$F449,IF($B449="출고",-$F449,$F449)))</f>
        <v/>
      </c>
      <c r="K449" s="24" t="str">
        <f aca="false">IF($C449="","",IFERROR(INDEX(예비품목록!$E$3:$E$202,MATCH($C449,예비품목록!$A$3:$A$202,0)),0)+SUMIFS($J$3:$J449,$C$3:$C449,$C449))</f>
        <v/>
      </c>
    </row>
    <row r="450" customFormat="false" ht="15" hidden="false" customHeight="true" outlineLevel="0" collapsed="false">
      <c r="A450" s="12"/>
      <c r="B450" s="9"/>
      <c r="C450" s="9"/>
      <c r="D450" s="15" t="str">
        <f aca="false">IF($C450="","",IFERROR(INDEX(예비품목록!$B$3:$B$202,MATCH($C450,예비품목록!$A$3:$A$202,0)),"미등록품번"))</f>
        <v/>
      </c>
      <c r="E450" s="15" t="str">
        <f aca="false">IF($C450="","",IFERROR(INDEX(예비품목록!$D$3:$D$202,MATCH($C450,예비품목록!$A$3:$A$202,0)),""))</f>
        <v/>
      </c>
      <c r="F450" s="11"/>
      <c r="G450" s="9"/>
      <c r="H450" s="9"/>
      <c r="I450" s="9"/>
      <c r="J450" s="23" t="str">
        <f aca="false">IF(OR($C450="",$F450=""),"",IF($B450="입고",$F450,IF($B450="출고",-$F450,$F450)))</f>
        <v/>
      </c>
      <c r="K450" s="24" t="str">
        <f aca="false">IF($C450="","",IFERROR(INDEX(예비품목록!$E$3:$E$202,MATCH($C450,예비품목록!$A$3:$A$202,0)),0)+SUMIFS($J$3:$J450,$C$3:$C450,$C450))</f>
        <v/>
      </c>
    </row>
    <row r="451" customFormat="false" ht="15" hidden="false" customHeight="true" outlineLevel="0" collapsed="false">
      <c r="A451" s="12"/>
      <c r="B451" s="9"/>
      <c r="C451" s="9"/>
      <c r="D451" s="15" t="str">
        <f aca="false">IF($C451="","",IFERROR(INDEX(예비품목록!$B$3:$B$202,MATCH($C451,예비품목록!$A$3:$A$202,0)),"미등록품번"))</f>
        <v/>
      </c>
      <c r="E451" s="15" t="str">
        <f aca="false">IF($C451="","",IFERROR(INDEX(예비품목록!$D$3:$D$202,MATCH($C451,예비품목록!$A$3:$A$202,0)),""))</f>
        <v/>
      </c>
      <c r="F451" s="11"/>
      <c r="G451" s="9"/>
      <c r="H451" s="9"/>
      <c r="I451" s="9"/>
      <c r="J451" s="23" t="str">
        <f aca="false">IF(OR($C451="",$F451=""),"",IF($B451="입고",$F451,IF($B451="출고",-$F451,$F451)))</f>
        <v/>
      </c>
      <c r="K451" s="24" t="str">
        <f aca="false">IF($C451="","",IFERROR(INDEX(예비품목록!$E$3:$E$202,MATCH($C451,예비품목록!$A$3:$A$202,0)),0)+SUMIFS($J$3:$J451,$C$3:$C451,$C451))</f>
        <v/>
      </c>
    </row>
    <row r="452" customFormat="false" ht="15" hidden="false" customHeight="true" outlineLevel="0" collapsed="false">
      <c r="A452" s="12"/>
      <c r="B452" s="9"/>
      <c r="C452" s="9"/>
      <c r="D452" s="15" t="str">
        <f aca="false">IF($C452="","",IFERROR(INDEX(예비품목록!$B$3:$B$202,MATCH($C452,예비품목록!$A$3:$A$202,0)),"미등록품번"))</f>
        <v/>
      </c>
      <c r="E452" s="15" t="str">
        <f aca="false">IF($C452="","",IFERROR(INDEX(예비품목록!$D$3:$D$202,MATCH($C452,예비품목록!$A$3:$A$202,0)),""))</f>
        <v/>
      </c>
      <c r="F452" s="11"/>
      <c r="G452" s="9"/>
      <c r="H452" s="9"/>
      <c r="I452" s="9"/>
      <c r="J452" s="23" t="str">
        <f aca="false">IF(OR($C452="",$F452=""),"",IF($B452="입고",$F452,IF($B452="출고",-$F452,$F452)))</f>
        <v/>
      </c>
      <c r="K452" s="24" t="str">
        <f aca="false">IF($C452="","",IFERROR(INDEX(예비품목록!$E$3:$E$202,MATCH($C452,예비품목록!$A$3:$A$202,0)),0)+SUMIFS($J$3:$J452,$C$3:$C452,$C452))</f>
        <v/>
      </c>
    </row>
    <row r="453" customFormat="false" ht="15" hidden="false" customHeight="true" outlineLevel="0" collapsed="false">
      <c r="A453" s="12"/>
      <c r="B453" s="9"/>
      <c r="C453" s="9"/>
      <c r="D453" s="15" t="str">
        <f aca="false">IF($C453="","",IFERROR(INDEX(예비품목록!$B$3:$B$202,MATCH($C453,예비품목록!$A$3:$A$202,0)),"미등록품번"))</f>
        <v/>
      </c>
      <c r="E453" s="15" t="str">
        <f aca="false">IF($C453="","",IFERROR(INDEX(예비품목록!$D$3:$D$202,MATCH($C453,예비품목록!$A$3:$A$202,0)),""))</f>
        <v/>
      </c>
      <c r="F453" s="11"/>
      <c r="G453" s="9"/>
      <c r="H453" s="9"/>
      <c r="I453" s="9"/>
      <c r="J453" s="23" t="str">
        <f aca="false">IF(OR($C453="",$F453=""),"",IF($B453="입고",$F453,IF($B453="출고",-$F453,$F453)))</f>
        <v/>
      </c>
      <c r="K453" s="24" t="str">
        <f aca="false">IF($C453="","",IFERROR(INDEX(예비품목록!$E$3:$E$202,MATCH($C453,예비품목록!$A$3:$A$202,0)),0)+SUMIFS($J$3:$J453,$C$3:$C453,$C453))</f>
        <v/>
      </c>
    </row>
    <row r="454" customFormat="false" ht="15" hidden="false" customHeight="true" outlineLevel="0" collapsed="false">
      <c r="A454" s="12"/>
      <c r="B454" s="9"/>
      <c r="C454" s="9"/>
      <c r="D454" s="15" t="str">
        <f aca="false">IF($C454="","",IFERROR(INDEX(예비품목록!$B$3:$B$202,MATCH($C454,예비품목록!$A$3:$A$202,0)),"미등록품번"))</f>
        <v/>
      </c>
      <c r="E454" s="15" t="str">
        <f aca="false">IF($C454="","",IFERROR(INDEX(예비품목록!$D$3:$D$202,MATCH($C454,예비품목록!$A$3:$A$202,0)),""))</f>
        <v/>
      </c>
      <c r="F454" s="11"/>
      <c r="G454" s="9"/>
      <c r="H454" s="9"/>
      <c r="I454" s="9"/>
      <c r="J454" s="23" t="str">
        <f aca="false">IF(OR($C454="",$F454=""),"",IF($B454="입고",$F454,IF($B454="출고",-$F454,$F454)))</f>
        <v/>
      </c>
      <c r="K454" s="24" t="str">
        <f aca="false">IF($C454="","",IFERROR(INDEX(예비품목록!$E$3:$E$202,MATCH($C454,예비품목록!$A$3:$A$202,0)),0)+SUMIFS($J$3:$J454,$C$3:$C454,$C454))</f>
        <v/>
      </c>
    </row>
    <row r="455" customFormat="false" ht="15" hidden="false" customHeight="true" outlineLevel="0" collapsed="false">
      <c r="A455" s="12"/>
      <c r="B455" s="9"/>
      <c r="C455" s="9"/>
      <c r="D455" s="15" t="str">
        <f aca="false">IF($C455="","",IFERROR(INDEX(예비품목록!$B$3:$B$202,MATCH($C455,예비품목록!$A$3:$A$202,0)),"미등록품번"))</f>
        <v/>
      </c>
      <c r="E455" s="15" t="str">
        <f aca="false">IF($C455="","",IFERROR(INDEX(예비품목록!$D$3:$D$202,MATCH($C455,예비품목록!$A$3:$A$202,0)),""))</f>
        <v/>
      </c>
      <c r="F455" s="11"/>
      <c r="G455" s="9"/>
      <c r="H455" s="9"/>
      <c r="I455" s="9"/>
      <c r="J455" s="23" t="str">
        <f aca="false">IF(OR($C455="",$F455=""),"",IF($B455="입고",$F455,IF($B455="출고",-$F455,$F455)))</f>
        <v/>
      </c>
      <c r="K455" s="24" t="str">
        <f aca="false">IF($C455="","",IFERROR(INDEX(예비품목록!$E$3:$E$202,MATCH($C455,예비품목록!$A$3:$A$202,0)),0)+SUMIFS($J$3:$J455,$C$3:$C455,$C455))</f>
        <v/>
      </c>
    </row>
    <row r="456" customFormat="false" ht="15" hidden="false" customHeight="true" outlineLevel="0" collapsed="false">
      <c r="A456" s="12"/>
      <c r="B456" s="9"/>
      <c r="C456" s="9"/>
      <c r="D456" s="15" t="str">
        <f aca="false">IF($C456="","",IFERROR(INDEX(예비품목록!$B$3:$B$202,MATCH($C456,예비품목록!$A$3:$A$202,0)),"미등록품번"))</f>
        <v/>
      </c>
      <c r="E456" s="15" t="str">
        <f aca="false">IF($C456="","",IFERROR(INDEX(예비품목록!$D$3:$D$202,MATCH($C456,예비품목록!$A$3:$A$202,0)),""))</f>
        <v/>
      </c>
      <c r="F456" s="11"/>
      <c r="G456" s="9"/>
      <c r="H456" s="9"/>
      <c r="I456" s="9"/>
      <c r="J456" s="23" t="str">
        <f aca="false">IF(OR($C456="",$F456=""),"",IF($B456="입고",$F456,IF($B456="출고",-$F456,$F456)))</f>
        <v/>
      </c>
      <c r="K456" s="24" t="str">
        <f aca="false">IF($C456="","",IFERROR(INDEX(예비품목록!$E$3:$E$202,MATCH($C456,예비품목록!$A$3:$A$202,0)),0)+SUMIFS($J$3:$J456,$C$3:$C456,$C456))</f>
        <v/>
      </c>
    </row>
    <row r="457" customFormat="false" ht="15" hidden="false" customHeight="true" outlineLevel="0" collapsed="false">
      <c r="A457" s="12"/>
      <c r="B457" s="9"/>
      <c r="C457" s="9"/>
      <c r="D457" s="15" t="str">
        <f aca="false">IF($C457="","",IFERROR(INDEX(예비품목록!$B$3:$B$202,MATCH($C457,예비품목록!$A$3:$A$202,0)),"미등록품번"))</f>
        <v/>
      </c>
      <c r="E457" s="15" t="str">
        <f aca="false">IF($C457="","",IFERROR(INDEX(예비품목록!$D$3:$D$202,MATCH($C457,예비품목록!$A$3:$A$202,0)),""))</f>
        <v/>
      </c>
      <c r="F457" s="11"/>
      <c r="G457" s="9"/>
      <c r="H457" s="9"/>
      <c r="I457" s="9"/>
      <c r="J457" s="23" t="str">
        <f aca="false">IF(OR($C457="",$F457=""),"",IF($B457="입고",$F457,IF($B457="출고",-$F457,$F457)))</f>
        <v/>
      </c>
      <c r="K457" s="24" t="str">
        <f aca="false">IF($C457="","",IFERROR(INDEX(예비품목록!$E$3:$E$202,MATCH($C457,예비품목록!$A$3:$A$202,0)),0)+SUMIFS($J$3:$J457,$C$3:$C457,$C457))</f>
        <v/>
      </c>
    </row>
    <row r="458" customFormat="false" ht="15" hidden="false" customHeight="true" outlineLevel="0" collapsed="false">
      <c r="A458" s="12"/>
      <c r="B458" s="9"/>
      <c r="C458" s="9"/>
      <c r="D458" s="15" t="str">
        <f aca="false">IF($C458="","",IFERROR(INDEX(예비품목록!$B$3:$B$202,MATCH($C458,예비품목록!$A$3:$A$202,0)),"미등록품번"))</f>
        <v/>
      </c>
      <c r="E458" s="15" t="str">
        <f aca="false">IF($C458="","",IFERROR(INDEX(예비품목록!$D$3:$D$202,MATCH($C458,예비품목록!$A$3:$A$202,0)),""))</f>
        <v/>
      </c>
      <c r="F458" s="11"/>
      <c r="G458" s="9"/>
      <c r="H458" s="9"/>
      <c r="I458" s="9"/>
      <c r="J458" s="23" t="str">
        <f aca="false">IF(OR($C458="",$F458=""),"",IF($B458="입고",$F458,IF($B458="출고",-$F458,$F458)))</f>
        <v/>
      </c>
      <c r="K458" s="24" t="str">
        <f aca="false">IF($C458="","",IFERROR(INDEX(예비품목록!$E$3:$E$202,MATCH($C458,예비품목록!$A$3:$A$202,0)),0)+SUMIFS($J$3:$J458,$C$3:$C458,$C458))</f>
        <v/>
      </c>
    </row>
    <row r="459" customFormat="false" ht="15" hidden="false" customHeight="true" outlineLevel="0" collapsed="false">
      <c r="A459" s="12"/>
      <c r="B459" s="9"/>
      <c r="C459" s="9"/>
      <c r="D459" s="15" t="str">
        <f aca="false">IF($C459="","",IFERROR(INDEX(예비품목록!$B$3:$B$202,MATCH($C459,예비품목록!$A$3:$A$202,0)),"미등록품번"))</f>
        <v/>
      </c>
      <c r="E459" s="15" t="str">
        <f aca="false">IF($C459="","",IFERROR(INDEX(예비품목록!$D$3:$D$202,MATCH($C459,예비품목록!$A$3:$A$202,0)),""))</f>
        <v/>
      </c>
      <c r="F459" s="11"/>
      <c r="G459" s="9"/>
      <c r="H459" s="9"/>
      <c r="I459" s="9"/>
      <c r="J459" s="23" t="str">
        <f aca="false">IF(OR($C459="",$F459=""),"",IF($B459="입고",$F459,IF($B459="출고",-$F459,$F459)))</f>
        <v/>
      </c>
      <c r="K459" s="24" t="str">
        <f aca="false">IF($C459="","",IFERROR(INDEX(예비품목록!$E$3:$E$202,MATCH($C459,예비품목록!$A$3:$A$202,0)),0)+SUMIFS($J$3:$J459,$C$3:$C459,$C459))</f>
        <v/>
      </c>
    </row>
    <row r="460" customFormat="false" ht="15" hidden="false" customHeight="true" outlineLevel="0" collapsed="false">
      <c r="A460" s="12"/>
      <c r="B460" s="9"/>
      <c r="C460" s="9"/>
      <c r="D460" s="15" t="str">
        <f aca="false">IF($C460="","",IFERROR(INDEX(예비품목록!$B$3:$B$202,MATCH($C460,예비품목록!$A$3:$A$202,0)),"미등록품번"))</f>
        <v/>
      </c>
      <c r="E460" s="15" t="str">
        <f aca="false">IF($C460="","",IFERROR(INDEX(예비품목록!$D$3:$D$202,MATCH($C460,예비품목록!$A$3:$A$202,0)),""))</f>
        <v/>
      </c>
      <c r="F460" s="11"/>
      <c r="G460" s="9"/>
      <c r="H460" s="9"/>
      <c r="I460" s="9"/>
      <c r="J460" s="23" t="str">
        <f aca="false">IF(OR($C460="",$F460=""),"",IF($B460="입고",$F460,IF($B460="출고",-$F460,$F460)))</f>
        <v/>
      </c>
      <c r="K460" s="24" t="str">
        <f aca="false">IF($C460="","",IFERROR(INDEX(예비품목록!$E$3:$E$202,MATCH($C460,예비품목록!$A$3:$A$202,0)),0)+SUMIFS($J$3:$J460,$C$3:$C460,$C460))</f>
        <v/>
      </c>
    </row>
    <row r="461" customFormat="false" ht="15" hidden="false" customHeight="true" outlineLevel="0" collapsed="false">
      <c r="A461" s="12"/>
      <c r="B461" s="9"/>
      <c r="C461" s="9"/>
      <c r="D461" s="15" t="str">
        <f aca="false">IF($C461="","",IFERROR(INDEX(예비품목록!$B$3:$B$202,MATCH($C461,예비품목록!$A$3:$A$202,0)),"미등록품번"))</f>
        <v/>
      </c>
      <c r="E461" s="15" t="str">
        <f aca="false">IF($C461="","",IFERROR(INDEX(예비품목록!$D$3:$D$202,MATCH($C461,예비품목록!$A$3:$A$202,0)),""))</f>
        <v/>
      </c>
      <c r="F461" s="11"/>
      <c r="G461" s="9"/>
      <c r="H461" s="9"/>
      <c r="I461" s="9"/>
      <c r="J461" s="23" t="str">
        <f aca="false">IF(OR($C461="",$F461=""),"",IF($B461="입고",$F461,IF($B461="출고",-$F461,$F461)))</f>
        <v/>
      </c>
      <c r="K461" s="24" t="str">
        <f aca="false">IF($C461="","",IFERROR(INDEX(예비품목록!$E$3:$E$202,MATCH($C461,예비품목록!$A$3:$A$202,0)),0)+SUMIFS($J$3:$J461,$C$3:$C461,$C461))</f>
        <v/>
      </c>
    </row>
    <row r="462" customFormat="false" ht="15" hidden="false" customHeight="true" outlineLevel="0" collapsed="false">
      <c r="A462" s="12"/>
      <c r="B462" s="9"/>
      <c r="C462" s="9"/>
      <c r="D462" s="15" t="str">
        <f aca="false">IF($C462="","",IFERROR(INDEX(예비품목록!$B$3:$B$202,MATCH($C462,예비품목록!$A$3:$A$202,0)),"미등록품번"))</f>
        <v/>
      </c>
      <c r="E462" s="15" t="str">
        <f aca="false">IF($C462="","",IFERROR(INDEX(예비품목록!$D$3:$D$202,MATCH($C462,예비품목록!$A$3:$A$202,0)),""))</f>
        <v/>
      </c>
      <c r="F462" s="11"/>
      <c r="G462" s="9"/>
      <c r="H462" s="9"/>
      <c r="I462" s="9"/>
      <c r="J462" s="23" t="str">
        <f aca="false">IF(OR($C462="",$F462=""),"",IF($B462="입고",$F462,IF($B462="출고",-$F462,$F462)))</f>
        <v/>
      </c>
      <c r="K462" s="24" t="str">
        <f aca="false">IF($C462="","",IFERROR(INDEX(예비품목록!$E$3:$E$202,MATCH($C462,예비품목록!$A$3:$A$202,0)),0)+SUMIFS($J$3:$J462,$C$3:$C462,$C462))</f>
        <v/>
      </c>
    </row>
    <row r="463" customFormat="false" ht="15" hidden="false" customHeight="true" outlineLevel="0" collapsed="false">
      <c r="A463" s="12"/>
      <c r="B463" s="9"/>
      <c r="C463" s="9"/>
      <c r="D463" s="15" t="str">
        <f aca="false">IF($C463="","",IFERROR(INDEX(예비품목록!$B$3:$B$202,MATCH($C463,예비품목록!$A$3:$A$202,0)),"미등록품번"))</f>
        <v/>
      </c>
      <c r="E463" s="15" t="str">
        <f aca="false">IF($C463="","",IFERROR(INDEX(예비품목록!$D$3:$D$202,MATCH($C463,예비품목록!$A$3:$A$202,0)),""))</f>
        <v/>
      </c>
      <c r="F463" s="11"/>
      <c r="G463" s="9"/>
      <c r="H463" s="9"/>
      <c r="I463" s="9"/>
      <c r="J463" s="23" t="str">
        <f aca="false">IF(OR($C463="",$F463=""),"",IF($B463="입고",$F463,IF($B463="출고",-$F463,$F463)))</f>
        <v/>
      </c>
      <c r="K463" s="24" t="str">
        <f aca="false">IF($C463="","",IFERROR(INDEX(예비품목록!$E$3:$E$202,MATCH($C463,예비품목록!$A$3:$A$202,0)),0)+SUMIFS($J$3:$J463,$C$3:$C463,$C463))</f>
        <v/>
      </c>
    </row>
    <row r="464" customFormat="false" ht="15" hidden="false" customHeight="true" outlineLevel="0" collapsed="false">
      <c r="A464" s="12"/>
      <c r="B464" s="9"/>
      <c r="C464" s="9"/>
      <c r="D464" s="15" t="str">
        <f aca="false">IF($C464="","",IFERROR(INDEX(예비품목록!$B$3:$B$202,MATCH($C464,예비품목록!$A$3:$A$202,0)),"미등록품번"))</f>
        <v/>
      </c>
      <c r="E464" s="15" t="str">
        <f aca="false">IF($C464="","",IFERROR(INDEX(예비품목록!$D$3:$D$202,MATCH($C464,예비품목록!$A$3:$A$202,0)),""))</f>
        <v/>
      </c>
      <c r="F464" s="11"/>
      <c r="G464" s="9"/>
      <c r="H464" s="9"/>
      <c r="I464" s="9"/>
      <c r="J464" s="23" t="str">
        <f aca="false">IF(OR($C464="",$F464=""),"",IF($B464="입고",$F464,IF($B464="출고",-$F464,$F464)))</f>
        <v/>
      </c>
      <c r="K464" s="24" t="str">
        <f aca="false">IF($C464="","",IFERROR(INDEX(예비품목록!$E$3:$E$202,MATCH($C464,예비품목록!$A$3:$A$202,0)),0)+SUMIFS($J$3:$J464,$C$3:$C464,$C464))</f>
        <v/>
      </c>
    </row>
    <row r="465" customFormat="false" ht="15" hidden="false" customHeight="true" outlineLevel="0" collapsed="false">
      <c r="A465" s="12"/>
      <c r="B465" s="9"/>
      <c r="C465" s="9"/>
      <c r="D465" s="15" t="str">
        <f aca="false">IF($C465="","",IFERROR(INDEX(예비품목록!$B$3:$B$202,MATCH($C465,예비품목록!$A$3:$A$202,0)),"미등록품번"))</f>
        <v/>
      </c>
      <c r="E465" s="15" t="str">
        <f aca="false">IF($C465="","",IFERROR(INDEX(예비품목록!$D$3:$D$202,MATCH($C465,예비품목록!$A$3:$A$202,0)),""))</f>
        <v/>
      </c>
      <c r="F465" s="11"/>
      <c r="G465" s="9"/>
      <c r="H465" s="9"/>
      <c r="I465" s="9"/>
      <c r="J465" s="23" t="str">
        <f aca="false">IF(OR($C465="",$F465=""),"",IF($B465="입고",$F465,IF($B465="출고",-$F465,$F465)))</f>
        <v/>
      </c>
      <c r="K465" s="24" t="str">
        <f aca="false">IF($C465="","",IFERROR(INDEX(예비품목록!$E$3:$E$202,MATCH($C465,예비품목록!$A$3:$A$202,0)),0)+SUMIFS($J$3:$J465,$C$3:$C465,$C465))</f>
        <v/>
      </c>
    </row>
    <row r="466" customFormat="false" ht="15" hidden="false" customHeight="true" outlineLevel="0" collapsed="false">
      <c r="A466" s="12"/>
      <c r="B466" s="9"/>
      <c r="C466" s="9"/>
      <c r="D466" s="15" t="str">
        <f aca="false">IF($C466="","",IFERROR(INDEX(예비품목록!$B$3:$B$202,MATCH($C466,예비품목록!$A$3:$A$202,0)),"미등록품번"))</f>
        <v/>
      </c>
      <c r="E466" s="15" t="str">
        <f aca="false">IF($C466="","",IFERROR(INDEX(예비품목록!$D$3:$D$202,MATCH($C466,예비품목록!$A$3:$A$202,0)),""))</f>
        <v/>
      </c>
      <c r="F466" s="11"/>
      <c r="G466" s="9"/>
      <c r="H466" s="9"/>
      <c r="I466" s="9"/>
      <c r="J466" s="23" t="str">
        <f aca="false">IF(OR($C466="",$F466=""),"",IF($B466="입고",$F466,IF($B466="출고",-$F466,$F466)))</f>
        <v/>
      </c>
      <c r="K466" s="24" t="str">
        <f aca="false">IF($C466="","",IFERROR(INDEX(예비품목록!$E$3:$E$202,MATCH($C466,예비품목록!$A$3:$A$202,0)),0)+SUMIFS($J$3:$J466,$C$3:$C466,$C466))</f>
        <v/>
      </c>
    </row>
    <row r="467" customFormat="false" ht="15" hidden="false" customHeight="true" outlineLevel="0" collapsed="false">
      <c r="A467" s="12"/>
      <c r="B467" s="9"/>
      <c r="C467" s="9"/>
      <c r="D467" s="15" t="str">
        <f aca="false">IF($C467="","",IFERROR(INDEX(예비품목록!$B$3:$B$202,MATCH($C467,예비품목록!$A$3:$A$202,0)),"미등록품번"))</f>
        <v/>
      </c>
      <c r="E467" s="15" t="str">
        <f aca="false">IF($C467="","",IFERROR(INDEX(예비품목록!$D$3:$D$202,MATCH($C467,예비품목록!$A$3:$A$202,0)),""))</f>
        <v/>
      </c>
      <c r="F467" s="11"/>
      <c r="G467" s="9"/>
      <c r="H467" s="9"/>
      <c r="I467" s="9"/>
      <c r="J467" s="23" t="str">
        <f aca="false">IF(OR($C467="",$F467=""),"",IF($B467="입고",$F467,IF($B467="출고",-$F467,$F467)))</f>
        <v/>
      </c>
      <c r="K467" s="24" t="str">
        <f aca="false">IF($C467="","",IFERROR(INDEX(예비품목록!$E$3:$E$202,MATCH($C467,예비품목록!$A$3:$A$202,0)),0)+SUMIFS($J$3:$J467,$C$3:$C467,$C467))</f>
        <v/>
      </c>
    </row>
    <row r="468" customFormat="false" ht="15" hidden="false" customHeight="true" outlineLevel="0" collapsed="false">
      <c r="A468" s="12"/>
      <c r="B468" s="9"/>
      <c r="C468" s="9"/>
      <c r="D468" s="15" t="str">
        <f aca="false">IF($C468="","",IFERROR(INDEX(예비품목록!$B$3:$B$202,MATCH($C468,예비품목록!$A$3:$A$202,0)),"미등록품번"))</f>
        <v/>
      </c>
      <c r="E468" s="15" t="str">
        <f aca="false">IF($C468="","",IFERROR(INDEX(예비품목록!$D$3:$D$202,MATCH($C468,예비품목록!$A$3:$A$202,0)),""))</f>
        <v/>
      </c>
      <c r="F468" s="11"/>
      <c r="G468" s="9"/>
      <c r="H468" s="9"/>
      <c r="I468" s="9"/>
      <c r="J468" s="23" t="str">
        <f aca="false">IF(OR($C468="",$F468=""),"",IF($B468="입고",$F468,IF($B468="출고",-$F468,$F468)))</f>
        <v/>
      </c>
      <c r="K468" s="24" t="str">
        <f aca="false">IF($C468="","",IFERROR(INDEX(예비품목록!$E$3:$E$202,MATCH($C468,예비품목록!$A$3:$A$202,0)),0)+SUMIFS($J$3:$J468,$C$3:$C468,$C468))</f>
        <v/>
      </c>
    </row>
    <row r="469" customFormat="false" ht="15" hidden="false" customHeight="true" outlineLevel="0" collapsed="false">
      <c r="A469" s="12"/>
      <c r="B469" s="9"/>
      <c r="C469" s="9"/>
      <c r="D469" s="15" t="str">
        <f aca="false">IF($C469="","",IFERROR(INDEX(예비품목록!$B$3:$B$202,MATCH($C469,예비품목록!$A$3:$A$202,0)),"미등록품번"))</f>
        <v/>
      </c>
      <c r="E469" s="15" t="str">
        <f aca="false">IF($C469="","",IFERROR(INDEX(예비품목록!$D$3:$D$202,MATCH($C469,예비품목록!$A$3:$A$202,0)),""))</f>
        <v/>
      </c>
      <c r="F469" s="11"/>
      <c r="G469" s="9"/>
      <c r="H469" s="9"/>
      <c r="I469" s="9"/>
      <c r="J469" s="23" t="str">
        <f aca="false">IF(OR($C469="",$F469=""),"",IF($B469="입고",$F469,IF($B469="출고",-$F469,$F469)))</f>
        <v/>
      </c>
      <c r="K469" s="24" t="str">
        <f aca="false">IF($C469="","",IFERROR(INDEX(예비품목록!$E$3:$E$202,MATCH($C469,예비품목록!$A$3:$A$202,0)),0)+SUMIFS($J$3:$J469,$C$3:$C469,$C469))</f>
        <v/>
      </c>
    </row>
    <row r="470" customFormat="false" ht="15" hidden="false" customHeight="true" outlineLevel="0" collapsed="false">
      <c r="A470" s="12"/>
      <c r="B470" s="9"/>
      <c r="C470" s="9"/>
      <c r="D470" s="15" t="str">
        <f aca="false">IF($C470="","",IFERROR(INDEX(예비품목록!$B$3:$B$202,MATCH($C470,예비품목록!$A$3:$A$202,0)),"미등록품번"))</f>
        <v/>
      </c>
      <c r="E470" s="15" t="str">
        <f aca="false">IF($C470="","",IFERROR(INDEX(예비품목록!$D$3:$D$202,MATCH($C470,예비품목록!$A$3:$A$202,0)),""))</f>
        <v/>
      </c>
      <c r="F470" s="11"/>
      <c r="G470" s="9"/>
      <c r="H470" s="9"/>
      <c r="I470" s="9"/>
      <c r="J470" s="23" t="str">
        <f aca="false">IF(OR($C470="",$F470=""),"",IF($B470="입고",$F470,IF($B470="출고",-$F470,$F470)))</f>
        <v/>
      </c>
      <c r="K470" s="24" t="str">
        <f aca="false">IF($C470="","",IFERROR(INDEX(예비품목록!$E$3:$E$202,MATCH($C470,예비품목록!$A$3:$A$202,0)),0)+SUMIFS($J$3:$J470,$C$3:$C470,$C470))</f>
        <v/>
      </c>
    </row>
    <row r="471" customFormat="false" ht="15" hidden="false" customHeight="true" outlineLevel="0" collapsed="false">
      <c r="A471" s="12"/>
      <c r="B471" s="9"/>
      <c r="C471" s="9"/>
      <c r="D471" s="15" t="str">
        <f aca="false">IF($C471="","",IFERROR(INDEX(예비품목록!$B$3:$B$202,MATCH($C471,예비품목록!$A$3:$A$202,0)),"미등록품번"))</f>
        <v/>
      </c>
      <c r="E471" s="15" t="str">
        <f aca="false">IF($C471="","",IFERROR(INDEX(예비품목록!$D$3:$D$202,MATCH($C471,예비품목록!$A$3:$A$202,0)),""))</f>
        <v/>
      </c>
      <c r="F471" s="11"/>
      <c r="G471" s="9"/>
      <c r="H471" s="9"/>
      <c r="I471" s="9"/>
      <c r="J471" s="23" t="str">
        <f aca="false">IF(OR($C471="",$F471=""),"",IF($B471="입고",$F471,IF($B471="출고",-$F471,$F471)))</f>
        <v/>
      </c>
      <c r="K471" s="24" t="str">
        <f aca="false">IF($C471="","",IFERROR(INDEX(예비품목록!$E$3:$E$202,MATCH($C471,예비품목록!$A$3:$A$202,0)),0)+SUMIFS($J$3:$J471,$C$3:$C471,$C471))</f>
        <v/>
      </c>
    </row>
    <row r="472" customFormat="false" ht="15" hidden="false" customHeight="true" outlineLevel="0" collapsed="false">
      <c r="A472" s="12"/>
      <c r="B472" s="9"/>
      <c r="C472" s="9"/>
      <c r="D472" s="15" t="str">
        <f aca="false">IF($C472="","",IFERROR(INDEX(예비품목록!$B$3:$B$202,MATCH($C472,예비품목록!$A$3:$A$202,0)),"미등록품번"))</f>
        <v/>
      </c>
      <c r="E472" s="15" t="str">
        <f aca="false">IF($C472="","",IFERROR(INDEX(예비품목록!$D$3:$D$202,MATCH($C472,예비품목록!$A$3:$A$202,0)),""))</f>
        <v/>
      </c>
      <c r="F472" s="11"/>
      <c r="G472" s="9"/>
      <c r="H472" s="9"/>
      <c r="I472" s="9"/>
      <c r="J472" s="23" t="str">
        <f aca="false">IF(OR($C472="",$F472=""),"",IF($B472="입고",$F472,IF($B472="출고",-$F472,$F472)))</f>
        <v/>
      </c>
      <c r="K472" s="24" t="str">
        <f aca="false">IF($C472="","",IFERROR(INDEX(예비품목록!$E$3:$E$202,MATCH($C472,예비품목록!$A$3:$A$202,0)),0)+SUMIFS($J$3:$J472,$C$3:$C472,$C472))</f>
        <v/>
      </c>
    </row>
    <row r="473" customFormat="false" ht="15" hidden="false" customHeight="true" outlineLevel="0" collapsed="false">
      <c r="A473" s="12"/>
      <c r="B473" s="9"/>
      <c r="C473" s="9"/>
      <c r="D473" s="15" t="str">
        <f aca="false">IF($C473="","",IFERROR(INDEX(예비품목록!$B$3:$B$202,MATCH($C473,예비품목록!$A$3:$A$202,0)),"미등록품번"))</f>
        <v/>
      </c>
      <c r="E473" s="15" t="str">
        <f aca="false">IF($C473="","",IFERROR(INDEX(예비품목록!$D$3:$D$202,MATCH($C473,예비품목록!$A$3:$A$202,0)),""))</f>
        <v/>
      </c>
      <c r="F473" s="11"/>
      <c r="G473" s="9"/>
      <c r="H473" s="9"/>
      <c r="I473" s="9"/>
      <c r="J473" s="23" t="str">
        <f aca="false">IF(OR($C473="",$F473=""),"",IF($B473="입고",$F473,IF($B473="출고",-$F473,$F473)))</f>
        <v/>
      </c>
      <c r="K473" s="24" t="str">
        <f aca="false">IF($C473="","",IFERROR(INDEX(예비품목록!$E$3:$E$202,MATCH($C473,예비품목록!$A$3:$A$202,0)),0)+SUMIFS($J$3:$J473,$C$3:$C473,$C473))</f>
        <v/>
      </c>
    </row>
    <row r="474" customFormat="false" ht="15" hidden="false" customHeight="true" outlineLevel="0" collapsed="false">
      <c r="A474" s="12"/>
      <c r="B474" s="9"/>
      <c r="C474" s="9"/>
      <c r="D474" s="15" t="str">
        <f aca="false">IF($C474="","",IFERROR(INDEX(예비품목록!$B$3:$B$202,MATCH($C474,예비품목록!$A$3:$A$202,0)),"미등록품번"))</f>
        <v/>
      </c>
      <c r="E474" s="15" t="str">
        <f aca="false">IF($C474="","",IFERROR(INDEX(예비품목록!$D$3:$D$202,MATCH($C474,예비품목록!$A$3:$A$202,0)),""))</f>
        <v/>
      </c>
      <c r="F474" s="11"/>
      <c r="G474" s="9"/>
      <c r="H474" s="9"/>
      <c r="I474" s="9"/>
      <c r="J474" s="23" t="str">
        <f aca="false">IF(OR($C474="",$F474=""),"",IF($B474="입고",$F474,IF($B474="출고",-$F474,$F474)))</f>
        <v/>
      </c>
      <c r="K474" s="24" t="str">
        <f aca="false">IF($C474="","",IFERROR(INDEX(예비품목록!$E$3:$E$202,MATCH($C474,예비품목록!$A$3:$A$202,0)),0)+SUMIFS($J$3:$J474,$C$3:$C474,$C474))</f>
        <v/>
      </c>
    </row>
    <row r="475" customFormat="false" ht="15" hidden="false" customHeight="true" outlineLevel="0" collapsed="false">
      <c r="A475" s="12"/>
      <c r="B475" s="9"/>
      <c r="C475" s="9"/>
      <c r="D475" s="15" t="str">
        <f aca="false">IF($C475="","",IFERROR(INDEX(예비품목록!$B$3:$B$202,MATCH($C475,예비품목록!$A$3:$A$202,0)),"미등록품번"))</f>
        <v/>
      </c>
      <c r="E475" s="15" t="str">
        <f aca="false">IF($C475="","",IFERROR(INDEX(예비품목록!$D$3:$D$202,MATCH($C475,예비품목록!$A$3:$A$202,0)),""))</f>
        <v/>
      </c>
      <c r="F475" s="11"/>
      <c r="G475" s="9"/>
      <c r="H475" s="9"/>
      <c r="I475" s="9"/>
      <c r="J475" s="23" t="str">
        <f aca="false">IF(OR($C475="",$F475=""),"",IF($B475="입고",$F475,IF($B475="출고",-$F475,$F475)))</f>
        <v/>
      </c>
      <c r="K475" s="24" t="str">
        <f aca="false">IF($C475="","",IFERROR(INDEX(예비품목록!$E$3:$E$202,MATCH($C475,예비품목록!$A$3:$A$202,0)),0)+SUMIFS($J$3:$J475,$C$3:$C475,$C475))</f>
        <v/>
      </c>
    </row>
    <row r="476" customFormat="false" ht="15" hidden="false" customHeight="true" outlineLevel="0" collapsed="false">
      <c r="A476" s="12"/>
      <c r="B476" s="9"/>
      <c r="C476" s="9"/>
      <c r="D476" s="15" t="str">
        <f aca="false">IF($C476="","",IFERROR(INDEX(예비품목록!$B$3:$B$202,MATCH($C476,예비품목록!$A$3:$A$202,0)),"미등록품번"))</f>
        <v/>
      </c>
      <c r="E476" s="15" t="str">
        <f aca="false">IF($C476="","",IFERROR(INDEX(예비품목록!$D$3:$D$202,MATCH($C476,예비품목록!$A$3:$A$202,0)),""))</f>
        <v/>
      </c>
      <c r="F476" s="11"/>
      <c r="G476" s="9"/>
      <c r="H476" s="9"/>
      <c r="I476" s="9"/>
      <c r="J476" s="23" t="str">
        <f aca="false">IF(OR($C476="",$F476=""),"",IF($B476="입고",$F476,IF($B476="출고",-$F476,$F476)))</f>
        <v/>
      </c>
      <c r="K476" s="24" t="str">
        <f aca="false">IF($C476="","",IFERROR(INDEX(예비품목록!$E$3:$E$202,MATCH($C476,예비품목록!$A$3:$A$202,0)),0)+SUMIFS($J$3:$J476,$C$3:$C476,$C476))</f>
        <v/>
      </c>
    </row>
    <row r="477" customFormat="false" ht="15" hidden="false" customHeight="true" outlineLevel="0" collapsed="false">
      <c r="A477" s="12"/>
      <c r="B477" s="9"/>
      <c r="C477" s="9"/>
      <c r="D477" s="15" t="str">
        <f aca="false">IF($C477="","",IFERROR(INDEX(예비품목록!$B$3:$B$202,MATCH($C477,예비품목록!$A$3:$A$202,0)),"미등록품번"))</f>
        <v/>
      </c>
      <c r="E477" s="15" t="str">
        <f aca="false">IF($C477="","",IFERROR(INDEX(예비품목록!$D$3:$D$202,MATCH($C477,예비품목록!$A$3:$A$202,0)),""))</f>
        <v/>
      </c>
      <c r="F477" s="11"/>
      <c r="G477" s="9"/>
      <c r="H477" s="9"/>
      <c r="I477" s="9"/>
      <c r="J477" s="23" t="str">
        <f aca="false">IF(OR($C477="",$F477=""),"",IF($B477="입고",$F477,IF($B477="출고",-$F477,$F477)))</f>
        <v/>
      </c>
      <c r="K477" s="24" t="str">
        <f aca="false">IF($C477="","",IFERROR(INDEX(예비품목록!$E$3:$E$202,MATCH($C477,예비품목록!$A$3:$A$202,0)),0)+SUMIFS($J$3:$J477,$C$3:$C477,$C477))</f>
        <v/>
      </c>
    </row>
    <row r="478" customFormat="false" ht="15" hidden="false" customHeight="true" outlineLevel="0" collapsed="false">
      <c r="A478" s="12"/>
      <c r="B478" s="9"/>
      <c r="C478" s="9"/>
      <c r="D478" s="15" t="str">
        <f aca="false">IF($C478="","",IFERROR(INDEX(예비품목록!$B$3:$B$202,MATCH($C478,예비품목록!$A$3:$A$202,0)),"미등록품번"))</f>
        <v/>
      </c>
      <c r="E478" s="15" t="str">
        <f aca="false">IF($C478="","",IFERROR(INDEX(예비품목록!$D$3:$D$202,MATCH($C478,예비품목록!$A$3:$A$202,0)),""))</f>
        <v/>
      </c>
      <c r="F478" s="11"/>
      <c r="G478" s="9"/>
      <c r="H478" s="9"/>
      <c r="I478" s="9"/>
      <c r="J478" s="23" t="str">
        <f aca="false">IF(OR($C478="",$F478=""),"",IF($B478="입고",$F478,IF($B478="출고",-$F478,$F478)))</f>
        <v/>
      </c>
      <c r="K478" s="24" t="str">
        <f aca="false">IF($C478="","",IFERROR(INDEX(예비품목록!$E$3:$E$202,MATCH($C478,예비품목록!$A$3:$A$202,0)),0)+SUMIFS($J$3:$J478,$C$3:$C478,$C478))</f>
        <v/>
      </c>
    </row>
    <row r="479" customFormat="false" ht="15" hidden="false" customHeight="true" outlineLevel="0" collapsed="false">
      <c r="A479" s="12"/>
      <c r="B479" s="9"/>
      <c r="C479" s="9"/>
      <c r="D479" s="15" t="str">
        <f aca="false">IF($C479="","",IFERROR(INDEX(예비품목록!$B$3:$B$202,MATCH($C479,예비품목록!$A$3:$A$202,0)),"미등록품번"))</f>
        <v/>
      </c>
      <c r="E479" s="15" t="str">
        <f aca="false">IF($C479="","",IFERROR(INDEX(예비품목록!$D$3:$D$202,MATCH($C479,예비품목록!$A$3:$A$202,0)),""))</f>
        <v/>
      </c>
      <c r="F479" s="11"/>
      <c r="G479" s="9"/>
      <c r="H479" s="9"/>
      <c r="I479" s="9"/>
      <c r="J479" s="23" t="str">
        <f aca="false">IF(OR($C479="",$F479=""),"",IF($B479="입고",$F479,IF($B479="출고",-$F479,$F479)))</f>
        <v/>
      </c>
      <c r="K479" s="24" t="str">
        <f aca="false">IF($C479="","",IFERROR(INDEX(예비품목록!$E$3:$E$202,MATCH($C479,예비품목록!$A$3:$A$202,0)),0)+SUMIFS($J$3:$J479,$C$3:$C479,$C479))</f>
        <v/>
      </c>
    </row>
    <row r="480" customFormat="false" ht="15" hidden="false" customHeight="true" outlineLevel="0" collapsed="false">
      <c r="A480" s="12"/>
      <c r="B480" s="9"/>
      <c r="C480" s="9"/>
      <c r="D480" s="15" t="str">
        <f aca="false">IF($C480="","",IFERROR(INDEX(예비품목록!$B$3:$B$202,MATCH($C480,예비품목록!$A$3:$A$202,0)),"미등록품번"))</f>
        <v/>
      </c>
      <c r="E480" s="15" t="str">
        <f aca="false">IF($C480="","",IFERROR(INDEX(예비품목록!$D$3:$D$202,MATCH($C480,예비품목록!$A$3:$A$202,0)),""))</f>
        <v/>
      </c>
      <c r="F480" s="11"/>
      <c r="G480" s="9"/>
      <c r="H480" s="9"/>
      <c r="I480" s="9"/>
      <c r="J480" s="23" t="str">
        <f aca="false">IF(OR($C480="",$F480=""),"",IF($B480="입고",$F480,IF($B480="출고",-$F480,$F480)))</f>
        <v/>
      </c>
      <c r="K480" s="24" t="str">
        <f aca="false">IF($C480="","",IFERROR(INDEX(예비품목록!$E$3:$E$202,MATCH($C480,예비품목록!$A$3:$A$202,0)),0)+SUMIFS($J$3:$J480,$C$3:$C480,$C480))</f>
        <v/>
      </c>
    </row>
    <row r="481" customFormat="false" ht="15" hidden="false" customHeight="true" outlineLevel="0" collapsed="false">
      <c r="A481" s="12"/>
      <c r="B481" s="9"/>
      <c r="C481" s="9"/>
      <c r="D481" s="15" t="str">
        <f aca="false">IF($C481="","",IFERROR(INDEX(예비품목록!$B$3:$B$202,MATCH($C481,예비품목록!$A$3:$A$202,0)),"미등록품번"))</f>
        <v/>
      </c>
      <c r="E481" s="15" t="str">
        <f aca="false">IF($C481="","",IFERROR(INDEX(예비품목록!$D$3:$D$202,MATCH($C481,예비품목록!$A$3:$A$202,0)),""))</f>
        <v/>
      </c>
      <c r="F481" s="11"/>
      <c r="G481" s="9"/>
      <c r="H481" s="9"/>
      <c r="I481" s="9"/>
      <c r="J481" s="23" t="str">
        <f aca="false">IF(OR($C481="",$F481=""),"",IF($B481="입고",$F481,IF($B481="출고",-$F481,$F481)))</f>
        <v/>
      </c>
      <c r="K481" s="24" t="str">
        <f aca="false">IF($C481="","",IFERROR(INDEX(예비품목록!$E$3:$E$202,MATCH($C481,예비품목록!$A$3:$A$202,0)),0)+SUMIFS($J$3:$J481,$C$3:$C481,$C481))</f>
        <v/>
      </c>
    </row>
    <row r="482" customFormat="false" ht="15" hidden="false" customHeight="true" outlineLevel="0" collapsed="false">
      <c r="A482" s="12"/>
      <c r="B482" s="9"/>
      <c r="C482" s="9"/>
      <c r="D482" s="15" t="str">
        <f aca="false">IF($C482="","",IFERROR(INDEX(예비품목록!$B$3:$B$202,MATCH($C482,예비품목록!$A$3:$A$202,0)),"미등록품번"))</f>
        <v/>
      </c>
      <c r="E482" s="15" t="str">
        <f aca="false">IF($C482="","",IFERROR(INDEX(예비품목록!$D$3:$D$202,MATCH($C482,예비품목록!$A$3:$A$202,0)),""))</f>
        <v/>
      </c>
      <c r="F482" s="11"/>
      <c r="G482" s="9"/>
      <c r="H482" s="9"/>
      <c r="I482" s="9"/>
      <c r="J482" s="23" t="str">
        <f aca="false">IF(OR($C482="",$F482=""),"",IF($B482="입고",$F482,IF($B482="출고",-$F482,$F482)))</f>
        <v/>
      </c>
      <c r="K482" s="24" t="str">
        <f aca="false">IF($C482="","",IFERROR(INDEX(예비품목록!$E$3:$E$202,MATCH($C482,예비품목록!$A$3:$A$202,0)),0)+SUMIFS($J$3:$J482,$C$3:$C482,$C482))</f>
        <v/>
      </c>
    </row>
    <row r="483" customFormat="false" ht="15" hidden="false" customHeight="true" outlineLevel="0" collapsed="false">
      <c r="A483" s="12"/>
      <c r="B483" s="9"/>
      <c r="C483" s="9"/>
      <c r="D483" s="15" t="str">
        <f aca="false">IF($C483="","",IFERROR(INDEX(예비품목록!$B$3:$B$202,MATCH($C483,예비품목록!$A$3:$A$202,0)),"미등록품번"))</f>
        <v/>
      </c>
      <c r="E483" s="15" t="str">
        <f aca="false">IF($C483="","",IFERROR(INDEX(예비품목록!$D$3:$D$202,MATCH($C483,예비품목록!$A$3:$A$202,0)),""))</f>
        <v/>
      </c>
      <c r="F483" s="11"/>
      <c r="G483" s="9"/>
      <c r="H483" s="9"/>
      <c r="I483" s="9"/>
      <c r="J483" s="23" t="str">
        <f aca="false">IF(OR($C483="",$F483=""),"",IF($B483="입고",$F483,IF($B483="출고",-$F483,$F483)))</f>
        <v/>
      </c>
      <c r="K483" s="24" t="str">
        <f aca="false">IF($C483="","",IFERROR(INDEX(예비품목록!$E$3:$E$202,MATCH($C483,예비품목록!$A$3:$A$202,0)),0)+SUMIFS($J$3:$J483,$C$3:$C483,$C483))</f>
        <v/>
      </c>
    </row>
    <row r="484" customFormat="false" ht="15" hidden="false" customHeight="true" outlineLevel="0" collapsed="false">
      <c r="A484" s="12"/>
      <c r="B484" s="9"/>
      <c r="C484" s="9"/>
      <c r="D484" s="15" t="str">
        <f aca="false">IF($C484="","",IFERROR(INDEX(예비품목록!$B$3:$B$202,MATCH($C484,예비품목록!$A$3:$A$202,0)),"미등록품번"))</f>
        <v/>
      </c>
      <c r="E484" s="15" t="str">
        <f aca="false">IF($C484="","",IFERROR(INDEX(예비품목록!$D$3:$D$202,MATCH($C484,예비품목록!$A$3:$A$202,0)),""))</f>
        <v/>
      </c>
      <c r="F484" s="11"/>
      <c r="G484" s="9"/>
      <c r="H484" s="9"/>
      <c r="I484" s="9"/>
      <c r="J484" s="23" t="str">
        <f aca="false">IF(OR($C484="",$F484=""),"",IF($B484="입고",$F484,IF($B484="출고",-$F484,$F484)))</f>
        <v/>
      </c>
      <c r="K484" s="24" t="str">
        <f aca="false">IF($C484="","",IFERROR(INDEX(예비품목록!$E$3:$E$202,MATCH($C484,예비품목록!$A$3:$A$202,0)),0)+SUMIFS($J$3:$J484,$C$3:$C484,$C484))</f>
        <v/>
      </c>
    </row>
    <row r="485" customFormat="false" ht="15" hidden="false" customHeight="true" outlineLevel="0" collapsed="false">
      <c r="A485" s="12"/>
      <c r="B485" s="9"/>
      <c r="C485" s="9"/>
      <c r="D485" s="15" t="str">
        <f aca="false">IF($C485="","",IFERROR(INDEX(예비품목록!$B$3:$B$202,MATCH($C485,예비품목록!$A$3:$A$202,0)),"미등록품번"))</f>
        <v/>
      </c>
      <c r="E485" s="15" t="str">
        <f aca="false">IF($C485="","",IFERROR(INDEX(예비품목록!$D$3:$D$202,MATCH($C485,예비품목록!$A$3:$A$202,0)),""))</f>
        <v/>
      </c>
      <c r="F485" s="11"/>
      <c r="G485" s="9"/>
      <c r="H485" s="9"/>
      <c r="I485" s="9"/>
      <c r="J485" s="23" t="str">
        <f aca="false">IF(OR($C485="",$F485=""),"",IF($B485="입고",$F485,IF($B485="출고",-$F485,$F485)))</f>
        <v/>
      </c>
      <c r="K485" s="24" t="str">
        <f aca="false">IF($C485="","",IFERROR(INDEX(예비품목록!$E$3:$E$202,MATCH($C485,예비품목록!$A$3:$A$202,0)),0)+SUMIFS($J$3:$J485,$C$3:$C485,$C485))</f>
        <v/>
      </c>
    </row>
    <row r="486" customFormat="false" ht="15" hidden="false" customHeight="true" outlineLevel="0" collapsed="false">
      <c r="A486" s="12"/>
      <c r="B486" s="9"/>
      <c r="C486" s="9"/>
      <c r="D486" s="15" t="str">
        <f aca="false">IF($C486="","",IFERROR(INDEX(예비품목록!$B$3:$B$202,MATCH($C486,예비품목록!$A$3:$A$202,0)),"미등록품번"))</f>
        <v/>
      </c>
      <c r="E486" s="15" t="str">
        <f aca="false">IF($C486="","",IFERROR(INDEX(예비품목록!$D$3:$D$202,MATCH($C486,예비품목록!$A$3:$A$202,0)),""))</f>
        <v/>
      </c>
      <c r="F486" s="11"/>
      <c r="G486" s="9"/>
      <c r="H486" s="9"/>
      <c r="I486" s="9"/>
      <c r="J486" s="23" t="str">
        <f aca="false">IF(OR($C486="",$F486=""),"",IF($B486="입고",$F486,IF($B486="출고",-$F486,$F486)))</f>
        <v/>
      </c>
      <c r="K486" s="24" t="str">
        <f aca="false">IF($C486="","",IFERROR(INDEX(예비품목록!$E$3:$E$202,MATCH($C486,예비품목록!$A$3:$A$202,0)),0)+SUMIFS($J$3:$J486,$C$3:$C486,$C486))</f>
        <v/>
      </c>
    </row>
    <row r="487" customFormat="false" ht="15" hidden="false" customHeight="true" outlineLevel="0" collapsed="false">
      <c r="A487" s="12"/>
      <c r="B487" s="9"/>
      <c r="C487" s="9"/>
      <c r="D487" s="15" t="str">
        <f aca="false">IF($C487="","",IFERROR(INDEX(예비품목록!$B$3:$B$202,MATCH($C487,예비품목록!$A$3:$A$202,0)),"미등록품번"))</f>
        <v/>
      </c>
      <c r="E487" s="15" t="str">
        <f aca="false">IF($C487="","",IFERROR(INDEX(예비품목록!$D$3:$D$202,MATCH($C487,예비품목록!$A$3:$A$202,0)),""))</f>
        <v/>
      </c>
      <c r="F487" s="11"/>
      <c r="G487" s="9"/>
      <c r="H487" s="9"/>
      <c r="I487" s="9"/>
      <c r="J487" s="23" t="str">
        <f aca="false">IF(OR($C487="",$F487=""),"",IF($B487="입고",$F487,IF($B487="출고",-$F487,$F487)))</f>
        <v/>
      </c>
      <c r="K487" s="24" t="str">
        <f aca="false">IF($C487="","",IFERROR(INDEX(예비품목록!$E$3:$E$202,MATCH($C487,예비품목록!$A$3:$A$202,0)),0)+SUMIFS($J$3:$J487,$C$3:$C487,$C487))</f>
        <v/>
      </c>
    </row>
    <row r="488" customFormat="false" ht="15" hidden="false" customHeight="true" outlineLevel="0" collapsed="false">
      <c r="A488" s="12"/>
      <c r="B488" s="9"/>
      <c r="C488" s="9"/>
      <c r="D488" s="15" t="str">
        <f aca="false">IF($C488="","",IFERROR(INDEX(예비품목록!$B$3:$B$202,MATCH($C488,예비품목록!$A$3:$A$202,0)),"미등록품번"))</f>
        <v/>
      </c>
      <c r="E488" s="15" t="str">
        <f aca="false">IF($C488="","",IFERROR(INDEX(예비품목록!$D$3:$D$202,MATCH($C488,예비품목록!$A$3:$A$202,0)),""))</f>
        <v/>
      </c>
      <c r="F488" s="11"/>
      <c r="G488" s="9"/>
      <c r="H488" s="9"/>
      <c r="I488" s="9"/>
      <c r="J488" s="23" t="str">
        <f aca="false">IF(OR($C488="",$F488=""),"",IF($B488="입고",$F488,IF($B488="출고",-$F488,$F488)))</f>
        <v/>
      </c>
      <c r="K488" s="24" t="str">
        <f aca="false">IF($C488="","",IFERROR(INDEX(예비품목록!$E$3:$E$202,MATCH($C488,예비품목록!$A$3:$A$202,0)),0)+SUMIFS($J$3:$J488,$C$3:$C488,$C488))</f>
        <v/>
      </c>
    </row>
    <row r="489" customFormat="false" ht="15" hidden="false" customHeight="true" outlineLevel="0" collapsed="false">
      <c r="A489" s="12"/>
      <c r="B489" s="9"/>
      <c r="C489" s="9"/>
      <c r="D489" s="15" t="str">
        <f aca="false">IF($C489="","",IFERROR(INDEX(예비품목록!$B$3:$B$202,MATCH($C489,예비품목록!$A$3:$A$202,0)),"미등록품번"))</f>
        <v/>
      </c>
      <c r="E489" s="15" t="str">
        <f aca="false">IF($C489="","",IFERROR(INDEX(예비품목록!$D$3:$D$202,MATCH($C489,예비품목록!$A$3:$A$202,0)),""))</f>
        <v/>
      </c>
      <c r="F489" s="11"/>
      <c r="G489" s="9"/>
      <c r="H489" s="9"/>
      <c r="I489" s="9"/>
      <c r="J489" s="23" t="str">
        <f aca="false">IF(OR($C489="",$F489=""),"",IF($B489="입고",$F489,IF($B489="출고",-$F489,$F489)))</f>
        <v/>
      </c>
      <c r="K489" s="24" t="str">
        <f aca="false">IF($C489="","",IFERROR(INDEX(예비품목록!$E$3:$E$202,MATCH($C489,예비품목록!$A$3:$A$202,0)),0)+SUMIFS($J$3:$J489,$C$3:$C489,$C489))</f>
        <v/>
      </c>
    </row>
    <row r="490" customFormat="false" ht="15" hidden="false" customHeight="true" outlineLevel="0" collapsed="false">
      <c r="A490" s="12"/>
      <c r="B490" s="9"/>
      <c r="C490" s="9"/>
      <c r="D490" s="15" t="str">
        <f aca="false">IF($C490="","",IFERROR(INDEX(예비품목록!$B$3:$B$202,MATCH($C490,예비품목록!$A$3:$A$202,0)),"미등록품번"))</f>
        <v/>
      </c>
      <c r="E490" s="15" t="str">
        <f aca="false">IF($C490="","",IFERROR(INDEX(예비품목록!$D$3:$D$202,MATCH($C490,예비품목록!$A$3:$A$202,0)),""))</f>
        <v/>
      </c>
      <c r="F490" s="11"/>
      <c r="G490" s="9"/>
      <c r="H490" s="9"/>
      <c r="I490" s="9"/>
      <c r="J490" s="23" t="str">
        <f aca="false">IF(OR($C490="",$F490=""),"",IF($B490="입고",$F490,IF($B490="출고",-$F490,$F490)))</f>
        <v/>
      </c>
      <c r="K490" s="24" t="str">
        <f aca="false">IF($C490="","",IFERROR(INDEX(예비품목록!$E$3:$E$202,MATCH($C490,예비품목록!$A$3:$A$202,0)),0)+SUMIFS($J$3:$J490,$C$3:$C490,$C490))</f>
        <v/>
      </c>
    </row>
    <row r="491" customFormat="false" ht="15" hidden="false" customHeight="true" outlineLevel="0" collapsed="false">
      <c r="A491" s="12"/>
      <c r="B491" s="9"/>
      <c r="C491" s="9"/>
      <c r="D491" s="15" t="str">
        <f aca="false">IF($C491="","",IFERROR(INDEX(예비품목록!$B$3:$B$202,MATCH($C491,예비품목록!$A$3:$A$202,0)),"미등록품번"))</f>
        <v/>
      </c>
      <c r="E491" s="15" t="str">
        <f aca="false">IF($C491="","",IFERROR(INDEX(예비품목록!$D$3:$D$202,MATCH($C491,예비품목록!$A$3:$A$202,0)),""))</f>
        <v/>
      </c>
      <c r="F491" s="11"/>
      <c r="G491" s="9"/>
      <c r="H491" s="9"/>
      <c r="I491" s="9"/>
      <c r="J491" s="23" t="str">
        <f aca="false">IF(OR($C491="",$F491=""),"",IF($B491="입고",$F491,IF($B491="출고",-$F491,$F491)))</f>
        <v/>
      </c>
      <c r="K491" s="24" t="str">
        <f aca="false">IF($C491="","",IFERROR(INDEX(예비품목록!$E$3:$E$202,MATCH($C491,예비품목록!$A$3:$A$202,0)),0)+SUMIFS($J$3:$J491,$C$3:$C491,$C491))</f>
        <v/>
      </c>
    </row>
    <row r="492" customFormat="false" ht="15" hidden="false" customHeight="true" outlineLevel="0" collapsed="false">
      <c r="A492" s="12"/>
      <c r="B492" s="9"/>
      <c r="C492" s="9"/>
      <c r="D492" s="15" t="str">
        <f aca="false">IF($C492="","",IFERROR(INDEX(예비품목록!$B$3:$B$202,MATCH($C492,예비품목록!$A$3:$A$202,0)),"미등록품번"))</f>
        <v/>
      </c>
      <c r="E492" s="15" t="str">
        <f aca="false">IF($C492="","",IFERROR(INDEX(예비품목록!$D$3:$D$202,MATCH($C492,예비품목록!$A$3:$A$202,0)),""))</f>
        <v/>
      </c>
      <c r="F492" s="11"/>
      <c r="G492" s="9"/>
      <c r="H492" s="9"/>
      <c r="I492" s="9"/>
      <c r="J492" s="23" t="str">
        <f aca="false">IF(OR($C492="",$F492=""),"",IF($B492="입고",$F492,IF($B492="출고",-$F492,$F492)))</f>
        <v/>
      </c>
      <c r="K492" s="24" t="str">
        <f aca="false">IF($C492="","",IFERROR(INDEX(예비품목록!$E$3:$E$202,MATCH($C492,예비품목록!$A$3:$A$202,0)),0)+SUMIFS($J$3:$J492,$C$3:$C492,$C492))</f>
        <v/>
      </c>
    </row>
    <row r="493" customFormat="false" ht="15" hidden="false" customHeight="true" outlineLevel="0" collapsed="false">
      <c r="A493" s="12"/>
      <c r="B493" s="9"/>
      <c r="C493" s="9"/>
      <c r="D493" s="15" t="str">
        <f aca="false">IF($C493="","",IFERROR(INDEX(예비품목록!$B$3:$B$202,MATCH($C493,예비품목록!$A$3:$A$202,0)),"미등록품번"))</f>
        <v/>
      </c>
      <c r="E493" s="15" t="str">
        <f aca="false">IF($C493="","",IFERROR(INDEX(예비품목록!$D$3:$D$202,MATCH($C493,예비품목록!$A$3:$A$202,0)),""))</f>
        <v/>
      </c>
      <c r="F493" s="11"/>
      <c r="G493" s="9"/>
      <c r="H493" s="9"/>
      <c r="I493" s="9"/>
      <c r="J493" s="23" t="str">
        <f aca="false">IF(OR($C493="",$F493=""),"",IF($B493="입고",$F493,IF($B493="출고",-$F493,$F493)))</f>
        <v/>
      </c>
      <c r="K493" s="24" t="str">
        <f aca="false">IF($C493="","",IFERROR(INDEX(예비품목록!$E$3:$E$202,MATCH($C493,예비품목록!$A$3:$A$202,0)),0)+SUMIFS($J$3:$J493,$C$3:$C493,$C493))</f>
        <v/>
      </c>
    </row>
    <row r="494" customFormat="false" ht="15" hidden="false" customHeight="true" outlineLevel="0" collapsed="false">
      <c r="A494" s="12"/>
      <c r="B494" s="9"/>
      <c r="C494" s="9"/>
      <c r="D494" s="15" t="str">
        <f aca="false">IF($C494="","",IFERROR(INDEX(예비품목록!$B$3:$B$202,MATCH($C494,예비품목록!$A$3:$A$202,0)),"미등록품번"))</f>
        <v/>
      </c>
      <c r="E494" s="15" t="str">
        <f aca="false">IF($C494="","",IFERROR(INDEX(예비품목록!$D$3:$D$202,MATCH($C494,예비품목록!$A$3:$A$202,0)),""))</f>
        <v/>
      </c>
      <c r="F494" s="11"/>
      <c r="G494" s="9"/>
      <c r="H494" s="9"/>
      <c r="I494" s="9"/>
      <c r="J494" s="23" t="str">
        <f aca="false">IF(OR($C494="",$F494=""),"",IF($B494="입고",$F494,IF($B494="출고",-$F494,$F494)))</f>
        <v/>
      </c>
      <c r="K494" s="24" t="str">
        <f aca="false">IF($C494="","",IFERROR(INDEX(예비품목록!$E$3:$E$202,MATCH($C494,예비품목록!$A$3:$A$202,0)),0)+SUMIFS($J$3:$J494,$C$3:$C494,$C494))</f>
        <v/>
      </c>
    </row>
    <row r="495" customFormat="false" ht="15" hidden="false" customHeight="true" outlineLevel="0" collapsed="false">
      <c r="A495" s="12"/>
      <c r="B495" s="9"/>
      <c r="C495" s="9"/>
      <c r="D495" s="15" t="str">
        <f aca="false">IF($C495="","",IFERROR(INDEX(예비품목록!$B$3:$B$202,MATCH($C495,예비품목록!$A$3:$A$202,0)),"미등록품번"))</f>
        <v/>
      </c>
      <c r="E495" s="15" t="str">
        <f aca="false">IF($C495="","",IFERROR(INDEX(예비품목록!$D$3:$D$202,MATCH($C495,예비품목록!$A$3:$A$202,0)),""))</f>
        <v/>
      </c>
      <c r="F495" s="11"/>
      <c r="G495" s="9"/>
      <c r="H495" s="9"/>
      <c r="I495" s="9"/>
      <c r="J495" s="23" t="str">
        <f aca="false">IF(OR($C495="",$F495=""),"",IF($B495="입고",$F495,IF($B495="출고",-$F495,$F495)))</f>
        <v/>
      </c>
      <c r="K495" s="24" t="str">
        <f aca="false">IF($C495="","",IFERROR(INDEX(예비품목록!$E$3:$E$202,MATCH($C495,예비품목록!$A$3:$A$202,0)),0)+SUMIFS($J$3:$J495,$C$3:$C495,$C495))</f>
        <v/>
      </c>
    </row>
    <row r="496" customFormat="false" ht="15" hidden="false" customHeight="true" outlineLevel="0" collapsed="false">
      <c r="A496" s="12"/>
      <c r="B496" s="9"/>
      <c r="C496" s="9"/>
      <c r="D496" s="15" t="str">
        <f aca="false">IF($C496="","",IFERROR(INDEX(예비품목록!$B$3:$B$202,MATCH($C496,예비품목록!$A$3:$A$202,0)),"미등록품번"))</f>
        <v/>
      </c>
      <c r="E496" s="15" t="str">
        <f aca="false">IF($C496="","",IFERROR(INDEX(예비품목록!$D$3:$D$202,MATCH($C496,예비품목록!$A$3:$A$202,0)),""))</f>
        <v/>
      </c>
      <c r="F496" s="11"/>
      <c r="G496" s="9"/>
      <c r="H496" s="9"/>
      <c r="I496" s="9"/>
      <c r="J496" s="23" t="str">
        <f aca="false">IF(OR($C496="",$F496=""),"",IF($B496="입고",$F496,IF($B496="출고",-$F496,$F496)))</f>
        <v/>
      </c>
      <c r="K496" s="24" t="str">
        <f aca="false">IF($C496="","",IFERROR(INDEX(예비품목록!$E$3:$E$202,MATCH($C496,예비품목록!$A$3:$A$202,0)),0)+SUMIFS($J$3:$J496,$C$3:$C496,$C496))</f>
        <v/>
      </c>
    </row>
    <row r="497" customFormat="false" ht="15" hidden="false" customHeight="true" outlineLevel="0" collapsed="false">
      <c r="A497" s="12"/>
      <c r="B497" s="9"/>
      <c r="C497" s="9"/>
      <c r="D497" s="15" t="str">
        <f aca="false">IF($C497="","",IFERROR(INDEX(예비품목록!$B$3:$B$202,MATCH($C497,예비품목록!$A$3:$A$202,0)),"미등록품번"))</f>
        <v/>
      </c>
      <c r="E497" s="15" t="str">
        <f aca="false">IF($C497="","",IFERROR(INDEX(예비품목록!$D$3:$D$202,MATCH($C497,예비품목록!$A$3:$A$202,0)),""))</f>
        <v/>
      </c>
      <c r="F497" s="11"/>
      <c r="G497" s="9"/>
      <c r="H497" s="9"/>
      <c r="I497" s="9"/>
      <c r="J497" s="23" t="str">
        <f aca="false">IF(OR($C497="",$F497=""),"",IF($B497="입고",$F497,IF($B497="출고",-$F497,$F497)))</f>
        <v/>
      </c>
      <c r="K497" s="24" t="str">
        <f aca="false">IF($C497="","",IFERROR(INDEX(예비품목록!$E$3:$E$202,MATCH($C497,예비품목록!$A$3:$A$202,0)),0)+SUMIFS($J$3:$J497,$C$3:$C497,$C497))</f>
        <v/>
      </c>
    </row>
    <row r="498" customFormat="false" ht="15" hidden="false" customHeight="true" outlineLevel="0" collapsed="false">
      <c r="A498" s="12"/>
      <c r="B498" s="9"/>
      <c r="C498" s="9"/>
      <c r="D498" s="15" t="str">
        <f aca="false">IF($C498="","",IFERROR(INDEX(예비품목록!$B$3:$B$202,MATCH($C498,예비품목록!$A$3:$A$202,0)),"미등록품번"))</f>
        <v/>
      </c>
      <c r="E498" s="15" t="str">
        <f aca="false">IF($C498="","",IFERROR(INDEX(예비품목록!$D$3:$D$202,MATCH($C498,예비품목록!$A$3:$A$202,0)),""))</f>
        <v/>
      </c>
      <c r="F498" s="11"/>
      <c r="G498" s="9"/>
      <c r="H498" s="9"/>
      <c r="I498" s="9"/>
      <c r="J498" s="23" t="str">
        <f aca="false">IF(OR($C498="",$F498=""),"",IF($B498="입고",$F498,IF($B498="출고",-$F498,$F498)))</f>
        <v/>
      </c>
      <c r="K498" s="24" t="str">
        <f aca="false">IF($C498="","",IFERROR(INDEX(예비품목록!$E$3:$E$202,MATCH($C498,예비품목록!$A$3:$A$202,0)),0)+SUMIFS($J$3:$J498,$C$3:$C498,$C498))</f>
        <v/>
      </c>
    </row>
    <row r="499" customFormat="false" ht="15" hidden="false" customHeight="true" outlineLevel="0" collapsed="false">
      <c r="A499" s="12"/>
      <c r="B499" s="9"/>
      <c r="C499" s="9"/>
      <c r="D499" s="15" t="str">
        <f aca="false">IF($C499="","",IFERROR(INDEX(예비품목록!$B$3:$B$202,MATCH($C499,예비품목록!$A$3:$A$202,0)),"미등록품번"))</f>
        <v/>
      </c>
      <c r="E499" s="15" t="str">
        <f aca="false">IF($C499="","",IFERROR(INDEX(예비품목록!$D$3:$D$202,MATCH($C499,예비품목록!$A$3:$A$202,0)),""))</f>
        <v/>
      </c>
      <c r="F499" s="11"/>
      <c r="G499" s="9"/>
      <c r="H499" s="9"/>
      <c r="I499" s="9"/>
      <c r="J499" s="23" t="str">
        <f aca="false">IF(OR($C499="",$F499=""),"",IF($B499="입고",$F499,IF($B499="출고",-$F499,$F499)))</f>
        <v/>
      </c>
      <c r="K499" s="24" t="str">
        <f aca="false">IF($C499="","",IFERROR(INDEX(예비품목록!$E$3:$E$202,MATCH($C499,예비품목록!$A$3:$A$202,0)),0)+SUMIFS($J$3:$J499,$C$3:$C499,$C499))</f>
        <v/>
      </c>
    </row>
    <row r="500" customFormat="false" ht="15" hidden="false" customHeight="true" outlineLevel="0" collapsed="false">
      <c r="A500" s="12"/>
      <c r="B500" s="9"/>
      <c r="C500" s="9"/>
      <c r="D500" s="15" t="str">
        <f aca="false">IF($C500="","",IFERROR(INDEX(예비품목록!$B$3:$B$202,MATCH($C500,예비품목록!$A$3:$A$202,0)),"미등록품번"))</f>
        <v/>
      </c>
      <c r="E500" s="15" t="str">
        <f aca="false">IF($C500="","",IFERROR(INDEX(예비품목록!$D$3:$D$202,MATCH($C500,예비품목록!$A$3:$A$202,0)),""))</f>
        <v/>
      </c>
      <c r="F500" s="11"/>
      <c r="G500" s="9"/>
      <c r="H500" s="9"/>
      <c r="I500" s="9"/>
      <c r="J500" s="23" t="str">
        <f aca="false">IF(OR($C500="",$F500=""),"",IF($B500="입고",$F500,IF($B500="출고",-$F500,$F500)))</f>
        <v/>
      </c>
      <c r="K500" s="24" t="str">
        <f aca="false">IF($C500="","",IFERROR(INDEX(예비품목록!$E$3:$E$202,MATCH($C500,예비품목록!$A$3:$A$202,0)),0)+SUMIFS($J$3:$J500,$C$3:$C500,$C500))</f>
        <v/>
      </c>
    </row>
    <row r="501" customFormat="false" ht="15" hidden="false" customHeight="true" outlineLevel="0" collapsed="false">
      <c r="A501" s="12"/>
      <c r="B501" s="9"/>
      <c r="C501" s="9"/>
      <c r="D501" s="15" t="str">
        <f aca="false">IF($C501="","",IFERROR(INDEX(예비품목록!$B$3:$B$202,MATCH($C501,예비품목록!$A$3:$A$202,0)),"미등록품번"))</f>
        <v/>
      </c>
      <c r="E501" s="15" t="str">
        <f aca="false">IF($C501="","",IFERROR(INDEX(예비품목록!$D$3:$D$202,MATCH($C501,예비품목록!$A$3:$A$202,0)),""))</f>
        <v/>
      </c>
      <c r="F501" s="11"/>
      <c r="G501" s="9"/>
      <c r="H501" s="9"/>
      <c r="I501" s="9"/>
      <c r="J501" s="23" t="str">
        <f aca="false">IF(OR($C501="",$F501=""),"",IF($B501="입고",$F501,IF($B501="출고",-$F501,$F501)))</f>
        <v/>
      </c>
      <c r="K501" s="24" t="str">
        <f aca="false">IF($C501="","",IFERROR(INDEX(예비품목록!$E$3:$E$202,MATCH($C501,예비품목록!$A$3:$A$202,0)),0)+SUMIFS($J$3:$J501,$C$3:$C501,$C501))</f>
        <v/>
      </c>
    </row>
    <row r="502" customFormat="false" ht="15" hidden="false" customHeight="true" outlineLevel="0" collapsed="false">
      <c r="A502" s="12"/>
      <c r="B502" s="9"/>
      <c r="C502" s="9"/>
      <c r="D502" s="15" t="str">
        <f aca="false">IF($C502="","",IFERROR(INDEX(예비품목록!$B$3:$B$202,MATCH($C502,예비품목록!$A$3:$A$202,0)),"미등록품번"))</f>
        <v/>
      </c>
      <c r="E502" s="15" t="str">
        <f aca="false">IF($C502="","",IFERROR(INDEX(예비품목록!$D$3:$D$202,MATCH($C502,예비품목록!$A$3:$A$202,0)),""))</f>
        <v/>
      </c>
      <c r="F502" s="11"/>
      <c r="G502" s="9"/>
      <c r="H502" s="9"/>
      <c r="I502" s="9"/>
      <c r="J502" s="23" t="str">
        <f aca="false">IF(OR($C502="",$F502=""),"",IF($B502="입고",$F502,IF($B502="출고",-$F502,$F502)))</f>
        <v/>
      </c>
      <c r="K502" s="24" t="str">
        <f aca="false">IF($C502="","",IFERROR(INDEX(예비품목록!$E$3:$E$202,MATCH($C502,예비품목록!$A$3:$A$202,0)),0)+SUMIFS($J$3:$J502,$C$3:$C502,$C502))</f>
        <v/>
      </c>
    </row>
    <row r="503" customFormat="false" ht="15" hidden="false" customHeight="true" outlineLevel="0" collapsed="false">
      <c r="A503" s="12"/>
      <c r="B503" s="9"/>
      <c r="C503" s="9"/>
      <c r="D503" s="15" t="str">
        <f aca="false">IF($C503="","",IFERROR(INDEX(예비품목록!$B$3:$B$202,MATCH($C503,예비품목록!$A$3:$A$202,0)),"미등록품번"))</f>
        <v/>
      </c>
      <c r="E503" s="15" t="str">
        <f aca="false">IF($C503="","",IFERROR(INDEX(예비품목록!$D$3:$D$202,MATCH($C503,예비품목록!$A$3:$A$202,0)),""))</f>
        <v/>
      </c>
      <c r="F503" s="11"/>
      <c r="G503" s="9"/>
      <c r="H503" s="9"/>
      <c r="I503" s="9"/>
      <c r="J503" s="23" t="str">
        <f aca="false">IF(OR($C503="",$F503=""),"",IF($B503="입고",$F503,IF($B503="출고",-$F503,$F503)))</f>
        <v/>
      </c>
      <c r="K503" s="24" t="str">
        <f aca="false">IF($C503="","",IFERROR(INDEX(예비품목록!$E$3:$E$202,MATCH($C503,예비품목록!$A$3:$A$202,0)),0)+SUMIFS($J$3:$J503,$C$3:$C503,$C503))</f>
        <v/>
      </c>
    </row>
    <row r="504" customFormat="false" ht="15" hidden="false" customHeight="true" outlineLevel="0" collapsed="false">
      <c r="A504" s="12"/>
      <c r="B504" s="9"/>
      <c r="C504" s="9"/>
      <c r="D504" s="15" t="str">
        <f aca="false">IF($C504="","",IFERROR(INDEX(예비품목록!$B$3:$B$202,MATCH($C504,예비품목록!$A$3:$A$202,0)),"미등록품번"))</f>
        <v/>
      </c>
      <c r="E504" s="15" t="str">
        <f aca="false">IF($C504="","",IFERROR(INDEX(예비품목록!$D$3:$D$202,MATCH($C504,예비품목록!$A$3:$A$202,0)),""))</f>
        <v/>
      </c>
      <c r="F504" s="11"/>
      <c r="G504" s="9"/>
      <c r="H504" s="9"/>
      <c r="I504" s="9"/>
      <c r="J504" s="23" t="str">
        <f aca="false">IF(OR($C504="",$F504=""),"",IF($B504="입고",$F504,IF($B504="출고",-$F504,$F504)))</f>
        <v/>
      </c>
      <c r="K504" s="24" t="str">
        <f aca="false">IF($C504="","",IFERROR(INDEX(예비품목록!$E$3:$E$202,MATCH($C504,예비품목록!$A$3:$A$202,0)),0)+SUMIFS($J$3:$J504,$C$3:$C504,$C504))</f>
        <v/>
      </c>
    </row>
    <row r="505" customFormat="false" ht="15" hidden="false" customHeight="true" outlineLevel="0" collapsed="false">
      <c r="A505" s="12"/>
      <c r="B505" s="9"/>
      <c r="C505" s="9"/>
      <c r="D505" s="15" t="str">
        <f aca="false">IF($C505="","",IFERROR(INDEX(예비품목록!$B$3:$B$202,MATCH($C505,예비품목록!$A$3:$A$202,0)),"미등록품번"))</f>
        <v/>
      </c>
      <c r="E505" s="15" t="str">
        <f aca="false">IF($C505="","",IFERROR(INDEX(예비품목록!$D$3:$D$202,MATCH($C505,예비품목록!$A$3:$A$202,0)),""))</f>
        <v/>
      </c>
      <c r="F505" s="11"/>
      <c r="G505" s="9"/>
      <c r="H505" s="9"/>
      <c r="I505" s="9"/>
      <c r="J505" s="23" t="str">
        <f aca="false">IF(OR($C505="",$F505=""),"",IF($B505="입고",$F505,IF($B505="출고",-$F505,$F505)))</f>
        <v/>
      </c>
      <c r="K505" s="24" t="str">
        <f aca="false">IF($C505="","",IFERROR(INDEX(예비품목록!$E$3:$E$202,MATCH($C505,예비품목록!$A$3:$A$202,0)),0)+SUMIFS($J$3:$J505,$C$3:$C505,$C505))</f>
        <v/>
      </c>
    </row>
    <row r="506" customFormat="false" ht="15" hidden="false" customHeight="true" outlineLevel="0" collapsed="false">
      <c r="A506" s="12"/>
      <c r="B506" s="9"/>
      <c r="C506" s="9"/>
      <c r="D506" s="15" t="str">
        <f aca="false">IF($C506="","",IFERROR(INDEX(예비품목록!$B$3:$B$202,MATCH($C506,예비품목록!$A$3:$A$202,0)),"미등록품번"))</f>
        <v/>
      </c>
      <c r="E506" s="15" t="str">
        <f aca="false">IF($C506="","",IFERROR(INDEX(예비품목록!$D$3:$D$202,MATCH($C506,예비품목록!$A$3:$A$202,0)),""))</f>
        <v/>
      </c>
      <c r="F506" s="11"/>
      <c r="G506" s="9"/>
      <c r="H506" s="9"/>
      <c r="I506" s="9"/>
      <c r="J506" s="23" t="str">
        <f aca="false">IF(OR($C506="",$F506=""),"",IF($B506="입고",$F506,IF($B506="출고",-$F506,$F506)))</f>
        <v/>
      </c>
      <c r="K506" s="24" t="str">
        <f aca="false">IF($C506="","",IFERROR(INDEX(예비품목록!$E$3:$E$202,MATCH($C506,예비품목록!$A$3:$A$202,0)),0)+SUMIFS($J$3:$J506,$C$3:$C506,$C506))</f>
        <v/>
      </c>
    </row>
    <row r="507" customFormat="false" ht="15" hidden="false" customHeight="true" outlineLevel="0" collapsed="false">
      <c r="A507" s="12"/>
      <c r="B507" s="9"/>
      <c r="C507" s="9"/>
      <c r="D507" s="15" t="str">
        <f aca="false">IF($C507="","",IFERROR(INDEX(예비품목록!$B$3:$B$202,MATCH($C507,예비품목록!$A$3:$A$202,0)),"미등록품번"))</f>
        <v/>
      </c>
      <c r="E507" s="15" t="str">
        <f aca="false">IF($C507="","",IFERROR(INDEX(예비품목록!$D$3:$D$202,MATCH($C507,예비품목록!$A$3:$A$202,0)),""))</f>
        <v/>
      </c>
      <c r="F507" s="11"/>
      <c r="G507" s="9"/>
      <c r="H507" s="9"/>
      <c r="I507" s="9"/>
      <c r="J507" s="23" t="str">
        <f aca="false">IF(OR($C507="",$F507=""),"",IF($B507="입고",$F507,IF($B507="출고",-$F507,$F507)))</f>
        <v/>
      </c>
      <c r="K507" s="24" t="str">
        <f aca="false">IF($C507="","",IFERROR(INDEX(예비품목록!$E$3:$E$202,MATCH($C507,예비품목록!$A$3:$A$202,0)),0)+SUMIFS($J$3:$J507,$C$3:$C507,$C507))</f>
        <v/>
      </c>
    </row>
    <row r="508" customFormat="false" ht="15" hidden="false" customHeight="true" outlineLevel="0" collapsed="false">
      <c r="A508" s="12"/>
      <c r="B508" s="9"/>
      <c r="C508" s="9"/>
      <c r="D508" s="15" t="str">
        <f aca="false">IF($C508="","",IFERROR(INDEX(예비품목록!$B$3:$B$202,MATCH($C508,예비품목록!$A$3:$A$202,0)),"미등록품번"))</f>
        <v/>
      </c>
      <c r="E508" s="15" t="str">
        <f aca="false">IF($C508="","",IFERROR(INDEX(예비품목록!$D$3:$D$202,MATCH($C508,예비품목록!$A$3:$A$202,0)),""))</f>
        <v/>
      </c>
      <c r="F508" s="11"/>
      <c r="G508" s="9"/>
      <c r="H508" s="9"/>
      <c r="I508" s="9"/>
      <c r="J508" s="23" t="str">
        <f aca="false">IF(OR($C508="",$F508=""),"",IF($B508="입고",$F508,IF($B508="출고",-$F508,$F508)))</f>
        <v/>
      </c>
      <c r="K508" s="24" t="str">
        <f aca="false">IF($C508="","",IFERROR(INDEX(예비품목록!$E$3:$E$202,MATCH($C508,예비품목록!$A$3:$A$202,0)),0)+SUMIFS($J$3:$J508,$C$3:$C508,$C508))</f>
        <v/>
      </c>
    </row>
    <row r="509" customFormat="false" ht="15" hidden="false" customHeight="true" outlineLevel="0" collapsed="false">
      <c r="A509" s="12"/>
      <c r="B509" s="9"/>
      <c r="C509" s="9"/>
      <c r="D509" s="15" t="str">
        <f aca="false">IF($C509="","",IFERROR(INDEX(예비품목록!$B$3:$B$202,MATCH($C509,예비품목록!$A$3:$A$202,0)),"미등록품번"))</f>
        <v/>
      </c>
      <c r="E509" s="15" t="str">
        <f aca="false">IF($C509="","",IFERROR(INDEX(예비품목록!$D$3:$D$202,MATCH($C509,예비품목록!$A$3:$A$202,0)),""))</f>
        <v/>
      </c>
      <c r="F509" s="11"/>
      <c r="G509" s="9"/>
      <c r="H509" s="9"/>
      <c r="I509" s="9"/>
      <c r="J509" s="23" t="str">
        <f aca="false">IF(OR($C509="",$F509=""),"",IF($B509="입고",$F509,IF($B509="출고",-$F509,$F509)))</f>
        <v/>
      </c>
      <c r="K509" s="24" t="str">
        <f aca="false">IF($C509="","",IFERROR(INDEX(예비품목록!$E$3:$E$202,MATCH($C509,예비품목록!$A$3:$A$202,0)),0)+SUMIFS($J$3:$J509,$C$3:$C509,$C509))</f>
        <v/>
      </c>
    </row>
    <row r="510" customFormat="false" ht="15" hidden="false" customHeight="true" outlineLevel="0" collapsed="false">
      <c r="A510" s="12"/>
      <c r="B510" s="9"/>
      <c r="C510" s="9"/>
      <c r="D510" s="15" t="str">
        <f aca="false">IF($C510="","",IFERROR(INDEX(예비품목록!$B$3:$B$202,MATCH($C510,예비품목록!$A$3:$A$202,0)),"미등록품번"))</f>
        <v/>
      </c>
      <c r="E510" s="15" t="str">
        <f aca="false">IF($C510="","",IFERROR(INDEX(예비품목록!$D$3:$D$202,MATCH($C510,예비품목록!$A$3:$A$202,0)),""))</f>
        <v/>
      </c>
      <c r="F510" s="11"/>
      <c r="G510" s="9"/>
      <c r="H510" s="9"/>
      <c r="I510" s="9"/>
      <c r="J510" s="23" t="str">
        <f aca="false">IF(OR($C510="",$F510=""),"",IF($B510="입고",$F510,IF($B510="출고",-$F510,$F510)))</f>
        <v/>
      </c>
      <c r="K510" s="24" t="str">
        <f aca="false">IF($C510="","",IFERROR(INDEX(예비품목록!$E$3:$E$202,MATCH($C510,예비품목록!$A$3:$A$202,0)),0)+SUMIFS($J$3:$J510,$C$3:$C510,$C510))</f>
        <v/>
      </c>
    </row>
    <row r="511" customFormat="false" ht="15" hidden="false" customHeight="true" outlineLevel="0" collapsed="false">
      <c r="A511" s="12"/>
      <c r="B511" s="9"/>
      <c r="C511" s="9"/>
      <c r="D511" s="15" t="str">
        <f aca="false">IF($C511="","",IFERROR(INDEX(예비품목록!$B$3:$B$202,MATCH($C511,예비품목록!$A$3:$A$202,0)),"미등록품번"))</f>
        <v/>
      </c>
      <c r="E511" s="15" t="str">
        <f aca="false">IF($C511="","",IFERROR(INDEX(예비품목록!$D$3:$D$202,MATCH($C511,예비품목록!$A$3:$A$202,0)),""))</f>
        <v/>
      </c>
      <c r="F511" s="11"/>
      <c r="G511" s="9"/>
      <c r="H511" s="9"/>
      <c r="I511" s="9"/>
      <c r="J511" s="23" t="str">
        <f aca="false">IF(OR($C511="",$F511=""),"",IF($B511="입고",$F511,IF($B511="출고",-$F511,$F511)))</f>
        <v/>
      </c>
      <c r="K511" s="24" t="str">
        <f aca="false">IF($C511="","",IFERROR(INDEX(예비품목록!$E$3:$E$202,MATCH($C511,예비품목록!$A$3:$A$202,0)),0)+SUMIFS($J$3:$J511,$C$3:$C511,$C511))</f>
        <v/>
      </c>
    </row>
    <row r="512" customFormat="false" ht="15" hidden="false" customHeight="true" outlineLevel="0" collapsed="false">
      <c r="A512" s="12"/>
      <c r="B512" s="9"/>
      <c r="C512" s="9"/>
      <c r="D512" s="15" t="str">
        <f aca="false">IF($C512="","",IFERROR(INDEX(예비품목록!$B$3:$B$202,MATCH($C512,예비품목록!$A$3:$A$202,0)),"미등록품번"))</f>
        <v/>
      </c>
      <c r="E512" s="15" t="str">
        <f aca="false">IF($C512="","",IFERROR(INDEX(예비품목록!$D$3:$D$202,MATCH($C512,예비품목록!$A$3:$A$202,0)),""))</f>
        <v/>
      </c>
      <c r="F512" s="11"/>
      <c r="G512" s="9"/>
      <c r="H512" s="9"/>
      <c r="I512" s="9"/>
      <c r="J512" s="23" t="str">
        <f aca="false">IF(OR($C512="",$F512=""),"",IF($B512="입고",$F512,IF($B512="출고",-$F512,$F512)))</f>
        <v/>
      </c>
      <c r="K512" s="24" t="str">
        <f aca="false">IF($C512="","",IFERROR(INDEX(예비품목록!$E$3:$E$202,MATCH($C512,예비품목록!$A$3:$A$202,0)),0)+SUMIFS($J$3:$J512,$C$3:$C512,$C512))</f>
        <v/>
      </c>
    </row>
    <row r="513" customFormat="false" ht="15" hidden="false" customHeight="true" outlineLevel="0" collapsed="false">
      <c r="A513" s="12"/>
      <c r="B513" s="9"/>
      <c r="C513" s="9"/>
      <c r="D513" s="15" t="str">
        <f aca="false">IF($C513="","",IFERROR(INDEX(예비품목록!$B$3:$B$202,MATCH($C513,예비품목록!$A$3:$A$202,0)),"미등록품번"))</f>
        <v/>
      </c>
      <c r="E513" s="15" t="str">
        <f aca="false">IF($C513="","",IFERROR(INDEX(예비품목록!$D$3:$D$202,MATCH($C513,예비품목록!$A$3:$A$202,0)),""))</f>
        <v/>
      </c>
      <c r="F513" s="11"/>
      <c r="G513" s="9"/>
      <c r="H513" s="9"/>
      <c r="I513" s="9"/>
      <c r="J513" s="23" t="str">
        <f aca="false">IF(OR($C513="",$F513=""),"",IF($B513="입고",$F513,IF($B513="출고",-$F513,$F513)))</f>
        <v/>
      </c>
      <c r="K513" s="24" t="str">
        <f aca="false">IF($C513="","",IFERROR(INDEX(예비품목록!$E$3:$E$202,MATCH($C513,예비품목록!$A$3:$A$202,0)),0)+SUMIFS($J$3:$J513,$C$3:$C513,$C513))</f>
        <v/>
      </c>
    </row>
    <row r="514" customFormat="false" ht="15" hidden="false" customHeight="true" outlineLevel="0" collapsed="false">
      <c r="A514" s="12"/>
      <c r="B514" s="9"/>
      <c r="C514" s="9"/>
      <c r="D514" s="15" t="str">
        <f aca="false">IF($C514="","",IFERROR(INDEX(예비품목록!$B$3:$B$202,MATCH($C514,예비품목록!$A$3:$A$202,0)),"미등록품번"))</f>
        <v/>
      </c>
      <c r="E514" s="15" t="str">
        <f aca="false">IF($C514="","",IFERROR(INDEX(예비품목록!$D$3:$D$202,MATCH($C514,예비품목록!$A$3:$A$202,0)),""))</f>
        <v/>
      </c>
      <c r="F514" s="11"/>
      <c r="G514" s="9"/>
      <c r="H514" s="9"/>
      <c r="I514" s="9"/>
      <c r="J514" s="23" t="str">
        <f aca="false">IF(OR($C514="",$F514=""),"",IF($B514="입고",$F514,IF($B514="출고",-$F514,$F514)))</f>
        <v/>
      </c>
      <c r="K514" s="24" t="str">
        <f aca="false">IF($C514="","",IFERROR(INDEX(예비품목록!$E$3:$E$202,MATCH($C514,예비품목록!$A$3:$A$202,0)),0)+SUMIFS($J$3:$J514,$C$3:$C514,$C514))</f>
        <v/>
      </c>
    </row>
    <row r="515" customFormat="false" ht="15" hidden="false" customHeight="true" outlineLevel="0" collapsed="false">
      <c r="A515" s="12"/>
      <c r="B515" s="9"/>
      <c r="C515" s="9"/>
      <c r="D515" s="15" t="str">
        <f aca="false">IF($C515="","",IFERROR(INDEX(예비품목록!$B$3:$B$202,MATCH($C515,예비품목록!$A$3:$A$202,0)),"미등록품번"))</f>
        <v/>
      </c>
      <c r="E515" s="15" t="str">
        <f aca="false">IF($C515="","",IFERROR(INDEX(예비품목록!$D$3:$D$202,MATCH($C515,예비품목록!$A$3:$A$202,0)),""))</f>
        <v/>
      </c>
      <c r="F515" s="11"/>
      <c r="G515" s="9"/>
      <c r="H515" s="9"/>
      <c r="I515" s="9"/>
      <c r="J515" s="23" t="str">
        <f aca="false">IF(OR($C515="",$F515=""),"",IF($B515="입고",$F515,IF($B515="출고",-$F515,$F515)))</f>
        <v/>
      </c>
      <c r="K515" s="24" t="str">
        <f aca="false">IF($C515="","",IFERROR(INDEX(예비품목록!$E$3:$E$202,MATCH($C515,예비품목록!$A$3:$A$202,0)),0)+SUMIFS($J$3:$J515,$C$3:$C515,$C515))</f>
        <v/>
      </c>
    </row>
    <row r="516" customFormat="false" ht="15" hidden="false" customHeight="true" outlineLevel="0" collapsed="false">
      <c r="A516" s="12"/>
      <c r="B516" s="9"/>
      <c r="C516" s="9"/>
      <c r="D516" s="15" t="str">
        <f aca="false">IF($C516="","",IFERROR(INDEX(예비품목록!$B$3:$B$202,MATCH($C516,예비품목록!$A$3:$A$202,0)),"미등록품번"))</f>
        <v/>
      </c>
      <c r="E516" s="15" t="str">
        <f aca="false">IF($C516="","",IFERROR(INDEX(예비품목록!$D$3:$D$202,MATCH($C516,예비품목록!$A$3:$A$202,0)),""))</f>
        <v/>
      </c>
      <c r="F516" s="11"/>
      <c r="G516" s="9"/>
      <c r="H516" s="9"/>
      <c r="I516" s="9"/>
      <c r="J516" s="23" t="str">
        <f aca="false">IF(OR($C516="",$F516=""),"",IF($B516="입고",$F516,IF($B516="출고",-$F516,$F516)))</f>
        <v/>
      </c>
      <c r="K516" s="24" t="str">
        <f aca="false">IF($C516="","",IFERROR(INDEX(예비품목록!$E$3:$E$202,MATCH($C516,예비품목록!$A$3:$A$202,0)),0)+SUMIFS($J$3:$J516,$C$3:$C516,$C516))</f>
        <v/>
      </c>
    </row>
    <row r="517" customFormat="false" ht="15" hidden="false" customHeight="true" outlineLevel="0" collapsed="false">
      <c r="A517" s="12"/>
      <c r="B517" s="9"/>
      <c r="C517" s="9"/>
      <c r="D517" s="15" t="str">
        <f aca="false">IF($C517="","",IFERROR(INDEX(예비품목록!$B$3:$B$202,MATCH($C517,예비품목록!$A$3:$A$202,0)),"미등록품번"))</f>
        <v/>
      </c>
      <c r="E517" s="15" t="str">
        <f aca="false">IF($C517="","",IFERROR(INDEX(예비품목록!$D$3:$D$202,MATCH($C517,예비품목록!$A$3:$A$202,0)),""))</f>
        <v/>
      </c>
      <c r="F517" s="11"/>
      <c r="G517" s="9"/>
      <c r="H517" s="9"/>
      <c r="I517" s="9"/>
      <c r="J517" s="23" t="str">
        <f aca="false">IF(OR($C517="",$F517=""),"",IF($B517="입고",$F517,IF($B517="출고",-$F517,$F517)))</f>
        <v/>
      </c>
      <c r="K517" s="24" t="str">
        <f aca="false">IF($C517="","",IFERROR(INDEX(예비품목록!$E$3:$E$202,MATCH($C517,예비품목록!$A$3:$A$202,0)),0)+SUMIFS($J$3:$J517,$C$3:$C517,$C517))</f>
        <v/>
      </c>
    </row>
    <row r="518" customFormat="false" ht="15" hidden="false" customHeight="true" outlineLevel="0" collapsed="false">
      <c r="A518" s="12"/>
      <c r="B518" s="9"/>
      <c r="C518" s="9"/>
      <c r="D518" s="15" t="str">
        <f aca="false">IF($C518="","",IFERROR(INDEX(예비품목록!$B$3:$B$202,MATCH($C518,예비품목록!$A$3:$A$202,0)),"미등록품번"))</f>
        <v/>
      </c>
      <c r="E518" s="15" t="str">
        <f aca="false">IF($C518="","",IFERROR(INDEX(예비품목록!$D$3:$D$202,MATCH($C518,예비품목록!$A$3:$A$202,0)),""))</f>
        <v/>
      </c>
      <c r="F518" s="11"/>
      <c r="G518" s="9"/>
      <c r="H518" s="9"/>
      <c r="I518" s="9"/>
      <c r="J518" s="23" t="str">
        <f aca="false">IF(OR($C518="",$F518=""),"",IF($B518="입고",$F518,IF($B518="출고",-$F518,$F518)))</f>
        <v/>
      </c>
      <c r="K518" s="24" t="str">
        <f aca="false">IF($C518="","",IFERROR(INDEX(예비품목록!$E$3:$E$202,MATCH($C518,예비품목록!$A$3:$A$202,0)),0)+SUMIFS($J$3:$J518,$C$3:$C518,$C518))</f>
        <v/>
      </c>
    </row>
    <row r="519" customFormat="false" ht="15" hidden="false" customHeight="true" outlineLevel="0" collapsed="false">
      <c r="A519" s="12"/>
      <c r="B519" s="9"/>
      <c r="C519" s="9"/>
      <c r="D519" s="15" t="str">
        <f aca="false">IF($C519="","",IFERROR(INDEX(예비품목록!$B$3:$B$202,MATCH($C519,예비품목록!$A$3:$A$202,0)),"미등록품번"))</f>
        <v/>
      </c>
      <c r="E519" s="15" t="str">
        <f aca="false">IF($C519="","",IFERROR(INDEX(예비품목록!$D$3:$D$202,MATCH($C519,예비품목록!$A$3:$A$202,0)),""))</f>
        <v/>
      </c>
      <c r="F519" s="11"/>
      <c r="G519" s="9"/>
      <c r="H519" s="9"/>
      <c r="I519" s="9"/>
      <c r="J519" s="23" t="str">
        <f aca="false">IF(OR($C519="",$F519=""),"",IF($B519="입고",$F519,IF($B519="출고",-$F519,$F519)))</f>
        <v/>
      </c>
      <c r="K519" s="24" t="str">
        <f aca="false">IF($C519="","",IFERROR(INDEX(예비품목록!$E$3:$E$202,MATCH($C519,예비품목록!$A$3:$A$202,0)),0)+SUMIFS($J$3:$J519,$C$3:$C519,$C519))</f>
        <v/>
      </c>
    </row>
    <row r="520" customFormat="false" ht="15" hidden="false" customHeight="true" outlineLevel="0" collapsed="false">
      <c r="A520" s="12"/>
      <c r="B520" s="9"/>
      <c r="C520" s="9"/>
      <c r="D520" s="15" t="str">
        <f aca="false">IF($C520="","",IFERROR(INDEX(예비품목록!$B$3:$B$202,MATCH($C520,예비품목록!$A$3:$A$202,0)),"미등록품번"))</f>
        <v/>
      </c>
      <c r="E520" s="15" t="str">
        <f aca="false">IF($C520="","",IFERROR(INDEX(예비품목록!$D$3:$D$202,MATCH($C520,예비품목록!$A$3:$A$202,0)),""))</f>
        <v/>
      </c>
      <c r="F520" s="11"/>
      <c r="G520" s="9"/>
      <c r="H520" s="9"/>
      <c r="I520" s="9"/>
      <c r="J520" s="23" t="str">
        <f aca="false">IF(OR($C520="",$F520=""),"",IF($B520="입고",$F520,IF($B520="출고",-$F520,$F520)))</f>
        <v/>
      </c>
      <c r="K520" s="24" t="str">
        <f aca="false">IF($C520="","",IFERROR(INDEX(예비품목록!$E$3:$E$202,MATCH($C520,예비품목록!$A$3:$A$202,0)),0)+SUMIFS($J$3:$J520,$C$3:$C520,$C520))</f>
        <v/>
      </c>
    </row>
    <row r="521" customFormat="false" ht="15" hidden="false" customHeight="true" outlineLevel="0" collapsed="false">
      <c r="A521" s="12"/>
      <c r="B521" s="9"/>
      <c r="C521" s="9"/>
      <c r="D521" s="15" t="str">
        <f aca="false">IF($C521="","",IFERROR(INDEX(예비품목록!$B$3:$B$202,MATCH($C521,예비품목록!$A$3:$A$202,0)),"미등록품번"))</f>
        <v/>
      </c>
      <c r="E521" s="15" t="str">
        <f aca="false">IF($C521="","",IFERROR(INDEX(예비품목록!$D$3:$D$202,MATCH($C521,예비품목록!$A$3:$A$202,0)),""))</f>
        <v/>
      </c>
      <c r="F521" s="11"/>
      <c r="G521" s="9"/>
      <c r="H521" s="9"/>
      <c r="I521" s="9"/>
      <c r="J521" s="23" t="str">
        <f aca="false">IF(OR($C521="",$F521=""),"",IF($B521="입고",$F521,IF($B521="출고",-$F521,$F521)))</f>
        <v/>
      </c>
      <c r="K521" s="24" t="str">
        <f aca="false">IF($C521="","",IFERROR(INDEX(예비품목록!$E$3:$E$202,MATCH($C521,예비품목록!$A$3:$A$202,0)),0)+SUMIFS($J$3:$J521,$C$3:$C521,$C521))</f>
        <v/>
      </c>
    </row>
    <row r="522" customFormat="false" ht="15" hidden="false" customHeight="true" outlineLevel="0" collapsed="false">
      <c r="A522" s="12"/>
      <c r="B522" s="9"/>
      <c r="C522" s="9"/>
      <c r="D522" s="15" t="str">
        <f aca="false">IF($C522="","",IFERROR(INDEX(예비품목록!$B$3:$B$202,MATCH($C522,예비품목록!$A$3:$A$202,0)),"미등록품번"))</f>
        <v/>
      </c>
      <c r="E522" s="15" t="str">
        <f aca="false">IF($C522="","",IFERROR(INDEX(예비품목록!$D$3:$D$202,MATCH($C522,예비품목록!$A$3:$A$202,0)),""))</f>
        <v/>
      </c>
      <c r="F522" s="11"/>
      <c r="G522" s="9"/>
      <c r="H522" s="9"/>
      <c r="I522" s="9"/>
      <c r="J522" s="23" t="str">
        <f aca="false">IF(OR($C522="",$F522=""),"",IF($B522="입고",$F522,IF($B522="출고",-$F522,$F522)))</f>
        <v/>
      </c>
      <c r="K522" s="24" t="str">
        <f aca="false">IF($C522="","",IFERROR(INDEX(예비품목록!$E$3:$E$202,MATCH($C522,예비품목록!$A$3:$A$202,0)),0)+SUMIFS($J$3:$J522,$C$3:$C522,$C522))</f>
        <v/>
      </c>
    </row>
    <row r="523" customFormat="false" ht="15" hidden="false" customHeight="true" outlineLevel="0" collapsed="false">
      <c r="A523" s="12"/>
      <c r="B523" s="9"/>
      <c r="C523" s="9"/>
      <c r="D523" s="15" t="str">
        <f aca="false">IF($C523="","",IFERROR(INDEX(예비품목록!$B$3:$B$202,MATCH($C523,예비품목록!$A$3:$A$202,0)),"미등록품번"))</f>
        <v/>
      </c>
      <c r="E523" s="15" t="str">
        <f aca="false">IF($C523="","",IFERROR(INDEX(예비품목록!$D$3:$D$202,MATCH($C523,예비품목록!$A$3:$A$202,0)),""))</f>
        <v/>
      </c>
      <c r="F523" s="11"/>
      <c r="G523" s="9"/>
      <c r="H523" s="9"/>
      <c r="I523" s="9"/>
      <c r="J523" s="23" t="str">
        <f aca="false">IF(OR($C523="",$F523=""),"",IF($B523="입고",$F523,IF($B523="출고",-$F523,$F523)))</f>
        <v/>
      </c>
      <c r="K523" s="24" t="str">
        <f aca="false">IF($C523="","",IFERROR(INDEX(예비품목록!$E$3:$E$202,MATCH($C523,예비품목록!$A$3:$A$202,0)),0)+SUMIFS($J$3:$J523,$C$3:$C523,$C523))</f>
        <v/>
      </c>
    </row>
    <row r="524" customFormat="false" ht="15" hidden="false" customHeight="true" outlineLevel="0" collapsed="false">
      <c r="A524" s="12"/>
      <c r="B524" s="9"/>
      <c r="C524" s="9"/>
      <c r="D524" s="15" t="str">
        <f aca="false">IF($C524="","",IFERROR(INDEX(예비품목록!$B$3:$B$202,MATCH($C524,예비품목록!$A$3:$A$202,0)),"미등록품번"))</f>
        <v/>
      </c>
      <c r="E524" s="15" t="str">
        <f aca="false">IF($C524="","",IFERROR(INDEX(예비품목록!$D$3:$D$202,MATCH($C524,예비품목록!$A$3:$A$202,0)),""))</f>
        <v/>
      </c>
      <c r="F524" s="11"/>
      <c r="G524" s="9"/>
      <c r="H524" s="9"/>
      <c r="I524" s="9"/>
      <c r="J524" s="23" t="str">
        <f aca="false">IF(OR($C524="",$F524=""),"",IF($B524="입고",$F524,IF($B524="출고",-$F524,$F524)))</f>
        <v/>
      </c>
      <c r="K524" s="24" t="str">
        <f aca="false">IF($C524="","",IFERROR(INDEX(예비품목록!$E$3:$E$202,MATCH($C524,예비품목록!$A$3:$A$202,0)),0)+SUMIFS($J$3:$J524,$C$3:$C524,$C524))</f>
        <v/>
      </c>
    </row>
    <row r="525" customFormat="false" ht="15" hidden="false" customHeight="true" outlineLevel="0" collapsed="false">
      <c r="A525" s="12"/>
      <c r="B525" s="9"/>
      <c r="C525" s="9"/>
      <c r="D525" s="15" t="str">
        <f aca="false">IF($C525="","",IFERROR(INDEX(예비품목록!$B$3:$B$202,MATCH($C525,예비품목록!$A$3:$A$202,0)),"미등록품번"))</f>
        <v/>
      </c>
      <c r="E525" s="15" t="str">
        <f aca="false">IF($C525="","",IFERROR(INDEX(예비품목록!$D$3:$D$202,MATCH($C525,예비품목록!$A$3:$A$202,0)),""))</f>
        <v/>
      </c>
      <c r="F525" s="11"/>
      <c r="G525" s="9"/>
      <c r="H525" s="9"/>
      <c r="I525" s="9"/>
      <c r="J525" s="23" t="str">
        <f aca="false">IF(OR($C525="",$F525=""),"",IF($B525="입고",$F525,IF($B525="출고",-$F525,$F525)))</f>
        <v/>
      </c>
      <c r="K525" s="24" t="str">
        <f aca="false">IF($C525="","",IFERROR(INDEX(예비품목록!$E$3:$E$202,MATCH($C525,예비품목록!$A$3:$A$202,0)),0)+SUMIFS($J$3:$J525,$C$3:$C525,$C525))</f>
        <v/>
      </c>
    </row>
    <row r="526" customFormat="false" ht="15" hidden="false" customHeight="true" outlineLevel="0" collapsed="false">
      <c r="A526" s="12"/>
      <c r="B526" s="9"/>
      <c r="C526" s="9"/>
      <c r="D526" s="15" t="str">
        <f aca="false">IF($C526="","",IFERROR(INDEX(예비품목록!$B$3:$B$202,MATCH($C526,예비품목록!$A$3:$A$202,0)),"미등록품번"))</f>
        <v/>
      </c>
      <c r="E526" s="15" t="str">
        <f aca="false">IF($C526="","",IFERROR(INDEX(예비품목록!$D$3:$D$202,MATCH($C526,예비품목록!$A$3:$A$202,0)),""))</f>
        <v/>
      </c>
      <c r="F526" s="11"/>
      <c r="G526" s="9"/>
      <c r="H526" s="9"/>
      <c r="I526" s="9"/>
      <c r="J526" s="23" t="str">
        <f aca="false">IF(OR($C526="",$F526=""),"",IF($B526="입고",$F526,IF($B526="출고",-$F526,$F526)))</f>
        <v/>
      </c>
      <c r="K526" s="24" t="str">
        <f aca="false">IF($C526="","",IFERROR(INDEX(예비품목록!$E$3:$E$202,MATCH($C526,예비품목록!$A$3:$A$202,0)),0)+SUMIFS($J$3:$J526,$C$3:$C526,$C526))</f>
        <v/>
      </c>
    </row>
    <row r="527" customFormat="false" ht="15" hidden="false" customHeight="true" outlineLevel="0" collapsed="false">
      <c r="A527" s="12"/>
      <c r="B527" s="9"/>
      <c r="C527" s="9"/>
      <c r="D527" s="15" t="str">
        <f aca="false">IF($C527="","",IFERROR(INDEX(예비품목록!$B$3:$B$202,MATCH($C527,예비품목록!$A$3:$A$202,0)),"미등록품번"))</f>
        <v/>
      </c>
      <c r="E527" s="15" t="str">
        <f aca="false">IF($C527="","",IFERROR(INDEX(예비품목록!$D$3:$D$202,MATCH($C527,예비품목록!$A$3:$A$202,0)),""))</f>
        <v/>
      </c>
      <c r="F527" s="11"/>
      <c r="G527" s="9"/>
      <c r="H527" s="9"/>
      <c r="I527" s="9"/>
      <c r="J527" s="23" t="str">
        <f aca="false">IF(OR($C527="",$F527=""),"",IF($B527="입고",$F527,IF($B527="출고",-$F527,$F527)))</f>
        <v/>
      </c>
      <c r="K527" s="24" t="str">
        <f aca="false">IF($C527="","",IFERROR(INDEX(예비품목록!$E$3:$E$202,MATCH($C527,예비품목록!$A$3:$A$202,0)),0)+SUMIFS($J$3:$J527,$C$3:$C527,$C527))</f>
        <v/>
      </c>
    </row>
    <row r="528" customFormat="false" ht="15" hidden="false" customHeight="true" outlineLevel="0" collapsed="false">
      <c r="A528" s="12"/>
      <c r="B528" s="9"/>
      <c r="C528" s="9"/>
      <c r="D528" s="15" t="str">
        <f aca="false">IF($C528="","",IFERROR(INDEX(예비품목록!$B$3:$B$202,MATCH($C528,예비품목록!$A$3:$A$202,0)),"미등록품번"))</f>
        <v/>
      </c>
      <c r="E528" s="15" t="str">
        <f aca="false">IF($C528="","",IFERROR(INDEX(예비품목록!$D$3:$D$202,MATCH($C528,예비품목록!$A$3:$A$202,0)),""))</f>
        <v/>
      </c>
      <c r="F528" s="11"/>
      <c r="G528" s="9"/>
      <c r="H528" s="9"/>
      <c r="I528" s="9"/>
      <c r="J528" s="23" t="str">
        <f aca="false">IF(OR($C528="",$F528=""),"",IF($B528="입고",$F528,IF($B528="출고",-$F528,$F528)))</f>
        <v/>
      </c>
      <c r="K528" s="24" t="str">
        <f aca="false">IF($C528="","",IFERROR(INDEX(예비품목록!$E$3:$E$202,MATCH($C528,예비품목록!$A$3:$A$202,0)),0)+SUMIFS($J$3:$J528,$C$3:$C528,$C528))</f>
        <v/>
      </c>
    </row>
    <row r="529" customFormat="false" ht="15" hidden="false" customHeight="true" outlineLevel="0" collapsed="false">
      <c r="A529" s="12"/>
      <c r="B529" s="9"/>
      <c r="C529" s="9"/>
      <c r="D529" s="15" t="str">
        <f aca="false">IF($C529="","",IFERROR(INDEX(예비품목록!$B$3:$B$202,MATCH($C529,예비품목록!$A$3:$A$202,0)),"미등록품번"))</f>
        <v/>
      </c>
      <c r="E529" s="15" t="str">
        <f aca="false">IF($C529="","",IFERROR(INDEX(예비품목록!$D$3:$D$202,MATCH($C529,예비품목록!$A$3:$A$202,0)),""))</f>
        <v/>
      </c>
      <c r="F529" s="11"/>
      <c r="G529" s="9"/>
      <c r="H529" s="9"/>
      <c r="I529" s="9"/>
      <c r="J529" s="23" t="str">
        <f aca="false">IF(OR($C529="",$F529=""),"",IF($B529="입고",$F529,IF($B529="출고",-$F529,$F529)))</f>
        <v/>
      </c>
      <c r="K529" s="24" t="str">
        <f aca="false">IF($C529="","",IFERROR(INDEX(예비품목록!$E$3:$E$202,MATCH($C529,예비품목록!$A$3:$A$202,0)),0)+SUMIFS($J$3:$J529,$C$3:$C529,$C529))</f>
        <v/>
      </c>
    </row>
    <row r="530" customFormat="false" ht="15" hidden="false" customHeight="true" outlineLevel="0" collapsed="false">
      <c r="A530" s="12"/>
      <c r="B530" s="9"/>
      <c r="C530" s="9"/>
      <c r="D530" s="15" t="str">
        <f aca="false">IF($C530="","",IFERROR(INDEX(예비품목록!$B$3:$B$202,MATCH($C530,예비품목록!$A$3:$A$202,0)),"미등록품번"))</f>
        <v/>
      </c>
      <c r="E530" s="15" t="str">
        <f aca="false">IF($C530="","",IFERROR(INDEX(예비품목록!$D$3:$D$202,MATCH($C530,예비품목록!$A$3:$A$202,0)),""))</f>
        <v/>
      </c>
      <c r="F530" s="11"/>
      <c r="G530" s="9"/>
      <c r="H530" s="9"/>
      <c r="I530" s="9"/>
      <c r="J530" s="23" t="str">
        <f aca="false">IF(OR($C530="",$F530=""),"",IF($B530="입고",$F530,IF($B530="출고",-$F530,$F530)))</f>
        <v/>
      </c>
      <c r="K530" s="24" t="str">
        <f aca="false">IF($C530="","",IFERROR(INDEX(예비품목록!$E$3:$E$202,MATCH($C530,예비품목록!$A$3:$A$202,0)),0)+SUMIFS($J$3:$J530,$C$3:$C530,$C530))</f>
        <v/>
      </c>
    </row>
    <row r="531" customFormat="false" ht="15" hidden="false" customHeight="true" outlineLevel="0" collapsed="false">
      <c r="A531" s="12"/>
      <c r="B531" s="9"/>
      <c r="C531" s="9"/>
      <c r="D531" s="15" t="str">
        <f aca="false">IF($C531="","",IFERROR(INDEX(예비품목록!$B$3:$B$202,MATCH($C531,예비품목록!$A$3:$A$202,0)),"미등록품번"))</f>
        <v/>
      </c>
      <c r="E531" s="15" t="str">
        <f aca="false">IF($C531="","",IFERROR(INDEX(예비품목록!$D$3:$D$202,MATCH($C531,예비품목록!$A$3:$A$202,0)),""))</f>
        <v/>
      </c>
      <c r="F531" s="11"/>
      <c r="G531" s="9"/>
      <c r="H531" s="9"/>
      <c r="I531" s="9"/>
      <c r="J531" s="23" t="str">
        <f aca="false">IF(OR($C531="",$F531=""),"",IF($B531="입고",$F531,IF($B531="출고",-$F531,$F531)))</f>
        <v/>
      </c>
      <c r="K531" s="24" t="str">
        <f aca="false">IF($C531="","",IFERROR(INDEX(예비품목록!$E$3:$E$202,MATCH($C531,예비품목록!$A$3:$A$202,0)),0)+SUMIFS($J$3:$J531,$C$3:$C531,$C531))</f>
        <v/>
      </c>
    </row>
    <row r="532" customFormat="false" ht="15" hidden="false" customHeight="true" outlineLevel="0" collapsed="false">
      <c r="A532" s="12"/>
      <c r="B532" s="9"/>
      <c r="C532" s="9"/>
      <c r="D532" s="15" t="str">
        <f aca="false">IF($C532="","",IFERROR(INDEX(예비품목록!$B$3:$B$202,MATCH($C532,예비품목록!$A$3:$A$202,0)),"미등록품번"))</f>
        <v/>
      </c>
      <c r="E532" s="15" t="str">
        <f aca="false">IF($C532="","",IFERROR(INDEX(예비품목록!$D$3:$D$202,MATCH($C532,예비품목록!$A$3:$A$202,0)),""))</f>
        <v/>
      </c>
      <c r="F532" s="11"/>
      <c r="G532" s="9"/>
      <c r="H532" s="9"/>
      <c r="I532" s="9"/>
      <c r="J532" s="23" t="str">
        <f aca="false">IF(OR($C532="",$F532=""),"",IF($B532="입고",$F532,IF($B532="출고",-$F532,$F532)))</f>
        <v/>
      </c>
      <c r="K532" s="24" t="str">
        <f aca="false">IF($C532="","",IFERROR(INDEX(예비품목록!$E$3:$E$202,MATCH($C532,예비품목록!$A$3:$A$202,0)),0)+SUMIFS($J$3:$J532,$C$3:$C532,$C532))</f>
        <v/>
      </c>
    </row>
    <row r="533" customFormat="false" ht="15" hidden="false" customHeight="true" outlineLevel="0" collapsed="false">
      <c r="A533" s="12"/>
      <c r="B533" s="9"/>
      <c r="C533" s="9"/>
      <c r="D533" s="15" t="str">
        <f aca="false">IF($C533="","",IFERROR(INDEX(예비품목록!$B$3:$B$202,MATCH($C533,예비품목록!$A$3:$A$202,0)),"미등록품번"))</f>
        <v/>
      </c>
      <c r="E533" s="15" t="str">
        <f aca="false">IF($C533="","",IFERROR(INDEX(예비품목록!$D$3:$D$202,MATCH($C533,예비품목록!$A$3:$A$202,0)),""))</f>
        <v/>
      </c>
      <c r="F533" s="11"/>
      <c r="G533" s="9"/>
      <c r="H533" s="9"/>
      <c r="I533" s="9"/>
      <c r="J533" s="23" t="str">
        <f aca="false">IF(OR($C533="",$F533=""),"",IF($B533="입고",$F533,IF($B533="출고",-$F533,$F533)))</f>
        <v/>
      </c>
      <c r="K533" s="24" t="str">
        <f aca="false">IF($C533="","",IFERROR(INDEX(예비품목록!$E$3:$E$202,MATCH($C533,예비품목록!$A$3:$A$202,0)),0)+SUMIFS($J$3:$J533,$C$3:$C533,$C533))</f>
        <v/>
      </c>
    </row>
    <row r="534" customFormat="false" ht="15" hidden="false" customHeight="true" outlineLevel="0" collapsed="false">
      <c r="A534" s="12"/>
      <c r="B534" s="9"/>
      <c r="C534" s="9"/>
      <c r="D534" s="15" t="str">
        <f aca="false">IF($C534="","",IFERROR(INDEX(예비품목록!$B$3:$B$202,MATCH($C534,예비품목록!$A$3:$A$202,0)),"미등록품번"))</f>
        <v/>
      </c>
      <c r="E534" s="15" t="str">
        <f aca="false">IF($C534="","",IFERROR(INDEX(예비품목록!$D$3:$D$202,MATCH($C534,예비품목록!$A$3:$A$202,0)),""))</f>
        <v/>
      </c>
      <c r="F534" s="11"/>
      <c r="G534" s="9"/>
      <c r="H534" s="9"/>
      <c r="I534" s="9"/>
      <c r="J534" s="23" t="str">
        <f aca="false">IF(OR($C534="",$F534=""),"",IF($B534="입고",$F534,IF($B534="출고",-$F534,$F534)))</f>
        <v/>
      </c>
      <c r="K534" s="24" t="str">
        <f aca="false">IF($C534="","",IFERROR(INDEX(예비품목록!$E$3:$E$202,MATCH($C534,예비품목록!$A$3:$A$202,0)),0)+SUMIFS($J$3:$J534,$C$3:$C534,$C534))</f>
        <v/>
      </c>
    </row>
    <row r="535" customFormat="false" ht="15" hidden="false" customHeight="true" outlineLevel="0" collapsed="false">
      <c r="A535" s="12"/>
      <c r="B535" s="9"/>
      <c r="C535" s="9"/>
      <c r="D535" s="15" t="str">
        <f aca="false">IF($C535="","",IFERROR(INDEX(예비품목록!$B$3:$B$202,MATCH($C535,예비품목록!$A$3:$A$202,0)),"미등록품번"))</f>
        <v/>
      </c>
      <c r="E535" s="15" t="str">
        <f aca="false">IF($C535="","",IFERROR(INDEX(예비품목록!$D$3:$D$202,MATCH($C535,예비품목록!$A$3:$A$202,0)),""))</f>
        <v/>
      </c>
      <c r="F535" s="11"/>
      <c r="G535" s="9"/>
      <c r="H535" s="9"/>
      <c r="I535" s="9"/>
      <c r="J535" s="23" t="str">
        <f aca="false">IF(OR($C535="",$F535=""),"",IF($B535="입고",$F535,IF($B535="출고",-$F535,$F535)))</f>
        <v/>
      </c>
      <c r="K535" s="24" t="str">
        <f aca="false">IF($C535="","",IFERROR(INDEX(예비품목록!$E$3:$E$202,MATCH($C535,예비품목록!$A$3:$A$202,0)),0)+SUMIFS($J$3:$J535,$C$3:$C535,$C535))</f>
        <v/>
      </c>
    </row>
    <row r="536" customFormat="false" ht="15" hidden="false" customHeight="true" outlineLevel="0" collapsed="false">
      <c r="A536" s="12"/>
      <c r="B536" s="9"/>
      <c r="C536" s="9"/>
      <c r="D536" s="15" t="str">
        <f aca="false">IF($C536="","",IFERROR(INDEX(예비품목록!$B$3:$B$202,MATCH($C536,예비품목록!$A$3:$A$202,0)),"미등록품번"))</f>
        <v/>
      </c>
      <c r="E536" s="15" t="str">
        <f aca="false">IF($C536="","",IFERROR(INDEX(예비품목록!$D$3:$D$202,MATCH($C536,예비품목록!$A$3:$A$202,0)),""))</f>
        <v/>
      </c>
      <c r="F536" s="11"/>
      <c r="G536" s="9"/>
      <c r="H536" s="9"/>
      <c r="I536" s="9"/>
      <c r="J536" s="23" t="str">
        <f aca="false">IF(OR($C536="",$F536=""),"",IF($B536="입고",$F536,IF($B536="출고",-$F536,$F536)))</f>
        <v/>
      </c>
      <c r="K536" s="24" t="str">
        <f aca="false">IF($C536="","",IFERROR(INDEX(예비품목록!$E$3:$E$202,MATCH($C536,예비품목록!$A$3:$A$202,0)),0)+SUMIFS($J$3:$J536,$C$3:$C536,$C536))</f>
        <v/>
      </c>
    </row>
    <row r="537" customFormat="false" ht="15" hidden="false" customHeight="true" outlineLevel="0" collapsed="false">
      <c r="A537" s="12"/>
      <c r="B537" s="9"/>
      <c r="C537" s="9"/>
      <c r="D537" s="15" t="str">
        <f aca="false">IF($C537="","",IFERROR(INDEX(예비품목록!$B$3:$B$202,MATCH($C537,예비품목록!$A$3:$A$202,0)),"미등록품번"))</f>
        <v/>
      </c>
      <c r="E537" s="15" t="str">
        <f aca="false">IF($C537="","",IFERROR(INDEX(예비품목록!$D$3:$D$202,MATCH($C537,예비품목록!$A$3:$A$202,0)),""))</f>
        <v/>
      </c>
      <c r="F537" s="11"/>
      <c r="G537" s="9"/>
      <c r="H537" s="9"/>
      <c r="I537" s="9"/>
      <c r="J537" s="23" t="str">
        <f aca="false">IF(OR($C537="",$F537=""),"",IF($B537="입고",$F537,IF($B537="출고",-$F537,$F537)))</f>
        <v/>
      </c>
      <c r="K537" s="24" t="str">
        <f aca="false">IF($C537="","",IFERROR(INDEX(예비품목록!$E$3:$E$202,MATCH($C537,예비품목록!$A$3:$A$202,0)),0)+SUMIFS($J$3:$J537,$C$3:$C537,$C537))</f>
        <v/>
      </c>
    </row>
    <row r="538" customFormat="false" ht="15" hidden="false" customHeight="true" outlineLevel="0" collapsed="false">
      <c r="A538" s="12"/>
      <c r="B538" s="9"/>
      <c r="C538" s="9"/>
      <c r="D538" s="15" t="str">
        <f aca="false">IF($C538="","",IFERROR(INDEX(예비품목록!$B$3:$B$202,MATCH($C538,예비품목록!$A$3:$A$202,0)),"미등록품번"))</f>
        <v/>
      </c>
      <c r="E538" s="15" t="str">
        <f aca="false">IF($C538="","",IFERROR(INDEX(예비품목록!$D$3:$D$202,MATCH($C538,예비품목록!$A$3:$A$202,0)),""))</f>
        <v/>
      </c>
      <c r="F538" s="11"/>
      <c r="G538" s="9"/>
      <c r="H538" s="9"/>
      <c r="I538" s="9"/>
      <c r="J538" s="23" t="str">
        <f aca="false">IF(OR($C538="",$F538=""),"",IF($B538="입고",$F538,IF($B538="출고",-$F538,$F538)))</f>
        <v/>
      </c>
      <c r="K538" s="24" t="str">
        <f aca="false">IF($C538="","",IFERROR(INDEX(예비품목록!$E$3:$E$202,MATCH($C538,예비품목록!$A$3:$A$202,0)),0)+SUMIFS($J$3:$J538,$C$3:$C538,$C538))</f>
        <v/>
      </c>
    </row>
    <row r="539" customFormat="false" ht="15" hidden="false" customHeight="true" outlineLevel="0" collapsed="false">
      <c r="A539" s="12"/>
      <c r="B539" s="9"/>
      <c r="C539" s="9"/>
      <c r="D539" s="15" t="str">
        <f aca="false">IF($C539="","",IFERROR(INDEX(예비품목록!$B$3:$B$202,MATCH($C539,예비품목록!$A$3:$A$202,0)),"미등록품번"))</f>
        <v/>
      </c>
      <c r="E539" s="15" t="str">
        <f aca="false">IF($C539="","",IFERROR(INDEX(예비품목록!$D$3:$D$202,MATCH($C539,예비품목록!$A$3:$A$202,0)),""))</f>
        <v/>
      </c>
      <c r="F539" s="11"/>
      <c r="G539" s="9"/>
      <c r="H539" s="9"/>
      <c r="I539" s="9"/>
      <c r="J539" s="23" t="str">
        <f aca="false">IF(OR($C539="",$F539=""),"",IF($B539="입고",$F539,IF($B539="출고",-$F539,$F539)))</f>
        <v/>
      </c>
      <c r="K539" s="24" t="str">
        <f aca="false">IF($C539="","",IFERROR(INDEX(예비품목록!$E$3:$E$202,MATCH($C539,예비품목록!$A$3:$A$202,0)),0)+SUMIFS($J$3:$J539,$C$3:$C539,$C539))</f>
        <v/>
      </c>
    </row>
    <row r="540" customFormat="false" ht="15" hidden="false" customHeight="true" outlineLevel="0" collapsed="false">
      <c r="A540" s="12"/>
      <c r="B540" s="9"/>
      <c r="C540" s="9"/>
      <c r="D540" s="15" t="str">
        <f aca="false">IF($C540="","",IFERROR(INDEX(예비품목록!$B$3:$B$202,MATCH($C540,예비품목록!$A$3:$A$202,0)),"미등록품번"))</f>
        <v/>
      </c>
      <c r="E540" s="15" t="str">
        <f aca="false">IF($C540="","",IFERROR(INDEX(예비품목록!$D$3:$D$202,MATCH($C540,예비품목록!$A$3:$A$202,0)),""))</f>
        <v/>
      </c>
      <c r="F540" s="11"/>
      <c r="G540" s="9"/>
      <c r="H540" s="9"/>
      <c r="I540" s="9"/>
      <c r="J540" s="23" t="str">
        <f aca="false">IF(OR($C540="",$F540=""),"",IF($B540="입고",$F540,IF($B540="출고",-$F540,$F540)))</f>
        <v/>
      </c>
      <c r="K540" s="24" t="str">
        <f aca="false">IF($C540="","",IFERROR(INDEX(예비품목록!$E$3:$E$202,MATCH($C540,예비품목록!$A$3:$A$202,0)),0)+SUMIFS($J$3:$J540,$C$3:$C540,$C540))</f>
        <v/>
      </c>
    </row>
    <row r="541" customFormat="false" ht="15" hidden="false" customHeight="true" outlineLevel="0" collapsed="false">
      <c r="A541" s="12"/>
      <c r="B541" s="9"/>
      <c r="C541" s="9"/>
      <c r="D541" s="15" t="str">
        <f aca="false">IF($C541="","",IFERROR(INDEX(예비품목록!$B$3:$B$202,MATCH($C541,예비품목록!$A$3:$A$202,0)),"미등록품번"))</f>
        <v/>
      </c>
      <c r="E541" s="15" t="str">
        <f aca="false">IF($C541="","",IFERROR(INDEX(예비품목록!$D$3:$D$202,MATCH($C541,예비품목록!$A$3:$A$202,0)),""))</f>
        <v/>
      </c>
      <c r="F541" s="11"/>
      <c r="G541" s="9"/>
      <c r="H541" s="9"/>
      <c r="I541" s="9"/>
      <c r="J541" s="23" t="str">
        <f aca="false">IF(OR($C541="",$F541=""),"",IF($B541="입고",$F541,IF($B541="출고",-$F541,$F541)))</f>
        <v/>
      </c>
      <c r="K541" s="24" t="str">
        <f aca="false">IF($C541="","",IFERROR(INDEX(예비품목록!$E$3:$E$202,MATCH($C541,예비품목록!$A$3:$A$202,0)),0)+SUMIFS($J$3:$J541,$C$3:$C541,$C541))</f>
        <v/>
      </c>
    </row>
    <row r="542" customFormat="false" ht="15" hidden="false" customHeight="true" outlineLevel="0" collapsed="false">
      <c r="A542" s="12"/>
      <c r="B542" s="9"/>
      <c r="C542" s="9"/>
      <c r="D542" s="15" t="str">
        <f aca="false">IF($C542="","",IFERROR(INDEX(예비품목록!$B$3:$B$202,MATCH($C542,예비품목록!$A$3:$A$202,0)),"미등록품번"))</f>
        <v/>
      </c>
      <c r="E542" s="15" t="str">
        <f aca="false">IF($C542="","",IFERROR(INDEX(예비품목록!$D$3:$D$202,MATCH($C542,예비품목록!$A$3:$A$202,0)),""))</f>
        <v/>
      </c>
      <c r="F542" s="11"/>
      <c r="G542" s="9"/>
      <c r="H542" s="9"/>
      <c r="I542" s="9"/>
      <c r="J542" s="23" t="str">
        <f aca="false">IF(OR($C542="",$F542=""),"",IF($B542="입고",$F542,IF($B542="출고",-$F542,$F542)))</f>
        <v/>
      </c>
      <c r="K542" s="24" t="str">
        <f aca="false">IF($C542="","",IFERROR(INDEX(예비품목록!$E$3:$E$202,MATCH($C542,예비품목록!$A$3:$A$202,0)),0)+SUMIFS($J$3:$J542,$C$3:$C542,$C542))</f>
        <v/>
      </c>
    </row>
    <row r="543" customFormat="false" ht="15" hidden="false" customHeight="true" outlineLevel="0" collapsed="false">
      <c r="A543" s="12"/>
      <c r="B543" s="9"/>
      <c r="C543" s="9"/>
      <c r="D543" s="15" t="str">
        <f aca="false">IF($C543="","",IFERROR(INDEX(예비품목록!$B$3:$B$202,MATCH($C543,예비품목록!$A$3:$A$202,0)),"미등록품번"))</f>
        <v/>
      </c>
      <c r="E543" s="15" t="str">
        <f aca="false">IF($C543="","",IFERROR(INDEX(예비품목록!$D$3:$D$202,MATCH($C543,예비품목록!$A$3:$A$202,0)),""))</f>
        <v/>
      </c>
      <c r="F543" s="11"/>
      <c r="G543" s="9"/>
      <c r="H543" s="9"/>
      <c r="I543" s="9"/>
      <c r="J543" s="23" t="str">
        <f aca="false">IF(OR($C543="",$F543=""),"",IF($B543="입고",$F543,IF($B543="출고",-$F543,$F543)))</f>
        <v/>
      </c>
      <c r="K543" s="24" t="str">
        <f aca="false">IF($C543="","",IFERROR(INDEX(예비품목록!$E$3:$E$202,MATCH($C543,예비품목록!$A$3:$A$202,0)),0)+SUMIFS($J$3:$J543,$C$3:$C543,$C543))</f>
        <v/>
      </c>
    </row>
    <row r="544" customFormat="false" ht="15" hidden="false" customHeight="true" outlineLevel="0" collapsed="false">
      <c r="A544" s="12"/>
      <c r="B544" s="9"/>
      <c r="C544" s="9"/>
      <c r="D544" s="15" t="str">
        <f aca="false">IF($C544="","",IFERROR(INDEX(예비품목록!$B$3:$B$202,MATCH($C544,예비품목록!$A$3:$A$202,0)),"미등록품번"))</f>
        <v/>
      </c>
      <c r="E544" s="15" t="str">
        <f aca="false">IF($C544="","",IFERROR(INDEX(예비품목록!$D$3:$D$202,MATCH($C544,예비품목록!$A$3:$A$202,0)),""))</f>
        <v/>
      </c>
      <c r="F544" s="11"/>
      <c r="G544" s="9"/>
      <c r="H544" s="9"/>
      <c r="I544" s="9"/>
      <c r="J544" s="23" t="str">
        <f aca="false">IF(OR($C544="",$F544=""),"",IF($B544="입고",$F544,IF($B544="출고",-$F544,$F544)))</f>
        <v/>
      </c>
      <c r="K544" s="24" t="str">
        <f aca="false">IF($C544="","",IFERROR(INDEX(예비품목록!$E$3:$E$202,MATCH($C544,예비품목록!$A$3:$A$202,0)),0)+SUMIFS($J$3:$J544,$C$3:$C544,$C544))</f>
        <v/>
      </c>
    </row>
    <row r="545" customFormat="false" ht="15" hidden="false" customHeight="true" outlineLevel="0" collapsed="false">
      <c r="A545" s="12"/>
      <c r="B545" s="9"/>
      <c r="C545" s="9"/>
      <c r="D545" s="15" t="str">
        <f aca="false">IF($C545="","",IFERROR(INDEX(예비품목록!$B$3:$B$202,MATCH($C545,예비품목록!$A$3:$A$202,0)),"미등록품번"))</f>
        <v/>
      </c>
      <c r="E545" s="15" t="str">
        <f aca="false">IF($C545="","",IFERROR(INDEX(예비품목록!$D$3:$D$202,MATCH($C545,예비품목록!$A$3:$A$202,0)),""))</f>
        <v/>
      </c>
      <c r="F545" s="11"/>
      <c r="G545" s="9"/>
      <c r="H545" s="9"/>
      <c r="I545" s="9"/>
      <c r="J545" s="23" t="str">
        <f aca="false">IF(OR($C545="",$F545=""),"",IF($B545="입고",$F545,IF($B545="출고",-$F545,$F545)))</f>
        <v/>
      </c>
      <c r="K545" s="24" t="str">
        <f aca="false">IF($C545="","",IFERROR(INDEX(예비품목록!$E$3:$E$202,MATCH($C545,예비품목록!$A$3:$A$202,0)),0)+SUMIFS($J$3:$J545,$C$3:$C545,$C545))</f>
        <v/>
      </c>
    </row>
    <row r="546" customFormat="false" ht="15" hidden="false" customHeight="true" outlineLevel="0" collapsed="false">
      <c r="A546" s="12"/>
      <c r="B546" s="9"/>
      <c r="C546" s="9"/>
      <c r="D546" s="15" t="str">
        <f aca="false">IF($C546="","",IFERROR(INDEX(예비품목록!$B$3:$B$202,MATCH($C546,예비품목록!$A$3:$A$202,0)),"미등록품번"))</f>
        <v/>
      </c>
      <c r="E546" s="15" t="str">
        <f aca="false">IF($C546="","",IFERROR(INDEX(예비품목록!$D$3:$D$202,MATCH($C546,예비품목록!$A$3:$A$202,0)),""))</f>
        <v/>
      </c>
      <c r="F546" s="11"/>
      <c r="G546" s="9"/>
      <c r="H546" s="9"/>
      <c r="I546" s="9"/>
      <c r="J546" s="23" t="str">
        <f aca="false">IF(OR($C546="",$F546=""),"",IF($B546="입고",$F546,IF($B546="출고",-$F546,$F546)))</f>
        <v/>
      </c>
      <c r="K546" s="24" t="str">
        <f aca="false">IF($C546="","",IFERROR(INDEX(예비품목록!$E$3:$E$202,MATCH($C546,예비품목록!$A$3:$A$202,0)),0)+SUMIFS($J$3:$J546,$C$3:$C546,$C546))</f>
        <v/>
      </c>
    </row>
    <row r="547" customFormat="false" ht="15" hidden="false" customHeight="true" outlineLevel="0" collapsed="false">
      <c r="A547" s="12"/>
      <c r="B547" s="9"/>
      <c r="C547" s="9"/>
      <c r="D547" s="15" t="str">
        <f aca="false">IF($C547="","",IFERROR(INDEX(예비품목록!$B$3:$B$202,MATCH($C547,예비품목록!$A$3:$A$202,0)),"미등록품번"))</f>
        <v/>
      </c>
      <c r="E547" s="15" t="str">
        <f aca="false">IF($C547="","",IFERROR(INDEX(예비품목록!$D$3:$D$202,MATCH($C547,예비품목록!$A$3:$A$202,0)),""))</f>
        <v/>
      </c>
      <c r="F547" s="11"/>
      <c r="G547" s="9"/>
      <c r="H547" s="9"/>
      <c r="I547" s="9"/>
      <c r="J547" s="23" t="str">
        <f aca="false">IF(OR($C547="",$F547=""),"",IF($B547="입고",$F547,IF($B547="출고",-$F547,$F547)))</f>
        <v/>
      </c>
      <c r="K547" s="24" t="str">
        <f aca="false">IF($C547="","",IFERROR(INDEX(예비품목록!$E$3:$E$202,MATCH($C547,예비품목록!$A$3:$A$202,0)),0)+SUMIFS($J$3:$J547,$C$3:$C547,$C547))</f>
        <v/>
      </c>
    </row>
    <row r="548" customFormat="false" ht="15" hidden="false" customHeight="true" outlineLevel="0" collapsed="false">
      <c r="A548" s="12"/>
      <c r="B548" s="9"/>
      <c r="C548" s="9"/>
      <c r="D548" s="15" t="str">
        <f aca="false">IF($C548="","",IFERROR(INDEX(예비품목록!$B$3:$B$202,MATCH($C548,예비품목록!$A$3:$A$202,0)),"미등록품번"))</f>
        <v/>
      </c>
      <c r="E548" s="15" t="str">
        <f aca="false">IF($C548="","",IFERROR(INDEX(예비품목록!$D$3:$D$202,MATCH($C548,예비품목록!$A$3:$A$202,0)),""))</f>
        <v/>
      </c>
      <c r="F548" s="11"/>
      <c r="G548" s="9"/>
      <c r="H548" s="9"/>
      <c r="I548" s="9"/>
      <c r="J548" s="23" t="str">
        <f aca="false">IF(OR($C548="",$F548=""),"",IF($B548="입고",$F548,IF($B548="출고",-$F548,$F548)))</f>
        <v/>
      </c>
      <c r="K548" s="24" t="str">
        <f aca="false">IF($C548="","",IFERROR(INDEX(예비품목록!$E$3:$E$202,MATCH($C548,예비품목록!$A$3:$A$202,0)),0)+SUMIFS($J$3:$J548,$C$3:$C548,$C548))</f>
        <v/>
      </c>
    </row>
    <row r="549" customFormat="false" ht="15" hidden="false" customHeight="true" outlineLevel="0" collapsed="false">
      <c r="A549" s="12"/>
      <c r="B549" s="9"/>
      <c r="C549" s="9"/>
      <c r="D549" s="15" t="str">
        <f aca="false">IF($C549="","",IFERROR(INDEX(예비품목록!$B$3:$B$202,MATCH($C549,예비품목록!$A$3:$A$202,0)),"미등록품번"))</f>
        <v/>
      </c>
      <c r="E549" s="15" t="str">
        <f aca="false">IF($C549="","",IFERROR(INDEX(예비품목록!$D$3:$D$202,MATCH($C549,예비품목록!$A$3:$A$202,0)),""))</f>
        <v/>
      </c>
      <c r="F549" s="11"/>
      <c r="G549" s="9"/>
      <c r="H549" s="9"/>
      <c r="I549" s="9"/>
      <c r="J549" s="23" t="str">
        <f aca="false">IF(OR($C549="",$F549=""),"",IF($B549="입고",$F549,IF($B549="출고",-$F549,$F549)))</f>
        <v/>
      </c>
      <c r="K549" s="24" t="str">
        <f aca="false">IF($C549="","",IFERROR(INDEX(예비품목록!$E$3:$E$202,MATCH($C549,예비품목록!$A$3:$A$202,0)),0)+SUMIFS($J$3:$J549,$C$3:$C549,$C549))</f>
        <v/>
      </c>
    </row>
    <row r="550" customFormat="false" ht="15" hidden="false" customHeight="true" outlineLevel="0" collapsed="false">
      <c r="A550" s="12"/>
      <c r="B550" s="9"/>
      <c r="C550" s="9"/>
      <c r="D550" s="15" t="str">
        <f aca="false">IF($C550="","",IFERROR(INDEX(예비품목록!$B$3:$B$202,MATCH($C550,예비품목록!$A$3:$A$202,0)),"미등록품번"))</f>
        <v/>
      </c>
      <c r="E550" s="15" t="str">
        <f aca="false">IF($C550="","",IFERROR(INDEX(예비품목록!$D$3:$D$202,MATCH($C550,예비품목록!$A$3:$A$202,0)),""))</f>
        <v/>
      </c>
      <c r="F550" s="11"/>
      <c r="G550" s="9"/>
      <c r="H550" s="9"/>
      <c r="I550" s="9"/>
      <c r="J550" s="23" t="str">
        <f aca="false">IF(OR($C550="",$F550=""),"",IF($B550="입고",$F550,IF($B550="출고",-$F550,$F550)))</f>
        <v/>
      </c>
      <c r="K550" s="24" t="str">
        <f aca="false">IF($C550="","",IFERROR(INDEX(예비품목록!$E$3:$E$202,MATCH($C550,예비품목록!$A$3:$A$202,0)),0)+SUMIFS($J$3:$J550,$C$3:$C550,$C550))</f>
        <v/>
      </c>
    </row>
    <row r="551" customFormat="false" ht="15" hidden="false" customHeight="true" outlineLevel="0" collapsed="false">
      <c r="A551" s="12"/>
      <c r="B551" s="9"/>
      <c r="C551" s="9"/>
      <c r="D551" s="15" t="str">
        <f aca="false">IF($C551="","",IFERROR(INDEX(예비품목록!$B$3:$B$202,MATCH($C551,예비품목록!$A$3:$A$202,0)),"미등록품번"))</f>
        <v/>
      </c>
      <c r="E551" s="15" t="str">
        <f aca="false">IF($C551="","",IFERROR(INDEX(예비품목록!$D$3:$D$202,MATCH($C551,예비품목록!$A$3:$A$202,0)),""))</f>
        <v/>
      </c>
      <c r="F551" s="11"/>
      <c r="G551" s="9"/>
      <c r="H551" s="9"/>
      <c r="I551" s="9"/>
      <c r="J551" s="23" t="str">
        <f aca="false">IF(OR($C551="",$F551=""),"",IF($B551="입고",$F551,IF($B551="출고",-$F551,$F551)))</f>
        <v/>
      </c>
      <c r="K551" s="24" t="str">
        <f aca="false">IF($C551="","",IFERROR(INDEX(예비품목록!$E$3:$E$202,MATCH($C551,예비품목록!$A$3:$A$202,0)),0)+SUMIFS($J$3:$J551,$C$3:$C551,$C551))</f>
        <v/>
      </c>
    </row>
    <row r="552" customFormat="false" ht="15" hidden="false" customHeight="true" outlineLevel="0" collapsed="false">
      <c r="A552" s="12"/>
      <c r="B552" s="9"/>
      <c r="C552" s="9"/>
      <c r="D552" s="15" t="str">
        <f aca="false">IF($C552="","",IFERROR(INDEX(예비품목록!$B$3:$B$202,MATCH($C552,예비품목록!$A$3:$A$202,0)),"미등록품번"))</f>
        <v/>
      </c>
      <c r="E552" s="15" t="str">
        <f aca="false">IF($C552="","",IFERROR(INDEX(예비품목록!$D$3:$D$202,MATCH($C552,예비품목록!$A$3:$A$202,0)),""))</f>
        <v/>
      </c>
      <c r="F552" s="11"/>
      <c r="G552" s="9"/>
      <c r="H552" s="9"/>
      <c r="I552" s="9"/>
      <c r="J552" s="23" t="str">
        <f aca="false">IF(OR($C552="",$F552=""),"",IF($B552="입고",$F552,IF($B552="출고",-$F552,$F552)))</f>
        <v/>
      </c>
      <c r="K552" s="24" t="str">
        <f aca="false">IF($C552="","",IFERROR(INDEX(예비품목록!$E$3:$E$202,MATCH($C552,예비품목록!$A$3:$A$202,0)),0)+SUMIFS($J$3:$J552,$C$3:$C552,$C552))</f>
        <v/>
      </c>
    </row>
    <row r="553" customFormat="false" ht="15" hidden="false" customHeight="true" outlineLevel="0" collapsed="false">
      <c r="A553" s="12"/>
      <c r="B553" s="9"/>
      <c r="C553" s="9"/>
      <c r="D553" s="15" t="str">
        <f aca="false">IF($C553="","",IFERROR(INDEX(예비품목록!$B$3:$B$202,MATCH($C553,예비품목록!$A$3:$A$202,0)),"미등록품번"))</f>
        <v/>
      </c>
      <c r="E553" s="15" t="str">
        <f aca="false">IF($C553="","",IFERROR(INDEX(예비품목록!$D$3:$D$202,MATCH($C553,예비품목록!$A$3:$A$202,0)),""))</f>
        <v/>
      </c>
      <c r="F553" s="11"/>
      <c r="G553" s="9"/>
      <c r="H553" s="9"/>
      <c r="I553" s="9"/>
      <c r="J553" s="23" t="str">
        <f aca="false">IF(OR($C553="",$F553=""),"",IF($B553="입고",$F553,IF($B553="출고",-$F553,$F553)))</f>
        <v/>
      </c>
      <c r="K553" s="24" t="str">
        <f aca="false">IF($C553="","",IFERROR(INDEX(예비품목록!$E$3:$E$202,MATCH($C553,예비품목록!$A$3:$A$202,0)),0)+SUMIFS($J$3:$J553,$C$3:$C553,$C553))</f>
        <v/>
      </c>
    </row>
    <row r="554" customFormat="false" ht="15" hidden="false" customHeight="true" outlineLevel="0" collapsed="false">
      <c r="A554" s="12"/>
      <c r="B554" s="9"/>
      <c r="C554" s="9"/>
      <c r="D554" s="15" t="str">
        <f aca="false">IF($C554="","",IFERROR(INDEX(예비품목록!$B$3:$B$202,MATCH($C554,예비품목록!$A$3:$A$202,0)),"미등록품번"))</f>
        <v/>
      </c>
      <c r="E554" s="15" t="str">
        <f aca="false">IF($C554="","",IFERROR(INDEX(예비품목록!$D$3:$D$202,MATCH($C554,예비품목록!$A$3:$A$202,0)),""))</f>
        <v/>
      </c>
      <c r="F554" s="11"/>
      <c r="G554" s="9"/>
      <c r="H554" s="9"/>
      <c r="I554" s="9"/>
      <c r="J554" s="23" t="str">
        <f aca="false">IF(OR($C554="",$F554=""),"",IF($B554="입고",$F554,IF($B554="출고",-$F554,$F554)))</f>
        <v/>
      </c>
      <c r="K554" s="24" t="str">
        <f aca="false">IF($C554="","",IFERROR(INDEX(예비품목록!$E$3:$E$202,MATCH($C554,예비품목록!$A$3:$A$202,0)),0)+SUMIFS($J$3:$J554,$C$3:$C554,$C554))</f>
        <v/>
      </c>
    </row>
    <row r="555" customFormat="false" ht="15" hidden="false" customHeight="true" outlineLevel="0" collapsed="false">
      <c r="A555" s="12"/>
      <c r="B555" s="9"/>
      <c r="C555" s="9"/>
      <c r="D555" s="15" t="str">
        <f aca="false">IF($C555="","",IFERROR(INDEX(예비품목록!$B$3:$B$202,MATCH($C555,예비품목록!$A$3:$A$202,0)),"미등록품번"))</f>
        <v/>
      </c>
      <c r="E555" s="15" t="str">
        <f aca="false">IF($C555="","",IFERROR(INDEX(예비품목록!$D$3:$D$202,MATCH($C555,예비품목록!$A$3:$A$202,0)),""))</f>
        <v/>
      </c>
      <c r="F555" s="11"/>
      <c r="G555" s="9"/>
      <c r="H555" s="9"/>
      <c r="I555" s="9"/>
      <c r="J555" s="23" t="str">
        <f aca="false">IF(OR($C555="",$F555=""),"",IF($B555="입고",$F555,IF($B555="출고",-$F555,$F555)))</f>
        <v/>
      </c>
      <c r="K555" s="24" t="str">
        <f aca="false">IF($C555="","",IFERROR(INDEX(예비품목록!$E$3:$E$202,MATCH($C555,예비품목록!$A$3:$A$202,0)),0)+SUMIFS($J$3:$J555,$C$3:$C555,$C555))</f>
        <v/>
      </c>
    </row>
    <row r="556" customFormat="false" ht="15" hidden="false" customHeight="true" outlineLevel="0" collapsed="false">
      <c r="A556" s="12"/>
      <c r="B556" s="9"/>
      <c r="C556" s="9"/>
      <c r="D556" s="15" t="str">
        <f aca="false">IF($C556="","",IFERROR(INDEX(예비품목록!$B$3:$B$202,MATCH($C556,예비품목록!$A$3:$A$202,0)),"미등록품번"))</f>
        <v/>
      </c>
      <c r="E556" s="15" t="str">
        <f aca="false">IF($C556="","",IFERROR(INDEX(예비품목록!$D$3:$D$202,MATCH($C556,예비품목록!$A$3:$A$202,0)),""))</f>
        <v/>
      </c>
      <c r="F556" s="11"/>
      <c r="G556" s="9"/>
      <c r="H556" s="9"/>
      <c r="I556" s="9"/>
      <c r="J556" s="23" t="str">
        <f aca="false">IF(OR($C556="",$F556=""),"",IF($B556="입고",$F556,IF($B556="출고",-$F556,$F556)))</f>
        <v/>
      </c>
      <c r="K556" s="24" t="str">
        <f aca="false">IF($C556="","",IFERROR(INDEX(예비품목록!$E$3:$E$202,MATCH($C556,예비품목록!$A$3:$A$202,0)),0)+SUMIFS($J$3:$J556,$C$3:$C556,$C556))</f>
        <v/>
      </c>
    </row>
    <row r="557" customFormat="false" ht="15" hidden="false" customHeight="true" outlineLevel="0" collapsed="false">
      <c r="A557" s="12"/>
      <c r="B557" s="9"/>
      <c r="C557" s="9"/>
      <c r="D557" s="15" t="str">
        <f aca="false">IF($C557="","",IFERROR(INDEX(예비품목록!$B$3:$B$202,MATCH($C557,예비품목록!$A$3:$A$202,0)),"미등록품번"))</f>
        <v/>
      </c>
      <c r="E557" s="15" t="str">
        <f aca="false">IF($C557="","",IFERROR(INDEX(예비품목록!$D$3:$D$202,MATCH($C557,예비품목록!$A$3:$A$202,0)),""))</f>
        <v/>
      </c>
      <c r="F557" s="11"/>
      <c r="G557" s="9"/>
      <c r="H557" s="9"/>
      <c r="I557" s="9"/>
      <c r="J557" s="23" t="str">
        <f aca="false">IF(OR($C557="",$F557=""),"",IF($B557="입고",$F557,IF($B557="출고",-$F557,$F557)))</f>
        <v/>
      </c>
      <c r="K557" s="24" t="str">
        <f aca="false">IF($C557="","",IFERROR(INDEX(예비품목록!$E$3:$E$202,MATCH($C557,예비품목록!$A$3:$A$202,0)),0)+SUMIFS($J$3:$J557,$C$3:$C557,$C557))</f>
        <v/>
      </c>
    </row>
    <row r="558" customFormat="false" ht="15" hidden="false" customHeight="true" outlineLevel="0" collapsed="false">
      <c r="A558" s="12"/>
      <c r="B558" s="9"/>
      <c r="C558" s="9"/>
      <c r="D558" s="15" t="str">
        <f aca="false">IF($C558="","",IFERROR(INDEX(예비품목록!$B$3:$B$202,MATCH($C558,예비품목록!$A$3:$A$202,0)),"미등록품번"))</f>
        <v/>
      </c>
      <c r="E558" s="15" t="str">
        <f aca="false">IF($C558="","",IFERROR(INDEX(예비품목록!$D$3:$D$202,MATCH($C558,예비품목록!$A$3:$A$202,0)),""))</f>
        <v/>
      </c>
      <c r="F558" s="11"/>
      <c r="G558" s="9"/>
      <c r="H558" s="9"/>
      <c r="I558" s="9"/>
      <c r="J558" s="23" t="str">
        <f aca="false">IF(OR($C558="",$F558=""),"",IF($B558="입고",$F558,IF($B558="출고",-$F558,$F558)))</f>
        <v/>
      </c>
      <c r="K558" s="24" t="str">
        <f aca="false">IF($C558="","",IFERROR(INDEX(예비품목록!$E$3:$E$202,MATCH($C558,예비품목록!$A$3:$A$202,0)),0)+SUMIFS($J$3:$J558,$C$3:$C558,$C558))</f>
        <v/>
      </c>
    </row>
    <row r="559" customFormat="false" ht="15" hidden="false" customHeight="true" outlineLevel="0" collapsed="false">
      <c r="A559" s="12"/>
      <c r="B559" s="9"/>
      <c r="C559" s="9"/>
      <c r="D559" s="15" t="str">
        <f aca="false">IF($C559="","",IFERROR(INDEX(예비품목록!$B$3:$B$202,MATCH($C559,예비품목록!$A$3:$A$202,0)),"미등록품번"))</f>
        <v/>
      </c>
      <c r="E559" s="15" t="str">
        <f aca="false">IF($C559="","",IFERROR(INDEX(예비품목록!$D$3:$D$202,MATCH($C559,예비품목록!$A$3:$A$202,0)),""))</f>
        <v/>
      </c>
      <c r="F559" s="11"/>
      <c r="G559" s="9"/>
      <c r="H559" s="9"/>
      <c r="I559" s="9"/>
      <c r="J559" s="23" t="str">
        <f aca="false">IF(OR($C559="",$F559=""),"",IF($B559="입고",$F559,IF($B559="출고",-$F559,$F559)))</f>
        <v/>
      </c>
      <c r="K559" s="24" t="str">
        <f aca="false">IF($C559="","",IFERROR(INDEX(예비품목록!$E$3:$E$202,MATCH($C559,예비품목록!$A$3:$A$202,0)),0)+SUMIFS($J$3:$J559,$C$3:$C559,$C559))</f>
        <v/>
      </c>
    </row>
    <row r="560" customFormat="false" ht="15" hidden="false" customHeight="true" outlineLevel="0" collapsed="false">
      <c r="A560" s="12"/>
      <c r="B560" s="9"/>
      <c r="C560" s="9"/>
      <c r="D560" s="15" t="str">
        <f aca="false">IF($C560="","",IFERROR(INDEX(예비품목록!$B$3:$B$202,MATCH($C560,예비품목록!$A$3:$A$202,0)),"미등록품번"))</f>
        <v/>
      </c>
      <c r="E560" s="15" t="str">
        <f aca="false">IF($C560="","",IFERROR(INDEX(예비품목록!$D$3:$D$202,MATCH($C560,예비품목록!$A$3:$A$202,0)),""))</f>
        <v/>
      </c>
      <c r="F560" s="11"/>
      <c r="G560" s="9"/>
      <c r="H560" s="9"/>
      <c r="I560" s="9"/>
      <c r="J560" s="23" t="str">
        <f aca="false">IF(OR($C560="",$F560=""),"",IF($B560="입고",$F560,IF($B560="출고",-$F560,$F560)))</f>
        <v/>
      </c>
      <c r="K560" s="24" t="str">
        <f aca="false">IF($C560="","",IFERROR(INDEX(예비품목록!$E$3:$E$202,MATCH($C560,예비품목록!$A$3:$A$202,0)),0)+SUMIFS($J$3:$J560,$C$3:$C560,$C560))</f>
        <v/>
      </c>
    </row>
    <row r="561" customFormat="false" ht="15" hidden="false" customHeight="true" outlineLevel="0" collapsed="false">
      <c r="A561" s="12"/>
      <c r="B561" s="9"/>
      <c r="C561" s="9"/>
      <c r="D561" s="15" t="str">
        <f aca="false">IF($C561="","",IFERROR(INDEX(예비품목록!$B$3:$B$202,MATCH($C561,예비품목록!$A$3:$A$202,0)),"미등록품번"))</f>
        <v/>
      </c>
      <c r="E561" s="15" t="str">
        <f aca="false">IF($C561="","",IFERROR(INDEX(예비품목록!$D$3:$D$202,MATCH($C561,예비품목록!$A$3:$A$202,0)),""))</f>
        <v/>
      </c>
      <c r="F561" s="11"/>
      <c r="G561" s="9"/>
      <c r="H561" s="9"/>
      <c r="I561" s="9"/>
      <c r="J561" s="23" t="str">
        <f aca="false">IF(OR($C561="",$F561=""),"",IF($B561="입고",$F561,IF($B561="출고",-$F561,$F561)))</f>
        <v/>
      </c>
      <c r="K561" s="24" t="str">
        <f aca="false">IF($C561="","",IFERROR(INDEX(예비품목록!$E$3:$E$202,MATCH($C561,예비품목록!$A$3:$A$202,0)),0)+SUMIFS($J$3:$J561,$C$3:$C561,$C561))</f>
        <v/>
      </c>
    </row>
    <row r="562" customFormat="false" ht="15" hidden="false" customHeight="true" outlineLevel="0" collapsed="false">
      <c r="A562" s="12"/>
      <c r="B562" s="9"/>
      <c r="C562" s="9"/>
      <c r="D562" s="15" t="str">
        <f aca="false">IF($C562="","",IFERROR(INDEX(예비품목록!$B$3:$B$202,MATCH($C562,예비품목록!$A$3:$A$202,0)),"미등록품번"))</f>
        <v/>
      </c>
      <c r="E562" s="15" t="str">
        <f aca="false">IF($C562="","",IFERROR(INDEX(예비품목록!$D$3:$D$202,MATCH($C562,예비품목록!$A$3:$A$202,0)),""))</f>
        <v/>
      </c>
      <c r="F562" s="11"/>
      <c r="G562" s="9"/>
      <c r="H562" s="9"/>
      <c r="I562" s="9"/>
      <c r="J562" s="23" t="str">
        <f aca="false">IF(OR($C562="",$F562=""),"",IF($B562="입고",$F562,IF($B562="출고",-$F562,$F562)))</f>
        <v/>
      </c>
      <c r="K562" s="24" t="str">
        <f aca="false">IF($C562="","",IFERROR(INDEX(예비품목록!$E$3:$E$202,MATCH($C562,예비품목록!$A$3:$A$202,0)),0)+SUMIFS($J$3:$J562,$C$3:$C562,$C562))</f>
        <v/>
      </c>
    </row>
    <row r="563" customFormat="false" ht="15" hidden="false" customHeight="true" outlineLevel="0" collapsed="false">
      <c r="A563" s="12"/>
      <c r="B563" s="9"/>
      <c r="C563" s="9"/>
      <c r="D563" s="15" t="str">
        <f aca="false">IF($C563="","",IFERROR(INDEX(예비품목록!$B$3:$B$202,MATCH($C563,예비품목록!$A$3:$A$202,0)),"미등록품번"))</f>
        <v/>
      </c>
      <c r="E563" s="15" t="str">
        <f aca="false">IF($C563="","",IFERROR(INDEX(예비품목록!$D$3:$D$202,MATCH($C563,예비품목록!$A$3:$A$202,0)),""))</f>
        <v/>
      </c>
      <c r="F563" s="11"/>
      <c r="G563" s="9"/>
      <c r="H563" s="9"/>
      <c r="I563" s="9"/>
      <c r="J563" s="23" t="str">
        <f aca="false">IF(OR($C563="",$F563=""),"",IF($B563="입고",$F563,IF($B563="출고",-$F563,$F563)))</f>
        <v/>
      </c>
      <c r="K563" s="24" t="str">
        <f aca="false">IF($C563="","",IFERROR(INDEX(예비품목록!$E$3:$E$202,MATCH($C563,예비품목록!$A$3:$A$202,0)),0)+SUMIFS($J$3:$J563,$C$3:$C563,$C563))</f>
        <v/>
      </c>
    </row>
    <row r="564" customFormat="false" ht="15" hidden="false" customHeight="true" outlineLevel="0" collapsed="false">
      <c r="A564" s="12"/>
      <c r="B564" s="9"/>
      <c r="C564" s="9"/>
      <c r="D564" s="15" t="str">
        <f aca="false">IF($C564="","",IFERROR(INDEX(예비품목록!$B$3:$B$202,MATCH($C564,예비품목록!$A$3:$A$202,0)),"미등록품번"))</f>
        <v/>
      </c>
      <c r="E564" s="15" t="str">
        <f aca="false">IF($C564="","",IFERROR(INDEX(예비품목록!$D$3:$D$202,MATCH($C564,예비품목록!$A$3:$A$202,0)),""))</f>
        <v/>
      </c>
      <c r="F564" s="11"/>
      <c r="G564" s="9"/>
      <c r="H564" s="9"/>
      <c r="I564" s="9"/>
      <c r="J564" s="23" t="str">
        <f aca="false">IF(OR($C564="",$F564=""),"",IF($B564="입고",$F564,IF($B564="출고",-$F564,$F564)))</f>
        <v/>
      </c>
      <c r="K564" s="24" t="str">
        <f aca="false">IF($C564="","",IFERROR(INDEX(예비품목록!$E$3:$E$202,MATCH($C564,예비품목록!$A$3:$A$202,0)),0)+SUMIFS($J$3:$J564,$C$3:$C564,$C564))</f>
        <v/>
      </c>
    </row>
    <row r="565" customFormat="false" ht="15" hidden="false" customHeight="true" outlineLevel="0" collapsed="false">
      <c r="A565" s="12"/>
      <c r="B565" s="9"/>
      <c r="C565" s="9"/>
      <c r="D565" s="15" t="str">
        <f aca="false">IF($C565="","",IFERROR(INDEX(예비품목록!$B$3:$B$202,MATCH($C565,예비품목록!$A$3:$A$202,0)),"미등록품번"))</f>
        <v/>
      </c>
      <c r="E565" s="15" t="str">
        <f aca="false">IF($C565="","",IFERROR(INDEX(예비품목록!$D$3:$D$202,MATCH($C565,예비품목록!$A$3:$A$202,0)),""))</f>
        <v/>
      </c>
      <c r="F565" s="11"/>
      <c r="G565" s="9"/>
      <c r="H565" s="9"/>
      <c r="I565" s="9"/>
      <c r="J565" s="23" t="str">
        <f aca="false">IF(OR($C565="",$F565=""),"",IF($B565="입고",$F565,IF($B565="출고",-$F565,$F565)))</f>
        <v/>
      </c>
      <c r="K565" s="24" t="str">
        <f aca="false">IF($C565="","",IFERROR(INDEX(예비품목록!$E$3:$E$202,MATCH($C565,예비품목록!$A$3:$A$202,0)),0)+SUMIFS($J$3:$J565,$C$3:$C565,$C565))</f>
        <v/>
      </c>
    </row>
    <row r="566" customFormat="false" ht="15" hidden="false" customHeight="true" outlineLevel="0" collapsed="false">
      <c r="A566" s="12"/>
      <c r="B566" s="9"/>
      <c r="C566" s="9"/>
      <c r="D566" s="15" t="str">
        <f aca="false">IF($C566="","",IFERROR(INDEX(예비품목록!$B$3:$B$202,MATCH($C566,예비품목록!$A$3:$A$202,0)),"미등록품번"))</f>
        <v/>
      </c>
      <c r="E566" s="15" t="str">
        <f aca="false">IF($C566="","",IFERROR(INDEX(예비품목록!$D$3:$D$202,MATCH($C566,예비품목록!$A$3:$A$202,0)),""))</f>
        <v/>
      </c>
      <c r="F566" s="11"/>
      <c r="G566" s="9"/>
      <c r="H566" s="9"/>
      <c r="I566" s="9"/>
      <c r="J566" s="23" t="str">
        <f aca="false">IF(OR($C566="",$F566=""),"",IF($B566="입고",$F566,IF($B566="출고",-$F566,$F566)))</f>
        <v/>
      </c>
      <c r="K566" s="24" t="str">
        <f aca="false">IF($C566="","",IFERROR(INDEX(예비품목록!$E$3:$E$202,MATCH($C566,예비품목록!$A$3:$A$202,0)),0)+SUMIFS($J$3:$J566,$C$3:$C566,$C566))</f>
        <v/>
      </c>
    </row>
    <row r="567" customFormat="false" ht="15" hidden="false" customHeight="true" outlineLevel="0" collapsed="false">
      <c r="A567" s="12"/>
      <c r="B567" s="9"/>
      <c r="C567" s="9"/>
      <c r="D567" s="15" t="str">
        <f aca="false">IF($C567="","",IFERROR(INDEX(예비품목록!$B$3:$B$202,MATCH($C567,예비품목록!$A$3:$A$202,0)),"미등록품번"))</f>
        <v/>
      </c>
      <c r="E567" s="15" t="str">
        <f aca="false">IF($C567="","",IFERROR(INDEX(예비품목록!$D$3:$D$202,MATCH($C567,예비품목록!$A$3:$A$202,0)),""))</f>
        <v/>
      </c>
      <c r="F567" s="11"/>
      <c r="G567" s="9"/>
      <c r="H567" s="9"/>
      <c r="I567" s="9"/>
      <c r="J567" s="23" t="str">
        <f aca="false">IF(OR($C567="",$F567=""),"",IF($B567="입고",$F567,IF($B567="출고",-$F567,$F567)))</f>
        <v/>
      </c>
      <c r="K567" s="24" t="str">
        <f aca="false">IF($C567="","",IFERROR(INDEX(예비품목록!$E$3:$E$202,MATCH($C567,예비품목록!$A$3:$A$202,0)),0)+SUMIFS($J$3:$J567,$C$3:$C567,$C567))</f>
        <v/>
      </c>
    </row>
    <row r="568" customFormat="false" ht="15" hidden="false" customHeight="true" outlineLevel="0" collapsed="false">
      <c r="A568" s="12"/>
      <c r="B568" s="9"/>
      <c r="C568" s="9"/>
      <c r="D568" s="15" t="str">
        <f aca="false">IF($C568="","",IFERROR(INDEX(예비품목록!$B$3:$B$202,MATCH($C568,예비품목록!$A$3:$A$202,0)),"미등록품번"))</f>
        <v/>
      </c>
      <c r="E568" s="15" t="str">
        <f aca="false">IF($C568="","",IFERROR(INDEX(예비품목록!$D$3:$D$202,MATCH($C568,예비품목록!$A$3:$A$202,0)),""))</f>
        <v/>
      </c>
      <c r="F568" s="11"/>
      <c r="G568" s="9"/>
      <c r="H568" s="9"/>
      <c r="I568" s="9"/>
      <c r="J568" s="23" t="str">
        <f aca="false">IF(OR($C568="",$F568=""),"",IF($B568="입고",$F568,IF($B568="출고",-$F568,$F568)))</f>
        <v/>
      </c>
      <c r="K568" s="24" t="str">
        <f aca="false">IF($C568="","",IFERROR(INDEX(예비품목록!$E$3:$E$202,MATCH($C568,예비품목록!$A$3:$A$202,0)),0)+SUMIFS($J$3:$J568,$C$3:$C568,$C568))</f>
        <v/>
      </c>
    </row>
    <row r="569" customFormat="false" ht="15" hidden="false" customHeight="true" outlineLevel="0" collapsed="false">
      <c r="A569" s="12"/>
      <c r="B569" s="9"/>
      <c r="C569" s="9"/>
      <c r="D569" s="15" t="str">
        <f aca="false">IF($C569="","",IFERROR(INDEX(예비품목록!$B$3:$B$202,MATCH($C569,예비품목록!$A$3:$A$202,0)),"미등록품번"))</f>
        <v/>
      </c>
      <c r="E569" s="15" t="str">
        <f aca="false">IF($C569="","",IFERROR(INDEX(예비품목록!$D$3:$D$202,MATCH($C569,예비품목록!$A$3:$A$202,0)),""))</f>
        <v/>
      </c>
      <c r="F569" s="11"/>
      <c r="G569" s="9"/>
      <c r="H569" s="9"/>
      <c r="I569" s="9"/>
      <c r="J569" s="23" t="str">
        <f aca="false">IF(OR($C569="",$F569=""),"",IF($B569="입고",$F569,IF($B569="출고",-$F569,$F569)))</f>
        <v/>
      </c>
      <c r="K569" s="24" t="str">
        <f aca="false">IF($C569="","",IFERROR(INDEX(예비품목록!$E$3:$E$202,MATCH($C569,예비품목록!$A$3:$A$202,0)),0)+SUMIFS($J$3:$J569,$C$3:$C569,$C569))</f>
        <v/>
      </c>
    </row>
    <row r="570" customFormat="false" ht="15" hidden="false" customHeight="true" outlineLevel="0" collapsed="false">
      <c r="A570" s="12"/>
      <c r="B570" s="9"/>
      <c r="C570" s="9"/>
      <c r="D570" s="15" t="str">
        <f aca="false">IF($C570="","",IFERROR(INDEX(예비품목록!$B$3:$B$202,MATCH($C570,예비품목록!$A$3:$A$202,0)),"미등록품번"))</f>
        <v/>
      </c>
      <c r="E570" s="15" t="str">
        <f aca="false">IF($C570="","",IFERROR(INDEX(예비품목록!$D$3:$D$202,MATCH($C570,예비품목록!$A$3:$A$202,0)),""))</f>
        <v/>
      </c>
      <c r="F570" s="11"/>
      <c r="G570" s="9"/>
      <c r="H570" s="9"/>
      <c r="I570" s="9"/>
      <c r="J570" s="23" t="str">
        <f aca="false">IF(OR($C570="",$F570=""),"",IF($B570="입고",$F570,IF($B570="출고",-$F570,$F570)))</f>
        <v/>
      </c>
      <c r="K570" s="24" t="str">
        <f aca="false">IF($C570="","",IFERROR(INDEX(예비품목록!$E$3:$E$202,MATCH($C570,예비품목록!$A$3:$A$202,0)),0)+SUMIFS($J$3:$J570,$C$3:$C570,$C570))</f>
        <v/>
      </c>
    </row>
    <row r="571" customFormat="false" ht="15" hidden="false" customHeight="true" outlineLevel="0" collapsed="false">
      <c r="A571" s="12"/>
      <c r="B571" s="9"/>
      <c r="C571" s="9"/>
      <c r="D571" s="15" t="str">
        <f aca="false">IF($C571="","",IFERROR(INDEX(예비품목록!$B$3:$B$202,MATCH($C571,예비품목록!$A$3:$A$202,0)),"미등록품번"))</f>
        <v/>
      </c>
      <c r="E571" s="15" t="str">
        <f aca="false">IF($C571="","",IFERROR(INDEX(예비품목록!$D$3:$D$202,MATCH($C571,예비품목록!$A$3:$A$202,0)),""))</f>
        <v/>
      </c>
      <c r="F571" s="11"/>
      <c r="G571" s="9"/>
      <c r="H571" s="9"/>
      <c r="I571" s="9"/>
      <c r="J571" s="23" t="str">
        <f aca="false">IF(OR($C571="",$F571=""),"",IF($B571="입고",$F571,IF($B571="출고",-$F571,$F571)))</f>
        <v/>
      </c>
      <c r="K571" s="24" t="str">
        <f aca="false">IF($C571="","",IFERROR(INDEX(예비품목록!$E$3:$E$202,MATCH($C571,예비품목록!$A$3:$A$202,0)),0)+SUMIFS($J$3:$J571,$C$3:$C571,$C571))</f>
        <v/>
      </c>
    </row>
    <row r="572" customFormat="false" ht="15" hidden="false" customHeight="true" outlineLevel="0" collapsed="false">
      <c r="A572" s="12"/>
      <c r="B572" s="9"/>
      <c r="C572" s="9"/>
      <c r="D572" s="15" t="str">
        <f aca="false">IF($C572="","",IFERROR(INDEX(예비품목록!$B$3:$B$202,MATCH($C572,예비품목록!$A$3:$A$202,0)),"미등록품번"))</f>
        <v/>
      </c>
      <c r="E572" s="15" t="str">
        <f aca="false">IF($C572="","",IFERROR(INDEX(예비품목록!$D$3:$D$202,MATCH($C572,예비품목록!$A$3:$A$202,0)),""))</f>
        <v/>
      </c>
      <c r="F572" s="11"/>
      <c r="G572" s="9"/>
      <c r="H572" s="9"/>
      <c r="I572" s="9"/>
      <c r="J572" s="23" t="str">
        <f aca="false">IF(OR($C572="",$F572=""),"",IF($B572="입고",$F572,IF($B572="출고",-$F572,$F572)))</f>
        <v/>
      </c>
      <c r="K572" s="24" t="str">
        <f aca="false">IF($C572="","",IFERROR(INDEX(예비품목록!$E$3:$E$202,MATCH($C572,예비품목록!$A$3:$A$202,0)),0)+SUMIFS($J$3:$J572,$C$3:$C572,$C572))</f>
        <v/>
      </c>
    </row>
    <row r="573" customFormat="false" ht="15" hidden="false" customHeight="true" outlineLevel="0" collapsed="false">
      <c r="A573" s="12"/>
      <c r="B573" s="9"/>
      <c r="C573" s="9"/>
      <c r="D573" s="15" t="str">
        <f aca="false">IF($C573="","",IFERROR(INDEX(예비품목록!$B$3:$B$202,MATCH($C573,예비품목록!$A$3:$A$202,0)),"미등록품번"))</f>
        <v/>
      </c>
      <c r="E573" s="15" t="str">
        <f aca="false">IF($C573="","",IFERROR(INDEX(예비품목록!$D$3:$D$202,MATCH($C573,예비품목록!$A$3:$A$202,0)),""))</f>
        <v/>
      </c>
      <c r="F573" s="11"/>
      <c r="G573" s="9"/>
      <c r="H573" s="9"/>
      <c r="I573" s="9"/>
      <c r="J573" s="23" t="str">
        <f aca="false">IF(OR($C573="",$F573=""),"",IF($B573="입고",$F573,IF($B573="출고",-$F573,$F573)))</f>
        <v/>
      </c>
      <c r="K573" s="24" t="str">
        <f aca="false">IF($C573="","",IFERROR(INDEX(예비품목록!$E$3:$E$202,MATCH($C573,예비품목록!$A$3:$A$202,0)),0)+SUMIFS($J$3:$J573,$C$3:$C573,$C573))</f>
        <v/>
      </c>
    </row>
    <row r="574" customFormat="false" ht="15" hidden="false" customHeight="true" outlineLevel="0" collapsed="false">
      <c r="A574" s="12"/>
      <c r="B574" s="9"/>
      <c r="C574" s="9"/>
      <c r="D574" s="15" t="str">
        <f aca="false">IF($C574="","",IFERROR(INDEX(예비품목록!$B$3:$B$202,MATCH($C574,예비품목록!$A$3:$A$202,0)),"미등록품번"))</f>
        <v/>
      </c>
      <c r="E574" s="15" t="str">
        <f aca="false">IF($C574="","",IFERROR(INDEX(예비품목록!$D$3:$D$202,MATCH($C574,예비품목록!$A$3:$A$202,0)),""))</f>
        <v/>
      </c>
      <c r="F574" s="11"/>
      <c r="G574" s="9"/>
      <c r="H574" s="9"/>
      <c r="I574" s="9"/>
      <c r="J574" s="23" t="str">
        <f aca="false">IF(OR($C574="",$F574=""),"",IF($B574="입고",$F574,IF($B574="출고",-$F574,$F574)))</f>
        <v/>
      </c>
      <c r="K574" s="24" t="str">
        <f aca="false">IF($C574="","",IFERROR(INDEX(예비품목록!$E$3:$E$202,MATCH($C574,예비품목록!$A$3:$A$202,0)),0)+SUMIFS($J$3:$J574,$C$3:$C574,$C574))</f>
        <v/>
      </c>
    </row>
    <row r="575" customFormat="false" ht="15" hidden="false" customHeight="true" outlineLevel="0" collapsed="false">
      <c r="A575" s="12"/>
      <c r="B575" s="9"/>
      <c r="C575" s="9"/>
      <c r="D575" s="15" t="str">
        <f aca="false">IF($C575="","",IFERROR(INDEX(예비품목록!$B$3:$B$202,MATCH($C575,예비품목록!$A$3:$A$202,0)),"미등록품번"))</f>
        <v/>
      </c>
      <c r="E575" s="15" t="str">
        <f aca="false">IF($C575="","",IFERROR(INDEX(예비품목록!$D$3:$D$202,MATCH($C575,예비품목록!$A$3:$A$202,0)),""))</f>
        <v/>
      </c>
      <c r="F575" s="11"/>
      <c r="G575" s="9"/>
      <c r="H575" s="9"/>
      <c r="I575" s="9"/>
      <c r="J575" s="23" t="str">
        <f aca="false">IF(OR($C575="",$F575=""),"",IF($B575="입고",$F575,IF($B575="출고",-$F575,$F575)))</f>
        <v/>
      </c>
      <c r="K575" s="24" t="str">
        <f aca="false">IF($C575="","",IFERROR(INDEX(예비품목록!$E$3:$E$202,MATCH($C575,예비품목록!$A$3:$A$202,0)),0)+SUMIFS($J$3:$J575,$C$3:$C575,$C575))</f>
        <v/>
      </c>
    </row>
    <row r="576" customFormat="false" ht="15" hidden="false" customHeight="true" outlineLevel="0" collapsed="false">
      <c r="A576" s="12"/>
      <c r="B576" s="9"/>
      <c r="C576" s="9"/>
      <c r="D576" s="15" t="str">
        <f aca="false">IF($C576="","",IFERROR(INDEX(예비품목록!$B$3:$B$202,MATCH($C576,예비품목록!$A$3:$A$202,0)),"미등록품번"))</f>
        <v/>
      </c>
      <c r="E576" s="15" t="str">
        <f aca="false">IF($C576="","",IFERROR(INDEX(예비품목록!$D$3:$D$202,MATCH($C576,예비품목록!$A$3:$A$202,0)),""))</f>
        <v/>
      </c>
      <c r="F576" s="11"/>
      <c r="G576" s="9"/>
      <c r="H576" s="9"/>
      <c r="I576" s="9"/>
      <c r="J576" s="23" t="str">
        <f aca="false">IF(OR($C576="",$F576=""),"",IF($B576="입고",$F576,IF($B576="출고",-$F576,$F576)))</f>
        <v/>
      </c>
      <c r="K576" s="24" t="str">
        <f aca="false">IF($C576="","",IFERROR(INDEX(예비품목록!$E$3:$E$202,MATCH($C576,예비품목록!$A$3:$A$202,0)),0)+SUMIFS($J$3:$J576,$C$3:$C576,$C576))</f>
        <v/>
      </c>
    </row>
    <row r="577" customFormat="false" ht="15" hidden="false" customHeight="true" outlineLevel="0" collapsed="false">
      <c r="A577" s="12"/>
      <c r="B577" s="9"/>
      <c r="C577" s="9"/>
      <c r="D577" s="15" t="str">
        <f aca="false">IF($C577="","",IFERROR(INDEX(예비품목록!$B$3:$B$202,MATCH($C577,예비품목록!$A$3:$A$202,0)),"미등록품번"))</f>
        <v/>
      </c>
      <c r="E577" s="15" t="str">
        <f aca="false">IF($C577="","",IFERROR(INDEX(예비품목록!$D$3:$D$202,MATCH($C577,예비품목록!$A$3:$A$202,0)),""))</f>
        <v/>
      </c>
      <c r="F577" s="11"/>
      <c r="G577" s="9"/>
      <c r="H577" s="9"/>
      <c r="I577" s="9"/>
      <c r="J577" s="23" t="str">
        <f aca="false">IF(OR($C577="",$F577=""),"",IF($B577="입고",$F577,IF($B577="출고",-$F577,$F577)))</f>
        <v/>
      </c>
      <c r="K577" s="24" t="str">
        <f aca="false">IF($C577="","",IFERROR(INDEX(예비품목록!$E$3:$E$202,MATCH($C577,예비품목록!$A$3:$A$202,0)),0)+SUMIFS($J$3:$J577,$C$3:$C577,$C577))</f>
        <v/>
      </c>
    </row>
    <row r="578" customFormat="false" ht="15" hidden="false" customHeight="true" outlineLevel="0" collapsed="false">
      <c r="A578" s="12"/>
      <c r="B578" s="9"/>
      <c r="C578" s="9"/>
      <c r="D578" s="15" t="str">
        <f aca="false">IF($C578="","",IFERROR(INDEX(예비품목록!$B$3:$B$202,MATCH($C578,예비품목록!$A$3:$A$202,0)),"미등록품번"))</f>
        <v/>
      </c>
      <c r="E578" s="15" t="str">
        <f aca="false">IF($C578="","",IFERROR(INDEX(예비품목록!$D$3:$D$202,MATCH($C578,예비품목록!$A$3:$A$202,0)),""))</f>
        <v/>
      </c>
      <c r="F578" s="11"/>
      <c r="G578" s="9"/>
      <c r="H578" s="9"/>
      <c r="I578" s="9"/>
      <c r="J578" s="23" t="str">
        <f aca="false">IF(OR($C578="",$F578=""),"",IF($B578="입고",$F578,IF($B578="출고",-$F578,$F578)))</f>
        <v/>
      </c>
      <c r="K578" s="24" t="str">
        <f aca="false">IF($C578="","",IFERROR(INDEX(예비품목록!$E$3:$E$202,MATCH($C578,예비품목록!$A$3:$A$202,0)),0)+SUMIFS($J$3:$J578,$C$3:$C578,$C578))</f>
        <v/>
      </c>
    </row>
    <row r="579" customFormat="false" ht="15" hidden="false" customHeight="true" outlineLevel="0" collapsed="false">
      <c r="A579" s="12"/>
      <c r="B579" s="9"/>
      <c r="C579" s="9"/>
      <c r="D579" s="15" t="str">
        <f aca="false">IF($C579="","",IFERROR(INDEX(예비품목록!$B$3:$B$202,MATCH($C579,예비품목록!$A$3:$A$202,0)),"미등록품번"))</f>
        <v/>
      </c>
      <c r="E579" s="15" t="str">
        <f aca="false">IF($C579="","",IFERROR(INDEX(예비품목록!$D$3:$D$202,MATCH($C579,예비품목록!$A$3:$A$202,0)),""))</f>
        <v/>
      </c>
      <c r="F579" s="11"/>
      <c r="G579" s="9"/>
      <c r="H579" s="9"/>
      <c r="I579" s="9"/>
      <c r="J579" s="23" t="str">
        <f aca="false">IF(OR($C579="",$F579=""),"",IF($B579="입고",$F579,IF($B579="출고",-$F579,$F579)))</f>
        <v/>
      </c>
      <c r="K579" s="24" t="str">
        <f aca="false">IF($C579="","",IFERROR(INDEX(예비품목록!$E$3:$E$202,MATCH($C579,예비품목록!$A$3:$A$202,0)),0)+SUMIFS($J$3:$J579,$C$3:$C579,$C579))</f>
        <v/>
      </c>
    </row>
    <row r="580" customFormat="false" ht="15" hidden="false" customHeight="true" outlineLevel="0" collapsed="false">
      <c r="A580" s="12"/>
      <c r="B580" s="9"/>
      <c r="C580" s="9"/>
      <c r="D580" s="15" t="str">
        <f aca="false">IF($C580="","",IFERROR(INDEX(예비품목록!$B$3:$B$202,MATCH($C580,예비품목록!$A$3:$A$202,0)),"미등록품번"))</f>
        <v/>
      </c>
      <c r="E580" s="15" t="str">
        <f aca="false">IF($C580="","",IFERROR(INDEX(예비품목록!$D$3:$D$202,MATCH($C580,예비품목록!$A$3:$A$202,0)),""))</f>
        <v/>
      </c>
      <c r="F580" s="11"/>
      <c r="G580" s="9"/>
      <c r="H580" s="9"/>
      <c r="I580" s="9"/>
      <c r="J580" s="23" t="str">
        <f aca="false">IF(OR($C580="",$F580=""),"",IF($B580="입고",$F580,IF($B580="출고",-$F580,$F580)))</f>
        <v/>
      </c>
      <c r="K580" s="24" t="str">
        <f aca="false">IF($C580="","",IFERROR(INDEX(예비품목록!$E$3:$E$202,MATCH($C580,예비품목록!$A$3:$A$202,0)),0)+SUMIFS($J$3:$J580,$C$3:$C580,$C580))</f>
        <v/>
      </c>
    </row>
    <row r="581" customFormat="false" ht="15" hidden="false" customHeight="true" outlineLevel="0" collapsed="false">
      <c r="A581" s="12"/>
      <c r="B581" s="9"/>
      <c r="C581" s="9"/>
      <c r="D581" s="15" t="str">
        <f aca="false">IF($C581="","",IFERROR(INDEX(예비품목록!$B$3:$B$202,MATCH($C581,예비품목록!$A$3:$A$202,0)),"미등록품번"))</f>
        <v/>
      </c>
      <c r="E581" s="15" t="str">
        <f aca="false">IF($C581="","",IFERROR(INDEX(예비품목록!$D$3:$D$202,MATCH($C581,예비품목록!$A$3:$A$202,0)),""))</f>
        <v/>
      </c>
      <c r="F581" s="11"/>
      <c r="G581" s="9"/>
      <c r="H581" s="9"/>
      <c r="I581" s="9"/>
      <c r="J581" s="23" t="str">
        <f aca="false">IF(OR($C581="",$F581=""),"",IF($B581="입고",$F581,IF($B581="출고",-$F581,$F581)))</f>
        <v/>
      </c>
      <c r="K581" s="24" t="str">
        <f aca="false">IF($C581="","",IFERROR(INDEX(예비품목록!$E$3:$E$202,MATCH($C581,예비품목록!$A$3:$A$202,0)),0)+SUMIFS($J$3:$J581,$C$3:$C581,$C581))</f>
        <v/>
      </c>
    </row>
    <row r="582" customFormat="false" ht="15" hidden="false" customHeight="true" outlineLevel="0" collapsed="false">
      <c r="A582" s="12"/>
      <c r="B582" s="9"/>
      <c r="C582" s="9"/>
      <c r="D582" s="15" t="str">
        <f aca="false">IF($C582="","",IFERROR(INDEX(예비품목록!$B$3:$B$202,MATCH($C582,예비품목록!$A$3:$A$202,0)),"미등록품번"))</f>
        <v/>
      </c>
      <c r="E582" s="15" t="str">
        <f aca="false">IF($C582="","",IFERROR(INDEX(예비품목록!$D$3:$D$202,MATCH($C582,예비품목록!$A$3:$A$202,0)),""))</f>
        <v/>
      </c>
      <c r="F582" s="11"/>
      <c r="G582" s="9"/>
      <c r="H582" s="9"/>
      <c r="I582" s="9"/>
      <c r="J582" s="23" t="str">
        <f aca="false">IF(OR($C582="",$F582=""),"",IF($B582="입고",$F582,IF($B582="출고",-$F582,$F582)))</f>
        <v/>
      </c>
      <c r="K582" s="24" t="str">
        <f aca="false">IF($C582="","",IFERROR(INDEX(예비품목록!$E$3:$E$202,MATCH($C582,예비품목록!$A$3:$A$202,0)),0)+SUMIFS($J$3:$J582,$C$3:$C582,$C582))</f>
        <v/>
      </c>
    </row>
    <row r="583" customFormat="false" ht="15" hidden="false" customHeight="true" outlineLevel="0" collapsed="false">
      <c r="A583" s="12"/>
      <c r="B583" s="9"/>
      <c r="C583" s="9"/>
      <c r="D583" s="15" t="str">
        <f aca="false">IF($C583="","",IFERROR(INDEX(예비품목록!$B$3:$B$202,MATCH($C583,예비품목록!$A$3:$A$202,0)),"미등록품번"))</f>
        <v/>
      </c>
      <c r="E583" s="15" t="str">
        <f aca="false">IF($C583="","",IFERROR(INDEX(예비품목록!$D$3:$D$202,MATCH($C583,예비품목록!$A$3:$A$202,0)),""))</f>
        <v/>
      </c>
      <c r="F583" s="11"/>
      <c r="G583" s="9"/>
      <c r="H583" s="9"/>
      <c r="I583" s="9"/>
      <c r="J583" s="23" t="str">
        <f aca="false">IF(OR($C583="",$F583=""),"",IF($B583="입고",$F583,IF($B583="출고",-$F583,$F583)))</f>
        <v/>
      </c>
      <c r="K583" s="24" t="str">
        <f aca="false">IF($C583="","",IFERROR(INDEX(예비품목록!$E$3:$E$202,MATCH($C583,예비품목록!$A$3:$A$202,0)),0)+SUMIFS($J$3:$J583,$C$3:$C583,$C583))</f>
        <v/>
      </c>
    </row>
    <row r="584" customFormat="false" ht="15" hidden="false" customHeight="true" outlineLevel="0" collapsed="false">
      <c r="A584" s="12"/>
      <c r="B584" s="9"/>
      <c r="C584" s="9"/>
      <c r="D584" s="15" t="str">
        <f aca="false">IF($C584="","",IFERROR(INDEX(예비품목록!$B$3:$B$202,MATCH($C584,예비품목록!$A$3:$A$202,0)),"미등록품번"))</f>
        <v/>
      </c>
      <c r="E584" s="15" t="str">
        <f aca="false">IF($C584="","",IFERROR(INDEX(예비품목록!$D$3:$D$202,MATCH($C584,예비품목록!$A$3:$A$202,0)),""))</f>
        <v/>
      </c>
      <c r="F584" s="11"/>
      <c r="G584" s="9"/>
      <c r="H584" s="9"/>
      <c r="I584" s="9"/>
      <c r="J584" s="23" t="str">
        <f aca="false">IF(OR($C584="",$F584=""),"",IF($B584="입고",$F584,IF($B584="출고",-$F584,$F584)))</f>
        <v/>
      </c>
      <c r="K584" s="24" t="str">
        <f aca="false">IF($C584="","",IFERROR(INDEX(예비품목록!$E$3:$E$202,MATCH($C584,예비품목록!$A$3:$A$202,0)),0)+SUMIFS($J$3:$J584,$C$3:$C584,$C584))</f>
        <v/>
      </c>
    </row>
    <row r="585" customFormat="false" ht="15" hidden="false" customHeight="true" outlineLevel="0" collapsed="false">
      <c r="A585" s="12"/>
      <c r="B585" s="9"/>
      <c r="C585" s="9"/>
      <c r="D585" s="15" t="str">
        <f aca="false">IF($C585="","",IFERROR(INDEX(예비품목록!$B$3:$B$202,MATCH($C585,예비품목록!$A$3:$A$202,0)),"미등록품번"))</f>
        <v/>
      </c>
      <c r="E585" s="15" t="str">
        <f aca="false">IF($C585="","",IFERROR(INDEX(예비품목록!$D$3:$D$202,MATCH($C585,예비품목록!$A$3:$A$202,0)),""))</f>
        <v/>
      </c>
      <c r="F585" s="11"/>
      <c r="G585" s="9"/>
      <c r="H585" s="9"/>
      <c r="I585" s="9"/>
      <c r="J585" s="23" t="str">
        <f aca="false">IF(OR($C585="",$F585=""),"",IF($B585="입고",$F585,IF($B585="출고",-$F585,$F585)))</f>
        <v/>
      </c>
      <c r="K585" s="24" t="str">
        <f aca="false">IF($C585="","",IFERROR(INDEX(예비품목록!$E$3:$E$202,MATCH($C585,예비품목록!$A$3:$A$202,0)),0)+SUMIFS($J$3:$J585,$C$3:$C585,$C585))</f>
        <v/>
      </c>
    </row>
    <row r="586" customFormat="false" ht="15" hidden="false" customHeight="true" outlineLevel="0" collapsed="false">
      <c r="A586" s="12"/>
      <c r="B586" s="9"/>
      <c r="C586" s="9"/>
      <c r="D586" s="15" t="str">
        <f aca="false">IF($C586="","",IFERROR(INDEX(예비품목록!$B$3:$B$202,MATCH($C586,예비품목록!$A$3:$A$202,0)),"미등록품번"))</f>
        <v/>
      </c>
      <c r="E586" s="15" t="str">
        <f aca="false">IF($C586="","",IFERROR(INDEX(예비품목록!$D$3:$D$202,MATCH($C586,예비품목록!$A$3:$A$202,0)),""))</f>
        <v/>
      </c>
      <c r="F586" s="11"/>
      <c r="G586" s="9"/>
      <c r="H586" s="9"/>
      <c r="I586" s="9"/>
      <c r="J586" s="23" t="str">
        <f aca="false">IF(OR($C586="",$F586=""),"",IF($B586="입고",$F586,IF($B586="출고",-$F586,$F586)))</f>
        <v/>
      </c>
      <c r="K586" s="24" t="str">
        <f aca="false">IF($C586="","",IFERROR(INDEX(예비품목록!$E$3:$E$202,MATCH($C586,예비품목록!$A$3:$A$202,0)),0)+SUMIFS($J$3:$J586,$C$3:$C586,$C586))</f>
        <v/>
      </c>
    </row>
    <row r="587" customFormat="false" ht="15" hidden="false" customHeight="true" outlineLevel="0" collapsed="false">
      <c r="A587" s="12"/>
      <c r="B587" s="9"/>
      <c r="C587" s="9"/>
      <c r="D587" s="15" t="str">
        <f aca="false">IF($C587="","",IFERROR(INDEX(예비품목록!$B$3:$B$202,MATCH($C587,예비품목록!$A$3:$A$202,0)),"미등록품번"))</f>
        <v/>
      </c>
      <c r="E587" s="15" t="str">
        <f aca="false">IF($C587="","",IFERROR(INDEX(예비품목록!$D$3:$D$202,MATCH($C587,예비품목록!$A$3:$A$202,0)),""))</f>
        <v/>
      </c>
      <c r="F587" s="11"/>
      <c r="G587" s="9"/>
      <c r="H587" s="9"/>
      <c r="I587" s="9"/>
      <c r="J587" s="23" t="str">
        <f aca="false">IF(OR($C587="",$F587=""),"",IF($B587="입고",$F587,IF($B587="출고",-$F587,$F587)))</f>
        <v/>
      </c>
      <c r="K587" s="24" t="str">
        <f aca="false">IF($C587="","",IFERROR(INDEX(예비품목록!$E$3:$E$202,MATCH($C587,예비품목록!$A$3:$A$202,0)),0)+SUMIFS($J$3:$J587,$C$3:$C587,$C587))</f>
        <v/>
      </c>
    </row>
    <row r="588" customFormat="false" ht="15" hidden="false" customHeight="true" outlineLevel="0" collapsed="false">
      <c r="A588" s="12"/>
      <c r="B588" s="9"/>
      <c r="C588" s="9"/>
      <c r="D588" s="15" t="str">
        <f aca="false">IF($C588="","",IFERROR(INDEX(예비품목록!$B$3:$B$202,MATCH($C588,예비품목록!$A$3:$A$202,0)),"미등록품번"))</f>
        <v/>
      </c>
      <c r="E588" s="15" t="str">
        <f aca="false">IF($C588="","",IFERROR(INDEX(예비품목록!$D$3:$D$202,MATCH($C588,예비품목록!$A$3:$A$202,0)),""))</f>
        <v/>
      </c>
      <c r="F588" s="11"/>
      <c r="G588" s="9"/>
      <c r="H588" s="9"/>
      <c r="I588" s="9"/>
      <c r="J588" s="23" t="str">
        <f aca="false">IF(OR($C588="",$F588=""),"",IF($B588="입고",$F588,IF($B588="출고",-$F588,$F588)))</f>
        <v/>
      </c>
      <c r="K588" s="24" t="str">
        <f aca="false">IF($C588="","",IFERROR(INDEX(예비품목록!$E$3:$E$202,MATCH($C588,예비품목록!$A$3:$A$202,0)),0)+SUMIFS($J$3:$J588,$C$3:$C588,$C588))</f>
        <v/>
      </c>
    </row>
    <row r="589" customFormat="false" ht="15" hidden="false" customHeight="true" outlineLevel="0" collapsed="false">
      <c r="A589" s="12"/>
      <c r="B589" s="9"/>
      <c r="C589" s="9"/>
      <c r="D589" s="15" t="str">
        <f aca="false">IF($C589="","",IFERROR(INDEX(예비품목록!$B$3:$B$202,MATCH($C589,예비품목록!$A$3:$A$202,0)),"미등록품번"))</f>
        <v/>
      </c>
      <c r="E589" s="15" t="str">
        <f aca="false">IF($C589="","",IFERROR(INDEX(예비품목록!$D$3:$D$202,MATCH($C589,예비품목록!$A$3:$A$202,0)),""))</f>
        <v/>
      </c>
      <c r="F589" s="11"/>
      <c r="G589" s="9"/>
      <c r="H589" s="9"/>
      <c r="I589" s="9"/>
      <c r="J589" s="23" t="str">
        <f aca="false">IF(OR($C589="",$F589=""),"",IF($B589="입고",$F589,IF($B589="출고",-$F589,$F589)))</f>
        <v/>
      </c>
      <c r="K589" s="24" t="str">
        <f aca="false">IF($C589="","",IFERROR(INDEX(예비품목록!$E$3:$E$202,MATCH($C589,예비품목록!$A$3:$A$202,0)),0)+SUMIFS($J$3:$J589,$C$3:$C589,$C589))</f>
        <v/>
      </c>
    </row>
    <row r="590" customFormat="false" ht="15" hidden="false" customHeight="true" outlineLevel="0" collapsed="false">
      <c r="A590" s="12"/>
      <c r="B590" s="9"/>
      <c r="C590" s="9"/>
      <c r="D590" s="15" t="str">
        <f aca="false">IF($C590="","",IFERROR(INDEX(예비품목록!$B$3:$B$202,MATCH($C590,예비품목록!$A$3:$A$202,0)),"미등록품번"))</f>
        <v/>
      </c>
      <c r="E590" s="15" t="str">
        <f aca="false">IF($C590="","",IFERROR(INDEX(예비품목록!$D$3:$D$202,MATCH($C590,예비품목록!$A$3:$A$202,0)),""))</f>
        <v/>
      </c>
      <c r="F590" s="11"/>
      <c r="G590" s="9"/>
      <c r="H590" s="9"/>
      <c r="I590" s="9"/>
      <c r="J590" s="23" t="str">
        <f aca="false">IF(OR($C590="",$F590=""),"",IF($B590="입고",$F590,IF($B590="출고",-$F590,$F590)))</f>
        <v/>
      </c>
      <c r="K590" s="24" t="str">
        <f aca="false">IF($C590="","",IFERROR(INDEX(예비품목록!$E$3:$E$202,MATCH($C590,예비품목록!$A$3:$A$202,0)),0)+SUMIFS($J$3:$J590,$C$3:$C590,$C590))</f>
        <v/>
      </c>
    </row>
    <row r="591" customFormat="false" ht="15" hidden="false" customHeight="true" outlineLevel="0" collapsed="false">
      <c r="A591" s="12"/>
      <c r="B591" s="9"/>
      <c r="C591" s="9"/>
      <c r="D591" s="15" t="str">
        <f aca="false">IF($C591="","",IFERROR(INDEX(예비품목록!$B$3:$B$202,MATCH($C591,예비품목록!$A$3:$A$202,0)),"미등록품번"))</f>
        <v/>
      </c>
      <c r="E591" s="15" t="str">
        <f aca="false">IF($C591="","",IFERROR(INDEX(예비품목록!$D$3:$D$202,MATCH($C591,예비품목록!$A$3:$A$202,0)),""))</f>
        <v/>
      </c>
      <c r="F591" s="11"/>
      <c r="G591" s="9"/>
      <c r="H591" s="9"/>
      <c r="I591" s="9"/>
      <c r="J591" s="23" t="str">
        <f aca="false">IF(OR($C591="",$F591=""),"",IF($B591="입고",$F591,IF($B591="출고",-$F591,$F591)))</f>
        <v/>
      </c>
      <c r="K591" s="24" t="str">
        <f aca="false">IF($C591="","",IFERROR(INDEX(예비품목록!$E$3:$E$202,MATCH($C591,예비품목록!$A$3:$A$202,0)),0)+SUMIFS($J$3:$J591,$C$3:$C591,$C591))</f>
        <v/>
      </c>
    </row>
    <row r="592" customFormat="false" ht="15" hidden="false" customHeight="true" outlineLevel="0" collapsed="false">
      <c r="A592" s="12"/>
      <c r="B592" s="9"/>
      <c r="C592" s="9"/>
      <c r="D592" s="15" t="str">
        <f aca="false">IF($C592="","",IFERROR(INDEX(예비품목록!$B$3:$B$202,MATCH($C592,예비품목록!$A$3:$A$202,0)),"미등록품번"))</f>
        <v/>
      </c>
      <c r="E592" s="15" t="str">
        <f aca="false">IF($C592="","",IFERROR(INDEX(예비품목록!$D$3:$D$202,MATCH($C592,예비품목록!$A$3:$A$202,0)),""))</f>
        <v/>
      </c>
      <c r="F592" s="11"/>
      <c r="G592" s="9"/>
      <c r="H592" s="9"/>
      <c r="I592" s="9"/>
      <c r="J592" s="23" t="str">
        <f aca="false">IF(OR($C592="",$F592=""),"",IF($B592="입고",$F592,IF($B592="출고",-$F592,$F592)))</f>
        <v/>
      </c>
      <c r="K592" s="24" t="str">
        <f aca="false">IF($C592="","",IFERROR(INDEX(예비품목록!$E$3:$E$202,MATCH($C592,예비품목록!$A$3:$A$202,0)),0)+SUMIFS($J$3:$J592,$C$3:$C592,$C592))</f>
        <v/>
      </c>
    </row>
    <row r="593" customFormat="false" ht="15" hidden="false" customHeight="true" outlineLevel="0" collapsed="false">
      <c r="A593" s="12"/>
      <c r="B593" s="9"/>
      <c r="C593" s="9"/>
      <c r="D593" s="15" t="str">
        <f aca="false">IF($C593="","",IFERROR(INDEX(예비품목록!$B$3:$B$202,MATCH($C593,예비품목록!$A$3:$A$202,0)),"미등록품번"))</f>
        <v/>
      </c>
      <c r="E593" s="15" t="str">
        <f aca="false">IF($C593="","",IFERROR(INDEX(예비품목록!$D$3:$D$202,MATCH($C593,예비품목록!$A$3:$A$202,0)),""))</f>
        <v/>
      </c>
      <c r="F593" s="11"/>
      <c r="G593" s="9"/>
      <c r="H593" s="9"/>
      <c r="I593" s="9"/>
      <c r="J593" s="23" t="str">
        <f aca="false">IF(OR($C593="",$F593=""),"",IF($B593="입고",$F593,IF($B593="출고",-$F593,$F593)))</f>
        <v/>
      </c>
      <c r="K593" s="24" t="str">
        <f aca="false">IF($C593="","",IFERROR(INDEX(예비품목록!$E$3:$E$202,MATCH($C593,예비품목록!$A$3:$A$202,0)),0)+SUMIFS($J$3:$J593,$C$3:$C593,$C593))</f>
        <v/>
      </c>
    </row>
    <row r="594" customFormat="false" ht="15" hidden="false" customHeight="true" outlineLevel="0" collapsed="false">
      <c r="A594" s="12"/>
      <c r="B594" s="9"/>
      <c r="C594" s="9"/>
      <c r="D594" s="15" t="str">
        <f aca="false">IF($C594="","",IFERROR(INDEX(예비품목록!$B$3:$B$202,MATCH($C594,예비품목록!$A$3:$A$202,0)),"미등록품번"))</f>
        <v/>
      </c>
      <c r="E594" s="15" t="str">
        <f aca="false">IF($C594="","",IFERROR(INDEX(예비품목록!$D$3:$D$202,MATCH($C594,예비품목록!$A$3:$A$202,0)),""))</f>
        <v/>
      </c>
      <c r="F594" s="11"/>
      <c r="G594" s="9"/>
      <c r="H594" s="9"/>
      <c r="I594" s="9"/>
      <c r="J594" s="23" t="str">
        <f aca="false">IF(OR($C594="",$F594=""),"",IF($B594="입고",$F594,IF($B594="출고",-$F594,$F594)))</f>
        <v/>
      </c>
      <c r="K594" s="24" t="str">
        <f aca="false">IF($C594="","",IFERROR(INDEX(예비품목록!$E$3:$E$202,MATCH($C594,예비품목록!$A$3:$A$202,0)),0)+SUMIFS($J$3:$J594,$C$3:$C594,$C594))</f>
        <v/>
      </c>
    </row>
    <row r="595" customFormat="false" ht="15" hidden="false" customHeight="true" outlineLevel="0" collapsed="false">
      <c r="A595" s="12"/>
      <c r="B595" s="9"/>
      <c r="C595" s="9"/>
      <c r="D595" s="15" t="str">
        <f aca="false">IF($C595="","",IFERROR(INDEX(예비품목록!$B$3:$B$202,MATCH($C595,예비품목록!$A$3:$A$202,0)),"미등록품번"))</f>
        <v/>
      </c>
      <c r="E595" s="15" t="str">
        <f aca="false">IF($C595="","",IFERROR(INDEX(예비품목록!$D$3:$D$202,MATCH($C595,예비품목록!$A$3:$A$202,0)),""))</f>
        <v/>
      </c>
      <c r="F595" s="11"/>
      <c r="G595" s="9"/>
      <c r="H595" s="9"/>
      <c r="I595" s="9"/>
      <c r="J595" s="23" t="str">
        <f aca="false">IF(OR($C595="",$F595=""),"",IF($B595="입고",$F595,IF($B595="출고",-$F595,$F595)))</f>
        <v/>
      </c>
      <c r="K595" s="24" t="str">
        <f aca="false">IF($C595="","",IFERROR(INDEX(예비품목록!$E$3:$E$202,MATCH($C595,예비품목록!$A$3:$A$202,0)),0)+SUMIFS($J$3:$J595,$C$3:$C595,$C595))</f>
        <v/>
      </c>
    </row>
    <row r="596" customFormat="false" ht="15" hidden="false" customHeight="true" outlineLevel="0" collapsed="false">
      <c r="A596" s="12"/>
      <c r="B596" s="9"/>
      <c r="C596" s="9"/>
      <c r="D596" s="15" t="str">
        <f aca="false">IF($C596="","",IFERROR(INDEX(예비품목록!$B$3:$B$202,MATCH($C596,예비품목록!$A$3:$A$202,0)),"미등록품번"))</f>
        <v/>
      </c>
      <c r="E596" s="15" t="str">
        <f aca="false">IF($C596="","",IFERROR(INDEX(예비품목록!$D$3:$D$202,MATCH($C596,예비품목록!$A$3:$A$202,0)),""))</f>
        <v/>
      </c>
      <c r="F596" s="11"/>
      <c r="G596" s="9"/>
      <c r="H596" s="9"/>
      <c r="I596" s="9"/>
      <c r="J596" s="23" t="str">
        <f aca="false">IF(OR($C596="",$F596=""),"",IF($B596="입고",$F596,IF($B596="출고",-$F596,$F596)))</f>
        <v/>
      </c>
      <c r="K596" s="24" t="str">
        <f aca="false">IF($C596="","",IFERROR(INDEX(예비품목록!$E$3:$E$202,MATCH($C596,예비품목록!$A$3:$A$202,0)),0)+SUMIFS($J$3:$J596,$C$3:$C596,$C596))</f>
        <v/>
      </c>
    </row>
    <row r="597" customFormat="false" ht="15" hidden="false" customHeight="true" outlineLevel="0" collapsed="false">
      <c r="A597" s="12"/>
      <c r="B597" s="9"/>
      <c r="C597" s="9"/>
      <c r="D597" s="15" t="str">
        <f aca="false">IF($C597="","",IFERROR(INDEX(예비품목록!$B$3:$B$202,MATCH($C597,예비품목록!$A$3:$A$202,0)),"미등록품번"))</f>
        <v/>
      </c>
      <c r="E597" s="15" t="str">
        <f aca="false">IF($C597="","",IFERROR(INDEX(예비품목록!$D$3:$D$202,MATCH($C597,예비품목록!$A$3:$A$202,0)),""))</f>
        <v/>
      </c>
      <c r="F597" s="11"/>
      <c r="G597" s="9"/>
      <c r="H597" s="9"/>
      <c r="I597" s="9"/>
      <c r="J597" s="23" t="str">
        <f aca="false">IF(OR($C597="",$F597=""),"",IF($B597="입고",$F597,IF($B597="출고",-$F597,$F597)))</f>
        <v/>
      </c>
      <c r="K597" s="24" t="str">
        <f aca="false">IF($C597="","",IFERROR(INDEX(예비품목록!$E$3:$E$202,MATCH($C597,예비품목록!$A$3:$A$202,0)),0)+SUMIFS($J$3:$J597,$C$3:$C597,$C597))</f>
        <v/>
      </c>
    </row>
    <row r="598" customFormat="false" ht="15" hidden="false" customHeight="true" outlineLevel="0" collapsed="false">
      <c r="A598" s="12"/>
      <c r="B598" s="9"/>
      <c r="C598" s="9"/>
      <c r="D598" s="15" t="str">
        <f aca="false">IF($C598="","",IFERROR(INDEX(예비품목록!$B$3:$B$202,MATCH($C598,예비품목록!$A$3:$A$202,0)),"미등록품번"))</f>
        <v/>
      </c>
      <c r="E598" s="15" t="str">
        <f aca="false">IF($C598="","",IFERROR(INDEX(예비품목록!$D$3:$D$202,MATCH($C598,예비품목록!$A$3:$A$202,0)),""))</f>
        <v/>
      </c>
      <c r="F598" s="11"/>
      <c r="G598" s="9"/>
      <c r="H598" s="9"/>
      <c r="I598" s="9"/>
      <c r="J598" s="23" t="str">
        <f aca="false">IF(OR($C598="",$F598=""),"",IF($B598="입고",$F598,IF($B598="출고",-$F598,$F598)))</f>
        <v/>
      </c>
      <c r="K598" s="24" t="str">
        <f aca="false">IF($C598="","",IFERROR(INDEX(예비품목록!$E$3:$E$202,MATCH($C598,예비품목록!$A$3:$A$202,0)),0)+SUMIFS($J$3:$J598,$C$3:$C598,$C598))</f>
        <v/>
      </c>
    </row>
    <row r="599" customFormat="false" ht="15" hidden="false" customHeight="true" outlineLevel="0" collapsed="false">
      <c r="A599" s="12"/>
      <c r="B599" s="9"/>
      <c r="C599" s="9"/>
      <c r="D599" s="15" t="str">
        <f aca="false">IF($C599="","",IFERROR(INDEX(예비품목록!$B$3:$B$202,MATCH($C599,예비품목록!$A$3:$A$202,0)),"미등록품번"))</f>
        <v/>
      </c>
      <c r="E599" s="15" t="str">
        <f aca="false">IF($C599="","",IFERROR(INDEX(예비품목록!$D$3:$D$202,MATCH($C599,예비품목록!$A$3:$A$202,0)),""))</f>
        <v/>
      </c>
      <c r="F599" s="11"/>
      <c r="G599" s="9"/>
      <c r="H599" s="9"/>
      <c r="I599" s="9"/>
      <c r="J599" s="23" t="str">
        <f aca="false">IF(OR($C599="",$F599=""),"",IF($B599="입고",$F599,IF($B599="출고",-$F599,$F599)))</f>
        <v/>
      </c>
      <c r="K599" s="24" t="str">
        <f aca="false">IF($C599="","",IFERROR(INDEX(예비품목록!$E$3:$E$202,MATCH($C599,예비품목록!$A$3:$A$202,0)),0)+SUMIFS($J$3:$J599,$C$3:$C599,$C599))</f>
        <v/>
      </c>
    </row>
    <row r="600" customFormat="false" ht="15" hidden="false" customHeight="true" outlineLevel="0" collapsed="false">
      <c r="A600" s="12"/>
      <c r="B600" s="9"/>
      <c r="C600" s="9"/>
      <c r="D600" s="15" t="str">
        <f aca="false">IF($C600="","",IFERROR(INDEX(예비품목록!$B$3:$B$202,MATCH($C600,예비품목록!$A$3:$A$202,0)),"미등록품번"))</f>
        <v/>
      </c>
      <c r="E600" s="15" t="str">
        <f aca="false">IF($C600="","",IFERROR(INDEX(예비품목록!$D$3:$D$202,MATCH($C600,예비품목록!$A$3:$A$202,0)),""))</f>
        <v/>
      </c>
      <c r="F600" s="11"/>
      <c r="G600" s="9"/>
      <c r="H600" s="9"/>
      <c r="I600" s="9"/>
      <c r="J600" s="23" t="str">
        <f aca="false">IF(OR($C600="",$F600=""),"",IF($B600="입고",$F600,IF($B600="출고",-$F600,$F600)))</f>
        <v/>
      </c>
      <c r="K600" s="24" t="str">
        <f aca="false">IF($C600="","",IFERROR(INDEX(예비품목록!$E$3:$E$202,MATCH($C600,예비품목록!$A$3:$A$202,0)),0)+SUMIFS($J$3:$J600,$C$3:$C600,$C600))</f>
        <v/>
      </c>
    </row>
    <row r="601" customFormat="false" ht="15" hidden="false" customHeight="true" outlineLevel="0" collapsed="false">
      <c r="A601" s="12"/>
      <c r="B601" s="9"/>
      <c r="C601" s="9"/>
      <c r="D601" s="15" t="str">
        <f aca="false">IF($C601="","",IFERROR(INDEX(예비품목록!$B$3:$B$202,MATCH($C601,예비품목록!$A$3:$A$202,0)),"미등록품번"))</f>
        <v/>
      </c>
      <c r="E601" s="15" t="str">
        <f aca="false">IF($C601="","",IFERROR(INDEX(예비품목록!$D$3:$D$202,MATCH($C601,예비품목록!$A$3:$A$202,0)),""))</f>
        <v/>
      </c>
      <c r="F601" s="11"/>
      <c r="G601" s="9"/>
      <c r="H601" s="9"/>
      <c r="I601" s="9"/>
      <c r="J601" s="23" t="str">
        <f aca="false">IF(OR($C601="",$F601=""),"",IF($B601="입고",$F601,IF($B601="출고",-$F601,$F601)))</f>
        <v/>
      </c>
      <c r="K601" s="24" t="str">
        <f aca="false">IF($C601="","",IFERROR(INDEX(예비품목록!$E$3:$E$202,MATCH($C601,예비품목록!$A$3:$A$202,0)),0)+SUMIFS($J$3:$J601,$C$3:$C601,$C601))</f>
        <v/>
      </c>
    </row>
    <row r="602" customFormat="false" ht="15" hidden="false" customHeight="true" outlineLevel="0" collapsed="false">
      <c r="A602" s="12"/>
      <c r="B602" s="9"/>
      <c r="C602" s="9"/>
      <c r="D602" s="15" t="str">
        <f aca="false">IF($C602="","",IFERROR(INDEX(예비품목록!$B$3:$B$202,MATCH($C602,예비품목록!$A$3:$A$202,0)),"미등록품번"))</f>
        <v/>
      </c>
      <c r="E602" s="15" t="str">
        <f aca="false">IF($C602="","",IFERROR(INDEX(예비품목록!$D$3:$D$202,MATCH($C602,예비품목록!$A$3:$A$202,0)),""))</f>
        <v/>
      </c>
      <c r="F602" s="11"/>
      <c r="G602" s="9"/>
      <c r="H602" s="9"/>
      <c r="I602" s="9"/>
      <c r="J602" s="23" t="str">
        <f aca="false">IF(OR($C602="",$F602=""),"",IF($B602="입고",$F602,IF($B602="출고",-$F602,$F602)))</f>
        <v/>
      </c>
      <c r="K602" s="24" t="str">
        <f aca="false">IF($C602="","",IFERROR(INDEX(예비품목록!$E$3:$E$202,MATCH($C602,예비품목록!$A$3:$A$202,0)),0)+SUMIFS($J$3:$J602,$C$3:$C602,$C602))</f>
        <v/>
      </c>
    </row>
  </sheetData>
  <mergeCells count="1">
    <mergeCell ref="A1:K1"/>
  </mergeCells>
  <conditionalFormatting sqref="A3:K602">
    <cfRule type="expression" priority="2" aboveAverage="0" equalAverage="0" bottom="0" percent="0" rank="0" text="" dxfId="0">
      <formula>AND($K3&lt;&gt;"",$K3&lt;0)</formula>
    </cfRule>
  </conditionalFormatting>
  <dataValidations count="3">
    <dataValidation allowBlank="true" errorStyle="stop" operator="between" showDropDown="false" showErrorMessage="false" showInputMessage="false" sqref="B3:B602" type="list">
      <formula1>"입고,출고,조정"</formula1>
      <formula2>0</formula2>
    </dataValidation>
    <dataValidation allowBlank="true" errorStyle="stop" operator="between" showDropDown="false" showErrorMessage="false" showInputMessage="false" sqref="C3:C602" type="list">
      <formula1>예비품목록!$A$3:$A$202</formula1>
      <formula2>0</formula2>
    </dataValidation>
    <dataValidation allowBlank="true" errorStyle="stop" operator="between" showDropDown="false" showErrorMessage="false" showInputMessage="false" sqref="G3:G602" type="list">
      <formula1>설비목록!$A$3:$A$202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9"/>
    <col collapsed="false" customWidth="true" hidden="false" outlineLevel="0" max="6" min="4" style="1" width="12"/>
    <col collapsed="false" customWidth="true" hidden="false" outlineLevel="0" max="7" min="7" style="1" width="13"/>
    <col collapsed="false" customWidth="true" hidden="false" outlineLevel="0" max="8" min="8" style="1" width="12"/>
  </cols>
  <sheetData>
    <row r="1" customFormat="false" ht="25.5" hidden="false" customHeight="true" outlineLevel="0" collapsed="false">
      <c r="A1" s="2" t="s">
        <v>100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101</v>
      </c>
      <c r="B3" s="17" t="n">
        <f aca="false">SUMPRODUCT(($A$6:$A$205&lt;&gt;"")*($G$6:$G$205&gt;0))</f>
        <v>0</v>
      </c>
    </row>
    <row r="5" customFormat="false" ht="15" hidden="false" customHeight="true" outlineLevel="0" collapsed="false">
      <c r="A5" s="8" t="s">
        <v>72</v>
      </c>
      <c r="B5" s="8" t="s">
        <v>73</v>
      </c>
      <c r="C5" s="8" t="s">
        <v>75</v>
      </c>
      <c r="D5" s="8" t="s">
        <v>102</v>
      </c>
      <c r="E5" s="8" t="s">
        <v>103</v>
      </c>
      <c r="F5" s="8" t="s">
        <v>104</v>
      </c>
      <c r="G5" s="8" t="s">
        <v>105</v>
      </c>
      <c r="H5" s="8" t="s">
        <v>77</v>
      </c>
    </row>
    <row r="6" customFormat="false" ht="15" hidden="false" customHeight="true" outlineLevel="0" collapsed="false">
      <c r="A6" s="15" t="str">
        <f aca="false">IF(예비품목록!$A3="","",예비품목록!$A3)</f>
        <v>SP001</v>
      </c>
      <c r="B6" s="15" t="str">
        <f aca="false">IF($A6="","",예비품목록!$B3)</f>
        <v>에어컨 필터</v>
      </c>
      <c r="C6" s="15" t="str">
        <f aca="false">IF($A6="","",예비품목록!$D3)</f>
        <v>EA</v>
      </c>
      <c r="D6" s="24" t="n">
        <f aca="false">IF($A6="","",SUMIFS(예비품입출고!$F$3:$F$602,예비품입출고!$C$3:$C$602,$A6,예비품입출고!$B$3:$B$602,"입고"))</f>
        <v>0</v>
      </c>
      <c r="E6" s="24" t="n">
        <f aca="false">IF($A6="","",SUMIFS(예비품입출고!$F$3:$F$602,예비품입출고!$C$3:$C$602,$A6,예비품입출고!$B$3:$B$602,"출고"))</f>
        <v>0</v>
      </c>
      <c r="F6" s="24" t="n">
        <f aca="false">IF($A6="","",IF(예비품목록!$E3="",0,예비품목록!$E3)+SUMIFS(예비품입출고!$J$3:$J$602,예비품입출고!$C$3:$C$602,$A6))</f>
        <v>8</v>
      </c>
      <c r="G6" s="24" t="n">
        <f aca="false">IF($A6="","",MAX(0,$H6-$F6))</f>
        <v>0</v>
      </c>
      <c r="H6" s="24" t="n">
        <f aca="false">IF($A6="","",IF(예비품목록!$F3="",0,예비품목록!$F3))</f>
        <v>4</v>
      </c>
    </row>
    <row r="7" customFormat="false" ht="15" hidden="false" customHeight="true" outlineLevel="0" collapsed="false">
      <c r="A7" s="15" t="str">
        <f aca="false">IF(예비품목록!$A4="","",예비품목록!$A4)</f>
        <v>SP002</v>
      </c>
      <c r="B7" s="15" t="str">
        <f aca="false">IF($A7="","",예비품목록!$B4)</f>
        <v>압축기 오일</v>
      </c>
      <c r="C7" s="15" t="str">
        <f aca="false">IF($A7="","",예비품목록!$D4)</f>
        <v>통</v>
      </c>
      <c r="D7" s="24" t="n">
        <f aca="false">IF($A7="","",SUMIFS(예비품입출고!$F$3:$F$602,예비품입출고!$C$3:$C$602,$A7,예비품입출고!$B$3:$B$602,"입고"))</f>
        <v>0</v>
      </c>
      <c r="E7" s="24" t="n">
        <f aca="false">IF($A7="","",SUMIFS(예비품입출고!$F$3:$F$602,예비품입출고!$C$3:$C$602,$A7,예비품입출고!$B$3:$B$602,"출고"))</f>
        <v>0</v>
      </c>
      <c r="F7" s="24" t="n">
        <f aca="false">IF($A7="","",IF(예비품목록!$E4="",0,예비품목록!$E4)+SUMIFS(예비품입출고!$J$3:$J$602,예비품입출고!$C$3:$C$602,$A7))</f>
        <v>3</v>
      </c>
      <c r="G7" s="24" t="n">
        <f aca="false">IF($A7="","",MAX(0,$H7-$F7))</f>
        <v>0</v>
      </c>
      <c r="H7" s="24" t="n">
        <f aca="false">IF($A7="","",IF(예비품목록!$F4="",0,예비품목록!$F4))</f>
        <v>2</v>
      </c>
    </row>
    <row r="8" customFormat="false" ht="15" hidden="false" customHeight="true" outlineLevel="0" collapsed="false">
      <c r="A8" s="15" t="str">
        <f aca="false">IF(예비품목록!$A5="","",예비품목록!$A5)</f>
        <v>SP003</v>
      </c>
      <c r="B8" s="15" t="str">
        <f aca="false">IF($A8="","",예비품목록!$B5)</f>
        <v>정수기 필터 세트</v>
      </c>
      <c r="C8" s="15" t="str">
        <f aca="false">IF($A8="","",예비품목록!$D5)</f>
        <v>SET</v>
      </c>
      <c r="D8" s="24" t="n">
        <f aca="false">IF($A8="","",SUMIFS(예비품입출고!$F$3:$F$602,예비품입출고!$C$3:$C$602,$A8,예비품입출고!$B$3:$B$602,"입고"))</f>
        <v>0</v>
      </c>
      <c r="E8" s="24" t="n">
        <f aca="false">IF($A8="","",SUMIFS(예비품입출고!$F$3:$F$602,예비품입출고!$C$3:$C$602,$A8,예비품입출고!$B$3:$B$602,"출고"))</f>
        <v>0</v>
      </c>
      <c r="F8" s="24" t="n">
        <f aca="false">IF($A8="","",IF(예비품목록!$E5="",0,예비품목록!$E5)+SUMIFS(예비품입출고!$J$3:$J$602,예비품입출고!$C$3:$C$602,$A8))</f>
        <v>2</v>
      </c>
      <c r="G8" s="24" t="n">
        <f aca="false">IF($A8="","",MAX(0,$H8-$F8))</f>
        <v>0</v>
      </c>
      <c r="H8" s="24" t="n">
        <f aca="false">IF($A8="","",IF(예비품목록!$F5="",0,예비품목록!$F5))</f>
        <v>2</v>
      </c>
    </row>
    <row r="9" customFormat="false" ht="15" hidden="false" customHeight="true" outlineLevel="0" collapsed="false">
      <c r="A9" s="15" t="str">
        <f aca="false">IF(예비품목록!$A6="","",예비품목록!$A6)</f>
        <v/>
      </c>
      <c r="B9" s="15" t="str">
        <f aca="false">IF($A9="","",예비품목록!$B6)</f>
        <v/>
      </c>
      <c r="C9" s="15" t="str">
        <f aca="false">IF($A9="","",예비품목록!$D6)</f>
        <v/>
      </c>
      <c r="D9" s="24" t="str">
        <f aca="false">IF($A9="","",SUMIFS(예비품입출고!$F$3:$F$602,예비품입출고!$C$3:$C$602,$A9,예비품입출고!$B$3:$B$602,"입고"))</f>
        <v/>
      </c>
      <c r="E9" s="24" t="str">
        <f aca="false">IF($A9="","",SUMIFS(예비품입출고!$F$3:$F$602,예비품입출고!$C$3:$C$602,$A9,예비품입출고!$B$3:$B$602,"출고"))</f>
        <v/>
      </c>
      <c r="F9" s="24" t="str">
        <f aca="false">IF($A9="","",IF(예비품목록!$E6="",0,예비품목록!$E6)+SUMIFS(예비품입출고!$J$3:$J$602,예비품입출고!$C$3:$C$602,$A9))</f>
        <v/>
      </c>
      <c r="G9" s="24" t="str">
        <f aca="false">IF($A9="","",MAX(0,$H9-$F9))</f>
        <v/>
      </c>
      <c r="H9" s="24" t="str">
        <f aca="false">IF($A9="","",IF(예비품목록!$F6="",0,예비품목록!$F6))</f>
        <v/>
      </c>
    </row>
    <row r="10" customFormat="false" ht="15" hidden="false" customHeight="true" outlineLevel="0" collapsed="false">
      <c r="A10" s="15" t="str">
        <f aca="false">IF(예비품목록!$A7="","",예비품목록!$A7)</f>
        <v/>
      </c>
      <c r="B10" s="15" t="str">
        <f aca="false">IF($A10="","",예비품목록!$B7)</f>
        <v/>
      </c>
      <c r="C10" s="15" t="str">
        <f aca="false">IF($A10="","",예비품목록!$D7)</f>
        <v/>
      </c>
      <c r="D10" s="24" t="str">
        <f aca="false">IF($A10="","",SUMIFS(예비품입출고!$F$3:$F$602,예비품입출고!$C$3:$C$602,$A10,예비품입출고!$B$3:$B$602,"입고"))</f>
        <v/>
      </c>
      <c r="E10" s="24" t="str">
        <f aca="false">IF($A10="","",SUMIFS(예비품입출고!$F$3:$F$602,예비품입출고!$C$3:$C$602,$A10,예비품입출고!$B$3:$B$602,"출고"))</f>
        <v/>
      </c>
      <c r="F10" s="24" t="str">
        <f aca="false">IF($A10="","",IF(예비품목록!$E7="",0,예비품목록!$E7)+SUMIFS(예비품입출고!$J$3:$J$602,예비품입출고!$C$3:$C$602,$A10))</f>
        <v/>
      </c>
      <c r="G10" s="24" t="str">
        <f aca="false">IF($A10="","",MAX(0,$H10-$F10))</f>
        <v/>
      </c>
      <c r="H10" s="24" t="str">
        <f aca="false">IF($A10="","",IF(예비품목록!$F7="",0,예비품목록!$F7))</f>
        <v/>
      </c>
    </row>
    <row r="11" customFormat="false" ht="15" hidden="false" customHeight="true" outlineLevel="0" collapsed="false">
      <c r="A11" s="15" t="str">
        <f aca="false">IF(예비품목록!$A8="","",예비품목록!$A8)</f>
        <v/>
      </c>
      <c r="B11" s="15" t="str">
        <f aca="false">IF($A11="","",예비품목록!$B8)</f>
        <v/>
      </c>
      <c r="C11" s="15" t="str">
        <f aca="false">IF($A11="","",예비품목록!$D8)</f>
        <v/>
      </c>
      <c r="D11" s="24" t="str">
        <f aca="false">IF($A11="","",SUMIFS(예비품입출고!$F$3:$F$602,예비품입출고!$C$3:$C$602,$A11,예비품입출고!$B$3:$B$602,"입고"))</f>
        <v/>
      </c>
      <c r="E11" s="24" t="str">
        <f aca="false">IF($A11="","",SUMIFS(예비품입출고!$F$3:$F$602,예비품입출고!$C$3:$C$602,$A11,예비품입출고!$B$3:$B$602,"출고"))</f>
        <v/>
      </c>
      <c r="F11" s="24" t="str">
        <f aca="false">IF($A11="","",IF(예비품목록!$E8="",0,예비품목록!$E8)+SUMIFS(예비품입출고!$J$3:$J$602,예비품입출고!$C$3:$C$602,$A11))</f>
        <v/>
      </c>
      <c r="G11" s="24" t="str">
        <f aca="false">IF($A11="","",MAX(0,$H11-$F11))</f>
        <v/>
      </c>
      <c r="H11" s="24" t="str">
        <f aca="false">IF($A11="","",IF(예비품목록!$F8="",0,예비품목록!$F8))</f>
        <v/>
      </c>
    </row>
    <row r="12" customFormat="false" ht="15" hidden="false" customHeight="true" outlineLevel="0" collapsed="false">
      <c r="A12" s="15" t="str">
        <f aca="false">IF(예비품목록!$A9="","",예비품목록!$A9)</f>
        <v/>
      </c>
      <c r="B12" s="15" t="str">
        <f aca="false">IF($A12="","",예비품목록!$B9)</f>
        <v/>
      </c>
      <c r="C12" s="15" t="str">
        <f aca="false">IF($A12="","",예비품목록!$D9)</f>
        <v/>
      </c>
      <c r="D12" s="24" t="str">
        <f aca="false">IF($A12="","",SUMIFS(예비품입출고!$F$3:$F$602,예비품입출고!$C$3:$C$602,$A12,예비품입출고!$B$3:$B$602,"입고"))</f>
        <v/>
      </c>
      <c r="E12" s="24" t="str">
        <f aca="false">IF($A12="","",SUMIFS(예비품입출고!$F$3:$F$602,예비품입출고!$C$3:$C$602,$A12,예비품입출고!$B$3:$B$602,"출고"))</f>
        <v/>
      </c>
      <c r="F12" s="24" t="str">
        <f aca="false">IF($A12="","",IF(예비품목록!$E9="",0,예비품목록!$E9)+SUMIFS(예비품입출고!$J$3:$J$602,예비품입출고!$C$3:$C$602,$A12))</f>
        <v/>
      </c>
      <c r="G12" s="24" t="str">
        <f aca="false">IF($A12="","",MAX(0,$H12-$F12))</f>
        <v/>
      </c>
      <c r="H12" s="24" t="str">
        <f aca="false">IF($A12="","",IF(예비품목록!$F9="",0,예비품목록!$F9))</f>
        <v/>
      </c>
    </row>
    <row r="13" customFormat="false" ht="15" hidden="false" customHeight="true" outlineLevel="0" collapsed="false">
      <c r="A13" s="15" t="str">
        <f aca="false">IF(예비품목록!$A10="","",예비품목록!$A10)</f>
        <v/>
      </c>
      <c r="B13" s="15" t="str">
        <f aca="false">IF($A13="","",예비품목록!$B10)</f>
        <v/>
      </c>
      <c r="C13" s="15" t="str">
        <f aca="false">IF($A13="","",예비품목록!$D10)</f>
        <v/>
      </c>
      <c r="D13" s="24" t="str">
        <f aca="false">IF($A13="","",SUMIFS(예비품입출고!$F$3:$F$602,예비품입출고!$C$3:$C$602,$A13,예비품입출고!$B$3:$B$602,"입고"))</f>
        <v/>
      </c>
      <c r="E13" s="24" t="str">
        <f aca="false">IF($A13="","",SUMIFS(예비품입출고!$F$3:$F$602,예비품입출고!$C$3:$C$602,$A13,예비품입출고!$B$3:$B$602,"출고"))</f>
        <v/>
      </c>
      <c r="F13" s="24" t="str">
        <f aca="false">IF($A13="","",IF(예비품목록!$E10="",0,예비품목록!$E10)+SUMIFS(예비품입출고!$J$3:$J$602,예비품입출고!$C$3:$C$602,$A13))</f>
        <v/>
      </c>
      <c r="G13" s="24" t="str">
        <f aca="false">IF($A13="","",MAX(0,$H13-$F13))</f>
        <v/>
      </c>
      <c r="H13" s="24" t="str">
        <f aca="false">IF($A13="","",IF(예비품목록!$F10="",0,예비품목록!$F10))</f>
        <v/>
      </c>
    </row>
    <row r="14" customFormat="false" ht="15" hidden="false" customHeight="true" outlineLevel="0" collapsed="false">
      <c r="A14" s="15" t="str">
        <f aca="false">IF(예비품목록!$A11="","",예비품목록!$A11)</f>
        <v/>
      </c>
      <c r="B14" s="15" t="str">
        <f aca="false">IF($A14="","",예비품목록!$B11)</f>
        <v/>
      </c>
      <c r="C14" s="15" t="str">
        <f aca="false">IF($A14="","",예비품목록!$D11)</f>
        <v/>
      </c>
      <c r="D14" s="24" t="str">
        <f aca="false">IF($A14="","",SUMIFS(예비품입출고!$F$3:$F$602,예비품입출고!$C$3:$C$602,$A14,예비품입출고!$B$3:$B$602,"입고"))</f>
        <v/>
      </c>
      <c r="E14" s="24" t="str">
        <f aca="false">IF($A14="","",SUMIFS(예비품입출고!$F$3:$F$602,예비품입출고!$C$3:$C$602,$A14,예비품입출고!$B$3:$B$602,"출고"))</f>
        <v/>
      </c>
      <c r="F14" s="24" t="str">
        <f aca="false">IF($A14="","",IF(예비품목록!$E11="",0,예비품목록!$E11)+SUMIFS(예비품입출고!$J$3:$J$602,예비품입출고!$C$3:$C$602,$A14))</f>
        <v/>
      </c>
      <c r="G14" s="24" t="str">
        <f aca="false">IF($A14="","",MAX(0,$H14-$F14))</f>
        <v/>
      </c>
      <c r="H14" s="24" t="str">
        <f aca="false">IF($A14="","",IF(예비품목록!$F11="",0,예비품목록!$F11))</f>
        <v/>
      </c>
    </row>
    <row r="15" customFormat="false" ht="15" hidden="false" customHeight="true" outlineLevel="0" collapsed="false">
      <c r="A15" s="15" t="str">
        <f aca="false">IF(예비품목록!$A12="","",예비품목록!$A12)</f>
        <v/>
      </c>
      <c r="B15" s="15" t="str">
        <f aca="false">IF($A15="","",예비품목록!$B12)</f>
        <v/>
      </c>
      <c r="C15" s="15" t="str">
        <f aca="false">IF($A15="","",예비품목록!$D12)</f>
        <v/>
      </c>
      <c r="D15" s="24" t="str">
        <f aca="false">IF($A15="","",SUMIFS(예비품입출고!$F$3:$F$602,예비품입출고!$C$3:$C$602,$A15,예비품입출고!$B$3:$B$602,"입고"))</f>
        <v/>
      </c>
      <c r="E15" s="24" t="str">
        <f aca="false">IF($A15="","",SUMIFS(예비품입출고!$F$3:$F$602,예비품입출고!$C$3:$C$602,$A15,예비품입출고!$B$3:$B$602,"출고"))</f>
        <v/>
      </c>
      <c r="F15" s="24" t="str">
        <f aca="false">IF($A15="","",IF(예비품목록!$E12="",0,예비품목록!$E12)+SUMIFS(예비품입출고!$J$3:$J$602,예비품입출고!$C$3:$C$602,$A15))</f>
        <v/>
      </c>
      <c r="G15" s="24" t="str">
        <f aca="false">IF($A15="","",MAX(0,$H15-$F15))</f>
        <v/>
      </c>
      <c r="H15" s="24" t="str">
        <f aca="false">IF($A15="","",IF(예비품목록!$F12="",0,예비품목록!$F12))</f>
        <v/>
      </c>
    </row>
    <row r="16" customFormat="false" ht="15" hidden="false" customHeight="true" outlineLevel="0" collapsed="false">
      <c r="A16" s="15" t="str">
        <f aca="false">IF(예비품목록!$A13="","",예비품목록!$A13)</f>
        <v/>
      </c>
      <c r="B16" s="15" t="str">
        <f aca="false">IF($A16="","",예비품목록!$B13)</f>
        <v/>
      </c>
      <c r="C16" s="15" t="str">
        <f aca="false">IF($A16="","",예비품목록!$D13)</f>
        <v/>
      </c>
      <c r="D16" s="24" t="str">
        <f aca="false">IF($A16="","",SUMIFS(예비품입출고!$F$3:$F$602,예비품입출고!$C$3:$C$602,$A16,예비품입출고!$B$3:$B$602,"입고"))</f>
        <v/>
      </c>
      <c r="E16" s="24" t="str">
        <f aca="false">IF($A16="","",SUMIFS(예비품입출고!$F$3:$F$602,예비품입출고!$C$3:$C$602,$A16,예비품입출고!$B$3:$B$602,"출고"))</f>
        <v/>
      </c>
      <c r="F16" s="24" t="str">
        <f aca="false">IF($A16="","",IF(예비품목록!$E13="",0,예비품목록!$E13)+SUMIFS(예비품입출고!$J$3:$J$602,예비품입출고!$C$3:$C$602,$A16))</f>
        <v/>
      </c>
      <c r="G16" s="24" t="str">
        <f aca="false">IF($A16="","",MAX(0,$H16-$F16))</f>
        <v/>
      </c>
      <c r="H16" s="24" t="str">
        <f aca="false">IF($A16="","",IF(예비품목록!$F13="",0,예비품목록!$F13))</f>
        <v/>
      </c>
    </row>
    <row r="17" customFormat="false" ht="15" hidden="false" customHeight="true" outlineLevel="0" collapsed="false">
      <c r="A17" s="15" t="str">
        <f aca="false">IF(예비품목록!$A14="","",예비품목록!$A14)</f>
        <v/>
      </c>
      <c r="B17" s="15" t="str">
        <f aca="false">IF($A17="","",예비품목록!$B14)</f>
        <v/>
      </c>
      <c r="C17" s="15" t="str">
        <f aca="false">IF($A17="","",예비품목록!$D14)</f>
        <v/>
      </c>
      <c r="D17" s="24" t="str">
        <f aca="false">IF($A17="","",SUMIFS(예비품입출고!$F$3:$F$602,예비품입출고!$C$3:$C$602,$A17,예비품입출고!$B$3:$B$602,"입고"))</f>
        <v/>
      </c>
      <c r="E17" s="24" t="str">
        <f aca="false">IF($A17="","",SUMIFS(예비품입출고!$F$3:$F$602,예비품입출고!$C$3:$C$602,$A17,예비품입출고!$B$3:$B$602,"출고"))</f>
        <v/>
      </c>
      <c r="F17" s="24" t="str">
        <f aca="false">IF($A17="","",IF(예비품목록!$E14="",0,예비품목록!$E14)+SUMIFS(예비품입출고!$J$3:$J$602,예비품입출고!$C$3:$C$602,$A17))</f>
        <v/>
      </c>
      <c r="G17" s="24" t="str">
        <f aca="false">IF($A17="","",MAX(0,$H17-$F17))</f>
        <v/>
      </c>
      <c r="H17" s="24" t="str">
        <f aca="false">IF($A17="","",IF(예비품목록!$F14="",0,예비품목록!$F14))</f>
        <v/>
      </c>
    </row>
    <row r="18" customFormat="false" ht="15" hidden="false" customHeight="true" outlineLevel="0" collapsed="false">
      <c r="A18" s="15" t="str">
        <f aca="false">IF(예비품목록!$A15="","",예비품목록!$A15)</f>
        <v/>
      </c>
      <c r="B18" s="15" t="str">
        <f aca="false">IF($A18="","",예비품목록!$B15)</f>
        <v/>
      </c>
      <c r="C18" s="15" t="str">
        <f aca="false">IF($A18="","",예비품목록!$D15)</f>
        <v/>
      </c>
      <c r="D18" s="24" t="str">
        <f aca="false">IF($A18="","",SUMIFS(예비품입출고!$F$3:$F$602,예비품입출고!$C$3:$C$602,$A18,예비품입출고!$B$3:$B$602,"입고"))</f>
        <v/>
      </c>
      <c r="E18" s="24" t="str">
        <f aca="false">IF($A18="","",SUMIFS(예비품입출고!$F$3:$F$602,예비품입출고!$C$3:$C$602,$A18,예비품입출고!$B$3:$B$602,"출고"))</f>
        <v/>
      </c>
      <c r="F18" s="24" t="str">
        <f aca="false">IF($A18="","",IF(예비품목록!$E15="",0,예비품목록!$E15)+SUMIFS(예비품입출고!$J$3:$J$602,예비품입출고!$C$3:$C$602,$A18))</f>
        <v/>
      </c>
      <c r="G18" s="24" t="str">
        <f aca="false">IF($A18="","",MAX(0,$H18-$F18))</f>
        <v/>
      </c>
      <c r="H18" s="24" t="str">
        <f aca="false">IF($A18="","",IF(예비품목록!$F15="",0,예비품목록!$F15))</f>
        <v/>
      </c>
    </row>
    <row r="19" customFormat="false" ht="15" hidden="false" customHeight="true" outlineLevel="0" collapsed="false">
      <c r="A19" s="15" t="str">
        <f aca="false">IF(예비품목록!$A16="","",예비품목록!$A16)</f>
        <v/>
      </c>
      <c r="B19" s="15" t="str">
        <f aca="false">IF($A19="","",예비품목록!$B16)</f>
        <v/>
      </c>
      <c r="C19" s="15" t="str">
        <f aca="false">IF($A19="","",예비품목록!$D16)</f>
        <v/>
      </c>
      <c r="D19" s="24" t="str">
        <f aca="false">IF($A19="","",SUMIFS(예비품입출고!$F$3:$F$602,예비품입출고!$C$3:$C$602,$A19,예비품입출고!$B$3:$B$602,"입고"))</f>
        <v/>
      </c>
      <c r="E19" s="24" t="str">
        <f aca="false">IF($A19="","",SUMIFS(예비품입출고!$F$3:$F$602,예비품입출고!$C$3:$C$602,$A19,예비품입출고!$B$3:$B$602,"출고"))</f>
        <v/>
      </c>
      <c r="F19" s="24" t="str">
        <f aca="false">IF($A19="","",IF(예비품목록!$E16="",0,예비품목록!$E16)+SUMIFS(예비품입출고!$J$3:$J$602,예비품입출고!$C$3:$C$602,$A19))</f>
        <v/>
      </c>
      <c r="G19" s="24" t="str">
        <f aca="false">IF($A19="","",MAX(0,$H19-$F19))</f>
        <v/>
      </c>
      <c r="H19" s="24" t="str">
        <f aca="false">IF($A19="","",IF(예비품목록!$F16="",0,예비품목록!$F16))</f>
        <v/>
      </c>
    </row>
    <row r="20" customFormat="false" ht="15" hidden="false" customHeight="true" outlineLevel="0" collapsed="false">
      <c r="A20" s="15" t="str">
        <f aca="false">IF(예비품목록!$A17="","",예비품목록!$A17)</f>
        <v/>
      </c>
      <c r="B20" s="15" t="str">
        <f aca="false">IF($A20="","",예비품목록!$B17)</f>
        <v/>
      </c>
      <c r="C20" s="15" t="str">
        <f aca="false">IF($A20="","",예비품목록!$D17)</f>
        <v/>
      </c>
      <c r="D20" s="24" t="str">
        <f aca="false">IF($A20="","",SUMIFS(예비품입출고!$F$3:$F$602,예비품입출고!$C$3:$C$602,$A20,예비품입출고!$B$3:$B$602,"입고"))</f>
        <v/>
      </c>
      <c r="E20" s="24" t="str">
        <f aca="false">IF($A20="","",SUMIFS(예비품입출고!$F$3:$F$602,예비품입출고!$C$3:$C$602,$A20,예비품입출고!$B$3:$B$602,"출고"))</f>
        <v/>
      </c>
      <c r="F20" s="24" t="str">
        <f aca="false">IF($A20="","",IF(예비품목록!$E17="",0,예비품목록!$E17)+SUMIFS(예비품입출고!$J$3:$J$602,예비품입출고!$C$3:$C$602,$A20))</f>
        <v/>
      </c>
      <c r="G20" s="24" t="str">
        <f aca="false">IF($A20="","",MAX(0,$H20-$F20))</f>
        <v/>
      </c>
      <c r="H20" s="24" t="str">
        <f aca="false">IF($A20="","",IF(예비품목록!$F17="",0,예비품목록!$F17))</f>
        <v/>
      </c>
    </row>
    <row r="21" customFormat="false" ht="15" hidden="false" customHeight="true" outlineLevel="0" collapsed="false">
      <c r="A21" s="15" t="str">
        <f aca="false">IF(예비품목록!$A18="","",예비품목록!$A18)</f>
        <v/>
      </c>
      <c r="B21" s="15" t="str">
        <f aca="false">IF($A21="","",예비품목록!$B18)</f>
        <v/>
      </c>
      <c r="C21" s="15" t="str">
        <f aca="false">IF($A21="","",예비품목록!$D18)</f>
        <v/>
      </c>
      <c r="D21" s="24" t="str">
        <f aca="false">IF($A21="","",SUMIFS(예비품입출고!$F$3:$F$602,예비품입출고!$C$3:$C$602,$A21,예비품입출고!$B$3:$B$602,"입고"))</f>
        <v/>
      </c>
      <c r="E21" s="24" t="str">
        <f aca="false">IF($A21="","",SUMIFS(예비품입출고!$F$3:$F$602,예비품입출고!$C$3:$C$602,$A21,예비품입출고!$B$3:$B$602,"출고"))</f>
        <v/>
      </c>
      <c r="F21" s="24" t="str">
        <f aca="false">IF($A21="","",IF(예비품목록!$E18="",0,예비품목록!$E18)+SUMIFS(예비품입출고!$J$3:$J$602,예비품입출고!$C$3:$C$602,$A21))</f>
        <v/>
      </c>
      <c r="G21" s="24" t="str">
        <f aca="false">IF($A21="","",MAX(0,$H21-$F21))</f>
        <v/>
      </c>
      <c r="H21" s="24" t="str">
        <f aca="false">IF($A21="","",IF(예비품목록!$F18="",0,예비품목록!$F18))</f>
        <v/>
      </c>
    </row>
    <row r="22" customFormat="false" ht="15" hidden="false" customHeight="true" outlineLevel="0" collapsed="false">
      <c r="A22" s="15" t="str">
        <f aca="false">IF(예비품목록!$A19="","",예비품목록!$A19)</f>
        <v/>
      </c>
      <c r="B22" s="15" t="str">
        <f aca="false">IF($A22="","",예비품목록!$B19)</f>
        <v/>
      </c>
      <c r="C22" s="15" t="str">
        <f aca="false">IF($A22="","",예비품목록!$D19)</f>
        <v/>
      </c>
      <c r="D22" s="24" t="str">
        <f aca="false">IF($A22="","",SUMIFS(예비품입출고!$F$3:$F$602,예비품입출고!$C$3:$C$602,$A22,예비품입출고!$B$3:$B$602,"입고"))</f>
        <v/>
      </c>
      <c r="E22" s="24" t="str">
        <f aca="false">IF($A22="","",SUMIFS(예비품입출고!$F$3:$F$602,예비품입출고!$C$3:$C$602,$A22,예비품입출고!$B$3:$B$602,"출고"))</f>
        <v/>
      </c>
      <c r="F22" s="24" t="str">
        <f aca="false">IF($A22="","",IF(예비품목록!$E19="",0,예비품목록!$E19)+SUMIFS(예비품입출고!$J$3:$J$602,예비품입출고!$C$3:$C$602,$A22))</f>
        <v/>
      </c>
      <c r="G22" s="24" t="str">
        <f aca="false">IF($A22="","",MAX(0,$H22-$F22))</f>
        <v/>
      </c>
      <c r="H22" s="24" t="str">
        <f aca="false">IF($A22="","",IF(예비품목록!$F19="",0,예비품목록!$F19))</f>
        <v/>
      </c>
    </row>
    <row r="23" customFormat="false" ht="15" hidden="false" customHeight="true" outlineLevel="0" collapsed="false">
      <c r="A23" s="15" t="str">
        <f aca="false">IF(예비품목록!$A20="","",예비품목록!$A20)</f>
        <v/>
      </c>
      <c r="B23" s="15" t="str">
        <f aca="false">IF($A23="","",예비품목록!$B20)</f>
        <v/>
      </c>
      <c r="C23" s="15" t="str">
        <f aca="false">IF($A23="","",예비품목록!$D20)</f>
        <v/>
      </c>
      <c r="D23" s="24" t="str">
        <f aca="false">IF($A23="","",SUMIFS(예비품입출고!$F$3:$F$602,예비품입출고!$C$3:$C$602,$A23,예비품입출고!$B$3:$B$602,"입고"))</f>
        <v/>
      </c>
      <c r="E23" s="24" t="str">
        <f aca="false">IF($A23="","",SUMIFS(예비품입출고!$F$3:$F$602,예비품입출고!$C$3:$C$602,$A23,예비품입출고!$B$3:$B$602,"출고"))</f>
        <v/>
      </c>
      <c r="F23" s="24" t="str">
        <f aca="false">IF($A23="","",IF(예비품목록!$E20="",0,예비품목록!$E20)+SUMIFS(예비품입출고!$J$3:$J$602,예비품입출고!$C$3:$C$602,$A23))</f>
        <v/>
      </c>
      <c r="G23" s="24" t="str">
        <f aca="false">IF($A23="","",MAX(0,$H23-$F23))</f>
        <v/>
      </c>
      <c r="H23" s="24" t="str">
        <f aca="false">IF($A23="","",IF(예비품목록!$F20="",0,예비품목록!$F20))</f>
        <v/>
      </c>
    </row>
    <row r="24" customFormat="false" ht="15" hidden="false" customHeight="true" outlineLevel="0" collapsed="false">
      <c r="A24" s="15" t="str">
        <f aca="false">IF(예비품목록!$A21="","",예비품목록!$A21)</f>
        <v/>
      </c>
      <c r="B24" s="15" t="str">
        <f aca="false">IF($A24="","",예비품목록!$B21)</f>
        <v/>
      </c>
      <c r="C24" s="15" t="str">
        <f aca="false">IF($A24="","",예비품목록!$D21)</f>
        <v/>
      </c>
      <c r="D24" s="24" t="str">
        <f aca="false">IF($A24="","",SUMIFS(예비품입출고!$F$3:$F$602,예비품입출고!$C$3:$C$602,$A24,예비품입출고!$B$3:$B$602,"입고"))</f>
        <v/>
      </c>
      <c r="E24" s="24" t="str">
        <f aca="false">IF($A24="","",SUMIFS(예비품입출고!$F$3:$F$602,예비품입출고!$C$3:$C$602,$A24,예비품입출고!$B$3:$B$602,"출고"))</f>
        <v/>
      </c>
      <c r="F24" s="24" t="str">
        <f aca="false">IF($A24="","",IF(예비품목록!$E21="",0,예비품목록!$E21)+SUMIFS(예비품입출고!$J$3:$J$602,예비품입출고!$C$3:$C$602,$A24))</f>
        <v/>
      </c>
      <c r="G24" s="24" t="str">
        <f aca="false">IF($A24="","",MAX(0,$H24-$F24))</f>
        <v/>
      </c>
      <c r="H24" s="24" t="str">
        <f aca="false">IF($A24="","",IF(예비품목록!$F21="",0,예비품목록!$F21))</f>
        <v/>
      </c>
    </row>
    <row r="25" customFormat="false" ht="15" hidden="false" customHeight="true" outlineLevel="0" collapsed="false">
      <c r="A25" s="15" t="str">
        <f aca="false">IF(예비품목록!$A22="","",예비품목록!$A22)</f>
        <v/>
      </c>
      <c r="B25" s="15" t="str">
        <f aca="false">IF($A25="","",예비품목록!$B22)</f>
        <v/>
      </c>
      <c r="C25" s="15" t="str">
        <f aca="false">IF($A25="","",예비품목록!$D22)</f>
        <v/>
      </c>
      <c r="D25" s="24" t="str">
        <f aca="false">IF($A25="","",SUMIFS(예비품입출고!$F$3:$F$602,예비품입출고!$C$3:$C$602,$A25,예비품입출고!$B$3:$B$602,"입고"))</f>
        <v/>
      </c>
      <c r="E25" s="24" t="str">
        <f aca="false">IF($A25="","",SUMIFS(예비품입출고!$F$3:$F$602,예비품입출고!$C$3:$C$602,$A25,예비품입출고!$B$3:$B$602,"출고"))</f>
        <v/>
      </c>
      <c r="F25" s="24" t="str">
        <f aca="false">IF($A25="","",IF(예비품목록!$E22="",0,예비품목록!$E22)+SUMIFS(예비품입출고!$J$3:$J$602,예비품입출고!$C$3:$C$602,$A25))</f>
        <v/>
      </c>
      <c r="G25" s="24" t="str">
        <f aca="false">IF($A25="","",MAX(0,$H25-$F25))</f>
        <v/>
      </c>
      <c r="H25" s="24" t="str">
        <f aca="false">IF($A25="","",IF(예비품목록!$F22="",0,예비품목록!$F22))</f>
        <v/>
      </c>
    </row>
    <row r="26" customFormat="false" ht="15" hidden="false" customHeight="true" outlineLevel="0" collapsed="false">
      <c r="A26" s="15" t="str">
        <f aca="false">IF(예비품목록!$A23="","",예비품목록!$A23)</f>
        <v/>
      </c>
      <c r="B26" s="15" t="str">
        <f aca="false">IF($A26="","",예비품목록!$B23)</f>
        <v/>
      </c>
      <c r="C26" s="15" t="str">
        <f aca="false">IF($A26="","",예비품목록!$D23)</f>
        <v/>
      </c>
      <c r="D26" s="24" t="str">
        <f aca="false">IF($A26="","",SUMIFS(예비품입출고!$F$3:$F$602,예비품입출고!$C$3:$C$602,$A26,예비품입출고!$B$3:$B$602,"입고"))</f>
        <v/>
      </c>
      <c r="E26" s="24" t="str">
        <f aca="false">IF($A26="","",SUMIFS(예비품입출고!$F$3:$F$602,예비품입출고!$C$3:$C$602,$A26,예비품입출고!$B$3:$B$602,"출고"))</f>
        <v/>
      </c>
      <c r="F26" s="24" t="str">
        <f aca="false">IF($A26="","",IF(예비품목록!$E23="",0,예비품목록!$E23)+SUMIFS(예비품입출고!$J$3:$J$602,예비품입출고!$C$3:$C$602,$A26))</f>
        <v/>
      </c>
      <c r="G26" s="24" t="str">
        <f aca="false">IF($A26="","",MAX(0,$H26-$F26))</f>
        <v/>
      </c>
      <c r="H26" s="24" t="str">
        <f aca="false">IF($A26="","",IF(예비품목록!$F23="",0,예비품목록!$F23))</f>
        <v/>
      </c>
    </row>
    <row r="27" customFormat="false" ht="15" hidden="false" customHeight="true" outlineLevel="0" collapsed="false">
      <c r="A27" s="15" t="str">
        <f aca="false">IF(예비품목록!$A24="","",예비품목록!$A24)</f>
        <v/>
      </c>
      <c r="B27" s="15" t="str">
        <f aca="false">IF($A27="","",예비품목록!$B24)</f>
        <v/>
      </c>
      <c r="C27" s="15" t="str">
        <f aca="false">IF($A27="","",예비품목록!$D24)</f>
        <v/>
      </c>
      <c r="D27" s="24" t="str">
        <f aca="false">IF($A27="","",SUMIFS(예비품입출고!$F$3:$F$602,예비품입출고!$C$3:$C$602,$A27,예비품입출고!$B$3:$B$602,"입고"))</f>
        <v/>
      </c>
      <c r="E27" s="24" t="str">
        <f aca="false">IF($A27="","",SUMIFS(예비품입출고!$F$3:$F$602,예비품입출고!$C$3:$C$602,$A27,예비품입출고!$B$3:$B$602,"출고"))</f>
        <v/>
      </c>
      <c r="F27" s="24" t="str">
        <f aca="false">IF($A27="","",IF(예비품목록!$E24="",0,예비품목록!$E24)+SUMIFS(예비품입출고!$J$3:$J$602,예비품입출고!$C$3:$C$602,$A27))</f>
        <v/>
      </c>
      <c r="G27" s="24" t="str">
        <f aca="false">IF($A27="","",MAX(0,$H27-$F27))</f>
        <v/>
      </c>
      <c r="H27" s="24" t="str">
        <f aca="false">IF($A27="","",IF(예비품목록!$F24="",0,예비품목록!$F24))</f>
        <v/>
      </c>
    </row>
    <row r="28" customFormat="false" ht="15" hidden="false" customHeight="true" outlineLevel="0" collapsed="false">
      <c r="A28" s="15" t="str">
        <f aca="false">IF(예비품목록!$A25="","",예비품목록!$A25)</f>
        <v/>
      </c>
      <c r="B28" s="15" t="str">
        <f aca="false">IF($A28="","",예비품목록!$B25)</f>
        <v/>
      </c>
      <c r="C28" s="15" t="str">
        <f aca="false">IF($A28="","",예비품목록!$D25)</f>
        <v/>
      </c>
      <c r="D28" s="24" t="str">
        <f aca="false">IF($A28="","",SUMIFS(예비품입출고!$F$3:$F$602,예비품입출고!$C$3:$C$602,$A28,예비품입출고!$B$3:$B$602,"입고"))</f>
        <v/>
      </c>
      <c r="E28" s="24" t="str">
        <f aca="false">IF($A28="","",SUMIFS(예비품입출고!$F$3:$F$602,예비품입출고!$C$3:$C$602,$A28,예비품입출고!$B$3:$B$602,"출고"))</f>
        <v/>
      </c>
      <c r="F28" s="24" t="str">
        <f aca="false">IF($A28="","",IF(예비품목록!$E25="",0,예비품목록!$E25)+SUMIFS(예비품입출고!$J$3:$J$602,예비품입출고!$C$3:$C$602,$A28))</f>
        <v/>
      </c>
      <c r="G28" s="24" t="str">
        <f aca="false">IF($A28="","",MAX(0,$H28-$F28))</f>
        <v/>
      </c>
      <c r="H28" s="24" t="str">
        <f aca="false">IF($A28="","",IF(예비품목록!$F25="",0,예비품목록!$F25))</f>
        <v/>
      </c>
    </row>
    <row r="29" customFormat="false" ht="15" hidden="false" customHeight="true" outlineLevel="0" collapsed="false">
      <c r="A29" s="15" t="str">
        <f aca="false">IF(예비품목록!$A26="","",예비품목록!$A26)</f>
        <v/>
      </c>
      <c r="B29" s="15" t="str">
        <f aca="false">IF($A29="","",예비품목록!$B26)</f>
        <v/>
      </c>
      <c r="C29" s="15" t="str">
        <f aca="false">IF($A29="","",예비품목록!$D26)</f>
        <v/>
      </c>
      <c r="D29" s="24" t="str">
        <f aca="false">IF($A29="","",SUMIFS(예비품입출고!$F$3:$F$602,예비품입출고!$C$3:$C$602,$A29,예비품입출고!$B$3:$B$602,"입고"))</f>
        <v/>
      </c>
      <c r="E29" s="24" t="str">
        <f aca="false">IF($A29="","",SUMIFS(예비품입출고!$F$3:$F$602,예비품입출고!$C$3:$C$602,$A29,예비품입출고!$B$3:$B$602,"출고"))</f>
        <v/>
      </c>
      <c r="F29" s="24" t="str">
        <f aca="false">IF($A29="","",IF(예비품목록!$E26="",0,예비품목록!$E26)+SUMIFS(예비품입출고!$J$3:$J$602,예비품입출고!$C$3:$C$602,$A29))</f>
        <v/>
      </c>
      <c r="G29" s="24" t="str">
        <f aca="false">IF($A29="","",MAX(0,$H29-$F29))</f>
        <v/>
      </c>
      <c r="H29" s="24" t="str">
        <f aca="false">IF($A29="","",IF(예비품목록!$F26="",0,예비품목록!$F26))</f>
        <v/>
      </c>
    </row>
    <row r="30" customFormat="false" ht="15" hidden="false" customHeight="true" outlineLevel="0" collapsed="false">
      <c r="A30" s="15" t="str">
        <f aca="false">IF(예비품목록!$A27="","",예비품목록!$A27)</f>
        <v/>
      </c>
      <c r="B30" s="15" t="str">
        <f aca="false">IF($A30="","",예비품목록!$B27)</f>
        <v/>
      </c>
      <c r="C30" s="15" t="str">
        <f aca="false">IF($A30="","",예비품목록!$D27)</f>
        <v/>
      </c>
      <c r="D30" s="24" t="str">
        <f aca="false">IF($A30="","",SUMIFS(예비품입출고!$F$3:$F$602,예비품입출고!$C$3:$C$602,$A30,예비품입출고!$B$3:$B$602,"입고"))</f>
        <v/>
      </c>
      <c r="E30" s="24" t="str">
        <f aca="false">IF($A30="","",SUMIFS(예비품입출고!$F$3:$F$602,예비품입출고!$C$3:$C$602,$A30,예비품입출고!$B$3:$B$602,"출고"))</f>
        <v/>
      </c>
      <c r="F30" s="24" t="str">
        <f aca="false">IF($A30="","",IF(예비품목록!$E27="",0,예비품목록!$E27)+SUMIFS(예비품입출고!$J$3:$J$602,예비품입출고!$C$3:$C$602,$A30))</f>
        <v/>
      </c>
      <c r="G30" s="24" t="str">
        <f aca="false">IF($A30="","",MAX(0,$H30-$F30))</f>
        <v/>
      </c>
      <c r="H30" s="24" t="str">
        <f aca="false">IF($A30="","",IF(예비품목록!$F27="",0,예비품목록!$F27))</f>
        <v/>
      </c>
    </row>
    <row r="31" customFormat="false" ht="15" hidden="false" customHeight="true" outlineLevel="0" collapsed="false">
      <c r="A31" s="15" t="str">
        <f aca="false">IF(예비품목록!$A28="","",예비품목록!$A28)</f>
        <v/>
      </c>
      <c r="B31" s="15" t="str">
        <f aca="false">IF($A31="","",예비품목록!$B28)</f>
        <v/>
      </c>
      <c r="C31" s="15" t="str">
        <f aca="false">IF($A31="","",예비품목록!$D28)</f>
        <v/>
      </c>
      <c r="D31" s="24" t="str">
        <f aca="false">IF($A31="","",SUMIFS(예비품입출고!$F$3:$F$602,예비품입출고!$C$3:$C$602,$A31,예비품입출고!$B$3:$B$602,"입고"))</f>
        <v/>
      </c>
      <c r="E31" s="24" t="str">
        <f aca="false">IF($A31="","",SUMIFS(예비품입출고!$F$3:$F$602,예비품입출고!$C$3:$C$602,$A31,예비품입출고!$B$3:$B$602,"출고"))</f>
        <v/>
      </c>
      <c r="F31" s="24" t="str">
        <f aca="false">IF($A31="","",IF(예비품목록!$E28="",0,예비품목록!$E28)+SUMIFS(예비품입출고!$J$3:$J$602,예비품입출고!$C$3:$C$602,$A31))</f>
        <v/>
      </c>
      <c r="G31" s="24" t="str">
        <f aca="false">IF($A31="","",MAX(0,$H31-$F31))</f>
        <v/>
      </c>
      <c r="H31" s="24" t="str">
        <f aca="false">IF($A31="","",IF(예비품목록!$F28="",0,예비품목록!$F28))</f>
        <v/>
      </c>
    </row>
    <row r="32" customFormat="false" ht="15" hidden="false" customHeight="true" outlineLevel="0" collapsed="false">
      <c r="A32" s="15" t="str">
        <f aca="false">IF(예비품목록!$A29="","",예비품목록!$A29)</f>
        <v/>
      </c>
      <c r="B32" s="15" t="str">
        <f aca="false">IF($A32="","",예비품목록!$B29)</f>
        <v/>
      </c>
      <c r="C32" s="15" t="str">
        <f aca="false">IF($A32="","",예비품목록!$D29)</f>
        <v/>
      </c>
      <c r="D32" s="24" t="str">
        <f aca="false">IF($A32="","",SUMIFS(예비품입출고!$F$3:$F$602,예비품입출고!$C$3:$C$602,$A32,예비품입출고!$B$3:$B$602,"입고"))</f>
        <v/>
      </c>
      <c r="E32" s="24" t="str">
        <f aca="false">IF($A32="","",SUMIFS(예비품입출고!$F$3:$F$602,예비품입출고!$C$3:$C$602,$A32,예비품입출고!$B$3:$B$602,"출고"))</f>
        <v/>
      </c>
      <c r="F32" s="24" t="str">
        <f aca="false">IF($A32="","",IF(예비품목록!$E29="",0,예비품목록!$E29)+SUMIFS(예비품입출고!$J$3:$J$602,예비품입출고!$C$3:$C$602,$A32))</f>
        <v/>
      </c>
      <c r="G32" s="24" t="str">
        <f aca="false">IF($A32="","",MAX(0,$H32-$F32))</f>
        <v/>
      </c>
      <c r="H32" s="24" t="str">
        <f aca="false">IF($A32="","",IF(예비품목록!$F29="",0,예비품목록!$F29))</f>
        <v/>
      </c>
    </row>
    <row r="33" customFormat="false" ht="15" hidden="false" customHeight="true" outlineLevel="0" collapsed="false">
      <c r="A33" s="15" t="str">
        <f aca="false">IF(예비품목록!$A30="","",예비품목록!$A30)</f>
        <v/>
      </c>
      <c r="B33" s="15" t="str">
        <f aca="false">IF($A33="","",예비품목록!$B30)</f>
        <v/>
      </c>
      <c r="C33" s="15" t="str">
        <f aca="false">IF($A33="","",예비품목록!$D30)</f>
        <v/>
      </c>
      <c r="D33" s="24" t="str">
        <f aca="false">IF($A33="","",SUMIFS(예비품입출고!$F$3:$F$602,예비품입출고!$C$3:$C$602,$A33,예비품입출고!$B$3:$B$602,"입고"))</f>
        <v/>
      </c>
      <c r="E33" s="24" t="str">
        <f aca="false">IF($A33="","",SUMIFS(예비품입출고!$F$3:$F$602,예비품입출고!$C$3:$C$602,$A33,예비품입출고!$B$3:$B$602,"출고"))</f>
        <v/>
      </c>
      <c r="F33" s="24" t="str">
        <f aca="false">IF($A33="","",IF(예비품목록!$E30="",0,예비품목록!$E30)+SUMIFS(예비품입출고!$J$3:$J$602,예비품입출고!$C$3:$C$602,$A33))</f>
        <v/>
      </c>
      <c r="G33" s="24" t="str">
        <f aca="false">IF($A33="","",MAX(0,$H33-$F33))</f>
        <v/>
      </c>
      <c r="H33" s="24" t="str">
        <f aca="false">IF($A33="","",IF(예비품목록!$F30="",0,예비품목록!$F30))</f>
        <v/>
      </c>
    </row>
    <row r="34" customFormat="false" ht="15" hidden="false" customHeight="true" outlineLevel="0" collapsed="false">
      <c r="A34" s="15" t="str">
        <f aca="false">IF(예비품목록!$A31="","",예비품목록!$A31)</f>
        <v/>
      </c>
      <c r="B34" s="15" t="str">
        <f aca="false">IF($A34="","",예비품목록!$B31)</f>
        <v/>
      </c>
      <c r="C34" s="15" t="str">
        <f aca="false">IF($A34="","",예비품목록!$D31)</f>
        <v/>
      </c>
      <c r="D34" s="24" t="str">
        <f aca="false">IF($A34="","",SUMIFS(예비품입출고!$F$3:$F$602,예비품입출고!$C$3:$C$602,$A34,예비품입출고!$B$3:$B$602,"입고"))</f>
        <v/>
      </c>
      <c r="E34" s="24" t="str">
        <f aca="false">IF($A34="","",SUMIFS(예비품입출고!$F$3:$F$602,예비품입출고!$C$3:$C$602,$A34,예비품입출고!$B$3:$B$602,"출고"))</f>
        <v/>
      </c>
      <c r="F34" s="24" t="str">
        <f aca="false">IF($A34="","",IF(예비품목록!$E31="",0,예비품목록!$E31)+SUMIFS(예비품입출고!$J$3:$J$602,예비품입출고!$C$3:$C$602,$A34))</f>
        <v/>
      </c>
      <c r="G34" s="24" t="str">
        <f aca="false">IF($A34="","",MAX(0,$H34-$F34))</f>
        <v/>
      </c>
      <c r="H34" s="24" t="str">
        <f aca="false">IF($A34="","",IF(예비품목록!$F31="",0,예비품목록!$F31))</f>
        <v/>
      </c>
    </row>
    <row r="35" customFormat="false" ht="15" hidden="false" customHeight="true" outlineLevel="0" collapsed="false">
      <c r="A35" s="15" t="str">
        <f aca="false">IF(예비품목록!$A32="","",예비품목록!$A32)</f>
        <v/>
      </c>
      <c r="B35" s="15" t="str">
        <f aca="false">IF($A35="","",예비품목록!$B32)</f>
        <v/>
      </c>
      <c r="C35" s="15" t="str">
        <f aca="false">IF($A35="","",예비품목록!$D32)</f>
        <v/>
      </c>
      <c r="D35" s="24" t="str">
        <f aca="false">IF($A35="","",SUMIFS(예비품입출고!$F$3:$F$602,예비품입출고!$C$3:$C$602,$A35,예비품입출고!$B$3:$B$602,"입고"))</f>
        <v/>
      </c>
      <c r="E35" s="24" t="str">
        <f aca="false">IF($A35="","",SUMIFS(예비품입출고!$F$3:$F$602,예비품입출고!$C$3:$C$602,$A35,예비품입출고!$B$3:$B$602,"출고"))</f>
        <v/>
      </c>
      <c r="F35" s="24" t="str">
        <f aca="false">IF($A35="","",IF(예비품목록!$E32="",0,예비품목록!$E32)+SUMIFS(예비품입출고!$J$3:$J$602,예비품입출고!$C$3:$C$602,$A35))</f>
        <v/>
      </c>
      <c r="G35" s="24" t="str">
        <f aca="false">IF($A35="","",MAX(0,$H35-$F35))</f>
        <v/>
      </c>
      <c r="H35" s="24" t="str">
        <f aca="false">IF($A35="","",IF(예비품목록!$F32="",0,예비품목록!$F32))</f>
        <v/>
      </c>
    </row>
    <row r="36" customFormat="false" ht="15" hidden="false" customHeight="true" outlineLevel="0" collapsed="false">
      <c r="A36" s="15" t="str">
        <f aca="false">IF(예비품목록!$A33="","",예비품목록!$A33)</f>
        <v/>
      </c>
      <c r="B36" s="15" t="str">
        <f aca="false">IF($A36="","",예비품목록!$B33)</f>
        <v/>
      </c>
      <c r="C36" s="15" t="str">
        <f aca="false">IF($A36="","",예비품목록!$D33)</f>
        <v/>
      </c>
      <c r="D36" s="24" t="str">
        <f aca="false">IF($A36="","",SUMIFS(예비품입출고!$F$3:$F$602,예비품입출고!$C$3:$C$602,$A36,예비품입출고!$B$3:$B$602,"입고"))</f>
        <v/>
      </c>
      <c r="E36" s="24" t="str">
        <f aca="false">IF($A36="","",SUMIFS(예비품입출고!$F$3:$F$602,예비품입출고!$C$3:$C$602,$A36,예비품입출고!$B$3:$B$602,"출고"))</f>
        <v/>
      </c>
      <c r="F36" s="24" t="str">
        <f aca="false">IF($A36="","",IF(예비품목록!$E33="",0,예비품목록!$E33)+SUMIFS(예비품입출고!$J$3:$J$602,예비품입출고!$C$3:$C$602,$A36))</f>
        <v/>
      </c>
      <c r="G36" s="24" t="str">
        <f aca="false">IF($A36="","",MAX(0,$H36-$F36))</f>
        <v/>
      </c>
      <c r="H36" s="24" t="str">
        <f aca="false">IF($A36="","",IF(예비품목록!$F33="",0,예비품목록!$F33))</f>
        <v/>
      </c>
    </row>
    <row r="37" customFormat="false" ht="15" hidden="false" customHeight="true" outlineLevel="0" collapsed="false">
      <c r="A37" s="15" t="str">
        <f aca="false">IF(예비품목록!$A34="","",예비품목록!$A34)</f>
        <v/>
      </c>
      <c r="B37" s="15" t="str">
        <f aca="false">IF($A37="","",예비품목록!$B34)</f>
        <v/>
      </c>
      <c r="C37" s="15" t="str">
        <f aca="false">IF($A37="","",예비품목록!$D34)</f>
        <v/>
      </c>
      <c r="D37" s="24" t="str">
        <f aca="false">IF($A37="","",SUMIFS(예비품입출고!$F$3:$F$602,예비품입출고!$C$3:$C$602,$A37,예비품입출고!$B$3:$B$602,"입고"))</f>
        <v/>
      </c>
      <c r="E37" s="24" t="str">
        <f aca="false">IF($A37="","",SUMIFS(예비품입출고!$F$3:$F$602,예비품입출고!$C$3:$C$602,$A37,예비품입출고!$B$3:$B$602,"출고"))</f>
        <v/>
      </c>
      <c r="F37" s="24" t="str">
        <f aca="false">IF($A37="","",IF(예비품목록!$E34="",0,예비품목록!$E34)+SUMIFS(예비품입출고!$J$3:$J$602,예비품입출고!$C$3:$C$602,$A37))</f>
        <v/>
      </c>
      <c r="G37" s="24" t="str">
        <f aca="false">IF($A37="","",MAX(0,$H37-$F37))</f>
        <v/>
      </c>
      <c r="H37" s="24" t="str">
        <f aca="false">IF($A37="","",IF(예비품목록!$F34="",0,예비품목록!$F34))</f>
        <v/>
      </c>
    </row>
    <row r="38" customFormat="false" ht="15" hidden="false" customHeight="true" outlineLevel="0" collapsed="false">
      <c r="A38" s="15" t="str">
        <f aca="false">IF(예비품목록!$A35="","",예비품목록!$A35)</f>
        <v/>
      </c>
      <c r="B38" s="15" t="str">
        <f aca="false">IF($A38="","",예비품목록!$B35)</f>
        <v/>
      </c>
      <c r="C38" s="15" t="str">
        <f aca="false">IF($A38="","",예비품목록!$D35)</f>
        <v/>
      </c>
      <c r="D38" s="24" t="str">
        <f aca="false">IF($A38="","",SUMIFS(예비품입출고!$F$3:$F$602,예비품입출고!$C$3:$C$602,$A38,예비품입출고!$B$3:$B$602,"입고"))</f>
        <v/>
      </c>
      <c r="E38" s="24" t="str">
        <f aca="false">IF($A38="","",SUMIFS(예비품입출고!$F$3:$F$602,예비품입출고!$C$3:$C$602,$A38,예비품입출고!$B$3:$B$602,"출고"))</f>
        <v/>
      </c>
      <c r="F38" s="24" t="str">
        <f aca="false">IF($A38="","",IF(예비품목록!$E35="",0,예비품목록!$E35)+SUMIFS(예비품입출고!$J$3:$J$602,예비품입출고!$C$3:$C$602,$A38))</f>
        <v/>
      </c>
      <c r="G38" s="24" t="str">
        <f aca="false">IF($A38="","",MAX(0,$H38-$F38))</f>
        <v/>
      </c>
      <c r="H38" s="24" t="str">
        <f aca="false">IF($A38="","",IF(예비품목록!$F35="",0,예비품목록!$F35))</f>
        <v/>
      </c>
    </row>
    <row r="39" customFormat="false" ht="15" hidden="false" customHeight="true" outlineLevel="0" collapsed="false">
      <c r="A39" s="15" t="str">
        <f aca="false">IF(예비품목록!$A36="","",예비품목록!$A36)</f>
        <v/>
      </c>
      <c r="B39" s="15" t="str">
        <f aca="false">IF($A39="","",예비품목록!$B36)</f>
        <v/>
      </c>
      <c r="C39" s="15" t="str">
        <f aca="false">IF($A39="","",예비품목록!$D36)</f>
        <v/>
      </c>
      <c r="D39" s="24" t="str">
        <f aca="false">IF($A39="","",SUMIFS(예비품입출고!$F$3:$F$602,예비품입출고!$C$3:$C$602,$A39,예비품입출고!$B$3:$B$602,"입고"))</f>
        <v/>
      </c>
      <c r="E39" s="24" t="str">
        <f aca="false">IF($A39="","",SUMIFS(예비품입출고!$F$3:$F$602,예비품입출고!$C$3:$C$602,$A39,예비품입출고!$B$3:$B$602,"출고"))</f>
        <v/>
      </c>
      <c r="F39" s="24" t="str">
        <f aca="false">IF($A39="","",IF(예비품목록!$E36="",0,예비품목록!$E36)+SUMIFS(예비품입출고!$J$3:$J$602,예비품입출고!$C$3:$C$602,$A39))</f>
        <v/>
      </c>
      <c r="G39" s="24" t="str">
        <f aca="false">IF($A39="","",MAX(0,$H39-$F39))</f>
        <v/>
      </c>
      <c r="H39" s="24" t="str">
        <f aca="false">IF($A39="","",IF(예비품목록!$F36="",0,예비품목록!$F36))</f>
        <v/>
      </c>
    </row>
    <row r="40" customFormat="false" ht="15" hidden="false" customHeight="true" outlineLevel="0" collapsed="false">
      <c r="A40" s="15" t="str">
        <f aca="false">IF(예비품목록!$A37="","",예비품목록!$A37)</f>
        <v/>
      </c>
      <c r="B40" s="15" t="str">
        <f aca="false">IF($A40="","",예비품목록!$B37)</f>
        <v/>
      </c>
      <c r="C40" s="15" t="str">
        <f aca="false">IF($A40="","",예비품목록!$D37)</f>
        <v/>
      </c>
      <c r="D40" s="24" t="str">
        <f aca="false">IF($A40="","",SUMIFS(예비품입출고!$F$3:$F$602,예비품입출고!$C$3:$C$602,$A40,예비품입출고!$B$3:$B$602,"입고"))</f>
        <v/>
      </c>
      <c r="E40" s="24" t="str">
        <f aca="false">IF($A40="","",SUMIFS(예비품입출고!$F$3:$F$602,예비품입출고!$C$3:$C$602,$A40,예비품입출고!$B$3:$B$602,"출고"))</f>
        <v/>
      </c>
      <c r="F40" s="24" t="str">
        <f aca="false">IF($A40="","",IF(예비품목록!$E37="",0,예비품목록!$E37)+SUMIFS(예비품입출고!$J$3:$J$602,예비품입출고!$C$3:$C$602,$A40))</f>
        <v/>
      </c>
      <c r="G40" s="24" t="str">
        <f aca="false">IF($A40="","",MAX(0,$H40-$F40))</f>
        <v/>
      </c>
      <c r="H40" s="24" t="str">
        <f aca="false">IF($A40="","",IF(예비품목록!$F37="",0,예비품목록!$F37))</f>
        <v/>
      </c>
    </row>
    <row r="41" customFormat="false" ht="15" hidden="false" customHeight="true" outlineLevel="0" collapsed="false">
      <c r="A41" s="15" t="str">
        <f aca="false">IF(예비품목록!$A38="","",예비품목록!$A38)</f>
        <v/>
      </c>
      <c r="B41" s="15" t="str">
        <f aca="false">IF($A41="","",예비품목록!$B38)</f>
        <v/>
      </c>
      <c r="C41" s="15" t="str">
        <f aca="false">IF($A41="","",예비품목록!$D38)</f>
        <v/>
      </c>
      <c r="D41" s="24" t="str">
        <f aca="false">IF($A41="","",SUMIFS(예비품입출고!$F$3:$F$602,예비품입출고!$C$3:$C$602,$A41,예비품입출고!$B$3:$B$602,"입고"))</f>
        <v/>
      </c>
      <c r="E41" s="24" t="str">
        <f aca="false">IF($A41="","",SUMIFS(예비품입출고!$F$3:$F$602,예비품입출고!$C$3:$C$602,$A41,예비품입출고!$B$3:$B$602,"출고"))</f>
        <v/>
      </c>
      <c r="F41" s="24" t="str">
        <f aca="false">IF($A41="","",IF(예비품목록!$E38="",0,예비품목록!$E38)+SUMIFS(예비품입출고!$J$3:$J$602,예비품입출고!$C$3:$C$602,$A41))</f>
        <v/>
      </c>
      <c r="G41" s="24" t="str">
        <f aca="false">IF($A41="","",MAX(0,$H41-$F41))</f>
        <v/>
      </c>
      <c r="H41" s="24" t="str">
        <f aca="false">IF($A41="","",IF(예비품목록!$F38="",0,예비품목록!$F38))</f>
        <v/>
      </c>
    </row>
    <row r="42" customFormat="false" ht="15" hidden="false" customHeight="true" outlineLevel="0" collapsed="false">
      <c r="A42" s="15" t="str">
        <f aca="false">IF(예비품목록!$A39="","",예비품목록!$A39)</f>
        <v/>
      </c>
      <c r="B42" s="15" t="str">
        <f aca="false">IF($A42="","",예비품목록!$B39)</f>
        <v/>
      </c>
      <c r="C42" s="15" t="str">
        <f aca="false">IF($A42="","",예비품목록!$D39)</f>
        <v/>
      </c>
      <c r="D42" s="24" t="str">
        <f aca="false">IF($A42="","",SUMIFS(예비품입출고!$F$3:$F$602,예비품입출고!$C$3:$C$602,$A42,예비품입출고!$B$3:$B$602,"입고"))</f>
        <v/>
      </c>
      <c r="E42" s="24" t="str">
        <f aca="false">IF($A42="","",SUMIFS(예비품입출고!$F$3:$F$602,예비품입출고!$C$3:$C$602,$A42,예비품입출고!$B$3:$B$602,"출고"))</f>
        <v/>
      </c>
      <c r="F42" s="24" t="str">
        <f aca="false">IF($A42="","",IF(예비품목록!$E39="",0,예비품목록!$E39)+SUMIFS(예비품입출고!$J$3:$J$602,예비품입출고!$C$3:$C$602,$A42))</f>
        <v/>
      </c>
      <c r="G42" s="24" t="str">
        <f aca="false">IF($A42="","",MAX(0,$H42-$F42))</f>
        <v/>
      </c>
      <c r="H42" s="24" t="str">
        <f aca="false">IF($A42="","",IF(예비품목록!$F39="",0,예비품목록!$F39))</f>
        <v/>
      </c>
    </row>
    <row r="43" customFormat="false" ht="15" hidden="false" customHeight="true" outlineLevel="0" collapsed="false">
      <c r="A43" s="15" t="str">
        <f aca="false">IF(예비품목록!$A40="","",예비품목록!$A40)</f>
        <v/>
      </c>
      <c r="B43" s="15" t="str">
        <f aca="false">IF($A43="","",예비품목록!$B40)</f>
        <v/>
      </c>
      <c r="C43" s="15" t="str">
        <f aca="false">IF($A43="","",예비품목록!$D40)</f>
        <v/>
      </c>
      <c r="D43" s="24" t="str">
        <f aca="false">IF($A43="","",SUMIFS(예비품입출고!$F$3:$F$602,예비품입출고!$C$3:$C$602,$A43,예비품입출고!$B$3:$B$602,"입고"))</f>
        <v/>
      </c>
      <c r="E43" s="24" t="str">
        <f aca="false">IF($A43="","",SUMIFS(예비품입출고!$F$3:$F$602,예비품입출고!$C$3:$C$602,$A43,예비품입출고!$B$3:$B$602,"출고"))</f>
        <v/>
      </c>
      <c r="F43" s="24" t="str">
        <f aca="false">IF($A43="","",IF(예비품목록!$E40="",0,예비품목록!$E40)+SUMIFS(예비품입출고!$J$3:$J$602,예비품입출고!$C$3:$C$602,$A43))</f>
        <v/>
      </c>
      <c r="G43" s="24" t="str">
        <f aca="false">IF($A43="","",MAX(0,$H43-$F43))</f>
        <v/>
      </c>
      <c r="H43" s="24" t="str">
        <f aca="false">IF($A43="","",IF(예비품목록!$F40="",0,예비품목록!$F40))</f>
        <v/>
      </c>
    </row>
    <row r="44" customFormat="false" ht="15" hidden="false" customHeight="true" outlineLevel="0" collapsed="false">
      <c r="A44" s="15" t="str">
        <f aca="false">IF(예비품목록!$A41="","",예비품목록!$A41)</f>
        <v/>
      </c>
      <c r="B44" s="15" t="str">
        <f aca="false">IF($A44="","",예비품목록!$B41)</f>
        <v/>
      </c>
      <c r="C44" s="15" t="str">
        <f aca="false">IF($A44="","",예비품목록!$D41)</f>
        <v/>
      </c>
      <c r="D44" s="24" t="str">
        <f aca="false">IF($A44="","",SUMIFS(예비품입출고!$F$3:$F$602,예비품입출고!$C$3:$C$602,$A44,예비품입출고!$B$3:$B$602,"입고"))</f>
        <v/>
      </c>
      <c r="E44" s="24" t="str">
        <f aca="false">IF($A44="","",SUMIFS(예비품입출고!$F$3:$F$602,예비품입출고!$C$3:$C$602,$A44,예비품입출고!$B$3:$B$602,"출고"))</f>
        <v/>
      </c>
      <c r="F44" s="24" t="str">
        <f aca="false">IF($A44="","",IF(예비품목록!$E41="",0,예비품목록!$E41)+SUMIFS(예비품입출고!$J$3:$J$602,예비품입출고!$C$3:$C$602,$A44))</f>
        <v/>
      </c>
      <c r="G44" s="24" t="str">
        <f aca="false">IF($A44="","",MAX(0,$H44-$F44))</f>
        <v/>
      </c>
      <c r="H44" s="24" t="str">
        <f aca="false">IF($A44="","",IF(예비품목록!$F41="",0,예비품목록!$F41))</f>
        <v/>
      </c>
    </row>
    <row r="45" customFormat="false" ht="15" hidden="false" customHeight="true" outlineLevel="0" collapsed="false">
      <c r="A45" s="15" t="str">
        <f aca="false">IF(예비품목록!$A42="","",예비품목록!$A42)</f>
        <v/>
      </c>
      <c r="B45" s="15" t="str">
        <f aca="false">IF($A45="","",예비품목록!$B42)</f>
        <v/>
      </c>
      <c r="C45" s="15" t="str">
        <f aca="false">IF($A45="","",예비품목록!$D42)</f>
        <v/>
      </c>
      <c r="D45" s="24" t="str">
        <f aca="false">IF($A45="","",SUMIFS(예비품입출고!$F$3:$F$602,예비품입출고!$C$3:$C$602,$A45,예비품입출고!$B$3:$B$602,"입고"))</f>
        <v/>
      </c>
      <c r="E45" s="24" t="str">
        <f aca="false">IF($A45="","",SUMIFS(예비품입출고!$F$3:$F$602,예비품입출고!$C$3:$C$602,$A45,예비품입출고!$B$3:$B$602,"출고"))</f>
        <v/>
      </c>
      <c r="F45" s="24" t="str">
        <f aca="false">IF($A45="","",IF(예비품목록!$E42="",0,예비품목록!$E42)+SUMIFS(예비품입출고!$J$3:$J$602,예비품입출고!$C$3:$C$602,$A45))</f>
        <v/>
      </c>
      <c r="G45" s="24" t="str">
        <f aca="false">IF($A45="","",MAX(0,$H45-$F45))</f>
        <v/>
      </c>
      <c r="H45" s="24" t="str">
        <f aca="false">IF($A45="","",IF(예비품목록!$F42="",0,예비품목록!$F42))</f>
        <v/>
      </c>
    </row>
    <row r="46" customFormat="false" ht="15" hidden="false" customHeight="true" outlineLevel="0" collapsed="false">
      <c r="A46" s="15" t="str">
        <f aca="false">IF(예비품목록!$A43="","",예비품목록!$A43)</f>
        <v/>
      </c>
      <c r="B46" s="15" t="str">
        <f aca="false">IF($A46="","",예비품목록!$B43)</f>
        <v/>
      </c>
      <c r="C46" s="15" t="str">
        <f aca="false">IF($A46="","",예비품목록!$D43)</f>
        <v/>
      </c>
      <c r="D46" s="24" t="str">
        <f aca="false">IF($A46="","",SUMIFS(예비품입출고!$F$3:$F$602,예비품입출고!$C$3:$C$602,$A46,예비품입출고!$B$3:$B$602,"입고"))</f>
        <v/>
      </c>
      <c r="E46" s="24" t="str">
        <f aca="false">IF($A46="","",SUMIFS(예비품입출고!$F$3:$F$602,예비품입출고!$C$3:$C$602,$A46,예비품입출고!$B$3:$B$602,"출고"))</f>
        <v/>
      </c>
      <c r="F46" s="24" t="str">
        <f aca="false">IF($A46="","",IF(예비품목록!$E43="",0,예비품목록!$E43)+SUMIFS(예비품입출고!$J$3:$J$602,예비품입출고!$C$3:$C$602,$A46))</f>
        <v/>
      </c>
      <c r="G46" s="24" t="str">
        <f aca="false">IF($A46="","",MAX(0,$H46-$F46))</f>
        <v/>
      </c>
      <c r="H46" s="24" t="str">
        <f aca="false">IF($A46="","",IF(예비품목록!$F43="",0,예비품목록!$F43))</f>
        <v/>
      </c>
    </row>
    <row r="47" customFormat="false" ht="15" hidden="false" customHeight="true" outlineLevel="0" collapsed="false">
      <c r="A47" s="15" t="str">
        <f aca="false">IF(예비품목록!$A44="","",예비품목록!$A44)</f>
        <v/>
      </c>
      <c r="B47" s="15" t="str">
        <f aca="false">IF($A47="","",예비품목록!$B44)</f>
        <v/>
      </c>
      <c r="C47" s="15" t="str">
        <f aca="false">IF($A47="","",예비품목록!$D44)</f>
        <v/>
      </c>
      <c r="D47" s="24" t="str">
        <f aca="false">IF($A47="","",SUMIFS(예비품입출고!$F$3:$F$602,예비품입출고!$C$3:$C$602,$A47,예비품입출고!$B$3:$B$602,"입고"))</f>
        <v/>
      </c>
      <c r="E47" s="24" t="str">
        <f aca="false">IF($A47="","",SUMIFS(예비품입출고!$F$3:$F$602,예비품입출고!$C$3:$C$602,$A47,예비품입출고!$B$3:$B$602,"출고"))</f>
        <v/>
      </c>
      <c r="F47" s="24" t="str">
        <f aca="false">IF($A47="","",IF(예비품목록!$E44="",0,예비품목록!$E44)+SUMIFS(예비품입출고!$J$3:$J$602,예비품입출고!$C$3:$C$602,$A47))</f>
        <v/>
      </c>
      <c r="G47" s="24" t="str">
        <f aca="false">IF($A47="","",MAX(0,$H47-$F47))</f>
        <v/>
      </c>
      <c r="H47" s="24" t="str">
        <f aca="false">IF($A47="","",IF(예비품목록!$F44="",0,예비품목록!$F44))</f>
        <v/>
      </c>
    </row>
    <row r="48" customFormat="false" ht="15" hidden="false" customHeight="true" outlineLevel="0" collapsed="false">
      <c r="A48" s="15" t="str">
        <f aca="false">IF(예비품목록!$A45="","",예비품목록!$A45)</f>
        <v/>
      </c>
      <c r="B48" s="15" t="str">
        <f aca="false">IF($A48="","",예비품목록!$B45)</f>
        <v/>
      </c>
      <c r="C48" s="15" t="str">
        <f aca="false">IF($A48="","",예비품목록!$D45)</f>
        <v/>
      </c>
      <c r="D48" s="24" t="str">
        <f aca="false">IF($A48="","",SUMIFS(예비품입출고!$F$3:$F$602,예비품입출고!$C$3:$C$602,$A48,예비품입출고!$B$3:$B$602,"입고"))</f>
        <v/>
      </c>
      <c r="E48" s="24" t="str">
        <f aca="false">IF($A48="","",SUMIFS(예비품입출고!$F$3:$F$602,예비품입출고!$C$3:$C$602,$A48,예비품입출고!$B$3:$B$602,"출고"))</f>
        <v/>
      </c>
      <c r="F48" s="24" t="str">
        <f aca="false">IF($A48="","",IF(예비품목록!$E45="",0,예비품목록!$E45)+SUMIFS(예비품입출고!$J$3:$J$602,예비품입출고!$C$3:$C$602,$A48))</f>
        <v/>
      </c>
      <c r="G48" s="24" t="str">
        <f aca="false">IF($A48="","",MAX(0,$H48-$F48))</f>
        <v/>
      </c>
      <c r="H48" s="24" t="str">
        <f aca="false">IF($A48="","",IF(예비품목록!$F45="",0,예비품목록!$F45))</f>
        <v/>
      </c>
    </row>
    <row r="49" customFormat="false" ht="15" hidden="false" customHeight="true" outlineLevel="0" collapsed="false">
      <c r="A49" s="15" t="str">
        <f aca="false">IF(예비품목록!$A46="","",예비품목록!$A46)</f>
        <v/>
      </c>
      <c r="B49" s="15" t="str">
        <f aca="false">IF($A49="","",예비품목록!$B46)</f>
        <v/>
      </c>
      <c r="C49" s="15" t="str">
        <f aca="false">IF($A49="","",예비품목록!$D46)</f>
        <v/>
      </c>
      <c r="D49" s="24" t="str">
        <f aca="false">IF($A49="","",SUMIFS(예비품입출고!$F$3:$F$602,예비품입출고!$C$3:$C$602,$A49,예비품입출고!$B$3:$B$602,"입고"))</f>
        <v/>
      </c>
      <c r="E49" s="24" t="str">
        <f aca="false">IF($A49="","",SUMIFS(예비품입출고!$F$3:$F$602,예비품입출고!$C$3:$C$602,$A49,예비품입출고!$B$3:$B$602,"출고"))</f>
        <v/>
      </c>
      <c r="F49" s="24" t="str">
        <f aca="false">IF($A49="","",IF(예비품목록!$E46="",0,예비품목록!$E46)+SUMIFS(예비품입출고!$J$3:$J$602,예비품입출고!$C$3:$C$602,$A49))</f>
        <v/>
      </c>
      <c r="G49" s="24" t="str">
        <f aca="false">IF($A49="","",MAX(0,$H49-$F49))</f>
        <v/>
      </c>
      <c r="H49" s="24" t="str">
        <f aca="false">IF($A49="","",IF(예비품목록!$F46="",0,예비품목록!$F46))</f>
        <v/>
      </c>
    </row>
    <row r="50" customFormat="false" ht="15" hidden="false" customHeight="true" outlineLevel="0" collapsed="false">
      <c r="A50" s="15" t="str">
        <f aca="false">IF(예비품목록!$A47="","",예비품목록!$A47)</f>
        <v/>
      </c>
      <c r="B50" s="15" t="str">
        <f aca="false">IF($A50="","",예비품목록!$B47)</f>
        <v/>
      </c>
      <c r="C50" s="15" t="str">
        <f aca="false">IF($A50="","",예비품목록!$D47)</f>
        <v/>
      </c>
      <c r="D50" s="24" t="str">
        <f aca="false">IF($A50="","",SUMIFS(예비품입출고!$F$3:$F$602,예비품입출고!$C$3:$C$602,$A50,예비품입출고!$B$3:$B$602,"입고"))</f>
        <v/>
      </c>
      <c r="E50" s="24" t="str">
        <f aca="false">IF($A50="","",SUMIFS(예비품입출고!$F$3:$F$602,예비품입출고!$C$3:$C$602,$A50,예비품입출고!$B$3:$B$602,"출고"))</f>
        <v/>
      </c>
      <c r="F50" s="24" t="str">
        <f aca="false">IF($A50="","",IF(예비품목록!$E47="",0,예비품목록!$E47)+SUMIFS(예비품입출고!$J$3:$J$602,예비품입출고!$C$3:$C$602,$A50))</f>
        <v/>
      </c>
      <c r="G50" s="24" t="str">
        <f aca="false">IF($A50="","",MAX(0,$H50-$F50))</f>
        <v/>
      </c>
      <c r="H50" s="24" t="str">
        <f aca="false">IF($A50="","",IF(예비품목록!$F47="",0,예비품목록!$F47))</f>
        <v/>
      </c>
    </row>
    <row r="51" customFormat="false" ht="15" hidden="false" customHeight="true" outlineLevel="0" collapsed="false">
      <c r="A51" s="15" t="str">
        <f aca="false">IF(예비품목록!$A48="","",예비품목록!$A48)</f>
        <v/>
      </c>
      <c r="B51" s="15" t="str">
        <f aca="false">IF($A51="","",예비품목록!$B48)</f>
        <v/>
      </c>
      <c r="C51" s="15" t="str">
        <f aca="false">IF($A51="","",예비품목록!$D48)</f>
        <v/>
      </c>
      <c r="D51" s="24" t="str">
        <f aca="false">IF($A51="","",SUMIFS(예비품입출고!$F$3:$F$602,예비품입출고!$C$3:$C$602,$A51,예비품입출고!$B$3:$B$602,"입고"))</f>
        <v/>
      </c>
      <c r="E51" s="24" t="str">
        <f aca="false">IF($A51="","",SUMIFS(예비품입출고!$F$3:$F$602,예비품입출고!$C$3:$C$602,$A51,예비품입출고!$B$3:$B$602,"출고"))</f>
        <v/>
      </c>
      <c r="F51" s="24" t="str">
        <f aca="false">IF($A51="","",IF(예비품목록!$E48="",0,예비품목록!$E48)+SUMIFS(예비품입출고!$J$3:$J$602,예비품입출고!$C$3:$C$602,$A51))</f>
        <v/>
      </c>
      <c r="G51" s="24" t="str">
        <f aca="false">IF($A51="","",MAX(0,$H51-$F51))</f>
        <v/>
      </c>
      <c r="H51" s="24" t="str">
        <f aca="false">IF($A51="","",IF(예비품목록!$F48="",0,예비품목록!$F48))</f>
        <v/>
      </c>
    </row>
    <row r="52" customFormat="false" ht="15" hidden="false" customHeight="true" outlineLevel="0" collapsed="false">
      <c r="A52" s="15" t="str">
        <f aca="false">IF(예비품목록!$A49="","",예비품목록!$A49)</f>
        <v/>
      </c>
      <c r="B52" s="15" t="str">
        <f aca="false">IF($A52="","",예비품목록!$B49)</f>
        <v/>
      </c>
      <c r="C52" s="15" t="str">
        <f aca="false">IF($A52="","",예비품목록!$D49)</f>
        <v/>
      </c>
      <c r="D52" s="24" t="str">
        <f aca="false">IF($A52="","",SUMIFS(예비품입출고!$F$3:$F$602,예비품입출고!$C$3:$C$602,$A52,예비품입출고!$B$3:$B$602,"입고"))</f>
        <v/>
      </c>
      <c r="E52" s="24" t="str">
        <f aca="false">IF($A52="","",SUMIFS(예비품입출고!$F$3:$F$602,예비품입출고!$C$3:$C$602,$A52,예비품입출고!$B$3:$B$602,"출고"))</f>
        <v/>
      </c>
      <c r="F52" s="24" t="str">
        <f aca="false">IF($A52="","",IF(예비품목록!$E49="",0,예비품목록!$E49)+SUMIFS(예비품입출고!$J$3:$J$602,예비품입출고!$C$3:$C$602,$A52))</f>
        <v/>
      </c>
      <c r="G52" s="24" t="str">
        <f aca="false">IF($A52="","",MAX(0,$H52-$F52))</f>
        <v/>
      </c>
      <c r="H52" s="24" t="str">
        <f aca="false">IF($A52="","",IF(예비품목록!$F49="",0,예비품목록!$F49))</f>
        <v/>
      </c>
    </row>
    <row r="53" customFormat="false" ht="15" hidden="false" customHeight="true" outlineLevel="0" collapsed="false">
      <c r="A53" s="15" t="str">
        <f aca="false">IF(예비품목록!$A50="","",예비품목록!$A50)</f>
        <v/>
      </c>
      <c r="B53" s="15" t="str">
        <f aca="false">IF($A53="","",예비품목록!$B50)</f>
        <v/>
      </c>
      <c r="C53" s="15" t="str">
        <f aca="false">IF($A53="","",예비품목록!$D50)</f>
        <v/>
      </c>
      <c r="D53" s="24" t="str">
        <f aca="false">IF($A53="","",SUMIFS(예비품입출고!$F$3:$F$602,예비품입출고!$C$3:$C$602,$A53,예비품입출고!$B$3:$B$602,"입고"))</f>
        <v/>
      </c>
      <c r="E53" s="24" t="str">
        <f aca="false">IF($A53="","",SUMIFS(예비품입출고!$F$3:$F$602,예비품입출고!$C$3:$C$602,$A53,예비품입출고!$B$3:$B$602,"출고"))</f>
        <v/>
      </c>
      <c r="F53" s="24" t="str">
        <f aca="false">IF($A53="","",IF(예비품목록!$E50="",0,예비품목록!$E50)+SUMIFS(예비품입출고!$J$3:$J$602,예비품입출고!$C$3:$C$602,$A53))</f>
        <v/>
      </c>
      <c r="G53" s="24" t="str">
        <f aca="false">IF($A53="","",MAX(0,$H53-$F53))</f>
        <v/>
      </c>
      <c r="H53" s="24" t="str">
        <f aca="false">IF($A53="","",IF(예비품목록!$F50="",0,예비품목록!$F50))</f>
        <v/>
      </c>
    </row>
    <row r="54" customFormat="false" ht="15" hidden="false" customHeight="true" outlineLevel="0" collapsed="false">
      <c r="A54" s="15" t="str">
        <f aca="false">IF(예비품목록!$A51="","",예비품목록!$A51)</f>
        <v/>
      </c>
      <c r="B54" s="15" t="str">
        <f aca="false">IF($A54="","",예비품목록!$B51)</f>
        <v/>
      </c>
      <c r="C54" s="15" t="str">
        <f aca="false">IF($A54="","",예비품목록!$D51)</f>
        <v/>
      </c>
      <c r="D54" s="24" t="str">
        <f aca="false">IF($A54="","",SUMIFS(예비품입출고!$F$3:$F$602,예비품입출고!$C$3:$C$602,$A54,예비품입출고!$B$3:$B$602,"입고"))</f>
        <v/>
      </c>
      <c r="E54" s="24" t="str">
        <f aca="false">IF($A54="","",SUMIFS(예비품입출고!$F$3:$F$602,예비품입출고!$C$3:$C$602,$A54,예비품입출고!$B$3:$B$602,"출고"))</f>
        <v/>
      </c>
      <c r="F54" s="24" t="str">
        <f aca="false">IF($A54="","",IF(예비품목록!$E51="",0,예비품목록!$E51)+SUMIFS(예비품입출고!$J$3:$J$602,예비품입출고!$C$3:$C$602,$A54))</f>
        <v/>
      </c>
      <c r="G54" s="24" t="str">
        <f aca="false">IF($A54="","",MAX(0,$H54-$F54))</f>
        <v/>
      </c>
      <c r="H54" s="24" t="str">
        <f aca="false">IF($A54="","",IF(예비품목록!$F51="",0,예비품목록!$F51))</f>
        <v/>
      </c>
    </row>
    <row r="55" customFormat="false" ht="15" hidden="false" customHeight="true" outlineLevel="0" collapsed="false">
      <c r="A55" s="15" t="str">
        <f aca="false">IF(예비품목록!$A52="","",예비품목록!$A52)</f>
        <v/>
      </c>
      <c r="B55" s="15" t="str">
        <f aca="false">IF($A55="","",예비품목록!$B52)</f>
        <v/>
      </c>
      <c r="C55" s="15" t="str">
        <f aca="false">IF($A55="","",예비품목록!$D52)</f>
        <v/>
      </c>
      <c r="D55" s="24" t="str">
        <f aca="false">IF($A55="","",SUMIFS(예비품입출고!$F$3:$F$602,예비품입출고!$C$3:$C$602,$A55,예비품입출고!$B$3:$B$602,"입고"))</f>
        <v/>
      </c>
      <c r="E55" s="24" t="str">
        <f aca="false">IF($A55="","",SUMIFS(예비품입출고!$F$3:$F$602,예비품입출고!$C$3:$C$602,$A55,예비품입출고!$B$3:$B$602,"출고"))</f>
        <v/>
      </c>
      <c r="F55" s="24" t="str">
        <f aca="false">IF($A55="","",IF(예비품목록!$E52="",0,예비품목록!$E52)+SUMIFS(예비품입출고!$J$3:$J$602,예비품입출고!$C$3:$C$602,$A55))</f>
        <v/>
      </c>
      <c r="G55" s="24" t="str">
        <f aca="false">IF($A55="","",MAX(0,$H55-$F55))</f>
        <v/>
      </c>
      <c r="H55" s="24" t="str">
        <f aca="false">IF($A55="","",IF(예비품목록!$F52="",0,예비품목록!$F52))</f>
        <v/>
      </c>
    </row>
    <row r="56" customFormat="false" ht="15" hidden="false" customHeight="true" outlineLevel="0" collapsed="false">
      <c r="A56" s="15" t="str">
        <f aca="false">IF(예비품목록!$A53="","",예비품목록!$A53)</f>
        <v/>
      </c>
      <c r="B56" s="15" t="str">
        <f aca="false">IF($A56="","",예비품목록!$B53)</f>
        <v/>
      </c>
      <c r="C56" s="15" t="str">
        <f aca="false">IF($A56="","",예비품목록!$D53)</f>
        <v/>
      </c>
      <c r="D56" s="24" t="str">
        <f aca="false">IF($A56="","",SUMIFS(예비품입출고!$F$3:$F$602,예비품입출고!$C$3:$C$602,$A56,예비품입출고!$B$3:$B$602,"입고"))</f>
        <v/>
      </c>
      <c r="E56" s="24" t="str">
        <f aca="false">IF($A56="","",SUMIFS(예비품입출고!$F$3:$F$602,예비품입출고!$C$3:$C$602,$A56,예비품입출고!$B$3:$B$602,"출고"))</f>
        <v/>
      </c>
      <c r="F56" s="24" t="str">
        <f aca="false">IF($A56="","",IF(예비품목록!$E53="",0,예비품목록!$E53)+SUMIFS(예비품입출고!$J$3:$J$602,예비품입출고!$C$3:$C$602,$A56))</f>
        <v/>
      </c>
      <c r="G56" s="24" t="str">
        <f aca="false">IF($A56="","",MAX(0,$H56-$F56))</f>
        <v/>
      </c>
      <c r="H56" s="24" t="str">
        <f aca="false">IF($A56="","",IF(예비품목록!$F53="",0,예비품목록!$F53))</f>
        <v/>
      </c>
    </row>
    <row r="57" customFormat="false" ht="15" hidden="false" customHeight="true" outlineLevel="0" collapsed="false">
      <c r="A57" s="15" t="str">
        <f aca="false">IF(예비품목록!$A54="","",예비품목록!$A54)</f>
        <v/>
      </c>
      <c r="B57" s="15" t="str">
        <f aca="false">IF($A57="","",예비품목록!$B54)</f>
        <v/>
      </c>
      <c r="C57" s="15" t="str">
        <f aca="false">IF($A57="","",예비품목록!$D54)</f>
        <v/>
      </c>
      <c r="D57" s="24" t="str">
        <f aca="false">IF($A57="","",SUMIFS(예비품입출고!$F$3:$F$602,예비품입출고!$C$3:$C$602,$A57,예비품입출고!$B$3:$B$602,"입고"))</f>
        <v/>
      </c>
      <c r="E57" s="24" t="str">
        <f aca="false">IF($A57="","",SUMIFS(예비품입출고!$F$3:$F$602,예비품입출고!$C$3:$C$602,$A57,예비품입출고!$B$3:$B$602,"출고"))</f>
        <v/>
      </c>
      <c r="F57" s="24" t="str">
        <f aca="false">IF($A57="","",IF(예비품목록!$E54="",0,예비품목록!$E54)+SUMIFS(예비품입출고!$J$3:$J$602,예비품입출고!$C$3:$C$602,$A57))</f>
        <v/>
      </c>
      <c r="G57" s="24" t="str">
        <f aca="false">IF($A57="","",MAX(0,$H57-$F57))</f>
        <v/>
      </c>
      <c r="H57" s="24" t="str">
        <f aca="false">IF($A57="","",IF(예비품목록!$F54="",0,예비품목록!$F54))</f>
        <v/>
      </c>
    </row>
    <row r="58" customFormat="false" ht="15" hidden="false" customHeight="true" outlineLevel="0" collapsed="false">
      <c r="A58" s="15" t="str">
        <f aca="false">IF(예비품목록!$A55="","",예비품목록!$A55)</f>
        <v/>
      </c>
      <c r="B58" s="15" t="str">
        <f aca="false">IF($A58="","",예비품목록!$B55)</f>
        <v/>
      </c>
      <c r="C58" s="15" t="str">
        <f aca="false">IF($A58="","",예비품목록!$D55)</f>
        <v/>
      </c>
      <c r="D58" s="24" t="str">
        <f aca="false">IF($A58="","",SUMIFS(예비품입출고!$F$3:$F$602,예비품입출고!$C$3:$C$602,$A58,예비품입출고!$B$3:$B$602,"입고"))</f>
        <v/>
      </c>
      <c r="E58" s="24" t="str">
        <f aca="false">IF($A58="","",SUMIFS(예비품입출고!$F$3:$F$602,예비품입출고!$C$3:$C$602,$A58,예비품입출고!$B$3:$B$602,"출고"))</f>
        <v/>
      </c>
      <c r="F58" s="24" t="str">
        <f aca="false">IF($A58="","",IF(예비품목록!$E55="",0,예비품목록!$E55)+SUMIFS(예비품입출고!$J$3:$J$602,예비품입출고!$C$3:$C$602,$A58))</f>
        <v/>
      </c>
      <c r="G58" s="24" t="str">
        <f aca="false">IF($A58="","",MAX(0,$H58-$F58))</f>
        <v/>
      </c>
      <c r="H58" s="24" t="str">
        <f aca="false">IF($A58="","",IF(예비품목록!$F55="",0,예비품목록!$F55))</f>
        <v/>
      </c>
    </row>
    <row r="59" customFormat="false" ht="15" hidden="false" customHeight="true" outlineLevel="0" collapsed="false">
      <c r="A59" s="15" t="str">
        <f aca="false">IF(예비품목록!$A56="","",예비품목록!$A56)</f>
        <v/>
      </c>
      <c r="B59" s="15" t="str">
        <f aca="false">IF($A59="","",예비품목록!$B56)</f>
        <v/>
      </c>
      <c r="C59" s="15" t="str">
        <f aca="false">IF($A59="","",예비품목록!$D56)</f>
        <v/>
      </c>
      <c r="D59" s="24" t="str">
        <f aca="false">IF($A59="","",SUMIFS(예비품입출고!$F$3:$F$602,예비품입출고!$C$3:$C$602,$A59,예비품입출고!$B$3:$B$602,"입고"))</f>
        <v/>
      </c>
      <c r="E59" s="24" t="str">
        <f aca="false">IF($A59="","",SUMIFS(예비품입출고!$F$3:$F$602,예비품입출고!$C$3:$C$602,$A59,예비품입출고!$B$3:$B$602,"출고"))</f>
        <v/>
      </c>
      <c r="F59" s="24" t="str">
        <f aca="false">IF($A59="","",IF(예비품목록!$E56="",0,예비품목록!$E56)+SUMIFS(예비품입출고!$J$3:$J$602,예비품입출고!$C$3:$C$602,$A59))</f>
        <v/>
      </c>
      <c r="G59" s="24" t="str">
        <f aca="false">IF($A59="","",MAX(0,$H59-$F59))</f>
        <v/>
      </c>
      <c r="H59" s="24" t="str">
        <f aca="false">IF($A59="","",IF(예비품목록!$F56="",0,예비품목록!$F56))</f>
        <v/>
      </c>
    </row>
    <row r="60" customFormat="false" ht="15" hidden="false" customHeight="true" outlineLevel="0" collapsed="false">
      <c r="A60" s="15" t="str">
        <f aca="false">IF(예비품목록!$A57="","",예비품목록!$A57)</f>
        <v/>
      </c>
      <c r="B60" s="15" t="str">
        <f aca="false">IF($A60="","",예비품목록!$B57)</f>
        <v/>
      </c>
      <c r="C60" s="15" t="str">
        <f aca="false">IF($A60="","",예비품목록!$D57)</f>
        <v/>
      </c>
      <c r="D60" s="24" t="str">
        <f aca="false">IF($A60="","",SUMIFS(예비품입출고!$F$3:$F$602,예비품입출고!$C$3:$C$602,$A60,예비품입출고!$B$3:$B$602,"입고"))</f>
        <v/>
      </c>
      <c r="E60" s="24" t="str">
        <f aca="false">IF($A60="","",SUMIFS(예비품입출고!$F$3:$F$602,예비품입출고!$C$3:$C$602,$A60,예비품입출고!$B$3:$B$602,"출고"))</f>
        <v/>
      </c>
      <c r="F60" s="24" t="str">
        <f aca="false">IF($A60="","",IF(예비품목록!$E57="",0,예비품목록!$E57)+SUMIFS(예비품입출고!$J$3:$J$602,예비품입출고!$C$3:$C$602,$A60))</f>
        <v/>
      </c>
      <c r="G60" s="24" t="str">
        <f aca="false">IF($A60="","",MAX(0,$H60-$F60))</f>
        <v/>
      </c>
      <c r="H60" s="24" t="str">
        <f aca="false">IF($A60="","",IF(예비품목록!$F57="",0,예비품목록!$F57))</f>
        <v/>
      </c>
    </row>
    <row r="61" customFormat="false" ht="15" hidden="false" customHeight="true" outlineLevel="0" collapsed="false">
      <c r="A61" s="15" t="str">
        <f aca="false">IF(예비품목록!$A58="","",예비품목록!$A58)</f>
        <v/>
      </c>
      <c r="B61" s="15" t="str">
        <f aca="false">IF($A61="","",예비품목록!$B58)</f>
        <v/>
      </c>
      <c r="C61" s="15" t="str">
        <f aca="false">IF($A61="","",예비품목록!$D58)</f>
        <v/>
      </c>
      <c r="D61" s="24" t="str">
        <f aca="false">IF($A61="","",SUMIFS(예비품입출고!$F$3:$F$602,예비품입출고!$C$3:$C$602,$A61,예비품입출고!$B$3:$B$602,"입고"))</f>
        <v/>
      </c>
      <c r="E61" s="24" t="str">
        <f aca="false">IF($A61="","",SUMIFS(예비품입출고!$F$3:$F$602,예비품입출고!$C$3:$C$602,$A61,예비품입출고!$B$3:$B$602,"출고"))</f>
        <v/>
      </c>
      <c r="F61" s="24" t="str">
        <f aca="false">IF($A61="","",IF(예비품목록!$E58="",0,예비품목록!$E58)+SUMIFS(예비품입출고!$J$3:$J$602,예비품입출고!$C$3:$C$602,$A61))</f>
        <v/>
      </c>
      <c r="G61" s="24" t="str">
        <f aca="false">IF($A61="","",MAX(0,$H61-$F61))</f>
        <v/>
      </c>
      <c r="H61" s="24" t="str">
        <f aca="false">IF($A61="","",IF(예비품목록!$F58="",0,예비품목록!$F58))</f>
        <v/>
      </c>
    </row>
    <row r="62" customFormat="false" ht="15" hidden="false" customHeight="true" outlineLevel="0" collapsed="false">
      <c r="A62" s="15" t="str">
        <f aca="false">IF(예비품목록!$A59="","",예비품목록!$A59)</f>
        <v/>
      </c>
      <c r="B62" s="15" t="str">
        <f aca="false">IF($A62="","",예비품목록!$B59)</f>
        <v/>
      </c>
      <c r="C62" s="15" t="str">
        <f aca="false">IF($A62="","",예비품목록!$D59)</f>
        <v/>
      </c>
      <c r="D62" s="24" t="str">
        <f aca="false">IF($A62="","",SUMIFS(예비품입출고!$F$3:$F$602,예비품입출고!$C$3:$C$602,$A62,예비품입출고!$B$3:$B$602,"입고"))</f>
        <v/>
      </c>
      <c r="E62" s="24" t="str">
        <f aca="false">IF($A62="","",SUMIFS(예비품입출고!$F$3:$F$602,예비품입출고!$C$3:$C$602,$A62,예비품입출고!$B$3:$B$602,"출고"))</f>
        <v/>
      </c>
      <c r="F62" s="24" t="str">
        <f aca="false">IF($A62="","",IF(예비품목록!$E59="",0,예비품목록!$E59)+SUMIFS(예비품입출고!$J$3:$J$602,예비품입출고!$C$3:$C$602,$A62))</f>
        <v/>
      </c>
      <c r="G62" s="24" t="str">
        <f aca="false">IF($A62="","",MAX(0,$H62-$F62))</f>
        <v/>
      </c>
      <c r="H62" s="24" t="str">
        <f aca="false">IF($A62="","",IF(예비품목록!$F59="",0,예비품목록!$F59))</f>
        <v/>
      </c>
    </row>
    <row r="63" customFormat="false" ht="15" hidden="false" customHeight="true" outlineLevel="0" collapsed="false">
      <c r="A63" s="15" t="str">
        <f aca="false">IF(예비품목록!$A60="","",예비품목록!$A60)</f>
        <v/>
      </c>
      <c r="B63" s="15" t="str">
        <f aca="false">IF($A63="","",예비품목록!$B60)</f>
        <v/>
      </c>
      <c r="C63" s="15" t="str">
        <f aca="false">IF($A63="","",예비품목록!$D60)</f>
        <v/>
      </c>
      <c r="D63" s="24" t="str">
        <f aca="false">IF($A63="","",SUMIFS(예비품입출고!$F$3:$F$602,예비품입출고!$C$3:$C$602,$A63,예비품입출고!$B$3:$B$602,"입고"))</f>
        <v/>
      </c>
      <c r="E63" s="24" t="str">
        <f aca="false">IF($A63="","",SUMIFS(예비품입출고!$F$3:$F$602,예비품입출고!$C$3:$C$602,$A63,예비품입출고!$B$3:$B$602,"출고"))</f>
        <v/>
      </c>
      <c r="F63" s="24" t="str">
        <f aca="false">IF($A63="","",IF(예비품목록!$E60="",0,예비품목록!$E60)+SUMIFS(예비품입출고!$J$3:$J$602,예비품입출고!$C$3:$C$602,$A63))</f>
        <v/>
      </c>
      <c r="G63" s="24" t="str">
        <f aca="false">IF($A63="","",MAX(0,$H63-$F63))</f>
        <v/>
      </c>
      <c r="H63" s="24" t="str">
        <f aca="false">IF($A63="","",IF(예비품목록!$F60="",0,예비품목록!$F60))</f>
        <v/>
      </c>
    </row>
    <row r="64" customFormat="false" ht="15" hidden="false" customHeight="true" outlineLevel="0" collapsed="false">
      <c r="A64" s="15" t="str">
        <f aca="false">IF(예비품목록!$A61="","",예비품목록!$A61)</f>
        <v/>
      </c>
      <c r="B64" s="15" t="str">
        <f aca="false">IF($A64="","",예비품목록!$B61)</f>
        <v/>
      </c>
      <c r="C64" s="15" t="str">
        <f aca="false">IF($A64="","",예비품목록!$D61)</f>
        <v/>
      </c>
      <c r="D64" s="24" t="str">
        <f aca="false">IF($A64="","",SUMIFS(예비품입출고!$F$3:$F$602,예비품입출고!$C$3:$C$602,$A64,예비품입출고!$B$3:$B$602,"입고"))</f>
        <v/>
      </c>
      <c r="E64" s="24" t="str">
        <f aca="false">IF($A64="","",SUMIFS(예비품입출고!$F$3:$F$602,예비품입출고!$C$3:$C$602,$A64,예비품입출고!$B$3:$B$602,"출고"))</f>
        <v/>
      </c>
      <c r="F64" s="24" t="str">
        <f aca="false">IF($A64="","",IF(예비품목록!$E61="",0,예비품목록!$E61)+SUMIFS(예비품입출고!$J$3:$J$602,예비품입출고!$C$3:$C$602,$A64))</f>
        <v/>
      </c>
      <c r="G64" s="24" t="str">
        <f aca="false">IF($A64="","",MAX(0,$H64-$F64))</f>
        <v/>
      </c>
      <c r="H64" s="24" t="str">
        <f aca="false">IF($A64="","",IF(예비품목록!$F61="",0,예비품목록!$F61))</f>
        <v/>
      </c>
    </row>
    <row r="65" customFormat="false" ht="15" hidden="false" customHeight="true" outlineLevel="0" collapsed="false">
      <c r="A65" s="15" t="str">
        <f aca="false">IF(예비품목록!$A62="","",예비품목록!$A62)</f>
        <v/>
      </c>
      <c r="B65" s="15" t="str">
        <f aca="false">IF($A65="","",예비품목록!$B62)</f>
        <v/>
      </c>
      <c r="C65" s="15" t="str">
        <f aca="false">IF($A65="","",예비품목록!$D62)</f>
        <v/>
      </c>
      <c r="D65" s="24" t="str">
        <f aca="false">IF($A65="","",SUMIFS(예비품입출고!$F$3:$F$602,예비품입출고!$C$3:$C$602,$A65,예비품입출고!$B$3:$B$602,"입고"))</f>
        <v/>
      </c>
      <c r="E65" s="24" t="str">
        <f aca="false">IF($A65="","",SUMIFS(예비품입출고!$F$3:$F$602,예비품입출고!$C$3:$C$602,$A65,예비품입출고!$B$3:$B$602,"출고"))</f>
        <v/>
      </c>
      <c r="F65" s="24" t="str">
        <f aca="false">IF($A65="","",IF(예비품목록!$E62="",0,예비품목록!$E62)+SUMIFS(예비품입출고!$J$3:$J$602,예비품입출고!$C$3:$C$602,$A65))</f>
        <v/>
      </c>
      <c r="G65" s="24" t="str">
        <f aca="false">IF($A65="","",MAX(0,$H65-$F65))</f>
        <v/>
      </c>
      <c r="H65" s="24" t="str">
        <f aca="false">IF($A65="","",IF(예비품목록!$F62="",0,예비품목록!$F62))</f>
        <v/>
      </c>
    </row>
    <row r="66" customFormat="false" ht="15" hidden="false" customHeight="true" outlineLevel="0" collapsed="false">
      <c r="A66" s="15" t="str">
        <f aca="false">IF(예비품목록!$A63="","",예비품목록!$A63)</f>
        <v/>
      </c>
      <c r="B66" s="15" t="str">
        <f aca="false">IF($A66="","",예비품목록!$B63)</f>
        <v/>
      </c>
      <c r="C66" s="15" t="str">
        <f aca="false">IF($A66="","",예비품목록!$D63)</f>
        <v/>
      </c>
      <c r="D66" s="24" t="str">
        <f aca="false">IF($A66="","",SUMIFS(예비품입출고!$F$3:$F$602,예비품입출고!$C$3:$C$602,$A66,예비품입출고!$B$3:$B$602,"입고"))</f>
        <v/>
      </c>
      <c r="E66" s="24" t="str">
        <f aca="false">IF($A66="","",SUMIFS(예비품입출고!$F$3:$F$602,예비품입출고!$C$3:$C$602,$A66,예비품입출고!$B$3:$B$602,"출고"))</f>
        <v/>
      </c>
      <c r="F66" s="24" t="str">
        <f aca="false">IF($A66="","",IF(예비품목록!$E63="",0,예비품목록!$E63)+SUMIFS(예비품입출고!$J$3:$J$602,예비품입출고!$C$3:$C$602,$A66))</f>
        <v/>
      </c>
      <c r="G66" s="24" t="str">
        <f aca="false">IF($A66="","",MAX(0,$H66-$F66))</f>
        <v/>
      </c>
      <c r="H66" s="24" t="str">
        <f aca="false">IF($A66="","",IF(예비품목록!$F63="",0,예비품목록!$F63))</f>
        <v/>
      </c>
    </row>
    <row r="67" customFormat="false" ht="15" hidden="false" customHeight="true" outlineLevel="0" collapsed="false">
      <c r="A67" s="15" t="str">
        <f aca="false">IF(예비품목록!$A64="","",예비품목록!$A64)</f>
        <v/>
      </c>
      <c r="B67" s="15" t="str">
        <f aca="false">IF($A67="","",예비품목록!$B64)</f>
        <v/>
      </c>
      <c r="C67" s="15" t="str">
        <f aca="false">IF($A67="","",예비품목록!$D64)</f>
        <v/>
      </c>
      <c r="D67" s="24" t="str">
        <f aca="false">IF($A67="","",SUMIFS(예비품입출고!$F$3:$F$602,예비품입출고!$C$3:$C$602,$A67,예비품입출고!$B$3:$B$602,"입고"))</f>
        <v/>
      </c>
      <c r="E67" s="24" t="str">
        <f aca="false">IF($A67="","",SUMIFS(예비품입출고!$F$3:$F$602,예비품입출고!$C$3:$C$602,$A67,예비품입출고!$B$3:$B$602,"출고"))</f>
        <v/>
      </c>
      <c r="F67" s="24" t="str">
        <f aca="false">IF($A67="","",IF(예비품목록!$E64="",0,예비품목록!$E64)+SUMIFS(예비품입출고!$J$3:$J$602,예비품입출고!$C$3:$C$602,$A67))</f>
        <v/>
      </c>
      <c r="G67" s="24" t="str">
        <f aca="false">IF($A67="","",MAX(0,$H67-$F67))</f>
        <v/>
      </c>
      <c r="H67" s="24" t="str">
        <f aca="false">IF($A67="","",IF(예비품목록!$F64="",0,예비품목록!$F64))</f>
        <v/>
      </c>
    </row>
    <row r="68" customFormat="false" ht="15" hidden="false" customHeight="true" outlineLevel="0" collapsed="false">
      <c r="A68" s="15" t="str">
        <f aca="false">IF(예비품목록!$A65="","",예비품목록!$A65)</f>
        <v/>
      </c>
      <c r="B68" s="15" t="str">
        <f aca="false">IF($A68="","",예비품목록!$B65)</f>
        <v/>
      </c>
      <c r="C68" s="15" t="str">
        <f aca="false">IF($A68="","",예비품목록!$D65)</f>
        <v/>
      </c>
      <c r="D68" s="24" t="str">
        <f aca="false">IF($A68="","",SUMIFS(예비품입출고!$F$3:$F$602,예비품입출고!$C$3:$C$602,$A68,예비품입출고!$B$3:$B$602,"입고"))</f>
        <v/>
      </c>
      <c r="E68" s="24" t="str">
        <f aca="false">IF($A68="","",SUMIFS(예비품입출고!$F$3:$F$602,예비품입출고!$C$3:$C$602,$A68,예비품입출고!$B$3:$B$602,"출고"))</f>
        <v/>
      </c>
      <c r="F68" s="24" t="str">
        <f aca="false">IF($A68="","",IF(예비품목록!$E65="",0,예비품목록!$E65)+SUMIFS(예비품입출고!$J$3:$J$602,예비품입출고!$C$3:$C$602,$A68))</f>
        <v/>
      </c>
      <c r="G68" s="24" t="str">
        <f aca="false">IF($A68="","",MAX(0,$H68-$F68))</f>
        <v/>
      </c>
      <c r="H68" s="24" t="str">
        <f aca="false">IF($A68="","",IF(예비품목록!$F65="",0,예비품목록!$F65))</f>
        <v/>
      </c>
    </row>
    <row r="69" customFormat="false" ht="15" hidden="false" customHeight="true" outlineLevel="0" collapsed="false">
      <c r="A69" s="15" t="str">
        <f aca="false">IF(예비품목록!$A66="","",예비품목록!$A66)</f>
        <v/>
      </c>
      <c r="B69" s="15" t="str">
        <f aca="false">IF($A69="","",예비품목록!$B66)</f>
        <v/>
      </c>
      <c r="C69" s="15" t="str">
        <f aca="false">IF($A69="","",예비품목록!$D66)</f>
        <v/>
      </c>
      <c r="D69" s="24" t="str">
        <f aca="false">IF($A69="","",SUMIFS(예비품입출고!$F$3:$F$602,예비품입출고!$C$3:$C$602,$A69,예비품입출고!$B$3:$B$602,"입고"))</f>
        <v/>
      </c>
      <c r="E69" s="24" t="str">
        <f aca="false">IF($A69="","",SUMIFS(예비품입출고!$F$3:$F$602,예비품입출고!$C$3:$C$602,$A69,예비품입출고!$B$3:$B$602,"출고"))</f>
        <v/>
      </c>
      <c r="F69" s="24" t="str">
        <f aca="false">IF($A69="","",IF(예비품목록!$E66="",0,예비품목록!$E66)+SUMIFS(예비품입출고!$J$3:$J$602,예비품입출고!$C$3:$C$602,$A69))</f>
        <v/>
      </c>
      <c r="G69" s="24" t="str">
        <f aca="false">IF($A69="","",MAX(0,$H69-$F69))</f>
        <v/>
      </c>
      <c r="H69" s="24" t="str">
        <f aca="false">IF($A69="","",IF(예비품목록!$F66="",0,예비품목록!$F66))</f>
        <v/>
      </c>
    </row>
    <row r="70" customFormat="false" ht="15" hidden="false" customHeight="true" outlineLevel="0" collapsed="false">
      <c r="A70" s="15" t="str">
        <f aca="false">IF(예비품목록!$A67="","",예비품목록!$A67)</f>
        <v/>
      </c>
      <c r="B70" s="15" t="str">
        <f aca="false">IF($A70="","",예비품목록!$B67)</f>
        <v/>
      </c>
      <c r="C70" s="15" t="str">
        <f aca="false">IF($A70="","",예비품목록!$D67)</f>
        <v/>
      </c>
      <c r="D70" s="24" t="str">
        <f aca="false">IF($A70="","",SUMIFS(예비품입출고!$F$3:$F$602,예비품입출고!$C$3:$C$602,$A70,예비품입출고!$B$3:$B$602,"입고"))</f>
        <v/>
      </c>
      <c r="E70" s="24" t="str">
        <f aca="false">IF($A70="","",SUMIFS(예비품입출고!$F$3:$F$602,예비품입출고!$C$3:$C$602,$A70,예비품입출고!$B$3:$B$602,"출고"))</f>
        <v/>
      </c>
      <c r="F70" s="24" t="str">
        <f aca="false">IF($A70="","",IF(예비품목록!$E67="",0,예비품목록!$E67)+SUMIFS(예비품입출고!$J$3:$J$602,예비품입출고!$C$3:$C$602,$A70))</f>
        <v/>
      </c>
      <c r="G70" s="24" t="str">
        <f aca="false">IF($A70="","",MAX(0,$H70-$F70))</f>
        <v/>
      </c>
      <c r="H70" s="24" t="str">
        <f aca="false">IF($A70="","",IF(예비품목록!$F67="",0,예비품목록!$F67))</f>
        <v/>
      </c>
    </row>
    <row r="71" customFormat="false" ht="15" hidden="false" customHeight="true" outlineLevel="0" collapsed="false">
      <c r="A71" s="15" t="str">
        <f aca="false">IF(예비품목록!$A68="","",예비품목록!$A68)</f>
        <v/>
      </c>
      <c r="B71" s="15" t="str">
        <f aca="false">IF($A71="","",예비품목록!$B68)</f>
        <v/>
      </c>
      <c r="C71" s="15" t="str">
        <f aca="false">IF($A71="","",예비품목록!$D68)</f>
        <v/>
      </c>
      <c r="D71" s="24" t="str">
        <f aca="false">IF($A71="","",SUMIFS(예비품입출고!$F$3:$F$602,예비품입출고!$C$3:$C$602,$A71,예비품입출고!$B$3:$B$602,"입고"))</f>
        <v/>
      </c>
      <c r="E71" s="24" t="str">
        <f aca="false">IF($A71="","",SUMIFS(예비품입출고!$F$3:$F$602,예비품입출고!$C$3:$C$602,$A71,예비품입출고!$B$3:$B$602,"출고"))</f>
        <v/>
      </c>
      <c r="F71" s="24" t="str">
        <f aca="false">IF($A71="","",IF(예비품목록!$E68="",0,예비품목록!$E68)+SUMIFS(예비품입출고!$J$3:$J$602,예비품입출고!$C$3:$C$602,$A71))</f>
        <v/>
      </c>
      <c r="G71" s="24" t="str">
        <f aca="false">IF($A71="","",MAX(0,$H71-$F71))</f>
        <v/>
      </c>
      <c r="H71" s="24" t="str">
        <f aca="false">IF($A71="","",IF(예비품목록!$F68="",0,예비품목록!$F68))</f>
        <v/>
      </c>
    </row>
    <row r="72" customFormat="false" ht="15" hidden="false" customHeight="true" outlineLevel="0" collapsed="false">
      <c r="A72" s="15" t="str">
        <f aca="false">IF(예비품목록!$A69="","",예비품목록!$A69)</f>
        <v/>
      </c>
      <c r="B72" s="15" t="str">
        <f aca="false">IF($A72="","",예비품목록!$B69)</f>
        <v/>
      </c>
      <c r="C72" s="15" t="str">
        <f aca="false">IF($A72="","",예비품목록!$D69)</f>
        <v/>
      </c>
      <c r="D72" s="24" t="str">
        <f aca="false">IF($A72="","",SUMIFS(예비품입출고!$F$3:$F$602,예비품입출고!$C$3:$C$602,$A72,예비품입출고!$B$3:$B$602,"입고"))</f>
        <v/>
      </c>
      <c r="E72" s="24" t="str">
        <f aca="false">IF($A72="","",SUMIFS(예비품입출고!$F$3:$F$602,예비품입출고!$C$3:$C$602,$A72,예비품입출고!$B$3:$B$602,"출고"))</f>
        <v/>
      </c>
      <c r="F72" s="24" t="str">
        <f aca="false">IF($A72="","",IF(예비품목록!$E69="",0,예비품목록!$E69)+SUMIFS(예비품입출고!$J$3:$J$602,예비품입출고!$C$3:$C$602,$A72))</f>
        <v/>
      </c>
      <c r="G72" s="24" t="str">
        <f aca="false">IF($A72="","",MAX(0,$H72-$F72))</f>
        <v/>
      </c>
      <c r="H72" s="24" t="str">
        <f aca="false">IF($A72="","",IF(예비품목록!$F69="",0,예비품목록!$F69))</f>
        <v/>
      </c>
    </row>
    <row r="73" customFormat="false" ht="15" hidden="false" customHeight="true" outlineLevel="0" collapsed="false">
      <c r="A73" s="15" t="str">
        <f aca="false">IF(예비품목록!$A70="","",예비품목록!$A70)</f>
        <v/>
      </c>
      <c r="B73" s="15" t="str">
        <f aca="false">IF($A73="","",예비품목록!$B70)</f>
        <v/>
      </c>
      <c r="C73" s="15" t="str">
        <f aca="false">IF($A73="","",예비품목록!$D70)</f>
        <v/>
      </c>
      <c r="D73" s="24" t="str">
        <f aca="false">IF($A73="","",SUMIFS(예비품입출고!$F$3:$F$602,예비품입출고!$C$3:$C$602,$A73,예비품입출고!$B$3:$B$602,"입고"))</f>
        <v/>
      </c>
      <c r="E73" s="24" t="str">
        <f aca="false">IF($A73="","",SUMIFS(예비품입출고!$F$3:$F$602,예비품입출고!$C$3:$C$602,$A73,예비품입출고!$B$3:$B$602,"출고"))</f>
        <v/>
      </c>
      <c r="F73" s="24" t="str">
        <f aca="false">IF($A73="","",IF(예비품목록!$E70="",0,예비품목록!$E70)+SUMIFS(예비품입출고!$J$3:$J$602,예비품입출고!$C$3:$C$602,$A73))</f>
        <v/>
      </c>
      <c r="G73" s="24" t="str">
        <f aca="false">IF($A73="","",MAX(0,$H73-$F73))</f>
        <v/>
      </c>
      <c r="H73" s="24" t="str">
        <f aca="false">IF($A73="","",IF(예비품목록!$F70="",0,예비품목록!$F70))</f>
        <v/>
      </c>
    </row>
    <row r="74" customFormat="false" ht="15" hidden="false" customHeight="true" outlineLevel="0" collapsed="false">
      <c r="A74" s="15" t="str">
        <f aca="false">IF(예비품목록!$A71="","",예비품목록!$A71)</f>
        <v/>
      </c>
      <c r="B74" s="15" t="str">
        <f aca="false">IF($A74="","",예비품목록!$B71)</f>
        <v/>
      </c>
      <c r="C74" s="15" t="str">
        <f aca="false">IF($A74="","",예비품목록!$D71)</f>
        <v/>
      </c>
      <c r="D74" s="24" t="str">
        <f aca="false">IF($A74="","",SUMIFS(예비품입출고!$F$3:$F$602,예비품입출고!$C$3:$C$602,$A74,예비품입출고!$B$3:$B$602,"입고"))</f>
        <v/>
      </c>
      <c r="E74" s="24" t="str">
        <f aca="false">IF($A74="","",SUMIFS(예비품입출고!$F$3:$F$602,예비품입출고!$C$3:$C$602,$A74,예비품입출고!$B$3:$B$602,"출고"))</f>
        <v/>
      </c>
      <c r="F74" s="24" t="str">
        <f aca="false">IF($A74="","",IF(예비품목록!$E71="",0,예비품목록!$E71)+SUMIFS(예비품입출고!$J$3:$J$602,예비품입출고!$C$3:$C$602,$A74))</f>
        <v/>
      </c>
      <c r="G74" s="24" t="str">
        <f aca="false">IF($A74="","",MAX(0,$H74-$F74))</f>
        <v/>
      </c>
      <c r="H74" s="24" t="str">
        <f aca="false">IF($A74="","",IF(예비품목록!$F71="",0,예비품목록!$F71))</f>
        <v/>
      </c>
    </row>
    <row r="75" customFormat="false" ht="15" hidden="false" customHeight="true" outlineLevel="0" collapsed="false">
      <c r="A75" s="15" t="str">
        <f aca="false">IF(예비품목록!$A72="","",예비품목록!$A72)</f>
        <v/>
      </c>
      <c r="B75" s="15" t="str">
        <f aca="false">IF($A75="","",예비품목록!$B72)</f>
        <v/>
      </c>
      <c r="C75" s="15" t="str">
        <f aca="false">IF($A75="","",예비품목록!$D72)</f>
        <v/>
      </c>
      <c r="D75" s="24" t="str">
        <f aca="false">IF($A75="","",SUMIFS(예비품입출고!$F$3:$F$602,예비품입출고!$C$3:$C$602,$A75,예비품입출고!$B$3:$B$602,"입고"))</f>
        <v/>
      </c>
      <c r="E75" s="24" t="str">
        <f aca="false">IF($A75="","",SUMIFS(예비품입출고!$F$3:$F$602,예비품입출고!$C$3:$C$602,$A75,예비품입출고!$B$3:$B$602,"출고"))</f>
        <v/>
      </c>
      <c r="F75" s="24" t="str">
        <f aca="false">IF($A75="","",IF(예비품목록!$E72="",0,예비품목록!$E72)+SUMIFS(예비품입출고!$J$3:$J$602,예비품입출고!$C$3:$C$602,$A75))</f>
        <v/>
      </c>
      <c r="G75" s="24" t="str">
        <f aca="false">IF($A75="","",MAX(0,$H75-$F75))</f>
        <v/>
      </c>
      <c r="H75" s="24" t="str">
        <f aca="false">IF($A75="","",IF(예비품목록!$F72="",0,예비품목록!$F72))</f>
        <v/>
      </c>
    </row>
    <row r="76" customFormat="false" ht="15" hidden="false" customHeight="true" outlineLevel="0" collapsed="false">
      <c r="A76" s="15" t="str">
        <f aca="false">IF(예비품목록!$A73="","",예비품목록!$A73)</f>
        <v/>
      </c>
      <c r="B76" s="15" t="str">
        <f aca="false">IF($A76="","",예비품목록!$B73)</f>
        <v/>
      </c>
      <c r="C76" s="15" t="str">
        <f aca="false">IF($A76="","",예비품목록!$D73)</f>
        <v/>
      </c>
      <c r="D76" s="24" t="str">
        <f aca="false">IF($A76="","",SUMIFS(예비품입출고!$F$3:$F$602,예비품입출고!$C$3:$C$602,$A76,예비품입출고!$B$3:$B$602,"입고"))</f>
        <v/>
      </c>
      <c r="E76" s="24" t="str">
        <f aca="false">IF($A76="","",SUMIFS(예비품입출고!$F$3:$F$602,예비품입출고!$C$3:$C$602,$A76,예비품입출고!$B$3:$B$602,"출고"))</f>
        <v/>
      </c>
      <c r="F76" s="24" t="str">
        <f aca="false">IF($A76="","",IF(예비품목록!$E73="",0,예비품목록!$E73)+SUMIFS(예비품입출고!$J$3:$J$602,예비품입출고!$C$3:$C$602,$A76))</f>
        <v/>
      </c>
      <c r="G76" s="24" t="str">
        <f aca="false">IF($A76="","",MAX(0,$H76-$F76))</f>
        <v/>
      </c>
      <c r="H76" s="24" t="str">
        <f aca="false">IF($A76="","",IF(예비품목록!$F73="",0,예비품목록!$F73))</f>
        <v/>
      </c>
    </row>
    <row r="77" customFormat="false" ht="15" hidden="false" customHeight="true" outlineLevel="0" collapsed="false">
      <c r="A77" s="15" t="str">
        <f aca="false">IF(예비품목록!$A74="","",예비품목록!$A74)</f>
        <v/>
      </c>
      <c r="B77" s="15" t="str">
        <f aca="false">IF($A77="","",예비품목록!$B74)</f>
        <v/>
      </c>
      <c r="C77" s="15" t="str">
        <f aca="false">IF($A77="","",예비품목록!$D74)</f>
        <v/>
      </c>
      <c r="D77" s="24" t="str">
        <f aca="false">IF($A77="","",SUMIFS(예비품입출고!$F$3:$F$602,예비품입출고!$C$3:$C$602,$A77,예비품입출고!$B$3:$B$602,"입고"))</f>
        <v/>
      </c>
      <c r="E77" s="24" t="str">
        <f aca="false">IF($A77="","",SUMIFS(예비품입출고!$F$3:$F$602,예비품입출고!$C$3:$C$602,$A77,예비품입출고!$B$3:$B$602,"출고"))</f>
        <v/>
      </c>
      <c r="F77" s="24" t="str">
        <f aca="false">IF($A77="","",IF(예비품목록!$E74="",0,예비품목록!$E74)+SUMIFS(예비품입출고!$J$3:$J$602,예비품입출고!$C$3:$C$602,$A77))</f>
        <v/>
      </c>
      <c r="G77" s="24" t="str">
        <f aca="false">IF($A77="","",MAX(0,$H77-$F77))</f>
        <v/>
      </c>
      <c r="H77" s="24" t="str">
        <f aca="false">IF($A77="","",IF(예비품목록!$F74="",0,예비품목록!$F74))</f>
        <v/>
      </c>
    </row>
    <row r="78" customFormat="false" ht="15" hidden="false" customHeight="true" outlineLevel="0" collapsed="false">
      <c r="A78" s="15" t="str">
        <f aca="false">IF(예비품목록!$A75="","",예비품목록!$A75)</f>
        <v/>
      </c>
      <c r="B78" s="15" t="str">
        <f aca="false">IF($A78="","",예비품목록!$B75)</f>
        <v/>
      </c>
      <c r="C78" s="15" t="str">
        <f aca="false">IF($A78="","",예비품목록!$D75)</f>
        <v/>
      </c>
      <c r="D78" s="24" t="str">
        <f aca="false">IF($A78="","",SUMIFS(예비품입출고!$F$3:$F$602,예비품입출고!$C$3:$C$602,$A78,예비품입출고!$B$3:$B$602,"입고"))</f>
        <v/>
      </c>
      <c r="E78" s="24" t="str">
        <f aca="false">IF($A78="","",SUMIFS(예비품입출고!$F$3:$F$602,예비품입출고!$C$3:$C$602,$A78,예비품입출고!$B$3:$B$602,"출고"))</f>
        <v/>
      </c>
      <c r="F78" s="24" t="str">
        <f aca="false">IF($A78="","",IF(예비품목록!$E75="",0,예비품목록!$E75)+SUMIFS(예비품입출고!$J$3:$J$602,예비품입출고!$C$3:$C$602,$A78))</f>
        <v/>
      </c>
      <c r="G78" s="24" t="str">
        <f aca="false">IF($A78="","",MAX(0,$H78-$F78))</f>
        <v/>
      </c>
      <c r="H78" s="24" t="str">
        <f aca="false">IF($A78="","",IF(예비품목록!$F75="",0,예비품목록!$F75))</f>
        <v/>
      </c>
    </row>
    <row r="79" customFormat="false" ht="15" hidden="false" customHeight="true" outlineLevel="0" collapsed="false">
      <c r="A79" s="15" t="str">
        <f aca="false">IF(예비품목록!$A76="","",예비품목록!$A76)</f>
        <v/>
      </c>
      <c r="B79" s="15" t="str">
        <f aca="false">IF($A79="","",예비품목록!$B76)</f>
        <v/>
      </c>
      <c r="C79" s="15" t="str">
        <f aca="false">IF($A79="","",예비품목록!$D76)</f>
        <v/>
      </c>
      <c r="D79" s="24" t="str">
        <f aca="false">IF($A79="","",SUMIFS(예비품입출고!$F$3:$F$602,예비품입출고!$C$3:$C$602,$A79,예비품입출고!$B$3:$B$602,"입고"))</f>
        <v/>
      </c>
      <c r="E79" s="24" t="str">
        <f aca="false">IF($A79="","",SUMIFS(예비품입출고!$F$3:$F$602,예비품입출고!$C$3:$C$602,$A79,예비품입출고!$B$3:$B$602,"출고"))</f>
        <v/>
      </c>
      <c r="F79" s="24" t="str">
        <f aca="false">IF($A79="","",IF(예비품목록!$E76="",0,예비품목록!$E76)+SUMIFS(예비품입출고!$J$3:$J$602,예비품입출고!$C$3:$C$602,$A79))</f>
        <v/>
      </c>
      <c r="G79" s="24" t="str">
        <f aca="false">IF($A79="","",MAX(0,$H79-$F79))</f>
        <v/>
      </c>
      <c r="H79" s="24" t="str">
        <f aca="false">IF($A79="","",IF(예비품목록!$F76="",0,예비품목록!$F76))</f>
        <v/>
      </c>
    </row>
    <row r="80" customFormat="false" ht="15" hidden="false" customHeight="true" outlineLevel="0" collapsed="false">
      <c r="A80" s="15" t="str">
        <f aca="false">IF(예비품목록!$A77="","",예비품목록!$A77)</f>
        <v/>
      </c>
      <c r="B80" s="15" t="str">
        <f aca="false">IF($A80="","",예비품목록!$B77)</f>
        <v/>
      </c>
      <c r="C80" s="15" t="str">
        <f aca="false">IF($A80="","",예비품목록!$D77)</f>
        <v/>
      </c>
      <c r="D80" s="24" t="str">
        <f aca="false">IF($A80="","",SUMIFS(예비품입출고!$F$3:$F$602,예비품입출고!$C$3:$C$602,$A80,예비품입출고!$B$3:$B$602,"입고"))</f>
        <v/>
      </c>
      <c r="E80" s="24" t="str">
        <f aca="false">IF($A80="","",SUMIFS(예비품입출고!$F$3:$F$602,예비품입출고!$C$3:$C$602,$A80,예비품입출고!$B$3:$B$602,"출고"))</f>
        <v/>
      </c>
      <c r="F80" s="24" t="str">
        <f aca="false">IF($A80="","",IF(예비품목록!$E77="",0,예비품목록!$E77)+SUMIFS(예비품입출고!$J$3:$J$602,예비품입출고!$C$3:$C$602,$A80))</f>
        <v/>
      </c>
      <c r="G80" s="24" t="str">
        <f aca="false">IF($A80="","",MAX(0,$H80-$F80))</f>
        <v/>
      </c>
      <c r="H80" s="24" t="str">
        <f aca="false">IF($A80="","",IF(예비품목록!$F77="",0,예비품목록!$F77))</f>
        <v/>
      </c>
    </row>
    <row r="81" customFormat="false" ht="15" hidden="false" customHeight="true" outlineLevel="0" collapsed="false">
      <c r="A81" s="15" t="str">
        <f aca="false">IF(예비품목록!$A78="","",예비품목록!$A78)</f>
        <v/>
      </c>
      <c r="B81" s="15" t="str">
        <f aca="false">IF($A81="","",예비품목록!$B78)</f>
        <v/>
      </c>
      <c r="C81" s="15" t="str">
        <f aca="false">IF($A81="","",예비품목록!$D78)</f>
        <v/>
      </c>
      <c r="D81" s="24" t="str">
        <f aca="false">IF($A81="","",SUMIFS(예비품입출고!$F$3:$F$602,예비품입출고!$C$3:$C$602,$A81,예비품입출고!$B$3:$B$602,"입고"))</f>
        <v/>
      </c>
      <c r="E81" s="24" t="str">
        <f aca="false">IF($A81="","",SUMIFS(예비품입출고!$F$3:$F$602,예비품입출고!$C$3:$C$602,$A81,예비품입출고!$B$3:$B$602,"출고"))</f>
        <v/>
      </c>
      <c r="F81" s="24" t="str">
        <f aca="false">IF($A81="","",IF(예비품목록!$E78="",0,예비품목록!$E78)+SUMIFS(예비품입출고!$J$3:$J$602,예비품입출고!$C$3:$C$602,$A81))</f>
        <v/>
      </c>
      <c r="G81" s="24" t="str">
        <f aca="false">IF($A81="","",MAX(0,$H81-$F81))</f>
        <v/>
      </c>
      <c r="H81" s="24" t="str">
        <f aca="false">IF($A81="","",IF(예비품목록!$F78="",0,예비품목록!$F78))</f>
        <v/>
      </c>
    </row>
    <row r="82" customFormat="false" ht="15" hidden="false" customHeight="true" outlineLevel="0" collapsed="false">
      <c r="A82" s="15" t="str">
        <f aca="false">IF(예비품목록!$A79="","",예비품목록!$A79)</f>
        <v/>
      </c>
      <c r="B82" s="15" t="str">
        <f aca="false">IF($A82="","",예비품목록!$B79)</f>
        <v/>
      </c>
      <c r="C82" s="15" t="str">
        <f aca="false">IF($A82="","",예비품목록!$D79)</f>
        <v/>
      </c>
      <c r="D82" s="24" t="str">
        <f aca="false">IF($A82="","",SUMIFS(예비품입출고!$F$3:$F$602,예비품입출고!$C$3:$C$602,$A82,예비품입출고!$B$3:$B$602,"입고"))</f>
        <v/>
      </c>
      <c r="E82" s="24" t="str">
        <f aca="false">IF($A82="","",SUMIFS(예비품입출고!$F$3:$F$602,예비품입출고!$C$3:$C$602,$A82,예비품입출고!$B$3:$B$602,"출고"))</f>
        <v/>
      </c>
      <c r="F82" s="24" t="str">
        <f aca="false">IF($A82="","",IF(예비품목록!$E79="",0,예비품목록!$E79)+SUMIFS(예비품입출고!$J$3:$J$602,예비품입출고!$C$3:$C$602,$A82))</f>
        <v/>
      </c>
      <c r="G82" s="24" t="str">
        <f aca="false">IF($A82="","",MAX(0,$H82-$F82))</f>
        <v/>
      </c>
      <c r="H82" s="24" t="str">
        <f aca="false">IF($A82="","",IF(예비품목록!$F79="",0,예비품목록!$F79))</f>
        <v/>
      </c>
    </row>
    <row r="83" customFormat="false" ht="15" hidden="false" customHeight="true" outlineLevel="0" collapsed="false">
      <c r="A83" s="15" t="str">
        <f aca="false">IF(예비품목록!$A80="","",예비품목록!$A80)</f>
        <v/>
      </c>
      <c r="B83" s="15" t="str">
        <f aca="false">IF($A83="","",예비품목록!$B80)</f>
        <v/>
      </c>
      <c r="C83" s="15" t="str">
        <f aca="false">IF($A83="","",예비품목록!$D80)</f>
        <v/>
      </c>
      <c r="D83" s="24" t="str">
        <f aca="false">IF($A83="","",SUMIFS(예비품입출고!$F$3:$F$602,예비품입출고!$C$3:$C$602,$A83,예비품입출고!$B$3:$B$602,"입고"))</f>
        <v/>
      </c>
      <c r="E83" s="24" t="str">
        <f aca="false">IF($A83="","",SUMIFS(예비품입출고!$F$3:$F$602,예비품입출고!$C$3:$C$602,$A83,예비품입출고!$B$3:$B$602,"출고"))</f>
        <v/>
      </c>
      <c r="F83" s="24" t="str">
        <f aca="false">IF($A83="","",IF(예비품목록!$E80="",0,예비품목록!$E80)+SUMIFS(예비품입출고!$J$3:$J$602,예비품입출고!$C$3:$C$602,$A83))</f>
        <v/>
      </c>
      <c r="G83" s="24" t="str">
        <f aca="false">IF($A83="","",MAX(0,$H83-$F83))</f>
        <v/>
      </c>
      <c r="H83" s="24" t="str">
        <f aca="false">IF($A83="","",IF(예비품목록!$F80="",0,예비품목록!$F80))</f>
        <v/>
      </c>
    </row>
    <row r="84" customFormat="false" ht="15" hidden="false" customHeight="true" outlineLevel="0" collapsed="false">
      <c r="A84" s="15" t="str">
        <f aca="false">IF(예비품목록!$A81="","",예비품목록!$A81)</f>
        <v/>
      </c>
      <c r="B84" s="15" t="str">
        <f aca="false">IF($A84="","",예비품목록!$B81)</f>
        <v/>
      </c>
      <c r="C84" s="15" t="str">
        <f aca="false">IF($A84="","",예비품목록!$D81)</f>
        <v/>
      </c>
      <c r="D84" s="24" t="str">
        <f aca="false">IF($A84="","",SUMIFS(예비품입출고!$F$3:$F$602,예비품입출고!$C$3:$C$602,$A84,예비품입출고!$B$3:$B$602,"입고"))</f>
        <v/>
      </c>
      <c r="E84" s="24" t="str">
        <f aca="false">IF($A84="","",SUMIFS(예비품입출고!$F$3:$F$602,예비품입출고!$C$3:$C$602,$A84,예비품입출고!$B$3:$B$602,"출고"))</f>
        <v/>
      </c>
      <c r="F84" s="24" t="str">
        <f aca="false">IF($A84="","",IF(예비품목록!$E81="",0,예비품목록!$E81)+SUMIFS(예비품입출고!$J$3:$J$602,예비품입출고!$C$3:$C$602,$A84))</f>
        <v/>
      </c>
      <c r="G84" s="24" t="str">
        <f aca="false">IF($A84="","",MAX(0,$H84-$F84))</f>
        <v/>
      </c>
      <c r="H84" s="24" t="str">
        <f aca="false">IF($A84="","",IF(예비품목록!$F81="",0,예비품목록!$F81))</f>
        <v/>
      </c>
    </row>
    <row r="85" customFormat="false" ht="15" hidden="false" customHeight="true" outlineLevel="0" collapsed="false">
      <c r="A85" s="15" t="str">
        <f aca="false">IF(예비품목록!$A82="","",예비품목록!$A82)</f>
        <v/>
      </c>
      <c r="B85" s="15" t="str">
        <f aca="false">IF($A85="","",예비품목록!$B82)</f>
        <v/>
      </c>
      <c r="C85" s="15" t="str">
        <f aca="false">IF($A85="","",예비품목록!$D82)</f>
        <v/>
      </c>
      <c r="D85" s="24" t="str">
        <f aca="false">IF($A85="","",SUMIFS(예비품입출고!$F$3:$F$602,예비품입출고!$C$3:$C$602,$A85,예비품입출고!$B$3:$B$602,"입고"))</f>
        <v/>
      </c>
      <c r="E85" s="24" t="str">
        <f aca="false">IF($A85="","",SUMIFS(예비품입출고!$F$3:$F$602,예비품입출고!$C$3:$C$602,$A85,예비품입출고!$B$3:$B$602,"출고"))</f>
        <v/>
      </c>
      <c r="F85" s="24" t="str">
        <f aca="false">IF($A85="","",IF(예비품목록!$E82="",0,예비품목록!$E82)+SUMIFS(예비품입출고!$J$3:$J$602,예비품입출고!$C$3:$C$602,$A85))</f>
        <v/>
      </c>
      <c r="G85" s="24" t="str">
        <f aca="false">IF($A85="","",MAX(0,$H85-$F85))</f>
        <v/>
      </c>
      <c r="H85" s="24" t="str">
        <f aca="false">IF($A85="","",IF(예비품목록!$F82="",0,예비품목록!$F82))</f>
        <v/>
      </c>
    </row>
    <row r="86" customFormat="false" ht="15" hidden="false" customHeight="true" outlineLevel="0" collapsed="false">
      <c r="A86" s="15" t="str">
        <f aca="false">IF(예비품목록!$A83="","",예비품목록!$A83)</f>
        <v/>
      </c>
      <c r="B86" s="15" t="str">
        <f aca="false">IF($A86="","",예비품목록!$B83)</f>
        <v/>
      </c>
      <c r="C86" s="15" t="str">
        <f aca="false">IF($A86="","",예비품목록!$D83)</f>
        <v/>
      </c>
      <c r="D86" s="24" t="str">
        <f aca="false">IF($A86="","",SUMIFS(예비품입출고!$F$3:$F$602,예비품입출고!$C$3:$C$602,$A86,예비품입출고!$B$3:$B$602,"입고"))</f>
        <v/>
      </c>
      <c r="E86" s="24" t="str">
        <f aca="false">IF($A86="","",SUMIFS(예비품입출고!$F$3:$F$602,예비품입출고!$C$3:$C$602,$A86,예비품입출고!$B$3:$B$602,"출고"))</f>
        <v/>
      </c>
      <c r="F86" s="24" t="str">
        <f aca="false">IF($A86="","",IF(예비품목록!$E83="",0,예비품목록!$E83)+SUMIFS(예비품입출고!$J$3:$J$602,예비품입출고!$C$3:$C$602,$A86))</f>
        <v/>
      </c>
      <c r="G86" s="24" t="str">
        <f aca="false">IF($A86="","",MAX(0,$H86-$F86))</f>
        <v/>
      </c>
      <c r="H86" s="24" t="str">
        <f aca="false">IF($A86="","",IF(예비품목록!$F83="",0,예비품목록!$F83))</f>
        <v/>
      </c>
    </row>
    <row r="87" customFormat="false" ht="15" hidden="false" customHeight="true" outlineLevel="0" collapsed="false">
      <c r="A87" s="15" t="str">
        <f aca="false">IF(예비품목록!$A84="","",예비품목록!$A84)</f>
        <v/>
      </c>
      <c r="B87" s="15" t="str">
        <f aca="false">IF($A87="","",예비품목록!$B84)</f>
        <v/>
      </c>
      <c r="C87" s="15" t="str">
        <f aca="false">IF($A87="","",예비품목록!$D84)</f>
        <v/>
      </c>
      <c r="D87" s="24" t="str">
        <f aca="false">IF($A87="","",SUMIFS(예비품입출고!$F$3:$F$602,예비품입출고!$C$3:$C$602,$A87,예비품입출고!$B$3:$B$602,"입고"))</f>
        <v/>
      </c>
      <c r="E87" s="24" t="str">
        <f aca="false">IF($A87="","",SUMIFS(예비품입출고!$F$3:$F$602,예비품입출고!$C$3:$C$602,$A87,예비품입출고!$B$3:$B$602,"출고"))</f>
        <v/>
      </c>
      <c r="F87" s="24" t="str">
        <f aca="false">IF($A87="","",IF(예비품목록!$E84="",0,예비품목록!$E84)+SUMIFS(예비품입출고!$J$3:$J$602,예비품입출고!$C$3:$C$602,$A87))</f>
        <v/>
      </c>
      <c r="G87" s="24" t="str">
        <f aca="false">IF($A87="","",MAX(0,$H87-$F87))</f>
        <v/>
      </c>
      <c r="H87" s="24" t="str">
        <f aca="false">IF($A87="","",IF(예비품목록!$F84="",0,예비품목록!$F84))</f>
        <v/>
      </c>
    </row>
    <row r="88" customFormat="false" ht="15" hidden="false" customHeight="true" outlineLevel="0" collapsed="false">
      <c r="A88" s="15" t="str">
        <f aca="false">IF(예비품목록!$A85="","",예비품목록!$A85)</f>
        <v/>
      </c>
      <c r="B88" s="15" t="str">
        <f aca="false">IF($A88="","",예비품목록!$B85)</f>
        <v/>
      </c>
      <c r="C88" s="15" t="str">
        <f aca="false">IF($A88="","",예비품목록!$D85)</f>
        <v/>
      </c>
      <c r="D88" s="24" t="str">
        <f aca="false">IF($A88="","",SUMIFS(예비품입출고!$F$3:$F$602,예비품입출고!$C$3:$C$602,$A88,예비품입출고!$B$3:$B$602,"입고"))</f>
        <v/>
      </c>
      <c r="E88" s="24" t="str">
        <f aca="false">IF($A88="","",SUMIFS(예비품입출고!$F$3:$F$602,예비품입출고!$C$3:$C$602,$A88,예비품입출고!$B$3:$B$602,"출고"))</f>
        <v/>
      </c>
      <c r="F88" s="24" t="str">
        <f aca="false">IF($A88="","",IF(예비품목록!$E85="",0,예비품목록!$E85)+SUMIFS(예비품입출고!$J$3:$J$602,예비품입출고!$C$3:$C$602,$A88))</f>
        <v/>
      </c>
      <c r="G88" s="24" t="str">
        <f aca="false">IF($A88="","",MAX(0,$H88-$F88))</f>
        <v/>
      </c>
      <c r="H88" s="24" t="str">
        <f aca="false">IF($A88="","",IF(예비품목록!$F85="",0,예비품목록!$F85))</f>
        <v/>
      </c>
    </row>
    <row r="89" customFormat="false" ht="15" hidden="false" customHeight="true" outlineLevel="0" collapsed="false">
      <c r="A89" s="15" t="str">
        <f aca="false">IF(예비품목록!$A86="","",예비품목록!$A86)</f>
        <v/>
      </c>
      <c r="B89" s="15" t="str">
        <f aca="false">IF($A89="","",예비품목록!$B86)</f>
        <v/>
      </c>
      <c r="C89" s="15" t="str">
        <f aca="false">IF($A89="","",예비품목록!$D86)</f>
        <v/>
      </c>
      <c r="D89" s="24" t="str">
        <f aca="false">IF($A89="","",SUMIFS(예비품입출고!$F$3:$F$602,예비품입출고!$C$3:$C$602,$A89,예비품입출고!$B$3:$B$602,"입고"))</f>
        <v/>
      </c>
      <c r="E89" s="24" t="str">
        <f aca="false">IF($A89="","",SUMIFS(예비품입출고!$F$3:$F$602,예비품입출고!$C$3:$C$602,$A89,예비품입출고!$B$3:$B$602,"출고"))</f>
        <v/>
      </c>
      <c r="F89" s="24" t="str">
        <f aca="false">IF($A89="","",IF(예비품목록!$E86="",0,예비품목록!$E86)+SUMIFS(예비품입출고!$J$3:$J$602,예비품입출고!$C$3:$C$602,$A89))</f>
        <v/>
      </c>
      <c r="G89" s="24" t="str">
        <f aca="false">IF($A89="","",MAX(0,$H89-$F89))</f>
        <v/>
      </c>
      <c r="H89" s="24" t="str">
        <f aca="false">IF($A89="","",IF(예비품목록!$F86="",0,예비품목록!$F86))</f>
        <v/>
      </c>
    </row>
    <row r="90" customFormat="false" ht="15" hidden="false" customHeight="true" outlineLevel="0" collapsed="false">
      <c r="A90" s="15" t="str">
        <f aca="false">IF(예비품목록!$A87="","",예비품목록!$A87)</f>
        <v/>
      </c>
      <c r="B90" s="15" t="str">
        <f aca="false">IF($A90="","",예비품목록!$B87)</f>
        <v/>
      </c>
      <c r="C90" s="15" t="str">
        <f aca="false">IF($A90="","",예비품목록!$D87)</f>
        <v/>
      </c>
      <c r="D90" s="24" t="str">
        <f aca="false">IF($A90="","",SUMIFS(예비품입출고!$F$3:$F$602,예비품입출고!$C$3:$C$602,$A90,예비품입출고!$B$3:$B$602,"입고"))</f>
        <v/>
      </c>
      <c r="E90" s="24" t="str">
        <f aca="false">IF($A90="","",SUMIFS(예비품입출고!$F$3:$F$602,예비품입출고!$C$3:$C$602,$A90,예비품입출고!$B$3:$B$602,"출고"))</f>
        <v/>
      </c>
      <c r="F90" s="24" t="str">
        <f aca="false">IF($A90="","",IF(예비품목록!$E87="",0,예비품목록!$E87)+SUMIFS(예비품입출고!$J$3:$J$602,예비품입출고!$C$3:$C$602,$A90))</f>
        <v/>
      </c>
      <c r="G90" s="24" t="str">
        <f aca="false">IF($A90="","",MAX(0,$H90-$F90))</f>
        <v/>
      </c>
      <c r="H90" s="24" t="str">
        <f aca="false">IF($A90="","",IF(예비품목록!$F87="",0,예비품목록!$F87))</f>
        <v/>
      </c>
    </row>
    <row r="91" customFormat="false" ht="15" hidden="false" customHeight="true" outlineLevel="0" collapsed="false">
      <c r="A91" s="15" t="str">
        <f aca="false">IF(예비품목록!$A88="","",예비품목록!$A88)</f>
        <v/>
      </c>
      <c r="B91" s="15" t="str">
        <f aca="false">IF($A91="","",예비품목록!$B88)</f>
        <v/>
      </c>
      <c r="C91" s="15" t="str">
        <f aca="false">IF($A91="","",예비품목록!$D88)</f>
        <v/>
      </c>
      <c r="D91" s="24" t="str">
        <f aca="false">IF($A91="","",SUMIFS(예비품입출고!$F$3:$F$602,예비품입출고!$C$3:$C$602,$A91,예비품입출고!$B$3:$B$602,"입고"))</f>
        <v/>
      </c>
      <c r="E91" s="24" t="str">
        <f aca="false">IF($A91="","",SUMIFS(예비품입출고!$F$3:$F$602,예비품입출고!$C$3:$C$602,$A91,예비품입출고!$B$3:$B$602,"출고"))</f>
        <v/>
      </c>
      <c r="F91" s="24" t="str">
        <f aca="false">IF($A91="","",IF(예비품목록!$E88="",0,예비품목록!$E88)+SUMIFS(예비품입출고!$J$3:$J$602,예비품입출고!$C$3:$C$602,$A91))</f>
        <v/>
      </c>
      <c r="G91" s="24" t="str">
        <f aca="false">IF($A91="","",MAX(0,$H91-$F91))</f>
        <v/>
      </c>
      <c r="H91" s="24" t="str">
        <f aca="false">IF($A91="","",IF(예비품목록!$F88="",0,예비품목록!$F88))</f>
        <v/>
      </c>
    </row>
    <row r="92" customFormat="false" ht="15" hidden="false" customHeight="true" outlineLevel="0" collapsed="false">
      <c r="A92" s="15" t="str">
        <f aca="false">IF(예비품목록!$A89="","",예비품목록!$A89)</f>
        <v/>
      </c>
      <c r="B92" s="15" t="str">
        <f aca="false">IF($A92="","",예비품목록!$B89)</f>
        <v/>
      </c>
      <c r="C92" s="15" t="str">
        <f aca="false">IF($A92="","",예비품목록!$D89)</f>
        <v/>
      </c>
      <c r="D92" s="24" t="str">
        <f aca="false">IF($A92="","",SUMIFS(예비품입출고!$F$3:$F$602,예비품입출고!$C$3:$C$602,$A92,예비품입출고!$B$3:$B$602,"입고"))</f>
        <v/>
      </c>
      <c r="E92" s="24" t="str">
        <f aca="false">IF($A92="","",SUMIFS(예비품입출고!$F$3:$F$602,예비품입출고!$C$3:$C$602,$A92,예비품입출고!$B$3:$B$602,"출고"))</f>
        <v/>
      </c>
      <c r="F92" s="24" t="str">
        <f aca="false">IF($A92="","",IF(예비품목록!$E89="",0,예비품목록!$E89)+SUMIFS(예비품입출고!$J$3:$J$602,예비품입출고!$C$3:$C$602,$A92))</f>
        <v/>
      </c>
      <c r="G92" s="24" t="str">
        <f aca="false">IF($A92="","",MAX(0,$H92-$F92))</f>
        <v/>
      </c>
      <c r="H92" s="24" t="str">
        <f aca="false">IF($A92="","",IF(예비품목록!$F89="",0,예비품목록!$F89))</f>
        <v/>
      </c>
    </row>
    <row r="93" customFormat="false" ht="15" hidden="false" customHeight="true" outlineLevel="0" collapsed="false">
      <c r="A93" s="15" t="str">
        <f aca="false">IF(예비품목록!$A90="","",예비품목록!$A90)</f>
        <v/>
      </c>
      <c r="B93" s="15" t="str">
        <f aca="false">IF($A93="","",예비품목록!$B90)</f>
        <v/>
      </c>
      <c r="C93" s="15" t="str">
        <f aca="false">IF($A93="","",예비품목록!$D90)</f>
        <v/>
      </c>
      <c r="D93" s="24" t="str">
        <f aca="false">IF($A93="","",SUMIFS(예비품입출고!$F$3:$F$602,예비품입출고!$C$3:$C$602,$A93,예비품입출고!$B$3:$B$602,"입고"))</f>
        <v/>
      </c>
      <c r="E93" s="24" t="str">
        <f aca="false">IF($A93="","",SUMIFS(예비품입출고!$F$3:$F$602,예비품입출고!$C$3:$C$602,$A93,예비품입출고!$B$3:$B$602,"출고"))</f>
        <v/>
      </c>
      <c r="F93" s="24" t="str">
        <f aca="false">IF($A93="","",IF(예비품목록!$E90="",0,예비품목록!$E90)+SUMIFS(예비품입출고!$J$3:$J$602,예비품입출고!$C$3:$C$602,$A93))</f>
        <v/>
      </c>
      <c r="G93" s="24" t="str">
        <f aca="false">IF($A93="","",MAX(0,$H93-$F93))</f>
        <v/>
      </c>
      <c r="H93" s="24" t="str">
        <f aca="false">IF($A93="","",IF(예비품목록!$F90="",0,예비품목록!$F90))</f>
        <v/>
      </c>
    </row>
    <row r="94" customFormat="false" ht="15" hidden="false" customHeight="true" outlineLevel="0" collapsed="false">
      <c r="A94" s="15" t="str">
        <f aca="false">IF(예비품목록!$A91="","",예비품목록!$A91)</f>
        <v/>
      </c>
      <c r="B94" s="15" t="str">
        <f aca="false">IF($A94="","",예비품목록!$B91)</f>
        <v/>
      </c>
      <c r="C94" s="15" t="str">
        <f aca="false">IF($A94="","",예비품목록!$D91)</f>
        <v/>
      </c>
      <c r="D94" s="24" t="str">
        <f aca="false">IF($A94="","",SUMIFS(예비품입출고!$F$3:$F$602,예비품입출고!$C$3:$C$602,$A94,예비품입출고!$B$3:$B$602,"입고"))</f>
        <v/>
      </c>
      <c r="E94" s="24" t="str">
        <f aca="false">IF($A94="","",SUMIFS(예비품입출고!$F$3:$F$602,예비품입출고!$C$3:$C$602,$A94,예비품입출고!$B$3:$B$602,"출고"))</f>
        <v/>
      </c>
      <c r="F94" s="24" t="str">
        <f aca="false">IF($A94="","",IF(예비품목록!$E91="",0,예비품목록!$E91)+SUMIFS(예비품입출고!$J$3:$J$602,예비품입출고!$C$3:$C$602,$A94))</f>
        <v/>
      </c>
      <c r="G94" s="24" t="str">
        <f aca="false">IF($A94="","",MAX(0,$H94-$F94))</f>
        <v/>
      </c>
      <c r="H94" s="24" t="str">
        <f aca="false">IF($A94="","",IF(예비품목록!$F91="",0,예비품목록!$F91))</f>
        <v/>
      </c>
    </row>
    <row r="95" customFormat="false" ht="15" hidden="false" customHeight="true" outlineLevel="0" collapsed="false">
      <c r="A95" s="15" t="str">
        <f aca="false">IF(예비품목록!$A92="","",예비품목록!$A92)</f>
        <v/>
      </c>
      <c r="B95" s="15" t="str">
        <f aca="false">IF($A95="","",예비품목록!$B92)</f>
        <v/>
      </c>
      <c r="C95" s="15" t="str">
        <f aca="false">IF($A95="","",예비품목록!$D92)</f>
        <v/>
      </c>
      <c r="D95" s="24" t="str">
        <f aca="false">IF($A95="","",SUMIFS(예비품입출고!$F$3:$F$602,예비품입출고!$C$3:$C$602,$A95,예비품입출고!$B$3:$B$602,"입고"))</f>
        <v/>
      </c>
      <c r="E95" s="24" t="str">
        <f aca="false">IF($A95="","",SUMIFS(예비품입출고!$F$3:$F$602,예비품입출고!$C$3:$C$602,$A95,예비품입출고!$B$3:$B$602,"출고"))</f>
        <v/>
      </c>
      <c r="F95" s="24" t="str">
        <f aca="false">IF($A95="","",IF(예비품목록!$E92="",0,예비품목록!$E92)+SUMIFS(예비품입출고!$J$3:$J$602,예비품입출고!$C$3:$C$602,$A95))</f>
        <v/>
      </c>
      <c r="G95" s="24" t="str">
        <f aca="false">IF($A95="","",MAX(0,$H95-$F95))</f>
        <v/>
      </c>
      <c r="H95" s="24" t="str">
        <f aca="false">IF($A95="","",IF(예비품목록!$F92="",0,예비품목록!$F92))</f>
        <v/>
      </c>
    </row>
    <row r="96" customFormat="false" ht="15" hidden="false" customHeight="true" outlineLevel="0" collapsed="false">
      <c r="A96" s="15" t="str">
        <f aca="false">IF(예비품목록!$A93="","",예비품목록!$A93)</f>
        <v/>
      </c>
      <c r="B96" s="15" t="str">
        <f aca="false">IF($A96="","",예비품목록!$B93)</f>
        <v/>
      </c>
      <c r="C96" s="15" t="str">
        <f aca="false">IF($A96="","",예비품목록!$D93)</f>
        <v/>
      </c>
      <c r="D96" s="24" t="str">
        <f aca="false">IF($A96="","",SUMIFS(예비품입출고!$F$3:$F$602,예비품입출고!$C$3:$C$602,$A96,예비품입출고!$B$3:$B$602,"입고"))</f>
        <v/>
      </c>
      <c r="E96" s="24" t="str">
        <f aca="false">IF($A96="","",SUMIFS(예비품입출고!$F$3:$F$602,예비품입출고!$C$3:$C$602,$A96,예비품입출고!$B$3:$B$602,"출고"))</f>
        <v/>
      </c>
      <c r="F96" s="24" t="str">
        <f aca="false">IF($A96="","",IF(예비품목록!$E93="",0,예비품목록!$E93)+SUMIFS(예비품입출고!$J$3:$J$602,예비품입출고!$C$3:$C$602,$A96))</f>
        <v/>
      </c>
      <c r="G96" s="24" t="str">
        <f aca="false">IF($A96="","",MAX(0,$H96-$F96))</f>
        <v/>
      </c>
      <c r="H96" s="24" t="str">
        <f aca="false">IF($A96="","",IF(예비품목록!$F93="",0,예비품목록!$F93))</f>
        <v/>
      </c>
    </row>
    <row r="97" customFormat="false" ht="15" hidden="false" customHeight="true" outlineLevel="0" collapsed="false">
      <c r="A97" s="15" t="str">
        <f aca="false">IF(예비품목록!$A94="","",예비품목록!$A94)</f>
        <v/>
      </c>
      <c r="B97" s="15" t="str">
        <f aca="false">IF($A97="","",예비품목록!$B94)</f>
        <v/>
      </c>
      <c r="C97" s="15" t="str">
        <f aca="false">IF($A97="","",예비품목록!$D94)</f>
        <v/>
      </c>
      <c r="D97" s="24" t="str">
        <f aca="false">IF($A97="","",SUMIFS(예비품입출고!$F$3:$F$602,예비품입출고!$C$3:$C$602,$A97,예비품입출고!$B$3:$B$602,"입고"))</f>
        <v/>
      </c>
      <c r="E97" s="24" t="str">
        <f aca="false">IF($A97="","",SUMIFS(예비품입출고!$F$3:$F$602,예비품입출고!$C$3:$C$602,$A97,예비품입출고!$B$3:$B$602,"출고"))</f>
        <v/>
      </c>
      <c r="F97" s="24" t="str">
        <f aca="false">IF($A97="","",IF(예비품목록!$E94="",0,예비품목록!$E94)+SUMIFS(예비품입출고!$J$3:$J$602,예비품입출고!$C$3:$C$602,$A97))</f>
        <v/>
      </c>
      <c r="G97" s="24" t="str">
        <f aca="false">IF($A97="","",MAX(0,$H97-$F97))</f>
        <v/>
      </c>
      <c r="H97" s="24" t="str">
        <f aca="false">IF($A97="","",IF(예비품목록!$F94="",0,예비품목록!$F94))</f>
        <v/>
      </c>
    </row>
    <row r="98" customFormat="false" ht="15" hidden="false" customHeight="true" outlineLevel="0" collapsed="false">
      <c r="A98" s="15" t="str">
        <f aca="false">IF(예비품목록!$A95="","",예비품목록!$A95)</f>
        <v/>
      </c>
      <c r="B98" s="15" t="str">
        <f aca="false">IF($A98="","",예비품목록!$B95)</f>
        <v/>
      </c>
      <c r="C98" s="15" t="str">
        <f aca="false">IF($A98="","",예비품목록!$D95)</f>
        <v/>
      </c>
      <c r="D98" s="24" t="str">
        <f aca="false">IF($A98="","",SUMIFS(예비품입출고!$F$3:$F$602,예비품입출고!$C$3:$C$602,$A98,예비품입출고!$B$3:$B$602,"입고"))</f>
        <v/>
      </c>
      <c r="E98" s="24" t="str">
        <f aca="false">IF($A98="","",SUMIFS(예비품입출고!$F$3:$F$602,예비품입출고!$C$3:$C$602,$A98,예비품입출고!$B$3:$B$602,"출고"))</f>
        <v/>
      </c>
      <c r="F98" s="24" t="str">
        <f aca="false">IF($A98="","",IF(예비품목록!$E95="",0,예비품목록!$E95)+SUMIFS(예비품입출고!$J$3:$J$602,예비품입출고!$C$3:$C$602,$A98))</f>
        <v/>
      </c>
      <c r="G98" s="24" t="str">
        <f aca="false">IF($A98="","",MAX(0,$H98-$F98))</f>
        <v/>
      </c>
      <c r="H98" s="24" t="str">
        <f aca="false">IF($A98="","",IF(예비품목록!$F95="",0,예비품목록!$F95))</f>
        <v/>
      </c>
    </row>
    <row r="99" customFormat="false" ht="15" hidden="false" customHeight="true" outlineLevel="0" collapsed="false">
      <c r="A99" s="15" t="str">
        <f aca="false">IF(예비품목록!$A96="","",예비품목록!$A96)</f>
        <v/>
      </c>
      <c r="B99" s="15" t="str">
        <f aca="false">IF($A99="","",예비품목록!$B96)</f>
        <v/>
      </c>
      <c r="C99" s="15" t="str">
        <f aca="false">IF($A99="","",예비품목록!$D96)</f>
        <v/>
      </c>
      <c r="D99" s="24" t="str">
        <f aca="false">IF($A99="","",SUMIFS(예비품입출고!$F$3:$F$602,예비품입출고!$C$3:$C$602,$A99,예비품입출고!$B$3:$B$602,"입고"))</f>
        <v/>
      </c>
      <c r="E99" s="24" t="str">
        <f aca="false">IF($A99="","",SUMIFS(예비품입출고!$F$3:$F$602,예비품입출고!$C$3:$C$602,$A99,예비품입출고!$B$3:$B$602,"출고"))</f>
        <v/>
      </c>
      <c r="F99" s="24" t="str">
        <f aca="false">IF($A99="","",IF(예비품목록!$E96="",0,예비품목록!$E96)+SUMIFS(예비품입출고!$J$3:$J$602,예비품입출고!$C$3:$C$602,$A99))</f>
        <v/>
      </c>
      <c r="G99" s="24" t="str">
        <f aca="false">IF($A99="","",MAX(0,$H99-$F99))</f>
        <v/>
      </c>
      <c r="H99" s="24" t="str">
        <f aca="false">IF($A99="","",IF(예비품목록!$F96="",0,예비품목록!$F96))</f>
        <v/>
      </c>
    </row>
    <row r="100" customFormat="false" ht="15" hidden="false" customHeight="true" outlineLevel="0" collapsed="false">
      <c r="A100" s="15" t="str">
        <f aca="false">IF(예비품목록!$A97="","",예비품목록!$A97)</f>
        <v/>
      </c>
      <c r="B100" s="15" t="str">
        <f aca="false">IF($A100="","",예비품목록!$B97)</f>
        <v/>
      </c>
      <c r="C100" s="15" t="str">
        <f aca="false">IF($A100="","",예비품목록!$D97)</f>
        <v/>
      </c>
      <c r="D100" s="24" t="str">
        <f aca="false">IF($A100="","",SUMIFS(예비품입출고!$F$3:$F$602,예비품입출고!$C$3:$C$602,$A100,예비품입출고!$B$3:$B$602,"입고"))</f>
        <v/>
      </c>
      <c r="E100" s="24" t="str">
        <f aca="false">IF($A100="","",SUMIFS(예비품입출고!$F$3:$F$602,예비품입출고!$C$3:$C$602,$A100,예비품입출고!$B$3:$B$602,"출고"))</f>
        <v/>
      </c>
      <c r="F100" s="24" t="str">
        <f aca="false">IF($A100="","",IF(예비품목록!$E97="",0,예비품목록!$E97)+SUMIFS(예비품입출고!$J$3:$J$602,예비품입출고!$C$3:$C$602,$A100))</f>
        <v/>
      </c>
      <c r="G100" s="24" t="str">
        <f aca="false">IF($A100="","",MAX(0,$H100-$F100))</f>
        <v/>
      </c>
      <c r="H100" s="24" t="str">
        <f aca="false">IF($A100="","",IF(예비품목록!$F97="",0,예비품목록!$F97))</f>
        <v/>
      </c>
    </row>
    <row r="101" customFormat="false" ht="15" hidden="false" customHeight="true" outlineLevel="0" collapsed="false">
      <c r="A101" s="15" t="str">
        <f aca="false">IF(예비품목록!$A98="","",예비품목록!$A98)</f>
        <v/>
      </c>
      <c r="B101" s="15" t="str">
        <f aca="false">IF($A101="","",예비품목록!$B98)</f>
        <v/>
      </c>
      <c r="C101" s="15" t="str">
        <f aca="false">IF($A101="","",예비품목록!$D98)</f>
        <v/>
      </c>
      <c r="D101" s="24" t="str">
        <f aca="false">IF($A101="","",SUMIFS(예비품입출고!$F$3:$F$602,예비품입출고!$C$3:$C$602,$A101,예비품입출고!$B$3:$B$602,"입고"))</f>
        <v/>
      </c>
      <c r="E101" s="24" t="str">
        <f aca="false">IF($A101="","",SUMIFS(예비품입출고!$F$3:$F$602,예비품입출고!$C$3:$C$602,$A101,예비품입출고!$B$3:$B$602,"출고"))</f>
        <v/>
      </c>
      <c r="F101" s="24" t="str">
        <f aca="false">IF($A101="","",IF(예비품목록!$E98="",0,예비품목록!$E98)+SUMIFS(예비품입출고!$J$3:$J$602,예비품입출고!$C$3:$C$602,$A101))</f>
        <v/>
      </c>
      <c r="G101" s="24" t="str">
        <f aca="false">IF($A101="","",MAX(0,$H101-$F101))</f>
        <v/>
      </c>
      <c r="H101" s="24" t="str">
        <f aca="false">IF($A101="","",IF(예비품목록!$F98="",0,예비품목록!$F98))</f>
        <v/>
      </c>
    </row>
    <row r="102" customFormat="false" ht="15" hidden="false" customHeight="true" outlineLevel="0" collapsed="false">
      <c r="A102" s="15" t="str">
        <f aca="false">IF(예비품목록!$A99="","",예비품목록!$A99)</f>
        <v/>
      </c>
      <c r="B102" s="15" t="str">
        <f aca="false">IF($A102="","",예비품목록!$B99)</f>
        <v/>
      </c>
      <c r="C102" s="15" t="str">
        <f aca="false">IF($A102="","",예비품목록!$D99)</f>
        <v/>
      </c>
      <c r="D102" s="24" t="str">
        <f aca="false">IF($A102="","",SUMIFS(예비품입출고!$F$3:$F$602,예비품입출고!$C$3:$C$602,$A102,예비품입출고!$B$3:$B$602,"입고"))</f>
        <v/>
      </c>
      <c r="E102" s="24" t="str">
        <f aca="false">IF($A102="","",SUMIFS(예비품입출고!$F$3:$F$602,예비품입출고!$C$3:$C$602,$A102,예비품입출고!$B$3:$B$602,"출고"))</f>
        <v/>
      </c>
      <c r="F102" s="24" t="str">
        <f aca="false">IF($A102="","",IF(예비품목록!$E99="",0,예비품목록!$E99)+SUMIFS(예비품입출고!$J$3:$J$602,예비품입출고!$C$3:$C$602,$A102))</f>
        <v/>
      </c>
      <c r="G102" s="24" t="str">
        <f aca="false">IF($A102="","",MAX(0,$H102-$F102))</f>
        <v/>
      </c>
      <c r="H102" s="24" t="str">
        <f aca="false">IF($A102="","",IF(예비품목록!$F99="",0,예비품목록!$F99))</f>
        <v/>
      </c>
    </row>
    <row r="103" customFormat="false" ht="15" hidden="false" customHeight="true" outlineLevel="0" collapsed="false">
      <c r="A103" s="15" t="str">
        <f aca="false">IF(예비품목록!$A100="","",예비품목록!$A100)</f>
        <v/>
      </c>
      <c r="B103" s="15" t="str">
        <f aca="false">IF($A103="","",예비품목록!$B100)</f>
        <v/>
      </c>
      <c r="C103" s="15" t="str">
        <f aca="false">IF($A103="","",예비품목록!$D100)</f>
        <v/>
      </c>
      <c r="D103" s="24" t="str">
        <f aca="false">IF($A103="","",SUMIFS(예비품입출고!$F$3:$F$602,예비품입출고!$C$3:$C$602,$A103,예비품입출고!$B$3:$B$602,"입고"))</f>
        <v/>
      </c>
      <c r="E103" s="24" t="str">
        <f aca="false">IF($A103="","",SUMIFS(예비품입출고!$F$3:$F$602,예비품입출고!$C$3:$C$602,$A103,예비품입출고!$B$3:$B$602,"출고"))</f>
        <v/>
      </c>
      <c r="F103" s="24" t="str">
        <f aca="false">IF($A103="","",IF(예비품목록!$E100="",0,예비품목록!$E100)+SUMIFS(예비품입출고!$J$3:$J$602,예비품입출고!$C$3:$C$602,$A103))</f>
        <v/>
      </c>
      <c r="G103" s="24" t="str">
        <f aca="false">IF($A103="","",MAX(0,$H103-$F103))</f>
        <v/>
      </c>
      <c r="H103" s="24" t="str">
        <f aca="false">IF($A103="","",IF(예비품목록!$F100="",0,예비품목록!$F100))</f>
        <v/>
      </c>
    </row>
    <row r="104" customFormat="false" ht="15" hidden="false" customHeight="true" outlineLevel="0" collapsed="false">
      <c r="A104" s="15" t="str">
        <f aca="false">IF(예비품목록!$A101="","",예비품목록!$A101)</f>
        <v/>
      </c>
      <c r="B104" s="15" t="str">
        <f aca="false">IF($A104="","",예비품목록!$B101)</f>
        <v/>
      </c>
      <c r="C104" s="15" t="str">
        <f aca="false">IF($A104="","",예비품목록!$D101)</f>
        <v/>
      </c>
      <c r="D104" s="24" t="str">
        <f aca="false">IF($A104="","",SUMIFS(예비품입출고!$F$3:$F$602,예비품입출고!$C$3:$C$602,$A104,예비품입출고!$B$3:$B$602,"입고"))</f>
        <v/>
      </c>
      <c r="E104" s="24" t="str">
        <f aca="false">IF($A104="","",SUMIFS(예비품입출고!$F$3:$F$602,예비품입출고!$C$3:$C$602,$A104,예비품입출고!$B$3:$B$602,"출고"))</f>
        <v/>
      </c>
      <c r="F104" s="24" t="str">
        <f aca="false">IF($A104="","",IF(예비품목록!$E101="",0,예비품목록!$E101)+SUMIFS(예비품입출고!$J$3:$J$602,예비품입출고!$C$3:$C$602,$A104))</f>
        <v/>
      </c>
      <c r="G104" s="24" t="str">
        <f aca="false">IF($A104="","",MAX(0,$H104-$F104))</f>
        <v/>
      </c>
      <c r="H104" s="24" t="str">
        <f aca="false">IF($A104="","",IF(예비품목록!$F101="",0,예비품목록!$F101))</f>
        <v/>
      </c>
    </row>
    <row r="105" customFormat="false" ht="15" hidden="false" customHeight="true" outlineLevel="0" collapsed="false">
      <c r="A105" s="15" t="str">
        <f aca="false">IF(예비품목록!$A102="","",예비품목록!$A102)</f>
        <v/>
      </c>
      <c r="B105" s="15" t="str">
        <f aca="false">IF($A105="","",예비품목록!$B102)</f>
        <v/>
      </c>
      <c r="C105" s="15" t="str">
        <f aca="false">IF($A105="","",예비품목록!$D102)</f>
        <v/>
      </c>
      <c r="D105" s="24" t="str">
        <f aca="false">IF($A105="","",SUMIFS(예비품입출고!$F$3:$F$602,예비품입출고!$C$3:$C$602,$A105,예비품입출고!$B$3:$B$602,"입고"))</f>
        <v/>
      </c>
      <c r="E105" s="24" t="str">
        <f aca="false">IF($A105="","",SUMIFS(예비품입출고!$F$3:$F$602,예비품입출고!$C$3:$C$602,$A105,예비품입출고!$B$3:$B$602,"출고"))</f>
        <v/>
      </c>
      <c r="F105" s="24" t="str">
        <f aca="false">IF($A105="","",IF(예비품목록!$E102="",0,예비품목록!$E102)+SUMIFS(예비품입출고!$J$3:$J$602,예비품입출고!$C$3:$C$602,$A105))</f>
        <v/>
      </c>
      <c r="G105" s="24" t="str">
        <f aca="false">IF($A105="","",MAX(0,$H105-$F105))</f>
        <v/>
      </c>
      <c r="H105" s="24" t="str">
        <f aca="false">IF($A105="","",IF(예비품목록!$F102="",0,예비품목록!$F102))</f>
        <v/>
      </c>
    </row>
    <row r="106" customFormat="false" ht="15" hidden="false" customHeight="true" outlineLevel="0" collapsed="false">
      <c r="A106" s="15" t="str">
        <f aca="false">IF(예비품목록!$A103="","",예비품목록!$A103)</f>
        <v/>
      </c>
      <c r="B106" s="15" t="str">
        <f aca="false">IF($A106="","",예비품목록!$B103)</f>
        <v/>
      </c>
      <c r="C106" s="15" t="str">
        <f aca="false">IF($A106="","",예비품목록!$D103)</f>
        <v/>
      </c>
      <c r="D106" s="24" t="str">
        <f aca="false">IF($A106="","",SUMIFS(예비품입출고!$F$3:$F$602,예비품입출고!$C$3:$C$602,$A106,예비품입출고!$B$3:$B$602,"입고"))</f>
        <v/>
      </c>
      <c r="E106" s="24" t="str">
        <f aca="false">IF($A106="","",SUMIFS(예비품입출고!$F$3:$F$602,예비품입출고!$C$3:$C$602,$A106,예비품입출고!$B$3:$B$602,"출고"))</f>
        <v/>
      </c>
      <c r="F106" s="24" t="str">
        <f aca="false">IF($A106="","",IF(예비품목록!$E103="",0,예비품목록!$E103)+SUMIFS(예비품입출고!$J$3:$J$602,예비품입출고!$C$3:$C$602,$A106))</f>
        <v/>
      </c>
      <c r="G106" s="24" t="str">
        <f aca="false">IF($A106="","",MAX(0,$H106-$F106))</f>
        <v/>
      </c>
      <c r="H106" s="24" t="str">
        <f aca="false">IF($A106="","",IF(예비품목록!$F103="",0,예비품목록!$F103))</f>
        <v/>
      </c>
    </row>
    <row r="107" customFormat="false" ht="15" hidden="false" customHeight="true" outlineLevel="0" collapsed="false">
      <c r="A107" s="15" t="str">
        <f aca="false">IF(예비품목록!$A104="","",예비품목록!$A104)</f>
        <v/>
      </c>
      <c r="B107" s="15" t="str">
        <f aca="false">IF($A107="","",예비품목록!$B104)</f>
        <v/>
      </c>
      <c r="C107" s="15" t="str">
        <f aca="false">IF($A107="","",예비품목록!$D104)</f>
        <v/>
      </c>
      <c r="D107" s="24" t="str">
        <f aca="false">IF($A107="","",SUMIFS(예비품입출고!$F$3:$F$602,예비품입출고!$C$3:$C$602,$A107,예비품입출고!$B$3:$B$602,"입고"))</f>
        <v/>
      </c>
      <c r="E107" s="24" t="str">
        <f aca="false">IF($A107="","",SUMIFS(예비품입출고!$F$3:$F$602,예비품입출고!$C$3:$C$602,$A107,예비품입출고!$B$3:$B$602,"출고"))</f>
        <v/>
      </c>
      <c r="F107" s="24" t="str">
        <f aca="false">IF($A107="","",IF(예비품목록!$E104="",0,예비품목록!$E104)+SUMIFS(예비품입출고!$J$3:$J$602,예비품입출고!$C$3:$C$602,$A107))</f>
        <v/>
      </c>
      <c r="G107" s="24" t="str">
        <f aca="false">IF($A107="","",MAX(0,$H107-$F107))</f>
        <v/>
      </c>
      <c r="H107" s="24" t="str">
        <f aca="false">IF($A107="","",IF(예비품목록!$F104="",0,예비품목록!$F104))</f>
        <v/>
      </c>
    </row>
    <row r="108" customFormat="false" ht="15" hidden="false" customHeight="true" outlineLevel="0" collapsed="false">
      <c r="A108" s="15" t="str">
        <f aca="false">IF(예비품목록!$A105="","",예비품목록!$A105)</f>
        <v/>
      </c>
      <c r="B108" s="15" t="str">
        <f aca="false">IF($A108="","",예비품목록!$B105)</f>
        <v/>
      </c>
      <c r="C108" s="15" t="str">
        <f aca="false">IF($A108="","",예비품목록!$D105)</f>
        <v/>
      </c>
      <c r="D108" s="24" t="str">
        <f aca="false">IF($A108="","",SUMIFS(예비품입출고!$F$3:$F$602,예비품입출고!$C$3:$C$602,$A108,예비품입출고!$B$3:$B$602,"입고"))</f>
        <v/>
      </c>
      <c r="E108" s="24" t="str">
        <f aca="false">IF($A108="","",SUMIFS(예비품입출고!$F$3:$F$602,예비품입출고!$C$3:$C$602,$A108,예비품입출고!$B$3:$B$602,"출고"))</f>
        <v/>
      </c>
      <c r="F108" s="24" t="str">
        <f aca="false">IF($A108="","",IF(예비품목록!$E105="",0,예비품목록!$E105)+SUMIFS(예비품입출고!$J$3:$J$602,예비품입출고!$C$3:$C$602,$A108))</f>
        <v/>
      </c>
      <c r="G108" s="24" t="str">
        <f aca="false">IF($A108="","",MAX(0,$H108-$F108))</f>
        <v/>
      </c>
      <c r="H108" s="24" t="str">
        <f aca="false">IF($A108="","",IF(예비품목록!$F105="",0,예비품목록!$F105))</f>
        <v/>
      </c>
    </row>
    <row r="109" customFormat="false" ht="15" hidden="false" customHeight="true" outlineLevel="0" collapsed="false">
      <c r="A109" s="15" t="str">
        <f aca="false">IF(예비품목록!$A106="","",예비품목록!$A106)</f>
        <v/>
      </c>
      <c r="B109" s="15" t="str">
        <f aca="false">IF($A109="","",예비품목록!$B106)</f>
        <v/>
      </c>
      <c r="C109" s="15" t="str">
        <f aca="false">IF($A109="","",예비품목록!$D106)</f>
        <v/>
      </c>
      <c r="D109" s="24" t="str">
        <f aca="false">IF($A109="","",SUMIFS(예비품입출고!$F$3:$F$602,예비품입출고!$C$3:$C$602,$A109,예비품입출고!$B$3:$B$602,"입고"))</f>
        <v/>
      </c>
      <c r="E109" s="24" t="str">
        <f aca="false">IF($A109="","",SUMIFS(예비품입출고!$F$3:$F$602,예비품입출고!$C$3:$C$602,$A109,예비품입출고!$B$3:$B$602,"출고"))</f>
        <v/>
      </c>
      <c r="F109" s="24" t="str">
        <f aca="false">IF($A109="","",IF(예비품목록!$E106="",0,예비품목록!$E106)+SUMIFS(예비품입출고!$J$3:$J$602,예비품입출고!$C$3:$C$602,$A109))</f>
        <v/>
      </c>
      <c r="G109" s="24" t="str">
        <f aca="false">IF($A109="","",MAX(0,$H109-$F109))</f>
        <v/>
      </c>
      <c r="H109" s="24" t="str">
        <f aca="false">IF($A109="","",IF(예비품목록!$F106="",0,예비품목록!$F106))</f>
        <v/>
      </c>
    </row>
    <row r="110" customFormat="false" ht="15" hidden="false" customHeight="true" outlineLevel="0" collapsed="false">
      <c r="A110" s="15" t="str">
        <f aca="false">IF(예비품목록!$A107="","",예비품목록!$A107)</f>
        <v/>
      </c>
      <c r="B110" s="15" t="str">
        <f aca="false">IF($A110="","",예비품목록!$B107)</f>
        <v/>
      </c>
      <c r="C110" s="15" t="str">
        <f aca="false">IF($A110="","",예비품목록!$D107)</f>
        <v/>
      </c>
      <c r="D110" s="24" t="str">
        <f aca="false">IF($A110="","",SUMIFS(예비품입출고!$F$3:$F$602,예비품입출고!$C$3:$C$602,$A110,예비품입출고!$B$3:$B$602,"입고"))</f>
        <v/>
      </c>
      <c r="E110" s="24" t="str">
        <f aca="false">IF($A110="","",SUMIFS(예비품입출고!$F$3:$F$602,예비품입출고!$C$3:$C$602,$A110,예비품입출고!$B$3:$B$602,"출고"))</f>
        <v/>
      </c>
      <c r="F110" s="24" t="str">
        <f aca="false">IF($A110="","",IF(예비품목록!$E107="",0,예비품목록!$E107)+SUMIFS(예비품입출고!$J$3:$J$602,예비품입출고!$C$3:$C$602,$A110))</f>
        <v/>
      </c>
      <c r="G110" s="24" t="str">
        <f aca="false">IF($A110="","",MAX(0,$H110-$F110))</f>
        <v/>
      </c>
      <c r="H110" s="24" t="str">
        <f aca="false">IF($A110="","",IF(예비품목록!$F107="",0,예비품목록!$F107))</f>
        <v/>
      </c>
    </row>
    <row r="111" customFormat="false" ht="15" hidden="false" customHeight="true" outlineLevel="0" collapsed="false">
      <c r="A111" s="15" t="str">
        <f aca="false">IF(예비품목록!$A108="","",예비품목록!$A108)</f>
        <v/>
      </c>
      <c r="B111" s="15" t="str">
        <f aca="false">IF($A111="","",예비품목록!$B108)</f>
        <v/>
      </c>
      <c r="C111" s="15" t="str">
        <f aca="false">IF($A111="","",예비품목록!$D108)</f>
        <v/>
      </c>
      <c r="D111" s="24" t="str">
        <f aca="false">IF($A111="","",SUMIFS(예비품입출고!$F$3:$F$602,예비품입출고!$C$3:$C$602,$A111,예비품입출고!$B$3:$B$602,"입고"))</f>
        <v/>
      </c>
      <c r="E111" s="24" t="str">
        <f aca="false">IF($A111="","",SUMIFS(예비품입출고!$F$3:$F$602,예비품입출고!$C$3:$C$602,$A111,예비품입출고!$B$3:$B$602,"출고"))</f>
        <v/>
      </c>
      <c r="F111" s="24" t="str">
        <f aca="false">IF($A111="","",IF(예비품목록!$E108="",0,예비품목록!$E108)+SUMIFS(예비품입출고!$J$3:$J$602,예비품입출고!$C$3:$C$602,$A111))</f>
        <v/>
      </c>
      <c r="G111" s="24" t="str">
        <f aca="false">IF($A111="","",MAX(0,$H111-$F111))</f>
        <v/>
      </c>
      <c r="H111" s="24" t="str">
        <f aca="false">IF($A111="","",IF(예비품목록!$F108="",0,예비품목록!$F108))</f>
        <v/>
      </c>
    </row>
    <row r="112" customFormat="false" ht="15" hidden="false" customHeight="true" outlineLevel="0" collapsed="false">
      <c r="A112" s="15" t="str">
        <f aca="false">IF(예비품목록!$A109="","",예비품목록!$A109)</f>
        <v/>
      </c>
      <c r="B112" s="15" t="str">
        <f aca="false">IF($A112="","",예비품목록!$B109)</f>
        <v/>
      </c>
      <c r="C112" s="15" t="str">
        <f aca="false">IF($A112="","",예비품목록!$D109)</f>
        <v/>
      </c>
      <c r="D112" s="24" t="str">
        <f aca="false">IF($A112="","",SUMIFS(예비품입출고!$F$3:$F$602,예비품입출고!$C$3:$C$602,$A112,예비품입출고!$B$3:$B$602,"입고"))</f>
        <v/>
      </c>
      <c r="E112" s="24" t="str">
        <f aca="false">IF($A112="","",SUMIFS(예비품입출고!$F$3:$F$602,예비품입출고!$C$3:$C$602,$A112,예비품입출고!$B$3:$B$602,"출고"))</f>
        <v/>
      </c>
      <c r="F112" s="24" t="str">
        <f aca="false">IF($A112="","",IF(예비품목록!$E109="",0,예비품목록!$E109)+SUMIFS(예비품입출고!$J$3:$J$602,예비품입출고!$C$3:$C$602,$A112))</f>
        <v/>
      </c>
      <c r="G112" s="24" t="str">
        <f aca="false">IF($A112="","",MAX(0,$H112-$F112))</f>
        <v/>
      </c>
      <c r="H112" s="24" t="str">
        <f aca="false">IF($A112="","",IF(예비품목록!$F109="",0,예비품목록!$F109))</f>
        <v/>
      </c>
    </row>
    <row r="113" customFormat="false" ht="15" hidden="false" customHeight="true" outlineLevel="0" collapsed="false">
      <c r="A113" s="15" t="str">
        <f aca="false">IF(예비품목록!$A110="","",예비품목록!$A110)</f>
        <v/>
      </c>
      <c r="B113" s="15" t="str">
        <f aca="false">IF($A113="","",예비품목록!$B110)</f>
        <v/>
      </c>
      <c r="C113" s="15" t="str">
        <f aca="false">IF($A113="","",예비품목록!$D110)</f>
        <v/>
      </c>
      <c r="D113" s="24" t="str">
        <f aca="false">IF($A113="","",SUMIFS(예비품입출고!$F$3:$F$602,예비품입출고!$C$3:$C$602,$A113,예비품입출고!$B$3:$B$602,"입고"))</f>
        <v/>
      </c>
      <c r="E113" s="24" t="str">
        <f aca="false">IF($A113="","",SUMIFS(예비품입출고!$F$3:$F$602,예비품입출고!$C$3:$C$602,$A113,예비품입출고!$B$3:$B$602,"출고"))</f>
        <v/>
      </c>
      <c r="F113" s="24" t="str">
        <f aca="false">IF($A113="","",IF(예비품목록!$E110="",0,예비품목록!$E110)+SUMIFS(예비품입출고!$J$3:$J$602,예비품입출고!$C$3:$C$602,$A113))</f>
        <v/>
      </c>
      <c r="G113" s="24" t="str">
        <f aca="false">IF($A113="","",MAX(0,$H113-$F113))</f>
        <v/>
      </c>
      <c r="H113" s="24" t="str">
        <f aca="false">IF($A113="","",IF(예비품목록!$F110="",0,예비품목록!$F110))</f>
        <v/>
      </c>
    </row>
    <row r="114" customFormat="false" ht="15" hidden="false" customHeight="true" outlineLevel="0" collapsed="false">
      <c r="A114" s="15" t="str">
        <f aca="false">IF(예비품목록!$A111="","",예비품목록!$A111)</f>
        <v/>
      </c>
      <c r="B114" s="15" t="str">
        <f aca="false">IF($A114="","",예비품목록!$B111)</f>
        <v/>
      </c>
      <c r="C114" s="15" t="str">
        <f aca="false">IF($A114="","",예비품목록!$D111)</f>
        <v/>
      </c>
      <c r="D114" s="24" t="str">
        <f aca="false">IF($A114="","",SUMIFS(예비품입출고!$F$3:$F$602,예비품입출고!$C$3:$C$602,$A114,예비품입출고!$B$3:$B$602,"입고"))</f>
        <v/>
      </c>
      <c r="E114" s="24" t="str">
        <f aca="false">IF($A114="","",SUMIFS(예비품입출고!$F$3:$F$602,예비품입출고!$C$3:$C$602,$A114,예비품입출고!$B$3:$B$602,"출고"))</f>
        <v/>
      </c>
      <c r="F114" s="24" t="str">
        <f aca="false">IF($A114="","",IF(예비품목록!$E111="",0,예비품목록!$E111)+SUMIFS(예비품입출고!$J$3:$J$602,예비품입출고!$C$3:$C$602,$A114))</f>
        <v/>
      </c>
      <c r="G114" s="24" t="str">
        <f aca="false">IF($A114="","",MAX(0,$H114-$F114))</f>
        <v/>
      </c>
      <c r="H114" s="24" t="str">
        <f aca="false">IF($A114="","",IF(예비품목록!$F111="",0,예비품목록!$F111))</f>
        <v/>
      </c>
    </row>
    <row r="115" customFormat="false" ht="15" hidden="false" customHeight="true" outlineLevel="0" collapsed="false">
      <c r="A115" s="15" t="str">
        <f aca="false">IF(예비품목록!$A112="","",예비품목록!$A112)</f>
        <v/>
      </c>
      <c r="B115" s="15" t="str">
        <f aca="false">IF($A115="","",예비품목록!$B112)</f>
        <v/>
      </c>
      <c r="C115" s="15" t="str">
        <f aca="false">IF($A115="","",예비품목록!$D112)</f>
        <v/>
      </c>
      <c r="D115" s="24" t="str">
        <f aca="false">IF($A115="","",SUMIFS(예비품입출고!$F$3:$F$602,예비품입출고!$C$3:$C$602,$A115,예비품입출고!$B$3:$B$602,"입고"))</f>
        <v/>
      </c>
      <c r="E115" s="24" t="str">
        <f aca="false">IF($A115="","",SUMIFS(예비품입출고!$F$3:$F$602,예비품입출고!$C$3:$C$602,$A115,예비품입출고!$B$3:$B$602,"출고"))</f>
        <v/>
      </c>
      <c r="F115" s="24" t="str">
        <f aca="false">IF($A115="","",IF(예비품목록!$E112="",0,예비품목록!$E112)+SUMIFS(예비품입출고!$J$3:$J$602,예비품입출고!$C$3:$C$602,$A115))</f>
        <v/>
      </c>
      <c r="G115" s="24" t="str">
        <f aca="false">IF($A115="","",MAX(0,$H115-$F115))</f>
        <v/>
      </c>
      <c r="H115" s="24" t="str">
        <f aca="false">IF($A115="","",IF(예비품목록!$F112="",0,예비품목록!$F112))</f>
        <v/>
      </c>
    </row>
    <row r="116" customFormat="false" ht="15" hidden="false" customHeight="true" outlineLevel="0" collapsed="false">
      <c r="A116" s="15" t="str">
        <f aca="false">IF(예비품목록!$A113="","",예비품목록!$A113)</f>
        <v/>
      </c>
      <c r="B116" s="15" t="str">
        <f aca="false">IF($A116="","",예비품목록!$B113)</f>
        <v/>
      </c>
      <c r="C116" s="15" t="str">
        <f aca="false">IF($A116="","",예비품목록!$D113)</f>
        <v/>
      </c>
      <c r="D116" s="24" t="str">
        <f aca="false">IF($A116="","",SUMIFS(예비품입출고!$F$3:$F$602,예비품입출고!$C$3:$C$602,$A116,예비품입출고!$B$3:$B$602,"입고"))</f>
        <v/>
      </c>
      <c r="E116" s="24" t="str">
        <f aca="false">IF($A116="","",SUMIFS(예비품입출고!$F$3:$F$602,예비품입출고!$C$3:$C$602,$A116,예비품입출고!$B$3:$B$602,"출고"))</f>
        <v/>
      </c>
      <c r="F116" s="24" t="str">
        <f aca="false">IF($A116="","",IF(예비품목록!$E113="",0,예비품목록!$E113)+SUMIFS(예비품입출고!$J$3:$J$602,예비품입출고!$C$3:$C$602,$A116))</f>
        <v/>
      </c>
      <c r="G116" s="24" t="str">
        <f aca="false">IF($A116="","",MAX(0,$H116-$F116))</f>
        <v/>
      </c>
      <c r="H116" s="24" t="str">
        <f aca="false">IF($A116="","",IF(예비품목록!$F113="",0,예비품목록!$F113))</f>
        <v/>
      </c>
    </row>
    <row r="117" customFormat="false" ht="15" hidden="false" customHeight="true" outlineLevel="0" collapsed="false">
      <c r="A117" s="15" t="str">
        <f aca="false">IF(예비품목록!$A114="","",예비품목록!$A114)</f>
        <v/>
      </c>
      <c r="B117" s="15" t="str">
        <f aca="false">IF($A117="","",예비품목록!$B114)</f>
        <v/>
      </c>
      <c r="C117" s="15" t="str">
        <f aca="false">IF($A117="","",예비품목록!$D114)</f>
        <v/>
      </c>
      <c r="D117" s="24" t="str">
        <f aca="false">IF($A117="","",SUMIFS(예비품입출고!$F$3:$F$602,예비품입출고!$C$3:$C$602,$A117,예비품입출고!$B$3:$B$602,"입고"))</f>
        <v/>
      </c>
      <c r="E117" s="24" t="str">
        <f aca="false">IF($A117="","",SUMIFS(예비품입출고!$F$3:$F$602,예비품입출고!$C$3:$C$602,$A117,예비품입출고!$B$3:$B$602,"출고"))</f>
        <v/>
      </c>
      <c r="F117" s="24" t="str">
        <f aca="false">IF($A117="","",IF(예비품목록!$E114="",0,예비품목록!$E114)+SUMIFS(예비품입출고!$J$3:$J$602,예비품입출고!$C$3:$C$602,$A117))</f>
        <v/>
      </c>
      <c r="G117" s="24" t="str">
        <f aca="false">IF($A117="","",MAX(0,$H117-$F117))</f>
        <v/>
      </c>
      <c r="H117" s="24" t="str">
        <f aca="false">IF($A117="","",IF(예비품목록!$F114="",0,예비품목록!$F114))</f>
        <v/>
      </c>
    </row>
    <row r="118" customFormat="false" ht="15" hidden="false" customHeight="true" outlineLevel="0" collapsed="false">
      <c r="A118" s="15" t="str">
        <f aca="false">IF(예비품목록!$A115="","",예비품목록!$A115)</f>
        <v/>
      </c>
      <c r="B118" s="15" t="str">
        <f aca="false">IF($A118="","",예비품목록!$B115)</f>
        <v/>
      </c>
      <c r="C118" s="15" t="str">
        <f aca="false">IF($A118="","",예비품목록!$D115)</f>
        <v/>
      </c>
      <c r="D118" s="24" t="str">
        <f aca="false">IF($A118="","",SUMIFS(예비품입출고!$F$3:$F$602,예비품입출고!$C$3:$C$602,$A118,예비품입출고!$B$3:$B$602,"입고"))</f>
        <v/>
      </c>
      <c r="E118" s="24" t="str">
        <f aca="false">IF($A118="","",SUMIFS(예비품입출고!$F$3:$F$602,예비품입출고!$C$3:$C$602,$A118,예비품입출고!$B$3:$B$602,"출고"))</f>
        <v/>
      </c>
      <c r="F118" s="24" t="str">
        <f aca="false">IF($A118="","",IF(예비품목록!$E115="",0,예비품목록!$E115)+SUMIFS(예비품입출고!$J$3:$J$602,예비품입출고!$C$3:$C$602,$A118))</f>
        <v/>
      </c>
      <c r="G118" s="24" t="str">
        <f aca="false">IF($A118="","",MAX(0,$H118-$F118))</f>
        <v/>
      </c>
      <c r="H118" s="24" t="str">
        <f aca="false">IF($A118="","",IF(예비품목록!$F115="",0,예비품목록!$F115))</f>
        <v/>
      </c>
    </row>
    <row r="119" customFormat="false" ht="15" hidden="false" customHeight="true" outlineLevel="0" collapsed="false">
      <c r="A119" s="15" t="str">
        <f aca="false">IF(예비품목록!$A116="","",예비품목록!$A116)</f>
        <v/>
      </c>
      <c r="B119" s="15" t="str">
        <f aca="false">IF($A119="","",예비품목록!$B116)</f>
        <v/>
      </c>
      <c r="C119" s="15" t="str">
        <f aca="false">IF($A119="","",예비품목록!$D116)</f>
        <v/>
      </c>
      <c r="D119" s="24" t="str">
        <f aca="false">IF($A119="","",SUMIFS(예비품입출고!$F$3:$F$602,예비품입출고!$C$3:$C$602,$A119,예비품입출고!$B$3:$B$602,"입고"))</f>
        <v/>
      </c>
      <c r="E119" s="24" t="str">
        <f aca="false">IF($A119="","",SUMIFS(예비품입출고!$F$3:$F$602,예비품입출고!$C$3:$C$602,$A119,예비품입출고!$B$3:$B$602,"출고"))</f>
        <v/>
      </c>
      <c r="F119" s="24" t="str">
        <f aca="false">IF($A119="","",IF(예비품목록!$E116="",0,예비품목록!$E116)+SUMIFS(예비품입출고!$J$3:$J$602,예비품입출고!$C$3:$C$602,$A119))</f>
        <v/>
      </c>
      <c r="G119" s="24" t="str">
        <f aca="false">IF($A119="","",MAX(0,$H119-$F119))</f>
        <v/>
      </c>
      <c r="H119" s="24" t="str">
        <f aca="false">IF($A119="","",IF(예비품목록!$F116="",0,예비품목록!$F116))</f>
        <v/>
      </c>
    </row>
    <row r="120" customFormat="false" ht="15" hidden="false" customHeight="true" outlineLevel="0" collapsed="false">
      <c r="A120" s="15" t="str">
        <f aca="false">IF(예비품목록!$A117="","",예비품목록!$A117)</f>
        <v/>
      </c>
      <c r="B120" s="15" t="str">
        <f aca="false">IF($A120="","",예비품목록!$B117)</f>
        <v/>
      </c>
      <c r="C120" s="15" t="str">
        <f aca="false">IF($A120="","",예비품목록!$D117)</f>
        <v/>
      </c>
      <c r="D120" s="24" t="str">
        <f aca="false">IF($A120="","",SUMIFS(예비품입출고!$F$3:$F$602,예비품입출고!$C$3:$C$602,$A120,예비품입출고!$B$3:$B$602,"입고"))</f>
        <v/>
      </c>
      <c r="E120" s="24" t="str">
        <f aca="false">IF($A120="","",SUMIFS(예비품입출고!$F$3:$F$602,예비품입출고!$C$3:$C$602,$A120,예비품입출고!$B$3:$B$602,"출고"))</f>
        <v/>
      </c>
      <c r="F120" s="24" t="str">
        <f aca="false">IF($A120="","",IF(예비품목록!$E117="",0,예비품목록!$E117)+SUMIFS(예비품입출고!$J$3:$J$602,예비품입출고!$C$3:$C$602,$A120))</f>
        <v/>
      </c>
      <c r="G120" s="24" t="str">
        <f aca="false">IF($A120="","",MAX(0,$H120-$F120))</f>
        <v/>
      </c>
      <c r="H120" s="24" t="str">
        <f aca="false">IF($A120="","",IF(예비품목록!$F117="",0,예비품목록!$F117))</f>
        <v/>
      </c>
    </row>
    <row r="121" customFormat="false" ht="15" hidden="false" customHeight="true" outlineLevel="0" collapsed="false">
      <c r="A121" s="15" t="str">
        <f aca="false">IF(예비품목록!$A118="","",예비품목록!$A118)</f>
        <v/>
      </c>
      <c r="B121" s="15" t="str">
        <f aca="false">IF($A121="","",예비품목록!$B118)</f>
        <v/>
      </c>
      <c r="C121" s="15" t="str">
        <f aca="false">IF($A121="","",예비품목록!$D118)</f>
        <v/>
      </c>
      <c r="D121" s="24" t="str">
        <f aca="false">IF($A121="","",SUMIFS(예비품입출고!$F$3:$F$602,예비품입출고!$C$3:$C$602,$A121,예비품입출고!$B$3:$B$602,"입고"))</f>
        <v/>
      </c>
      <c r="E121" s="24" t="str">
        <f aca="false">IF($A121="","",SUMIFS(예비품입출고!$F$3:$F$602,예비품입출고!$C$3:$C$602,$A121,예비품입출고!$B$3:$B$602,"출고"))</f>
        <v/>
      </c>
      <c r="F121" s="24" t="str">
        <f aca="false">IF($A121="","",IF(예비품목록!$E118="",0,예비품목록!$E118)+SUMIFS(예비품입출고!$J$3:$J$602,예비품입출고!$C$3:$C$602,$A121))</f>
        <v/>
      </c>
      <c r="G121" s="24" t="str">
        <f aca="false">IF($A121="","",MAX(0,$H121-$F121))</f>
        <v/>
      </c>
      <c r="H121" s="24" t="str">
        <f aca="false">IF($A121="","",IF(예비품목록!$F118="",0,예비품목록!$F118))</f>
        <v/>
      </c>
    </row>
    <row r="122" customFormat="false" ht="15" hidden="false" customHeight="true" outlineLevel="0" collapsed="false">
      <c r="A122" s="15" t="str">
        <f aca="false">IF(예비품목록!$A119="","",예비품목록!$A119)</f>
        <v/>
      </c>
      <c r="B122" s="15" t="str">
        <f aca="false">IF($A122="","",예비품목록!$B119)</f>
        <v/>
      </c>
      <c r="C122" s="15" t="str">
        <f aca="false">IF($A122="","",예비품목록!$D119)</f>
        <v/>
      </c>
      <c r="D122" s="24" t="str">
        <f aca="false">IF($A122="","",SUMIFS(예비품입출고!$F$3:$F$602,예비품입출고!$C$3:$C$602,$A122,예비품입출고!$B$3:$B$602,"입고"))</f>
        <v/>
      </c>
      <c r="E122" s="24" t="str">
        <f aca="false">IF($A122="","",SUMIFS(예비품입출고!$F$3:$F$602,예비품입출고!$C$3:$C$602,$A122,예비품입출고!$B$3:$B$602,"출고"))</f>
        <v/>
      </c>
      <c r="F122" s="24" t="str">
        <f aca="false">IF($A122="","",IF(예비품목록!$E119="",0,예비품목록!$E119)+SUMIFS(예비품입출고!$J$3:$J$602,예비품입출고!$C$3:$C$602,$A122))</f>
        <v/>
      </c>
      <c r="G122" s="24" t="str">
        <f aca="false">IF($A122="","",MAX(0,$H122-$F122))</f>
        <v/>
      </c>
      <c r="H122" s="24" t="str">
        <f aca="false">IF($A122="","",IF(예비품목록!$F119="",0,예비품목록!$F119))</f>
        <v/>
      </c>
    </row>
    <row r="123" customFormat="false" ht="15" hidden="false" customHeight="true" outlineLevel="0" collapsed="false">
      <c r="A123" s="15" t="str">
        <f aca="false">IF(예비품목록!$A120="","",예비품목록!$A120)</f>
        <v/>
      </c>
      <c r="B123" s="15" t="str">
        <f aca="false">IF($A123="","",예비품목록!$B120)</f>
        <v/>
      </c>
      <c r="C123" s="15" t="str">
        <f aca="false">IF($A123="","",예비품목록!$D120)</f>
        <v/>
      </c>
      <c r="D123" s="24" t="str">
        <f aca="false">IF($A123="","",SUMIFS(예비품입출고!$F$3:$F$602,예비품입출고!$C$3:$C$602,$A123,예비품입출고!$B$3:$B$602,"입고"))</f>
        <v/>
      </c>
      <c r="E123" s="24" t="str">
        <f aca="false">IF($A123="","",SUMIFS(예비품입출고!$F$3:$F$602,예비품입출고!$C$3:$C$602,$A123,예비품입출고!$B$3:$B$602,"출고"))</f>
        <v/>
      </c>
      <c r="F123" s="24" t="str">
        <f aca="false">IF($A123="","",IF(예비품목록!$E120="",0,예비품목록!$E120)+SUMIFS(예비품입출고!$J$3:$J$602,예비품입출고!$C$3:$C$602,$A123))</f>
        <v/>
      </c>
      <c r="G123" s="24" t="str">
        <f aca="false">IF($A123="","",MAX(0,$H123-$F123))</f>
        <v/>
      </c>
      <c r="H123" s="24" t="str">
        <f aca="false">IF($A123="","",IF(예비품목록!$F120="",0,예비품목록!$F120))</f>
        <v/>
      </c>
    </row>
    <row r="124" customFormat="false" ht="15" hidden="false" customHeight="true" outlineLevel="0" collapsed="false">
      <c r="A124" s="15" t="str">
        <f aca="false">IF(예비품목록!$A121="","",예비품목록!$A121)</f>
        <v/>
      </c>
      <c r="B124" s="15" t="str">
        <f aca="false">IF($A124="","",예비품목록!$B121)</f>
        <v/>
      </c>
      <c r="C124" s="15" t="str">
        <f aca="false">IF($A124="","",예비품목록!$D121)</f>
        <v/>
      </c>
      <c r="D124" s="24" t="str">
        <f aca="false">IF($A124="","",SUMIFS(예비품입출고!$F$3:$F$602,예비품입출고!$C$3:$C$602,$A124,예비품입출고!$B$3:$B$602,"입고"))</f>
        <v/>
      </c>
      <c r="E124" s="24" t="str">
        <f aca="false">IF($A124="","",SUMIFS(예비품입출고!$F$3:$F$602,예비품입출고!$C$3:$C$602,$A124,예비품입출고!$B$3:$B$602,"출고"))</f>
        <v/>
      </c>
      <c r="F124" s="24" t="str">
        <f aca="false">IF($A124="","",IF(예비품목록!$E121="",0,예비품목록!$E121)+SUMIFS(예비품입출고!$J$3:$J$602,예비품입출고!$C$3:$C$602,$A124))</f>
        <v/>
      </c>
      <c r="G124" s="24" t="str">
        <f aca="false">IF($A124="","",MAX(0,$H124-$F124))</f>
        <v/>
      </c>
      <c r="H124" s="24" t="str">
        <f aca="false">IF($A124="","",IF(예비품목록!$F121="",0,예비품목록!$F121))</f>
        <v/>
      </c>
    </row>
    <row r="125" customFormat="false" ht="15" hidden="false" customHeight="true" outlineLevel="0" collapsed="false">
      <c r="A125" s="15" t="str">
        <f aca="false">IF(예비품목록!$A122="","",예비품목록!$A122)</f>
        <v/>
      </c>
      <c r="B125" s="15" t="str">
        <f aca="false">IF($A125="","",예비품목록!$B122)</f>
        <v/>
      </c>
      <c r="C125" s="15" t="str">
        <f aca="false">IF($A125="","",예비품목록!$D122)</f>
        <v/>
      </c>
      <c r="D125" s="24" t="str">
        <f aca="false">IF($A125="","",SUMIFS(예비품입출고!$F$3:$F$602,예비품입출고!$C$3:$C$602,$A125,예비품입출고!$B$3:$B$602,"입고"))</f>
        <v/>
      </c>
      <c r="E125" s="24" t="str">
        <f aca="false">IF($A125="","",SUMIFS(예비품입출고!$F$3:$F$602,예비품입출고!$C$3:$C$602,$A125,예비품입출고!$B$3:$B$602,"출고"))</f>
        <v/>
      </c>
      <c r="F125" s="24" t="str">
        <f aca="false">IF($A125="","",IF(예비품목록!$E122="",0,예비품목록!$E122)+SUMIFS(예비품입출고!$J$3:$J$602,예비품입출고!$C$3:$C$602,$A125))</f>
        <v/>
      </c>
      <c r="G125" s="24" t="str">
        <f aca="false">IF($A125="","",MAX(0,$H125-$F125))</f>
        <v/>
      </c>
      <c r="H125" s="24" t="str">
        <f aca="false">IF($A125="","",IF(예비품목록!$F122="",0,예비품목록!$F122))</f>
        <v/>
      </c>
    </row>
    <row r="126" customFormat="false" ht="15" hidden="false" customHeight="true" outlineLevel="0" collapsed="false">
      <c r="A126" s="15" t="str">
        <f aca="false">IF(예비품목록!$A123="","",예비품목록!$A123)</f>
        <v/>
      </c>
      <c r="B126" s="15" t="str">
        <f aca="false">IF($A126="","",예비품목록!$B123)</f>
        <v/>
      </c>
      <c r="C126" s="15" t="str">
        <f aca="false">IF($A126="","",예비품목록!$D123)</f>
        <v/>
      </c>
      <c r="D126" s="24" t="str">
        <f aca="false">IF($A126="","",SUMIFS(예비품입출고!$F$3:$F$602,예비품입출고!$C$3:$C$602,$A126,예비품입출고!$B$3:$B$602,"입고"))</f>
        <v/>
      </c>
      <c r="E126" s="24" t="str">
        <f aca="false">IF($A126="","",SUMIFS(예비품입출고!$F$3:$F$602,예비품입출고!$C$3:$C$602,$A126,예비품입출고!$B$3:$B$602,"출고"))</f>
        <v/>
      </c>
      <c r="F126" s="24" t="str">
        <f aca="false">IF($A126="","",IF(예비품목록!$E123="",0,예비품목록!$E123)+SUMIFS(예비품입출고!$J$3:$J$602,예비품입출고!$C$3:$C$602,$A126))</f>
        <v/>
      </c>
      <c r="G126" s="24" t="str">
        <f aca="false">IF($A126="","",MAX(0,$H126-$F126))</f>
        <v/>
      </c>
      <c r="H126" s="24" t="str">
        <f aca="false">IF($A126="","",IF(예비품목록!$F123="",0,예비품목록!$F123))</f>
        <v/>
      </c>
    </row>
    <row r="127" customFormat="false" ht="15" hidden="false" customHeight="true" outlineLevel="0" collapsed="false">
      <c r="A127" s="15" t="str">
        <f aca="false">IF(예비품목록!$A124="","",예비품목록!$A124)</f>
        <v/>
      </c>
      <c r="B127" s="15" t="str">
        <f aca="false">IF($A127="","",예비품목록!$B124)</f>
        <v/>
      </c>
      <c r="C127" s="15" t="str">
        <f aca="false">IF($A127="","",예비품목록!$D124)</f>
        <v/>
      </c>
      <c r="D127" s="24" t="str">
        <f aca="false">IF($A127="","",SUMIFS(예비품입출고!$F$3:$F$602,예비품입출고!$C$3:$C$602,$A127,예비품입출고!$B$3:$B$602,"입고"))</f>
        <v/>
      </c>
      <c r="E127" s="24" t="str">
        <f aca="false">IF($A127="","",SUMIFS(예비품입출고!$F$3:$F$602,예비품입출고!$C$3:$C$602,$A127,예비품입출고!$B$3:$B$602,"출고"))</f>
        <v/>
      </c>
      <c r="F127" s="24" t="str">
        <f aca="false">IF($A127="","",IF(예비품목록!$E124="",0,예비품목록!$E124)+SUMIFS(예비품입출고!$J$3:$J$602,예비품입출고!$C$3:$C$602,$A127))</f>
        <v/>
      </c>
      <c r="G127" s="24" t="str">
        <f aca="false">IF($A127="","",MAX(0,$H127-$F127))</f>
        <v/>
      </c>
      <c r="H127" s="24" t="str">
        <f aca="false">IF($A127="","",IF(예비품목록!$F124="",0,예비품목록!$F124))</f>
        <v/>
      </c>
    </row>
    <row r="128" customFormat="false" ht="15" hidden="false" customHeight="true" outlineLevel="0" collapsed="false">
      <c r="A128" s="15" t="str">
        <f aca="false">IF(예비품목록!$A125="","",예비품목록!$A125)</f>
        <v/>
      </c>
      <c r="B128" s="15" t="str">
        <f aca="false">IF($A128="","",예비품목록!$B125)</f>
        <v/>
      </c>
      <c r="C128" s="15" t="str">
        <f aca="false">IF($A128="","",예비품목록!$D125)</f>
        <v/>
      </c>
      <c r="D128" s="24" t="str">
        <f aca="false">IF($A128="","",SUMIFS(예비품입출고!$F$3:$F$602,예비품입출고!$C$3:$C$602,$A128,예비품입출고!$B$3:$B$602,"입고"))</f>
        <v/>
      </c>
      <c r="E128" s="24" t="str">
        <f aca="false">IF($A128="","",SUMIFS(예비품입출고!$F$3:$F$602,예비품입출고!$C$3:$C$602,$A128,예비품입출고!$B$3:$B$602,"출고"))</f>
        <v/>
      </c>
      <c r="F128" s="24" t="str">
        <f aca="false">IF($A128="","",IF(예비품목록!$E125="",0,예비품목록!$E125)+SUMIFS(예비품입출고!$J$3:$J$602,예비품입출고!$C$3:$C$602,$A128))</f>
        <v/>
      </c>
      <c r="G128" s="24" t="str">
        <f aca="false">IF($A128="","",MAX(0,$H128-$F128))</f>
        <v/>
      </c>
      <c r="H128" s="24" t="str">
        <f aca="false">IF($A128="","",IF(예비품목록!$F125="",0,예비품목록!$F125))</f>
        <v/>
      </c>
    </row>
    <row r="129" customFormat="false" ht="15" hidden="false" customHeight="true" outlineLevel="0" collapsed="false">
      <c r="A129" s="15" t="str">
        <f aca="false">IF(예비품목록!$A126="","",예비품목록!$A126)</f>
        <v/>
      </c>
      <c r="B129" s="15" t="str">
        <f aca="false">IF($A129="","",예비품목록!$B126)</f>
        <v/>
      </c>
      <c r="C129" s="15" t="str">
        <f aca="false">IF($A129="","",예비품목록!$D126)</f>
        <v/>
      </c>
      <c r="D129" s="24" t="str">
        <f aca="false">IF($A129="","",SUMIFS(예비품입출고!$F$3:$F$602,예비품입출고!$C$3:$C$602,$A129,예비품입출고!$B$3:$B$602,"입고"))</f>
        <v/>
      </c>
      <c r="E129" s="24" t="str">
        <f aca="false">IF($A129="","",SUMIFS(예비품입출고!$F$3:$F$602,예비품입출고!$C$3:$C$602,$A129,예비품입출고!$B$3:$B$602,"출고"))</f>
        <v/>
      </c>
      <c r="F129" s="24" t="str">
        <f aca="false">IF($A129="","",IF(예비품목록!$E126="",0,예비품목록!$E126)+SUMIFS(예비품입출고!$J$3:$J$602,예비품입출고!$C$3:$C$602,$A129))</f>
        <v/>
      </c>
      <c r="G129" s="24" t="str">
        <f aca="false">IF($A129="","",MAX(0,$H129-$F129))</f>
        <v/>
      </c>
      <c r="H129" s="24" t="str">
        <f aca="false">IF($A129="","",IF(예비품목록!$F126="",0,예비품목록!$F126))</f>
        <v/>
      </c>
    </row>
    <row r="130" customFormat="false" ht="15" hidden="false" customHeight="true" outlineLevel="0" collapsed="false">
      <c r="A130" s="15" t="str">
        <f aca="false">IF(예비품목록!$A127="","",예비품목록!$A127)</f>
        <v/>
      </c>
      <c r="B130" s="15" t="str">
        <f aca="false">IF($A130="","",예비품목록!$B127)</f>
        <v/>
      </c>
      <c r="C130" s="15" t="str">
        <f aca="false">IF($A130="","",예비품목록!$D127)</f>
        <v/>
      </c>
      <c r="D130" s="24" t="str">
        <f aca="false">IF($A130="","",SUMIFS(예비품입출고!$F$3:$F$602,예비품입출고!$C$3:$C$602,$A130,예비품입출고!$B$3:$B$602,"입고"))</f>
        <v/>
      </c>
      <c r="E130" s="24" t="str">
        <f aca="false">IF($A130="","",SUMIFS(예비품입출고!$F$3:$F$602,예비품입출고!$C$3:$C$602,$A130,예비품입출고!$B$3:$B$602,"출고"))</f>
        <v/>
      </c>
      <c r="F130" s="24" t="str">
        <f aca="false">IF($A130="","",IF(예비품목록!$E127="",0,예비품목록!$E127)+SUMIFS(예비품입출고!$J$3:$J$602,예비품입출고!$C$3:$C$602,$A130))</f>
        <v/>
      </c>
      <c r="G130" s="24" t="str">
        <f aca="false">IF($A130="","",MAX(0,$H130-$F130))</f>
        <v/>
      </c>
      <c r="H130" s="24" t="str">
        <f aca="false">IF($A130="","",IF(예비품목록!$F127="",0,예비품목록!$F127))</f>
        <v/>
      </c>
    </row>
    <row r="131" customFormat="false" ht="15" hidden="false" customHeight="true" outlineLevel="0" collapsed="false">
      <c r="A131" s="15" t="str">
        <f aca="false">IF(예비품목록!$A128="","",예비품목록!$A128)</f>
        <v/>
      </c>
      <c r="B131" s="15" t="str">
        <f aca="false">IF($A131="","",예비품목록!$B128)</f>
        <v/>
      </c>
      <c r="C131" s="15" t="str">
        <f aca="false">IF($A131="","",예비품목록!$D128)</f>
        <v/>
      </c>
      <c r="D131" s="24" t="str">
        <f aca="false">IF($A131="","",SUMIFS(예비품입출고!$F$3:$F$602,예비품입출고!$C$3:$C$602,$A131,예비품입출고!$B$3:$B$602,"입고"))</f>
        <v/>
      </c>
      <c r="E131" s="24" t="str">
        <f aca="false">IF($A131="","",SUMIFS(예비품입출고!$F$3:$F$602,예비품입출고!$C$3:$C$602,$A131,예비품입출고!$B$3:$B$602,"출고"))</f>
        <v/>
      </c>
      <c r="F131" s="24" t="str">
        <f aca="false">IF($A131="","",IF(예비품목록!$E128="",0,예비품목록!$E128)+SUMIFS(예비품입출고!$J$3:$J$602,예비품입출고!$C$3:$C$602,$A131))</f>
        <v/>
      </c>
      <c r="G131" s="24" t="str">
        <f aca="false">IF($A131="","",MAX(0,$H131-$F131))</f>
        <v/>
      </c>
      <c r="H131" s="24" t="str">
        <f aca="false">IF($A131="","",IF(예비품목록!$F128="",0,예비품목록!$F128))</f>
        <v/>
      </c>
    </row>
    <row r="132" customFormat="false" ht="15" hidden="false" customHeight="true" outlineLevel="0" collapsed="false">
      <c r="A132" s="15" t="str">
        <f aca="false">IF(예비품목록!$A129="","",예비품목록!$A129)</f>
        <v/>
      </c>
      <c r="B132" s="15" t="str">
        <f aca="false">IF($A132="","",예비품목록!$B129)</f>
        <v/>
      </c>
      <c r="C132" s="15" t="str">
        <f aca="false">IF($A132="","",예비품목록!$D129)</f>
        <v/>
      </c>
      <c r="D132" s="24" t="str">
        <f aca="false">IF($A132="","",SUMIFS(예비품입출고!$F$3:$F$602,예비품입출고!$C$3:$C$602,$A132,예비품입출고!$B$3:$B$602,"입고"))</f>
        <v/>
      </c>
      <c r="E132" s="24" t="str">
        <f aca="false">IF($A132="","",SUMIFS(예비품입출고!$F$3:$F$602,예비품입출고!$C$3:$C$602,$A132,예비품입출고!$B$3:$B$602,"출고"))</f>
        <v/>
      </c>
      <c r="F132" s="24" t="str">
        <f aca="false">IF($A132="","",IF(예비품목록!$E129="",0,예비품목록!$E129)+SUMIFS(예비품입출고!$J$3:$J$602,예비품입출고!$C$3:$C$602,$A132))</f>
        <v/>
      </c>
      <c r="G132" s="24" t="str">
        <f aca="false">IF($A132="","",MAX(0,$H132-$F132))</f>
        <v/>
      </c>
      <c r="H132" s="24" t="str">
        <f aca="false">IF($A132="","",IF(예비품목록!$F129="",0,예비품목록!$F129))</f>
        <v/>
      </c>
    </row>
    <row r="133" customFormat="false" ht="15" hidden="false" customHeight="true" outlineLevel="0" collapsed="false">
      <c r="A133" s="15" t="str">
        <f aca="false">IF(예비품목록!$A130="","",예비품목록!$A130)</f>
        <v/>
      </c>
      <c r="B133" s="15" t="str">
        <f aca="false">IF($A133="","",예비품목록!$B130)</f>
        <v/>
      </c>
      <c r="C133" s="15" t="str">
        <f aca="false">IF($A133="","",예비품목록!$D130)</f>
        <v/>
      </c>
      <c r="D133" s="24" t="str">
        <f aca="false">IF($A133="","",SUMIFS(예비품입출고!$F$3:$F$602,예비품입출고!$C$3:$C$602,$A133,예비품입출고!$B$3:$B$602,"입고"))</f>
        <v/>
      </c>
      <c r="E133" s="24" t="str">
        <f aca="false">IF($A133="","",SUMIFS(예비품입출고!$F$3:$F$602,예비품입출고!$C$3:$C$602,$A133,예비품입출고!$B$3:$B$602,"출고"))</f>
        <v/>
      </c>
      <c r="F133" s="24" t="str">
        <f aca="false">IF($A133="","",IF(예비품목록!$E130="",0,예비품목록!$E130)+SUMIFS(예비품입출고!$J$3:$J$602,예비품입출고!$C$3:$C$602,$A133))</f>
        <v/>
      </c>
      <c r="G133" s="24" t="str">
        <f aca="false">IF($A133="","",MAX(0,$H133-$F133))</f>
        <v/>
      </c>
      <c r="H133" s="24" t="str">
        <f aca="false">IF($A133="","",IF(예비품목록!$F130="",0,예비품목록!$F130))</f>
        <v/>
      </c>
    </row>
    <row r="134" customFormat="false" ht="15" hidden="false" customHeight="true" outlineLevel="0" collapsed="false">
      <c r="A134" s="15" t="str">
        <f aca="false">IF(예비품목록!$A131="","",예비품목록!$A131)</f>
        <v/>
      </c>
      <c r="B134" s="15" t="str">
        <f aca="false">IF($A134="","",예비품목록!$B131)</f>
        <v/>
      </c>
      <c r="C134" s="15" t="str">
        <f aca="false">IF($A134="","",예비품목록!$D131)</f>
        <v/>
      </c>
      <c r="D134" s="24" t="str">
        <f aca="false">IF($A134="","",SUMIFS(예비품입출고!$F$3:$F$602,예비품입출고!$C$3:$C$602,$A134,예비품입출고!$B$3:$B$602,"입고"))</f>
        <v/>
      </c>
      <c r="E134" s="24" t="str">
        <f aca="false">IF($A134="","",SUMIFS(예비품입출고!$F$3:$F$602,예비품입출고!$C$3:$C$602,$A134,예비품입출고!$B$3:$B$602,"출고"))</f>
        <v/>
      </c>
      <c r="F134" s="24" t="str">
        <f aca="false">IF($A134="","",IF(예비품목록!$E131="",0,예비품목록!$E131)+SUMIFS(예비품입출고!$J$3:$J$602,예비품입출고!$C$3:$C$602,$A134))</f>
        <v/>
      </c>
      <c r="G134" s="24" t="str">
        <f aca="false">IF($A134="","",MAX(0,$H134-$F134))</f>
        <v/>
      </c>
      <c r="H134" s="24" t="str">
        <f aca="false">IF($A134="","",IF(예비품목록!$F131="",0,예비품목록!$F131))</f>
        <v/>
      </c>
    </row>
    <row r="135" customFormat="false" ht="15" hidden="false" customHeight="true" outlineLevel="0" collapsed="false">
      <c r="A135" s="15" t="str">
        <f aca="false">IF(예비품목록!$A132="","",예비품목록!$A132)</f>
        <v/>
      </c>
      <c r="B135" s="15" t="str">
        <f aca="false">IF($A135="","",예비품목록!$B132)</f>
        <v/>
      </c>
      <c r="C135" s="15" t="str">
        <f aca="false">IF($A135="","",예비품목록!$D132)</f>
        <v/>
      </c>
      <c r="D135" s="24" t="str">
        <f aca="false">IF($A135="","",SUMIFS(예비품입출고!$F$3:$F$602,예비품입출고!$C$3:$C$602,$A135,예비품입출고!$B$3:$B$602,"입고"))</f>
        <v/>
      </c>
      <c r="E135" s="24" t="str">
        <f aca="false">IF($A135="","",SUMIFS(예비품입출고!$F$3:$F$602,예비품입출고!$C$3:$C$602,$A135,예비품입출고!$B$3:$B$602,"출고"))</f>
        <v/>
      </c>
      <c r="F135" s="24" t="str">
        <f aca="false">IF($A135="","",IF(예비품목록!$E132="",0,예비품목록!$E132)+SUMIFS(예비품입출고!$J$3:$J$602,예비품입출고!$C$3:$C$602,$A135))</f>
        <v/>
      </c>
      <c r="G135" s="24" t="str">
        <f aca="false">IF($A135="","",MAX(0,$H135-$F135))</f>
        <v/>
      </c>
      <c r="H135" s="24" t="str">
        <f aca="false">IF($A135="","",IF(예비품목록!$F132="",0,예비품목록!$F132))</f>
        <v/>
      </c>
    </row>
    <row r="136" customFormat="false" ht="15" hidden="false" customHeight="true" outlineLevel="0" collapsed="false">
      <c r="A136" s="15" t="str">
        <f aca="false">IF(예비품목록!$A133="","",예비품목록!$A133)</f>
        <v/>
      </c>
      <c r="B136" s="15" t="str">
        <f aca="false">IF($A136="","",예비품목록!$B133)</f>
        <v/>
      </c>
      <c r="C136" s="15" t="str">
        <f aca="false">IF($A136="","",예비품목록!$D133)</f>
        <v/>
      </c>
      <c r="D136" s="24" t="str">
        <f aca="false">IF($A136="","",SUMIFS(예비품입출고!$F$3:$F$602,예비품입출고!$C$3:$C$602,$A136,예비품입출고!$B$3:$B$602,"입고"))</f>
        <v/>
      </c>
      <c r="E136" s="24" t="str">
        <f aca="false">IF($A136="","",SUMIFS(예비품입출고!$F$3:$F$602,예비품입출고!$C$3:$C$602,$A136,예비품입출고!$B$3:$B$602,"출고"))</f>
        <v/>
      </c>
      <c r="F136" s="24" t="str">
        <f aca="false">IF($A136="","",IF(예비품목록!$E133="",0,예비품목록!$E133)+SUMIFS(예비품입출고!$J$3:$J$602,예비품입출고!$C$3:$C$602,$A136))</f>
        <v/>
      </c>
      <c r="G136" s="24" t="str">
        <f aca="false">IF($A136="","",MAX(0,$H136-$F136))</f>
        <v/>
      </c>
      <c r="H136" s="24" t="str">
        <f aca="false">IF($A136="","",IF(예비품목록!$F133="",0,예비품목록!$F133))</f>
        <v/>
      </c>
    </row>
    <row r="137" customFormat="false" ht="15" hidden="false" customHeight="true" outlineLevel="0" collapsed="false">
      <c r="A137" s="15" t="str">
        <f aca="false">IF(예비품목록!$A134="","",예비품목록!$A134)</f>
        <v/>
      </c>
      <c r="B137" s="15" t="str">
        <f aca="false">IF($A137="","",예비품목록!$B134)</f>
        <v/>
      </c>
      <c r="C137" s="15" t="str">
        <f aca="false">IF($A137="","",예비품목록!$D134)</f>
        <v/>
      </c>
      <c r="D137" s="24" t="str">
        <f aca="false">IF($A137="","",SUMIFS(예비품입출고!$F$3:$F$602,예비품입출고!$C$3:$C$602,$A137,예비품입출고!$B$3:$B$602,"입고"))</f>
        <v/>
      </c>
      <c r="E137" s="24" t="str">
        <f aca="false">IF($A137="","",SUMIFS(예비품입출고!$F$3:$F$602,예비품입출고!$C$3:$C$602,$A137,예비품입출고!$B$3:$B$602,"출고"))</f>
        <v/>
      </c>
      <c r="F137" s="24" t="str">
        <f aca="false">IF($A137="","",IF(예비품목록!$E134="",0,예비품목록!$E134)+SUMIFS(예비품입출고!$J$3:$J$602,예비품입출고!$C$3:$C$602,$A137))</f>
        <v/>
      </c>
      <c r="G137" s="24" t="str">
        <f aca="false">IF($A137="","",MAX(0,$H137-$F137))</f>
        <v/>
      </c>
      <c r="H137" s="24" t="str">
        <f aca="false">IF($A137="","",IF(예비품목록!$F134="",0,예비품목록!$F134))</f>
        <v/>
      </c>
    </row>
    <row r="138" customFormat="false" ht="15" hidden="false" customHeight="true" outlineLevel="0" collapsed="false">
      <c r="A138" s="15" t="str">
        <f aca="false">IF(예비품목록!$A135="","",예비품목록!$A135)</f>
        <v/>
      </c>
      <c r="B138" s="15" t="str">
        <f aca="false">IF($A138="","",예비품목록!$B135)</f>
        <v/>
      </c>
      <c r="C138" s="15" t="str">
        <f aca="false">IF($A138="","",예비품목록!$D135)</f>
        <v/>
      </c>
      <c r="D138" s="24" t="str">
        <f aca="false">IF($A138="","",SUMIFS(예비품입출고!$F$3:$F$602,예비품입출고!$C$3:$C$602,$A138,예비품입출고!$B$3:$B$602,"입고"))</f>
        <v/>
      </c>
      <c r="E138" s="24" t="str">
        <f aca="false">IF($A138="","",SUMIFS(예비품입출고!$F$3:$F$602,예비품입출고!$C$3:$C$602,$A138,예비품입출고!$B$3:$B$602,"출고"))</f>
        <v/>
      </c>
      <c r="F138" s="24" t="str">
        <f aca="false">IF($A138="","",IF(예비품목록!$E135="",0,예비품목록!$E135)+SUMIFS(예비품입출고!$J$3:$J$602,예비품입출고!$C$3:$C$602,$A138))</f>
        <v/>
      </c>
      <c r="G138" s="24" t="str">
        <f aca="false">IF($A138="","",MAX(0,$H138-$F138))</f>
        <v/>
      </c>
      <c r="H138" s="24" t="str">
        <f aca="false">IF($A138="","",IF(예비품목록!$F135="",0,예비품목록!$F135))</f>
        <v/>
      </c>
    </row>
    <row r="139" customFormat="false" ht="15" hidden="false" customHeight="true" outlineLevel="0" collapsed="false">
      <c r="A139" s="15" t="str">
        <f aca="false">IF(예비품목록!$A136="","",예비품목록!$A136)</f>
        <v/>
      </c>
      <c r="B139" s="15" t="str">
        <f aca="false">IF($A139="","",예비품목록!$B136)</f>
        <v/>
      </c>
      <c r="C139" s="15" t="str">
        <f aca="false">IF($A139="","",예비품목록!$D136)</f>
        <v/>
      </c>
      <c r="D139" s="24" t="str">
        <f aca="false">IF($A139="","",SUMIFS(예비품입출고!$F$3:$F$602,예비품입출고!$C$3:$C$602,$A139,예비품입출고!$B$3:$B$602,"입고"))</f>
        <v/>
      </c>
      <c r="E139" s="24" t="str">
        <f aca="false">IF($A139="","",SUMIFS(예비품입출고!$F$3:$F$602,예비품입출고!$C$3:$C$602,$A139,예비품입출고!$B$3:$B$602,"출고"))</f>
        <v/>
      </c>
      <c r="F139" s="24" t="str">
        <f aca="false">IF($A139="","",IF(예비품목록!$E136="",0,예비품목록!$E136)+SUMIFS(예비품입출고!$J$3:$J$602,예비품입출고!$C$3:$C$602,$A139))</f>
        <v/>
      </c>
      <c r="G139" s="24" t="str">
        <f aca="false">IF($A139="","",MAX(0,$H139-$F139))</f>
        <v/>
      </c>
      <c r="H139" s="24" t="str">
        <f aca="false">IF($A139="","",IF(예비품목록!$F136="",0,예비품목록!$F136))</f>
        <v/>
      </c>
    </row>
    <row r="140" customFormat="false" ht="15" hidden="false" customHeight="true" outlineLevel="0" collapsed="false">
      <c r="A140" s="15" t="str">
        <f aca="false">IF(예비품목록!$A137="","",예비품목록!$A137)</f>
        <v/>
      </c>
      <c r="B140" s="15" t="str">
        <f aca="false">IF($A140="","",예비품목록!$B137)</f>
        <v/>
      </c>
      <c r="C140" s="15" t="str">
        <f aca="false">IF($A140="","",예비품목록!$D137)</f>
        <v/>
      </c>
      <c r="D140" s="24" t="str">
        <f aca="false">IF($A140="","",SUMIFS(예비품입출고!$F$3:$F$602,예비품입출고!$C$3:$C$602,$A140,예비품입출고!$B$3:$B$602,"입고"))</f>
        <v/>
      </c>
      <c r="E140" s="24" t="str">
        <f aca="false">IF($A140="","",SUMIFS(예비품입출고!$F$3:$F$602,예비품입출고!$C$3:$C$602,$A140,예비품입출고!$B$3:$B$602,"출고"))</f>
        <v/>
      </c>
      <c r="F140" s="24" t="str">
        <f aca="false">IF($A140="","",IF(예비품목록!$E137="",0,예비품목록!$E137)+SUMIFS(예비품입출고!$J$3:$J$602,예비품입출고!$C$3:$C$602,$A140))</f>
        <v/>
      </c>
      <c r="G140" s="24" t="str">
        <f aca="false">IF($A140="","",MAX(0,$H140-$F140))</f>
        <v/>
      </c>
      <c r="H140" s="24" t="str">
        <f aca="false">IF($A140="","",IF(예비품목록!$F137="",0,예비품목록!$F137))</f>
        <v/>
      </c>
    </row>
    <row r="141" customFormat="false" ht="15" hidden="false" customHeight="true" outlineLevel="0" collapsed="false">
      <c r="A141" s="15" t="str">
        <f aca="false">IF(예비품목록!$A138="","",예비품목록!$A138)</f>
        <v/>
      </c>
      <c r="B141" s="15" t="str">
        <f aca="false">IF($A141="","",예비품목록!$B138)</f>
        <v/>
      </c>
      <c r="C141" s="15" t="str">
        <f aca="false">IF($A141="","",예비품목록!$D138)</f>
        <v/>
      </c>
      <c r="D141" s="24" t="str">
        <f aca="false">IF($A141="","",SUMIFS(예비품입출고!$F$3:$F$602,예비품입출고!$C$3:$C$602,$A141,예비품입출고!$B$3:$B$602,"입고"))</f>
        <v/>
      </c>
      <c r="E141" s="24" t="str">
        <f aca="false">IF($A141="","",SUMIFS(예비품입출고!$F$3:$F$602,예비품입출고!$C$3:$C$602,$A141,예비품입출고!$B$3:$B$602,"출고"))</f>
        <v/>
      </c>
      <c r="F141" s="24" t="str">
        <f aca="false">IF($A141="","",IF(예비품목록!$E138="",0,예비품목록!$E138)+SUMIFS(예비품입출고!$J$3:$J$602,예비품입출고!$C$3:$C$602,$A141))</f>
        <v/>
      </c>
      <c r="G141" s="24" t="str">
        <f aca="false">IF($A141="","",MAX(0,$H141-$F141))</f>
        <v/>
      </c>
      <c r="H141" s="24" t="str">
        <f aca="false">IF($A141="","",IF(예비품목록!$F138="",0,예비품목록!$F138))</f>
        <v/>
      </c>
    </row>
    <row r="142" customFormat="false" ht="15" hidden="false" customHeight="true" outlineLevel="0" collapsed="false">
      <c r="A142" s="15" t="str">
        <f aca="false">IF(예비품목록!$A139="","",예비품목록!$A139)</f>
        <v/>
      </c>
      <c r="B142" s="15" t="str">
        <f aca="false">IF($A142="","",예비품목록!$B139)</f>
        <v/>
      </c>
      <c r="C142" s="15" t="str">
        <f aca="false">IF($A142="","",예비품목록!$D139)</f>
        <v/>
      </c>
      <c r="D142" s="24" t="str">
        <f aca="false">IF($A142="","",SUMIFS(예비품입출고!$F$3:$F$602,예비품입출고!$C$3:$C$602,$A142,예비품입출고!$B$3:$B$602,"입고"))</f>
        <v/>
      </c>
      <c r="E142" s="24" t="str">
        <f aca="false">IF($A142="","",SUMIFS(예비품입출고!$F$3:$F$602,예비품입출고!$C$3:$C$602,$A142,예비품입출고!$B$3:$B$602,"출고"))</f>
        <v/>
      </c>
      <c r="F142" s="24" t="str">
        <f aca="false">IF($A142="","",IF(예비품목록!$E139="",0,예비품목록!$E139)+SUMIFS(예비품입출고!$J$3:$J$602,예비품입출고!$C$3:$C$602,$A142))</f>
        <v/>
      </c>
      <c r="G142" s="24" t="str">
        <f aca="false">IF($A142="","",MAX(0,$H142-$F142))</f>
        <v/>
      </c>
      <c r="H142" s="24" t="str">
        <f aca="false">IF($A142="","",IF(예비품목록!$F139="",0,예비품목록!$F139))</f>
        <v/>
      </c>
    </row>
    <row r="143" customFormat="false" ht="15" hidden="false" customHeight="true" outlineLevel="0" collapsed="false">
      <c r="A143" s="15" t="str">
        <f aca="false">IF(예비품목록!$A140="","",예비품목록!$A140)</f>
        <v/>
      </c>
      <c r="B143" s="15" t="str">
        <f aca="false">IF($A143="","",예비품목록!$B140)</f>
        <v/>
      </c>
      <c r="C143" s="15" t="str">
        <f aca="false">IF($A143="","",예비품목록!$D140)</f>
        <v/>
      </c>
      <c r="D143" s="24" t="str">
        <f aca="false">IF($A143="","",SUMIFS(예비품입출고!$F$3:$F$602,예비품입출고!$C$3:$C$602,$A143,예비품입출고!$B$3:$B$602,"입고"))</f>
        <v/>
      </c>
      <c r="E143" s="24" t="str">
        <f aca="false">IF($A143="","",SUMIFS(예비품입출고!$F$3:$F$602,예비품입출고!$C$3:$C$602,$A143,예비품입출고!$B$3:$B$602,"출고"))</f>
        <v/>
      </c>
      <c r="F143" s="24" t="str">
        <f aca="false">IF($A143="","",IF(예비품목록!$E140="",0,예비품목록!$E140)+SUMIFS(예비품입출고!$J$3:$J$602,예비품입출고!$C$3:$C$602,$A143))</f>
        <v/>
      </c>
      <c r="G143" s="24" t="str">
        <f aca="false">IF($A143="","",MAX(0,$H143-$F143))</f>
        <v/>
      </c>
      <c r="H143" s="24" t="str">
        <f aca="false">IF($A143="","",IF(예비품목록!$F140="",0,예비품목록!$F140))</f>
        <v/>
      </c>
    </row>
    <row r="144" customFormat="false" ht="15" hidden="false" customHeight="true" outlineLevel="0" collapsed="false">
      <c r="A144" s="15" t="str">
        <f aca="false">IF(예비품목록!$A141="","",예비품목록!$A141)</f>
        <v/>
      </c>
      <c r="B144" s="15" t="str">
        <f aca="false">IF($A144="","",예비품목록!$B141)</f>
        <v/>
      </c>
      <c r="C144" s="15" t="str">
        <f aca="false">IF($A144="","",예비품목록!$D141)</f>
        <v/>
      </c>
      <c r="D144" s="24" t="str">
        <f aca="false">IF($A144="","",SUMIFS(예비품입출고!$F$3:$F$602,예비품입출고!$C$3:$C$602,$A144,예비품입출고!$B$3:$B$602,"입고"))</f>
        <v/>
      </c>
      <c r="E144" s="24" t="str">
        <f aca="false">IF($A144="","",SUMIFS(예비품입출고!$F$3:$F$602,예비품입출고!$C$3:$C$602,$A144,예비품입출고!$B$3:$B$602,"출고"))</f>
        <v/>
      </c>
      <c r="F144" s="24" t="str">
        <f aca="false">IF($A144="","",IF(예비품목록!$E141="",0,예비품목록!$E141)+SUMIFS(예비품입출고!$J$3:$J$602,예비품입출고!$C$3:$C$602,$A144))</f>
        <v/>
      </c>
      <c r="G144" s="24" t="str">
        <f aca="false">IF($A144="","",MAX(0,$H144-$F144))</f>
        <v/>
      </c>
      <c r="H144" s="24" t="str">
        <f aca="false">IF($A144="","",IF(예비품목록!$F141="",0,예비품목록!$F141))</f>
        <v/>
      </c>
    </row>
    <row r="145" customFormat="false" ht="15" hidden="false" customHeight="true" outlineLevel="0" collapsed="false">
      <c r="A145" s="15" t="str">
        <f aca="false">IF(예비품목록!$A142="","",예비품목록!$A142)</f>
        <v/>
      </c>
      <c r="B145" s="15" t="str">
        <f aca="false">IF($A145="","",예비품목록!$B142)</f>
        <v/>
      </c>
      <c r="C145" s="15" t="str">
        <f aca="false">IF($A145="","",예비품목록!$D142)</f>
        <v/>
      </c>
      <c r="D145" s="24" t="str">
        <f aca="false">IF($A145="","",SUMIFS(예비품입출고!$F$3:$F$602,예비품입출고!$C$3:$C$602,$A145,예비품입출고!$B$3:$B$602,"입고"))</f>
        <v/>
      </c>
      <c r="E145" s="24" t="str">
        <f aca="false">IF($A145="","",SUMIFS(예비품입출고!$F$3:$F$602,예비품입출고!$C$3:$C$602,$A145,예비품입출고!$B$3:$B$602,"출고"))</f>
        <v/>
      </c>
      <c r="F145" s="24" t="str">
        <f aca="false">IF($A145="","",IF(예비품목록!$E142="",0,예비품목록!$E142)+SUMIFS(예비품입출고!$J$3:$J$602,예비품입출고!$C$3:$C$602,$A145))</f>
        <v/>
      </c>
      <c r="G145" s="24" t="str">
        <f aca="false">IF($A145="","",MAX(0,$H145-$F145))</f>
        <v/>
      </c>
      <c r="H145" s="24" t="str">
        <f aca="false">IF($A145="","",IF(예비품목록!$F142="",0,예비품목록!$F142))</f>
        <v/>
      </c>
    </row>
    <row r="146" customFormat="false" ht="15" hidden="false" customHeight="true" outlineLevel="0" collapsed="false">
      <c r="A146" s="15" t="str">
        <f aca="false">IF(예비품목록!$A143="","",예비품목록!$A143)</f>
        <v/>
      </c>
      <c r="B146" s="15" t="str">
        <f aca="false">IF($A146="","",예비품목록!$B143)</f>
        <v/>
      </c>
      <c r="C146" s="15" t="str">
        <f aca="false">IF($A146="","",예비품목록!$D143)</f>
        <v/>
      </c>
      <c r="D146" s="24" t="str">
        <f aca="false">IF($A146="","",SUMIFS(예비품입출고!$F$3:$F$602,예비품입출고!$C$3:$C$602,$A146,예비품입출고!$B$3:$B$602,"입고"))</f>
        <v/>
      </c>
      <c r="E146" s="24" t="str">
        <f aca="false">IF($A146="","",SUMIFS(예비품입출고!$F$3:$F$602,예비품입출고!$C$3:$C$602,$A146,예비품입출고!$B$3:$B$602,"출고"))</f>
        <v/>
      </c>
      <c r="F146" s="24" t="str">
        <f aca="false">IF($A146="","",IF(예비품목록!$E143="",0,예비품목록!$E143)+SUMIFS(예비품입출고!$J$3:$J$602,예비품입출고!$C$3:$C$602,$A146))</f>
        <v/>
      </c>
      <c r="G146" s="24" t="str">
        <f aca="false">IF($A146="","",MAX(0,$H146-$F146))</f>
        <v/>
      </c>
      <c r="H146" s="24" t="str">
        <f aca="false">IF($A146="","",IF(예비품목록!$F143="",0,예비품목록!$F143))</f>
        <v/>
      </c>
    </row>
    <row r="147" customFormat="false" ht="15" hidden="false" customHeight="true" outlineLevel="0" collapsed="false">
      <c r="A147" s="15" t="str">
        <f aca="false">IF(예비품목록!$A144="","",예비품목록!$A144)</f>
        <v/>
      </c>
      <c r="B147" s="15" t="str">
        <f aca="false">IF($A147="","",예비품목록!$B144)</f>
        <v/>
      </c>
      <c r="C147" s="15" t="str">
        <f aca="false">IF($A147="","",예비품목록!$D144)</f>
        <v/>
      </c>
      <c r="D147" s="24" t="str">
        <f aca="false">IF($A147="","",SUMIFS(예비품입출고!$F$3:$F$602,예비품입출고!$C$3:$C$602,$A147,예비품입출고!$B$3:$B$602,"입고"))</f>
        <v/>
      </c>
      <c r="E147" s="24" t="str">
        <f aca="false">IF($A147="","",SUMIFS(예비품입출고!$F$3:$F$602,예비품입출고!$C$3:$C$602,$A147,예비품입출고!$B$3:$B$602,"출고"))</f>
        <v/>
      </c>
      <c r="F147" s="24" t="str">
        <f aca="false">IF($A147="","",IF(예비품목록!$E144="",0,예비품목록!$E144)+SUMIFS(예비품입출고!$J$3:$J$602,예비품입출고!$C$3:$C$602,$A147))</f>
        <v/>
      </c>
      <c r="G147" s="24" t="str">
        <f aca="false">IF($A147="","",MAX(0,$H147-$F147))</f>
        <v/>
      </c>
      <c r="H147" s="24" t="str">
        <f aca="false">IF($A147="","",IF(예비품목록!$F144="",0,예비품목록!$F144))</f>
        <v/>
      </c>
    </row>
    <row r="148" customFormat="false" ht="15" hidden="false" customHeight="true" outlineLevel="0" collapsed="false">
      <c r="A148" s="15" t="str">
        <f aca="false">IF(예비품목록!$A145="","",예비품목록!$A145)</f>
        <v/>
      </c>
      <c r="B148" s="15" t="str">
        <f aca="false">IF($A148="","",예비품목록!$B145)</f>
        <v/>
      </c>
      <c r="C148" s="15" t="str">
        <f aca="false">IF($A148="","",예비품목록!$D145)</f>
        <v/>
      </c>
      <c r="D148" s="24" t="str">
        <f aca="false">IF($A148="","",SUMIFS(예비품입출고!$F$3:$F$602,예비품입출고!$C$3:$C$602,$A148,예비품입출고!$B$3:$B$602,"입고"))</f>
        <v/>
      </c>
      <c r="E148" s="24" t="str">
        <f aca="false">IF($A148="","",SUMIFS(예비품입출고!$F$3:$F$602,예비품입출고!$C$3:$C$602,$A148,예비품입출고!$B$3:$B$602,"출고"))</f>
        <v/>
      </c>
      <c r="F148" s="24" t="str">
        <f aca="false">IF($A148="","",IF(예비품목록!$E145="",0,예비품목록!$E145)+SUMIFS(예비품입출고!$J$3:$J$602,예비품입출고!$C$3:$C$602,$A148))</f>
        <v/>
      </c>
      <c r="G148" s="24" t="str">
        <f aca="false">IF($A148="","",MAX(0,$H148-$F148))</f>
        <v/>
      </c>
      <c r="H148" s="24" t="str">
        <f aca="false">IF($A148="","",IF(예비품목록!$F145="",0,예비품목록!$F145))</f>
        <v/>
      </c>
    </row>
    <row r="149" customFormat="false" ht="15" hidden="false" customHeight="true" outlineLevel="0" collapsed="false">
      <c r="A149" s="15" t="str">
        <f aca="false">IF(예비품목록!$A146="","",예비품목록!$A146)</f>
        <v/>
      </c>
      <c r="B149" s="15" t="str">
        <f aca="false">IF($A149="","",예비품목록!$B146)</f>
        <v/>
      </c>
      <c r="C149" s="15" t="str">
        <f aca="false">IF($A149="","",예비품목록!$D146)</f>
        <v/>
      </c>
      <c r="D149" s="24" t="str">
        <f aca="false">IF($A149="","",SUMIFS(예비품입출고!$F$3:$F$602,예비품입출고!$C$3:$C$602,$A149,예비품입출고!$B$3:$B$602,"입고"))</f>
        <v/>
      </c>
      <c r="E149" s="24" t="str">
        <f aca="false">IF($A149="","",SUMIFS(예비품입출고!$F$3:$F$602,예비품입출고!$C$3:$C$602,$A149,예비품입출고!$B$3:$B$602,"출고"))</f>
        <v/>
      </c>
      <c r="F149" s="24" t="str">
        <f aca="false">IF($A149="","",IF(예비품목록!$E146="",0,예비품목록!$E146)+SUMIFS(예비품입출고!$J$3:$J$602,예비품입출고!$C$3:$C$602,$A149))</f>
        <v/>
      </c>
      <c r="G149" s="24" t="str">
        <f aca="false">IF($A149="","",MAX(0,$H149-$F149))</f>
        <v/>
      </c>
      <c r="H149" s="24" t="str">
        <f aca="false">IF($A149="","",IF(예비품목록!$F146="",0,예비품목록!$F146))</f>
        <v/>
      </c>
    </row>
    <row r="150" customFormat="false" ht="15" hidden="false" customHeight="true" outlineLevel="0" collapsed="false">
      <c r="A150" s="15" t="str">
        <f aca="false">IF(예비품목록!$A147="","",예비품목록!$A147)</f>
        <v/>
      </c>
      <c r="B150" s="15" t="str">
        <f aca="false">IF($A150="","",예비품목록!$B147)</f>
        <v/>
      </c>
      <c r="C150" s="15" t="str">
        <f aca="false">IF($A150="","",예비품목록!$D147)</f>
        <v/>
      </c>
      <c r="D150" s="24" t="str">
        <f aca="false">IF($A150="","",SUMIFS(예비품입출고!$F$3:$F$602,예비품입출고!$C$3:$C$602,$A150,예비품입출고!$B$3:$B$602,"입고"))</f>
        <v/>
      </c>
      <c r="E150" s="24" t="str">
        <f aca="false">IF($A150="","",SUMIFS(예비품입출고!$F$3:$F$602,예비품입출고!$C$3:$C$602,$A150,예비품입출고!$B$3:$B$602,"출고"))</f>
        <v/>
      </c>
      <c r="F150" s="24" t="str">
        <f aca="false">IF($A150="","",IF(예비품목록!$E147="",0,예비품목록!$E147)+SUMIFS(예비품입출고!$J$3:$J$602,예비품입출고!$C$3:$C$602,$A150))</f>
        <v/>
      </c>
      <c r="G150" s="24" t="str">
        <f aca="false">IF($A150="","",MAX(0,$H150-$F150))</f>
        <v/>
      </c>
      <c r="H150" s="24" t="str">
        <f aca="false">IF($A150="","",IF(예비품목록!$F147="",0,예비품목록!$F147))</f>
        <v/>
      </c>
    </row>
    <row r="151" customFormat="false" ht="15" hidden="false" customHeight="true" outlineLevel="0" collapsed="false">
      <c r="A151" s="15" t="str">
        <f aca="false">IF(예비품목록!$A148="","",예비품목록!$A148)</f>
        <v/>
      </c>
      <c r="B151" s="15" t="str">
        <f aca="false">IF($A151="","",예비품목록!$B148)</f>
        <v/>
      </c>
      <c r="C151" s="15" t="str">
        <f aca="false">IF($A151="","",예비품목록!$D148)</f>
        <v/>
      </c>
      <c r="D151" s="24" t="str">
        <f aca="false">IF($A151="","",SUMIFS(예비품입출고!$F$3:$F$602,예비품입출고!$C$3:$C$602,$A151,예비품입출고!$B$3:$B$602,"입고"))</f>
        <v/>
      </c>
      <c r="E151" s="24" t="str">
        <f aca="false">IF($A151="","",SUMIFS(예비품입출고!$F$3:$F$602,예비품입출고!$C$3:$C$602,$A151,예비품입출고!$B$3:$B$602,"출고"))</f>
        <v/>
      </c>
      <c r="F151" s="24" t="str">
        <f aca="false">IF($A151="","",IF(예비품목록!$E148="",0,예비품목록!$E148)+SUMIFS(예비품입출고!$J$3:$J$602,예비품입출고!$C$3:$C$602,$A151))</f>
        <v/>
      </c>
      <c r="G151" s="24" t="str">
        <f aca="false">IF($A151="","",MAX(0,$H151-$F151))</f>
        <v/>
      </c>
      <c r="H151" s="24" t="str">
        <f aca="false">IF($A151="","",IF(예비품목록!$F148="",0,예비품목록!$F148))</f>
        <v/>
      </c>
    </row>
    <row r="152" customFormat="false" ht="15" hidden="false" customHeight="true" outlineLevel="0" collapsed="false">
      <c r="A152" s="15" t="str">
        <f aca="false">IF(예비품목록!$A149="","",예비품목록!$A149)</f>
        <v/>
      </c>
      <c r="B152" s="15" t="str">
        <f aca="false">IF($A152="","",예비품목록!$B149)</f>
        <v/>
      </c>
      <c r="C152" s="15" t="str">
        <f aca="false">IF($A152="","",예비품목록!$D149)</f>
        <v/>
      </c>
      <c r="D152" s="24" t="str">
        <f aca="false">IF($A152="","",SUMIFS(예비품입출고!$F$3:$F$602,예비품입출고!$C$3:$C$602,$A152,예비품입출고!$B$3:$B$602,"입고"))</f>
        <v/>
      </c>
      <c r="E152" s="24" t="str">
        <f aca="false">IF($A152="","",SUMIFS(예비품입출고!$F$3:$F$602,예비품입출고!$C$3:$C$602,$A152,예비품입출고!$B$3:$B$602,"출고"))</f>
        <v/>
      </c>
      <c r="F152" s="24" t="str">
        <f aca="false">IF($A152="","",IF(예비품목록!$E149="",0,예비품목록!$E149)+SUMIFS(예비품입출고!$J$3:$J$602,예비품입출고!$C$3:$C$602,$A152))</f>
        <v/>
      </c>
      <c r="G152" s="24" t="str">
        <f aca="false">IF($A152="","",MAX(0,$H152-$F152))</f>
        <v/>
      </c>
      <c r="H152" s="24" t="str">
        <f aca="false">IF($A152="","",IF(예비품목록!$F149="",0,예비품목록!$F149))</f>
        <v/>
      </c>
    </row>
    <row r="153" customFormat="false" ht="15" hidden="false" customHeight="true" outlineLevel="0" collapsed="false">
      <c r="A153" s="15" t="str">
        <f aca="false">IF(예비품목록!$A150="","",예비품목록!$A150)</f>
        <v/>
      </c>
      <c r="B153" s="15" t="str">
        <f aca="false">IF($A153="","",예비품목록!$B150)</f>
        <v/>
      </c>
      <c r="C153" s="15" t="str">
        <f aca="false">IF($A153="","",예비품목록!$D150)</f>
        <v/>
      </c>
      <c r="D153" s="24" t="str">
        <f aca="false">IF($A153="","",SUMIFS(예비품입출고!$F$3:$F$602,예비품입출고!$C$3:$C$602,$A153,예비품입출고!$B$3:$B$602,"입고"))</f>
        <v/>
      </c>
      <c r="E153" s="24" t="str">
        <f aca="false">IF($A153="","",SUMIFS(예비품입출고!$F$3:$F$602,예비품입출고!$C$3:$C$602,$A153,예비품입출고!$B$3:$B$602,"출고"))</f>
        <v/>
      </c>
      <c r="F153" s="24" t="str">
        <f aca="false">IF($A153="","",IF(예비품목록!$E150="",0,예비품목록!$E150)+SUMIFS(예비품입출고!$J$3:$J$602,예비품입출고!$C$3:$C$602,$A153))</f>
        <v/>
      </c>
      <c r="G153" s="24" t="str">
        <f aca="false">IF($A153="","",MAX(0,$H153-$F153))</f>
        <v/>
      </c>
      <c r="H153" s="24" t="str">
        <f aca="false">IF($A153="","",IF(예비품목록!$F150="",0,예비품목록!$F150))</f>
        <v/>
      </c>
    </row>
    <row r="154" customFormat="false" ht="15" hidden="false" customHeight="true" outlineLevel="0" collapsed="false">
      <c r="A154" s="15" t="str">
        <f aca="false">IF(예비품목록!$A151="","",예비품목록!$A151)</f>
        <v/>
      </c>
      <c r="B154" s="15" t="str">
        <f aca="false">IF($A154="","",예비품목록!$B151)</f>
        <v/>
      </c>
      <c r="C154" s="15" t="str">
        <f aca="false">IF($A154="","",예비품목록!$D151)</f>
        <v/>
      </c>
      <c r="D154" s="24" t="str">
        <f aca="false">IF($A154="","",SUMIFS(예비품입출고!$F$3:$F$602,예비품입출고!$C$3:$C$602,$A154,예비품입출고!$B$3:$B$602,"입고"))</f>
        <v/>
      </c>
      <c r="E154" s="24" t="str">
        <f aca="false">IF($A154="","",SUMIFS(예비품입출고!$F$3:$F$602,예비품입출고!$C$3:$C$602,$A154,예비품입출고!$B$3:$B$602,"출고"))</f>
        <v/>
      </c>
      <c r="F154" s="24" t="str">
        <f aca="false">IF($A154="","",IF(예비품목록!$E151="",0,예비품목록!$E151)+SUMIFS(예비품입출고!$J$3:$J$602,예비품입출고!$C$3:$C$602,$A154))</f>
        <v/>
      </c>
      <c r="G154" s="24" t="str">
        <f aca="false">IF($A154="","",MAX(0,$H154-$F154))</f>
        <v/>
      </c>
      <c r="H154" s="24" t="str">
        <f aca="false">IF($A154="","",IF(예비품목록!$F151="",0,예비품목록!$F151))</f>
        <v/>
      </c>
    </row>
    <row r="155" customFormat="false" ht="15" hidden="false" customHeight="true" outlineLevel="0" collapsed="false">
      <c r="A155" s="15" t="str">
        <f aca="false">IF(예비품목록!$A152="","",예비품목록!$A152)</f>
        <v/>
      </c>
      <c r="B155" s="15" t="str">
        <f aca="false">IF($A155="","",예비품목록!$B152)</f>
        <v/>
      </c>
      <c r="C155" s="15" t="str">
        <f aca="false">IF($A155="","",예비품목록!$D152)</f>
        <v/>
      </c>
      <c r="D155" s="24" t="str">
        <f aca="false">IF($A155="","",SUMIFS(예비품입출고!$F$3:$F$602,예비품입출고!$C$3:$C$602,$A155,예비품입출고!$B$3:$B$602,"입고"))</f>
        <v/>
      </c>
      <c r="E155" s="24" t="str">
        <f aca="false">IF($A155="","",SUMIFS(예비품입출고!$F$3:$F$602,예비품입출고!$C$3:$C$602,$A155,예비품입출고!$B$3:$B$602,"출고"))</f>
        <v/>
      </c>
      <c r="F155" s="24" t="str">
        <f aca="false">IF($A155="","",IF(예비품목록!$E152="",0,예비품목록!$E152)+SUMIFS(예비품입출고!$J$3:$J$602,예비품입출고!$C$3:$C$602,$A155))</f>
        <v/>
      </c>
      <c r="G155" s="24" t="str">
        <f aca="false">IF($A155="","",MAX(0,$H155-$F155))</f>
        <v/>
      </c>
      <c r="H155" s="24" t="str">
        <f aca="false">IF($A155="","",IF(예비품목록!$F152="",0,예비품목록!$F152))</f>
        <v/>
      </c>
    </row>
    <row r="156" customFormat="false" ht="15" hidden="false" customHeight="true" outlineLevel="0" collapsed="false">
      <c r="A156" s="15" t="str">
        <f aca="false">IF(예비품목록!$A153="","",예비품목록!$A153)</f>
        <v/>
      </c>
      <c r="B156" s="15" t="str">
        <f aca="false">IF($A156="","",예비품목록!$B153)</f>
        <v/>
      </c>
      <c r="C156" s="15" t="str">
        <f aca="false">IF($A156="","",예비품목록!$D153)</f>
        <v/>
      </c>
      <c r="D156" s="24" t="str">
        <f aca="false">IF($A156="","",SUMIFS(예비품입출고!$F$3:$F$602,예비품입출고!$C$3:$C$602,$A156,예비품입출고!$B$3:$B$602,"입고"))</f>
        <v/>
      </c>
      <c r="E156" s="24" t="str">
        <f aca="false">IF($A156="","",SUMIFS(예비품입출고!$F$3:$F$602,예비품입출고!$C$3:$C$602,$A156,예비품입출고!$B$3:$B$602,"출고"))</f>
        <v/>
      </c>
      <c r="F156" s="24" t="str">
        <f aca="false">IF($A156="","",IF(예비품목록!$E153="",0,예비품목록!$E153)+SUMIFS(예비품입출고!$J$3:$J$602,예비품입출고!$C$3:$C$602,$A156))</f>
        <v/>
      </c>
      <c r="G156" s="24" t="str">
        <f aca="false">IF($A156="","",MAX(0,$H156-$F156))</f>
        <v/>
      </c>
      <c r="H156" s="24" t="str">
        <f aca="false">IF($A156="","",IF(예비품목록!$F153="",0,예비품목록!$F153))</f>
        <v/>
      </c>
    </row>
    <row r="157" customFormat="false" ht="15" hidden="false" customHeight="true" outlineLevel="0" collapsed="false">
      <c r="A157" s="15" t="str">
        <f aca="false">IF(예비품목록!$A154="","",예비품목록!$A154)</f>
        <v/>
      </c>
      <c r="B157" s="15" t="str">
        <f aca="false">IF($A157="","",예비품목록!$B154)</f>
        <v/>
      </c>
      <c r="C157" s="15" t="str">
        <f aca="false">IF($A157="","",예비품목록!$D154)</f>
        <v/>
      </c>
      <c r="D157" s="24" t="str">
        <f aca="false">IF($A157="","",SUMIFS(예비품입출고!$F$3:$F$602,예비품입출고!$C$3:$C$602,$A157,예비품입출고!$B$3:$B$602,"입고"))</f>
        <v/>
      </c>
      <c r="E157" s="24" t="str">
        <f aca="false">IF($A157="","",SUMIFS(예비품입출고!$F$3:$F$602,예비품입출고!$C$3:$C$602,$A157,예비품입출고!$B$3:$B$602,"출고"))</f>
        <v/>
      </c>
      <c r="F157" s="24" t="str">
        <f aca="false">IF($A157="","",IF(예비품목록!$E154="",0,예비품목록!$E154)+SUMIFS(예비품입출고!$J$3:$J$602,예비품입출고!$C$3:$C$602,$A157))</f>
        <v/>
      </c>
      <c r="G157" s="24" t="str">
        <f aca="false">IF($A157="","",MAX(0,$H157-$F157))</f>
        <v/>
      </c>
      <c r="H157" s="24" t="str">
        <f aca="false">IF($A157="","",IF(예비품목록!$F154="",0,예비품목록!$F154))</f>
        <v/>
      </c>
    </row>
    <row r="158" customFormat="false" ht="15" hidden="false" customHeight="true" outlineLevel="0" collapsed="false">
      <c r="A158" s="15" t="str">
        <f aca="false">IF(예비품목록!$A155="","",예비품목록!$A155)</f>
        <v/>
      </c>
      <c r="B158" s="15" t="str">
        <f aca="false">IF($A158="","",예비품목록!$B155)</f>
        <v/>
      </c>
      <c r="C158" s="15" t="str">
        <f aca="false">IF($A158="","",예비품목록!$D155)</f>
        <v/>
      </c>
      <c r="D158" s="24" t="str">
        <f aca="false">IF($A158="","",SUMIFS(예비품입출고!$F$3:$F$602,예비품입출고!$C$3:$C$602,$A158,예비품입출고!$B$3:$B$602,"입고"))</f>
        <v/>
      </c>
      <c r="E158" s="24" t="str">
        <f aca="false">IF($A158="","",SUMIFS(예비품입출고!$F$3:$F$602,예비품입출고!$C$3:$C$602,$A158,예비품입출고!$B$3:$B$602,"출고"))</f>
        <v/>
      </c>
      <c r="F158" s="24" t="str">
        <f aca="false">IF($A158="","",IF(예비품목록!$E155="",0,예비품목록!$E155)+SUMIFS(예비품입출고!$J$3:$J$602,예비품입출고!$C$3:$C$602,$A158))</f>
        <v/>
      </c>
      <c r="G158" s="24" t="str">
        <f aca="false">IF($A158="","",MAX(0,$H158-$F158))</f>
        <v/>
      </c>
      <c r="H158" s="24" t="str">
        <f aca="false">IF($A158="","",IF(예비품목록!$F155="",0,예비품목록!$F155))</f>
        <v/>
      </c>
    </row>
    <row r="159" customFormat="false" ht="15" hidden="false" customHeight="true" outlineLevel="0" collapsed="false">
      <c r="A159" s="15" t="str">
        <f aca="false">IF(예비품목록!$A156="","",예비품목록!$A156)</f>
        <v/>
      </c>
      <c r="B159" s="15" t="str">
        <f aca="false">IF($A159="","",예비품목록!$B156)</f>
        <v/>
      </c>
      <c r="C159" s="15" t="str">
        <f aca="false">IF($A159="","",예비품목록!$D156)</f>
        <v/>
      </c>
      <c r="D159" s="24" t="str">
        <f aca="false">IF($A159="","",SUMIFS(예비품입출고!$F$3:$F$602,예비품입출고!$C$3:$C$602,$A159,예비품입출고!$B$3:$B$602,"입고"))</f>
        <v/>
      </c>
      <c r="E159" s="24" t="str">
        <f aca="false">IF($A159="","",SUMIFS(예비품입출고!$F$3:$F$602,예비품입출고!$C$3:$C$602,$A159,예비품입출고!$B$3:$B$602,"출고"))</f>
        <v/>
      </c>
      <c r="F159" s="24" t="str">
        <f aca="false">IF($A159="","",IF(예비품목록!$E156="",0,예비품목록!$E156)+SUMIFS(예비품입출고!$J$3:$J$602,예비품입출고!$C$3:$C$602,$A159))</f>
        <v/>
      </c>
      <c r="G159" s="24" t="str">
        <f aca="false">IF($A159="","",MAX(0,$H159-$F159))</f>
        <v/>
      </c>
      <c r="H159" s="24" t="str">
        <f aca="false">IF($A159="","",IF(예비품목록!$F156="",0,예비품목록!$F156))</f>
        <v/>
      </c>
    </row>
    <row r="160" customFormat="false" ht="15" hidden="false" customHeight="true" outlineLevel="0" collapsed="false">
      <c r="A160" s="15" t="str">
        <f aca="false">IF(예비품목록!$A157="","",예비품목록!$A157)</f>
        <v/>
      </c>
      <c r="B160" s="15" t="str">
        <f aca="false">IF($A160="","",예비품목록!$B157)</f>
        <v/>
      </c>
      <c r="C160" s="15" t="str">
        <f aca="false">IF($A160="","",예비품목록!$D157)</f>
        <v/>
      </c>
      <c r="D160" s="24" t="str">
        <f aca="false">IF($A160="","",SUMIFS(예비품입출고!$F$3:$F$602,예비품입출고!$C$3:$C$602,$A160,예비품입출고!$B$3:$B$602,"입고"))</f>
        <v/>
      </c>
      <c r="E160" s="24" t="str">
        <f aca="false">IF($A160="","",SUMIFS(예비품입출고!$F$3:$F$602,예비품입출고!$C$3:$C$602,$A160,예비품입출고!$B$3:$B$602,"출고"))</f>
        <v/>
      </c>
      <c r="F160" s="24" t="str">
        <f aca="false">IF($A160="","",IF(예비품목록!$E157="",0,예비품목록!$E157)+SUMIFS(예비품입출고!$J$3:$J$602,예비품입출고!$C$3:$C$602,$A160))</f>
        <v/>
      </c>
      <c r="G160" s="24" t="str">
        <f aca="false">IF($A160="","",MAX(0,$H160-$F160))</f>
        <v/>
      </c>
      <c r="H160" s="24" t="str">
        <f aca="false">IF($A160="","",IF(예비품목록!$F157="",0,예비품목록!$F157))</f>
        <v/>
      </c>
    </row>
    <row r="161" customFormat="false" ht="15" hidden="false" customHeight="true" outlineLevel="0" collapsed="false">
      <c r="A161" s="15" t="str">
        <f aca="false">IF(예비품목록!$A158="","",예비품목록!$A158)</f>
        <v/>
      </c>
      <c r="B161" s="15" t="str">
        <f aca="false">IF($A161="","",예비품목록!$B158)</f>
        <v/>
      </c>
      <c r="C161" s="15" t="str">
        <f aca="false">IF($A161="","",예비품목록!$D158)</f>
        <v/>
      </c>
      <c r="D161" s="24" t="str">
        <f aca="false">IF($A161="","",SUMIFS(예비품입출고!$F$3:$F$602,예비품입출고!$C$3:$C$602,$A161,예비품입출고!$B$3:$B$602,"입고"))</f>
        <v/>
      </c>
      <c r="E161" s="24" t="str">
        <f aca="false">IF($A161="","",SUMIFS(예비품입출고!$F$3:$F$602,예비품입출고!$C$3:$C$602,$A161,예비품입출고!$B$3:$B$602,"출고"))</f>
        <v/>
      </c>
      <c r="F161" s="24" t="str">
        <f aca="false">IF($A161="","",IF(예비품목록!$E158="",0,예비품목록!$E158)+SUMIFS(예비품입출고!$J$3:$J$602,예비품입출고!$C$3:$C$602,$A161))</f>
        <v/>
      </c>
      <c r="G161" s="24" t="str">
        <f aca="false">IF($A161="","",MAX(0,$H161-$F161))</f>
        <v/>
      </c>
      <c r="H161" s="24" t="str">
        <f aca="false">IF($A161="","",IF(예비품목록!$F158="",0,예비품목록!$F158))</f>
        <v/>
      </c>
    </row>
    <row r="162" customFormat="false" ht="15" hidden="false" customHeight="true" outlineLevel="0" collapsed="false">
      <c r="A162" s="15" t="str">
        <f aca="false">IF(예비품목록!$A159="","",예비품목록!$A159)</f>
        <v/>
      </c>
      <c r="B162" s="15" t="str">
        <f aca="false">IF($A162="","",예비품목록!$B159)</f>
        <v/>
      </c>
      <c r="C162" s="15" t="str">
        <f aca="false">IF($A162="","",예비품목록!$D159)</f>
        <v/>
      </c>
      <c r="D162" s="24" t="str">
        <f aca="false">IF($A162="","",SUMIFS(예비품입출고!$F$3:$F$602,예비품입출고!$C$3:$C$602,$A162,예비품입출고!$B$3:$B$602,"입고"))</f>
        <v/>
      </c>
      <c r="E162" s="24" t="str">
        <f aca="false">IF($A162="","",SUMIFS(예비품입출고!$F$3:$F$602,예비품입출고!$C$3:$C$602,$A162,예비품입출고!$B$3:$B$602,"출고"))</f>
        <v/>
      </c>
      <c r="F162" s="24" t="str">
        <f aca="false">IF($A162="","",IF(예비품목록!$E159="",0,예비품목록!$E159)+SUMIFS(예비품입출고!$J$3:$J$602,예비품입출고!$C$3:$C$602,$A162))</f>
        <v/>
      </c>
      <c r="G162" s="24" t="str">
        <f aca="false">IF($A162="","",MAX(0,$H162-$F162))</f>
        <v/>
      </c>
      <c r="H162" s="24" t="str">
        <f aca="false">IF($A162="","",IF(예비품목록!$F159="",0,예비품목록!$F159))</f>
        <v/>
      </c>
    </row>
    <row r="163" customFormat="false" ht="15" hidden="false" customHeight="true" outlineLevel="0" collapsed="false">
      <c r="A163" s="15" t="str">
        <f aca="false">IF(예비품목록!$A160="","",예비품목록!$A160)</f>
        <v/>
      </c>
      <c r="B163" s="15" t="str">
        <f aca="false">IF($A163="","",예비품목록!$B160)</f>
        <v/>
      </c>
      <c r="C163" s="15" t="str">
        <f aca="false">IF($A163="","",예비품목록!$D160)</f>
        <v/>
      </c>
      <c r="D163" s="24" t="str">
        <f aca="false">IF($A163="","",SUMIFS(예비품입출고!$F$3:$F$602,예비품입출고!$C$3:$C$602,$A163,예비품입출고!$B$3:$B$602,"입고"))</f>
        <v/>
      </c>
      <c r="E163" s="24" t="str">
        <f aca="false">IF($A163="","",SUMIFS(예비품입출고!$F$3:$F$602,예비품입출고!$C$3:$C$602,$A163,예비품입출고!$B$3:$B$602,"출고"))</f>
        <v/>
      </c>
      <c r="F163" s="24" t="str">
        <f aca="false">IF($A163="","",IF(예비품목록!$E160="",0,예비품목록!$E160)+SUMIFS(예비품입출고!$J$3:$J$602,예비품입출고!$C$3:$C$602,$A163))</f>
        <v/>
      </c>
      <c r="G163" s="24" t="str">
        <f aca="false">IF($A163="","",MAX(0,$H163-$F163))</f>
        <v/>
      </c>
      <c r="H163" s="24" t="str">
        <f aca="false">IF($A163="","",IF(예비품목록!$F160="",0,예비품목록!$F160))</f>
        <v/>
      </c>
    </row>
    <row r="164" customFormat="false" ht="15" hidden="false" customHeight="true" outlineLevel="0" collapsed="false">
      <c r="A164" s="15" t="str">
        <f aca="false">IF(예비품목록!$A161="","",예비품목록!$A161)</f>
        <v/>
      </c>
      <c r="B164" s="15" t="str">
        <f aca="false">IF($A164="","",예비품목록!$B161)</f>
        <v/>
      </c>
      <c r="C164" s="15" t="str">
        <f aca="false">IF($A164="","",예비품목록!$D161)</f>
        <v/>
      </c>
      <c r="D164" s="24" t="str">
        <f aca="false">IF($A164="","",SUMIFS(예비품입출고!$F$3:$F$602,예비품입출고!$C$3:$C$602,$A164,예비품입출고!$B$3:$B$602,"입고"))</f>
        <v/>
      </c>
      <c r="E164" s="24" t="str">
        <f aca="false">IF($A164="","",SUMIFS(예비품입출고!$F$3:$F$602,예비품입출고!$C$3:$C$602,$A164,예비품입출고!$B$3:$B$602,"출고"))</f>
        <v/>
      </c>
      <c r="F164" s="24" t="str">
        <f aca="false">IF($A164="","",IF(예비품목록!$E161="",0,예비품목록!$E161)+SUMIFS(예비품입출고!$J$3:$J$602,예비품입출고!$C$3:$C$602,$A164))</f>
        <v/>
      </c>
      <c r="G164" s="24" t="str">
        <f aca="false">IF($A164="","",MAX(0,$H164-$F164))</f>
        <v/>
      </c>
      <c r="H164" s="24" t="str">
        <f aca="false">IF($A164="","",IF(예비품목록!$F161="",0,예비품목록!$F161))</f>
        <v/>
      </c>
    </row>
    <row r="165" customFormat="false" ht="15" hidden="false" customHeight="true" outlineLevel="0" collapsed="false">
      <c r="A165" s="15" t="str">
        <f aca="false">IF(예비품목록!$A162="","",예비품목록!$A162)</f>
        <v/>
      </c>
      <c r="B165" s="15" t="str">
        <f aca="false">IF($A165="","",예비품목록!$B162)</f>
        <v/>
      </c>
      <c r="C165" s="15" t="str">
        <f aca="false">IF($A165="","",예비품목록!$D162)</f>
        <v/>
      </c>
      <c r="D165" s="24" t="str">
        <f aca="false">IF($A165="","",SUMIFS(예비품입출고!$F$3:$F$602,예비품입출고!$C$3:$C$602,$A165,예비품입출고!$B$3:$B$602,"입고"))</f>
        <v/>
      </c>
      <c r="E165" s="24" t="str">
        <f aca="false">IF($A165="","",SUMIFS(예비품입출고!$F$3:$F$602,예비품입출고!$C$3:$C$602,$A165,예비품입출고!$B$3:$B$602,"출고"))</f>
        <v/>
      </c>
      <c r="F165" s="24" t="str">
        <f aca="false">IF($A165="","",IF(예비품목록!$E162="",0,예비품목록!$E162)+SUMIFS(예비품입출고!$J$3:$J$602,예비품입출고!$C$3:$C$602,$A165))</f>
        <v/>
      </c>
      <c r="G165" s="24" t="str">
        <f aca="false">IF($A165="","",MAX(0,$H165-$F165))</f>
        <v/>
      </c>
      <c r="H165" s="24" t="str">
        <f aca="false">IF($A165="","",IF(예비품목록!$F162="",0,예비품목록!$F162))</f>
        <v/>
      </c>
    </row>
    <row r="166" customFormat="false" ht="15" hidden="false" customHeight="true" outlineLevel="0" collapsed="false">
      <c r="A166" s="15" t="str">
        <f aca="false">IF(예비품목록!$A163="","",예비품목록!$A163)</f>
        <v/>
      </c>
      <c r="B166" s="15" t="str">
        <f aca="false">IF($A166="","",예비품목록!$B163)</f>
        <v/>
      </c>
      <c r="C166" s="15" t="str">
        <f aca="false">IF($A166="","",예비품목록!$D163)</f>
        <v/>
      </c>
      <c r="D166" s="24" t="str">
        <f aca="false">IF($A166="","",SUMIFS(예비품입출고!$F$3:$F$602,예비품입출고!$C$3:$C$602,$A166,예비품입출고!$B$3:$B$602,"입고"))</f>
        <v/>
      </c>
      <c r="E166" s="24" t="str">
        <f aca="false">IF($A166="","",SUMIFS(예비품입출고!$F$3:$F$602,예비품입출고!$C$3:$C$602,$A166,예비품입출고!$B$3:$B$602,"출고"))</f>
        <v/>
      </c>
      <c r="F166" s="24" t="str">
        <f aca="false">IF($A166="","",IF(예비품목록!$E163="",0,예비품목록!$E163)+SUMIFS(예비품입출고!$J$3:$J$602,예비품입출고!$C$3:$C$602,$A166))</f>
        <v/>
      </c>
      <c r="G166" s="24" t="str">
        <f aca="false">IF($A166="","",MAX(0,$H166-$F166))</f>
        <v/>
      </c>
      <c r="H166" s="24" t="str">
        <f aca="false">IF($A166="","",IF(예비품목록!$F163="",0,예비품목록!$F163))</f>
        <v/>
      </c>
    </row>
    <row r="167" customFormat="false" ht="15" hidden="false" customHeight="true" outlineLevel="0" collapsed="false">
      <c r="A167" s="15" t="str">
        <f aca="false">IF(예비품목록!$A164="","",예비품목록!$A164)</f>
        <v/>
      </c>
      <c r="B167" s="15" t="str">
        <f aca="false">IF($A167="","",예비품목록!$B164)</f>
        <v/>
      </c>
      <c r="C167" s="15" t="str">
        <f aca="false">IF($A167="","",예비품목록!$D164)</f>
        <v/>
      </c>
      <c r="D167" s="24" t="str">
        <f aca="false">IF($A167="","",SUMIFS(예비품입출고!$F$3:$F$602,예비품입출고!$C$3:$C$602,$A167,예비품입출고!$B$3:$B$602,"입고"))</f>
        <v/>
      </c>
      <c r="E167" s="24" t="str">
        <f aca="false">IF($A167="","",SUMIFS(예비품입출고!$F$3:$F$602,예비품입출고!$C$3:$C$602,$A167,예비품입출고!$B$3:$B$602,"출고"))</f>
        <v/>
      </c>
      <c r="F167" s="24" t="str">
        <f aca="false">IF($A167="","",IF(예비품목록!$E164="",0,예비품목록!$E164)+SUMIFS(예비품입출고!$J$3:$J$602,예비품입출고!$C$3:$C$602,$A167))</f>
        <v/>
      </c>
      <c r="G167" s="24" t="str">
        <f aca="false">IF($A167="","",MAX(0,$H167-$F167))</f>
        <v/>
      </c>
      <c r="H167" s="24" t="str">
        <f aca="false">IF($A167="","",IF(예비품목록!$F164="",0,예비품목록!$F164))</f>
        <v/>
      </c>
    </row>
    <row r="168" customFormat="false" ht="15" hidden="false" customHeight="true" outlineLevel="0" collapsed="false">
      <c r="A168" s="15" t="str">
        <f aca="false">IF(예비품목록!$A165="","",예비품목록!$A165)</f>
        <v/>
      </c>
      <c r="B168" s="15" t="str">
        <f aca="false">IF($A168="","",예비품목록!$B165)</f>
        <v/>
      </c>
      <c r="C168" s="15" t="str">
        <f aca="false">IF($A168="","",예비품목록!$D165)</f>
        <v/>
      </c>
      <c r="D168" s="24" t="str">
        <f aca="false">IF($A168="","",SUMIFS(예비품입출고!$F$3:$F$602,예비품입출고!$C$3:$C$602,$A168,예비품입출고!$B$3:$B$602,"입고"))</f>
        <v/>
      </c>
      <c r="E168" s="24" t="str">
        <f aca="false">IF($A168="","",SUMIFS(예비품입출고!$F$3:$F$602,예비품입출고!$C$3:$C$602,$A168,예비품입출고!$B$3:$B$602,"출고"))</f>
        <v/>
      </c>
      <c r="F168" s="24" t="str">
        <f aca="false">IF($A168="","",IF(예비품목록!$E165="",0,예비품목록!$E165)+SUMIFS(예비품입출고!$J$3:$J$602,예비품입출고!$C$3:$C$602,$A168))</f>
        <v/>
      </c>
      <c r="G168" s="24" t="str">
        <f aca="false">IF($A168="","",MAX(0,$H168-$F168))</f>
        <v/>
      </c>
      <c r="H168" s="24" t="str">
        <f aca="false">IF($A168="","",IF(예비품목록!$F165="",0,예비품목록!$F165))</f>
        <v/>
      </c>
    </row>
    <row r="169" customFormat="false" ht="15" hidden="false" customHeight="true" outlineLevel="0" collapsed="false">
      <c r="A169" s="15" t="str">
        <f aca="false">IF(예비품목록!$A166="","",예비품목록!$A166)</f>
        <v/>
      </c>
      <c r="B169" s="15" t="str">
        <f aca="false">IF($A169="","",예비품목록!$B166)</f>
        <v/>
      </c>
      <c r="C169" s="15" t="str">
        <f aca="false">IF($A169="","",예비품목록!$D166)</f>
        <v/>
      </c>
      <c r="D169" s="24" t="str">
        <f aca="false">IF($A169="","",SUMIFS(예비품입출고!$F$3:$F$602,예비품입출고!$C$3:$C$602,$A169,예비품입출고!$B$3:$B$602,"입고"))</f>
        <v/>
      </c>
      <c r="E169" s="24" t="str">
        <f aca="false">IF($A169="","",SUMIFS(예비품입출고!$F$3:$F$602,예비품입출고!$C$3:$C$602,$A169,예비품입출고!$B$3:$B$602,"출고"))</f>
        <v/>
      </c>
      <c r="F169" s="24" t="str">
        <f aca="false">IF($A169="","",IF(예비품목록!$E166="",0,예비품목록!$E166)+SUMIFS(예비품입출고!$J$3:$J$602,예비품입출고!$C$3:$C$602,$A169))</f>
        <v/>
      </c>
      <c r="G169" s="24" t="str">
        <f aca="false">IF($A169="","",MAX(0,$H169-$F169))</f>
        <v/>
      </c>
      <c r="H169" s="24" t="str">
        <f aca="false">IF($A169="","",IF(예비품목록!$F166="",0,예비품목록!$F166))</f>
        <v/>
      </c>
    </row>
    <row r="170" customFormat="false" ht="15" hidden="false" customHeight="true" outlineLevel="0" collapsed="false">
      <c r="A170" s="15" t="str">
        <f aca="false">IF(예비품목록!$A167="","",예비품목록!$A167)</f>
        <v/>
      </c>
      <c r="B170" s="15" t="str">
        <f aca="false">IF($A170="","",예비품목록!$B167)</f>
        <v/>
      </c>
      <c r="C170" s="15" t="str">
        <f aca="false">IF($A170="","",예비품목록!$D167)</f>
        <v/>
      </c>
      <c r="D170" s="24" t="str">
        <f aca="false">IF($A170="","",SUMIFS(예비품입출고!$F$3:$F$602,예비품입출고!$C$3:$C$602,$A170,예비품입출고!$B$3:$B$602,"입고"))</f>
        <v/>
      </c>
      <c r="E170" s="24" t="str">
        <f aca="false">IF($A170="","",SUMIFS(예비품입출고!$F$3:$F$602,예비품입출고!$C$3:$C$602,$A170,예비품입출고!$B$3:$B$602,"출고"))</f>
        <v/>
      </c>
      <c r="F170" s="24" t="str">
        <f aca="false">IF($A170="","",IF(예비품목록!$E167="",0,예비품목록!$E167)+SUMIFS(예비품입출고!$J$3:$J$602,예비품입출고!$C$3:$C$602,$A170))</f>
        <v/>
      </c>
      <c r="G170" s="24" t="str">
        <f aca="false">IF($A170="","",MAX(0,$H170-$F170))</f>
        <v/>
      </c>
      <c r="H170" s="24" t="str">
        <f aca="false">IF($A170="","",IF(예비품목록!$F167="",0,예비품목록!$F167))</f>
        <v/>
      </c>
    </row>
    <row r="171" customFormat="false" ht="15" hidden="false" customHeight="true" outlineLevel="0" collapsed="false">
      <c r="A171" s="15" t="str">
        <f aca="false">IF(예비품목록!$A168="","",예비품목록!$A168)</f>
        <v/>
      </c>
      <c r="B171" s="15" t="str">
        <f aca="false">IF($A171="","",예비품목록!$B168)</f>
        <v/>
      </c>
      <c r="C171" s="15" t="str">
        <f aca="false">IF($A171="","",예비품목록!$D168)</f>
        <v/>
      </c>
      <c r="D171" s="24" t="str">
        <f aca="false">IF($A171="","",SUMIFS(예비품입출고!$F$3:$F$602,예비품입출고!$C$3:$C$602,$A171,예비품입출고!$B$3:$B$602,"입고"))</f>
        <v/>
      </c>
      <c r="E171" s="24" t="str">
        <f aca="false">IF($A171="","",SUMIFS(예비품입출고!$F$3:$F$602,예비품입출고!$C$3:$C$602,$A171,예비품입출고!$B$3:$B$602,"출고"))</f>
        <v/>
      </c>
      <c r="F171" s="24" t="str">
        <f aca="false">IF($A171="","",IF(예비품목록!$E168="",0,예비품목록!$E168)+SUMIFS(예비품입출고!$J$3:$J$602,예비품입출고!$C$3:$C$602,$A171))</f>
        <v/>
      </c>
      <c r="G171" s="24" t="str">
        <f aca="false">IF($A171="","",MAX(0,$H171-$F171))</f>
        <v/>
      </c>
      <c r="H171" s="24" t="str">
        <f aca="false">IF($A171="","",IF(예비품목록!$F168="",0,예비품목록!$F168))</f>
        <v/>
      </c>
    </row>
    <row r="172" customFormat="false" ht="15" hidden="false" customHeight="true" outlineLevel="0" collapsed="false">
      <c r="A172" s="15" t="str">
        <f aca="false">IF(예비품목록!$A169="","",예비품목록!$A169)</f>
        <v/>
      </c>
      <c r="B172" s="15" t="str">
        <f aca="false">IF($A172="","",예비품목록!$B169)</f>
        <v/>
      </c>
      <c r="C172" s="15" t="str">
        <f aca="false">IF($A172="","",예비품목록!$D169)</f>
        <v/>
      </c>
      <c r="D172" s="24" t="str">
        <f aca="false">IF($A172="","",SUMIFS(예비품입출고!$F$3:$F$602,예비품입출고!$C$3:$C$602,$A172,예비품입출고!$B$3:$B$602,"입고"))</f>
        <v/>
      </c>
      <c r="E172" s="24" t="str">
        <f aca="false">IF($A172="","",SUMIFS(예비품입출고!$F$3:$F$602,예비품입출고!$C$3:$C$602,$A172,예비품입출고!$B$3:$B$602,"출고"))</f>
        <v/>
      </c>
      <c r="F172" s="24" t="str">
        <f aca="false">IF($A172="","",IF(예비품목록!$E169="",0,예비품목록!$E169)+SUMIFS(예비품입출고!$J$3:$J$602,예비품입출고!$C$3:$C$602,$A172))</f>
        <v/>
      </c>
      <c r="G172" s="24" t="str">
        <f aca="false">IF($A172="","",MAX(0,$H172-$F172))</f>
        <v/>
      </c>
      <c r="H172" s="24" t="str">
        <f aca="false">IF($A172="","",IF(예비품목록!$F169="",0,예비품목록!$F169))</f>
        <v/>
      </c>
    </row>
    <row r="173" customFormat="false" ht="15" hidden="false" customHeight="true" outlineLevel="0" collapsed="false">
      <c r="A173" s="15" t="str">
        <f aca="false">IF(예비품목록!$A170="","",예비품목록!$A170)</f>
        <v/>
      </c>
      <c r="B173" s="15" t="str">
        <f aca="false">IF($A173="","",예비품목록!$B170)</f>
        <v/>
      </c>
      <c r="C173" s="15" t="str">
        <f aca="false">IF($A173="","",예비품목록!$D170)</f>
        <v/>
      </c>
      <c r="D173" s="24" t="str">
        <f aca="false">IF($A173="","",SUMIFS(예비품입출고!$F$3:$F$602,예비품입출고!$C$3:$C$602,$A173,예비품입출고!$B$3:$B$602,"입고"))</f>
        <v/>
      </c>
      <c r="E173" s="24" t="str">
        <f aca="false">IF($A173="","",SUMIFS(예비품입출고!$F$3:$F$602,예비품입출고!$C$3:$C$602,$A173,예비품입출고!$B$3:$B$602,"출고"))</f>
        <v/>
      </c>
      <c r="F173" s="24" t="str">
        <f aca="false">IF($A173="","",IF(예비품목록!$E170="",0,예비품목록!$E170)+SUMIFS(예비품입출고!$J$3:$J$602,예비품입출고!$C$3:$C$602,$A173))</f>
        <v/>
      </c>
      <c r="G173" s="24" t="str">
        <f aca="false">IF($A173="","",MAX(0,$H173-$F173))</f>
        <v/>
      </c>
      <c r="H173" s="24" t="str">
        <f aca="false">IF($A173="","",IF(예비품목록!$F170="",0,예비품목록!$F170))</f>
        <v/>
      </c>
    </row>
    <row r="174" customFormat="false" ht="15" hidden="false" customHeight="true" outlineLevel="0" collapsed="false">
      <c r="A174" s="15" t="str">
        <f aca="false">IF(예비품목록!$A171="","",예비품목록!$A171)</f>
        <v/>
      </c>
      <c r="B174" s="15" t="str">
        <f aca="false">IF($A174="","",예비품목록!$B171)</f>
        <v/>
      </c>
      <c r="C174" s="15" t="str">
        <f aca="false">IF($A174="","",예비품목록!$D171)</f>
        <v/>
      </c>
      <c r="D174" s="24" t="str">
        <f aca="false">IF($A174="","",SUMIFS(예비품입출고!$F$3:$F$602,예비품입출고!$C$3:$C$602,$A174,예비품입출고!$B$3:$B$602,"입고"))</f>
        <v/>
      </c>
      <c r="E174" s="24" t="str">
        <f aca="false">IF($A174="","",SUMIFS(예비품입출고!$F$3:$F$602,예비품입출고!$C$3:$C$602,$A174,예비품입출고!$B$3:$B$602,"출고"))</f>
        <v/>
      </c>
      <c r="F174" s="24" t="str">
        <f aca="false">IF($A174="","",IF(예비품목록!$E171="",0,예비품목록!$E171)+SUMIFS(예비품입출고!$J$3:$J$602,예비품입출고!$C$3:$C$602,$A174))</f>
        <v/>
      </c>
      <c r="G174" s="24" t="str">
        <f aca="false">IF($A174="","",MAX(0,$H174-$F174))</f>
        <v/>
      </c>
      <c r="H174" s="24" t="str">
        <f aca="false">IF($A174="","",IF(예비품목록!$F171="",0,예비품목록!$F171))</f>
        <v/>
      </c>
    </row>
    <row r="175" customFormat="false" ht="15" hidden="false" customHeight="true" outlineLevel="0" collapsed="false">
      <c r="A175" s="15" t="str">
        <f aca="false">IF(예비품목록!$A172="","",예비품목록!$A172)</f>
        <v/>
      </c>
      <c r="B175" s="15" t="str">
        <f aca="false">IF($A175="","",예비품목록!$B172)</f>
        <v/>
      </c>
      <c r="C175" s="15" t="str">
        <f aca="false">IF($A175="","",예비품목록!$D172)</f>
        <v/>
      </c>
      <c r="D175" s="24" t="str">
        <f aca="false">IF($A175="","",SUMIFS(예비품입출고!$F$3:$F$602,예비품입출고!$C$3:$C$602,$A175,예비품입출고!$B$3:$B$602,"입고"))</f>
        <v/>
      </c>
      <c r="E175" s="24" t="str">
        <f aca="false">IF($A175="","",SUMIFS(예비품입출고!$F$3:$F$602,예비품입출고!$C$3:$C$602,$A175,예비품입출고!$B$3:$B$602,"출고"))</f>
        <v/>
      </c>
      <c r="F175" s="24" t="str">
        <f aca="false">IF($A175="","",IF(예비품목록!$E172="",0,예비품목록!$E172)+SUMIFS(예비품입출고!$J$3:$J$602,예비품입출고!$C$3:$C$602,$A175))</f>
        <v/>
      </c>
      <c r="G175" s="24" t="str">
        <f aca="false">IF($A175="","",MAX(0,$H175-$F175))</f>
        <v/>
      </c>
      <c r="H175" s="24" t="str">
        <f aca="false">IF($A175="","",IF(예비품목록!$F172="",0,예비품목록!$F172))</f>
        <v/>
      </c>
    </row>
    <row r="176" customFormat="false" ht="15" hidden="false" customHeight="true" outlineLevel="0" collapsed="false">
      <c r="A176" s="15" t="str">
        <f aca="false">IF(예비품목록!$A173="","",예비품목록!$A173)</f>
        <v/>
      </c>
      <c r="B176" s="15" t="str">
        <f aca="false">IF($A176="","",예비품목록!$B173)</f>
        <v/>
      </c>
      <c r="C176" s="15" t="str">
        <f aca="false">IF($A176="","",예비품목록!$D173)</f>
        <v/>
      </c>
      <c r="D176" s="24" t="str">
        <f aca="false">IF($A176="","",SUMIFS(예비품입출고!$F$3:$F$602,예비품입출고!$C$3:$C$602,$A176,예비품입출고!$B$3:$B$602,"입고"))</f>
        <v/>
      </c>
      <c r="E176" s="24" t="str">
        <f aca="false">IF($A176="","",SUMIFS(예비품입출고!$F$3:$F$602,예비품입출고!$C$3:$C$602,$A176,예비품입출고!$B$3:$B$602,"출고"))</f>
        <v/>
      </c>
      <c r="F176" s="24" t="str">
        <f aca="false">IF($A176="","",IF(예비품목록!$E173="",0,예비품목록!$E173)+SUMIFS(예비품입출고!$J$3:$J$602,예비품입출고!$C$3:$C$602,$A176))</f>
        <v/>
      </c>
      <c r="G176" s="24" t="str">
        <f aca="false">IF($A176="","",MAX(0,$H176-$F176))</f>
        <v/>
      </c>
      <c r="H176" s="24" t="str">
        <f aca="false">IF($A176="","",IF(예비품목록!$F173="",0,예비품목록!$F173))</f>
        <v/>
      </c>
    </row>
    <row r="177" customFormat="false" ht="15" hidden="false" customHeight="true" outlineLevel="0" collapsed="false">
      <c r="A177" s="15" t="str">
        <f aca="false">IF(예비품목록!$A174="","",예비품목록!$A174)</f>
        <v/>
      </c>
      <c r="B177" s="15" t="str">
        <f aca="false">IF($A177="","",예비품목록!$B174)</f>
        <v/>
      </c>
      <c r="C177" s="15" t="str">
        <f aca="false">IF($A177="","",예비품목록!$D174)</f>
        <v/>
      </c>
      <c r="D177" s="24" t="str">
        <f aca="false">IF($A177="","",SUMIFS(예비품입출고!$F$3:$F$602,예비품입출고!$C$3:$C$602,$A177,예비품입출고!$B$3:$B$602,"입고"))</f>
        <v/>
      </c>
      <c r="E177" s="24" t="str">
        <f aca="false">IF($A177="","",SUMIFS(예비품입출고!$F$3:$F$602,예비품입출고!$C$3:$C$602,$A177,예비품입출고!$B$3:$B$602,"출고"))</f>
        <v/>
      </c>
      <c r="F177" s="24" t="str">
        <f aca="false">IF($A177="","",IF(예비품목록!$E174="",0,예비품목록!$E174)+SUMIFS(예비품입출고!$J$3:$J$602,예비품입출고!$C$3:$C$602,$A177))</f>
        <v/>
      </c>
      <c r="G177" s="24" t="str">
        <f aca="false">IF($A177="","",MAX(0,$H177-$F177))</f>
        <v/>
      </c>
      <c r="H177" s="24" t="str">
        <f aca="false">IF($A177="","",IF(예비품목록!$F174="",0,예비품목록!$F174))</f>
        <v/>
      </c>
    </row>
    <row r="178" customFormat="false" ht="15" hidden="false" customHeight="true" outlineLevel="0" collapsed="false">
      <c r="A178" s="15" t="str">
        <f aca="false">IF(예비품목록!$A175="","",예비품목록!$A175)</f>
        <v/>
      </c>
      <c r="B178" s="15" t="str">
        <f aca="false">IF($A178="","",예비품목록!$B175)</f>
        <v/>
      </c>
      <c r="C178" s="15" t="str">
        <f aca="false">IF($A178="","",예비품목록!$D175)</f>
        <v/>
      </c>
      <c r="D178" s="24" t="str">
        <f aca="false">IF($A178="","",SUMIFS(예비품입출고!$F$3:$F$602,예비품입출고!$C$3:$C$602,$A178,예비품입출고!$B$3:$B$602,"입고"))</f>
        <v/>
      </c>
      <c r="E178" s="24" t="str">
        <f aca="false">IF($A178="","",SUMIFS(예비품입출고!$F$3:$F$602,예비품입출고!$C$3:$C$602,$A178,예비품입출고!$B$3:$B$602,"출고"))</f>
        <v/>
      </c>
      <c r="F178" s="24" t="str">
        <f aca="false">IF($A178="","",IF(예비품목록!$E175="",0,예비품목록!$E175)+SUMIFS(예비품입출고!$J$3:$J$602,예비품입출고!$C$3:$C$602,$A178))</f>
        <v/>
      </c>
      <c r="G178" s="24" t="str">
        <f aca="false">IF($A178="","",MAX(0,$H178-$F178))</f>
        <v/>
      </c>
      <c r="H178" s="24" t="str">
        <f aca="false">IF($A178="","",IF(예비품목록!$F175="",0,예비품목록!$F175))</f>
        <v/>
      </c>
    </row>
    <row r="179" customFormat="false" ht="15" hidden="false" customHeight="true" outlineLevel="0" collapsed="false">
      <c r="A179" s="15" t="str">
        <f aca="false">IF(예비품목록!$A176="","",예비품목록!$A176)</f>
        <v/>
      </c>
      <c r="B179" s="15" t="str">
        <f aca="false">IF($A179="","",예비품목록!$B176)</f>
        <v/>
      </c>
      <c r="C179" s="15" t="str">
        <f aca="false">IF($A179="","",예비품목록!$D176)</f>
        <v/>
      </c>
      <c r="D179" s="24" t="str">
        <f aca="false">IF($A179="","",SUMIFS(예비품입출고!$F$3:$F$602,예비품입출고!$C$3:$C$602,$A179,예비품입출고!$B$3:$B$602,"입고"))</f>
        <v/>
      </c>
      <c r="E179" s="24" t="str">
        <f aca="false">IF($A179="","",SUMIFS(예비품입출고!$F$3:$F$602,예비품입출고!$C$3:$C$602,$A179,예비품입출고!$B$3:$B$602,"출고"))</f>
        <v/>
      </c>
      <c r="F179" s="24" t="str">
        <f aca="false">IF($A179="","",IF(예비품목록!$E176="",0,예비품목록!$E176)+SUMIFS(예비품입출고!$J$3:$J$602,예비품입출고!$C$3:$C$602,$A179))</f>
        <v/>
      </c>
      <c r="G179" s="24" t="str">
        <f aca="false">IF($A179="","",MAX(0,$H179-$F179))</f>
        <v/>
      </c>
      <c r="H179" s="24" t="str">
        <f aca="false">IF($A179="","",IF(예비품목록!$F176="",0,예비품목록!$F176))</f>
        <v/>
      </c>
    </row>
    <row r="180" customFormat="false" ht="15" hidden="false" customHeight="true" outlineLevel="0" collapsed="false">
      <c r="A180" s="15" t="str">
        <f aca="false">IF(예비품목록!$A177="","",예비품목록!$A177)</f>
        <v/>
      </c>
      <c r="B180" s="15" t="str">
        <f aca="false">IF($A180="","",예비품목록!$B177)</f>
        <v/>
      </c>
      <c r="C180" s="15" t="str">
        <f aca="false">IF($A180="","",예비품목록!$D177)</f>
        <v/>
      </c>
      <c r="D180" s="24" t="str">
        <f aca="false">IF($A180="","",SUMIFS(예비품입출고!$F$3:$F$602,예비품입출고!$C$3:$C$602,$A180,예비품입출고!$B$3:$B$602,"입고"))</f>
        <v/>
      </c>
      <c r="E180" s="24" t="str">
        <f aca="false">IF($A180="","",SUMIFS(예비품입출고!$F$3:$F$602,예비품입출고!$C$3:$C$602,$A180,예비품입출고!$B$3:$B$602,"출고"))</f>
        <v/>
      </c>
      <c r="F180" s="24" t="str">
        <f aca="false">IF($A180="","",IF(예비품목록!$E177="",0,예비품목록!$E177)+SUMIFS(예비품입출고!$J$3:$J$602,예비품입출고!$C$3:$C$602,$A180))</f>
        <v/>
      </c>
      <c r="G180" s="24" t="str">
        <f aca="false">IF($A180="","",MAX(0,$H180-$F180))</f>
        <v/>
      </c>
      <c r="H180" s="24" t="str">
        <f aca="false">IF($A180="","",IF(예비품목록!$F177="",0,예비품목록!$F177))</f>
        <v/>
      </c>
    </row>
    <row r="181" customFormat="false" ht="15" hidden="false" customHeight="true" outlineLevel="0" collapsed="false">
      <c r="A181" s="15" t="str">
        <f aca="false">IF(예비품목록!$A178="","",예비품목록!$A178)</f>
        <v/>
      </c>
      <c r="B181" s="15" t="str">
        <f aca="false">IF($A181="","",예비품목록!$B178)</f>
        <v/>
      </c>
      <c r="C181" s="15" t="str">
        <f aca="false">IF($A181="","",예비품목록!$D178)</f>
        <v/>
      </c>
      <c r="D181" s="24" t="str">
        <f aca="false">IF($A181="","",SUMIFS(예비품입출고!$F$3:$F$602,예비품입출고!$C$3:$C$602,$A181,예비품입출고!$B$3:$B$602,"입고"))</f>
        <v/>
      </c>
      <c r="E181" s="24" t="str">
        <f aca="false">IF($A181="","",SUMIFS(예비품입출고!$F$3:$F$602,예비품입출고!$C$3:$C$602,$A181,예비품입출고!$B$3:$B$602,"출고"))</f>
        <v/>
      </c>
      <c r="F181" s="24" t="str">
        <f aca="false">IF($A181="","",IF(예비품목록!$E178="",0,예비품목록!$E178)+SUMIFS(예비품입출고!$J$3:$J$602,예비품입출고!$C$3:$C$602,$A181))</f>
        <v/>
      </c>
      <c r="G181" s="24" t="str">
        <f aca="false">IF($A181="","",MAX(0,$H181-$F181))</f>
        <v/>
      </c>
      <c r="H181" s="24" t="str">
        <f aca="false">IF($A181="","",IF(예비품목록!$F178="",0,예비품목록!$F178))</f>
        <v/>
      </c>
    </row>
    <row r="182" customFormat="false" ht="15" hidden="false" customHeight="true" outlineLevel="0" collapsed="false">
      <c r="A182" s="15" t="str">
        <f aca="false">IF(예비품목록!$A179="","",예비품목록!$A179)</f>
        <v/>
      </c>
      <c r="B182" s="15" t="str">
        <f aca="false">IF($A182="","",예비품목록!$B179)</f>
        <v/>
      </c>
      <c r="C182" s="15" t="str">
        <f aca="false">IF($A182="","",예비품목록!$D179)</f>
        <v/>
      </c>
      <c r="D182" s="24" t="str">
        <f aca="false">IF($A182="","",SUMIFS(예비품입출고!$F$3:$F$602,예비품입출고!$C$3:$C$602,$A182,예비품입출고!$B$3:$B$602,"입고"))</f>
        <v/>
      </c>
      <c r="E182" s="24" t="str">
        <f aca="false">IF($A182="","",SUMIFS(예비품입출고!$F$3:$F$602,예비품입출고!$C$3:$C$602,$A182,예비품입출고!$B$3:$B$602,"출고"))</f>
        <v/>
      </c>
      <c r="F182" s="24" t="str">
        <f aca="false">IF($A182="","",IF(예비품목록!$E179="",0,예비품목록!$E179)+SUMIFS(예비품입출고!$J$3:$J$602,예비품입출고!$C$3:$C$602,$A182))</f>
        <v/>
      </c>
      <c r="G182" s="24" t="str">
        <f aca="false">IF($A182="","",MAX(0,$H182-$F182))</f>
        <v/>
      </c>
      <c r="H182" s="24" t="str">
        <f aca="false">IF($A182="","",IF(예비품목록!$F179="",0,예비품목록!$F179))</f>
        <v/>
      </c>
    </row>
    <row r="183" customFormat="false" ht="15" hidden="false" customHeight="true" outlineLevel="0" collapsed="false">
      <c r="A183" s="15" t="str">
        <f aca="false">IF(예비품목록!$A180="","",예비품목록!$A180)</f>
        <v/>
      </c>
      <c r="B183" s="15" t="str">
        <f aca="false">IF($A183="","",예비품목록!$B180)</f>
        <v/>
      </c>
      <c r="C183" s="15" t="str">
        <f aca="false">IF($A183="","",예비품목록!$D180)</f>
        <v/>
      </c>
      <c r="D183" s="24" t="str">
        <f aca="false">IF($A183="","",SUMIFS(예비품입출고!$F$3:$F$602,예비품입출고!$C$3:$C$602,$A183,예비품입출고!$B$3:$B$602,"입고"))</f>
        <v/>
      </c>
      <c r="E183" s="24" t="str">
        <f aca="false">IF($A183="","",SUMIFS(예비품입출고!$F$3:$F$602,예비품입출고!$C$3:$C$602,$A183,예비품입출고!$B$3:$B$602,"출고"))</f>
        <v/>
      </c>
      <c r="F183" s="24" t="str">
        <f aca="false">IF($A183="","",IF(예비품목록!$E180="",0,예비품목록!$E180)+SUMIFS(예비품입출고!$J$3:$J$602,예비품입출고!$C$3:$C$602,$A183))</f>
        <v/>
      </c>
      <c r="G183" s="24" t="str">
        <f aca="false">IF($A183="","",MAX(0,$H183-$F183))</f>
        <v/>
      </c>
      <c r="H183" s="24" t="str">
        <f aca="false">IF($A183="","",IF(예비품목록!$F180="",0,예비품목록!$F180))</f>
        <v/>
      </c>
    </row>
    <row r="184" customFormat="false" ht="15" hidden="false" customHeight="true" outlineLevel="0" collapsed="false">
      <c r="A184" s="15" t="str">
        <f aca="false">IF(예비품목록!$A181="","",예비품목록!$A181)</f>
        <v/>
      </c>
      <c r="B184" s="15" t="str">
        <f aca="false">IF($A184="","",예비품목록!$B181)</f>
        <v/>
      </c>
      <c r="C184" s="15" t="str">
        <f aca="false">IF($A184="","",예비품목록!$D181)</f>
        <v/>
      </c>
      <c r="D184" s="24" t="str">
        <f aca="false">IF($A184="","",SUMIFS(예비품입출고!$F$3:$F$602,예비품입출고!$C$3:$C$602,$A184,예비품입출고!$B$3:$B$602,"입고"))</f>
        <v/>
      </c>
      <c r="E184" s="24" t="str">
        <f aca="false">IF($A184="","",SUMIFS(예비품입출고!$F$3:$F$602,예비품입출고!$C$3:$C$602,$A184,예비품입출고!$B$3:$B$602,"출고"))</f>
        <v/>
      </c>
      <c r="F184" s="24" t="str">
        <f aca="false">IF($A184="","",IF(예비품목록!$E181="",0,예비품목록!$E181)+SUMIFS(예비품입출고!$J$3:$J$602,예비품입출고!$C$3:$C$602,$A184))</f>
        <v/>
      </c>
      <c r="G184" s="24" t="str">
        <f aca="false">IF($A184="","",MAX(0,$H184-$F184))</f>
        <v/>
      </c>
      <c r="H184" s="24" t="str">
        <f aca="false">IF($A184="","",IF(예비품목록!$F181="",0,예비품목록!$F181))</f>
        <v/>
      </c>
    </row>
    <row r="185" customFormat="false" ht="15" hidden="false" customHeight="true" outlineLevel="0" collapsed="false">
      <c r="A185" s="15" t="str">
        <f aca="false">IF(예비품목록!$A182="","",예비품목록!$A182)</f>
        <v/>
      </c>
      <c r="B185" s="15" t="str">
        <f aca="false">IF($A185="","",예비품목록!$B182)</f>
        <v/>
      </c>
      <c r="C185" s="15" t="str">
        <f aca="false">IF($A185="","",예비품목록!$D182)</f>
        <v/>
      </c>
      <c r="D185" s="24" t="str">
        <f aca="false">IF($A185="","",SUMIFS(예비품입출고!$F$3:$F$602,예비품입출고!$C$3:$C$602,$A185,예비품입출고!$B$3:$B$602,"입고"))</f>
        <v/>
      </c>
      <c r="E185" s="24" t="str">
        <f aca="false">IF($A185="","",SUMIFS(예비품입출고!$F$3:$F$602,예비품입출고!$C$3:$C$602,$A185,예비품입출고!$B$3:$B$602,"출고"))</f>
        <v/>
      </c>
      <c r="F185" s="24" t="str">
        <f aca="false">IF($A185="","",IF(예비품목록!$E182="",0,예비품목록!$E182)+SUMIFS(예비품입출고!$J$3:$J$602,예비품입출고!$C$3:$C$602,$A185))</f>
        <v/>
      </c>
      <c r="G185" s="24" t="str">
        <f aca="false">IF($A185="","",MAX(0,$H185-$F185))</f>
        <v/>
      </c>
      <c r="H185" s="24" t="str">
        <f aca="false">IF($A185="","",IF(예비품목록!$F182="",0,예비품목록!$F182))</f>
        <v/>
      </c>
    </row>
    <row r="186" customFormat="false" ht="15" hidden="false" customHeight="true" outlineLevel="0" collapsed="false">
      <c r="A186" s="15" t="str">
        <f aca="false">IF(예비품목록!$A183="","",예비품목록!$A183)</f>
        <v/>
      </c>
      <c r="B186" s="15" t="str">
        <f aca="false">IF($A186="","",예비품목록!$B183)</f>
        <v/>
      </c>
      <c r="C186" s="15" t="str">
        <f aca="false">IF($A186="","",예비품목록!$D183)</f>
        <v/>
      </c>
      <c r="D186" s="24" t="str">
        <f aca="false">IF($A186="","",SUMIFS(예비품입출고!$F$3:$F$602,예비품입출고!$C$3:$C$602,$A186,예비품입출고!$B$3:$B$602,"입고"))</f>
        <v/>
      </c>
      <c r="E186" s="24" t="str">
        <f aca="false">IF($A186="","",SUMIFS(예비품입출고!$F$3:$F$602,예비품입출고!$C$3:$C$602,$A186,예비품입출고!$B$3:$B$602,"출고"))</f>
        <v/>
      </c>
      <c r="F186" s="24" t="str">
        <f aca="false">IF($A186="","",IF(예비품목록!$E183="",0,예비품목록!$E183)+SUMIFS(예비품입출고!$J$3:$J$602,예비품입출고!$C$3:$C$602,$A186))</f>
        <v/>
      </c>
      <c r="G186" s="24" t="str">
        <f aca="false">IF($A186="","",MAX(0,$H186-$F186))</f>
        <v/>
      </c>
      <c r="H186" s="24" t="str">
        <f aca="false">IF($A186="","",IF(예비품목록!$F183="",0,예비품목록!$F183))</f>
        <v/>
      </c>
    </row>
    <row r="187" customFormat="false" ht="15" hidden="false" customHeight="true" outlineLevel="0" collapsed="false">
      <c r="A187" s="15" t="str">
        <f aca="false">IF(예비품목록!$A184="","",예비품목록!$A184)</f>
        <v/>
      </c>
      <c r="B187" s="15" t="str">
        <f aca="false">IF($A187="","",예비품목록!$B184)</f>
        <v/>
      </c>
      <c r="C187" s="15" t="str">
        <f aca="false">IF($A187="","",예비품목록!$D184)</f>
        <v/>
      </c>
      <c r="D187" s="24" t="str">
        <f aca="false">IF($A187="","",SUMIFS(예비품입출고!$F$3:$F$602,예비품입출고!$C$3:$C$602,$A187,예비품입출고!$B$3:$B$602,"입고"))</f>
        <v/>
      </c>
      <c r="E187" s="24" t="str">
        <f aca="false">IF($A187="","",SUMIFS(예비품입출고!$F$3:$F$602,예비품입출고!$C$3:$C$602,$A187,예비품입출고!$B$3:$B$602,"출고"))</f>
        <v/>
      </c>
      <c r="F187" s="24" t="str">
        <f aca="false">IF($A187="","",IF(예비품목록!$E184="",0,예비품목록!$E184)+SUMIFS(예비품입출고!$J$3:$J$602,예비품입출고!$C$3:$C$602,$A187))</f>
        <v/>
      </c>
      <c r="G187" s="24" t="str">
        <f aca="false">IF($A187="","",MAX(0,$H187-$F187))</f>
        <v/>
      </c>
      <c r="H187" s="24" t="str">
        <f aca="false">IF($A187="","",IF(예비품목록!$F184="",0,예비품목록!$F184))</f>
        <v/>
      </c>
    </row>
    <row r="188" customFormat="false" ht="15" hidden="false" customHeight="true" outlineLevel="0" collapsed="false">
      <c r="A188" s="15" t="str">
        <f aca="false">IF(예비품목록!$A185="","",예비품목록!$A185)</f>
        <v/>
      </c>
      <c r="B188" s="15" t="str">
        <f aca="false">IF($A188="","",예비품목록!$B185)</f>
        <v/>
      </c>
      <c r="C188" s="15" t="str">
        <f aca="false">IF($A188="","",예비품목록!$D185)</f>
        <v/>
      </c>
      <c r="D188" s="24" t="str">
        <f aca="false">IF($A188="","",SUMIFS(예비품입출고!$F$3:$F$602,예비품입출고!$C$3:$C$602,$A188,예비품입출고!$B$3:$B$602,"입고"))</f>
        <v/>
      </c>
      <c r="E188" s="24" t="str">
        <f aca="false">IF($A188="","",SUMIFS(예비품입출고!$F$3:$F$602,예비품입출고!$C$3:$C$602,$A188,예비품입출고!$B$3:$B$602,"출고"))</f>
        <v/>
      </c>
      <c r="F188" s="24" t="str">
        <f aca="false">IF($A188="","",IF(예비품목록!$E185="",0,예비품목록!$E185)+SUMIFS(예비품입출고!$J$3:$J$602,예비품입출고!$C$3:$C$602,$A188))</f>
        <v/>
      </c>
      <c r="G188" s="24" t="str">
        <f aca="false">IF($A188="","",MAX(0,$H188-$F188))</f>
        <v/>
      </c>
      <c r="H188" s="24" t="str">
        <f aca="false">IF($A188="","",IF(예비품목록!$F185="",0,예비품목록!$F185))</f>
        <v/>
      </c>
    </row>
    <row r="189" customFormat="false" ht="15" hidden="false" customHeight="true" outlineLevel="0" collapsed="false">
      <c r="A189" s="15" t="str">
        <f aca="false">IF(예비품목록!$A186="","",예비품목록!$A186)</f>
        <v/>
      </c>
      <c r="B189" s="15" t="str">
        <f aca="false">IF($A189="","",예비품목록!$B186)</f>
        <v/>
      </c>
      <c r="C189" s="15" t="str">
        <f aca="false">IF($A189="","",예비품목록!$D186)</f>
        <v/>
      </c>
      <c r="D189" s="24" t="str">
        <f aca="false">IF($A189="","",SUMIFS(예비품입출고!$F$3:$F$602,예비품입출고!$C$3:$C$602,$A189,예비품입출고!$B$3:$B$602,"입고"))</f>
        <v/>
      </c>
      <c r="E189" s="24" t="str">
        <f aca="false">IF($A189="","",SUMIFS(예비품입출고!$F$3:$F$602,예비품입출고!$C$3:$C$602,$A189,예비품입출고!$B$3:$B$602,"출고"))</f>
        <v/>
      </c>
      <c r="F189" s="24" t="str">
        <f aca="false">IF($A189="","",IF(예비품목록!$E186="",0,예비품목록!$E186)+SUMIFS(예비품입출고!$J$3:$J$602,예비품입출고!$C$3:$C$602,$A189))</f>
        <v/>
      </c>
      <c r="G189" s="24" t="str">
        <f aca="false">IF($A189="","",MAX(0,$H189-$F189))</f>
        <v/>
      </c>
      <c r="H189" s="24" t="str">
        <f aca="false">IF($A189="","",IF(예비품목록!$F186="",0,예비품목록!$F186))</f>
        <v/>
      </c>
    </row>
    <row r="190" customFormat="false" ht="15" hidden="false" customHeight="true" outlineLevel="0" collapsed="false">
      <c r="A190" s="15" t="str">
        <f aca="false">IF(예비품목록!$A187="","",예비품목록!$A187)</f>
        <v/>
      </c>
      <c r="B190" s="15" t="str">
        <f aca="false">IF($A190="","",예비품목록!$B187)</f>
        <v/>
      </c>
      <c r="C190" s="15" t="str">
        <f aca="false">IF($A190="","",예비품목록!$D187)</f>
        <v/>
      </c>
      <c r="D190" s="24" t="str">
        <f aca="false">IF($A190="","",SUMIFS(예비품입출고!$F$3:$F$602,예비품입출고!$C$3:$C$602,$A190,예비품입출고!$B$3:$B$602,"입고"))</f>
        <v/>
      </c>
      <c r="E190" s="24" t="str">
        <f aca="false">IF($A190="","",SUMIFS(예비품입출고!$F$3:$F$602,예비품입출고!$C$3:$C$602,$A190,예비품입출고!$B$3:$B$602,"출고"))</f>
        <v/>
      </c>
      <c r="F190" s="24" t="str">
        <f aca="false">IF($A190="","",IF(예비품목록!$E187="",0,예비품목록!$E187)+SUMIFS(예비품입출고!$J$3:$J$602,예비품입출고!$C$3:$C$602,$A190))</f>
        <v/>
      </c>
      <c r="G190" s="24" t="str">
        <f aca="false">IF($A190="","",MAX(0,$H190-$F190))</f>
        <v/>
      </c>
      <c r="H190" s="24" t="str">
        <f aca="false">IF($A190="","",IF(예비품목록!$F187="",0,예비품목록!$F187))</f>
        <v/>
      </c>
    </row>
    <row r="191" customFormat="false" ht="15" hidden="false" customHeight="true" outlineLevel="0" collapsed="false">
      <c r="A191" s="15" t="str">
        <f aca="false">IF(예비품목록!$A188="","",예비품목록!$A188)</f>
        <v/>
      </c>
      <c r="B191" s="15" t="str">
        <f aca="false">IF($A191="","",예비품목록!$B188)</f>
        <v/>
      </c>
      <c r="C191" s="15" t="str">
        <f aca="false">IF($A191="","",예비품목록!$D188)</f>
        <v/>
      </c>
      <c r="D191" s="24" t="str">
        <f aca="false">IF($A191="","",SUMIFS(예비품입출고!$F$3:$F$602,예비품입출고!$C$3:$C$602,$A191,예비품입출고!$B$3:$B$602,"입고"))</f>
        <v/>
      </c>
      <c r="E191" s="24" t="str">
        <f aca="false">IF($A191="","",SUMIFS(예비품입출고!$F$3:$F$602,예비품입출고!$C$3:$C$602,$A191,예비품입출고!$B$3:$B$602,"출고"))</f>
        <v/>
      </c>
      <c r="F191" s="24" t="str">
        <f aca="false">IF($A191="","",IF(예비품목록!$E188="",0,예비품목록!$E188)+SUMIFS(예비품입출고!$J$3:$J$602,예비품입출고!$C$3:$C$602,$A191))</f>
        <v/>
      </c>
      <c r="G191" s="24" t="str">
        <f aca="false">IF($A191="","",MAX(0,$H191-$F191))</f>
        <v/>
      </c>
      <c r="H191" s="24" t="str">
        <f aca="false">IF($A191="","",IF(예비품목록!$F188="",0,예비품목록!$F188))</f>
        <v/>
      </c>
    </row>
    <row r="192" customFormat="false" ht="15" hidden="false" customHeight="true" outlineLevel="0" collapsed="false">
      <c r="A192" s="15" t="str">
        <f aca="false">IF(예비품목록!$A189="","",예비품목록!$A189)</f>
        <v/>
      </c>
      <c r="B192" s="15" t="str">
        <f aca="false">IF($A192="","",예비품목록!$B189)</f>
        <v/>
      </c>
      <c r="C192" s="15" t="str">
        <f aca="false">IF($A192="","",예비품목록!$D189)</f>
        <v/>
      </c>
      <c r="D192" s="24" t="str">
        <f aca="false">IF($A192="","",SUMIFS(예비품입출고!$F$3:$F$602,예비품입출고!$C$3:$C$602,$A192,예비품입출고!$B$3:$B$602,"입고"))</f>
        <v/>
      </c>
      <c r="E192" s="24" t="str">
        <f aca="false">IF($A192="","",SUMIFS(예비품입출고!$F$3:$F$602,예비품입출고!$C$3:$C$602,$A192,예비품입출고!$B$3:$B$602,"출고"))</f>
        <v/>
      </c>
      <c r="F192" s="24" t="str">
        <f aca="false">IF($A192="","",IF(예비품목록!$E189="",0,예비품목록!$E189)+SUMIFS(예비품입출고!$J$3:$J$602,예비품입출고!$C$3:$C$602,$A192))</f>
        <v/>
      </c>
      <c r="G192" s="24" t="str">
        <f aca="false">IF($A192="","",MAX(0,$H192-$F192))</f>
        <v/>
      </c>
      <c r="H192" s="24" t="str">
        <f aca="false">IF($A192="","",IF(예비품목록!$F189="",0,예비품목록!$F189))</f>
        <v/>
      </c>
    </row>
    <row r="193" customFormat="false" ht="15" hidden="false" customHeight="true" outlineLevel="0" collapsed="false">
      <c r="A193" s="15" t="str">
        <f aca="false">IF(예비품목록!$A190="","",예비품목록!$A190)</f>
        <v/>
      </c>
      <c r="B193" s="15" t="str">
        <f aca="false">IF($A193="","",예비품목록!$B190)</f>
        <v/>
      </c>
      <c r="C193" s="15" t="str">
        <f aca="false">IF($A193="","",예비품목록!$D190)</f>
        <v/>
      </c>
      <c r="D193" s="24" t="str">
        <f aca="false">IF($A193="","",SUMIFS(예비품입출고!$F$3:$F$602,예비품입출고!$C$3:$C$602,$A193,예비품입출고!$B$3:$B$602,"입고"))</f>
        <v/>
      </c>
      <c r="E193" s="24" t="str">
        <f aca="false">IF($A193="","",SUMIFS(예비품입출고!$F$3:$F$602,예비품입출고!$C$3:$C$602,$A193,예비품입출고!$B$3:$B$602,"출고"))</f>
        <v/>
      </c>
      <c r="F193" s="24" t="str">
        <f aca="false">IF($A193="","",IF(예비품목록!$E190="",0,예비품목록!$E190)+SUMIFS(예비품입출고!$J$3:$J$602,예비품입출고!$C$3:$C$602,$A193))</f>
        <v/>
      </c>
      <c r="G193" s="24" t="str">
        <f aca="false">IF($A193="","",MAX(0,$H193-$F193))</f>
        <v/>
      </c>
      <c r="H193" s="24" t="str">
        <f aca="false">IF($A193="","",IF(예비품목록!$F190="",0,예비품목록!$F190))</f>
        <v/>
      </c>
    </row>
    <row r="194" customFormat="false" ht="15" hidden="false" customHeight="true" outlineLevel="0" collapsed="false">
      <c r="A194" s="15" t="str">
        <f aca="false">IF(예비품목록!$A191="","",예비품목록!$A191)</f>
        <v/>
      </c>
      <c r="B194" s="15" t="str">
        <f aca="false">IF($A194="","",예비품목록!$B191)</f>
        <v/>
      </c>
      <c r="C194" s="15" t="str">
        <f aca="false">IF($A194="","",예비품목록!$D191)</f>
        <v/>
      </c>
      <c r="D194" s="24" t="str">
        <f aca="false">IF($A194="","",SUMIFS(예비품입출고!$F$3:$F$602,예비품입출고!$C$3:$C$602,$A194,예비품입출고!$B$3:$B$602,"입고"))</f>
        <v/>
      </c>
      <c r="E194" s="24" t="str">
        <f aca="false">IF($A194="","",SUMIFS(예비품입출고!$F$3:$F$602,예비품입출고!$C$3:$C$602,$A194,예비품입출고!$B$3:$B$602,"출고"))</f>
        <v/>
      </c>
      <c r="F194" s="24" t="str">
        <f aca="false">IF($A194="","",IF(예비품목록!$E191="",0,예비품목록!$E191)+SUMIFS(예비품입출고!$J$3:$J$602,예비품입출고!$C$3:$C$602,$A194))</f>
        <v/>
      </c>
      <c r="G194" s="24" t="str">
        <f aca="false">IF($A194="","",MAX(0,$H194-$F194))</f>
        <v/>
      </c>
      <c r="H194" s="24" t="str">
        <f aca="false">IF($A194="","",IF(예비품목록!$F191="",0,예비품목록!$F191))</f>
        <v/>
      </c>
    </row>
    <row r="195" customFormat="false" ht="15" hidden="false" customHeight="true" outlineLevel="0" collapsed="false">
      <c r="A195" s="15" t="str">
        <f aca="false">IF(예비품목록!$A192="","",예비품목록!$A192)</f>
        <v/>
      </c>
      <c r="B195" s="15" t="str">
        <f aca="false">IF($A195="","",예비품목록!$B192)</f>
        <v/>
      </c>
      <c r="C195" s="15" t="str">
        <f aca="false">IF($A195="","",예비품목록!$D192)</f>
        <v/>
      </c>
      <c r="D195" s="24" t="str">
        <f aca="false">IF($A195="","",SUMIFS(예비품입출고!$F$3:$F$602,예비품입출고!$C$3:$C$602,$A195,예비품입출고!$B$3:$B$602,"입고"))</f>
        <v/>
      </c>
      <c r="E195" s="24" t="str">
        <f aca="false">IF($A195="","",SUMIFS(예비품입출고!$F$3:$F$602,예비품입출고!$C$3:$C$602,$A195,예비품입출고!$B$3:$B$602,"출고"))</f>
        <v/>
      </c>
      <c r="F195" s="24" t="str">
        <f aca="false">IF($A195="","",IF(예비품목록!$E192="",0,예비품목록!$E192)+SUMIFS(예비품입출고!$J$3:$J$602,예비품입출고!$C$3:$C$602,$A195))</f>
        <v/>
      </c>
      <c r="G195" s="24" t="str">
        <f aca="false">IF($A195="","",MAX(0,$H195-$F195))</f>
        <v/>
      </c>
      <c r="H195" s="24" t="str">
        <f aca="false">IF($A195="","",IF(예비품목록!$F192="",0,예비품목록!$F192))</f>
        <v/>
      </c>
    </row>
    <row r="196" customFormat="false" ht="15" hidden="false" customHeight="true" outlineLevel="0" collapsed="false">
      <c r="A196" s="15" t="str">
        <f aca="false">IF(예비품목록!$A193="","",예비품목록!$A193)</f>
        <v/>
      </c>
      <c r="B196" s="15" t="str">
        <f aca="false">IF($A196="","",예비품목록!$B193)</f>
        <v/>
      </c>
      <c r="C196" s="15" t="str">
        <f aca="false">IF($A196="","",예비품목록!$D193)</f>
        <v/>
      </c>
      <c r="D196" s="24" t="str">
        <f aca="false">IF($A196="","",SUMIFS(예비품입출고!$F$3:$F$602,예비품입출고!$C$3:$C$602,$A196,예비품입출고!$B$3:$B$602,"입고"))</f>
        <v/>
      </c>
      <c r="E196" s="24" t="str">
        <f aca="false">IF($A196="","",SUMIFS(예비품입출고!$F$3:$F$602,예비품입출고!$C$3:$C$602,$A196,예비품입출고!$B$3:$B$602,"출고"))</f>
        <v/>
      </c>
      <c r="F196" s="24" t="str">
        <f aca="false">IF($A196="","",IF(예비품목록!$E193="",0,예비품목록!$E193)+SUMIFS(예비품입출고!$J$3:$J$602,예비품입출고!$C$3:$C$602,$A196))</f>
        <v/>
      </c>
      <c r="G196" s="24" t="str">
        <f aca="false">IF($A196="","",MAX(0,$H196-$F196))</f>
        <v/>
      </c>
      <c r="H196" s="24" t="str">
        <f aca="false">IF($A196="","",IF(예비품목록!$F193="",0,예비품목록!$F193))</f>
        <v/>
      </c>
    </row>
    <row r="197" customFormat="false" ht="15" hidden="false" customHeight="true" outlineLevel="0" collapsed="false">
      <c r="A197" s="15" t="str">
        <f aca="false">IF(예비품목록!$A194="","",예비품목록!$A194)</f>
        <v/>
      </c>
      <c r="B197" s="15" t="str">
        <f aca="false">IF($A197="","",예비품목록!$B194)</f>
        <v/>
      </c>
      <c r="C197" s="15" t="str">
        <f aca="false">IF($A197="","",예비품목록!$D194)</f>
        <v/>
      </c>
      <c r="D197" s="24" t="str">
        <f aca="false">IF($A197="","",SUMIFS(예비품입출고!$F$3:$F$602,예비품입출고!$C$3:$C$602,$A197,예비품입출고!$B$3:$B$602,"입고"))</f>
        <v/>
      </c>
      <c r="E197" s="24" t="str">
        <f aca="false">IF($A197="","",SUMIFS(예비품입출고!$F$3:$F$602,예비품입출고!$C$3:$C$602,$A197,예비품입출고!$B$3:$B$602,"출고"))</f>
        <v/>
      </c>
      <c r="F197" s="24" t="str">
        <f aca="false">IF($A197="","",IF(예비품목록!$E194="",0,예비품목록!$E194)+SUMIFS(예비품입출고!$J$3:$J$602,예비품입출고!$C$3:$C$602,$A197))</f>
        <v/>
      </c>
      <c r="G197" s="24" t="str">
        <f aca="false">IF($A197="","",MAX(0,$H197-$F197))</f>
        <v/>
      </c>
      <c r="H197" s="24" t="str">
        <f aca="false">IF($A197="","",IF(예비품목록!$F194="",0,예비품목록!$F194))</f>
        <v/>
      </c>
    </row>
    <row r="198" customFormat="false" ht="15" hidden="false" customHeight="true" outlineLevel="0" collapsed="false">
      <c r="A198" s="15" t="str">
        <f aca="false">IF(예비품목록!$A195="","",예비품목록!$A195)</f>
        <v/>
      </c>
      <c r="B198" s="15" t="str">
        <f aca="false">IF($A198="","",예비품목록!$B195)</f>
        <v/>
      </c>
      <c r="C198" s="15" t="str">
        <f aca="false">IF($A198="","",예비품목록!$D195)</f>
        <v/>
      </c>
      <c r="D198" s="24" t="str">
        <f aca="false">IF($A198="","",SUMIFS(예비품입출고!$F$3:$F$602,예비품입출고!$C$3:$C$602,$A198,예비품입출고!$B$3:$B$602,"입고"))</f>
        <v/>
      </c>
      <c r="E198" s="24" t="str">
        <f aca="false">IF($A198="","",SUMIFS(예비품입출고!$F$3:$F$602,예비품입출고!$C$3:$C$602,$A198,예비품입출고!$B$3:$B$602,"출고"))</f>
        <v/>
      </c>
      <c r="F198" s="24" t="str">
        <f aca="false">IF($A198="","",IF(예비품목록!$E195="",0,예비품목록!$E195)+SUMIFS(예비품입출고!$J$3:$J$602,예비품입출고!$C$3:$C$602,$A198))</f>
        <v/>
      </c>
      <c r="G198" s="24" t="str">
        <f aca="false">IF($A198="","",MAX(0,$H198-$F198))</f>
        <v/>
      </c>
      <c r="H198" s="24" t="str">
        <f aca="false">IF($A198="","",IF(예비품목록!$F195="",0,예비품목록!$F195))</f>
        <v/>
      </c>
    </row>
    <row r="199" customFormat="false" ht="15" hidden="false" customHeight="true" outlineLevel="0" collapsed="false">
      <c r="A199" s="15" t="str">
        <f aca="false">IF(예비품목록!$A196="","",예비품목록!$A196)</f>
        <v/>
      </c>
      <c r="B199" s="15" t="str">
        <f aca="false">IF($A199="","",예비품목록!$B196)</f>
        <v/>
      </c>
      <c r="C199" s="15" t="str">
        <f aca="false">IF($A199="","",예비품목록!$D196)</f>
        <v/>
      </c>
      <c r="D199" s="24" t="str">
        <f aca="false">IF($A199="","",SUMIFS(예비품입출고!$F$3:$F$602,예비품입출고!$C$3:$C$602,$A199,예비품입출고!$B$3:$B$602,"입고"))</f>
        <v/>
      </c>
      <c r="E199" s="24" t="str">
        <f aca="false">IF($A199="","",SUMIFS(예비품입출고!$F$3:$F$602,예비품입출고!$C$3:$C$602,$A199,예비품입출고!$B$3:$B$602,"출고"))</f>
        <v/>
      </c>
      <c r="F199" s="24" t="str">
        <f aca="false">IF($A199="","",IF(예비품목록!$E196="",0,예비품목록!$E196)+SUMIFS(예비품입출고!$J$3:$J$602,예비품입출고!$C$3:$C$602,$A199))</f>
        <v/>
      </c>
      <c r="G199" s="24" t="str">
        <f aca="false">IF($A199="","",MAX(0,$H199-$F199))</f>
        <v/>
      </c>
      <c r="H199" s="24" t="str">
        <f aca="false">IF($A199="","",IF(예비품목록!$F196="",0,예비품목록!$F196))</f>
        <v/>
      </c>
    </row>
    <row r="200" customFormat="false" ht="15" hidden="false" customHeight="true" outlineLevel="0" collapsed="false">
      <c r="A200" s="15" t="str">
        <f aca="false">IF(예비품목록!$A197="","",예비품목록!$A197)</f>
        <v/>
      </c>
      <c r="B200" s="15" t="str">
        <f aca="false">IF($A200="","",예비품목록!$B197)</f>
        <v/>
      </c>
      <c r="C200" s="15" t="str">
        <f aca="false">IF($A200="","",예비품목록!$D197)</f>
        <v/>
      </c>
      <c r="D200" s="24" t="str">
        <f aca="false">IF($A200="","",SUMIFS(예비품입출고!$F$3:$F$602,예비품입출고!$C$3:$C$602,$A200,예비품입출고!$B$3:$B$602,"입고"))</f>
        <v/>
      </c>
      <c r="E200" s="24" t="str">
        <f aca="false">IF($A200="","",SUMIFS(예비품입출고!$F$3:$F$602,예비품입출고!$C$3:$C$602,$A200,예비품입출고!$B$3:$B$602,"출고"))</f>
        <v/>
      </c>
      <c r="F200" s="24" t="str">
        <f aca="false">IF($A200="","",IF(예비품목록!$E197="",0,예비품목록!$E197)+SUMIFS(예비품입출고!$J$3:$J$602,예비품입출고!$C$3:$C$602,$A200))</f>
        <v/>
      </c>
      <c r="G200" s="24" t="str">
        <f aca="false">IF($A200="","",MAX(0,$H200-$F200))</f>
        <v/>
      </c>
      <c r="H200" s="24" t="str">
        <f aca="false">IF($A200="","",IF(예비품목록!$F197="",0,예비품목록!$F197))</f>
        <v/>
      </c>
    </row>
    <row r="201" customFormat="false" ht="15" hidden="false" customHeight="true" outlineLevel="0" collapsed="false">
      <c r="A201" s="15" t="str">
        <f aca="false">IF(예비품목록!$A198="","",예비품목록!$A198)</f>
        <v/>
      </c>
      <c r="B201" s="15" t="str">
        <f aca="false">IF($A201="","",예비품목록!$B198)</f>
        <v/>
      </c>
      <c r="C201" s="15" t="str">
        <f aca="false">IF($A201="","",예비품목록!$D198)</f>
        <v/>
      </c>
      <c r="D201" s="24" t="str">
        <f aca="false">IF($A201="","",SUMIFS(예비품입출고!$F$3:$F$602,예비품입출고!$C$3:$C$602,$A201,예비품입출고!$B$3:$B$602,"입고"))</f>
        <v/>
      </c>
      <c r="E201" s="24" t="str">
        <f aca="false">IF($A201="","",SUMIFS(예비품입출고!$F$3:$F$602,예비품입출고!$C$3:$C$602,$A201,예비품입출고!$B$3:$B$602,"출고"))</f>
        <v/>
      </c>
      <c r="F201" s="24" t="str">
        <f aca="false">IF($A201="","",IF(예비품목록!$E198="",0,예비품목록!$E198)+SUMIFS(예비품입출고!$J$3:$J$602,예비품입출고!$C$3:$C$602,$A201))</f>
        <v/>
      </c>
      <c r="G201" s="24" t="str">
        <f aca="false">IF($A201="","",MAX(0,$H201-$F201))</f>
        <v/>
      </c>
      <c r="H201" s="24" t="str">
        <f aca="false">IF($A201="","",IF(예비품목록!$F198="",0,예비품목록!$F198))</f>
        <v/>
      </c>
    </row>
    <row r="202" customFormat="false" ht="15" hidden="false" customHeight="true" outlineLevel="0" collapsed="false">
      <c r="A202" s="15" t="str">
        <f aca="false">IF(예비품목록!$A199="","",예비품목록!$A199)</f>
        <v/>
      </c>
      <c r="B202" s="15" t="str">
        <f aca="false">IF($A202="","",예비품목록!$B199)</f>
        <v/>
      </c>
      <c r="C202" s="15" t="str">
        <f aca="false">IF($A202="","",예비품목록!$D199)</f>
        <v/>
      </c>
      <c r="D202" s="24" t="str">
        <f aca="false">IF($A202="","",SUMIFS(예비품입출고!$F$3:$F$602,예비품입출고!$C$3:$C$602,$A202,예비품입출고!$B$3:$B$602,"입고"))</f>
        <v/>
      </c>
      <c r="E202" s="24" t="str">
        <f aca="false">IF($A202="","",SUMIFS(예비품입출고!$F$3:$F$602,예비품입출고!$C$3:$C$602,$A202,예비품입출고!$B$3:$B$602,"출고"))</f>
        <v/>
      </c>
      <c r="F202" s="24" t="str">
        <f aca="false">IF($A202="","",IF(예비품목록!$E199="",0,예비품목록!$E199)+SUMIFS(예비품입출고!$J$3:$J$602,예비품입출고!$C$3:$C$602,$A202))</f>
        <v/>
      </c>
      <c r="G202" s="24" t="str">
        <f aca="false">IF($A202="","",MAX(0,$H202-$F202))</f>
        <v/>
      </c>
      <c r="H202" s="24" t="str">
        <f aca="false">IF($A202="","",IF(예비품목록!$F199="",0,예비품목록!$F199))</f>
        <v/>
      </c>
    </row>
    <row r="203" customFormat="false" ht="15" hidden="false" customHeight="true" outlineLevel="0" collapsed="false">
      <c r="A203" s="15" t="str">
        <f aca="false">IF(예비품목록!$A200="","",예비품목록!$A200)</f>
        <v/>
      </c>
      <c r="B203" s="15" t="str">
        <f aca="false">IF($A203="","",예비품목록!$B200)</f>
        <v/>
      </c>
      <c r="C203" s="15" t="str">
        <f aca="false">IF($A203="","",예비품목록!$D200)</f>
        <v/>
      </c>
      <c r="D203" s="24" t="str">
        <f aca="false">IF($A203="","",SUMIFS(예비품입출고!$F$3:$F$602,예비품입출고!$C$3:$C$602,$A203,예비품입출고!$B$3:$B$602,"입고"))</f>
        <v/>
      </c>
      <c r="E203" s="24" t="str">
        <f aca="false">IF($A203="","",SUMIFS(예비품입출고!$F$3:$F$602,예비품입출고!$C$3:$C$602,$A203,예비품입출고!$B$3:$B$602,"출고"))</f>
        <v/>
      </c>
      <c r="F203" s="24" t="str">
        <f aca="false">IF($A203="","",IF(예비품목록!$E200="",0,예비품목록!$E200)+SUMIFS(예비품입출고!$J$3:$J$602,예비품입출고!$C$3:$C$602,$A203))</f>
        <v/>
      </c>
      <c r="G203" s="24" t="str">
        <f aca="false">IF($A203="","",MAX(0,$H203-$F203))</f>
        <v/>
      </c>
      <c r="H203" s="24" t="str">
        <f aca="false">IF($A203="","",IF(예비품목록!$F200="",0,예비품목록!$F200))</f>
        <v/>
      </c>
    </row>
    <row r="204" customFormat="false" ht="15" hidden="false" customHeight="true" outlineLevel="0" collapsed="false">
      <c r="A204" s="15" t="str">
        <f aca="false">IF(예비품목록!$A201="","",예비품목록!$A201)</f>
        <v/>
      </c>
      <c r="B204" s="15" t="str">
        <f aca="false">IF($A204="","",예비품목록!$B201)</f>
        <v/>
      </c>
      <c r="C204" s="15" t="str">
        <f aca="false">IF($A204="","",예비품목록!$D201)</f>
        <v/>
      </c>
      <c r="D204" s="24" t="str">
        <f aca="false">IF($A204="","",SUMIFS(예비품입출고!$F$3:$F$602,예비품입출고!$C$3:$C$602,$A204,예비품입출고!$B$3:$B$602,"입고"))</f>
        <v/>
      </c>
      <c r="E204" s="24" t="str">
        <f aca="false">IF($A204="","",SUMIFS(예비품입출고!$F$3:$F$602,예비품입출고!$C$3:$C$602,$A204,예비품입출고!$B$3:$B$602,"출고"))</f>
        <v/>
      </c>
      <c r="F204" s="24" t="str">
        <f aca="false">IF($A204="","",IF(예비품목록!$E201="",0,예비품목록!$E201)+SUMIFS(예비품입출고!$J$3:$J$602,예비품입출고!$C$3:$C$602,$A204))</f>
        <v/>
      </c>
      <c r="G204" s="24" t="str">
        <f aca="false">IF($A204="","",MAX(0,$H204-$F204))</f>
        <v/>
      </c>
      <c r="H204" s="24" t="str">
        <f aca="false">IF($A204="","",IF(예비품목록!$F201="",0,예비품목록!$F201))</f>
        <v/>
      </c>
    </row>
    <row r="205" customFormat="false" ht="15" hidden="false" customHeight="true" outlineLevel="0" collapsed="false">
      <c r="A205" s="15" t="str">
        <f aca="false">IF(예비품목록!$A202="","",예비품목록!$A202)</f>
        <v/>
      </c>
      <c r="B205" s="15" t="str">
        <f aca="false">IF($A205="","",예비품목록!$B202)</f>
        <v/>
      </c>
      <c r="C205" s="15" t="str">
        <f aca="false">IF($A205="","",예비품목록!$D202)</f>
        <v/>
      </c>
      <c r="D205" s="24" t="str">
        <f aca="false">IF($A205="","",SUMIFS(예비품입출고!$F$3:$F$602,예비품입출고!$C$3:$C$602,$A205,예비품입출고!$B$3:$B$602,"입고"))</f>
        <v/>
      </c>
      <c r="E205" s="24" t="str">
        <f aca="false">IF($A205="","",SUMIFS(예비품입출고!$F$3:$F$602,예비품입출고!$C$3:$C$602,$A205,예비품입출고!$B$3:$B$602,"출고"))</f>
        <v/>
      </c>
      <c r="F205" s="24" t="str">
        <f aca="false">IF($A205="","",IF(예비품목록!$E202="",0,예비품목록!$E202)+SUMIFS(예비품입출고!$J$3:$J$602,예비품입출고!$C$3:$C$602,$A205))</f>
        <v/>
      </c>
      <c r="G205" s="24" t="str">
        <f aca="false">IF($A205="","",MAX(0,$H205-$F205))</f>
        <v/>
      </c>
      <c r="H205" s="24" t="str">
        <f aca="false">IF($A205="","",IF(예비품목록!$F202="",0,예비품목록!$F202))</f>
        <v/>
      </c>
    </row>
    <row r="207" customFormat="false" ht="15" hidden="false" customHeight="true" outlineLevel="0" collapsed="false">
      <c r="A207" s="6" t="s">
        <v>106</v>
      </c>
    </row>
  </sheetData>
  <mergeCells count="1">
    <mergeCell ref="A1:H1"/>
  </mergeCells>
  <conditionalFormatting sqref="A6:H205">
    <cfRule type="expression" priority="2" aboveAverage="0" equalAverage="0" bottom="0" percent="0" rank="0" text="" dxfId="0">
      <formula>AND($A6&lt;&gt;"",$G6&gt;0)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6" min="4" style="1" width="13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22"/>
  </cols>
  <sheetData>
    <row r="1" customFormat="false" ht="25.5" hidden="false" customHeight="true" outlineLevel="0" collapsed="false">
      <c r="A1" s="2" t="s">
        <v>107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3" t="s">
        <v>108</v>
      </c>
      <c r="B3" s="17" t="n">
        <f aca="false">SUMPRODUCT(($A$6:$A$105&lt;&gt;"")*($G$6:$G$105&lt;&gt;"")*($G$6:$G$105&lt;=사용안내!$C$18))</f>
        <v>1</v>
      </c>
      <c r="C3" s="6" t="s">
        <v>109</v>
      </c>
    </row>
    <row r="5" customFormat="false" ht="15" hidden="false" customHeight="true" outlineLevel="0" collapsed="false">
      <c r="A5" s="8" t="s">
        <v>110</v>
      </c>
      <c r="B5" s="8" t="s">
        <v>92</v>
      </c>
      <c r="C5" s="8" t="s">
        <v>111</v>
      </c>
      <c r="D5" s="8" t="s">
        <v>32</v>
      </c>
      <c r="E5" s="8" t="s">
        <v>112</v>
      </c>
      <c r="F5" s="8" t="s">
        <v>113</v>
      </c>
      <c r="G5" s="25" t="s">
        <v>66</v>
      </c>
      <c r="H5" s="8" t="s">
        <v>114</v>
      </c>
      <c r="I5" s="8" t="s">
        <v>36</v>
      </c>
    </row>
    <row r="6" customFormat="false" ht="15" hidden="false" customHeight="true" outlineLevel="0" collapsed="false">
      <c r="A6" s="10" t="s">
        <v>115</v>
      </c>
      <c r="B6" s="10" t="s">
        <v>116</v>
      </c>
      <c r="C6" s="10" t="s">
        <v>117</v>
      </c>
      <c r="D6" s="10" t="s">
        <v>40</v>
      </c>
      <c r="E6" s="12" t="n">
        <v>46023</v>
      </c>
      <c r="F6" s="12" t="n">
        <v>46387</v>
      </c>
      <c r="G6" s="26" t="n">
        <f aca="true">IF(OR($F6="",$H6="갱신완료"),"",$F6-TODAY())</f>
        <v>109</v>
      </c>
      <c r="H6" s="10" t="s">
        <v>118</v>
      </c>
      <c r="I6" s="9"/>
    </row>
    <row r="7" customFormat="false" ht="15" hidden="false" customHeight="true" outlineLevel="0" collapsed="false">
      <c r="A7" s="10" t="s">
        <v>119</v>
      </c>
      <c r="B7" s="10" t="s">
        <v>120</v>
      </c>
      <c r="C7" s="10" t="s">
        <v>121</v>
      </c>
      <c r="D7" s="10" t="s">
        <v>44</v>
      </c>
      <c r="E7" s="12" t="n">
        <v>45931</v>
      </c>
      <c r="F7" s="12" t="n">
        <v>46295</v>
      </c>
      <c r="G7" s="26" t="n">
        <f aca="true">IF(OR($F7="",$H7="갱신완료"),"",$F7-TODAY())</f>
        <v>17</v>
      </c>
      <c r="H7" s="10" t="s">
        <v>118</v>
      </c>
      <c r="I7" s="9"/>
    </row>
    <row r="8" customFormat="false" ht="15" hidden="false" customHeight="true" outlineLevel="0" collapsed="false">
      <c r="A8" s="10" t="s">
        <v>122</v>
      </c>
      <c r="B8" s="10" t="s">
        <v>120</v>
      </c>
      <c r="C8" s="10" t="s">
        <v>117</v>
      </c>
      <c r="D8" s="10" t="s">
        <v>44</v>
      </c>
      <c r="E8" s="12" t="n">
        <v>46113</v>
      </c>
      <c r="F8" s="12" t="n">
        <v>46477</v>
      </c>
      <c r="G8" s="26" t="n">
        <f aca="true">IF(OR($F8="",$H8="갱신완료"),"",$F8-TODAY())</f>
        <v>199</v>
      </c>
      <c r="H8" s="10" t="s">
        <v>118</v>
      </c>
      <c r="I8" s="9"/>
    </row>
    <row r="9" customFormat="false" ht="15" hidden="false" customHeight="true" outlineLevel="0" collapsed="false">
      <c r="A9" s="9"/>
      <c r="B9" s="10"/>
      <c r="C9" s="9"/>
      <c r="D9" s="9"/>
      <c r="E9" s="12"/>
      <c r="F9" s="12"/>
      <c r="G9" s="26" t="str">
        <f aca="true">IF(OR($F9="",$H9="갱신완료"),"",$F9-TODAY())</f>
        <v/>
      </c>
      <c r="H9" s="10"/>
      <c r="I9" s="9"/>
    </row>
    <row r="10" customFormat="false" ht="15" hidden="false" customHeight="true" outlineLevel="0" collapsed="false">
      <c r="A10" s="9"/>
      <c r="B10" s="10"/>
      <c r="C10" s="9"/>
      <c r="D10" s="9"/>
      <c r="E10" s="12"/>
      <c r="F10" s="12"/>
      <c r="G10" s="26" t="str">
        <f aca="true">IF(OR($F10="",$H10="갱신완료"),"",$F10-TODAY())</f>
        <v/>
      </c>
      <c r="H10" s="10"/>
      <c r="I10" s="9"/>
    </row>
    <row r="11" customFormat="false" ht="15" hidden="false" customHeight="true" outlineLevel="0" collapsed="false">
      <c r="A11" s="9"/>
      <c r="B11" s="10"/>
      <c r="C11" s="9"/>
      <c r="D11" s="9"/>
      <c r="E11" s="12"/>
      <c r="F11" s="12"/>
      <c r="G11" s="26" t="str">
        <f aca="true">IF(OR($F11="",$H11="갱신완료"),"",$F11-TODAY())</f>
        <v/>
      </c>
      <c r="H11" s="10"/>
      <c r="I11" s="9"/>
    </row>
    <row r="12" customFormat="false" ht="15" hidden="false" customHeight="true" outlineLevel="0" collapsed="false">
      <c r="A12" s="9"/>
      <c r="B12" s="10"/>
      <c r="C12" s="9"/>
      <c r="D12" s="9"/>
      <c r="E12" s="12"/>
      <c r="F12" s="12"/>
      <c r="G12" s="26" t="str">
        <f aca="true">IF(OR($F12="",$H12="갱신완료"),"",$F12-TODAY())</f>
        <v/>
      </c>
      <c r="H12" s="10"/>
      <c r="I12" s="9"/>
    </row>
    <row r="13" customFormat="false" ht="15" hidden="false" customHeight="true" outlineLevel="0" collapsed="false">
      <c r="A13" s="9"/>
      <c r="B13" s="10"/>
      <c r="C13" s="9"/>
      <c r="D13" s="9"/>
      <c r="E13" s="12"/>
      <c r="F13" s="12"/>
      <c r="G13" s="26" t="str">
        <f aca="true">IF(OR($F13="",$H13="갱신완료"),"",$F13-TODAY())</f>
        <v/>
      </c>
      <c r="H13" s="10"/>
      <c r="I13" s="9"/>
    </row>
    <row r="14" customFormat="false" ht="15" hidden="false" customHeight="true" outlineLevel="0" collapsed="false">
      <c r="A14" s="9"/>
      <c r="B14" s="10"/>
      <c r="C14" s="9"/>
      <c r="D14" s="9"/>
      <c r="E14" s="12"/>
      <c r="F14" s="12"/>
      <c r="G14" s="26" t="str">
        <f aca="true">IF(OR($F14="",$H14="갱신완료"),"",$F14-TODAY())</f>
        <v/>
      </c>
      <c r="H14" s="10"/>
      <c r="I14" s="9"/>
    </row>
    <row r="15" customFormat="false" ht="15" hidden="false" customHeight="true" outlineLevel="0" collapsed="false">
      <c r="A15" s="9"/>
      <c r="B15" s="10"/>
      <c r="C15" s="9"/>
      <c r="D15" s="9"/>
      <c r="E15" s="12"/>
      <c r="F15" s="12"/>
      <c r="G15" s="26" t="str">
        <f aca="true">IF(OR($F15="",$H15="갱신완료"),"",$F15-TODAY())</f>
        <v/>
      </c>
      <c r="H15" s="10"/>
      <c r="I15" s="9"/>
    </row>
    <row r="16" customFormat="false" ht="15" hidden="false" customHeight="true" outlineLevel="0" collapsed="false">
      <c r="A16" s="9"/>
      <c r="B16" s="10"/>
      <c r="C16" s="9"/>
      <c r="D16" s="9"/>
      <c r="E16" s="12"/>
      <c r="F16" s="12"/>
      <c r="G16" s="26" t="str">
        <f aca="true">IF(OR($F16="",$H16="갱신완료"),"",$F16-TODAY())</f>
        <v/>
      </c>
      <c r="H16" s="10"/>
      <c r="I16" s="9"/>
    </row>
    <row r="17" customFormat="false" ht="15" hidden="false" customHeight="true" outlineLevel="0" collapsed="false">
      <c r="A17" s="9"/>
      <c r="B17" s="10"/>
      <c r="C17" s="9"/>
      <c r="D17" s="9"/>
      <c r="E17" s="12"/>
      <c r="F17" s="12"/>
      <c r="G17" s="26" t="str">
        <f aca="true">IF(OR($F17="",$H17="갱신완료"),"",$F17-TODAY())</f>
        <v/>
      </c>
      <c r="H17" s="10"/>
      <c r="I17" s="9"/>
    </row>
    <row r="18" customFormat="false" ht="15" hidden="false" customHeight="true" outlineLevel="0" collapsed="false">
      <c r="A18" s="9"/>
      <c r="B18" s="10"/>
      <c r="C18" s="9"/>
      <c r="D18" s="9"/>
      <c r="E18" s="12"/>
      <c r="F18" s="12"/>
      <c r="G18" s="26" t="str">
        <f aca="true">IF(OR($F18="",$H18="갱신완료"),"",$F18-TODAY())</f>
        <v/>
      </c>
      <c r="H18" s="10"/>
      <c r="I18" s="9"/>
    </row>
    <row r="19" customFormat="false" ht="15" hidden="false" customHeight="true" outlineLevel="0" collapsed="false">
      <c r="A19" s="9"/>
      <c r="B19" s="10"/>
      <c r="C19" s="9"/>
      <c r="D19" s="9"/>
      <c r="E19" s="12"/>
      <c r="F19" s="12"/>
      <c r="G19" s="26" t="str">
        <f aca="true">IF(OR($F19="",$H19="갱신완료"),"",$F19-TODAY())</f>
        <v/>
      </c>
      <c r="H19" s="10"/>
      <c r="I19" s="9"/>
    </row>
    <row r="20" customFormat="false" ht="15" hidden="false" customHeight="true" outlineLevel="0" collapsed="false">
      <c r="A20" s="9"/>
      <c r="B20" s="10"/>
      <c r="C20" s="9"/>
      <c r="D20" s="9"/>
      <c r="E20" s="12"/>
      <c r="F20" s="12"/>
      <c r="G20" s="26" t="str">
        <f aca="true">IF(OR($F20="",$H20="갱신완료"),"",$F20-TODAY())</f>
        <v/>
      </c>
      <c r="H20" s="10"/>
      <c r="I20" s="9"/>
    </row>
    <row r="21" customFormat="false" ht="15" hidden="false" customHeight="true" outlineLevel="0" collapsed="false">
      <c r="A21" s="9"/>
      <c r="B21" s="10"/>
      <c r="C21" s="9"/>
      <c r="D21" s="9"/>
      <c r="E21" s="12"/>
      <c r="F21" s="12"/>
      <c r="G21" s="26" t="str">
        <f aca="true">IF(OR($F21="",$H21="갱신완료"),"",$F21-TODAY())</f>
        <v/>
      </c>
      <c r="H21" s="10"/>
      <c r="I21" s="9"/>
    </row>
    <row r="22" customFormat="false" ht="15" hidden="false" customHeight="true" outlineLevel="0" collapsed="false">
      <c r="A22" s="9"/>
      <c r="B22" s="10"/>
      <c r="C22" s="9"/>
      <c r="D22" s="9"/>
      <c r="E22" s="12"/>
      <c r="F22" s="12"/>
      <c r="G22" s="26" t="str">
        <f aca="true">IF(OR($F22="",$H22="갱신완료"),"",$F22-TODAY())</f>
        <v/>
      </c>
      <c r="H22" s="10"/>
      <c r="I22" s="9"/>
    </row>
    <row r="23" customFormat="false" ht="15" hidden="false" customHeight="true" outlineLevel="0" collapsed="false">
      <c r="A23" s="9"/>
      <c r="B23" s="10"/>
      <c r="C23" s="9"/>
      <c r="D23" s="9"/>
      <c r="E23" s="12"/>
      <c r="F23" s="12"/>
      <c r="G23" s="26" t="str">
        <f aca="true">IF(OR($F23="",$H23="갱신완료"),"",$F23-TODAY())</f>
        <v/>
      </c>
      <c r="H23" s="10"/>
      <c r="I23" s="9"/>
    </row>
    <row r="24" customFormat="false" ht="15" hidden="false" customHeight="true" outlineLevel="0" collapsed="false">
      <c r="A24" s="9"/>
      <c r="B24" s="10"/>
      <c r="C24" s="9"/>
      <c r="D24" s="9"/>
      <c r="E24" s="12"/>
      <c r="F24" s="12"/>
      <c r="G24" s="26" t="str">
        <f aca="true">IF(OR($F24="",$H24="갱신완료"),"",$F24-TODAY())</f>
        <v/>
      </c>
      <c r="H24" s="10"/>
      <c r="I24" s="9"/>
    </row>
    <row r="25" customFormat="false" ht="15" hidden="false" customHeight="true" outlineLevel="0" collapsed="false">
      <c r="A25" s="9"/>
      <c r="B25" s="10"/>
      <c r="C25" s="9"/>
      <c r="D25" s="9"/>
      <c r="E25" s="12"/>
      <c r="F25" s="12"/>
      <c r="G25" s="26" t="str">
        <f aca="true">IF(OR($F25="",$H25="갱신완료"),"",$F25-TODAY())</f>
        <v/>
      </c>
      <c r="H25" s="10"/>
      <c r="I25" s="9"/>
    </row>
    <row r="26" customFormat="false" ht="15" hidden="false" customHeight="true" outlineLevel="0" collapsed="false">
      <c r="A26" s="9"/>
      <c r="B26" s="10"/>
      <c r="C26" s="9"/>
      <c r="D26" s="9"/>
      <c r="E26" s="12"/>
      <c r="F26" s="12"/>
      <c r="G26" s="26" t="str">
        <f aca="true">IF(OR($F26="",$H26="갱신완료"),"",$F26-TODAY())</f>
        <v/>
      </c>
      <c r="H26" s="10"/>
      <c r="I26" s="9"/>
    </row>
    <row r="27" customFormat="false" ht="15" hidden="false" customHeight="true" outlineLevel="0" collapsed="false">
      <c r="A27" s="9"/>
      <c r="B27" s="10"/>
      <c r="C27" s="9"/>
      <c r="D27" s="9"/>
      <c r="E27" s="12"/>
      <c r="F27" s="12"/>
      <c r="G27" s="26" t="str">
        <f aca="true">IF(OR($F27="",$H27="갱신완료"),"",$F27-TODAY())</f>
        <v/>
      </c>
      <c r="H27" s="10"/>
      <c r="I27" s="9"/>
    </row>
    <row r="28" customFormat="false" ht="15" hidden="false" customHeight="true" outlineLevel="0" collapsed="false">
      <c r="A28" s="9"/>
      <c r="B28" s="10"/>
      <c r="C28" s="9"/>
      <c r="D28" s="9"/>
      <c r="E28" s="12"/>
      <c r="F28" s="12"/>
      <c r="G28" s="26" t="str">
        <f aca="true">IF(OR($F28="",$H28="갱신완료"),"",$F28-TODAY())</f>
        <v/>
      </c>
      <c r="H28" s="10"/>
      <c r="I28" s="9"/>
    </row>
    <row r="29" customFormat="false" ht="15" hidden="false" customHeight="true" outlineLevel="0" collapsed="false">
      <c r="A29" s="9"/>
      <c r="B29" s="10"/>
      <c r="C29" s="9"/>
      <c r="D29" s="9"/>
      <c r="E29" s="12"/>
      <c r="F29" s="12"/>
      <c r="G29" s="26" t="str">
        <f aca="true">IF(OR($F29="",$H29="갱신완료"),"",$F29-TODAY())</f>
        <v/>
      </c>
      <c r="H29" s="10"/>
      <c r="I29" s="9"/>
    </row>
    <row r="30" customFormat="false" ht="15" hidden="false" customHeight="true" outlineLevel="0" collapsed="false">
      <c r="A30" s="9"/>
      <c r="B30" s="10"/>
      <c r="C30" s="9"/>
      <c r="D30" s="9"/>
      <c r="E30" s="12"/>
      <c r="F30" s="12"/>
      <c r="G30" s="26" t="str">
        <f aca="true">IF(OR($F30="",$H30="갱신완료"),"",$F30-TODAY())</f>
        <v/>
      </c>
      <c r="H30" s="10"/>
      <c r="I30" s="9"/>
    </row>
    <row r="31" customFormat="false" ht="15" hidden="false" customHeight="true" outlineLevel="0" collapsed="false">
      <c r="A31" s="9"/>
      <c r="B31" s="10"/>
      <c r="C31" s="9"/>
      <c r="D31" s="9"/>
      <c r="E31" s="12"/>
      <c r="F31" s="12"/>
      <c r="G31" s="26" t="str">
        <f aca="true">IF(OR($F31="",$H31="갱신완료"),"",$F31-TODAY())</f>
        <v/>
      </c>
      <c r="H31" s="10"/>
      <c r="I31" s="9"/>
    </row>
    <row r="32" customFormat="false" ht="15" hidden="false" customHeight="true" outlineLevel="0" collapsed="false">
      <c r="A32" s="9"/>
      <c r="B32" s="10"/>
      <c r="C32" s="9"/>
      <c r="D32" s="9"/>
      <c r="E32" s="12"/>
      <c r="F32" s="12"/>
      <c r="G32" s="26" t="str">
        <f aca="true">IF(OR($F32="",$H32="갱신완료"),"",$F32-TODAY())</f>
        <v/>
      </c>
      <c r="H32" s="10"/>
      <c r="I32" s="9"/>
    </row>
    <row r="33" customFormat="false" ht="15" hidden="false" customHeight="true" outlineLevel="0" collapsed="false">
      <c r="A33" s="9"/>
      <c r="B33" s="10"/>
      <c r="C33" s="9"/>
      <c r="D33" s="9"/>
      <c r="E33" s="12"/>
      <c r="F33" s="12"/>
      <c r="G33" s="26" t="str">
        <f aca="true">IF(OR($F33="",$H33="갱신완료"),"",$F33-TODAY())</f>
        <v/>
      </c>
      <c r="H33" s="10"/>
      <c r="I33" s="9"/>
    </row>
    <row r="34" customFormat="false" ht="15" hidden="false" customHeight="true" outlineLevel="0" collapsed="false">
      <c r="A34" s="9"/>
      <c r="B34" s="10"/>
      <c r="C34" s="9"/>
      <c r="D34" s="9"/>
      <c r="E34" s="12"/>
      <c r="F34" s="12"/>
      <c r="G34" s="26" t="str">
        <f aca="true">IF(OR($F34="",$H34="갱신완료"),"",$F34-TODAY())</f>
        <v/>
      </c>
      <c r="H34" s="10"/>
      <c r="I34" s="9"/>
    </row>
    <row r="35" customFormat="false" ht="15" hidden="false" customHeight="true" outlineLevel="0" collapsed="false">
      <c r="A35" s="9"/>
      <c r="B35" s="10"/>
      <c r="C35" s="9"/>
      <c r="D35" s="9"/>
      <c r="E35" s="12"/>
      <c r="F35" s="12"/>
      <c r="G35" s="26" t="str">
        <f aca="true">IF(OR($F35="",$H35="갱신완료"),"",$F35-TODAY())</f>
        <v/>
      </c>
      <c r="H35" s="10"/>
      <c r="I35" s="9"/>
    </row>
    <row r="36" customFormat="false" ht="15" hidden="false" customHeight="true" outlineLevel="0" collapsed="false">
      <c r="A36" s="9"/>
      <c r="B36" s="10"/>
      <c r="C36" s="9"/>
      <c r="D36" s="9"/>
      <c r="E36" s="12"/>
      <c r="F36" s="12"/>
      <c r="G36" s="26" t="str">
        <f aca="true">IF(OR($F36="",$H36="갱신완료"),"",$F36-TODAY())</f>
        <v/>
      </c>
      <c r="H36" s="10"/>
      <c r="I36" s="9"/>
    </row>
    <row r="37" customFormat="false" ht="15" hidden="false" customHeight="true" outlineLevel="0" collapsed="false">
      <c r="A37" s="9"/>
      <c r="B37" s="10"/>
      <c r="C37" s="9"/>
      <c r="D37" s="9"/>
      <c r="E37" s="12"/>
      <c r="F37" s="12"/>
      <c r="G37" s="26" t="str">
        <f aca="true">IF(OR($F37="",$H37="갱신완료"),"",$F37-TODAY())</f>
        <v/>
      </c>
      <c r="H37" s="10"/>
      <c r="I37" s="9"/>
    </row>
    <row r="38" customFormat="false" ht="15" hidden="false" customHeight="true" outlineLevel="0" collapsed="false">
      <c r="A38" s="9"/>
      <c r="B38" s="10"/>
      <c r="C38" s="9"/>
      <c r="D38" s="9"/>
      <c r="E38" s="12"/>
      <c r="F38" s="12"/>
      <c r="G38" s="26" t="str">
        <f aca="true">IF(OR($F38="",$H38="갱신완료"),"",$F38-TODAY())</f>
        <v/>
      </c>
      <c r="H38" s="10"/>
      <c r="I38" s="9"/>
    </row>
    <row r="39" customFormat="false" ht="15" hidden="false" customHeight="true" outlineLevel="0" collapsed="false">
      <c r="A39" s="9"/>
      <c r="B39" s="10"/>
      <c r="C39" s="9"/>
      <c r="D39" s="9"/>
      <c r="E39" s="12"/>
      <c r="F39" s="12"/>
      <c r="G39" s="26" t="str">
        <f aca="true">IF(OR($F39="",$H39="갱신완료"),"",$F39-TODAY())</f>
        <v/>
      </c>
      <c r="H39" s="10"/>
      <c r="I39" s="9"/>
    </row>
    <row r="40" customFormat="false" ht="15" hidden="false" customHeight="true" outlineLevel="0" collapsed="false">
      <c r="A40" s="9"/>
      <c r="B40" s="10"/>
      <c r="C40" s="9"/>
      <c r="D40" s="9"/>
      <c r="E40" s="12"/>
      <c r="F40" s="12"/>
      <c r="G40" s="26" t="str">
        <f aca="true">IF(OR($F40="",$H40="갱신완료"),"",$F40-TODAY())</f>
        <v/>
      </c>
      <c r="H40" s="10"/>
      <c r="I40" s="9"/>
    </row>
    <row r="41" customFormat="false" ht="15" hidden="false" customHeight="true" outlineLevel="0" collapsed="false">
      <c r="A41" s="9"/>
      <c r="B41" s="10"/>
      <c r="C41" s="9"/>
      <c r="D41" s="9"/>
      <c r="E41" s="12"/>
      <c r="F41" s="12"/>
      <c r="G41" s="26" t="str">
        <f aca="true">IF(OR($F41="",$H41="갱신완료"),"",$F41-TODAY())</f>
        <v/>
      </c>
      <c r="H41" s="10"/>
      <c r="I41" s="9"/>
    </row>
    <row r="42" customFormat="false" ht="15" hidden="false" customHeight="true" outlineLevel="0" collapsed="false">
      <c r="A42" s="9"/>
      <c r="B42" s="10"/>
      <c r="C42" s="9"/>
      <c r="D42" s="9"/>
      <c r="E42" s="12"/>
      <c r="F42" s="12"/>
      <c r="G42" s="26" t="str">
        <f aca="true">IF(OR($F42="",$H42="갱신완료"),"",$F42-TODAY())</f>
        <v/>
      </c>
      <c r="H42" s="10"/>
      <c r="I42" s="9"/>
    </row>
    <row r="43" customFormat="false" ht="15" hidden="false" customHeight="true" outlineLevel="0" collapsed="false">
      <c r="A43" s="9"/>
      <c r="B43" s="10"/>
      <c r="C43" s="9"/>
      <c r="D43" s="9"/>
      <c r="E43" s="12"/>
      <c r="F43" s="12"/>
      <c r="G43" s="26" t="str">
        <f aca="true">IF(OR($F43="",$H43="갱신완료"),"",$F43-TODAY())</f>
        <v/>
      </c>
      <c r="H43" s="10"/>
      <c r="I43" s="9"/>
    </row>
    <row r="44" customFormat="false" ht="15" hidden="false" customHeight="true" outlineLevel="0" collapsed="false">
      <c r="A44" s="9"/>
      <c r="B44" s="10"/>
      <c r="C44" s="9"/>
      <c r="D44" s="9"/>
      <c r="E44" s="12"/>
      <c r="F44" s="12"/>
      <c r="G44" s="26" t="str">
        <f aca="true">IF(OR($F44="",$H44="갱신완료"),"",$F44-TODAY())</f>
        <v/>
      </c>
      <c r="H44" s="10"/>
      <c r="I44" s="9"/>
    </row>
    <row r="45" customFormat="false" ht="15" hidden="false" customHeight="true" outlineLevel="0" collapsed="false">
      <c r="A45" s="9"/>
      <c r="B45" s="10"/>
      <c r="C45" s="9"/>
      <c r="D45" s="9"/>
      <c r="E45" s="12"/>
      <c r="F45" s="12"/>
      <c r="G45" s="26" t="str">
        <f aca="true">IF(OR($F45="",$H45="갱신완료"),"",$F45-TODAY())</f>
        <v/>
      </c>
      <c r="H45" s="10"/>
      <c r="I45" s="9"/>
    </row>
    <row r="46" customFormat="false" ht="15" hidden="false" customHeight="true" outlineLevel="0" collapsed="false">
      <c r="A46" s="9"/>
      <c r="B46" s="10"/>
      <c r="C46" s="9"/>
      <c r="D46" s="9"/>
      <c r="E46" s="12"/>
      <c r="F46" s="12"/>
      <c r="G46" s="26" t="str">
        <f aca="true">IF(OR($F46="",$H46="갱신완료"),"",$F46-TODAY())</f>
        <v/>
      </c>
      <c r="H46" s="10"/>
      <c r="I46" s="9"/>
    </row>
    <row r="47" customFormat="false" ht="15" hidden="false" customHeight="true" outlineLevel="0" collapsed="false">
      <c r="A47" s="9"/>
      <c r="B47" s="10"/>
      <c r="C47" s="9"/>
      <c r="D47" s="9"/>
      <c r="E47" s="12"/>
      <c r="F47" s="12"/>
      <c r="G47" s="26" t="str">
        <f aca="true">IF(OR($F47="",$H47="갱신완료"),"",$F47-TODAY())</f>
        <v/>
      </c>
      <c r="H47" s="10"/>
      <c r="I47" s="9"/>
    </row>
    <row r="48" customFormat="false" ht="15" hidden="false" customHeight="true" outlineLevel="0" collapsed="false">
      <c r="A48" s="9"/>
      <c r="B48" s="10"/>
      <c r="C48" s="9"/>
      <c r="D48" s="9"/>
      <c r="E48" s="12"/>
      <c r="F48" s="12"/>
      <c r="G48" s="26" t="str">
        <f aca="true">IF(OR($F48="",$H48="갱신완료"),"",$F48-TODAY())</f>
        <v/>
      </c>
      <c r="H48" s="10"/>
      <c r="I48" s="9"/>
    </row>
    <row r="49" customFormat="false" ht="15" hidden="false" customHeight="true" outlineLevel="0" collapsed="false">
      <c r="A49" s="9"/>
      <c r="B49" s="10"/>
      <c r="C49" s="9"/>
      <c r="D49" s="9"/>
      <c r="E49" s="12"/>
      <c r="F49" s="12"/>
      <c r="G49" s="26" t="str">
        <f aca="true">IF(OR($F49="",$H49="갱신완료"),"",$F49-TODAY())</f>
        <v/>
      </c>
      <c r="H49" s="10"/>
      <c r="I49" s="9"/>
    </row>
    <row r="50" customFormat="false" ht="15" hidden="false" customHeight="true" outlineLevel="0" collapsed="false">
      <c r="A50" s="9"/>
      <c r="B50" s="10"/>
      <c r="C50" s="9"/>
      <c r="D50" s="9"/>
      <c r="E50" s="12"/>
      <c r="F50" s="12"/>
      <c r="G50" s="26" t="str">
        <f aca="true">IF(OR($F50="",$H50="갱신완료"),"",$F50-TODAY())</f>
        <v/>
      </c>
      <c r="H50" s="10"/>
      <c r="I50" s="9"/>
    </row>
    <row r="51" customFormat="false" ht="15" hidden="false" customHeight="true" outlineLevel="0" collapsed="false">
      <c r="A51" s="9"/>
      <c r="B51" s="10"/>
      <c r="C51" s="9"/>
      <c r="D51" s="9"/>
      <c r="E51" s="12"/>
      <c r="F51" s="12"/>
      <c r="G51" s="26" t="str">
        <f aca="true">IF(OR($F51="",$H51="갱신완료"),"",$F51-TODAY())</f>
        <v/>
      </c>
      <c r="H51" s="10"/>
      <c r="I51" s="9"/>
    </row>
    <row r="52" customFormat="false" ht="15" hidden="false" customHeight="true" outlineLevel="0" collapsed="false">
      <c r="A52" s="9"/>
      <c r="B52" s="10"/>
      <c r="C52" s="9"/>
      <c r="D52" s="9"/>
      <c r="E52" s="12"/>
      <c r="F52" s="12"/>
      <c r="G52" s="26" t="str">
        <f aca="true">IF(OR($F52="",$H52="갱신완료"),"",$F52-TODAY())</f>
        <v/>
      </c>
      <c r="H52" s="10"/>
      <c r="I52" s="9"/>
    </row>
    <row r="53" customFormat="false" ht="15" hidden="false" customHeight="true" outlineLevel="0" collapsed="false">
      <c r="A53" s="9"/>
      <c r="B53" s="10"/>
      <c r="C53" s="9"/>
      <c r="D53" s="9"/>
      <c r="E53" s="12"/>
      <c r="F53" s="12"/>
      <c r="G53" s="26" t="str">
        <f aca="true">IF(OR($F53="",$H53="갱신완료"),"",$F53-TODAY())</f>
        <v/>
      </c>
      <c r="H53" s="10"/>
      <c r="I53" s="9"/>
    </row>
    <row r="54" customFormat="false" ht="15" hidden="false" customHeight="true" outlineLevel="0" collapsed="false">
      <c r="A54" s="9"/>
      <c r="B54" s="10"/>
      <c r="C54" s="9"/>
      <c r="D54" s="9"/>
      <c r="E54" s="12"/>
      <c r="F54" s="12"/>
      <c r="G54" s="26" t="str">
        <f aca="true">IF(OR($F54="",$H54="갱신완료"),"",$F54-TODAY())</f>
        <v/>
      </c>
      <c r="H54" s="10"/>
      <c r="I54" s="9"/>
    </row>
    <row r="55" customFormat="false" ht="15" hidden="false" customHeight="true" outlineLevel="0" collapsed="false">
      <c r="A55" s="9"/>
      <c r="B55" s="10"/>
      <c r="C55" s="9"/>
      <c r="D55" s="9"/>
      <c r="E55" s="12"/>
      <c r="F55" s="12"/>
      <c r="G55" s="26" t="str">
        <f aca="true">IF(OR($F55="",$H55="갱신완료"),"",$F55-TODAY())</f>
        <v/>
      </c>
      <c r="H55" s="10"/>
      <c r="I55" s="9"/>
    </row>
    <row r="56" customFormat="false" ht="15" hidden="false" customHeight="true" outlineLevel="0" collapsed="false">
      <c r="A56" s="9"/>
      <c r="B56" s="10"/>
      <c r="C56" s="9"/>
      <c r="D56" s="9"/>
      <c r="E56" s="12"/>
      <c r="F56" s="12"/>
      <c r="G56" s="26" t="str">
        <f aca="true">IF(OR($F56="",$H56="갱신완료"),"",$F56-TODAY())</f>
        <v/>
      </c>
      <c r="H56" s="10"/>
      <c r="I56" s="9"/>
    </row>
    <row r="57" customFormat="false" ht="15" hidden="false" customHeight="true" outlineLevel="0" collapsed="false">
      <c r="A57" s="9"/>
      <c r="B57" s="10"/>
      <c r="C57" s="9"/>
      <c r="D57" s="9"/>
      <c r="E57" s="12"/>
      <c r="F57" s="12"/>
      <c r="G57" s="26" t="str">
        <f aca="true">IF(OR($F57="",$H57="갱신완료"),"",$F57-TODAY())</f>
        <v/>
      </c>
      <c r="H57" s="10"/>
      <c r="I57" s="9"/>
    </row>
    <row r="58" customFormat="false" ht="15" hidden="false" customHeight="true" outlineLevel="0" collapsed="false">
      <c r="A58" s="9"/>
      <c r="B58" s="10"/>
      <c r="C58" s="9"/>
      <c r="D58" s="9"/>
      <c r="E58" s="12"/>
      <c r="F58" s="12"/>
      <c r="G58" s="26" t="str">
        <f aca="true">IF(OR($F58="",$H58="갱신완료"),"",$F58-TODAY())</f>
        <v/>
      </c>
      <c r="H58" s="10"/>
      <c r="I58" s="9"/>
    </row>
    <row r="59" customFormat="false" ht="15" hidden="false" customHeight="true" outlineLevel="0" collapsed="false">
      <c r="A59" s="9"/>
      <c r="B59" s="10"/>
      <c r="C59" s="9"/>
      <c r="D59" s="9"/>
      <c r="E59" s="12"/>
      <c r="F59" s="12"/>
      <c r="G59" s="26" t="str">
        <f aca="true">IF(OR($F59="",$H59="갱신완료"),"",$F59-TODAY())</f>
        <v/>
      </c>
      <c r="H59" s="10"/>
      <c r="I59" s="9"/>
    </row>
    <row r="60" customFormat="false" ht="15" hidden="false" customHeight="true" outlineLevel="0" collapsed="false">
      <c r="A60" s="9"/>
      <c r="B60" s="10"/>
      <c r="C60" s="9"/>
      <c r="D60" s="9"/>
      <c r="E60" s="12"/>
      <c r="F60" s="12"/>
      <c r="G60" s="26" t="str">
        <f aca="true">IF(OR($F60="",$H60="갱신완료"),"",$F60-TODAY())</f>
        <v/>
      </c>
      <c r="H60" s="10"/>
      <c r="I60" s="9"/>
    </row>
    <row r="61" customFormat="false" ht="15" hidden="false" customHeight="true" outlineLevel="0" collapsed="false">
      <c r="A61" s="9"/>
      <c r="B61" s="10"/>
      <c r="C61" s="9"/>
      <c r="D61" s="9"/>
      <c r="E61" s="12"/>
      <c r="F61" s="12"/>
      <c r="G61" s="26" t="str">
        <f aca="true">IF(OR($F61="",$H61="갱신완료"),"",$F61-TODAY())</f>
        <v/>
      </c>
      <c r="H61" s="10"/>
      <c r="I61" s="9"/>
    </row>
    <row r="62" customFormat="false" ht="15" hidden="false" customHeight="true" outlineLevel="0" collapsed="false">
      <c r="A62" s="9"/>
      <c r="B62" s="10"/>
      <c r="C62" s="9"/>
      <c r="D62" s="9"/>
      <c r="E62" s="12"/>
      <c r="F62" s="12"/>
      <c r="G62" s="26" t="str">
        <f aca="true">IF(OR($F62="",$H62="갱신완료"),"",$F62-TODAY())</f>
        <v/>
      </c>
      <c r="H62" s="10"/>
      <c r="I62" s="9"/>
    </row>
    <row r="63" customFormat="false" ht="15" hidden="false" customHeight="true" outlineLevel="0" collapsed="false">
      <c r="A63" s="9"/>
      <c r="B63" s="10"/>
      <c r="C63" s="9"/>
      <c r="D63" s="9"/>
      <c r="E63" s="12"/>
      <c r="F63" s="12"/>
      <c r="G63" s="26" t="str">
        <f aca="true">IF(OR($F63="",$H63="갱신완료"),"",$F63-TODAY())</f>
        <v/>
      </c>
      <c r="H63" s="10"/>
      <c r="I63" s="9"/>
    </row>
    <row r="64" customFormat="false" ht="15" hidden="false" customHeight="true" outlineLevel="0" collapsed="false">
      <c r="A64" s="9"/>
      <c r="B64" s="10"/>
      <c r="C64" s="9"/>
      <c r="D64" s="9"/>
      <c r="E64" s="12"/>
      <c r="F64" s="12"/>
      <c r="G64" s="26" t="str">
        <f aca="true">IF(OR($F64="",$H64="갱신완료"),"",$F64-TODAY())</f>
        <v/>
      </c>
      <c r="H64" s="10"/>
      <c r="I64" s="9"/>
    </row>
    <row r="65" customFormat="false" ht="15" hidden="false" customHeight="true" outlineLevel="0" collapsed="false">
      <c r="A65" s="9"/>
      <c r="B65" s="10"/>
      <c r="C65" s="9"/>
      <c r="D65" s="9"/>
      <c r="E65" s="12"/>
      <c r="F65" s="12"/>
      <c r="G65" s="26" t="str">
        <f aca="true">IF(OR($F65="",$H65="갱신완료"),"",$F65-TODAY())</f>
        <v/>
      </c>
      <c r="H65" s="10"/>
      <c r="I65" s="9"/>
    </row>
    <row r="66" customFormat="false" ht="15" hidden="false" customHeight="true" outlineLevel="0" collapsed="false">
      <c r="A66" s="9"/>
      <c r="B66" s="10"/>
      <c r="C66" s="9"/>
      <c r="D66" s="9"/>
      <c r="E66" s="12"/>
      <c r="F66" s="12"/>
      <c r="G66" s="26" t="str">
        <f aca="true">IF(OR($F66="",$H66="갱신완료"),"",$F66-TODAY())</f>
        <v/>
      </c>
      <c r="H66" s="10"/>
      <c r="I66" s="9"/>
    </row>
    <row r="67" customFormat="false" ht="15" hidden="false" customHeight="true" outlineLevel="0" collapsed="false">
      <c r="A67" s="9"/>
      <c r="B67" s="10"/>
      <c r="C67" s="9"/>
      <c r="D67" s="9"/>
      <c r="E67" s="12"/>
      <c r="F67" s="12"/>
      <c r="G67" s="26" t="str">
        <f aca="true">IF(OR($F67="",$H67="갱신완료"),"",$F67-TODAY())</f>
        <v/>
      </c>
      <c r="H67" s="10"/>
      <c r="I67" s="9"/>
    </row>
    <row r="68" customFormat="false" ht="15" hidden="false" customHeight="true" outlineLevel="0" collapsed="false">
      <c r="A68" s="9"/>
      <c r="B68" s="10"/>
      <c r="C68" s="9"/>
      <c r="D68" s="9"/>
      <c r="E68" s="12"/>
      <c r="F68" s="12"/>
      <c r="G68" s="26" t="str">
        <f aca="true">IF(OR($F68="",$H68="갱신완료"),"",$F68-TODAY())</f>
        <v/>
      </c>
      <c r="H68" s="10"/>
      <c r="I68" s="9"/>
    </row>
    <row r="69" customFormat="false" ht="15" hidden="false" customHeight="true" outlineLevel="0" collapsed="false">
      <c r="A69" s="9"/>
      <c r="B69" s="10"/>
      <c r="C69" s="9"/>
      <c r="D69" s="9"/>
      <c r="E69" s="12"/>
      <c r="F69" s="12"/>
      <c r="G69" s="26" t="str">
        <f aca="true">IF(OR($F69="",$H69="갱신완료"),"",$F69-TODAY())</f>
        <v/>
      </c>
      <c r="H69" s="10"/>
      <c r="I69" s="9"/>
    </row>
    <row r="70" customFormat="false" ht="15" hidden="false" customHeight="true" outlineLevel="0" collapsed="false">
      <c r="A70" s="9"/>
      <c r="B70" s="10"/>
      <c r="C70" s="9"/>
      <c r="D70" s="9"/>
      <c r="E70" s="12"/>
      <c r="F70" s="12"/>
      <c r="G70" s="26" t="str">
        <f aca="true">IF(OR($F70="",$H70="갱신완료"),"",$F70-TODAY())</f>
        <v/>
      </c>
      <c r="H70" s="10"/>
      <c r="I70" s="9"/>
    </row>
    <row r="71" customFormat="false" ht="15" hidden="false" customHeight="true" outlineLevel="0" collapsed="false">
      <c r="A71" s="9"/>
      <c r="B71" s="10"/>
      <c r="C71" s="9"/>
      <c r="D71" s="9"/>
      <c r="E71" s="12"/>
      <c r="F71" s="12"/>
      <c r="G71" s="26" t="str">
        <f aca="true">IF(OR($F71="",$H71="갱신완료"),"",$F71-TODAY())</f>
        <v/>
      </c>
      <c r="H71" s="10"/>
      <c r="I71" s="9"/>
    </row>
    <row r="72" customFormat="false" ht="15" hidden="false" customHeight="true" outlineLevel="0" collapsed="false">
      <c r="A72" s="9"/>
      <c r="B72" s="10"/>
      <c r="C72" s="9"/>
      <c r="D72" s="9"/>
      <c r="E72" s="12"/>
      <c r="F72" s="12"/>
      <c r="G72" s="26" t="str">
        <f aca="true">IF(OR($F72="",$H72="갱신완료"),"",$F72-TODAY())</f>
        <v/>
      </c>
      <c r="H72" s="10"/>
      <c r="I72" s="9"/>
    </row>
    <row r="73" customFormat="false" ht="15" hidden="false" customHeight="true" outlineLevel="0" collapsed="false">
      <c r="A73" s="9"/>
      <c r="B73" s="10"/>
      <c r="C73" s="9"/>
      <c r="D73" s="9"/>
      <c r="E73" s="12"/>
      <c r="F73" s="12"/>
      <c r="G73" s="26" t="str">
        <f aca="true">IF(OR($F73="",$H73="갱신완료"),"",$F73-TODAY())</f>
        <v/>
      </c>
      <c r="H73" s="10"/>
      <c r="I73" s="9"/>
    </row>
    <row r="74" customFormat="false" ht="15" hidden="false" customHeight="true" outlineLevel="0" collapsed="false">
      <c r="A74" s="9"/>
      <c r="B74" s="10"/>
      <c r="C74" s="9"/>
      <c r="D74" s="9"/>
      <c r="E74" s="12"/>
      <c r="F74" s="12"/>
      <c r="G74" s="26" t="str">
        <f aca="true">IF(OR($F74="",$H74="갱신완료"),"",$F74-TODAY())</f>
        <v/>
      </c>
      <c r="H74" s="10"/>
      <c r="I74" s="9"/>
    </row>
    <row r="75" customFormat="false" ht="15" hidden="false" customHeight="true" outlineLevel="0" collapsed="false">
      <c r="A75" s="9"/>
      <c r="B75" s="10"/>
      <c r="C75" s="9"/>
      <c r="D75" s="9"/>
      <c r="E75" s="12"/>
      <c r="F75" s="12"/>
      <c r="G75" s="26" t="str">
        <f aca="true">IF(OR($F75="",$H75="갱신완료"),"",$F75-TODAY())</f>
        <v/>
      </c>
      <c r="H75" s="10"/>
      <c r="I75" s="9"/>
    </row>
    <row r="76" customFormat="false" ht="15" hidden="false" customHeight="true" outlineLevel="0" collapsed="false">
      <c r="A76" s="9"/>
      <c r="B76" s="10"/>
      <c r="C76" s="9"/>
      <c r="D76" s="9"/>
      <c r="E76" s="12"/>
      <c r="F76" s="12"/>
      <c r="G76" s="26" t="str">
        <f aca="true">IF(OR($F76="",$H76="갱신완료"),"",$F76-TODAY())</f>
        <v/>
      </c>
      <c r="H76" s="10"/>
      <c r="I76" s="9"/>
    </row>
    <row r="77" customFormat="false" ht="15" hidden="false" customHeight="true" outlineLevel="0" collapsed="false">
      <c r="A77" s="9"/>
      <c r="B77" s="10"/>
      <c r="C77" s="9"/>
      <c r="D77" s="9"/>
      <c r="E77" s="12"/>
      <c r="F77" s="12"/>
      <c r="G77" s="26" t="str">
        <f aca="true">IF(OR($F77="",$H77="갱신완료"),"",$F77-TODAY())</f>
        <v/>
      </c>
      <c r="H77" s="10"/>
      <c r="I77" s="9"/>
    </row>
    <row r="78" customFormat="false" ht="15" hidden="false" customHeight="true" outlineLevel="0" collapsed="false">
      <c r="A78" s="9"/>
      <c r="B78" s="10"/>
      <c r="C78" s="9"/>
      <c r="D78" s="9"/>
      <c r="E78" s="12"/>
      <c r="F78" s="12"/>
      <c r="G78" s="26" t="str">
        <f aca="true">IF(OR($F78="",$H78="갱신완료"),"",$F78-TODAY())</f>
        <v/>
      </c>
      <c r="H78" s="10"/>
      <c r="I78" s="9"/>
    </row>
    <row r="79" customFormat="false" ht="15" hidden="false" customHeight="true" outlineLevel="0" collapsed="false">
      <c r="A79" s="9"/>
      <c r="B79" s="10"/>
      <c r="C79" s="9"/>
      <c r="D79" s="9"/>
      <c r="E79" s="12"/>
      <c r="F79" s="12"/>
      <c r="G79" s="26" t="str">
        <f aca="true">IF(OR($F79="",$H79="갱신완료"),"",$F79-TODAY())</f>
        <v/>
      </c>
      <c r="H79" s="10"/>
      <c r="I79" s="9"/>
    </row>
    <row r="80" customFormat="false" ht="15" hidden="false" customHeight="true" outlineLevel="0" collapsed="false">
      <c r="A80" s="9"/>
      <c r="B80" s="10"/>
      <c r="C80" s="9"/>
      <c r="D80" s="9"/>
      <c r="E80" s="12"/>
      <c r="F80" s="12"/>
      <c r="G80" s="26" t="str">
        <f aca="true">IF(OR($F80="",$H80="갱신완료"),"",$F80-TODAY())</f>
        <v/>
      </c>
      <c r="H80" s="10"/>
      <c r="I80" s="9"/>
    </row>
    <row r="81" customFormat="false" ht="15" hidden="false" customHeight="true" outlineLevel="0" collapsed="false">
      <c r="A81" s="9"/>
      <c r="B81" s="10"/>
      <c r="C81" s="9"/>
      <c r="D81" s="9"/>
      <c r="E81" s="12"/>
      <c r="F81" s="12"/>
      <c r="G81" s="26" t="str">
        <f aca="true">IF(OR($F81="",$H81="갱신완료"),"",$F81-TODAY())</f>
        <v/>
      </c>
      <c r="H81" s="10"/>
      <c r="I81" s="9"/>
    </row>
    <row r="82" customFormat="false" ht="15" hidden="false" customHeight="true" outlineLevel="0" collapsed="false">
      <c r="A82" s="9"/>
      <c r="B82" s="10"/>
      <c r="C82" s="9"/>
      <c r="D82" s="9"/>
      <c r="E82" s="12"/>
      <c r="F82" s="12"/>
      <c r="G82" s="26" t="str">
        <f aca="true">IF(OR($F82="",$H82="갱신완료"),"",$F82-TODAY())</f>
        <v/>
      </c>
      <c r="H82" s="10"/>
      <c r="I82" s="9"/>
    </row>
    <row r="83" customFormat="false" ht="15" hidden="false" customHeight="true" outlineLevel="0" collapsed="false">
      <c r="A83" s="9"/>
      <c r="B83" s="10"/>
      <c r="C83" s="9"/>
      <c r="D83" s="9"/>
      <c r="E83" s="12"/>
      <c r="F83" s="12"/>
      <c r="G83" s="26" t="str">
        <f aca="true">IF(OR($F83="",$H83="갱신완료"),"",$F83-TODAY())</f>
        <v/>
      </c>
      <c r="H83" s="10"/>
      <c r="I83" s="9"/>
    </row>
    <row r="84" customFormat="false" ht="15" hidden="false" customHeight="true" outlineLevel="0" collapsed="false">
      <c r="A84" s="9"/>
      <c r="B84" s="10"/>
      <c r="C84" s="9"/>
      <c r="D84" s="9"/>
      <c r="E84" s="12"/>
      <c r="F84" s="12"/>
      <c r="G84" s="26" t="str">
        <f aca="true">IF(OR($F84="",$H84="갱신완료"),"",$F84-TODAY())</f>
        <v/>
      </c>
      <c r="H84" s="10"/>
      <c r="I84" s="9"/>
    </row>
    <row r="85" customFormat="false" ht="15" hidden="false" customHeight="true" outlineLevel="0" collapsed="false">
      <c r="A85" s="9"/>
      <c r="B85" s="10"/>
      <c r="C85" s="9"/>
      <c r="D85" s="9"/>
      <c r="E85" s="12"/>
      <c r="F85" s="12"/>
      <c r="G85" s="26" t="str">
        <f aca="true">IF(OR($F85="",$H85="갱신완료"),"",$F85-TODAY())</f>
        <v/>
      </c>
      <c r="H85" s="10"/>
      <c r="I85" s="9"/>
    </row>
    <row r="86" customFormat="false" ht="15" hidden="false" customHeight="true" outlineLevel="0" collapsed="false">
      <c r="A86" s="9"/>
      <c r="B86" s="10"/>
      <c r="C86" s="9"/>
      <c r="D86" s="9"/>
      <c r="E86" s="12"/>
      <c r="F86" s="12"/>
      <c r="G86" s="26" t="str">
        <f aca="true">IF(OR($F86="",$H86="갱신완료"),"",$F86-TODAY())</f>
        <v/>
      </c>
      <c r="H86" s="10"/>
      <c r="I86" s="9"/>
    </row>
    <row r="87" customFormat="false" ht="15" hidden="false" customHeight="true" outlineLevel="0" collapsed="false">
      <c r="A87" s="9"/>
      <c r="B87" s="10"/>
      <c r="C87" s="9"/>
      <c r="D87" s="9"/>
      <c r="E87" s="12"/>
      <c r="F87" s="12"/>
      <c r="G87" s="26" t="str">
        <f aca="true">IF(OR($F87="",$H87="갱신완료"),"",$F87-TODAY())</f>
        <v/>
      </c>
      <c r="H87" s="10"/>
      <c r="I87" s="9"/>
    </row>
    <row r="88" customFormat="false" ht="15" hidden="false" customHeight="true" outlineLevel="0" collapsed="false">
      <c r="A88" s="9"/>
      <c r="B88" s="10"/>
      <c r="C88" s="9"/>
      <c r="D88" s="9"/>
      <c r="E88" s="12"/>
      <c r="F88" s="12"/>
      <c r="G88" s="26" t="str">
        <f aca="true">IF(OR($F88="",$H88="갱신완료"),"",$F88-TODAY())</f>
        <v/>
      </c>
      <c r="H88" s="10"/>
      <c r="I88" s="9"/>
    </row>
    <row r="89" customFormat="false" ht="15" hidden="false" customHeight="true" outlineLevel="0" collapsed="false">
      <c r="A89" s="9"/>
      <c r="B89" s="10"/>
      <c r="C89" s="9"/>
      <c r="D89" s="9"/>
      <c r="E89" s="12"/>
      <c r="F89" s="12"/>
      <c r="G89" s="26" t="str">
        <f aca="true">IF(OR($F89="",$H89="갱신완료"),"",$F89-TODAY())</f>
        <v/>
      </c>
      <c r="H89" s="10"/>
      <c r="I89" s="9"/>
    </row>
    <row r="90" customFormat="false" ht="15" hidden="false" customHeight="true" outlineLevel="0" collapsed="false">
      <c r="A90" s="9"/>
      <c r="B90" s="10"/>
      <c r="C90" s="9"/>
      <c r="D90" s="9"/>
      <c r="E90" s="12"/>
      <c r="F90" s="12"/>
      <c r="G90" s="26" t="str">
        <f aca="true">IF(OR($F90="",$H90="갱신완료"),"",$F90-TODAY())</f>
        <v/>
      </c>
      <c r="H90" s="10"/>
      <c r="I90" s="9"/>
    </row>
    <row r="91" customFormat="false" ht="15" hidden="false" customHeight="true" outlineLevel="0" collapsed="false">
      <c r="A91" s="9"/>
      <c r="B91" s="10"/>
      <c r="C91" s="9"/>
      <c r="D91" s="9"/>
      <c r="E91" s="12"/>
      <c r="F91" s="12"/>
      <c r="G91" s="26" t="str">
        <f aca="true">IF(OR($F91="",$H91="갱신완료"),"",$F91-TODAY())</f>
        <v/>
      </c>
      <c r="H91" s="10"/>
      <c r="I91" s="9"/>
    </row>
    <row r="92" customFormat="false" ht="15" hidden="false" customHeight="true" outlineLevel="0" collapsed="false">
      <c r="A92" s="9"/>
      <c r="B92" s="10"/>
      <c r="C92" s="9"/>
      <c r="D92" s="9"/>
      <c r="E92" s="12"/>
      <c r="F92" s="12"/>
      <c r="G92" s="26" t="str">
        <f aca="true">IF(OR($F92="",$H92="갱신완료"),"",$F92-TODAY())</f>
        <v/>
      </c>
      <c r="H92" s="10"/>
      <c r="I92" s="9"/>
    </row>
    <row r="93" customFormat="false" ht="15" hidden="false" customHeight="true" outlineLevel="0" collapsed="false">
      <c r="A93" s="9"/>
      <c r="B93" s="10"/>
      <c r="C93" s="9"/>
      <c r="D93" s="9"/>
      <c r="E93" s="12"/>
      <c r="F93" s="12"/>
      <c r="G93" s="26" t="str">
        <f aca="true">IF(OR($F93="",$H93="갱신완료"),"",$F93-TODAY())</f>
        <v/>
      </c>
      <c r="H93" s="10"/>
      <c r="I93" s="9"/>
    </row>
    <row r="94" customFormat="false" ht="15" hidden="false" customHeight="true" outlineLevel="0" collapsed="false">
      <c r="A94" s="9"/>
      <c r="B94" s="10"/>
      <c r="C94" s="9"/>
      <c r="D94" s="9"/>
      <c r="E94" s="12"/>
      <c r="F94" s="12"/>
      <c r="G94" s="26" t="str">
        <f aca="true">IF(OR($F94="",$H94="갱신완료"),"",$F94-TODAY())</f>
        <v/>
      </c>
      <c r="H94" s="10"/>
      <c r="I94" s="9"/>
    </row>
    <row r="95" customFormat="false" ht="15" hidden="false" customHeight="true" outlineLevel="0" collapsed="false">
      <c r="A95" s="9"/>
      <c r="B95" s="10"/>
      <c r="C95" s="9"/>
      <c r="D95" s="9"/>
      <c r="E95" s="12"/>
      <c r="F95" s="12"/>
      <c r="G95" s="26" t="str">
        <f aca="true">IF(OR($F95="",$H95="갱신완료"),"",$F95-TODAY())</f>
        <v/>
      </c>
      <c r="H95" s="10"/>
      <c r="I95" s="9"/>
    </row>
    <row r="96" customFormat="false" ht="15" hidden="false" customHeight="true" outlineLevel="0" collapsed="false">
      <c r="A96" s="9"/>
      <c r="B96" s="10"/>
      <c r="C96" s="9"/>
      <c r="D96" s="9"/>
      <c r="E96" s="12"/>
      <c r="F96" s="12"/>
      <c r="G96" s="26" t="str">
        <f aca="true">IF(OR($F96="",$H96="갱신완료"),"",$F96-TODAY())</f>
        <v/>
      </c>
      <c r="H96" s="10"/>
      <c r="I96" s="9"/>
    </row>
    <row r="97" customFormat="false" ht="15" hidden="false" customHeight="true" outlineLevel="0" collapsed="false">
      <c r="A97" s="9"/>
      <c r="B97" s="10"/>
      <c r="C97" s="9"/>
      <c r="D97" s="9"/>
      <c r="E97" s="12"/>
      <c r="F97" s="12"/>
      <c r="G97" s="26" t="str">
        <f aca="true">IF(OR($F97="",$H97="갱신완료"),"",$F97-TODAY())</f>
        <v/>
      </c>
      <c r="H97" s="10"/>
      <c r="I97" s="9"/>
    </row>
    <row r="98" customFormat="false" ht="15" hidden="false" customHeight="true" outlineLevel="0" collapsed="false">
      <c r="A98" s="9"/>
      <c r="B98" s="10"/>
      <c r="C98" s="9"/>
      <c r="D98" s="9"/>
      <c r="E98" s="12"/>
      <c r="F98" s="12"/>
      <c r="G98" s="26" t="str">
        <f aca="true">IF(OR($F98="",$H98="갱신완료"),"",$F98-TODAY())</f>
        <v/>
      </c>
      <c r="H98" s="10"/>
      <c r="I98" s="9"/>
    </row>
    <row r="99" customFormat="false" ht="15" hidden="false" customHeight="true" outlineLevel="0" collapsed="false">
      <c r="A99" s="9"/>
      <c r="B99" s="10"/>
      <c r="C99" s="9"/>
      <c r="D99" s="9"/>
      <c r="E99" s="12"/>
      <c r="F99" s="12"/>
      <c r="G99" s="26" t="str">
        <f aca="true">IF(OR($F99="",$H99="갱신완료"),"",$F99-TODAY())</f>
        <v/>
      </c>
      <c r="H99" s="10"/>
      <c r="I99" s="9"/>
    </row>
    <row r="100" customFormat="false" ht="15" hidden="false" customHeight="true" outlineLevel="0" collapsed="false">
      <c r="A100" s="9"/>
      <c r="B100" s="10"/>
      <c r="C100" s="9"/>
      <c r="D100" s="9"/>
      <c r="E100" s="12"/>
      <c r="F100" s="12"/>
      <c r="G100" s="26" t="str">
        <f aca="true">IF(OR($F100="",$H100="갱신완료"),"",$F100-TODAY())</f>
        <v/>
      </c>
      <c r="H100" s="10"/>
      <c r="I100" s="9"/>
    </row>
    <row r="101" customFormat="false" ht="15" hidden="false" customHeight="true" outlineLevel="0" collapsed="false">
      <c r="A101" s="9"/>
      <c r="B101" s="10"/>
      <c r="C101" s="9"/>
      <c r="D101" s="9"/>
      <c r="E101" s="12"/>
      <c r="F101" s="12"/>
      <c r="G101" s="26" t="str">
        <f aca="true">IF(OR($F101="",$H101="갱신완료"),"",$F101-TODAY())</f>
        <v/>
      </c>
      <c r="H101" s="10"/>
      <c r="I101" s="9"/>
    </row>
    <row r="102" customFormat="false" ht="15" hidden="false" customHeight="true" outlineLevel="0" collapsed="false">
      <c r="A102" s="9"/>
      <c r="B102" s="10"/>
      <c r="C102" s="9"/>
      <c r="D102" s="9"/>
      <c r="E102" s="12"/>
      <c r="F102" s="12"/>
      <c r="G102" s="26" t="str">
        <f aca="true">IF(OR($F102="",$H102="갱신완료"),"",$F102-TODAY())</f>
        <v/>
      </c>
      <c r="H102" s="10"/>
      <c r="I102" s="9"/>
    </row>
    <row r="103" customFormat="false" ht="15" hidden="false" customHeight="true" outlineLevel="0" collapsed="false">
      <c r="A103" s="9"/>
      <c r="B103" s="10"/>
      <c r="C103" s="9"/>
      <c r="D103" s="9"/>
      <c r="E103" s="12"/>
      <c r="F103" s="12"/>
      <c r="G103" s="26" t="str">
        <f aca="true">IF(OR($F103="",$H103="갱신완료"),"",$F103-TODAY())</f>
        <v/>
      </c>
      <c r="H103" s="10"/>
      <c r="I103" s="9"/>
    </row>
    <row r="104" customFormat="false" ht="15" hidden="false" customHeight="true" outlineLevel="0" collapsed="false">
      <c r="A104" s="9"/>
      <c r="B104" s="10"/>
      <c r="C104" s="9"/>
      <c r="D104" s="9"/>
      <c r="E104" s="12"/>
      <c r="F104" s="12"/>
      <c r="G104" s="26" t="str">
        <f aca="true">IF(OR($F104="",$H104="갱신완료"),"",$F104-TODAY())</f>
        <v/>
      </c>
      <c r="H104" s="10"/>
      <c r="I104" s="9"/>
    </row>
    <row r="105" customFormat="false" ht="15" hidden="false" customHeight="true" outlineLevel="0" collapsed="false">
      <c r="A105" s="9"/>
      <c r="B105" s="10"/>
      <c r="C105" s="9"/>
      <c r="D105" s="9"/>
      <c r="E105" s="12"/>
      <c r="F105" s="12"/>
      <c r="G105" s="26" t="str">
        <f aca="true">IF(OR($F105="",$H105="갱신완료"),"",$F105-TODAY())</f>
        <v/>
      </c>
      <c r="H105" s="10"/>
      <c r="I105" s="9"/>
    </row>
    <row r="107" customFormat="false" ht="15" hidden="false" customHeight="true" outlineLevel="0" collapsed="false">
      <c r="A107" s="6" t="s">
        <v>123</v>
      </c>
    </row>
    <row r="108" customFormat="false" ht="15" hidden="false" customHeight="true" outlineLevel="0" collapsed="false">
      <c r="A108" s="13" t="s">
        <v>124</v>
      </c>
    </row>
  </sheetData>
  <mergeCells count="1">
    <mergeCell ref="A1:I1"/>
  </mergeCells>
  <conditionalFormatting sqref="A6:I105">
    <cfRule type="expression" priority="2" aboveAverage="0" equalAverage="0" bottom="0" percent="0" rank="0" text="" dxfId="1">
      <formula>AND($G6&lt;&gt;"",$G6&lt;0)</formula>
    </cfRule>
    <cfRule type="expression" priority="3" aboveAverage="0" equalAverage="0" bottom="0" percent="0" rank="0" text="" dxfId="2">
      <formula>AND($G6&lt;&gt;"",$G6&gt;=0,$G6&lt;=사용안내!$C$18)</formula>
    </cfRule>
  </conditionalFormatting>
  <dataValidations count="2">
    <dataValidation allowBlank="true" errorStyle="stop" operator="between" showDropDown="false" showErrorMessage="false" showInputMessage="false" sqref="B6:B105" type="list">
      <formula1>"보험,정기검사,계약,자격/면허,기타"</formula1>
      <formula2>0</formula2>
    </dataValidation>
    <dataValidation allowBlank="true" errorStyle="stop" operator="between" showDropDown="false" showErrorMessage="false" showInputMessage="false" sqref="H6:H105" type="list">
      <formula1>"미갱신,갱신완료"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2026-09-13T11:12:20Z</dcterms:created>
  <dc:creator>openpyxl</dc:creator>
  <dc:description/>
  <dc:language>en-US</dc:language>
  <cp:lastModifiedBy/>
  <dcterms:modified xsi:type="dcterms:W3CDTF">2026-09-13T14:21:44Z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