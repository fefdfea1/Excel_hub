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계좌목록" sheetId="2" state="visible" r:id="rId4"/>
    <sheet name="거래처목록" sheetId="3" state="visible" r:id="rId5"/>
    <sheet name="입출금내역" sheetId="4" state="visible" r:id="rId6"/>
    <sheet name="자금일보" sheetId="5" state="visible" r:id="rId7"/>
    <sheet name="자금월보" sheetId="6" state="visible" r:id="rId8"/>
    <sheet name="자금계획" sheetId="7" state="visible" r:id="rId9"/>
    <sheet name="어음내역" sheetId="8" state="visible" r:id="rId10"/>
    <sheet name="대출금내역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<sst xmlns="http://schemas.openxmlformats.org/spreadsheetml/2006/main" count="120" uniqueCount="104">
  <si>
    <t xml:space="preserve">자금관리 (입출금내역 · 일보 · 월보 · 자금계획)</t>
  </si>
  <si>
    <t xml:space="preserve">핵심</t>
  </si>
  <si>
    <t xml:space="preserve">입출금내역 한 곳에만 쌓으면 자금일보·자금월보·잔액이 전부 자동으로 나옵니다.</t>
  </si>
  <si>
    <t xml:space="preserve">입력 규칙</t>
  </si>
  <si>
    <t xml:space="preserve">파란색 글씨 칸만 입력하세요. 검은색은 자동 계산입니다.</t>
  </si>
  <si>
    <t xml:space="preserve">① 계좌목록</t>
  </si>
  <si>
    <t xml:space="preserve">통장별 기초잔액을 등록합니다. 기초잔액은 시작 시점의 잔액입니다.</t>
  </si>
  <si>
    <t xml:space="preserve">② 거래처목록</t>
  </si>
  <si>
    <t xml:space="preserve">매출처·매입처를 등록합니다. 구분을 정확히 넣어야 집계가 맞습니다.</t>
  </si>
  <si>
    <t xml:space="preserve">③ 입출금내역</t>
  </si>
  <si>
    <t xml:space="preserve">실제로 돈이 오간 것만 기록합니다. 입금은 +, 출금도 금액은 양수로 넣고 구분만 '출금'으로 하세요.</t>
  </si>
  <si>
    <t xml:space="preserve">④ 자금일보</t>
  </si>
  <si>
    <t xml:space="preserve">날짜 하나를 고르면 그날의 입금·출금·잔액과 내역이 나옵니다.</t>
  </si>
  <si>
    <t xml:space="preserve">⑤ 자금월보</t>
  </si>
  <si>
    <t xml:space="preserve">연도를 고르면 12개월 입금·출금·월말잔액이 한 화면에 나옵니다.</t>
  </si>
  <si>
    <t xml:space="preserve">⑥ 자금계획</t>
  </si>
  <si>
    <t xml:space="preserve">아직 안 나간 돈, 아직 안 들어온 돈을 예정으로 넣습니다. 실적과 비교됩니다.</t>
  </si>
  <si>
    <t xml:space="preserve">⑦ 어음내역 / 대출금내역</t>
  </si>
  <si>
    <t xml:space="preserve">만기일이 가까우면 자동으로 표시됩니다.</t>
  </si>
  <si>
    <t xml:space="preserve">잔액 계산 방식</t>
  </si>
  <si>
    <t xml:space="preserve">계좌 기초잔액 합계 + 누적 입금 - 누적 출금</t>
  </si>
  <si>
    <t xml:space="preserve">설정</t>
  </si>
  <si>
    <t xml:space="preserve">값을 바꾸면 모든 계산에 반영됩니다</t>
  </si>
  <si>
    <t xml:space="preserve">만기 경고 기준(일)</t>
  </si>
  <si>
    <t xml:space="preserve">계좌목록  (기초잔액 = 관리 시작 시점의 통장 잔액)</t>
  </si>
  <si>
    <t xml:space="preserve">계좌명</t>
  </si>
  <si>
    <t xml:space="preserve">은행</t>
  </si>
  <si>
    <t xml:space="preserve">계좌번호</t>
  </si>
  <si>
    <t xml:space="preserve">기초잔액</t>
  </si>
  <si>
    <t xml:space="preserve">비고</t>
  </si>
  <si>
    <t xml:space="preserve">주거래통장</t>
  </si>
  <si>
    <t xml:space="preserve">○○은행</t>
  </si>
  <si>
    <t xml:space="preserve">000-00-0000</t>
  </si>
  <si>
    <t xml:space="preserve">급여통장</t>
  </si>
  <si>
    <t xml:space="preserve">000-00-0001</t>
  </si>
  <si>
    <t xml:space="preserve">기초잔액 합계</t>
  </si>
  <si>
    <t xml:space="preserve">거래처목록</t>
  </si>
  <si>
    <t xml:space="preserve">거래처명</t>
  </si>
  <si>
    <t xml:space="preserve">구분(매출처/매입처)</t>
  </si>
  <si>
    <t xml:space="preserve">담당자</t>
  </si>
  <si>
    <t xml:space="preserve">연락처</t>
  </si>
  <si>
    <t xml:space="preserve">○○전자</t>
  </si>
  <si>
    <t xml:space="preserve">매출처</t>
  </si>
  <si>
    <t xml:space="preserve">△△소재</t>
  </si>
  <si>
    <t xml:space="preserve">매입처</t>
  </si>
  <si>
    <t xml:space="preserve">입출금내역  (실제로 돈이 오간 건만 기록)</t>
  </si>
  <si>
    <t xml:space="preserve">날짜</t>
  </si>
  <si>
    <t xml:space="preserve">구분</t>
  </si>
  <si>
    <t xml:space="preserve">계정과목</t>
  </si>
  <si>
    <t xml:space="preserve">거래처</t>
  </si>
  <si>
    <t xml:space="preserve">적요</t>
  </si>
  <si>
    <t xml:space="preserve">금액</t>
  </si>
  <si>
    <t xml:space="preserve">계좌</t>
  </si>
  <si>
    <t xml:space="preserve">결제수단</t>
  </si>
  <si>
    <t xml:space="preserve">입금액(자동)</t>
  </si>
  <si>
    <t xml:space="preserve">출금액(자동)</t>
  </si>
  <si>
    <t xml:space="preserve">일자순번(자동)</t>
  </si>
  <si>
    <t xml:space="preserve">일자키(자동)</t>
  </si>
  <si>
    <t xml:space="preserve">자금일보</t>
  </si>
  <si>
    <t xml:space="preserve">기준일</t>
  </si>
  <si>
    <t xml:space="preserve">← 이 칸만 바꾸세요</t>
  </si>
  <si>
    <t xml:space="preserve">전일 이월잔액</t>
  </si>
  <si>
    <t xml:space="preserve">당일 입금 합계</t>
  </si>
  <si>
    <t xml:space="preserve">당일 출금 합계</t>
  </si>
  <si>
    <t xml:space="preserve">당일 잔액</t>
  </si>
  <si>
    <t xml:space="preserve">No</t>
  </si>
  <si>
    <t xml:space="preserve">※ 하루 내역이 25건을 넘으면 표시되지 않습니다.</t>
  </si>
  <si>
    <t xml:space="preserve">자금월보</t>
  </si>
  <si>
    <t xml:space="preserve">대상 연도</t>
  </si>
  <si>
    <t xml:space="preserve">월</t>
  </si>
  <si>
    <t xml:space="preserve">입금</t>
  </si>
  <si>
    <t xml:space="preserve">출금</t>
  </si>
  <si>
    <t xml:space="preserve">월 증감</t>
  </si>
  <si>
    <t xml:space="preserve">월말 잔액</t>
  </si>
  <si>
    <t xml:space="preserve">건수</t>
  </si>
  <si>
    <t xml:space="preserve">합계</t>
  </si>
  <si>
    <t xml:space="preserve">※ 월말 잔액은 누적 기준이므로 합계를 내지 않습니다.</t>
  </si>
  <si>
    <t xml:space="preserve">자금계획  (아직 실행되지 않은 예정 입출금)</t>
  </si>
  <si>
    <t xml:space="preserve">예정일</t>
  </si>
  <si>
    <t xml:space="preserve">예정금액</t>
  </si>
  <si>
    <t xml:space="preserve">실행여부</t>
  </si>
  <si>
    <r>
      <rPr>
        <b val="true"/>
        <sz val="10"/>
        <color rgb="FFFFFFFF"/>
        <rFont val="맑은 고딕"/>
        <family val="0"/>
        <charset val="1"/>
      </rPr>
      <t xml:space="preserve">D-Day(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</si>
  <si>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요약</t>
  </si>
  <si>
    <t xml:space="preserve">당월 예정 입금</t>
  </si>
  <si>
    <t xml:space="preserve">당월 예정 출금</t>
  </si>
  <si>
    <t xml:space="preserve">익월 예정 입금</t>
  </si>
  <si>
    <t xml:space="preserve">익월 예정 출금</t>
  </si>
  <si>
    <t xml:space="preserve">예상 잔액 (현재잔액 + 당월예정입금 - 당월예정출금)</t>
  </si>
  <si>
    <t xml:space="preserve">어음내역</t>
  </si>
  <si>
    <t xml:space="preserve">구분(받을/지급)</t>
  </si>
  <si>
    <t xml:space="preserve">발행일</t>
  </si>
  <si>
    <t xml:space="preserve">만기일</t>
  </si>
  <si>
    <t xml:space="preserve">어음번호</t>
  </si>
  <si>
    <t xml:space="preserve">결제여부</t>
  </si>
  <si>
    <t xml:space="preserve">받을어음 미결제 합계</t>
  </si>
  <si>
    <t xml:space="preserve">지급어음 미결제 합계</t>
  </si>
  <si>
    <t xml:space="preserve">대출금내역</t>
  </si>
  <si>
    <t xml:space="preserve">금융기관</t>
  </si>
  <si>
    <t xml:space="preserve">대출명</t>
  </si>
  <si>
    <t xml:space="preserve">실행일</t>
  </si>
  <si>
    <t xml:space="preserve">대출원금</t>
  </si>
  <si>
    <t xml:space="preserve">현재잔액</t>
  </si>
  <si>
    <t xml:space="preserve">연이자율</t>
  </si>
  <si>
    <t xml:space="preserve">대출 잔액 합계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</si>
</sst>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yyyy\-mm\-dd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b val="true"/>
      <sz val="11"/>
      <name val="Noto Sans CJK SC"/>
      <family val="2"/>
      <charset val="1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6B7A8F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5" hidden="false" customHeight="true" outlineLevel="0" collapsed="false">
      <c r="B12" s="3" t="s">
        <v>17</v>
      </c>
      <c r="C12" s="4" t="s">
        <v>18</v>
      </c>
    </row>
    <row r="13" customFormat="false" ht="15" hidden="false" customHeight="true" outlineLevel="0" collapsed="false">
      <c r="B13" s="3" t="s">
        <v>19</v>
      </c>
      <c r="C13" s="4" t="s">
        <v>20</v>
      </c>
    </row>
    <row r="15" customFormat="false" ht="15" hidden="false" customHeight="true" outlineLevel="0" collapsed="false">
      <c r="B15" s="5" t="s">
        <v>21</v>
      </c>
      <c r="C15" s="6" t="s">
        <v>22</v>
      </c>
    </row>
    <row r="16" customFormat="false" ht="15" hidden="false" customHeight="true" outlineLevel="0" collapsed="false">
      <c r="B16" s="4" t="s">
        <v>23</v>
      </c>
      <c r="C16" s="7" t="n">
        <v>15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24</v>
      </c>
      <c r="B1" s="2"/>
      <c r="C1" s="2"/>
      <c r="D1" s="2"/>
      <c r="E1" s="2"/>
    </row>
    <row r="2" customFormat="false" ht="15" hidden="false" customHeight="true" outlineLevel="0" collapsed="false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</row>
    <row r="3" customFormat="false" ht="15" hidden="false" customHeight="true" outlineLevel="0" collapsed="false">
      <c r="A3" s="9" t="s">
        <v>30</v>
      </c>
      <c r="B3" s="9" t="s">
        <v>31</v>
      </c>
      <c r="C3" s="10" t="s">
        <v>32</v>
      </c>
      <c r="D3" s="11" t="n">
        <v>50000000</v>
      </c>
      <c r="E3" s="10"/>
    </row>
    <row r="4" customFormat="false" ht="15" hidden="false" customHeight="true" outlineLevel="0" collapsed="false">
      <c r="A4" s="9" t="s">
        <v>33</v>
      </c>
      <c r="B4" s="9" t="s">
        <v>31</v>
      </c>
      <c r="C4" s="10" t="s">
        <v>34</v>
      </c>
      <c r="D4" s="11" t="n">
        <v>5000000</v>
      </c>
      <c r="E4" s="10"/>
    </row>
    <row r="5" customFormat="false" ht="15" hidden="false" customHeight="true" outlineLevel="0" collapsed="false">
      <c r="A5" s="10"/>
      <c r="B5" s="10"/>
      <c r="C5" s="10"/>
      <c r="D5" s="11"/>
      <c r="E5" s="10"/>
    </row>
    <row r="6" customFormat="false" ht="15" hidden="false" customHeight="true" outlineLevel="0" collapsed="false">
      <c r="A6" s="10"/>
      <c r="B6" s="10"/>
      <c r="C6" s="10"/>
      <c r="D6" s="11"/>
      <c r="E6" s="10"/>
    </row>
    <row r="7" customFormat="false" ht="15" hidden="false" customHeight="true" outlineLevel="0" collapsed="false">
      <c r="A7" s="10"/>
      <c r="B7" s="10"/>
      <c r="C7" s="10"/>
      <c r="D7" s="11"/>
      <c r="E7" s="10"/>
    </row>
    <row r="8" customFormat="false" ht="15" hidden="false" customHeight="true" outlineLevel="0" collapsed="false">
      <c r="A8" s="10"/>
      <c r="B8" s="10"/>
      <c r="C8" s="10"/>
      <c r="D8" s="11"/>
      <c r="E8" s="10"/>
    </row>
    <row r="9" customFormat="false" ht="15" hidden="false" customHeight="true" outlineLevel="0" collapsed="false">
      <c r="A9" s="10"/>
      <c r="B9" s="10"/>
      <c r="C9" s="10"/>
      <c r="D9" s="11"/>
      <c r="E9" s="10"/>
    </row>
    <row r="10" customFormat="false" ht="15" hidden="false" customHeight="true" outlineLevel="0" collapsed="false">
      <c r="A10" s="10"/>
      <c r="B10" s="10"/>
      <c r="C10" s="10"/>
      <c r="D10" s="11"/>
      <c r="E10" s="10"/>
    </row>
    <row r="11" customFormat="false" ht="15" hidden="false" customHeight="true" outlineLevel="0" collapsed="false">
      <c r="A11" s="10"/>
      <c r="B11" s="10"/>
      <c r="C11" s="10"/>
      <c r="D11" s="11"/>
      <c r="E11" s="10"/>
    </row>
    <row r="12" customFormat="false" ht="15" hidden="false" customHeight="true" outlineLevel="0" collapsed="false">
      <c r="A12" s="10"/>
      <c r="B12" s="10"/>
      <c r="C12" s="10"/>
      <c r="D12" s="11"/>
      <c r="E12" s="10"/>
    </row>
    <row r="13" customFormat="false" ht="15" hidden="false" customHeight="true" outlineLevel="0" collapsed="false">
      <c r="A13" s="10"/>
      <c r="B13" s="10"/>
      <c r="C13" s="10"/>
      <c r="D13" s="11"/>
      <c r="E13" s="10"/>
    </row>
    <row r="14" customFormat="false" ht="15" hidden="false" customHeight="true" outlineLevel="0" collapsed="false">
      <c r="A14" s="10"/>
      <c r="B14" s="10"/>
      <c r="C14" s="10"/>
      <c r="D14" s="11"/>
      <c r="E14" s="10"/>
    </row>
    <row r="15" customFormat="false" ht="15" hidden="false" customHeight="true" outlineLevel="0" collapsed="false">
      <c r="A15" s="10"/>
      <c r="B15" s="10"/>
      <c r="C15" s="10"/>
      <c r="D15" s="11"/>
      <c r="E15" s="10"/>
    </row>
    <row r="16" customFormat="false" ht="15" hidden="false" customHeight="true" outlineLevel="0" collapsed="false">
      <c r="A16" s="10"/>
      <c r="B16" s="10"/>
      <c r="C16" s="10"/>
      <c r="D16" s="11"/>
      <c r="E16" s="10"/>
    </row>
    <row r="17" customFormat="false" ht="15" hidden="false" customHeight="true" outlineLevel="0" collapsed="false">
      <c r="A17" s="10"/>
      <c r="B17" s="10"/>
      <c r="C17" s="10"/>
      <c r="D17" s="11"/>
      <c r="E17" s="10"/>
    </row>
    <row r="18" customFormat="false" ht="15" hidden="false" customHeight="true" outlineLevel="0" collapsed="false">
      <c r="A18" s="10"/>
      <c r="B18" s="10"/>
      <c r="C18" s="10"/>
      <c r="D18" s="11"/>
      <c r="E18" s="10"/>
    </row>
    <row r="19" customFormat="false" ht="15" hidden="false" customHeight="true" outlineLevel="0" collapsed="false">
      <c r="A19" s="10"/>
      <c r="B19" s="10"/>
      <c r="C19" s="10"/>
      <c r="D19" s="11"/>
      <c r="E19" s="10"/>
    </row>
    <row r="20" customFormat="false" ht="15" hidden="false" customHeight="true" outlineLevel="0" collapsed="false">
      <c r="A20" s="10"/>
      <c r="B20" s="10"/>
      <c r="C20" s="10"/>
      <c r="D20" s="11"/>
      <c r="E20" s="10"/>
    </row>
    <row r="21" customFormat="false" ht="15" hidden="false" customHeight="true" outlineLevel="0" collapsed="false">
      <c r="A21" s="10"/>
      <c r="B21" s="10"/>
      <c r="C21" s="10"/>
      <c r="D21" s="11"/>
      <c r="E21" s="10"/>
    </row>
    <row r="22" customFormat="false" ht="15" hidden="false" customHeight="true" outlineLevel="0" collapsed="false">
      <c r="A22" s="10"/>
      <c r="B22" s="10"/>
      <c r="C22" s="10"/>
      <c r="D22" s="11"/>
      <c r="E22" s="10"/>
    </row>
    <row r="24" customFormat="false" ht="15" hidden="false" customHeight="true" outlineLevel="0" collapsed="false">
      <c r="C24" s="3" t="s">
        <v>35</v>
      </c>
      <c r="D24" s="12" t="n">
        <f aca="false">SUM(D3:D22)</f>
        <v>55000000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1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2" t="s">
        <v>36</v>
      </c>
      <c r="B1" s="2"/>
      <c r="C1" s="2"/>
      <c r="D1" s="2"/>
    </row>
    <row r="2" customFormat="false" ht="15" hidden="false" customHeight="true" outlineLevel="0" collapsed="false">
      <c r="A2" s="8" t="s">
        <v>37</v>
      </c>
      <c r="B2" s="8" t="s">
        <v>38</v>
      </c>
      <c r="C2" s="8" t="s">
        <v>39</v>
      </c>
      <c r="D2" s="8" t="s">
        <v>40</v>
      </c>
    </row>
    <row r="3" customFormat="false" ht="15" hidden="false" customHeight="true" outlineLevel="0" collapsed="false">
      <c r="A3" s="9" t="s">
        <v>41</v>
      </c>
      <c r="B3" s="9" t="s">
        <v>42</v>
      </c>
      <c r="C3" s="10"/>
      <c r="D3" s="10"/>
    </row>
    <row r="4" customFormat="false" ht="15" hidden="false" customHeight="true" outlineLevel="0" collapsed="false">
      <c r="A4" s="9" t="s">
        <v>43</v>
      </c>
      <c r="B4" s="9" t="s">
        <v>44</v>
      </c>
      <c r="C4" s="10"/>
      <c r="D4" s="10"/>
    </row>
    <row r="5" customFormat="false" ht="15" hidden="false" customHeight="true" outlineLevel="0" collapsed="false">
      <c r="A5" s="10"/>
      <c r="B5" s="9"/>
      <c r="C5" s="10"/>
      <c r="D5" s="10"/>
    </row>
    <row r="6" customFormat="false" ht="15" hidden="false" customHeight="true" outlineLevel="0" collapsed="false">
      <c r="A6" s="10"/>
      <c r="B6" s="9"/>
      <c r="C6" s="10"/>
      <c r="D6" s="10"/>
    </row>
    <row r="7" customFormat="false" ht="15" hidden="false" customHeight="true" outlineLevel="0" collapsed="false">
      <c r="A7" s="10"/>
      <c r="B7" s="9"/>
      <c r="C7" s="10"/>
      <c r="D7" s="10"/>
    </row>
    <row r="8" customFormat="false" ht="15" hidden="false" customHeight="true" outlineLevel="0" collapsed="false">
      <c r="A8" s="10"/>
      <c r="B8" s="9"/>
      <c r="C8" s="10"/>
      <c r="D8" s="10"/>
    </row>
    <row r="9" customFormat="false" ht="15" hidden="false" customHeight="true" outlineLevel="0" collapsed="false">
      <c r="A9" s="10"/>
      <c r="B9" s="9"/>
      <c r="C9" s="10"/>
      <c r="D9" s="10"/>
    </row>
    <row r="10" customFormat="false" ht="15" hidden="false" customHeight="true" outlineLevel="0" collapsed="false">
      <c r="A10" s="10"/>
      <c r="B10" s="9"/>
      <c r="C10" s="10"/>
      <c r="D10" s="10"/>
    </row>
    <row r="11" customFormat="false" ht="15" hidden="false" customHeight="true" outlineLevel="0" collapsed="false">
      <c r="A11" s="10"/>
      <c r="B11" s="9"/>
      <c r="C11" s="10"/>
      <c r="D11" s="10"/>
    </row>
    <row r="12" customFormat="false" ht="15" hidden="false" customHeight="true" outlineLevel="0" collapsed="false">
      <c r="A12" s="10"/>
      <c r="B12" s="9"/>
      <c r="C12" s="10"/>
      <c r="D12" s="10"/>
    </row>
    <row r="13" customFormat="false" ht="15" hidden="false" customHeight="true" outlineLevel="0" collapsed="false">
      <c r="A13" s="10"/>
      <c r="B13" s="9"/>
      <c r="C13" s="10"/>
      <c r="D13" s="10"/>
    </row>
    <row r="14" customFormat="false" ht="15" hidden="false" customHeight="true" outlineLevel="0" collapsed="false">
      <c r="A14" s="10"/>
      <c r="B14" s="9"/>
      <c r="C14" s="10"/>
      <c r="D14" s="10"/>
    </row>
    <row r="15" customFormat="false" ht="15" hidden="false" customHeight="true" outlineLevel="0" collapsed="false">
      <c r="A15" s="10"/>
      <c r="B15" s="9"/>
      <c r="C15" s="10"/>
      <c r="D15" s="10"/>
    </row>
    <row r="16" customFormat="false" ht="15" hidden="false" customHeight="true" outlineLevel="0" collapsed="false">
      <c r="A16" s="10"/>
      <c r="B16" s="9"/>
      <c r="C16" s="10"/>
      <c r="D16" s="10"/>
    </row>
    <row r="17" customFormat="false" ht="15" hidden="false" customHeight="true" outlineLevel="0" collapsed="false">
      <c r="A17" s="10"/>
      <c r="B17" s="9"/>
      <c r="C17" s="10"/>
      <c r="D17" s="10"/>
    </row>
    <row r="18" customFormat="false" ht="15" hidden="false" customHeight="true" outlineLevel="0" collapsed="false">
      <c r="A18" s="10"/>
      <c r="B18" s="9"/>
      <c r="C18" s="10"/>
      <c r="D18" s="10"/>
    </row>
    <row r="19" customFormat="false" ht="15" hidden="false" customHeight="true" outlineLevel="0" collapsed="false">
      <c r="A19" s="10"/>
      <c r="B19" s="9"/>
      <c r="C19" s="10"/>
      <c r="D19" s="10"/>
    </row>
    <row r="20" customFormat="false" ht="15" hidden="false" customHeight="true" outlineLevel="0" collapsed="false">
      <c r="A20" s="10"/>
      <c r="B20" s="9"/>
      <c r="C20" s="10"/>
      <c r="D20" s="10"/>
    </row>
    <row r="21" customFormat="false" ht="15" hidden="false" customHeight="true" outlineLevel="0" collapsed="false">
      <c r="A21" s="10"/>
      <c r="B21" s="9"/>
      <c r="C21" s="10"/>
      <c r="D21" s="10"/>
    </row>
    <row r="22" customFormat="false" ht="15" hidden="false" customHeight="true" outlineLevel="0" collapsed="false">
      <c r="A22" s="10"/>
      <c r="B22" s="9"/>
      <c r="C22" s="10"/>
      <c r="D22" s="10"/>
    </row>
    <row r="23" customFormat="false" ht="15" hidden="false" customHeight="true" outlineLevel="0" collapsed="false">
      <c r="A23" s="10"/>
      <c r="B23" s="9"/>
      <c r="C23" s="10"/>
      <c r="D23" s="10"/>
    </row>
    <row r="24" customFormat="false" ht="15" hidden="false" customHeight="true" outlineLevel="0" collapsed="false">
      <c r="A24" s="10"/>
      <c r="B24" s="9"/>
      <c r="C24" s="10"/>
      <c r="D24" s="10"/>
    </row>
    <row r="25" customFormat="false" ht="15" hidden="false" customHeight="true" outlineLevel="0" collapsed="false">
      <c r="A25" s="10"/>
      <c r="B25" s="9"/>
      <c r="C25" s="10"/>
      <c r="D25" s="10"/>
    </row>
    <row r="26" customFormat="false" ht="15" hidden="false" customHeight="true" outlineLevel="0" collapsed="false">
      <c r="A26" s="10"/>
      <c r="B26" s="9"/>
      <c r="C26" s="10"/>
      <c r="D26" s="10"/>
    </row>
    <row r="27" customFormat="false" ht="15" hidden="false" customHeight="true" outlineLevel="0" collapsed="false">
      <c r="A27" s="10"/>
      <c r="B27" s="9"/>
      <c r="C27" s="10"/>
      <c r="D27" s="10"/>
    </row>
    <row r="28" customFormat="false" ht="15" hidden="false" customHeight="true" outlineLevel="0" collapsed="false">
      <c r="A28" s="10"/>
      <c r="B28" s="9"/>
      <c r="C28" s="10"/>
      <c r="D28" s="10"/>
    </row>
    <row r="29" customFormat="false" ht="15" hidden="false" customHeight="true" outlineLevel="0" collapsed="false">
      <c r="A29" s="10"/>
      <c r="B29" s="9"/>
      <c r="C29" s="10"/>
      <c r="D29" s="10"/>
    </row>
    <row r="30" customFormat="false" ht="15" hidden="false" customHeight="true" outlineLevel="0" collapsed="false">
      <c r="A30" s="10"/>
      <c r="B30" s="9"/>
      <c r="C30" s="10"/>
      <c r="D30" s="10"/>
    </row>
    <row r="31" customFormat="false" ht="15" hidden="false" customHeight="true" outlineLevel="0" collapsed="false">
      <c r="A31" s="10"/>
      <c r="B31" s="9"/>
      <c r="C31" s="10"/>
      <c r="D31" s="10"/>
    </row>
    <row r="32" customFormat="false" ht="15" hidden="false" customHeight="true" outlineLevel="0" collapsed="false">
      <c r="A32" s="10"/>
      <c r="B32" s="9"/>
      <c r="C32" s="10"/>
      <c r="D32" s="10"/>
    </row>
    <row r="33" customFormat="false" ht="15" hidden="false" customHeight="true" outlineLevel="0" collapsed="false">
      <c r="A33" s="10"/>
      <c r="B33" s="9"/>
      <c r="C33" s="10"/>
      <c r="D33" s="10"/>
    </row>
    <row r="34" customFormat="false" ht="15" hidden="false" customHeight="true" outlineLevel="0" collapsed="false">
      <c r="A34" s="10"/>
      <c r="B34" s="9"/>
      <c r="C34" s="10"/>
      <c r="D34" s="10"/>
    </row>
    <row r="35" customFormat="false" ht="15" hidden="false" customHeight="true" outlineLevel="0" collapsed="false">
      <c r="A35" s="10"/>
      <c r="B35" s="9"/>
      <c r="C35" s="10"/>
      <c r="D35" s="10"/>
    </row>
    <row r="36" customFormat="false" ht="15" hidden="false" customHeight="true" outlineLevel="0" collapsed="false">
      <c r="A36" s="10"/>
      <c r="B36" s="9"/>
      <c r="C36" s="10"/>
      <c r="D36" s="10"/>
    </row>
    <row r="37" customFormat="false" ht="15" hidden="false" customHeight="true" outlineLevel="0" collapsed="false">
      <c r="A37" s="10"/>
      <c r="B37" s="9"/>
      <c r="C37" s="10"/>
      <c r="D37" s="10"/>
    </row>
    <row r="38" customFormat="false" ht="15" hidden="false" customHeight="true" outlineLevel="0" collapsed="false">
      <c r="A38" s="10"/>
      <c r="B38" s="9"/>
      <c r="C38" s="10"/>
      <c r="D38" s="10"/>
    </row>
    <row r="39" customFormat="false" ht="15" hidden="false" customHeight="true" outlineLevel="0" collapsed="false">
      <c r="A39" s="10"/>
      <c r="B39" s="9"/>
      <c r="C39" s="10"/>
      <c r="D39" s="10"/>
    </row>
    <row r="40" customFormat="false" ht="15" hidden="false" customHeight="true" outlineLevel="0" collapsed="false">
      <c r="A40" s="10"/>
      <c r="B40" s="9"/>
      <c r="C40" s="10"/>
      <c r="D40" s="10"/>
    </row>
    <row r="41" customFormat="false" ht="15" hidden="false" customHeight="true" outlineLevel="0" collapsed="false">
      <c r="A41" s="10"/>
      <c r="B41" s="9"/>
      <c r="C41" s="10"/>
      <c r="D41" s="10"/>
    </row>
    <row r="42" customFormat="false" ht="15" hidden="false" customHeight="true" outlineLevel="0" collapsed="false">
      <c r="A42" s="10"/>
      <c r="B42" s="9"/>
      <c r="C42" s="10"/>
      <c r="D42" s="10"/>
    </row>
    <row r="43" customFormat="false" ht="15" hidden="false" customHeight="true" outlineLevel="0" collapsed="false">
      <c r="A43" s="10"/>
      <c r="B43" s="9"/>
      <c r="C43" s="10"/>
      <c r="D43" s="10"/>
    </row>
    <row r="44" customFormat="false" ht="15" hidden="false" customHeight="true" outlineLevel="0" collapsed="false">
      <c r="A44" s="10"/>
      <c r="B44" s="9"/>
      <c r="C44" s="10"/>
      <c r="D44" s="10"/>
    </row>
    <row r="45" customFormat="false" ht="15" hidden="false" customHeight="true" outlineLevel="0" collapsed="false">
      <c r="A45" s="10"/>
      <c r="B45" s="9"/>
      <c r="C45" s="10"/>
      <c r="D45" s="10"/>
    </row>
    <row r="46" customFormat="false" ht="15" hidden="false" customHeight="true" outlineLevel="0" collapsed="false">
      <c r="A46" s="10"/>
      <c r="B46" s="9"/>
      <c r="C46" s="10"/>
      <c r="D46" s="10"/>
    </row>
    <row r="47" customFormat="false" ht="15" hidden="false" customHeight="true" outlineLevel="0" collapsed="false">
      <c r="A47" s="10"/>
      <c r="B47" s="9"/>
      <c r="C47" s="10"/>
      <c r="D47" s="10"/>
    </row>
    <row r="48" customFormat="false" ht="15" hidden="false" customHeight="true" outlineLevel="0" collapsed="false">
      <c r="A48" s="10"/>
      <c r="B48" s="9"/>
      <c r="C48" s="10"/>
      <c r="D48" s="10"/>
    </row>
    <row r="49" customFormat="false" ht="15" hidden="false" customHeight="true" outlineLevel="0" collapsed="false">
      <c r="A49" s="10"/>
      <c r="B49" s="9"/>
      <c r="C49" s="10"/>
      <c r="D49" s="10"/>
    </row>
    <row r="50" customFormat="false" ht="15" hidden="false" customHeight="true" outlineLevel="0" collapsed="false">
      <c r="A50" s="10"/>
      <c r="B50" s="9"/>
      <c r="C50" s="10"/>
      <c r="D50" s="10"/>
    </row>
    <row r="51" customFormat="false" ht="15" hidden="false" customHeight="true" outlineLevel="0" collapsed="false">
      <c r="A51" s="10"/>
      <c r="B51" s="9"/>
      <c r="C51" s="10"/>
      <c r="D51" s="10"/>
    </row>
    <row r="52" customFormat="false" ht="15" hidden="false" customHeight="true" outlineLevel="0" collapsed="false">
      <c r="A52" s="10"/>
      <c r="B52" s="9"/>
      <c r="C52" s="10"/>
      <c r="D52" s="10"/>
    </row>
    <row r="53" customFormat="false" ht="15" hidden="false" customHeight="true" outlineLevel="0" collapsed="false">
      <c r="A53" s="10"/>
      <c r="B53" s="9"/>
      <c r="C53" s="10"/>
      <c r="D53" s="10"/>
    </row>
    <row r="54" customFormat="false" ht="15" hidden="false" customHeight="true" outlineLevel="0" collapsed="false">
      <c r="A54" s="10"/>
      <c r="B54" s="9"/>
      <c r="C54" s="10"/>
      <c r="D54" s="10"/>
    </row>
    <row r="55" customFormat="false" ht="15" hidden="false" customHeight="true" outlineLevel="0" collapsed="false">
      <c r="A55" s="10"/>
      <c r="B55" s="9"/>
      <c r="C55" s="10"/>
      <c r="D55" s="10"/>
    </row>
    <row r="56" customFormat="false" ht="15" hidden="false" customHeight="true" outlineLevel="0" collapsed="false">
      <c r="A56" s="10"/>
      <c r="B56" s="9"/>
      <c r="C56" s="10"/>
      <c r="D56" s="10"/>
    </row>
    <row r="57" customFormat="false" ht="15" hidden="false" customHeight="true" outlineLevel="0" collapsed="false">
      <c r="A57" s="10"/>
      <c r="B57" s="9"/>
      <c r="C57" s="10"/>
      <c r="D57" s="10"/>
    </row>
    <row r="58" customFormat="false" ht="15" hidden="false" customHeight="true" outlineLevel="0" collapsed="false">
      <c r="A58" s="10"/>
      <c r="B58" s="9"/>
      <c r="C58" s="10"/>
      <c r="D58" s="10"/>
    </row>
    <row r="59" customFormat="false" ht="15" hidden="false" customHeight="true" outlineLevel="0" collapsed="false">
      <c r="A59" s="10"/>
      <c r="B59" s="9"/>
      <c r="C59" s="10"/>
      <c r="D59" s="10"/>
    </row>
    <row r="60" customFormat="false" ht="15" hidden="false" customHeight="true" outlineLevel="0" collapsed="false">
      <c r="A60" s="10"/>
      <c r="B60" s="9"/>
      <c r="C60" s="10"/>
      <c r="D60" s="10"/>
    </row>
    <row r="61" customFormat="false" ht="15" hidden="false" customHeight="true" outlineLevel="0" collapsed="false">
      <c r="A61" s="10"/>
      <c r="B61" s="9"/>
      <c r="C61" s="10"/>
      <c r="D61" s="10"/>
    </row>
    <row r="62" customFormat="false" ht="15" hidden="false" customHeight="true" outlineLevel="0" collapsed="false">
      <c r="A62" s="10"/>
      <c r="B62" s="9"/>
      <c r="C62" s="10"/>
      <c r="D62" s="10"/>
    </row>
    <row r="63" customFormat="false" ht="15" hidden="false" customHeight="true" outlineLevel="0" collapsed="false">
      <c r="A63" s="10"/>
      <c r="B63" s="9"/>
      <c r="C63" s="10"/>
      <c r="D63" s="10"/>
    </row>
    <row r="64" customFormat="false" ht="15" hidden="false" customHeight="true" outlineLevel="0" collapsed="false">
      <c r="A64" s="10"/>
      <c r="B64" s="9"/>
      <c r="C64" s="10"/>
      <c r="D64" s="10"/>
    </row>
    <row r="65" customFormat="false" ht="15" hidden="false" customHeight="true" outlineLevel="0" collapsed="false">
      <c r="A65" s="10"/>
      <c r="B65" s="9"/>
      <c r="C65" s="10"/>
      <c r="D65" s="10"/>
    </row>
    <row r="66" customFormat="false" ht="15" hidden="false" customHeight="true" outlineLevel="0" collapsed="false">
      <c r="A66" s="10"/>
      <c r="B66" s="9"/>
      <c r="C66" s="10"/>
      <c r="D66" s="10"/>
    </row>
    <row r="67" customFormat="false" ht="15" hidden="false" customHeight="true" outlineLevel="0" collapsed="false">
      <c r="A67" s="10"/>
      <c r="B67" s="9"/>
      <c r="C67" s="10"/>
      <c r="D67" s="10"/>
    </row>
    <row r="68" customFormat="false" ht="15" hidden="false" customHeight="true" outlineLevel="0" collapsed="false">
      <c r="A68" s="10"/>
      <c r="B68" s="9"/>
      <c r="C68" s="10"/>
      <c r="D68" s="10"/>
    </row>
    <row r="69" customFormat="false" ht="15" hidden="false" customHeight="true" outlineLevel="0" collapsed="false">
      <c r="A69" s="10"/>
      <c r="B69" s="9"/>
      <c r="C69" s="10"/>
      <c r="D69" s="10"/>
    </row>
    <row r="70" customFormat="false" ht="15" hidden="false" customHeight="true" outlineLevel="0" collapsed="false">
      <c r="A70" s="10"/>
      <c r="B70" s="9"/>
      <c r="C70" s="10"/>
      <c r="D70" s="10"/>
    </row>
    <row r="71" customFormat="false" ht="15" hidden="false" customHeight="true" outlineLevel="0" collapsed="false">
      <c r="A71" s="10"/>
      <c r="B71" s="9"/>
      <c r="C71" s="10"/>
      <c r="D71" s="10"/>
    </row>
    <row r="72" customFormat="false" ht="15" hidden="false" customHeight="true" outlineLevel="0" collapsed="false">
      <c r="A72" s="10"/>
      <c r="B72" s="9"/>
      <c r="C72" s="10"/>
      <c r="D72" s="10"/>
    </row>
    <row r="73" customFormat="false" ht="15" hidden="false" customHeight="true" outlineLevel="0" collapsed="false">
      <c r="A73" s="10"/>
      <c r="B73" s="9"/>
      <c r="C73" s="10"/>
      <c r="D73" s="10"/>
    </row>
    <row r="74" customFormat="false" ht="15" hidden="false" customHeight="true" outlineLevel="0" collapsed="false">
      <c r="A74" s="10"/>
      <c r="B74" s="9"/>
      <c r="C74" s="10"/>
      <c r="D74" s="10"/>
    </row>
    <row r="75" customFormat="false" ht="15" hidden="false" customHeight="true" outlineLevel="0" collapsed="false">
      <c r="A75" s="10"/>
      <c r="B75" s="9"/>
      <c r="C75" s="10"/>
      <c r="D75" s="10"/>
    </row>
    <row r="76" customFormat="false" ht="15" hidden="false" customHeight="true" outlineLevel="0" collapsed="false">
      <c r="A76" s="10"/>
      <c r="B76" s="9"/>
      <c r="C76" s="10"/>
      <c r="D76" s="10"/>
    </row>
    <row r="77" customFormat="false" ht="15" hidden="false" customHeight="true" outlineLevel="0" collapsed="false">
      <c r="A77" s="10"/>
      <c r="B77" s="9"/>
      <c r="C77" s="10"/>
      <c r="D77" s="10"/>
    </row>
    <row r="78" customFormat="false" ht="15" hidden="false" customHeight="true" outlineLevel="0" collapsed="false">
      <c r="A78" s="10"/>
      <c r="B78" s="9"/>
      <c r="C78" s="10"/>
      <c r="D78" s="10"/>
    </row>
    <row r="79" customFormat="false" ht="15" hidden="false" customHeight="true" outlineLevel="0" collapsed="false">
      <c r="A79" s="10"/>
      <c r="B79" s="9"/>
      <c r="C79" s="10"/>
      <c r="D79" s="10"/>
    </row>
    <row r="80" customFormat="false" ht="15" hidden="false" customHeight="true" outlineLevel="0" collapsed="false">
      <c r="A80" s="10"/>
      <c r="B80" s="9"/>
      <c r="C80" s="10"/>
      <c r="D80" s="10"/>
    </row>
    <row r="81" customFormat="false" ht="15" hidden="false" customHeight="true" outlineLevel="0" collapsed="false">
      <c r="A81" s="10"/>
      <c r="B81" s="9"/>
      <c r="C81" s="10"/>
      <c r="D81" s="10"/>
    </row>
    <row r="82" customFormat="false" ht="15" hidden="false" customHeight="true" outlineLevel="0" collapsed="false">
      <c r="A82" s="10"/>
      <c r="B82" s="9"/>
      <c r="C82" s="10"/>
      <c r="D82" s="10"/>
    </row>
    <row r="83" customFormat="false" ht="15" hidden="false" customHeight="true" outlineLevel="0" collapsed="false">
      <c r="A83" s="10"/>
      <c r="B83" s="9"/>
      <c r="C83" s="10"/>
      <c r="D83" s="10"/>
    </row>
    <row r="84" customFormat="false" ht="15" hidden="false" customHeight="true" outlineLevel="0" collapsed="false">
      <c r="A84" s="10"/>
      <c r="B84" s="9"/>
      <c r="C84" s="10"/>
      <c r="D84" s="10"/>
    </row>
    <row r="85" customFormat="false" ht="15" hidden="false" customHeight="true" outlineLevel="0" collapsed="false">
      <c r="A85" s="10"/>
      <c r="B85" s="9"/>
      <c r="C85" s="10"/>
      <c r="D85" s="10"/>
    </row>
    <row r="86" customFormat="false" ht="15" hidden="false" customHeight="true" outlineLevel="0" collapsed="false">
      <c r="A86" s="10"/>
      <c r="B86" s="9"/>
      <c r="C86" s="10"/>
      <c r="D86" s="10"/>
    </row>
    <row r="87" customFormat="false" ht="15" hidden="false" customHeight="true" outlineLevel="0" collapsed="false">
      <c r="A87" s="10"/>
      <c r="B87" s="9"/>
      <c r="C87" s="10"/>
      <c r="D87" s="10"/>
    </row>
    <row r="88" customFormat="false" ht="15" hidden="false" customHeight="true" outlineLevel="0" collapsed="false">
      <c r="A88" s="10"/>
      <c r="B88" s="9"/>
      <c r="C88" s="10"/>
      <c r="D88" s="10"/>
    </row>
    <row r="89" customFormat="false" ht="15" hidden="false" customHeight="true" outlineLevel="0" collapsed="false">
      <c r="A89" s="10"/>
      <c r="B89" s="9"/>
      <c r="C89" s="10"/>
      <c r="D89" s="10"/>
    </row>
    <row r="90" customFormat="false" ht="15" hidden="false" customHeight="true" outlineLevel="0" collapsed="false">
      <c r="A90" s="10"/>
      <c r="B90" s="9"/>
      <c r="C90" s="10"/>
      <c r="D90" s="10"/>
    </row>
    <row r="91" customFormat="false" ht="15" hidden="false" customHeight="true" outlineLevel="0" collapsed="false">
      <c r="A91" s="10"/>
      <c r="B91" s="9"/>
      <c r="C91" s="10"/>
      <c r="D91" s="10"/>
    </row>
    <row r="92" customFormat="false" ht="15" hidden="false" customHeight="true" outlineLevel="0" collapsed="false">
      <c r="A92" s="10"/>
      <c r="B92" s="9"/>
      <c r="C92" s="10"/>
      <c r="D92" s="10"/>
    </row>
    <row r="93" customFormat="false" ht="15" hidden="false" customHeight="true" outlineLevel="0" collapsed="false">
      <c r="A93" s="10"/>
      <c r="B93" s="9"/>
      <c r="C93" s="10"/>
      <c r="D93" s="10"/>
    </row>
    <row r="94" customFormat="false" ht="15" hidden="false" customHeight="true" outlineLevel="0" collapsed="false">
      <c r="A94" s="10"/>
      <c r="B94" s="9"/>
      <c r="C94" s="10"/>
      <c r="D94" s="10"/>
    </row>
    <row r="95" customFormat="false" ht="15" hidden="false" customHeight="true" outlineLevel="0" collapsed="false">
      <c r="A95" s="10"/>
      <c r="B95" s="9"/>
      <c r="C95" s="10"/>
      <c r="D95" s="10"/>
    </row>
    <row r="96" customFormat="false" ht="15" hidden="false" customHeight="true" outlineLevel="0" collapsed="false">
      <c r="A96" s="10"/>
      <c r="B96" s="9"/>
      <c r="C96" s="10"/>
      <c r="D96" s="10"/>
    </row>
    <row r="97" customFormat="false" ht="15" hidden="false" customHeight="true" outlineLevel="0" collapsed="false">
      <c r="A97" s="10"/>
      <c r="B97" s="9"/>
      <c r="C97" s="10"/>
      <c r="D97" s="10"/>
    </row>
    <row r="98" customFormat="false" ht="15" hidden="false" customHeight="true" outlineLevel="0" collapsed="false">
      <c r="A98" s="10"/>
      <c r="B98" s="9"/>
      <c r="C98" s="10"/>
      <c r="D98" s="10"/>
    </row>
    <row r="99" customFormat="false" ht="15" hidden="false" customHeight="true" outlineLevel="0" collapsed="false">
      <c r="A99" s="10"/>
      <c r="B99" s="9"/>
      <c r="C99" s="10"/>
      <c r="D99" s="10"/>
    </row>
    <row r="100" customFormat="false" ht="15" hidden="false" customHeight="true" outlineLevel="0" collapsed="false">
      <c r="A100" s="10"/>
      <c r="B100" s="9"/>
      <c r="C100" s="10"/>
      <c r="D100" s="10"/>
    </row>
    <row r="101" customFormat="false" ht="15" hidden="false" customHeight="true" outlineLevel="0" collapsed="false">
      <c r="A101" s="10"/>
      <c r="B101" s="9"/>
      <c r="C101" s="10"/>
      <c r="D101" s="10"/>
    </row>
    <row r="102" customFormat="false" ht="15" hidden="false" customHeight="true" outlineLevel="0" collapsed="false">
      <c r="A102" s="10"/>
      <c r="B102" s="9"/>
      <c r="C102" s="10"/>
      <c r="D102" s="10"/>
    </row>
    <row r="103" customFormat="false" ht="15" hidden="false" customHeight="true" outlineLevel="0" collapsed="false">
      <c r="A103" s="10"/>
      <c r="B103" s="9"/>
      <c r="C103" s="10"/>
      <c r="D103" s="10"/>
    </row>
    <row r="104" customFormat="false" ht="15" hidden="false" customHeight="true" outlineLevel="0" collapsed="false">
      <c r="A104" s="10"/>
      <c r="B104" s="9"/>
      <c r="C104" s="10"/>
      <c r="D104" s="10"/>
    </row>
    <row r="105" customFormat="false" ht="15" hidden="false" customHeight="true" outlineLevel="0" collapsed="false">
      <c r="A105" s="10"/>
      <c r="B105" s="9"/>
      <c r="C105" s="10"/>
      <c r="D105" s="10"/>
    </row>
    <row r="106" customFormat="false" ht="15" hidden="false" customHeight="true" outlineLevel="0" collapsed="false">
      <c r="A106" s="10"/>
      <c r="B106" s="9"/>
      <c r="C106" s="10"/>
      <c r="D106" s="10"/>
    </row>
    <row r="107" customFormat="false" ht="15" hidden="false" customHeight="true" outlineLevel="0" collapsed="false">
      <c r="A107" s="10"/>
      <c r="B107" s="9"/>
      <c r="C107" s="10"/>
      <c r="D107" s="10"/>
    </row>
    <row r="108" customFormat="false" ht="15" hidden="false" customHeight="true" outlineLevel="0" collapsed="false">
      <c r="A108" s="10"/>
      <c r="B108" s="9"/>
      <c r="C108" s="10"/>
      <c r="D108" s="10"/>
    </row>
    <row r="109" customFormat="false" ht="15" hidden="false" customHeight="true" outlineLevel="0" collapsed="false">
      <c r="A109" s="10"/>
      <c r="B109" s="9"/>
      <c r="C109" s="10"/>
      <c r="D109" s="10"/>
    </row>
    <row r="110" customFormat="false" ht="15" hidden="false" customHeight="true" outlineLevel="0" collapsed="false">
      <c r="A110" s="10"/>
      <c r="B110" s="9"/>
      <c r="C110" s="10"/>
      <c r="D110" s="10"/>
    </row>
    <row r="111" customFormat="false" ht="15" hidden="false" customHeight="true" outlineLevel="0" collapsed="false">
      <c r="A111" s="10"/>
      <c r="B111" s="9"/>
      <c r="C111" s="10"/>
      <c r="D111" s="10"/>
    </row>
    <row r="112" customFormat="false" ht="15" hidden="false" customHeight="true" outlineLevel="0" collapsed="false">
      <c r="A112" s="10"/>
      <c r="B112" s="9"/>
      <c r="C112" s="10"/>
      <c r="D112" s="10"/>
    </row>
    <row r="113" customFormat="false" ht="15" hidden="false" customHeight="true" outlineLevel="0" collapsed="false">
      <c r="A113" s="10"/>
      <c r="B113" s="9"/>
      <c r="C113" s="10"/>
      <c r="D113" s="10"/>
    </row>
    <row r="114" customFormat="false" ht="15" hidden="false" customHeight="true" outlineLevel="0" collapsed="false">
      <c r="A114" s="10"/>
      <c r="B114" s="9"/>
      <c r="C114" s="10"/>
      <c r="D114" s="10"/>
    </row>
    <row r="115" customFormat="false" ht="15" hidden="false" customHeight="true" outlineLevel="0" collapsed="false">
      <c r="A115" s="10"/>
      <c r="B115" s="9"/>
      <c r="C115" s="10"/>
      <c r="D115" s="10"/>
    </row>
    <row r="116" customFormat="false" ht="15" hidden="false" customHeight="true" outlineLevel="0" collapsed="false">
      <c r="A116" s="10"/>
      <c r="B116" s="9"/>
      <c r="C116" s="10"/>
      <c r="D116" s="10"/>
    </row>
    <row r="117" customFormat="false" ht="15" hidden="false" customHeight="true" outlineLevel="0" collapsed="false">
      <c r="A117" s="10"/>
      <c r="B117" s="9"/>
      <c r="C117" s="10"/>
      <c r="D117" s="10"/>
    </row>
    <row r="118" customFormat="false" ht="15" hidden="false" customHeight="true" outlineLevel="0" collapsed="false">
      <c r="A118" s="10"/>
      <c r="B118" s="9"/>
      <c r="C118" s="10"/>
      <c r="D118" s="10"/>
    </row>
    <row r="119" customFormat="false" ht="15" hidden="false" customHeight="true" outlineLevel="0" collapsed="false">
      <c r="A119" s="10"/>
      <c r="B119" s="9"/>
      <c r="C119" s="10"/>
      <c r="D119" s="10"/>
    </row>
    <row r="120" customFormat="false" ht="15" hidden="false" customHeight="true" outlineLevel="0" collapsed="false">
      <c r="A120" s="10"/>
      <c r="B120" s="9"/>
      <c r="C120" s="10"/>
      <c r="D120" s="10"/>
    </row>
    <row r="121" customFormat="false" ht="15" hidden="false" customHeight="true" outlineLevel="0" collapsed="false">
      <c r="A121" s="10"/>
      <c r="B121" s="9"/>
      <c r="C121" s="10"/>
      <c r="D121" s="10"/>
    </row>
    <row r="122" customFormat="false" ht="15" hidden="false" customHeight="true" outlineLevel="0" collapsed="false">
      <c r="A122" s="10"/>
      <c r="B122" s="9"/>
      <c r="C122" s="10"/>
      <c r="D122" s="10"/>
    </row>
    <row r="123" customFormat="false" ht="15" hidden="false" customHeight="true" outlineLevel="0" collapsed="false">
      <c r="A123" s="10"/>
      <c r="B123" s="9"/>
      <c r="C123" s="10"/>
      <c r="D123" s="10"/>
    </row>
    <row r="124" customFormat="false" ht="15" hidden="false" customHeight="true" outlineLevel="0" collapsed="false">
      <c r="A124" s="10"/>
      <c r="B124" s="9"/>
      <c r="C124" s="10"/>
      <c r="D124" s="10"/>
    </row>
    <row r="125" customFormat="false" ht="15" hidden="false" customHeight="true" outlineLevel="0" collapsed="false">
      <c r="A125" s="10"/>
      <c r="B125" s="9"/>
      <c r="C125" s="10"/>
      <c r="D125" s="10"/>
    </row>
    <row r="126" customFormat="false" ht="15" hidden="false" customHeight="true" outlineLevel="0" collapsed="false">
      <c r="A126" s="10"/>
      <c r="B126" s="9"/>
      <c r="C126" s="10"/>
      <c r="D126" s="10"/>
    </row>
    <row r="127" customFormat="false" ht="15" hidden="false" customHeight="true" outlineLevel="0" collapsed="false">
      <c r="A127" s="10"/>
      <c r="B127" s="9"/>
      <c r="C127" s="10"/>
      <c r="D127" s="10"/>
    </row>
    <row r="128" customFormat="false" ht="15" hidden="false" customHeight="true" outlineLevel="0" collapsed="false">
      <c r="A128" s="10"/>
      <c r="B128" s="9"/>
      <c r="C128" s="10"/>
      <c r="D128" s="10"/>
    </row>
    <row r="129" customFormat="false" ht="15" hidden="false" customHeight="true" outlineLevel="0" collapsed="false">
      <c r="A129" s="10"/>
      <c r="B129" s="9"/>
      <c r="C129" s="10"/>
      <c r="D129" s="10"/>
    </row>
    <row r="130" customFormat="false" ht="15" hidden="false" customHeight="true" outlineLevel="0" collapsed="false">
      <c r="A130" s="10"/>
      <c r="B130" s="9"/>
      <c r="C130" s="10"/>
      <c r="D130" s="10"/>
    </row>
    <row r="131" customFormat="false" ht="15" hidden="false" customHeight="true" outlineLevel="0" collapsed="false">
      <c r="A131" s="10"/>
      <c r="B131" s="9"/>
      <c r="C131" s="10"/>
      <c r="D131" s="10"/>
    </row>
    <row r="132" customFormat="false" ht="15" hidden="false" customHeight="true" outlineLevel="0" collapsed="false">
      <c r="A132" s="10"/>
      <c r="B132" s="9"/>
      <c r="C132" s="10"/>
      <c r="D132" s="10"/>
    </row>
    <row r="133" customFormat="false" ht="15" hidden="false" customHeight="true" outlineLevel="0" collapsed="false">
      <c r="A133" s="10"/>
      <c r="B133" s="9"/>
      <c r="C133" s="10"/>
      <c r="D133" s="10"/>
    </row>
    <row r="134" customFormat="false" ht="15" hidden="false" customHeight="true" outlineLevel="0" collapsed="false">
      <c r="A134" s="10"/>
      <c r="B134" s="9"/>
      <c r="C134" s="10"/>
      <c r="D134" s="10"/>
    </row>
    <row r="135" customFormat="false" ht="15" hidden="false" customHeight="true" outlineLevel="0" collapsed="false">
      <c r="A135" s="10"/>
      <c r="B135" s="9"/>
      <c r="C135" s="10"/>
      <c r="D135" s="10"/>
    </row>
    <row r="136" customFormat="false" ht="15" hidden="false" customHeight="true" outlineLevel="0" collapsed="false">
      <c r="A136" s="10"/>
      <c r="B136" s="9"/>
      <c r="C136" s="10"/>
      <c r="D136" s="10"/>
    </row>
    <row r="137" customFormat="false" ht="15" hidden="false" customHeight="true" outlineLevel="0" collapsed="false">
      <c r="A137" s="10"/>
      <c r="B137" s="9"/>
      <c r="C137" s="10"/>
      <c r="D137" s="10"/>
    </row>
    <row r="138" customFormat="false" ht="15" hidden="false" customHeight="true" outlineLevel="0" collapsed="false">
      <c r="A138" s="10"/>
      <c r="B138" s="9"/>
      <c r="C138" s="10"/>
      <c r="D138" s="10"/>
    </row>
    <row r="139" customFormat="false" ht="15" hidden="false" customHeight="true" outlineLevel="0" collapsed="false">
      <c r="A139" s="10"/>
      <c r="B139" s="9"/>
      <c r="C139" s="10"/>
      <c r="D139" s="10"/>
    </row>
    <row r="140" customFormat="false" ht="15" hidden="false" customHeight="true" outlineLevel="0" collapsed="false">
      <c r="A140" s="10"/>
      <c r="B140" s="9"/>
      <c r="C140" s="10"/>
      <c r="D140" s="10"/>
    </row>
    <row r="141" customFormat="false" ht="15" hidden="false" customHeight="true" outlineLevel="0" collapsed="false">
      <c r="A141" s="10"/>
      <c r="B141" s="9"/>
      <c r="C141" s="10"/>
      <c r="D141" s="10"/>
    </row>
    <row r="142" customFormat="false" ht="15" hidden="false" customHeight="true" outlineLevel="0" collapsed="false">
      <c r="A142" s="10"/>
      <c r="B142" s="9"/>
      <c r="C142" s="10"/>
      <c r="D142" s="10"/>
    </row>
    <row r="143" customFormat="false" ht="15" hidden="false" customHeight="true" outlineLevel="0" collapsed="false">
      <c r="A143" s="10"/>
      <c r="B143" s="9"/>
      <c r="C143" s="10"/>
      <c r="D143" s="10"/>
    </row>
    <row r="144" customFormat="false" ht="15" hidden="false" customHeight="true" outlineLevel="0" collapsed="false">
      <c r="A144" s="10"/>
      <c r="B144" s="9"/>
      <c r="C144" s="10"/>
      <c r="D144" s="10"/>
    </row>
    <row r="145" customFormat="false" ht="15" hidden="false" customHeight="true" outlineLevel="0" collapsed="false">
      <c r="A145" s="10"/>
      <c r="B145" s="9"/>
      <c r="C145" s="10"/>
      <c r="D145" s="10"/>
    </row>
    <row r="146" customFormat="false" ht="15" hidden="false" customHeight="true" outlineLevel="0" collapsed="false">
      <c r="A146" s="10"/>
      <c r="B146" s="9"/>
      <c r="C146" s="10"/>
      <c r="D146" s="10"/>
    </row>
    <row r="147" customFormat="false" ht="15" hidden="false" customHeight="true" outlineLevel="0" collapsed="false">
      <c r="A147" s="10"/>
      <c r="B147" s="9"/>
      <c r="C147" s="10"/>
      <c r="D147" s="10"/>
    </row>
    <row r="148" customFormat="false" ht="15" hidden="false" customHeight="true" outlineLevel="0" collapsed="false">
      <c r="A148" s="10"/>
      <c r="B148" s="9"/>
      <c r="C148" s="10"/>
      <c r="D148" s="10"/>
    </row>
    <row r="149" customFormat="false" ht="15" hidden="false" customHeight="true" outlineLevel="0" collapsed="false">
      <c r="A149" s="10"/>
      <c r="B149" s="9"/>
      <c r="C149" s="10"/>
      <c r="D149" s="10"/>
    </row>
    <row r="150" customFormat="false" ht="15" hidden="false" customHeight="true" outlineLevel="0" collapsed="false">
      <c r="A150" s="10"/>
      <c r="B150" s="9"/>
      <c r="C150" s="10"/>
      <c r="D150" s="10"/>
    </row>
    <row r="151" customFormat="false" ht="15" hidden="false" customHeight="true" outlineLevel="0" collapsed="false">
      <c r="A151" s="10"/>
      <c r="B151" s="9"/>
      <c r="C151" s="10"/>
      <c r="D151" s="10"/>
    </row>
    <row r="152" customFormat="false" ht="15" hidden="false" customHeight="true" outlineLevel="0" collapsed="false">
      <c r="A152" s="10"/>
      <c r="B152" s="9"/>
      <c r="C152" s="10"/>
      <c r="D152" s="10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B3:B152" type="list">
      <formula1>"매출처,매입처,기타"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10" min="9" style="1" width="15"/>
    <col collapsed="false" customWidth="true" hidden="false" outlineLevel="0" max="11" min="11" style="1" width="16"/>
    <col collapsed="false" customWidth="true" hidden="false" outlineLevel="0" max="12" min="12" style="1" width="18"/>
  </cols>
  <sheetData>
    <row r="1" customFormat="false" ht="25.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  <c r="H2" s="8" t="s">
        <v>53</v>
      </c>
      <c r="I2" s="13" t="s">
        <v>54</v>
      </c>
      <c r="J2" s="13" t="s">
        <v>55</v>
      </c>
      <c r="K2" s="14" t="s">
        <v>56</v>
      </c>
      <c r="L2" s="14" t="s">
        <v>57</v>
      </c>
    </row>
    <row r="3" customFormat="false" ht="15" hidden="false" customHeight="true" outlineLevel="0" collapsed="false">
      <c r="A3" s="15" t="n">
        <v>46266</v>
      </c>
      <c r="B3" s="10" t="inlineStr">
        <is>
          <t>입금</t>
        </is>
      </c>
      <c r="C3" s="10" t="inlineStr">
        <is>
          <t>매출대금</t>
        </is>
      </c>
      <c r="D3" s="10" t="inlineStr">
        <is>
          <t>○○전자</t>
        </is>
      </c>
      <c r="E3" s="10" t="inlineStr">
        <is>
          <t>8월 납품대금</t>
        </is>
      </c>
      <c r="F3" s="11" t="n">
        <v>12500000</v>
      </c>
      <c r="G3" s="10" t="inlineStr">
        <is>
          <t>주거래통장</t>
        </is>
      </c>
      <c r="H3" s="10" t="inlineStr">
        <is>
          <t>계좌이체</t>
        </is>
      </c>
      <c r="I3" s="16" t="n">
        <f aca="false">IF(OR($A3="",$F3=""),"",IF($B3="입금",$F3,0))</f>
        <v>12500000</v>
      </c>
      <c r="J3" s="16" t="n">
        <f aca="false">IF(OR($A3="",$F3=""),"",IF($B3="출금",$F3,0))</f>
        <v>0</v>
      </c>
      <c r="K3" s="17" t="n">
        <f aca="false">IF($A3="","",COUNTIFS($A$3:$A3,$A3))</f>
        <v>1</v>
      </c>
      <c r="L3" s="17" t="str">
        <f aca="false">IF($A3="","",TEXT($A3,"yyyymmdd")&amp;"|"&amp;$K3)</f>
        <v>20260901|1</v>
      </c>
    </row>
    <row r="4" customFormat="false" ht="15" hidden="false" customHeight="true" outlineLevel="0" collapsed="false">
      <c r="A4" s="15" t="n">
        <v>46267</v>
      </c>
      <c r="B4" s="10" t="inlineStr">
        <is>
          <t>출금</t>
        </is>
      </c>
      <c r="C4" s="10" t="inlineStr">
        <is>
          <t>매입대금</t>
        </is>
      </c>
      <c r="D4" s="10" t="inlineStr">
        <is>
          <t>△△소재</t>
        </is>
      </c>
      <c r="E4" s="10" t="inlineStr">
        <is>
          <t>원자재 대금</t>
        </is>
      </c>
      <c r="F4" s="11" t="n">
        <v>4800000</v>
      </c>
      <c r="G4" s="10" t="inlineStr">
        <is>
          <t>주거래통장</t>
        </is>
      </c>
      <c r="H4" s="10" t="inlineStr">
        <is>
          <t>계좌이체</t>
        </is>
      </c>
      <c r="I4" s="16" t="n">
        <f aca="false">IF(OR($A4="",$F4=""),"",IF($B4="입금",$F4,0))</f>
        <v>0</v>
      </c>
      <c r="J4" s="16" t="n">
        <f aca="false">IF(OR($A4="",$F4=""),"",IF($B4="출금",$F4,0))</f>
        <v>4800000</v>
      </c>
      <c r="K4" s="17" t="n">
        <f aca="false">IF($A4="","",COUNTIFS($A$3:$A4,$A4))</f>
        <v>1</v>
      </c>
      <c r="L4" s="17" t="str">
        <f aca="false">IF($A4="","",TEXT($A4,"yyyymmdd")&amp;"|"&amp;$K4)</f>
        <v>20260902|1</v>
      </c>
    </row>
    <row r="5" customFormat="false" ht="15" hidden="false" customHeight="true" outlineLevel="0" collapsed="false">
      <c r="A5" s="15" t="n">
        <v>46267</v>
      </c>
      <c r="B5" s="10" t="inlineStr">
        <is>
          <t>출금</t>
        </is>
      </c>
      <c r="C5" s="10" t="inlineStr">
        <is>
          <t>공과금</t>
        </is>
      </c>
      <c r="D5" s="10"/>
      <c r="E5" s="10" t="inlineStr">
        <is>
          <t>8월 전기요금</t>
        </is>
      </c>
      <c r="F5" s="11" t="n">
        <v>640000</v>
      </c>
      <c r="G5" s="10" t="inlineStr">
        <is>
          <t>주거래통장</t>
        </is>
      </c>
      <c r="H5" s="10" t="inlineStr">
        <is>
          <t>카드</t>
        </is>
      </c>
      <c r="I5" s="16" t="n">
        <f aca="false">IF(OR($A5="",$F5=""),"",IF($B5="입금",$F5,0))</f>
        <v>0</v>
      </c>
      <c r="J5" s="16" t="n">
        <f aca="false">IF(OR($A5="",$F5=""),"",IF($B5="출금",$F5,0))</f>
        <v>640000</v>
      </c>
      <c r="K5" s="17" t="n">
        <f aca="false">IF($A5="","",COUNTIFS($A$3:$A5,$A5))</f>
        <v>2</v>
      </c>
      <c r="L5" s="17" t="str">
        <f aca="false">IF($A5="","",TEXT($A5,"yyyymmdd")&amp;"|"&amp;$K5)</f>
        <v>20260902|2</v>
      </c>
    </row>
    <row r="6" customFormat="false" ht="15" hidden="false" customHeight="true" outlineLevel="0" collapsed="false">
      <c r="A6" s="15" t="n">
        <v>46267</v>
      </c>
      <c r="B6" s="10" t="inlineStr">
        <is>
          <t>입금</t>
        </is>
      </c>
      <c r="C6" s="10" t="inlineStr">
        <is>
          <t>매출대금</t>
        </is>
      </c>
      <c r="D6" s="10" t="inlineStr">
        <is>
          <t>○○전자</t>
        </is>
      </c>
      <c r="E6" s="10" t="inlineStr">
        <is>
          <t>샘플 대금</t>
        </is>
      </c>
      <c r="F6" s="11" t="n">
        <v>3200000</v>
      </c>
      <c r="G6" s="10" t="inlineStr">
        <is>
          <t>주거래통장</t>
        </is>
      </c>
      <c r="H6" s="10" t="inlineStr">
        <is>
          <t>계좌이체</t>
        </is>
      </c>
      <c r="I6" s="16" t="n">
        <f aca="false">IF(OR($A6="",$F6=""),"",IF($B6="입금",$F6,0))</f>
        <v>3200000</v>
      </c>
      <c r="J6" s="16" t="n">
        <f aca="false">IF(OR($A6="",$F6=""),"",IF($B6="출금",$F6,0))</f>
        <v>0</v>
      </c>
      <c r="K6" s="17" t="n">
        <f aca="false">IF($A6="","",COUNTIFS($A$3:$A6,$A6))</f>
        <v>3</v>
      </c>
      <c r="L6" s="17" t="str">
        <f aca="false">IF($A6="","",TEXT($A6,"yyyymmdd")&amp;"|"&amp;$K6)</f>
        <v>20260902|3</v>
      </c>
    </row>
    <row r="7" customFormat="false" ht="15" hidden="false" customHeight="true" outlineLevel="0" collapsed="false">
      <c r="A7" s="15" t="n">
        <v>46270</v>
      </c>
      <c r="B7" s="10" t="inlineStr">
        <is>
          <t>출금</t>
        </is>
      </c>
      <c r="C7" s="10" t="inlineStr">
        <is>
          <t>급여</t>
        </is>
      </c>
      <c r="D7" s="10"/>
      <c r="E7" s="10" t="inlineStr">
        <is>
          <t>8월 급여</t>
        </is>
      </c>
      <c r="F7" s="11" t="n">
        <v>9200000</v>
      </c>
      <c r="G7" s="10" t="inlineStr">
        <is>
          <t>급여통장</t>
        </is>
      </c>
      <c r="H7" s="10" t="inlineStr">
        <is>
          <t>계좌이체</t>
        </is>
      </c>
      <c r="I7" s="16" t="n">
        <f aca="false">IF(OR($A7="",$F7=""),"",IF($B7="입금",$F7,0))</f>
        <v>0</v>
      </c>
      <c r="J7" s="16" t="n">
        <f aca="false">IF(OR($A7="",$F7=""),"",IF($B7="출금",$F7,0))</f>
        <v>9200000</v>
      </c>
      <c r="K7" s="17" t="n">
        <f aca="false">IF($A7="","",COUNTIFS($A$3:$A7,$A7))</f>
        <v>1</v>
      </c>
      <c r="L7" s="17" t="str">
        <f aca="false">IF($A7="","",TEXT($A7,"yyyymmdd")&amp;"|"&amp;$K7)</f>
        <v>20260905|1</v>
      </c>
    </row>
    <row r="8" customFormat="false" ht="15" hidden="false" customHeight="true" outlineLevel="0" collapsed="false">
      <c r="A8" s="15" t="n">
        <v>46273</v>
      </c>
      <c r="B8" s="10" t="inlineStr">
        <is>
          <t>출금</t>
        </is>
      </c>
      <c r="C8" s="10" t="inlineStr">
        <is>
          <t>임차료</t>
        </is>
      </c>
      <c r="D8" s="10"/>
      <c r="E8" s="10" t="inlineStr">
        <is>
          <t>9월 공장 임차료</t>
        </is>
      </c>
      <c r="F8" s="11" t="n">
        <v>1800000</v>
      </c>
      <c r="G8" s="10" t="inlineStr">
        <is>
          <t>주거래통장</t>
        </is>
      </c>
      <c r="H8" s="10" t="inlineStr">
        <is>
          <t>계좌이체</t>
        </is>
      </c>
      <c r="I8" s="16" t="n">
        <f aca="false">IF(OR($A8="",$F8=""),"",IF($B8="입금",$F8,0))</f>
        <v>0</v>
      </c>
      <c r="J8" s="16" t="n">
        <f aca="false">IF(OR($A8="",$F8=""),"",IF($B8="출금",$F8,0))</f>
        <v>1800000</v>
      </c>
      <c r="K8" s="17" t="n">
        <f aca="false">IF($A8="","",COUNTIFS($A$3:$A8,$A8))</f>
        <v>1</v>
      </c>
      <c r="L8" s="17" t="str">
        <f aca="false">IF($A8="","",TEXT($A8,"yyyymmdd")&amp;"|"&amp;$K8)</f>
        <v>20260908|1</v>
      </c>
    </row>
    <row r="9" customFormat="false" ht="15" hidden="false" customHeight="true" outlineLevel="0" collapsed="false">
      <c r="A9" s="15" t="n">
        <v>46279</v>
      </c>
      <c r="B9" s="10" t="inlineStr">
        <is>
          <t>입금</t>
        </is>
      </c>
      <c r="C9" s="10" t="inlineStr">
        <is>
          <t>매출대금</t>
        </is>
      </c>
      <c r="D9" s="10" t="inlineStr">
        <is>
          <t>○○전자</t>
        </is>
      </c>
      <c r="E9" s="10" t="inlineStr">
        <is>
          <t>9월 중간 정산</t>
        </is>
      </c>
      <c r="F9" s="11" t="n">
        <v>5400000</v>
      </c>
      <c r="G9" s="10" t="inlineStr">
        <is>
          <t>주거래통장</t>
        </is>
      </c>
      <c r="H9" s="10" t="inlineStr">
        <is>
          <t>계좌이체</t>
        </is>
      </c>
      <c r="I9" s="16" t="n">
        <f aca="false">IF(OR($A9="",$F9=""),"",IF($B9="입금",$F9,0))</f>
        <v>5400000</v>
      </c>
      <c r="J9" s="16" t="n">
        <f aca="false">IF(OR($A9="",$F9=""),"",IF($B9="출금",$F9,0))</f>
        <v>0</v>
      </c>
      <c r="K9" s="17" t="n">
        <f aca="false">IF($A9="","",COUNTIFS($A$3:$A9,$A9))</f>
        <v>1</v>
      </c>
      <c r="L9" s="17" t="str">
        <f aca="false">IF($A9="","",TEXT($A9,"yyyymmdd")&amp;"|"&amp;$K9)</f>
        <v>20260914|1</v>
      </c>
    </row>
    <row r="10" customFormat="false" ht="15" hidden="false" customHeight="true" outlineLevel="0" collapsed="false">
      <c r="A10" s="15"/>
      <c r="B10" s="10"/>
      <c r="C10" s="10"/>
      <c r="D10" s="10"/>
      <c r="E10" s="10"/>
      <c r="F10" s="11"/>
      <c r="G10" s="10"/>
      <c r="H10" s="10"/>
      <c r="I10" s="16" t="str">
        <f aca="false">IF(OR($A10="",$F10=""),"",IF($B10="입금",$F10,0))</f>
        <v/>
      </c>
      <c r="J10" s="16" t="str">
        <f aca="false">IF(OR($A10="",$F10=""),"",IF($B10="출금",$F10,0))</f>
        <v/>
      </c>
      <c r="K10" s="17" t="str">
        <f aca="false">IF($A10="","",COUNTIFS($A$3:$A10,$A10))</f>
        <v/>
      </c>
      <c r="L10" s="17" t="str">
        <f aca="false">IF($A10="","",TEXT($A10,"yyyymmdd")&amp;"|"&amp;$K10)</f>
        <v/>
      </c>
    </row>
    <row r="11" customFormat="false" ht="15" hidden="false" customHeight="true" outlineLevel="0" collapsed="false">
      <c r="A11" s="15"/>
      <c r="B11" s="10"/>
      <c r="C11" s="10"/>
      <c r="D11" s="10"/>
      <c r="E11" s="10"/>
      <c r="F11" s="11"/>
      <c r="G11" s="10"/>
      <c r="H11" s="10"/>
      <c r="I11" s="16" t="str">
        <f aca="false">IF(OR($A11="",$F11=""),"",IF($B11="입금",$F11,0))</f>
        <v/>
      </c>
      <c r="J11" s="16" t="str">
        <f aca="false">IF(OR($A11="",$F11=""),"",IF($B11="출금",$F11,0))</f>
        <v/>
      </c>
      <c r="K11" s="17" t="str">
        <f aca="false">IF($A11="","",COUNTIFS($A$3:$A11,$A11))</f>
        <v/>
      </c>
      <c r="L11" s="17" t="str">
        <f aca="false">IF($A11="","",TEXT($A11,"yyyymmdd")&amp;"|"&amp;$K11)</f>
        <v/>
      </c>
    </row>
    <row r="12" customFormat="false" ht="15" hidden="false" customHeight="true" outlineLevel="0" collapsed="false">
      <c r="A12" s="15"/>
      <c r="B12" s="10"/>
      <c r="C12" s="10"/>
      <c r="D12" s="10"/>
      <c r="E12" s="10"/>
      <c r="F12" s="11"/>
      <c r="G12" s="10"/>
      <c r="H12" s="10"/>
      <c r="I12" s="16" t="str">
        <f aca="false">IF(OR($A12="",$F12=""),"",IF($B12="입금",$F12,0))</f>
        <v/>
      </c>
      <c r="J12" s="16" t="str">
        <f aca="false">IF(OR($A12="",$F12=""),"",IF($B12="출금",$F12,0))</f>
        <v/>
      </c>
      <c r="K12" s="17" t="str">
        <f aca="false">IF($A12="","",COUNTIFS($A$3:$A12,$A12))</f>
        <v/>
      </c>
      <c r="L12" s="17" t="str">
        <f aca="false">IF($A12="","",TEXT($A12,"yyyymmdd")&amp;"|"&amp;$K12)</f>
        <v/>
      </c>
    </row>
    <row r="13" customFormat="false" ht="15" hidden="false" customHeight="true" outlineLevel="0" collapsed="false">
      <c r="A13" s="15"/>
      <c r="B13" s="10"/>
      <c r="C13" s="10"/>
      <c r="D13" s="10"/>
      <c r="E13" s="10"/>
      <c r="F13" s="11"/>
      <c r="G13" s="10"/>
      <c r="H13" s="10"/>
      <c r="I13" s="16" t="str">
        <f aca="false">IF(OR($A13="",$F13=""),"",IF($B13="입금",$F13,0))</f>
        <v/>
      </c>
      <c r="J13" s="16" t="str">
        <f aca="false">IF(OR($A13="",$F13=""),"",IF($B13="출금",$F13,0))</f>
        <v/>
      </c>
      <c r="K13" s="17" t="str">
        <f aca="false">IF($A13="","",COUNTIFS($A$3:$A13,$A13))</f>
        <v/>
      </c>
      <c r="L13" s="17" t="str">
        <f aca="false">IF($A13="","",TEXT($A13,"yyyymmdd")&amp;"|"&amp;$K13)</f>
        <v/>
      </c>
    </row>
    <row r="14" customFormat="false" ht="15" hidden="false" customHeight="true" outlineLevel="0" collapsed="false">
      <c r="A14" s="15"/>
      <c r="B14" s="10"/>
      <c r="C14" s="10"/>
      <c r="D14" s="10"/>
      <c r="E14" s="10"/>
      <c r="F14" s="11"/>
      <c r="G14" s="10"/>
      <c r="H14" s="10"/>
      <c r="I14" s="16" t="str">
        <f aca="false">IF(OR($A14="",$F14=""),"",IF($B14="입금",$F14,0))</f>
        <v/>
      </c>
      <c r="J14" s="16" t="str">
        <f aca="false">IF(OR($A14="",$F14=""),"",IF($B14="출금",$F14,0))</f>
        <v/>
      </c>
      <c r="K14" s="17" t="str">
        <f aca="false">IF($A14="","",COUNTIFS($A$3:$A14,$A14))</f>
        <v/>
      </c>
      <c r="L14" s="17" t="str">
        <f aca="false">IF($A14="","",TEXT($A14,"yyyymmdd")&amp;"|"&amp;$K14)</f>
        <v/>
      </c>
    </row>
    <row r="15" customFormat="false" ht="15" hidden="false" customHeight="true" outlineLevel="0" collapsed="false">
      <c r="A15" s="15"/>
      <c r="B15" s="10"/>
      <c r="C15" s="10"/>
      <c r="D15" s="10"/>
      <c r="E15" s="10"/>
      <c r="F15" s="11"/>
      <c r="G15" s="10"/>
      <c r="H15" s="10"/>
      <c r="I15" s="16" t="str">
        <f aca="false">IF(OR($A15="",$F15=""),"",IF($B15="입금",$F15,0))</f>
        <v/>
      </c>
      <c r="J15" s="16" t="str">
        <f aca="false">IF(OR($A15="",$F15=""),"",IF($B15="출금",$F15,0))</f>
        <v/>
      </c>
      <c r="K15" s="17" t="str">
        <f aca="false">IF($A15="","",COUNTIFS($A$3:$A15,$A15))</f>
        <v/>
      </c>
      <c r="L15" s="17" t="str">
        <f aca="false">IF($A15="","",TEXT($A15,"yyyymmdd")&amp;"|"&amp;$K15)</f>
        <v/>
      </c>
    </row>
    <row r="16" customFormat="false" ht="15" hidden="false" customHeight="true" outlineLevel="0" collapsed="false">
      <c r="A16" s="15"/>
      <c r="B16" s="10"/>
      <c r="C16" s="10"/>
      <c r="D16" s="10"/>
      <c r="E16" s="10"/>
      <c r="F16" s="11"/>
      <c r="G16" s="10"/>
      <c r="H16" s="10"/>
      <c r="I16" s="16" t="str">
        <f aca="false">IF(OR($A16="",$F16=""),"",IF($B16="입금",$F16,0))</f>
        <v/>
      </c>
      <c r="J16" s="16" t="str">
        <f aca="false">IF(OR($A16="",$F16=""),"",IF($B16="출금",$F16,0))</f>
        <v/>
      </c>
      <c r="K16" s="17" t="str">
        <f aca="false">IF($A16="","",COUNTIFS($A$3:$A16,$A16))</f>
        <v/>
      </c>
      <c r="L16" s="17" t="str">
        <f aca="false">IF($A16="","",TEXT($A16,"yyyymmdd")&amp;"|"&amp;$K16)</f>
        <v/>
      </c>
    </row>
    <row r="17" customFormat="false" ht="15" hidden="false" customHeight="true" outlineLevel="0" collapsed="false">
      <c r="A17" s="15"/>
      <c r="B17" s="10"/>
      <c r="C17" s="10"/>
      <c r="D17" s="10"/>
      <c r="E17" s="10"/>
      <c r="F17" s="11"/>
      <c r="G17" s="10"/>
      <c r="H17" s="10"/>
      <c r="I17" s="16" t="str">
        <f aca="false">IF(OR($A17="",$F17=""),"",IF($B17="입금",$F17,0))</f>
        <v/>
      </c>
      <c r="J17" s="16" t="str">
        <f aca="false">IF(OR($A17="",$F17=""),"",IF($B17="출금",$F17,0))</f>
        <v/>
      </c>
      <c r="K17" s="17" t="str">
        <f aca="false">IF($A17="","",COUNTIFS($A$3:$A17,$A17))</f>
        <v/>
      </c>
      <c r="L17" s="17" t="str">
        <f aca="false">IF($A17="","",TEXT($A17,"yyyymmdd")&amp;"|"&amp;$K17)</f>
        <v/>
      </c>
    </row>
    <row r="18" customFormat="false" ht="15" hidden="false" customHeight="true" outlineLevel="0" collapsed="false">
      <c r="A18" s="15"/>
      <c r="B18" s="10"/>
      <c r="C18" s="10"/>
      <c r="D18" s="10"/>
      <c r="E18" s="10"/>
      <c r="F18" s="11"/>
      <c r="G18" s="10"/>
      <c r="H18" s="10"/>
      <c r="I18" s="16" t="str">
        <f aca="false">IF(OR($A18="",$F18=""),"",IF($B18="입금",$F18,0))</f>
        <v/>
      </c>
      <c r="J18" s="16" t="str">
        <f aca="false">IF(OR($A18="",$F18=""),"",IF($B18="출금",$F18,0))</f>
        <v/>
      </c>
      <c r="K18" s="17" t="str">
        <f aca="false">IF($A18="","",COUNTIFS($A$3:$A18,$A18))</f>
        <v/>
      </c>
      <c r="L18" s="17" t="str">
        <f aca="false">IF($A18="","",TEXT($A18,"yyyymmdd")&amp;"|"&amp;$K18)</f>
        <v/>
      </c>
    </row>
    <row r="19" customFormat="false" ht="15" hidden="false" customHeight="true" outlineLevel="0" collapsed="false">
      <c r="A19" s="15"/>
      <c r="B19" s="10"/>
      <c r="C19" s="10"/>
      <c r="D19" s="10"/>
      <c r="E19" s="10"/>
      <c r="F19" s="11"/>
      <c r="G19" s="10"/>
      <c r="H19" s="10"/>
      <c r="I19" s="16" t="str">
        <f aca="false">IF(OR($A19="",$F19=""),"",IF($B19="입금",$F19,0))</f>
        <v/>
      </c>
      <c r="J19" s="16" t="str">
        <f aca="false">IF(OR($A19="",$F19=""),"",IF($B19="출금",$F19,0))</f>
        <v/>
      </c>
      <c r="K19" s="17" t="str">
        <f aca="false">IF($A19="","",COUNTIFS($A$3:$A19,$A19))</f>
        <v/>
      </c>
      <c r="L19" s="17" t="str">
        <f aca="false">IF($A19="","",TEXT($A19,"yyyymmdd")&amp;"|"&amp;$K19)</f>
        <v/>
      </c>
    </row>
    <row r="20" customFormat="false" ht="15" hidden="false" customHeight="true" outlineLevel="0" collapsed="false">
      <c r="A20" s="15"/>
      <c r="B20" s="10"/>
      <c r="C20" s="10"/>
      <c r="D20" s="10"/>
      <c r="E20" s="10"/>
      <c r="F20" s="11"/>
      <c r="G20" s="10"/>
      <c r="H20" s="10"/>
      <c r="I20" s="16" t="str">
        <f aca="false">IF(OR($A20="",$F20=""),"",IF($B20="입금",$F20,0))</f>
        <v/>
      </c>
      <c r="J20" s="16" t="str">
        <f aca="false">IF(OR($A20="",$F20=""),"",IF($B20="출금",$F20,0))</f>
        <v/>
      </c>
      <c r="K20" s="17" t="str">
        <f aca="false">IF($A20="","",COUNTIFS($A$3:$A20,$A20))</f>
        <v/>
      </c>
      <c r="L20" s="17" t="str">
        <f aca="false">IF($A20="","",TEXT($A20,"yyyymmdd")&amp;"|"&amp;$K20)</f>
        <v/>
      </c>
    </row>
    <row r="21" customFormat="false" ht="15" hidden="false" customHeight="true" outlineLevel="0" collapsed="false">
      <c r="A21" s="15"/>
      <c r="B21" s="10"/>
      <c r="C21" s="10"/>
      <c r="D21" s="10"/>
      <c r="E21" s="10"/>
      <c r="F21" s="11"/>
      <c r="G21" s="10"/>
      <c r="H21" s="10"/>
      <c r="I21" s="16" t="str">
        <f aca="false">IF(OR($A21="",$F21=""),"",IF($B21="입금",$F21,0))</f>
        <v/>
      </c>
      <c r="J21" s="16" t="str">
        <f aca="false">IF(OR($A21="",$F21=""),"",IF($B21="출금",$F21,0))</f>
        <v/>
      </c>
      <c r="K21" s="17" t="str">
        <f aca="false">IF($A21="","",COUNTIFS($A$3:$A21,$A21))</f>
        <v/>
      </c>
      <c r="L21" s="17" t="str">
        <f aca="false">IF($A21="","",TEXT($A21,"yyyymmdd")&amp;"|"&amp;$K21)</f>
        <v/>
      </c>
    </row>
    <row r="22" customFormat="false" ht="15" hidden="false" customHeight="true" outlineLevel="0" collapsed="false">
      <c r="A22" s="15"/>
      <c r="B22" s="10"/>
      <c r="C22" s="10"/>
      <c r="D22" s="10"/>
      <c r="E22" s="10"/>
      <c r="F22" s="11"/>
      <c r="G22" s="10"/>
      <c r="H22" s="10"/>
      <c r="I22" s="16" t="str">
        <f aca="false">IF(OR($A22="",$F22=""),"",IF($B22="입금",$F22,0))</f>
        <v/>
      </c>
      <c r="J22" s="16" t="str">
        <f aca="false">IF(OR($A22="",$F22=""),"",IF($B22="출금",$F22,0))</f>
        <v/>
      </c>
      <c r="K22" s="17" t="str">
        <f aca="false">IF($A22="","",COUNTIFS($A$3:$A22,$A22))</f>
        <v/>
      </c>
      <c r="L22" s="17" t="str">
        <f aca="false">IF($A22="","",TEXT($A22,"yyyymmdd")&amp;"|"&amp;$K22)</f>
        <v/>
      </c>
    </row>
    <row r="23" customFormat="false" ht="15" hidden="false" customHeight="true" outlineLevel="0" collapsed="false">
      <c r="A23" s="15"/>
      <c r="B23" s="10"/>
      <c r="C23" s="10"/>
      <c r="D23" s="10"/>
      <c r="E23" s="10"/>
      <c r="F23" s="11"/>
      <c r="G23" s="10"/>
      <c r="H23" s="10"/>
      <c r="I23" s="16" t="str">
        <f aca="false">IF(OR($A23="",$F23=""),"",IF($B23="입금",$F23,0))</f>
        <v/>
      </c>
      <c r="J23" s="16" t="str">
        <f aca="false">IF(OR($A23="",$F23=""),"",IF($B23="출금",$F23,0))</f>
        <v/>
      </c>
      <c r="K23" s="17" t="str">
        <f aca="false">IF($A23="","",COUNTIFS($A$3:$A23,$A23))</f>
        <v/>
      </c>
      <c r="L23" s="17" t="str">
        <f aca="false">IF($A23="","",TEXT($A23,"yyyymmdd")&amp;"|"&amp;$K23)</f>
        <v/>
      </c>
    </row>
    <row r="24" customFormat="false" ht="15" hidden="false" customHeight="true" outlineLevel="0" collapsed="false">
      <c r="A24" s="15"/>
      <c r="B24" s="10"/>
      <c r="C24" s="10"/>
      <c r="D24" s="10"/>
      <c r="E24" s="10"/>
      <c r="F24" s="11"/>
      <c r="G24" s="10"/>
      <c r="H24" s="10"/>
      <c r="I24" s="16" t="str">
        <f aca="false">IF(OR($A24="",$F24=""),"",IF($B24="입금",$F24,0))</f>
        <v/>
      </c>
      <c r="J24" s="16" t="str">
        <f aca="false">IF(OR($A24="",$F24=""),"",IF($B24="출금",$F24,0))</f>
        <v/>
      </c>
      <c r="K24" s="17" t="str">
        <f aca="false">IF($A24="","",COUNTIFS($A$3:$A24,$A24))</f>
        <v/>
      </c>
      <c r="L24" s="17" t="str">
        <f aca="false">IF($A24="","",TEXT($A24,"yyyymmdd")&amp;"|"&amp;$K24)</f>
        <v/>
      </c>
    </row>
    <row r="25" customFormat="false" ht="15" hidden="false" customHeight="true" outlineLevel="0" collapsed="false">
      <c r="A25" s="15"/>
      <c r="B25" s="10"/>
      <c r="C25" s="10"/>
      <c r="D25" s="10"/>
      <c r="E25" s="10"/>
      <c r="F25" s="11"/>
      <c r="G25" s="10"/>
      <c r="H25" s="10"/>
      <c r="I25" s="16" t="str">
        <f aca="false">IF(OR($A25="",$F25=""),"",IF($B25="입금",$F25,0))</f>
        <v/>
      </c>
      <c r="J25" s="16" t="str">
        <f aca="false">IF(OR($A25="",$F25=""),"",IF($B25="출금",$F25,0))</f>
        <v/>
      </c>
      <c r="K25" s="17" t="str">
        <f aca="false">IF($A25="","",COUNTIFS($A$3:$A25,$A25))</f>
        <v/>
      </c>
      <c r="L25" s="17" t="str">
        <f aca="false">IF($A25="","",TEXT($A25,"yyyymmdd")&amp;"|"&amp;$K25)</f>
        <v/>
      </c>
    </row>
    <row r="26" customFormat="false" ht="15" hidden="false" customHeight="true" outlineLevel="0" collapsed="false">
      <c r="A26" s="15"/>
      <c r="B26" s="10"/>
      <c r="C26" s="10"/>
      <c r="D26" s="10"/>
      <c r="E26" s="10"/>
      <c r="F26" s="11"/>
      <c r="G26" s="10"/>
      <c r="H26" s="10"/>
      <c r="I26" s="16" t="str">
        <f aca="false">IF(OR($A26="",$F26=""),"",IF($B26="입금",$F26,0))</f>
        <v/>
      </c>
      <c r="J26" s="16" t="str">
        <f aca="false">IF(OR($A26="",$F26=""),"",IF($B26="출금",$F26,0))</f>
        <v/>
      </c>
      <c r="K26" s="17" t="str">
        <f aca="false">IF($A26="","",COUNTIFS($A$3:$A26,$A26))</f>
        <v/>
      </c>
      <c r="L26" s="17" t="str">
        <f aca="false">IF($A26="","",TEXT($A26,"yyyymmdd")&amp;"|"&amp;$K26)</f>
        <v/>
      </c>
    </row>
    <row r="27" customFormat="false" ht="15" hidden="false" customHeight="true" outlineLevel="0" collapsed="false">
      <c r="A27" s="15"/>
      <c r="B27" s="10"/>
      <c r="C27" s="10"/>
      <c r="D27" s="10"/>
      <c r="E27" s="10"/>
      <c r="F27" s="11"/>
      <c r="G27" s="10"/>
      <c r="H27" s="10"/>
      <c r="I27" s="16" t="str">
        <f aca="false">IF(OR($A27="",$F27=""),"",IF($B27="입금",$F27,0))</f>
        <v/>
      </c>
      <c r="J27" s="16" t="str">
        <f aca="false">IF(OR($A27="",$F27=""),"",IF($B27="출금",$F27,0))</f>
        <v/>
      </c>
      <c r="K27" s="17" t="str">
        <f aca="false">IF($A27="","",COUNTIFS($A$3:$A27,$A27))</f>
        <v/>
      </c>
      <c r="L27" s="17" t="str">
        <f aca="false">IF($A27="","",TEXT($A27,"yyyymmdd")&amp;"|"&amp;$K27)</f>
        <v/>
      </c>
    </row>
    <row r="28" customFormat="false" ht="15" hidden="false" customHeight="true" outlineLevel="0" collapsed="false">
      <c r="A28" s="15"/>
      <c r="B28" s="10"/>
      <c r="C28" s="10"/>
      <c r="D28" s="10"/>
      <c r="E28" s="10"/>
      <c r="F28" s="11"/>
      <c r="G28" s="10"/>
      <c r="H28" s="10"/>
      <c r="I28" s="16" t="str">
        <f aca="false">IF(OR($A28="",$F28=""),"",IF($B28="입금",$F28,0))</f>
        <v/>
      </c>
      <c r="J28" s="16" t="str">
        <f aca="false">IF(OR($A28="",$F28=""),"",IF($B28="출금",$F28,0))</f>
        <v/>
      </c>
      <c r="K28" s="17" t="str">
        <f aca="false">IF($A28="","",COUNTIFS($A$3:$A28,$A28))</f>
        <v/>
      </c>
      <c r="L28" s="17" t="str">
        <f aca="false">IF($A28="","",TEXT($A28,"yyyymmdd")&amp;"|"&amp;$K28)</f>
        <v/>
      </c>
    </row>
    <row r="29" customFormat="false" ht="15" hidden="false" customHeight="true" outlineLevel="0" collapsed="false">
      <c r="A29" s="15"/>
      <c r="B29" s="10"/>
      <c r="C29" s="10"/>
      <c r="D29" s="10"/>
      <c r="E29" s="10"/>
      <c r="F29" s="11"/>
      <c r="G29" s="10"/>
      <c r="H29" s="10"/>
      <c r="I29" s="16" t="str">
        <f aca="false">IF(OR($A29="",$F29=""),"",IF($B29="입금",$F29,0))</f>
        <v/>
      </c>
      <c r="J29" s="16" t="str">
        <f aca="false">IF(OR($A29="",$F29=""),"",IF($B29="출금",$F29,0))</f>
        <v/>
      </c>
      <c r="K29" s="17" t="str">
        <f aca="false">IF($A29="","",COUNTIFS($A$3:$A29,$A29))</f>
        <v/>
      </c>
      <c r="L29" s="17" t="str">
        <f aca="false">IF($A29="","",TEXT($A29,"yyyymmdd")&amp;"|"&amp;$K29)</f>
        <v/>
      </c>
    </row>
    <row r="30" customFormat="false" ht="15" hidden="false" customHeight="true" outlineLevel="0" collapsed="false">
      <c r="A30" s="15"/>
      <c r="B30" s="10"/>
      <c r="C30" s="10"/>
      <c r="D30" s="10"/>
      <c r="E30" s="10"/>
      <c r="F30" s="11"/>
      <c r="G30" s="10"/>
      <c r="H30" s="10"/>
      <c r="I30" s="16" t="str">
        <f aca="false">IF(OR($A30="",$F30=""),"",IF($B30="입금",$F30,0))</f>
        <v/>
      </c>
      <c r="J30" s="16" t="str">
        <f aca="false">IF(OR($A30="",$F30=""),"",IF($B30="출금",$F30,0))</f>
        <v/>
      </c>
      <c r="K30" s="17" t="str">
        <f aca="false">IF($A30="","",COUNTIFS($A$3:$A30,$A30))</f>
        <v/>
      </c>
      <c r="L30" s="17" t="str">
        <f aca="false">IF($A30="","",TEXT($A30,"yyyymmdd")&amp;"|"&amp;$K30)</f>
        <v/>
      </c>
    </row>
    <row r="31" customFormat="false" ht="15" hidden="false" customHeight="true" outlineLevel="0" collapsed="false">
      <c r="A31" s="15"/>
      <c r="B31" s="10"/>
      <c r="C31" s="10"/>
      <c r="D31" s="10"/>
      <c r="E31" s="10"/>
      <c r="F31" s="11"/>
      <c r="G31" s="10"/>
      <c r="H31" s="10"/>
      <c r="I31" s="16" t="str">
        <f aca="false">IF(OR($A31="",$F31=""),"",IF($B31="입금",$F31,0))</f>
        <v/>
      </c>
      <c r="J31" s="16" t="str">
        <f aca="false">IF(OR($A31="",$F31=""),"",IF($B31="출금",$F31,0))</f>
        <v/>
      </c>
      <c r="K31" s="17" t="str">
        <f aca="false">IF($A31="","",COUNTIFS($A$3:$A31,$A31))</f>
        <v/>
      </c>
      <c r="L31" s="17" t="str">
        <f aca="false">IF($A31="","",TEXT($A31,"yyyymmdd")&amp;"|"&amp;$K31)</f>
        <v/>
      </c>
    </row>
    <row r="32" customFormat="false" ht="15" hidden="false" customHeight="true" outlineLevel="0" collapsed="false">
      <c r="A32" s="15"/>
      <c r="B32" s="10"/>
      <c r="C32" s="10"/>
      <c r="D32" s="10"/>
      <c r="E32" s="10"/>
      <c r="F32" s="11"/>
      <c r="G32" s="10"/>
      <c r="H32" s="10"/>
      <c r="I32" s="16" t="str">
        <f aca="false">IF(OR($A32="",$F32=""),"",IF($B32="입금",$F32,0))</f>
        <v/>
      </c>
      <c r="J32" s="16" t="str">
        <f aca="false">IF(OR($A32="",$F32=""),"",IF($B32="출금",$F32,0))</f>
        <v/>
      </c>
      <c r="K32" s="17" t="str">
        <f aca="false">IF($A32="","",COUNTIFS($A$3:$A32,$A32))</f>
        <v/>
      </c>
      <c r="L32" s="17" t="str">
        <f aca="false">IF($A32="","",TEXT($A32,"yyyymmdd")&amp;"|"&amp;$K32)</f>
        <v/>
      </c>
    </row>
    <row r="33" customFormat="false" ht="15" hidden="false" customHeight="true" outlineLevel="0" collapsed="false">
      <c r="A33" s="15"/>
      <c r="B33" s="10"/>
      <c r="C33" s="10"/>
      <c r="D33" s="10"/>
      <c r="E33" s="10"/>
      <c r="F33" s="11"/>
      <c r="G33" s="10"/>
      <c r="H33" s="10"/>
      <c r="I33" s="16" t="str">
        <f aca="false">IF(OR($A33="",$F33=""),"",IF($B33="입금",$F33,0))</f>
        <v/>
      </c>
      <c r="J33" s="16" t="str">
        <f aca="false">IF(OR($A33="",$F33=""),"",IF($B33="출금",$F33,0))</f>
        <v/>
      </c>
      <c r="K33" s="17" t="str">
        <f aca="false">IF($A33="","",COUNTIFS($A$3:$A33,$A33))</f>
        <v/>
      </c>
      <c r="L33" s="17" t="str">
        <f aca="false">IF($A33="","",TEXT($A33,"yyyymmdd")&amp;"|"&amp;$K33)</f>
        <v/>
      </c>
    </row>
    <row r="34" customFormat="false" ht="15" hidden="false" customHeight="true" outlineLevel="0" collapsed="false">
      <c r="A34" s="15"/>
      <c r="B34" s="10"/>
      <c r="C34" s="10"/>
      <c r="D34" s="10"/>
      <c r="E34" s="10"/>
      <c r="F34" s="11"/>
      <c r="G34" s="10"/>
      <c r="H34" s="10"/>
      <c r="I34" s="16" t="str">
        <f aca="false">IF(OR($A34="",$F34=""),"",IF($B34="입금",$F34,0))</f>
        <v/>
      </c>
      <c r="J34" s="16" t="str">
        <f aca="false">IF(OR($A34="",$F34=""),"",IF($B34="출금",$F34,0))</f>
        <v/>
      </c>
      <c r="K34" s="17" t="str">
        <f aca="false">IF($A34="","",COUNTIFS($A$3:$A34,$A34))</f>
        <v/>
      </c>
      <c r="L34" s="17" t="str">
        <f aca="false">IF($A34="","",TEXT($A34,"yyyymmdd")&amp;"|"&amp;$K34)</f>
        <v/>
      </c>
    </row>
    <row r="35" customFormat="false" ht="15" hidden="false" customHeight="true" outlineLevel="0" collapsed="false">
      <c r="A35" s="15"/>
      <c r="B35" s="10"/>
      <c r="C35" s="10"/>
      <c r="D35" s="10"/>
      <c r="E35" s="10"/>
      <c r="F35" s="11"/>
      <c r="G35" s="10"/>
      <c r="H35" s="10"/>
      <c r="I35" s="16" t="str">
        <f aca="false">IF(OR($A35="",$F35=""),"",IF($B35="입금",$F35,0))</f>
        <v/>
      </c>
      <c r="J35" s="16" t="str">
        <f aca="false">IF(OR($A35="",$F35=""),"",IF($B35="출금",$F35,0))</f>
        <v/>
      </c>
      <c r="K35" s="17" t="str">
        <f aca="false">IF($A35="","",COUNTIFS($A$3:$A35,$A35))</f>
        <v/>
      </c>
      <c r="L35" s="17" t="str">
        <f aca="false">IF($A35="","",TEXT($A35,"yyyymmdd")&amp;"|"&amp;$K35)</f>
        <v/>
      </c>
    </row>
    <row r="36" customFormat="false" ht="15" hidden="false" customHeight="true" outlineLevel="0" collapsed="false">
      <c r="A36" s="15"/>
      <c r="B36" s="10"/>
      <c r="C36" s="10"/>
      <c r="D36" s="10"/>
      <c r="E36" s="10"/>
      <c r="F36" s="11"/>
      <c r="G36" s="10"/>
      <c r="H36" s="10"/>
      <c r="I36" s="16" t="str">
        <f aca="false">IF(OR($A36="",$F36=""),"",IF($B36="입금",$F36,0))</f>
        <v/>
      </c>
      <c r="J36" s="16" t="str">
        <f aca="false">IF(OR($A36="",$F36=""),"",IF($B36="출금",$F36,0))</f>
        <v/>
      </c>
      <c r="K36" s="17" t="str">
        <f aca="false">IF($A36="","",COUNTIFS($A$3:$A36,$A36))</f>
        <v/>
      </c>
      <c r="L36" s="17" t="str">
        <f aca="false">IF($A36="","",TEXT($A36,"yyyymmdd")&amp;"|"&amp;$K36)</f>
        <v/>
      </c>
    </row>
    <row r="37" customFormat="false" ht="15" hidden="false" customHeight="true" outlineLevel="0" collapsed="false">
      <c r="A37" s="15"/>
      <c r="B37" s="10"/>
      <c r="C37" s="10"/>
      <c r="D37" s="10"/>
      <c r="E37" s="10"/>
      <c r="F37" s="11"/>
      <c r="G37" s="10"/>
      <c r="H37" s="10"/>
      <c r="I37" s="16" t="str">
        <f aca="false">IF(OR($A37="",$F37=""),"",IF($B37="입금",$F37,0))</f>
        <v/>
      </c>
      <c r="J37" s="16" t="str">
        <f aca="false">IF(OR($A37="",$F37=""),"",IF($B37="출금",$F37,0))</f>
        <v/>
      </c>
      <c r="K37" s="17" t="str">
        <f aca="false">IF($A37="","",COUNTIFS($A$3:$A37,$A37))</f>
        <v/>
      </c>
      <c r="L37" s="17" t="str">
        <f aca="false">IF($A37="","",TEXT($A37,"yyyymmdd")&amp;"|"&amp;$K37)</f>
        <v/>
      </c>
    </row>
    <row r="38" customFormat="false" ht="15" hidden="false" customHeight="true" outlineLevel="0" collapsed="false">
      <c r="A38" s="15"/>
      <c r="B38" s="10"/>
      <c r="C38" s="10"/>
      <c r="D38" s="10"/>
      <c r="E38" s="10"/>
      <c r="F38" s="11"/>
      <c r="G38" s="10"/>
      <c r="H38" s="10"/>
      <c r="I38" s="16" t="str">
        <f aca="false">IF(OR($A38="",$F38=""),"",IF($B38="입금",$F38,0))</f>
        <v/>
      </c>
      <c r="J38" s="16" t="str">
        <f aca="false">IF(OR($A38="",$F38=""),"",IF($B38="출금",$F38,0))</f>
        <v/>
      </c>
      <c r="K38" s="17" t="str">
        <f aca="false">IF($A38="","",COUNTIFS($A$3:$A38,$A38))</f>
        <v/>
      </c>
      <c r="L38" s="17" t="str">
        <f aca="false">IF($A38="","",TEXT($A38,"yyyymmdd")&amp;"|"&amp;$K38)</f>
        <v/>
      </c>
    </row>
    <row r="39" customFormat="false" ht="15" hidden="false" customHeight="true" outlineLevel="0" collapsed="false">
      <c r="A39" s="15"/>
      <c r="B39" s="10"/>
      <c r="C39" s="10"/>
      <c r="D39" s="10"/>
      <c r="E39" s="10"/>
      <c r="F39" s="11"/>
      <c r="G39" s="10"/>
      <c r="H39" s="10"/>
      <c r="I39" s="16" t="str">
        <f aca="false">IF(OR($A39="",$F39=""),"",IF($B39="입금",$F39,0))</f>
        <v/>
      </c>
      <c r="J39" s="16" t="str">
        <f aca="false">IF(OR($A39="",$F39=""),"",IF($B39="출금",$F39,0))</f>
        <v/>
      </c>
      <c r="K39" s="17" t="str">
        <f aca="false">IF($A39="","",COUNTIFS($A$3:$A39,$A39))</f>
        <v/>
      </c>
      <c r="L39" s="17" t="str">
        <f aca="false">IF($A39="","",TEXT($A39,"yyyymmdd")&amp;"|"&amp;$K39)</f>
        <v/>
      </c>
    </row>
    <row r="40" customFormat="false" ht="15" hidden="false" customHeight="true" outlineLevel="0" collapsed="false">
      <c r="A40" s="15"/>
      <c r="B40" s="10"/>
      <c r="C40" s="10"/>
      <c r="D40" s="10"/>
      <c r="E40" s="10"/>
      <c r="F40" s="11"/>
      <c r="G40" s="10"/>
      <c r="H40" s="10"/>
      <c r="I40" s="16" t="str">
        <f aca="false">IF(OR($A40="",$F40=""),"",IF($B40="입금",$F40,0))</f>
        <v/>
      </c>
      <c r="J40" s="16" t="str">
        <f aca="false">IF(OR($A40="",$F40=""),"",IF($B40="출금",$F40,0))</f>
        <v/>
      </c>
      <c r="K40" s="17" t="str">
        <f aca="false">IF($A40="","",COUNTIFS($A$3:$A40,$A40))</f>
        <v/>
      </c>
      <c r="L40" s="17" t="str">
        <f aca="false">IF($A40="","",TEXT($A40,"yyyymmdd")&amp;"|"&amp;$K40)</f>
        <v/>
      </c>
    </row>
    <row r="41" customFormat="false" ht="15" hidden="false" customHeight="true" outlineLevel="0" collapsed="false">
      <c r="A41" s="15"/>
      <c r="B41" s="10"/>
      <c r="C41" s="10"/>
      <c r="D41" s="10"/>
      <c r="E41" s="10"/>
      <c r="F41" s="11"/>
      <c r="G41" s="10"/>
      <c r="H41" s="10"/>
      <c r="I41" s="16" t="str">
        <f aca="false">IF(OR($A41="",$F41=""),"",IF($B41="입금",$F41,0))</f>
        <v/>
      </c>
      <c r="J41" s="16" t="str">
        <f aca="false">IF(OR($A41="",$F41=""),"",IF($B41="출금",$F41,0))</f>
        <v/>
      </c>
      <c r="K41" s="17" t="str">
        <f aca="false">IF($A41="","",COUNTIFS($A$3:$A41,$A41))</f>
        <v/>
      </c>
      <c r="L41" s="17" t="str">
        <f aca="false">IF($A41="","",TEXT($A41,"yyyymmdd")&amp;"|"&amp;$K41)</f>
        <v/>
      </c>
    </row>
    <row r="42" customFormat="false" ht="15" hidden="false" customHeight="true" outlineLevel="0" collapsed="false">
      <c r="A42" s="15"/>
      <c r="B42" s="10"/>
      <c r="C42" s="10"/>
      <c r="D42" s="10"/>
      <c r="E42" s="10"/>
      <c r="F42" s="11"/>
      <c r="G42" s="10"/>
      <c r="H42" s="10"/>
      <c r="I42" s="16" t="str">
        <f aca="false">IF(OR($A42="",$F42=""),"",IF($B42="입금",$F42,0))</f>
        <v/>
      </c>
      <c r="J42" s="16" t="str">
        <f aca="false">IF(OR($A42="",$F42=""),"",IF($B42="출금",$F42,0))</f>
        <v/>
      </c>
      <c r="K42" s="17" t="str">
        <f aca="false">IF($A42="","",COUNTIFS($A$3:$A42,$A42))</f>
        <v/>
      </c>
      <c r="L42" s="17" t="str">
        <f aca="false">IF($A42="","",TEXT($A42,"yyyymmdd")&amp;"|"&amp;$K42)</f>
        <v/>
      </c>
    </row>
    <row r="43" customFormat="false" ht="15" hidden="false" customHeight="true" outlineLevel="0" collapsed="false">
      <c r="A43" s="15"/>
      <c r="B43" s="10"/>
      <c r="C43" s="10"/>
      <c r="D43" s="10"/>
      <c r="E43" s="10"/>
      <c r="F43" s="11"/>
      <c r="G43" s="10"/>
      <c r="H43" s="10"/>
      <c r="I43" s="16" t="str">
        <f aca="false">IF(OR($A43="",$F43=""),"",IF($B43="입금",$F43,0))</f>
        <v/>
      </c>
      <c r="J43" s="16" t="str">
        <f aca="false">IF(OR($A43="",$F43=""),"",IF($B43="출금",$F43,0))</f>
        <v/>
      </c>
      <c r="K43" s="17" t="str">
        <f aca="false">IF($A43="","",COUNTIFS($A$3:$A43,$A43))</f>
        <v/>
      </c>
      <c r="L43" s="17" t="str">
        <f aca="false">IF($A43="","",TEXT($A43,"yyyymmdd")&amp;"|"&amp;$K43)</f>
        <v/>
      </c>
    </row>
    <row r="44" customFormat="false" ht="15" hidden="false" customHeight="true" outlineLevel="0" collapsed="false">
      <c r="A44" s="15"/>
      <c r="B44" s="10"/>
      <c r="C44" s="10"/>
      <c r="D44" s="10"/>
      <c r="E44" s="10"/>
      <c r="F44" s="11"/>
      <c r="G44" s="10"/>
      <c r="H44" s="10"/>
      <c r="I44" s="16" t="str">
        <f aca="false">IF(OR($A44="",$F44=""),"",IF($B44="입금",$F44,0))</f>
        <v/>
      </c>
      <c r="J44" s="16" t="str">
        <f aca="false">IF(OR($A44="",$F44=""),"",IF($B44="출금",$F44,0))</f>
        <v/>
      </c>
      <c r="K44" s="17" t="str">
        <f aca="false">IF($A44="","",COUNTIFS($A$3:$A44,$A44))</f>
        <v/>
      </c>
      <c r="L44" s="17" t="str">
        <f aca="false">IF($A44="","",TEXT($A44,"yyyymmdd")&amp;"|"&amp;$K44)</f>
        <v/>
      </c>
    </row>
    <row r="45" customFormat="false" ht="15" hidden="false" customHeight="true" outlineLevel="0" collapsed="false">
      <c r="A45" s="15"/>
      <c r="B45" s="10"/>
      <c r="C45" s="10"/>
      <c r="D45" s="10"/>
      <c r="E45" s="10"/>
      <c r="F45" s="11"/>
      <c r="G45" s="10"/>
      <c r="H45" s="10"/>
      <c r="I45" s="16" t="str">
        <f aca="false">IF(OR($A45="",$F45=""),"",IF($B45="입금",$F45,0))</f>
        <v/>
      </c>
      <c r="J45" s="16" t="str">
        <f aca="false">IF(OR($A45="",$F45=""),"",IF($B45="출금",$F45,0))</f>
        <v/>
      </c>
      <c r="K45" s="17" t="str">
        <f aca="false">IF($A45="","",COUNTIFS($A$3:$A45,$A45))</f>
        <v/>
      </c>
      <c r="L45" s="17" t="str">
        <f aca="false">IF($A45="","",TEXT($A45,"yyyymmdd")&amp;"|"&amp;$K45)</f>
        <v/>
      </c>
    </row>
    <row r="46" customFormat="false" ht="15" hidden="false" customHeight="true" outlineLevel="0" collapsed="false">
      <c r="A46" s="15"/>
      <c r="B46" s="10"/>
      <c r="C46" s="10"/>
      <c r="D46" s="10"/>
      <c r="E46" s="10"/>
      <c r="F46" s="11"/>
      <c r="G46" s="10"/>
      <c r="H46" s="10"/>
      <c r="I46" s="16" t="str">
        <f aca="false">IF(OR($A46="",$F46=""),"",IF($B46="입금",$F46,0))</f>
        <v/>
      </c>
      <c r="J46" s="16" t="str">
        <f aca="false">IF(OR($A46="",$F46=""),"",IF($B46="출금",$F46,0))</f>
        <v/>
      </c>
      <c r="K46" s="17" t="str">
        <f aca="false">IF($A46="","",COUNTIFS($A$3:$A46,$A46))</f>
        <v/>
      </c>
      <c r="L46" s="17" t="str">
        <f aca="false">IF($A46="","",TEXT($A46,"yyyymmdd")&amp;"|"&amp;$K46)</f>
        <v/>
      </c>
    </row>
    <row r="47" customFormat="false" ht="15" hidden="false" customHeight="true" outlineLevel="0" collapsed="false">
      <c r="A47" s="15"/>
      <c r="B47" s="10"/>
      <c r="C47" s="10"/>
      <c r="D47" s="10"/>
      <c r="E47" s="10"/>
      <c r="F47" s="11"/>
      <c r="G47" s="10"/>
      <c r="H47" s="10"/>
      <c r="I47" s="16" t="str">
        <f aca="false">IF(OR($A47="",$F47=""),"",IF($B47="입금",$F47,0))</f>
        <v/>
      </c>
      <c r="J47" s="16" t="str">
        <f aca="false">IF(OR($A47="",$F47=""),"",IF($B47="출금",$F47,0))</f>
        <v/>
      </c>
      <c r="K47" s="17" t="str">
        <f aca="false">IF($A47="","",COUNTIFS($A$3:$A47,$A47))</f>
        <v/>
      </c>
      <c r="L47" s="17" t="str">
        <f aca="false">IF($A47="","",TEXT($A47,"yyyymmdd")&amp;"|"&amp;$K47)</f>
        <v/>
      </c>
    </row>
    <row r="48" customFormat="false" ht="15" hidden="false" customHeight="true" outlineLevel="0" collapsed="false">
      <c r="A48" s="15"/>
      <c r="B48" s="10"/>
      <c r="C48" s="10"/>
      <c r="D48" s="10"/>
      <c r="E48" s="10"/>
      <c r="F48" s="11"/>
      <c r="G48" s="10"/>
      <c r="H48" s="10"/>
      <c r="I48" s="16" t="str">
        <f aca="false">IF(OR($A48="",$F48=""),"",IF($B48="입금",$F48,0))</f>
        <v/>
      </c>
      <c r="J48" s="16" t="str">
        <f aca="false">IF(OR($A48="",$F48=""),"",IF($B48="출금",$F48,0))</f>
        <v/>
      </c>
      <c r="K48" s="17" t="str">
        <f aca="false">IF($A48="","",COUNTIFS($A$3:$A48,$A48))</f>
        <v/>
      </c>
      <c r="L48" s="17" t="str">
        <f aca="false">IF($A48="","",TEXT($A48,"yyyymmdd")&amp;"|"&amp;$K48)</f>
        <v/>
      </c>
    </row>
    <row r="49" customFormat="false" ht="15" hidden="false" customHeight="true" outlineLevel="0" collapsed="false">
      <c r="A49" s="15"/>
      <c r="B49" s="10"/>
      <c r="C49" s="10"/>
      <c r="D49" s="10"/>
      <c r="E49" s="10"/>
      <c r="F49" s="11"/>
      <c r="G49" s="10"/>
      <c r="H49" s="10"/>
      <c r="I49" s="16" t="str">
        <f aca="false">IF(OR($A49="",$F49=""),"",IF($B49="입금",$F49,0))</f>
        <v/>
      </c>
      <c r="J49" s="16" t="str">
        <f aca="false">IF(OR($A49="",$F49=""),"",IF($B49="출금",$F49,0))</f>
        <v/>
      </c>
      <c r="K49" s="17" t="str">
        <f aca="false">IF($A49="","",COUNTIFS($A$3:$A49,$A49))</f>
        <v/>
      </c>
      <c r="L49" s="17" t="str">
        <f aca="false">IF($A49="","",TEXT($A49,"yyyymmdd")&amp;"|"&amp;$K49)</f>
        <v/>
      </c>
    </row>
    <row r="50" customFormat="false" ht="15" hidden="false" customHeight="true" outlineLevel="0" collapsed="false">
      <c r="A50" s="15"/>
      <c r="B50" s="10"/>
      <c r="C50" s="10"/>
      <c r="D50" s="10"/>
      <c r="E50" s="10"/>
      <c r="F50" s="11"/>
      <c r="G50" s="10"/>
      <c r="H50" s="10"/>
      <c r="I50" s="16" t="str">
        <f aca="false">IF(OR($A50="",$F50=""),"",IF($B50="입금",$F50,0))</f>
        <v/>
      </c>
      <c r="J50" s="16" t="str">
        <f aca="false">IF(OR($A50="",$F50=""),"",IF($B50="출금",$F50,0))</f>
        <v/>
      </c>
      <c r="K50" s="17" t="str">
        <f aca="false">IF($A50="","",COUNTIFS($A$3:$A50,$A50))</f>
        <v/>
      </c>
      <c r="L50" s="17" t="str">
        <f aca="false">IF($A50="","",TEXT($A50,"yyyymmdd")&amp;"|"&amp;$K50)</f>
        <v/>
      </c>
    </row>
    <row r="51" customFormat="false" ht="15" hidden="false" customHeight="true" outlineLevel="0" collapsed="false">
      <c r="A51" s="15"/>
      <c r="B51" s="10"/>
      <c r="C51" s="10"/>
      <c r="D51" s="10"/>
      <c r="E51" s="10"/>
      <c r="F51" s="11"/>
      <c r="G51" s="10"/>
      <c r="H51" s="10"/>
      <c r="I51" s="16" t="str">
        <f aca="false">IF(OR($A51="",$F51=""),"",IF($B51="입금",$F51,0))</f>
        <v/>
      </c>
      <c r="J51" s="16" t="str">
        <f aca="false">IF(OR($A51="",$F51=""),"",IF($B51="출금",$F51,0))</f>
        <v/>
      </c>
      <c r="K51" s="17" t="str">
        <f aca="false">IF($A51="","",COUNTIFS($A$3:$A51,$A51))</f>
        <v/>
      </c>
      <c r="L51" s="17" t="str">
        <f aca="false">IF($A51="","",TEXT($A51,"yyyymmdd")&amp;"|"&amp;$K51)</f>
        <v/>
      </c>
    </row>
    <row r="52" customFormat="false" ht="15" hidden="false" customHeight="true" outlineLevel="0" collapsed="false">
      <c r="A52" s="15"/>
      <c r="B52" s="10"/>
      <c r="C52" s="10"/>
      <c r="D52" s="10"/>
      <c r="E52" s="10"/>
      <c r="F52" s="11"/>
      <c r="G52" s="10"/>
      <c r="H52" s="10"/>
      <c r="I52" s="16" t="str">
        <f aca="false">IF(OR($A52="",$F52=""),"",IF($B52="입금",$F52,0))</f>
        <v/>
      </c>
      <c r="J52" s="16" t="str">
        <f aca="false">IF(OR($A52="",$F52=""),"",IF($B52="출금",$F52,0))</f>
        <v/>
      </c>
      <c r="K52" s="17" t="str">
        <f aca="false">IF($A52="","",COUNTIFS($A$3:$A52,$A52))</f>
        <v/>
      </c>
      <c r="L52" s="17" t="str">
        <f aca="false">IF($A52="","",TEXT($A52,"yyyymmdd")&amp;"|"&amp;$K52)</f>
        <v/>
      </c>
    </row>
    <row r="53" customFormat="false" ht="15" hidden="false" customHeight="true" outlineLevel="0" collapsed="false">
      <c r="A53" s="15"/>
      <c r="B53" s="10"/>
      <c r="C53" s="10"/>
      <c r="D53" s="10"/>
      <c r="E53" s="10"/>
      <c r="F53" s="11"/>
      <c r="G53" s="10"/>
      <c r="H53" s="10"/>
      <c r="I53" s="16" t="str">
        <f aca="false">IF(OR($A53="",$F53=""),"",IF($B53="입금",$F53,0))</f>
        <v/>
      </c>
      <c r="J53" s="16" t="str">
        <f aca="false">IF(OR($A53="",$F53=""),"",IF($B53="출금",$F53,0))</f>
        <v/>
      </c>
      <c r="K53" s="17" t="str">
        <f aca="false">IF($A53="","",COUNTIFS($A$3:$A53,$A53))</f>
        <v/>
      </c>
      <c r="L53" s="17" t="str">
        <f aca="false">IF($A53="","",TEXT($A53,"yyyymmdd")&amp;"|"&amp;$K53)</f>
        <v/>
      </c>
    </row>
    <row r="54" customFormat="false" ht="15" hidden="false" customHeight="true" outlineLevel="0" collapsed="false">
      <c r="A54" s="15"/>
      <c r="B54" s="10"/>
      <c r="C54" s="10"/>
      <c r="D54" s="10"/>
      <c r="E54" s="10"/>
      <c r="F54" s="11"/>
      <c r="G54" s="10"/>
      <c r="H54" s="10"/>
      <c r="I54" s="16" t="str">
        <f aca="false">IF(OR($A54="",$F54=""),"",IF($B54="입금",$F54,0))</f>
        <v/>
      </c>
      <c r="J54" s="16" t="str">
        <f aca="false">IF(OR($A54="",$F54=""),"",IF($B54="출금",$F54,0))</f>
        <v/>
      </c>
      <c r="K54" s="17" t="str">
        <f aca="false">IF($A54="","",COUNTIFS($A$3:$A54,$A54))</f>
        <v/>
      </c>
      <c r="L54" s="17" t="str">
        <f aca="false">IF($A54="","",TEXT($A54,"yyyymmdd")&amp;"|"&amp;$K54)</f>
        <v/>
      </c>
    </row>
    <row r="55" customFormat="false" ht="15" hidden="false" customHeight="true" outlineLevel="0" collapsed="false">
      <c r="A55" s="15"/>
      <c r="B55" s="10"/>
      <c r="C55" s="10"/>
      <c r="D55" s="10"/>
      <c r="E55" s="10"/>
      <c r="F55" s="11"/>
      <c r="G55" s="10"/>
      <c r="H55" s="10"/>
      <c r="I55" s="16" t="str">
        <f aca="false">IF(OR($A55="",$F55=""),"",IF($B55="입금",$F55,0))</f>
        <v/>
      </c>
      <c r="J55" s="16" t="str">
        <f aca="false">IF(OR($A55="",$F55=""),"",IF($B55="출금",$F55,0))</f>
        <v/>
      </c>
      <c r="K55" s="17" t="str">
        <f aca="false">IF($A55="","",COUNTIFS($A$3:$A55,$A55))</f>
        <v/>
      </c>
      <c r="L55" s="17" t="str">
        <f aca="false">IF($A55="","",TEXT($A55,"yyyymmdd")&amp;"|"&amp;$K55)</f>
        <v/>
      </c>
    </row>
    <row r="56" customFormat="false" ht="15" hidden="false" customHeight="true" outlineLevel="0" collapsed="false">
      <c r="A56" s="15"/>
      <c r="B56" s="10"/>
      <c r="C56" s="10"/>
      <c r="D56" s="10"/>
      <c r="E56" s="10"/>
      <c r="F56" s="11"/>
      <c r="G56" s="10"/>
      <c r="H56" s="10"/>
      <c r="I56" s="16" t="str">
        <f aca="false">IF(OR($A56="",$F56=""),"",IF($B56="입금",$F56,0))</f>
        <v/>
      </c>
      <c r="J56" s="16" t="str">
        <f aca="false">IF(OR($A56="",$F56=""),"",IF($B56="출금",$F56,0))</f>
        <v/>
      </c>
      <c r="K56" s="17" t="str">
        <f aca="false">IF($A56="","",COUNTIFS($A$3:$A56,$A56))</f>
        <v/>
      </c>
      <c r="L56" s="17" t="str">
        <f aca="false">IF($A56="","",TEXT($A56,"yyyymmdd")&amp;"|"&amp;$K56)</f>
        <v/>
      </c>
    </row>
    <row r="57" customFormat="false" ht="15" hidden="false" customHeight="true" outlineLevel="0" collapsed="false">
      <c r="A57" s="15"/>
      <c r="B57" s="10"/>
      <c r="C57" s="10"/>
      <c r="D57" s="10"/>
      <c r="E57" s="10"/>
      <c r="F57" s="11"/>
      <c r="G57" s="10"/>
      <c r="H57" s="10"/>
      <c r="I57" s="16" t="str">
        <f aca="false">IF(OR($A57="",$F57=""),"",IF($B57="입금",$F57,0))</f>
        <v/>
      </c>
      <c r="J57" s="16" t="str">
        <f aca="false">IF(OR($A57="",$F57=""),"",IF($B57="출금",$F57,0))</f>
        <v/>
      </c>
      <c r="K57" s="17" t="str">
        <f aca="false">IF($A57="","",COUNTIFS($A$3:$A57,$A57))</f>
        <v/>
      </c>
      <c r="L57" s="17" t="str">
        <f aca="false">IF($A57="","",TEXT($A57,"yyyymmdd")&amp;"|"&amp;$K57)</f>
        <v/>
      </c>
    </row>
    <row r="58" customFormat="false" ht="15" hidden="false" customHeight="true" outlineLevel="0" collapsed="false">
      <c r="A58" s="15"/>
      <c r="B58" s="10"/>
      <c r="C58" s="10"/>
      <c r="D58" s="10"/>
      <c r="E58" s="10"/>
      <c r="F58" s="11"/>
      <c r="G58" s="10"/>
      <c r="H58" s="10"/>
      <c r="I58" s="16" t="str">
        <f aca="false">IF(OR($A58="",$F58=""),"",IF($B58="입금",$F58,0))</f>
        <v/>
      </c>
      <c r="J58" s="16" t="str">
        <f aca="false">IF(OR($A58="",$F58=""),"",IF($B58="출금",$F58,0))</f>
        <v/>
      </c>
      <c r="K58" s="17" t="str">
        <f aca="false">IF($A58="","",COUNTIFS($A$3:$A58,$A58))</f>
        <v/>
      </c>
      <c r="L58" s="17" t="str">
        <f aca="false">IF($A58="","",TEXT($A58,"yyyymmdd")&amp;"|"&amp;$K58)</f>
        <v/>
      </c>
    </row>
    <row r="59" customFormat="false" ht="15" hidden="false" customHeight="true" outlineLevel="0" collapsed="false">
      <c r="A59" s="15"/>
      <c r="B59" s="10"/>
      <c r="C59" s="10"/>
      <c r="D59" s="10"/>
      <c r="E59" s="10"/>
      <c r="F59" s="11"/>
      <c r="G59" s="10"/>
      <c r="H59" s="10"/>
      <c r="I59" s="16" t="str">
        <f aca="false">IF(OR($A59="",$F59=""),"",IF($B59="입금",$F59,0))</f>
        <v/>
      </c>
      <c r="J59" s="16" t="str">
        <f aca="false">IF(OR($A59="",$F59=""),"",IF($B59="출금",$F59,0))</f>
        <v/>
      </c>
      <c r="K59" s="17" t="str">
        <f aca="false">IF($A59="","",COUNTIFS($A$3:$A59,$A59))</f>
        <v/>
      </c>
      <c r="L59" s="17" t="str">
        <f aca="false">IF($A59="","",TEXT($A59,"yyyymmdd")&amp;"|"&amp;$K59)</f>
        <v/>
      </c>
    </row>
    <row r="60" customFormat="false" ht="15" hidden="false" customHeight="true" outlineLevel="0" collapsed="false">
      <c r="A60" s="15"/>
      <c r="B60" s="10"/>
      <c r="C60" s="10"/>
      <c r="D60" s="10"/>
      <c r="E60" s="10"/>
      <c r="F60" s="11"/>
      <c r="G60" s="10"/>
      <c r="H60" s="10"/>
      <c r="I60" s="16" t="str">
        <f aca="false">IF(OR($A60="",$F60=""),"",IF($B60="입금",$F60,0))</f>
        <v/>
      </c>
      <c r="J60" s="16" t="str">
        <f aca="false">IF(OR($A60="",$F60=""),"",IF($B60="출금",$F60,0))</f>
        <v/>
      </c>
      <c r="K60" s="17" t="str">
        <f aca="false">IF($A60="","",COUNTIFS($A$3:$A60,$A60))</f>
        <v/>
      </c>
      <c r="L60" s="17" t="str">
        <f aca="false">IF($A60="","",TEXT($A60,"yyyymmdd")&amp;"|"&amp;$K60)</f>
        <v/>
      </c>
    </row>
    <row r="61" customFormat="false" ht="15" hidden="false" customHeight="true" outlineLevel="0" collapsed="false">
      <c r="A61" s="15"/>
      <c r="B61" s="10"/>
      <c r="C61" s="10"/>
      <c r="D61" s="10"/>
      <c r="E61" s="10"/>
      <c r="F61" s="11"/>
      <c r="G61" s="10"/>
      <c r="H61" s="10"/>
      <c r="I61" s="16" t="str">
        <f aca="false">IF(OR($A61="",$F61=""),"",IF($B61="입금",$F61,0))</f>
        <v/>
      </c>
      <c r="J61" s="16" t="str">
        <f aca="false">IF(OR($A61="",$F61=""),"",IF($B61="출금",$F61,0))</f>
        <v/>
      </c>
      <c r="K61" s="17" t="str">
        <f aca="false">IF($A61="","",COUNTIFS($A$3:$A61,$A61))</f>
        <v/>
      </c>
      <c r="L61" s="17" t="str">
        <f aca="false">IF($A61="","",TEXT($A61,"yyyymmdd")&amp;"|"&amp;$K61)</f>
        <v/>
      </c>
    </row>
    <row r="62" customFormat="false" ht="15" hidden="false" customHeight="true" outlineLevel="0" collapsed="false">
      <c r="A62" s="15"/>
      <c r="B62" s="10"/>
      <c r="C62" s="10"/>
      <c r="D62" s="10"/>
      <c r="E62" s="10"/>
      <c r="F62" s="11"/>
      <c r="G62" s="10"/>
      <c r="H62" s="10"/>
      <c r="I62" s="16" t="str">
        <f aca="false">IF(OR($A62="",$F62=""),"",IF($B62="입금",$F62,0))</f>
        <v/>
      </c>
      <c r="J62" s="16" t="str">
        <f aca="false">IF(OR($A62="",$F62=""),"",IF($B62="출금",$F62,0))</f>
        <v/>
      </c>
      <c r="K62" s="17" t="str">
        <f aca="false">IF($A62="","",COUNTIFS($A$3:$A62,$A62))</f>
        <v/>
      </c>
      <c r="L62" s="17" t="str">
        <f aca="false">IF($A62="","",TEXT($A62,"yyyymmdd")&amp;"|"&amp;$K62)</f>
        <v/>
      </c>
    </row>
    <row r="63" customFormat="false" ht="15" hidden="false" customHeight="true" outlineLevel="0" collapsed="false">
      <c r="A63" s="15"/>
      <c r="B63" s="10"/>
      <c r="C63" s="10"/>
      <c r="D63" s="10"/>
      <c r="E63" s="10"/>
      <c r="F63" s="11"/>
      <c r="G63" s="10"/>
      <c r="H63" s="10"/>
      <c r="I63" s="16" t="str">
        <f aca="false">IF(OR($A63="",$F63=""),"",IF($B63="입금",$F63,0))</f>
        <v/>
      </c>
      <c r="J63" s="16" t="str">
        <f aca="false">IF(OR($A63="",$F63=""),"",IF($B63="출금",$F63,0))</f>
        <v/>
      </c>
      <c r="K63" s="17" t="str">
        <f aca="false">IF($A63="","",COUNTIFS($A$3:$A63,$A63))</f>
        <v/>
      </c>
      <c r="L63" s="17" t="str">
        <f aca="false">IF($A63="","",TEXT($A63,"yyyymmdd")&amp;"|"&amp;$K63)</f>
        <v/>
      </c>
    </row>
    <row r="64" customFormat="false" ht="15" hidden="false" customHeight="true" outlineLevel="0" collapsed="false">
      <c r="A64" s="15"/>
      <c r="B64" s="10"/>
      <c r="C64" s="10"/>
      <c r="D64" s="10"/>
      <c r="E64" s="10"/>
      <c r="F64" s="11"/>
      <c r="G64" s="10"/>
      <c r="H64" s="10"/>
      <c r="I64" s="16" t="str">
        <f aca="false">IF(OR($A64="",$F64=""),"",IF($B64="입금",$F64,0))</f>
        <v/>
      </c>
      <c r="J64" s="16" t="str">
        <f aca="false">IF(OR($A64="",$F64=""),"",IF($B64="출금",$F64,0))</f>
        <v/>
      </c>
      <c r="K64" s="17" t="str">
        <f aca="false">IF($A64="","",COUNTIFS($A$3:$A64,$A64))</f>
        <v/>
      </c>
      <c r="L64" s="17" t="str">
        <f aca="false">IF($A64="","",TEXT($A64,"yyyymmdd")&amp;"|"&amp;$K64)</f>
        <v/>
      </c>
    </row>
    <row r="65" customFormat="false" ht="15" hidden="false" customHeight="true" outlineLevel="0" collapsed="false">
      <c r="A65" s="15"/>
      <c r="B65" s="10"/>
      <c r="C65" s="10"/>
      <c r="D65" s="10"/>
      <c r="E65" s="10"/>
      <c r="F65" s="11"/>
      <c r="G65" s="10"/>
      <c r="H65" s="10"/>
      <c r="I65" s="16" t="str">
        <f aca="false">IF(OR($A65="",$F65=""),"",IF($B65="입금",$F65,0))</f>
        <v/>
      </c>
      <c r="J65" s="16" t="str">
        <f aca="false">IF(OR($A65="",$F65=""),"",IF($B65="출금",$F65,0))</f>
        <v/>
      </c>
      <c r="K65" s="17" t="str">
        <f aca="false">IF($A65="","",COUNTIFS($A$3:$A65,$A65))</f>
        <v/>
      </c>
      <c r="L65" s="17" t="str">
        <f aca="false">IF($A65="","",TEXT($A65,"yyyymmdd")&amp;"|"&amp;$K65)</f>
        <v/>
      </c>
    </row>
    <row r="66" customFormat="false" ht="15" hidden="false" customHeight="true" outlineLevel="0" collapsed="false">
      <c r="A66" s="15"/>
      <c r="B66" s="10"/>
      <c r="C66" s="10"/>
      <c r="D66" s="10"/>
      <c r="E66" s="10"/>
      <c r="F66" s="11"/>
      <c r="G66" s="10"/>
      <c r="H66" s="10"/>
      <c r="I66" s="16" t="str">
        <f aca="false">IF(OR($A66="",$F66=""),"",IF($B66="입금",$F66,0))</f>
        <v/>
      </c>
      <c r="J66" s="16" t="str">
        <f aca="false">IF(OR($A66="",$F66=""),"",IF($B66="출금",$F66,0))</f>
        <v/>
      </c>
      <c r="K66" s="17" t="str">
        <f aca="false">IF($A66="","",COUNTIFS($A$3:$A66,$A66))</f>
        <v/>
      </c>
      <c r="L66" s="17" t="str">
        <f aca="false">IF($A66="","",TEXT($A66,"yyyymmdd")&amp;"|"&amp;$K66)</f>
        <v/>
      </c>
    </row>
    <row r="67" customFormat="false" ht="15" hidden="false" customHeight="true" outlineLevel="0" collapsed="false">
      <c r="A67" s="15"/>
      <c r="B67" s="10"/>
      <c r="C67" s="10"/>
      <c r="D67" s="10"/>
      <c r="E67" s="10"/>
      <c r="F67" s="11"/>
      <c r="G67" s="10"/>
      <c r="H67" s="10"/>
      <c r="I67" s="16" t="str">
        <f aca="false">IF(OR($A67="",$F67=""),"",IF($B67="입금",$F67,0))</f>
        <v/>
      </c>
      <c r="J67" s="16" t="str">
        <f aca="false">IF(OR($A67="",$F67=""),"",IF($B67="출금",$F67,0))</f>
        <v/>
      </c>
      <c r="K67" s="17" t="str">
        <f aca="false">IF($A67="","",COUNTIFS($A$3:$A67,$A67))</f>
        <v/>
      </c>
      <c r="L67" s="17" t="str">
        <f aca="false">IF($A67="","",TEXT($A67,"yyyymmdd")&amp;"|"&amp;$K67)</f>
        <v/>
      </c>
    </row>
    <row r="68" customFormat="false" ht="15" hidden="false" customHeight="true" outlineLevel="0" collapsed="false">
      <c r="A68" s="15"/>
      <c r="B68" s="10"/>
      <c r="C68" s="10"/>
      <c r="D68" s="10"/>
      <c r="E68" s="10"/>
      <c r="F68" s="11"/>
      <c r="G68" s="10"/>
      <c r="H68" s="10"/>
      <c r="I68" s="16" t="str">
        <f aca="false">IF(OR($A68="",$F68=""),"",IF($B68="입금",$F68,0))</f>
        <v/>
      </c>
      <c r="J68" s="16" t="str">
        <f aca="false">IF(OR($A68="",$F68=""),"",IF($B68="출금",$F68,0))</f>
        <v/>
      </c>
      <c r="K68" s="17" t="str">
        <f aca="false">IF($A68="","",COUNTIFS($A$3:$A68,$A68))</f>
        <v/>
      </c>
      <c r="L68" s="17" t="str">
        <f aca="false">IF($A68="","",TEXT($A68,"yyyymmdd")&amp;"|"&amp;$K68)</f>
        <v/>
      </c>
    </row>
    <row r="69" customFormat="false" ht="15" hidden="false" customHeight="true" outlineLevel="0" collapsed="false">
      <c r="A69" s="15"/>
      <c r="B69" s="10"/>
      <c r="C69" s="10"/>
      <c r="D69" s="10"/>
      <c r="E69" s="10"/>
      <c r="F69" s="11"/>
      <c r="G69" s="10"/>
      <c r="H69" s="10"/>
      <c r="I69" s="16" t="str">
        <f aca="false">IF(OR($A69="",$F69=""),"",IF($B69="입금",$F69,0))</f>
        <v/>
      </c>
      <c r="J69" s="16" t="str">
        <f aca="false">IF(OR($A69="",$F69=""),"",IF($B69="출금",$F69,0))</f>
        <v/>
      </c>
      <c r="K69" s="17" t="str">
        <f aca="false">IF($A69="","",COUNTIFS($A$3:$A69,$A69))</f>
        <v/>
      </c>
      <c r="L69" s="17" t="str">
        <f aca="false">IF($A69="","",TEXT($A69,"yyyymmdd")&amp;"|"&amp;$K69)</f>
        <v/>
      </c>
    </row>
    <row r="70" customFormat="false" ht="15" hidden="false" customHeight="true" outlineLevel="0" collapsed="false">
      <c r="A70" s="15"/>
      <c r="B70" s="10"/>
      <c r="C70" s="10"/>
      <c r="D70" s="10"/>
      <c r="E70" s="10"/>
      <c r="F70" s="11"/>
      <c r="G70" s="10"/>
      <c r="H70" s="10"/>
      <c r="I70" s="16" t="str">
        <f aca="false">IF(OR($A70="",$F70=""),"",IF($B70="입금",$F70,0))</f>
        <v/>
      </c>
      <c r="J70" s="16" t="str">
        <f aca="false">IF(OR($A70="",$F70=""),"",IF($B70="출금",$F70,0))</f>
        <v/>
      </c>
      <c r="K70" s="17" t="str">
        <f aca="false">IF($A70="","",COUNTIFS($A$3:$A70,$A70))</f>
        <v/>
      </c>
      <c r="L70" s="17" t="str">
        <f aca="false">IF($A70="","",TEXT($A70,"yyyymmdd")&amp;"|"&amp;$K70)</f>
        <v/>
      </c>
    </row>
    <row r="71" customFormat="false" ht="15" hidden="false" customHeight="true" outlineLevel="0" collapsed="false">
      <c r="A71" s="15"/>
      <c r="B71" s="10"/>
      <c r="C71" s="10"/>
      <c r="D71" s="10"/>
      <c r="E71" s="10"/>
      <c r="F71" s="11"/>
      <c r="G71" s="10"/>
      <c r="H71" s="10"/>
      <c r="I71" s="16" t="str">
        <f aca="false">IF(OR($A71="",$F71=""),"",IF($B71="입금",$F71,0))</f>
        <v/>
      </c>
      <c r="J71" s="16" t="str">
        <f aca="false">IF(OR($A71="",$F71=""),"",IF($B71="출금",$F71,0))</f>
        <v/>
      </c>
      <c r="K71" s="17" t="str">
        <f aca="false">IF($A71="","",COUNTIFS($A$3:$A71,$A71))</f>
        <v/>
      </c>
      <c r="L71" s="17" t="str">
        <f aca="false">IF($A71="","",TEXT($A71,"yyyymmdd")&amp;"|"&amp;$K71)</f>
        <v/>
      </c>
    </row>
    <row r="72" customFormat="false" ht="15" hidden="false" customHeight="true" outlineLevel="0" collapsed="false">
      <c r="A72" s="15"/>
      <c r="B72" s="10"/>
      <c r="C72" s="10"/>
      <c r="D72" s="10"/>
      <c r="E72" s="10"/>
      <c r="F72" s="11"/>
      <c r="G72" s="10"/>
      <c r="H72" s="10"/>
      <c r="I72" s="16" t="str">
        <f aca="false">IF(OR($A72="",$F72=""),"",IF($B72="입금",$F72,0))</f>
        <v/>
      </c>
      <c r="J72" s="16" t="str">
        <f aca="false">IF(OR($A72="",$F72=""),"",IF($B72="출금",$F72,0))</f>
        <v/>
      </c>
      <c r="K72" s="17" t="str">
        <f aca="false">IF($A72="","",COUNTIFS($A$3:$A72,$A72))</f>
        <v/>
      </c>
      <c r="L72" s="17" t="str">
        <f aca="false">IF($A72="","",TEXT($A72,"yyyymmdd")&amp;"|"&amp;$K72)</f>
        <v/>
      </c>
    </row>
    <row r="73" customFormat="false" ht="15" hidden="false" customHeight="true" outlineLevel="0" collapsed="false">
      <c r="A73" s="15"/>
      <c r="B73" s="10"/>
      <c r="C73" s="10"/>
      <c r="D73" s="10"/>
      <c r="E73" s="10"/>
      <c r="F73" s="11"/>
      <c r="G73" s="10"/>
      <c r="H73" s="10"/>
      <c r="I73" s="16" t="str">
        <f aca="false">IF(OR($A73="",$F73=""),"",IF($B73="입금",$F73,0))</f>
        <v/>
      </c>
      <c r="J73" s="16" t="str">
        <f aca="false">IF(OR($A73="",$F73=""),"",IF($B73="출금",$F73,0))</f>
        <v/>
      </c>
      <c r="K73" s="17" t="str">
        <f aca="false">IF($A73="","",COUNTIFS($A$3:$A73,$A73))</f>
        <v/>
      </c>
      <c r="L73" s="17" t="str">
        <f aca="false">IF($A73="","",TEXT($A73,"yyyymmdd")&amp;"|"&amp;$K73)</f>
        <v/>
      </c>
    </row>
    <row r="74" customFormat="false" ht="15" hidden="false" customHeight="true" outlineLevel="0" collapsed="false">
      <c r="A74" s="15"/>
      <c r="B74" s="10"/>
      <c r="C74" s="10"/>
      <c r="D74" s="10"/>
      <c r="E74" s="10"/>
      <c r="F74" s="11"/>
      <c r="G74" s="10"/>
      <c r="H74" s="10"/>
      <c r="I74" s="16" t="str">
        <f aca="false">IF(OR($A74="",$F74=""),"",IF($B74="입금",$F74,0))</f>
        <v/>
      </c>
      <c r="J74" s="16" t="str">
        <f aca="false">IF(OR($A74="",$F74=""),"",IF($B74="출금",$F74,0))</f>
        <v/>
      </c>
      <c r="K74" s="17" t="str">
        <f aca="false">IF($A74="","",COUNTIFS($A$3:$A74,$A74))</f>
        <v/>
      </c>
      <c r="L74" s="17" t="str">
        <f aca="false">IF($A74="","",TEXT($A74,"yyyymmdd")&amp;"|"&amp;$K74)</f>
        <v/>
      </c>
    </row>
    <row r="75" customFormat="false" ht="15" hidden="false" customHeight="true" outlineLevel="0" collapsed="false">
      <c r="A75" s="15"/>
      <c r="B75" s="10"/>
      <c r="C75" s="10"/>
      <c r="D75" s="10"/>
      <c r="E75" s="10"/>
      <c r="F75" s="11"/>
      <c r="G75" s="10"/>
      <c r="H75" s="10"/>
      <c r="I75" s="16" t="str">
        <f aca="false">IF(OR($A75="",$F75=""),"",IF($B75="입금",$F75,0))</f>
        <v/>
      </c>
      <c r="J75" s="16" t="str">
        <f aca="false">IF(OR($A75="",$F75=""),"",IF($B75="출금",$F75,0))</f>
        <v/>
      </c>
      <c r="K75" s="17" t="str">
        <f aca="false">IF($A75="","",COUNTIFS($A$3:$A75,$A75))</f>
        <v/>
      </c>
      <c r="L75" s="17" t="str">
        <f aca="false">IF($A75="","",TEXT($A75,"yyyymmdd")&amp;"|"&amp;$K75)</f>
        <v/>
      </c>
    </row>
    <row r="76" customFormat="false" ht="15" hidden="false" customHeight="true" outlineLevel="0" collapsed="false">
      <c r="A76" s="15"/>
      <c r="B76" s="10"/>
      <c r="C76" s="10"/>
      <c r="D76" s="10"/>
      <c r="E76" s="10"/>
      <c r="F76" s="11"/>
      <c r="G76" s="10"/>
      <c r="H76" s="10"/>
      <c r="I76" s="16" t="str">
        <f aca="false">IF(OR($A76="",$F76=""),"",IF($B76="입금",$F76,0))</f>
        <v/>
      </c>
      <c r="J76" s="16" t="str">
        <f aca="false">IF(OR($A76="",$F76=""),"",IF($B76="출금",$F76,0))</f>
        <v/>
      </c>
      <c r="K76" s="17" t="str">
        <f aca="false">IF($A76="","",COUNTIFS($A$3:$A76,$A76))</f>
        <v/>
      </c>
      <c r="L76" s="17" t="str">
        <f aca="false">IF($A76="","",TEXT($A76,"yyyymmdd")&amp;"|"&amp;$K76)</f>
        <v/>
      </c>
    </row>
    <row r="77" customFormat="false" ht="15" hidden="false" customHeight="true" outlineLevel="0" collapsed="false">
      <c r="A77" s="15"/>
      <c r="B77" s="10"/>
      <c r="C77" s="10"/>
      <c r="D77" s="10"/>
      <c r="E77" s="10"/>
      <c r="F77" s="11"/>
      <c r="G77" s="10"/>
      <c r="H77" s="10"/>
      <c r="I77" s="16" t="str">
        <f aca="false">IF(OR($A77="",$F77=""),"",IF($B77="입금",$F77,0))</f>
        <v/>
      </c>
      <c r="J77" s="16" t="str">
        <f aca="false">IF(OR($A77="",$F77=""),"",IF($B77="출금",$F77,0))</f>
        <v/>
      </c>
      <c r="K77" s="17" t="str">
        <f aca="false">IF($A77="","",COUNTIFS($A$3:$A77,$A77))</f>
        <v/>
      </c>
      <c r="L77" s="17" t="str">
        <f aca="false">IF($A77="","",TEXT($A77,"yyyymmdd")&amp;"|"&amp;$K77)</f>
        <v/>
      </c>
    </row>
    <row r="78" customFormat="false" ht="15" hidden="false" customHeight="true" outlineLevel="0" collapsed="false">
      <c r="A78" s="15"/>
      <c r="B78" s="10"/>
      <c r="C78" s="10"/>
      <c r="D78" s="10"/>
      <c r="E78" s="10"/>
      <c r="F78" s="11"/>
      <c r="G78" s="10"/>
      <c r="H78" s="10"/>
      <c r="I78" s="16" t="str">
        <f aca="false">IF(OR($A78="",$F78=""),"",IF($B78="입금",$F78,0))</f>
        <v/>
      </c>
      <c r="J78" s="16" t="str">
        <f aca="false">IF(OR($A78="",$F78=""),"",IF($B78="출금",$F78,0))</f>
        <v/>
      </c>
      <c r="K78" s="17" t="str">
        <f aca="false">IF($A78="","",COUNTIFS($A$3:$A78,$A78))</f>
        <v/>
      </c>
      <c r="L78" s="17" t="str">
        <f aca="false">IF($A78="","",TEXT($A78,"yyyymmdd")&amp;"|"&amp;$K78)</f>
        <v/>
      </c>
    </row>
    <row r="79" customFormat="false" ht="15" hidden="false" customHeight="true" outlineLevel="0" collapsed="false">
      <c r="A79" s="15"/>
      <c r="B79" s="10"/>
      <c r="C79" s="10"/>
      <c r="D79" s="10"/>
      <c r="E79" s="10"/>
      <c r="F79" s="11"/>
      <c r="G79" s="10"/>
      <c r="H79" s="10"/>
      <c r="I79" s="16" t="str">
        <f aca="false">IF(OR($A79="",$F79=""),"",IF($B79="입금",$F79,0))</f>
        <v/>
      </c>
      <c r="J79" s="16" t="str">
        <f aca="false">IF(OR($A79="",$F79=""),"",IF($B79="출금",$F79,0))</f>
        <v/>
      </c>
      <c r="K79" s="17" t="str">
        <f aca="false">IF($A79="","",COUNTIFS($A$3:$A79,$A79))</f>
        <v/>
      </c>
      <c r="L79" s="17" t="str">
        <f aca="false">IF($A79="","",TEXT($A79,"yyyymmdd")&amp;"|"&amp;$K79)</f>
        <v/>
      </c>
    </row>
    <row r="80" customFormat="false" ht="15" hidden="false" customHeight="true" outlineLevel="0" collapsed="false">
      <c r="A80" s="15"/>
      <c r="B80" s="10"/>
      <c r="C80" s="10"/>
      <c r="D80" s="10"/>
      <c r="E80" s="10"/>
      <c r="F80" s="11"/>
      <c r="G80" s="10"/>
      <c r="H80" s="10"/>
      <c r="I80" s="16" t="str">
        <f aca="false">IF(OR($A80="",$F80=""),"",IF($B80="입금",$F80,0))</f>
        <v/>
      </c>
      <c r="J80" s="16" t="str">
        <f aca="false">IF(OR($A80="",$F80=""),"",IF($B80="출금",$F80,0))</f>
        <v/>
      </c>
      <c r="K80" s="17" t="str">
        <f aca="false">IF($A80="","",COUNTIFS($A$3:$A80,$A80))</f>
        <v/>
      </c>
      <c r="L80" s="17" t="str">
        <f aca="false">IF($A80="","",TEXT($A80,"yyyymmdd")&amp;"|"&amp;$K80)</f>
        <v/>
      </c>
    </row>
    <row r="81" customFormat="false" ht="15" hidden="false" customHeight="true" outlineLevel="0" collapsed="false">
      <c r="A81" s="15"/>
      <c r="B81" s="10"/>
      <c r="C81" s="10"/>
      <c r="D81" s="10"/>
      <c r="E81" s="10"/>
      <c r="F81" s="11"/>
      <c r="G81" s="10"/>
      <c r="H81" s="10"/>
      <c r="I81" s="16" t="str">
        <f aca="false">IF(OR($A81="",$F81=""),"",IF($B81="입금",$F81,0))</f>
        <v/>
      </c>
      <c r="J81" s="16" t="str">
        <f aca="false">IF(OR($A81="",$F81=""),"",IF($B81="출금",$F81,0))</f>
        <v/>
      </c>
      <c r="K81" s="17" t="str">
        <f aca="false">IF($A81="","",COUNTIFS($A$3:$A81,$A81))</f>
        <v/>
      </c>
      <c r="L81" s="17" t="str">
        <f aca="false">IF($A81="","",TEXT($A81,"yyyymmdd")&amp;"|"&amp;$K81)</f>
        <v/>
      </c>
    </row>
    <row r="82" customFormat="false" ht="15" hidden="false" customHeight="true" outlineLevel="0" collapsed="false">
      <c r="A82" s="15"/>
      <c r="B82" s="10"/>
      <c r="C82" s="10"/>
      <c r="D82" s="10"/>
      <c r="E82" s="10"/>
      <c r="F82" s="11"/>
      <c r="G82" s="10"/>
      <c r="H82" s="10"/>
      <c r="I82" s="16" t="str">
        <f aca="false">IF(OR($A82="",$F82=""),"",IF($B82="입금",$F82,0))</f>
        <v/>
      </c>
      <c r="J82" s="16" t="str">
        <f aca="false">IF(OR($A82="",$F82=""),"",IF($B82="출금",$F82,0))</f>
        <v/>
      </c>
      <c r="K82" s="17" t="str">
        <f aca="false">IF($A82="","",COUNTIFS($A$3:$A82,$A82))</f>
        <v/>
      </c>
      <c r="L82" s="17" t="str">
        <f aca="false">IF($A82="","",TEXT($A82,"yyyymmdd")&amp;"|"&amp;$K82)</f>
        <v/>
      </c>
    </row>
    <row r="83" customFormat="false" ht="15" hidden="false" customHeight="true" outlineLevel="0" collapsed="false">
      <c r="A83" s="15"/>
      <c r="B83" s="10"/>
      <c r="C83" s="10"/>
      <c r="D83" s="10"/>
      <c r="E83" s="10"/>
      <c r="F83" s="11"/>
      <c r="G83" s="10"/>
      <c r="H83" s="10"/>
      <c r="I83" s="16" t="str">
        <f aca="false">IF(OR($A83="",$F83=""),"",IF($B83="입금",$F83,0))</f>
        <v/>
      </c>
      <c r="J83" s="16" t="str">
        <f aca="false">IF(OR($A83="",$F83=""),"",IF($B83="출금",$F83,0))</f>
        <v/>
      </c>
      <c r="K83" s="17" t="str">
        <f aca="false">IF($A83="","",COUNTIFS($A$3:$A83,$A83))</f>
        <v/>
      </c>
      <c r="L83" s="17" t="str">
        <f aca="false">IF($A83="","",TEXT($A83,"yyyymmdd")&amp;"|"&amp;$K83)</f>
        <v/>
      </c>
    </row>
    <row r="84" customFormat="false" ht="15" hidden="false" customHeight="true" outlineLevel="0" collapsed="false">
      <c r="A84" s="15"/>
      <c r="B84" s="10"/>
      <c r="C84" s="10"/>
      <c r="D84" s="10"/>
      <c r="E84" s="10"/>
      <c r="F84" s="11"/>
      <c r="G84" s="10"/>
      <c r="H84" s="10"/>
      <c r="I84" s="16" t="str">
        <f aca="false">IF(OR($A84="",$F84=""),"",IF($B84="입금",$F84,0))</f>
        <v/>
      </c>
      <c r="J84" s="16" t="str">
        <f aca="false">IF(OR($A84="",$F84=""),"",IF($B84="출금",$F84,0))</f>
        <v/>
      </c>
      <c r="K84" s="17" t="str">
        <f aca="false">IF($A84="","",COUNTIFS($A$3:$A84,$A84))</f>
        <v/>
      </c>
      <c r="L84" s="17" t="str">
        <f aca="false">IF($A84="","",TEXT($A84,"yyyymmdd")&amp;"|"&amp;$K84)</f>
        <v/>
      </c>
    </row>
    <row r="85" customFormat="false" ht="15" hidden="false" customHeight="true" outlineLevel="0" collapsed="false">
      <c r="A85" s="15"/>
      <c r="B85" s="10"/>
      <c r="C85" s="10"/>
      <c r="D85" s="10"/>
      <c r="E85" s="10"/>
      <c r="F85" s="11"/>
      <c r="G85" s="10"/>
      <c r="H85" s="10"/>
      <c r="I85" s="16" t="str">
        <f aca="false">IF(OR($A85="",$F85=""),"",IF($B85="입금",$F85,0))</f>
        <v/>
      </c>
      <c r="J85" s="16" t="str">
        <f aca="false">IF(OR($A85="",$F85=""),"",IF($B85="출금",$F85,0))</f>
        <v/>
      </c>
      <c r="K85" s="17" t="str">
        <f aca="false">IF($A85="","",COUNTIFS($A$3:$A85,$A85))</f>
        <v/>
      </c>
      <c r="L85" s="17" t="str">
        <f aca="false">IF($A85="","",TEXT($A85,"yyyymmdd")&amp;"|"&amp;$K85)</f>
        <v/>
      </c>
    </row>
    <row r="86" customFormat="false" ht="15" hidden="false" customHeight="true" outlineLevel="0" collapsed="false">
      <c r="A86" s="15"/>
      <c r="B86" s="10"/>
      <c r="C86" s="10"/>
      <c r="D86" s="10"/>
      <c r="E86" s="10"/>
      <c r="F86" s="11"/>
      <c r="G86" s="10"/>
      <c r="H86" s="10"/>
      <c r="I86" s="16" t="str">
        <f aca="false">IF(OR($A86="",$F86=""),"",IF($B86="입금",$F86,0))</f>
        <v/>
      </c>
      <c r="J86" s="16" t="str">
        <f aca="false">IF(OR($A86="",$F86=""),"",IF($B86="출금",$F86,0))</f>
        <v/>
      </c>
      <c r="K86" s="17" t="str">
        <f aca="false">IF($A86="","",COUNTIFS($A$3:$A86,$A86))</f>
        <v/>
      </c>
      <c r="L86" s="17" t="str">
        <f aca="false">IF($A86="","",TEXT($A86,"yyyymmdd")&amp;"|"&amp;$K86)</f>
        <v/>
      </c>
    </row>
    <row r="87" customFormat="false" ht="15" hidden="false" customHeight="true" outlineLevel="0" collapsed="false">
      <c r="A87" s="15"/>
      <c r="B87" s="10"/>
      <c r="C87" s="10"/>
      <c r="D87" s="10"/>
      <c r="E87" s="10"/>
      <c r="F87" s="11"/>
      <c r="G87" s="10"/>
      <c r="H87" s="10"/>
      <c r="I87" s="16" t="str">
        <f aca="false">IF(OR($A87="",$F87=""),"",IF($B87="입금",$F87,0))</f>
        <v/>
      </c>
      <c r="J87" s="16" t="str">
        <f aca="false">IF(OR($A87="",$F87=""),"",IF($B87="출금",$F87,0))</f>
        <v/>
      </c>
      <c r="K87" s="17" t="str">
        <f aca="false">IF($A87="","",COUNTIFS($A$3:$A87,$A87))</f>
        <v/>
      </c>
      <c r="L87" s="17" t="str">
        <f aca="false">IF($A87="","",TEXT($A87,"yyyymmdd")&amp;"|"&amp;$K87)</f>
        <v/>
      </c>
    </row>
    <row r="88" customFormat="false" ht="15" hidden="false" customHeight="true" outlineLevel="0" collapsed="false">
      <c r="A88" s="15"/>
      <c r="B88" s="10"/>
      <c r="C88" s="10"/>
      <c r="D88" s="10"/>
      <c r="E88" s="10"/>
      <c r="F88" s="11"/>
      <c r="G88" s="10"/>
      <c r="H88" s="10"/>
      <c r="I88" s="16" t="str">
        <f aca="false">IF(OR($A88="",$F88=""),"",IF($B88="입금",$F88,0))</f>
        <v/>
      </c>
      <c r="J88" s="16" t="str">
        <f aca="false">IF(OR($A88="",$F88=""),"",IF($B88="출금",$F88,0))</f>
        <v/>
      </c>
      <c r="K88" s="17" t="str">
        <f aca="false">IF($A88="","",COUNTIFS($A$3:$A88,$A88))</f>
        <v/>
      </c>
      <c r="L88" s="17" t="str">
        <f aca="false">IF($A88="","",TEXT($A88,"yyyymmdd")&amp;"|"&amp;$K88)</f>
        <v/>
      </c>
    </row>
    <row r="89" customFormat="false" ht="15" hidden="false" customHeight="true" outlineLevel="0" collapsed="false">
      <c r="A89" s="15"/>
      <c r="B89" s="10"/>
      <c r="C89" s="10"/>
      <c r="D89" s="10"/>
      <c r="E89" s="10"/>
      <c r="F89" s="11"/>
      <c r="G89" s="10"/>
      <c r="H89" s="10"/>
      <c r="I89" s="16" t="str">
        <f aca="false">IF(OR($A89="",$F89=""),"",IF($B89="입금",$F89,0))</f>
        <v/>
      </c>
      <c r="J89" s="16" t="str">
        <f aca="false">IF(OR($A89="",$F89=""),"",IF($B89="출금",$F89,0))</f>
        <v/>
      </c>
      <c r="K89" s="17" t="str">
        <f aca="false">IF($A89="","",COUNTIFS($A$3:$A89,$A89))</f>
        <v/>
      </c>
      <c r="L89" s="17" t="str">
        <f aca="false">IF($A89="","",TEXT($A89,"yyyymmdd")&amp;"|"&amp;$K89)</f>
        <v/>
      </c>
    </row>
    <row r="90" customFormat="false" ht="15" hidden="false" customHeight="true" outlineLevel="0" collapsed="false">
      <c r="A90" s="15"/>
      <c r="B90" s="10"/>
      <c r="C90" s="10"/>
      <c r="D90" s="10"/>
      <c r="E90" s="10"/>
      <c r="F90" s="11"/>
      <c r="G90" s="10"/>
      <c r="H90" s="10"/>
      <c r="I90" s="16" t="str">
        <f aca="false">IF(OR($A90="",$F90=""),"",IF($B90="입금",$F90,0))</f>
        <v/>
      </c>
      <c r="J90" s="16" t="str">
        <f aca="false">IF(OR($A90="",$F90=""),"",IF($B90="출금",$F90,0))</f>
        <v/>
      </c>
      <c r="K90" s="17" t="str">
        <f aca="false">IF($A90="","",COUNTIFS($A$3:$A90,$A90))</f>
        <v/>
      </c>
      <c r="L90" s="17" t="str">
        <f aca="false">IF($A90="","",TEXT($A90,"yyyymmdd")&amp;"|"&amp;$K90)</f>
        <v/>
      </c>
    </row>
    <row r="91" customFormat="false" ht="15" hidden="false" customHeight="true" outlineLevel="0" collapsed="false">
      <c r="A91" s="15"/>
      <c r="B91" s="10"/>
      <c r="C91" s="10"/>
      <c r="D91" s="10"/>
      <c r="E91" s="10"/>
      <c r="F91" s="11"/>
      <c r="G91" s="10"/>
      <c r="H91" s="10"/>
      <c r="I91" s="16" t="str">
        <f aca="false">IF(OR($A91="",$F91=""),"",IF($B91="입금",$F91,0))</f>
        <v/>
      </c>
      <c r="J91" s="16" t="str">
        <f aca="false">IF(OR($A91="",$F91=""),"",IF($B91="출금",$F91,0))</f>
        <v/>
      </c>
      <c r="K91" s="17" t="str">
        <f aca="false">IF($A91="","",COUNTIFS($A$3:$A91,$A91))</f>
        <v/>
      </c>
      <c r="L91" s="17" t="str">
        <f aca="false">IF($A91="","",TEXT($A91,"yyyymmdd")&amp;"|"&amp;$K91)</f>
        <v/>
      </c>
    </row>
    <row r="92" customFormat="false" ht="15" hidden="false" customHeight="true" outlineLevel="0" collapsed="false">
      <c r="A92" s="15"/>
      <c r="B92" s="10"/>
      <c r="C92" s="10"/>
      <c r="D92" s="10"/>
      <c r="E92" s="10"/>
      <c r="F92" s="11"/>
      <c r="G92" s="10"/>
      <c r="H92" s="10"/>
      <c r="I92" s="16" t="str">
        <f aca="false">IF(OR($A92="",$F92=""),"",IF($B92="입금",$F92,0))</f>
        <v/>
      </c>
      <c r="J92" s="16" t="str">
        <f aca="false">IF(OR($A92="",$F92=""),"",IF($B92="출금",$F92,0))</f>
        <v/>
      </c>
      <c r="K92" s="17" t="str">
        <f aca="false">IF($A92="","",COUNTIFS($A$3:$A92,$A92))</f>
        <v/>
      </c>
      <c r="L92" s="17" t="str">
        <f aca="false">IF($A92="","",TEXT($A92,"yyyymmdd")&amp;"|"&amp;$K92)</f>
        <v/>
      </c>
    </row>
    <row r="93" customFormat="false" ht="15" hidden="false" customHeight="true" outlineLevel="0" collapsed="false">
      <c r="A93" s="15"/>
      <c r="B93" s="10"/>
      <c r="C93" s="10"/>
      <c r="D93" s="10"/>
      <c r="E93" s="10"/>
      <c r="F93" s="11"/>
      <c r="G93" s="10"/>
      <c r="H93" s="10"/>
      <c r="I93" s="16" t="str">
        <f aca="false">IF(OR($A93="",$F93=""),"",IF($B93="입금",$F93,0))</f>
        <v/>
      </c>
      <c r="J93" s="16" t="str">
        <f aca="false">IF(OR($A93="",$F93=""),"",IF($B93="출금",$F93,0))</f>
        <v/>
      </c>
      <c r="K93" s="17" t="str">
        <f aca="false">IF($A93="","",COUNTIFS($A$3:$A93,$A93))</f>
        <v/>
      </c>
      <c r="L93" s="17" t="str">
        <f aca="false">IF($A93="","",TEXT($A93,"yyyymmdd")&amp;"|"&amp;$K93)</f>
        <v/>
      </c>
    </row>
    <row r="94" customFormat="false" ht="15" hidden="false" customHeight="true" outlineLevel="0" collapsed="false">
      <c r="A94" s="15"/>
      <c r="B94" s="10"/>
      <c r="C94" s="10"/>
      <c r="D94" s="10"/>
      <c r="E94" s="10"/>
      <c r="F94" s="11"/>
      <c r="G94" s="10"/>
      <c r="H94" s="10"/>
      <c r="I94" s="16" t="str">
        <f aca="false">IF(OR($A94="",$F94=""),"",IF($B94="입금",$F94,0))</f>
        <v/>
      </c>
      <c r="J94" s="16" t="str">
        <f aca="false">IF(OR($A94="",$F94=""),"",IF($B94="출금",$F94,0))</f>
        <v/>
      </c>
      <c r="K94" s="17" t="str">
        <f aca="false">IF($A94="","",COUNTIFS($A$3:$A94,$A94))</f>
        <v/>
      </c>
      <c r="L94" s="17" t="str">
        <f aca="false">IF($A94="","",TEXT($A94,"yyyymmdd")&amp;"|"&amp;$K94)</f>
        <v/>
      </c>
    </row>
    <row r="95" customFormat="false" ht="15" hidden="false" customHeight="true" outlineLevel="0" collapsed="false">
      <c r="A95" s="15"/>
      <c r="B95" s="10"/>
      <c r="C95" s="10"/>
      <c r="D95" s="10"/>
      <c r="E95" s="10"/>
      <c r="F95" s="11"/>
      <c r="G95" s="10"/>
      <c r="H95" s="10"/>
      <c r="I95" s="16" t="str">
        <f aca="false">IF(OR($A95="",$F95=""),"",IF($B95="입금",$F95,0))</f>
        <v/>
      </c>
      <c r="J95" s="16" t="str">
        <f aca="false">IF(OR($A95="",$F95=""),"",IF($B95="출금",$F95,0))</f>
        <v/>
      </c>
      <c r="K95" s="17" t="str">
        <f aca="false">IF($A95="","",COUNTIFS($A$3:$A95,$A95))</f>
        <v/>
      </c>
      <c r="L95" s="17" t="str">
        <f aca="false">IF($A95="","",TEXT($A95,"yyyymmdd")&amp;"|"&amp;$K95)</f>
        <v/>
      </c>
    </row>
    <row r="96" customFormat="false" ht="15" hidden="false" customHeight="true" outlineLevel="0" collapsed="false">
      <c r="A96" s="15"/>
      <c r="B96" s="10"/>
      <c r="C96" s="10"/>
      <c r="D96" s="10"/>
      <c r="E96" s="10"/>
      <c r="F96" s="11"/>
      <c r="G96" s="10"/>
      <c r="H96" s="10"/>
      <c r="I96" s="16" t="str">
        <f aca="false">IF(OR($A96="",$F96=""),"",IF($B96="입금",$F96,0))</f>
        <v/>
      </c>
      <c r="J96" s="16" t="str">
        <f aca="false">IF(OR($A96="",$F96=""),"",IF($B96="출금",$F96,0))</f>
        <v/>
      </c>
      <c r="K96" s="17" t="str">
        <f aca="false">IF($A96="","",COUNTIFS($A$3:$A96,$A96))</f>
        <v/>
      </c>
      <c r="L96" s="17" t="str">
        <f aca="false">IF($A96="","",TEXT($A96,"yyyymmdd")&amp;"|"&amp;$K96)</f>
        <v/>
      </c>
    </row>
    <row r="97" customFormat="false" ht="15" hidden="false" customHeight="true" outlineLevel="0" collapsed="false">
      <c r="A97" s="15"/>
      <c r="B97" s="10"/>
      <c r="C97" s="10"/>
      <c r="D97" s="10"/>
      <c r="E97" s="10"/>
      <c r="F97" s="11"/>
      <c r="G97" s="10"/>
      <c r="H97" s="10"/>
      <c r="I97" s="16" t="str">
        <f aca="false">IF(OR($A97="",$F97=""),"",IF($B97="입금",$F97,0))</f>
        <v/>
      </c>
      <c r="J97" s="16" t="str">
        <f aca="false">IF(OR($A97="",$F97=""),"",IF($B97="출금",$F97,0))</f>
        <v/>
      </c>
      <c r="K97" s="17" t="str">
        <f aca="false">IF($A97="","",COUNTIFS($A$3:$A97,$A97))</f>
        <v/>
      </c>
      <c r="L97" s="17" t="str">
        <f aca="false">IF($A97="","",TEXT($A97,"yyyymmdd")&amp;"|"&amp;$K97)</f>
        <v/>
      </c>
    </row>
    <row r="98" customFormat="false" ht="15" hidden="false" customHeight="true" outlineLevel="0" collapsed="false">
      <c r="A98" s="15"/>
      <c r="B98" s="10"/>
      <c r="C98" s="10"/>
      <c r="D98" s="10"/>
      <c r="E98" s="10"/>
      <c r="F98" s="11"/>
      <c r="G98" s="10"/>
      <c r="H98" s="10"/>
      <c r="I98" s="16" t="str">
        <f aca="false">IF(OR($A98="",$F98=""),"",IF($B98="입금",$F98,0))</f>
        <v/>
      </c>
      <c r="J98" s="16" t="str">
        <f aca="false">IF(OR($A98="",$F98=""),"",IF($B98="출금",$F98,0))</f>
        <v/>
      </c>
      <c r="K98" s="17" t="str">
        <f aca="false">IF($A98="","",COUNTIFS($A$3:$A98,$A98))</f>
        <v/>
      </c>
      <c r="L98" s="17" t="str">
        <f aca="false">IF($A98="","",TEXT($A98,"yyyymmdd")&amp;"|"&amp;$K98)</f>
        <v/>
      </c>
    </row>
    <row r="99" customFormat="false" ht="15" hidden="false" customHeight="true" outlineLevel="0" collapsed="false">
      <c r="A99" s="15"/>
      <c r="B99" s="10"/>
      <c r="C99" s="10"/>
      <c r="D99" s="10"/>
      <c r="E99" s="10"/>
      <c r="F99" s="11"/>
      <c r="G99" s="10"/>
      <c r="H99" s="10"/>
      <c r="I99" s="16" t="str">
        <f aca="false">IF(OR($A99="",$F99=""),"",IF($B99="입금",$F99,0))</f>
        <v/>
      </c>
      <c r="J99" s="16" t="str">
        <f aca="false">IF(OR($A99="",$F99=""),"",IF($B99="출금",$F99,0))</f>
        <v/>
      </c>
      <c r="K99" s="17" t="str">
        <f aca="false">IF($A99="","",COUNTIFS($A$3:$A99,$A99))</f>
        <v/>
      </c>
      <c r="L99" s="17" t="str">
        <f aca="false">IF($A99="","",TEXT($A99,"yyyymmdd")&amp;"|"&amp;$K99)</f>
        <v/>
      </c>
    </row>
    <row r="100" customFormat="false" ht="15" hidden="false" customHeight="true" outlineLevel="0" collapsed="false">
      <c r="A100" s="15"/>
      <c r="B100" s="10"/>
      <c r="C100" s="10"/>
      <c r="D100" s="10"/>
      <c r="E100" s="10"/>
      <c r="F100" s="11"/>
      <c r="G100" s="10"/>
      <c r="H100" s="10"/>
      <c r="I100" s="16" t="str">
        <f aca="false">IF(OR($A100="",$F100=""),"",IF($B100="입금",$F100,0))</f>
        <v/>
      </c>
      <c r="J100" s="16" t="str">
        <f aca="false">IF(OR($A100="",$F100=""),"",IF($B100="출금",$F100,0))</f>
        <v/>
      </c>
      <c r="K100" s="17" t="str">
        <f aca="false">IF($A100="","",COUNTIFS($A$3:$A100,$A100))</f>
        <v/>
      </c>
      <c r="L100" s="17" t="str">
        <f aca="false">IF($A100="","",TEXT($A100,"yyyymmdd")&amp;"|"&amp;$K100)</f>
        <v/>
      </c>
    </row>
    <row r="101" customFormat="false" ht="15" hidden="false" customHeight="true" outlineLevel="0" collapsed="false">
      <c r="A101" s="15"/>
      <c r="B101" s="10"/>
      <c r="C101" s="10"/>
      <c r="D101" s="10"/>
      <c r="E101" s="10"/>
      <c r="F101" s="11"/>
      <c r="G101" s="10"/>
      <c r="H101" s="10"/>
      <c r="I101" s="16" t="str">
        <f aca="false">IF(OR($A101="",$F101=""),"",IF($B101="입금",$F101,0))</f>
        <v/>
      </c>
      <c r="J101" s="16" t="str">
        <f aca="false">IF(OR($A101="",$F101=""),"",IF($B101="출금",$F101,0))</f>
        <v/>
      </c>
      <c r="K101" s="17" t="str">
        <f aca="false">IF($A101="","",COUNTIFS($A$3:$A101,$A101))</f>
        <v/>
      </c>
      <c r="L101" s="17" t="str">
        <f aca="false">IF($A101="","",TEXT($A101,"yyyymmdd")&amp;"|"&amp;$K101)</f>
        <v/>
      </c>
    </row>
    <row r="102" customFormat="false" ht="15" hidden="false" customHeight="true" outlineLevel="0" collapsed="false">
      <c r="A102" s="15"/>
      <c r="B102" s="10"/>
      <c r="C102" s="10"/>
      <c r="D102" s="10"/>
      <c r="E102" s="10"/>
      <c r="F102" s="11"/>
      <c r="G102" s="10"/>
      <c r="H102" s="10"/>
      <c r="I102" s="16" t="str">
        <f aca="false">IF(OR($A102="",$F102=""),"",IF($B102="입금",$F102,0))</f>
        <v/>
      </c>
      <c r="J102" s="16" t="str">
        <f aca="false">IF(OR($A102="",$F102=""),"",IF($B102="출금",$F102,0))</f>
        <v/>
      </c>
      <c r="K102" s="17" t="str">
        <f aca="false">IF($A102="","",COUNTIFS($A$3:$A102,$A102))</f>
        <v/>
      </c>
      <c r="L102" s="17" t="str">
        <f aca="false">IF($A102="","",TEXT($A102,"yyyymmdd")&amp;"|"&amp;$K102)</f>
        <v/>
      </c>
    </row>
    <row r="103" customFormat="false" ht="15" hidden="false" customHeight="true" outlineLevel="0" collapsed="false">
      <c r="A103" s="15"/>
      <c r="B103" s="10"/>
      <c r="C103" s="10"/>
      <c r="D103" s="10"/>
      <c r="E103" s="10"/>
      <c r="F103" s="11"/>
      <c r="G103" s="10"/>
      <c r="H103" s="10"/>
      <c r="I103" s="16" t="str">
        <f aca="false">IF(OR($A103="",$F103=""),"",IF($B103="입금",$F103,0))</f>
        <v/>
      </c>
      <c r="J103" s="16" t="str">
        <f aca="false">IF(OR($A103="",$F103=""),"",IF($B103="출금",$F103,0))</f>
        <v/>
      </c>
      <c r="K103" s="17" t="str">
        <f aca="false">IF($A103="","",COUNTIFS($A$3:$A103,$A103))</f>
        <v/>
      </c>
      <c r="L103" s="17" t="str">
        <f aca="false">IF($A103="","",TEXT($A103,"yyyymmdd")&amp;"|"&amp;$K103)</f>
        <v/>
      </c>
    </row>
    <row r="104" customFormat="false" ht="15" hidden="false" customHeight="true" outlineLevel="0" collapsed="false">
      <c r="A104" s="15"/>
      <c r="B104" s="10"/>
      <c r="C104" s="10"/>
      <c r="D104" s="10"/>
      <c r="E104" s="10"/>
      <c r="F104" s="11"/>
      <c r="G104" s="10"/>
      <c r="H104" s="10"/>
      <c r="I104" s="16" t="str">
        <f aca="false">IF(OR($A104="",$F104=""),"",IF($B104="입금",$F104,0))</f>
        <v/>
      </c>
      <c r="J104" s="16" t="str">
        <f aca="false">IF(OR($A104="",$F104=""),"",IF($B104="출금",$F104,0))</f>
        <v/>
      </c>
      <c r="K104" s="17" t="str">
        <f aca="false">IF($A104="","",COUNTIFS($A$3:$A104,$A104))</f>
        <v/>
      </c>
      <c r="L104" s="17" t="str">
        <f aca="false">IF($A104="","",TEXT($A104,"yyyymmdd")&amp;"|"&amp;$K104)</f>
        <v/>
      </c>
    </row>
    <row r="105" customFormat="false" ht="15" hidden="false" customHeight="true" outlineLevel="0" collapsed="false">
      <c r="A105" s="15"/>
      <c r="B105" s="10"/>
      <c r="C105" s="10"/>
      <c r="D105" s="10"/>
      <c r="E105" s="10"/>
      <c r="F105" s="11"/>
      <c r="G105" s="10"/>
      <c r="H105" s="10"/>
      <c r="I105" s="16" t="str">
        <f aca="false">IF(OR($A105="",$F105=""),"",IF($B105="입금",$F105,0))</f>
        <v/>
      </c>
      <c r="J105" s="16" t="str">
        <f aca="false">IF(OR($A105="",$F105=""),"",IF($B105="출금",$F105,0))</f>
        <v/>
      </c>
      <c r="K105" s="17" t="str">
        <f aca="false">IF($A105="","",COUNTIFS($A$3:$A105,$A105))</f>
        <v/>
      </c>
      <c r="L105" s="17" t="str">
        <f aca="false">IF($A105="","",TEXT($A105,"yyyymmdd")&amp;"|"&amp;$K105)</f>
        <v/>
      </c>
    </row>
    <row r="106" customFormat="false" ht="15" hidden="false" customHeight="true" outlineLevel="0" collapsed="false">
      <c r="A106" s="15"/>
      <c r="B106" s="10"/>
      <c r="C106" s="10"/>
      <c r="D106" s="10"/>
      <c r="E106" s="10"/>
      <c r="F106" s="11"/>
      <c r="G106" s="10"/>
      <c r="H106" s="10"/>
      <c r="I106" s="16" t="str">
        <f aca="false">IF(OR($A106="",$F106=""),"",IF($B106="입금",$F106,0))</f>
        <v/>
      </c>
      <c r="J106" s="16" t="str">
        <f aca="false">IF(OR($A106="",$F106=""),"",IF($B106="출금",$F106,0))</f>
        <v/>
      </c>
      <c r="K106" s="17" t="str">
        <f aca="false">IF($A106="","",COUNTIFS($A$3:$A106,$A106))</f>
        <v/>
      </c>
      <c r="L106" s="17" t="str">
        <f aca="false">IF($A106="","",TEXT($A106,"yyyymmdd")&amp;"|"&amp;$K106)</f>
        <v/>
      </c>
    </row>
    <row r="107" customFormat="false" ht="15" hidden="false" customHeight="true" outlineLevel="0" collapsed="false">
      <c r="A107" s="15"/>
      <c r="B107" s="10"/>
      <c r="C107" s="10"/>
      <c r="D107" s="10"/>
      <c r="E107" s="10"/>
      <c r="F107" s="11"/>
      <c r="G107" s="10"/>
      <c r="H107" s="10"/>
      <c r="I107" s="16" t="str">
        <f aca="false">IF(OR($A107="",$F107=""),"",IF($B107="입금",$F107,0))</f>
        <v/>
      </c>
      <c r="J107" s="16" t="str">
        <f aca="false">IF(OR($A107="",$F107=""),"",IF($B107="출금",$F107,0))</f>
        <v/>
      </c>
      <c r="K107" s="17" t="str">
        <f aca="false">IF($A107="","",COUNTIFS($A$3:$A107,$A107))</f>
        <v/>
      </c>
      <c r="L107" s="17" t="str">
        <f aca="false">IF($A107="","",TEXT($A107,"yyyymmdd")&amp;"|"&amp;$K107)</f>
        <v/>
      </c>
    </row>
    <row r="108" customFormat="false" ht="15" hidden="false" customHeight="true" outlineLevel="0" collapsed="false">
      <c r="A108" s="15"/>
      <c r="B108" s="10"/>
      <c r="C108" s="10"/>
      <c r="D108" s="10"/>
      <c r="E108" s="10"/>
      <c r="F108" s="11"/>
      <c r="G108" s="10"/>
      <c r="H108" s="10"/>
      <c r="I108" s="16" t="str">
        <f aca="false">IF(OR($A108="",$F108=""),"",IF($B108="입금",$F108,0))</f>
        <v/>
      </c>
      <c r="J108" s="16" t="str">
        <f aca="false">IF(OR($A108="",$F108=""),"",IF($B108="출금",$F108,0))</f>
        <v/>
      </c>
      <c r="K108" s="17" t="str">
        <f aca="false">IF($A108="","",COUNTIFS($A$3:$A108,$A108))</f>
        <v/>
      </c>
      <c r="L108" s="17" t="str">
        <f aca="false">IF($A108="","",TEXT($A108,"yyyymmdd")&amp;"|"&amp;$K108)</f>
        <v/>
      </c>
    </row>
    <row r="109" customFormat="false" ht="15" hidden="false" customHeight="true" outlineLevel="0" collapsed="false">
      <c r="A109" s="15"/>
      <c r="B109" s="10"/>
      <c r="C109" s="10"/>
      <c r="D109" s="10"/>
      <c r="E109" s="10"/>
      <c r="F109" s="11"/>
      <c r="G109" s="10"/>
      <c r="H109" s="10"/>
      <c r="I109" s="16" t="str">
        <f aca="false">IF(OR($A109="",$F109=""),"",IF($B109="입금",$F109,0))</f>
        <v/>
      </c>
      <c r="J109" s="16" t="str">
        <f aca="false">IF(OR($A109="",$F109=""),"",IF($B109="출금",$F109,0))</f>
        <v/>
      </c>
      <c r="K109" s="17" t="str">
        <f aca="false">IF($A109="","",COUNTIFS($A$3:$A109,$A109))</f>
        <v/>
      </c>
      <c r="L109" s="17" t="str">
        <f aca="false">IF($A109="","",TEXT($A109,"yyyymmdd")&amp;"|"&amp;$K109)</f>
        <v/>
      </c>
    </row>
    <row r="110" customFormat="false" ht="15" hidden="false" customHeight="true" outlineLevel="0" collapsed="false">
      <c r="A110" s="15"/>
      <c r="B110" s="10"/>
      <c r="C110" s="10"/>
      <c r="D110" s="10"/>
      <c r="E110" s="10"/>
      <c r="F110" s="11"/>
      <c r="G110" s="10"/>
      <c r="H110" s="10"/>
      <c r="I110" s="16" t="str">
        <f aca="false">IF(OR($A110="",$F110=""),"",IF($B110="입금",$F110,0))</f>
        <v/>
      </c>
      <c r="J110" s="16" t="str">
        <f aca="false">IF(OR($A110="",$F110=""),"",IF($B110="출금",$F110,0))</f>
        <v/>
      </c>
      <c r="K110" s="17" t="str">
        <f aca="false">IF($A110="","",COUNTIFS($A$3:$A110,$A110))</f>
        <v/>
      </c>
      <c r="L110" s="17" t="str">
        <f aca="false">IF($A110="","",TEXT($A110,"yyyymmdd")&amp;"|"&amp;$K110)</f>
        <v/>
      </c>
    </row>
    <row r="111" customFormat="false" ht="15" hidden="false" customHeight="true" outlineLevel="0" collapsed="false">
      <c r="A111" s="15"/>
      <c r="B111" s="10"/>
      <c r="C111" s="10"/>
      <c r="D111" s="10"/>
      <c r="E111" s="10"/>
      <c r="F111" s="11"/>
      <c r="G111" s="10"/>
      <c r="H111" s="10"/>
      <c r="I111" s="16" t="str">
        <f aca="false">IF(OR($A111="",$F111=""),"",IF($B111="입금",$F111,0))</f>
        <v/>
      </c>
      <c r="J111" s="16" t="str">
        <f aca="false">IF(OR($A111="",$F111=""),"",IF($B111="출금",$F111,0))</f>
        <v/>
      </c>
      <c r="K111" s="17" t="str">
        <f aca="false">IF($A111="","",COUNTIFS($A$3:$A111,$A111))</f>
        <v/>
      </c>
      <c r="L111" s="17" t="str">
        <f aca="false">IF($A111="","",TEXT($A111,"yyyymmdd")&amp;"|"&amp;$K111)</f>
        <v/>
      </c>
    </row>
    <row r="112" customFormat="false" ht="15" hidden="false" customHeight="true" outlineLevel="0" collapsed="false">
      <c r="A112" s="15"/>
      <c r="B112" s="10"/>
      <c r="C112" s="10"/>
      <c r="D112" s="10"/>
      <c r="E112" s="10"/>
      <c r="F112" s="11"/>
      <c r="G112" s="10"/>
      <c r="H112" s="10"/>
      <c r="I112" s="16" t="str">
        <f aca="false">IF(OR($A112="",$F112=""),"",IF($B112="입금",$F112,0))</f>
        <v/>
      </c>
      <c r="J112" s="16" t="str">
        <f aca="false">IF(OR($A112="",$F112=""),"",IF($B112="출금",$F112,0))</f>
        <v/>
      </c>
      <c r="K112" s="17" t="str">
        <f aca="false">IF($A112="","",COUNTIFS($A$3:$A112,$A112))</f>
        <v/>
      </c>
      <c r="L112" s="17" t="str">
        <f aca="false">IF($A112="","",TEXT($A112,"yyyymmdd")&amp;"|"&amp;$K112)</f>
        <v/>
      </c>
    </row>
    <row r="113" customFormat="false" ht="15" hidden="false" customHeight="true" outlineLevel="0" collapsed="false">
      <c r="A113" s="15"/>
      <c r="B113" s="10"/>
      <c r="C113" s="10"/>
      <c r="D113" s="10"/>
      <c r="E113" s="10"/>
      <c r="F113" s="11"/>
      <c r="G113" s="10"/>
      <c r="H113" s="10"/>
      <c r="I113" s="16" t="str">
        <f aca="false">IF(OR($A113="",$F113=""),"",IF($B113="입금",$F113,0))</f>
        <v/>
      </c>
      <c r="J113" s="16" t="str">
        <f aca="false">IF(OR($A113="",$F113=""),"",IF($B113="출금",$F113,0))</f>
        <v/>
      </c>
      <c r="K113" s="17" t="str">
        <f aca="false">IF($A113="","",COUNTIFS($A$3:$A113,$A113))</f>
        <v/>
      </c>
      <c r="L113" s="17" t="str">
        <f aca="false">IF($A113="","",TEXT($A113,"yyyymmdd")&amp;"|"&amp;$K113)</f>
        <v/>
      </c>
    </row>
    <row r="114" customFormat="false" ht="15" hidden="false" customHeight="true" outlineLevel="0" collapsed="false">
      <c r="A114" s="15"/>
      <c r="B114" s="10"/>
      <c r="C114" s="10"/>
      <c r="D114" s="10"/>
      <c r="E114" s="10"/>
      <c r="F114" s="11"/>
      <c r="G114" s="10"/>
      <c r="H114" s="10"/>
      <c r="I114" s="16" t="str">
        <f aca="false">IF(OR($A114="",$F114=""),"",IF($B114="입금",$F114,0))</f>
        <v/>
      </c>
      <c r="J114" s="16" t="str">
        <f aca="false">IF(OR($A114="",$F114=""),"",IF($B114="출금",$F114,0))</f>
        <v/>
      </c>
      <c r="K114" s="17" t="str">
        <f aca="false">IF($A114="","",COUNTIFS($A$3:$A114,$A114))</f>
        <v/>
      </c>
      <c r="L114" s="17" t="str">
        <f aca="false">IF($A114="","",TEXT($A114,"yyyymmdd")&amp;"|"&amp;$K114)</f>
        <v/>
      </c>
    </row>
    <row r="115" customFormat="false" ht="15" hidden="false" customHeight="true" outlineLevel="0" collapsed="false">
      <c r="A115" s="15"/>
      <c r="B115" s="10"/>
      <c r="C115" s="10"/>
      <c r="D115" s="10"/>
      <c r="E115" s="10"/>
      <c r="F115" s="11"/>
      <c r="G115" s="10"/>
      <c r="H115" s="10"/>
      <c r="I115" s="16" t="str">
        <f aca="false">IF(OR($A115="",$F115=""),"",IF($B115="입금",$F115,0))</f>
        <v/>
      </c>
      <c r="J115" s="16" t="str">
        <f aca="false">IF(OR($A115="",$F115=""),"",IF($B115="출금",$F115,0))</f>
        <v/>
      </c>
      <c r="K115" s="17" t="str">
        <f aca="false">IF($A115="","",COUNTIFS($A$3:$A115,$A115))</f>
        <v/>
      </c>
      <c r="L115" s="17" t="str">
        <f aca="false">IF($A115="","",TEXT($A115,"yyyymmdd")&amp;"|"&amp;$K115)</f>
        <v/>
      </c>
    </row>
    <row r="116" customFormat="false" ht="15" hidden="false" customHeight="true" outlineLevel="0" collapsed="false">
      <c r="A116" s="15"/>
      <c r="B116" s="10"/>
      <c r="C116" s="10"/>
      <c r="D116" s="10"/>
      <c r="E116" s="10"/>
      <c r="F116" s="11"/>
      <c r="G116" s="10"/>
      <c r="H116" s="10"/>
      <c r="I116" s="16" t="str">
        <f aca="false">IF(OR($A116="",$F116=""),"",IF($B116="입금",$F116,0))</f>
        <v/>
      </c>
      <c r="J116" s="16" t="str">
        <f aca="false">IF(OR($A116="",$F116=""),"",IF($B116="출금",$F116,0))</f>
        <v/>
      </c>
      <c r="K116" s="17" t="str">
        <f aca="false">IF($A116="","",COUNTIFS($A$3:$A116,$A116))</f>
        <v/>
      </c>
      <c r="L116" s="17" t="str">
        <f aca="false">IF($A116="","",TEXT($A116,"yyyymmdd")&amp;"|"&amp;$K116)</f>
        <v/>
      </c>
    </row>
    <row r="117" customFormat="false" ht="15" hidden="false" customHeight="true" outlineLevel="0" collapsed="false">
      <c r="A117" s="15"/>
      <c r="B117" s="10"/>
      <c r="C117" s="10"/>
      <c r="D117" s="10"/>
      <c r="E117" s="10"/>
      <c r="F117" s="11"/>
      <c r="G117" s="10"/>
      <c r="H117" s="10"/>
      <c r="I117" s="16" t="str">
        <f aca="false">IF(OR($A117="",$F117=""),"",IF($B117="입금",$F117,0))</f>
        <v/>
      </c>
      <c r="J117" s="16" t="str">
        <f aca="false">IF(OR($A117="",$F117=""),"",IF($B117="출금",$F117,0))</f>
        <v/>
      </c>
      <c r="K117" s="17" t="str">
        <f aca="false">IF($A117="","",COUNTIFS($A$3:$A117,$A117))</f>
        <v/>
      </c>
      <c r="L117" s="17" t="str">
        <f aca="false">IF($A117="","",TEXT($A117,"yyyymmdd")&amp;"|"&amp;$K117)</f>
        <v/>
      </c>
    </row>
    <row r="118" customFormat="false" ht="15" hidden="false" customHeight="true" outlineLevel="0" collapsed="false">
      <c r="A118" s="15"/>
      <c r="B118" s="10"/>
      <c r="C118" s="10"/>
      <c r="D118" s="10"/>
      <c r="E118" s="10"/>
      <c r="F118" s="11"/>
      <c r="G118" s="10"/>
      <c r="H118" s="10"/>
      <c r="I118" s="16" t="str">
        <f aca="false">IF(OR($A118="",$F118=""),"",IF($B118="입금",$F118,0))</f>
        <v/>
      </c>
      <c r="J118" s="16" t="str">
        <f aca="false">IF(OR($A118="",$F118=""),"",IF($B118="출금",$F118,0))</f>
        <v/>
      </c>
      <c r="K118" s="17" t="str">
        <f aca="false">IF($A118="","",COUNTIFS($A$3:$A118,$A118))</f>
        <v/>
      </c>
      <c r="L118" s="17" t="str">
        <f aca="false">IF($A118="","",TEXT($A118,"yyyymmdd")&amp;"|"&amp;$K118)</f>
        <v/>
      </c>
    </row>
    <row r="119" customFormat="false" ht="15" hidden="false" customHeight="true" outlineLevel="0" collapsed="false">
      <c r="A119" s="15"/>
      <c r="B119" s="10"/>
      <c r="C119" s="10"/>
      <c r="D119" s="10"/>
      <c r="E119" s="10"/>
      <c r="F119" s="11"/>
      <c r="G119" s="10"/>
      <c r="H119" s="10"/>
      <c r="I119" s="16" t="str">
        <f aca="false">IF(OR($A119="",$F119=""),"",IF($B119="입금",$F119,0))</f>
        <v/>
      </c>
      <c r="J119" s="16" t="str">
        <f aca="false">IF(OR($A119="",$F119=""),"",IF($B119="출금",$F119,0))</f>
        <v/>
      </c>
      <c r="K119" s="17" t="str">
        <f aca="false">IF($A119="","",COUNTIFS($A$3:$A119,$A119))</f>
        <v/>
      </c>
      <c r="L119" s="17" t="str">
        <f aca="false">IF($A119="","",TEXT($A119,"yyyymmdd")&amp;"|"&amp;$K119)</f>
        <v/>
      </c>
    </row>
    <row r="120" customFormat="false" ht="15" hidden="false" customHeight="true" outlineLevel="0" collapsed="false">
      <c r="A120" s="15"/>
      <c r="B120" s="10"/>
      <c r="C120" s="10"/>
      <c r="D120" s="10"/>
      <c r="E120" s="10"/>
      <c r="F120" s="11"/>
      <c r="G120" s="10"/>
      <c r="H120" s="10"/>
      <c r="I120" s="16" t="str">
        <f aca="false">IF(OR($A120="",$F120=""),"",IF($B120="입금",$F120,0))</f>
        <v/>
      </c>
      <c r="J120" s="16" t="str">
        <f aca="false">IF(OR($A120="",$F120=""),"",IF($B120="출금",$F120,0))</f>
        <v/>
      </c>
      <c r="K120" s="17" t="str">
        <f aca="false">IF($A120="","",COUNTIFS($A$3:$A120,$A120))</f>
        <v/>
      </c>
      <c r="L120" s="17" t="str">
        <f aca="false">IF($A120="","",TEXT($A120,"yyyymmdd")&amp;"|"&amp;$K120)</f>
        <v/>
      </c>
    </row>
    <row r="121" customFormat="false" ht="15" hidden="false" customHeight="true" outlineLevel="0" collapsed="false">
      <c r="A121" s="15"/>
      <c r="B121" s="10"/>
      <c r="C121" s="10"/>
      <c r="D121" s="10"/>
      <c r="E121" s="10"/>
      <c r="F121" s="11"/>
      <c r="G121" s="10"/>
      <c r="H121" s="10"/>
      <c r="I121" s="16" t="str">
        <f aca="false">IF(OR($A121="",$F121=""),"",IF($B121="입금",$F121,0))</f>
        <v/>
      </c>
      <c r="J121" s="16" t="str">
        <f aca="false">IF(OR($A121="",$F121=""),"",IF($B121="출금",$F121,0))</f>
        <v/>
      </c>
      <c r="K121" s="17" t="str">
        <f aca="false">IF($A121="","",COUNTIFS($A$3:$A121,$A121))</f>
        <v/>
      </c>
      <c r="L121" s="17" t="str">
        <f aca="false">IF($A121="","",TEXT($A121,"yyyymmdd")&amp;"|"&amp;$K121)</f>
        <v/>
      </c>
    </row>
    <row r="122" customFormat="false" ht="15" hidden="false" customHeight="true" outlineLevel="0" collapsed="false">
      <c r="A122" s="15"/>
      <c r="B122" s="10"/>
      <c r="C122" s="10"/>
      <c r="D122" s="10"/>
      <c r="E122" s="10"/>
      <c r="F122" s="11"/>
      <c r="G122" s="10"/>
      <c r="H122" s="10"/>
      <c r="I122" s="16" t="str">
        <f aca="false">IF(OR($A122="",$F122=""),"",IF($B122="입금",$F122,0))</f>
        <v/>
      </c>
      <c r="J122" s="16" t="str">
        <f aca="false">IF(OR($A122="",$F122=""),"",IF($B122="출금",$F122,0))</f>
        <v/>
      </c>
      <c r="K122" s="17" t="str">
        <f aca="false">IF($A122="","",COUNTIFS($A$3:$A122,$A122))</f>
        <v/>
      </c>
      <c r="L122" s="17" t="str">
        <f aca="false">IF($A122="","",TEXT($A122,"yyyymmdd")&amp;"|"&amp;$K122)</f>
        <v/>
      </c>
    </row>
    <row r="123" customFormat="false" ht="15" hidden="false" customHeight="true" outlineLevel="0" collapsed="false">
      <c r="A123" s="15"/>
      <c r="B123" s="10"/>
      <c r="C123" s="10"/>
      <c r="D123" s="10"/>
      <c r="E123" s="10"/>
      <c r="F123" s="11"/>
      <c r="G123" s="10"/>
      <c r="H123" s="10"/>
      <c r="I123" s="16" t="str">
        <f aca="false">IF(OR($A123="",$F123=""),"",IF($B123="입금",$F123,0))</f>
        <v/>
      </c>
      <c r="J123" s="16" t="str">
        <f aca="false">IF(OR($A123="",$F123=""),"",IF($B123="출금",$F123,0))</f>
        <v/>
      </c>
      <c r="K123" s="17" t="str">
        <f aca="false">IF($A123="","",COUNTIFS($A$3:$A123,$A123))</f>
        <v/>
      </c>
      <c r="L123" s="17" t="str">
        <f aca="false">IF($A123="","",TEXT($A123,"yyyymmdd")&amp;"|"&amp;$K123)</f>
        <v/>
      </c>
    </row>
    <row r="124" customFormat="false" ht="15" hidden="false" customHeight="true" outlineLevel="0" collapsed="false">
      <c r="A124" s="15"/>
      <c r="B124" s="10"/>
      <c r="C124" s="10"/>
      <c r="D124" s="10"/>
      <c r="E124" s="10"/>
      <c r="F124" s="11"/>
      <c r="G124" s="10"/>
      <c r="H124" s="10"/>
      <c r="I124" s="16" t="str">
        <f aca="false">IF(OR($A124="",$F124=""),"",IF($B124="입금",$F124,0))</f>
        <v/>
      </c>
      <c r="J124" s="16" t="str">
        <f aca="false">IF(OR($A124="",$F124=""),"",IF($B124="출금",$F124,0))</f>
        <v/>
      </c>
      <c r="K124" s="17" t="str">
        <f aca="false">IF($A124="","",COUNTIFS($A$3:$A124,$A124))</f>
        <v/>
      </c>
      <c r="L124" s="17" t="str">
        <f aca="false">IF($A124="","",TEXT($A124,"yyyymmdd")&amp;"|"&amp;$K124)</f>
        <v/>
      </c>
    </row>
    <row r="125" customFormat="false" ht="15" hidden="false" customHeight="true" outlineLevel="0" collapsed="false">
      <c r="A125" s="15"/>
      <c r="B125" s="10"/>
      <c r="C125" s="10"/>
      <c r="D125" s="10"/>
      <c r="E125" s="10"/>
      <c r="F125" s="11"/>
      <c r="G125" s="10"/>
      <c r="H125" s="10"/>
      <c r="I125" s="16" t="str">
        <f aca="false">IF(OR($A125="",$F125=""),"",IF($B125="입금",$F125,0))</f>
        <v/>
      </c>
      <c r="J125" s="16" t="str">
        <f aca="false">IF(OR($A125="",$F125=""),"",IF($B125="출금",$F125,0))</f>
        <v/>
      </c>
      <c r="K125" s="17" t="str">
        <f aca="false">IF($A125="","",COUNTIFS($A$3:$A125,$A125))</f>
        <v/>
      </c>
      <c r="L125" s="17" t="str">
        <f aca="false">IF($A125="","",TEXT($A125,"yyyymmdd")&amp;"|"&amp;$K125)</f>
        <v/>
      </c>
    </row>
    <row r="126" customFormat="false" ht="15" hidden="false" customHeight="true" outlineLevel="0" collapsed="false">
      <c r="A126" s="15"/>
      <c r="B126" s="10"/>
      <c r="C126" s="10"/>
      <c r="D126" s="10"/>
      <c r="E126" s="10"/>
      <c r="F126" s="11"/>
      <c r="G126" s="10"/>
      <c r="H126" s="10"/>
      <c r="I126" s="16" t="str">
        <f aca="false">IF(OR($A126="",$F126=""),"",IF($B126="입금",$F126,0))</f>
        <v/>
      </c>
      <c r="J126" s="16" t="str">
        <f aca="false">IF(OR($A126="",$F126=""),"",IF($B126="출금",$F126,0))</f>
        <v/>
      </c>
      <c r="K126" s="17" t="str">
        <f aca="false">IF($A126="","",COUNTIFS($A$3:$A126,$A126))</f>
        <v/>
      </c>
      <c r="L126" s="17" t="str">
        <f aca="false">IF($A126="","",TEXT($A126,"yyyymmdd")&amp;"|"&amp;$K126)</f>
        <v/>
      </c>
    </row>
    <row r="127" customFormat="false" ht="15" hidden="false" customHeight="true" outlineLevel="0" collapsed="false">
      <c r="A127" s="15"/>
      <c r="B127" s="10"/>
      <c r="C127" s="10"/>
      <c r="D127" s="10"/>
      <c r="E127" s="10"/>
      <c r="F127" s="11"/>
      <c r="G127" s="10"/>
      <c r="H127" s="10"/>
      <c r="I127" s="16" t="str">
        <f aca="false">IF(OR($A127="",$F127=""),"",IF($B127="입금",$F127,0))</f>
        <v/>
      </c>
      <c r="J127" s="16" t="str">
        <f aca="false">IF(OR($A127="",$F127=""),"",IF($B127="출금",$F127,0))</f>
        <v/>
      </c>
      <c r="K127" s="17" t="str">
        <f aca="false">IF($A127="","",COUNTIFS($A$3:$A127,$A127))</f>
        <v/>
      </c>
      <c r="L127" s="17" t="str">
        <f aca="false">IF($A127="","",TEXT($A127,"yyyymmdd")&amp;"|"&amp;$K127)</f>
        <v/>
      </c>
    </row>
    <row r="128" customFormat="false" ht="15" hidden="false" customHeight="true" outlineLevel="0" collapsed="false">
      <c r="A128" s="15"/>
      <c r="B128" s="10"/>
      <c r="C128" s="10"/>
      <c r="D128" s="10"/>
      <c r="E128" s="10"/>
      <c r="F128" s="11"/>
      <c r="G128" s="10"/>
      <c r="H128" s="10"/>
      <c r="I128" s="16" t="str">
        <f aca="false">IF(OR($A128="",$F128=""),"",IF($B128="입금",$F128,0))</f>
        <v/>
      </c>
      <c r="J128" s="16" t="str">
        <f aca="false">IF(OR($A128="",$F128=""),"",IF($B128="출금",$F128,0))</f>
        <v/>
      </c>
      <c r="K128" s="17" t="str">
        <f aca="false">IF($A128="","",COUNTIFS($A$3:$A128,$A128))</f>
        <v/>
      </c>
      <c r="L128" s="17" t="str">
        <f aca="false">IF($A128="","",TEXT($A128,"yyyymmdd")&amp;"|"&amp;$K128)</f>
        <v/>
      </c>
    </row>
    <row r="129" customFormat="false" ht="15" hidden="false" customHeight="true" outlineLevel="0" collapsed="false">
      <c r="A129" s="15"/>
      <c r="B129" s="10"/>
      <c r="C129" s="10"/>
      <c r="D129" s="10"/>
      <c r="E129" s="10"/>
      <c r="F129" s="11"/>
      <c r="G129" s="10"/>
      <c r="H129" s="10"/>
      <c r="I129" s="16" t="str">
        <f aca="false">IF(OR($A129="",$F129=""),"",IF($B129="입금",$F129,0))</f>
        <v/>
      </c>
      <c r="J129" s="16" t="str">
        <f aca="false">IF(OR($A129="",$F129=""),"",IF($B129="출금",$F129,0))</f>
        <v/>
      </c>
      <c r="K129" s="17" t="str">
        <f aca="false">IF($A129="","",COUNTIFS($A$3:$A129,$A129))</f>
        <v/>
      </c>
      <c r="L129" s="17" t="str">
        <f aca="false">IF($A129="","",TEXT($A129,"yyyymmdd")&amp;"|"&amp;$K129)</f>
        <v/>
      </c>
    </row>
    <row r="130" customFormat="false" ht="15" hidden="false" customHeight="true" outlineLevel="0" collapsed="false">
      <c r="A130" s="15"/>
      <c r="B130" s="10"/>
      <c r="C130" s="10"/>
      <c r="D130" s="10"/>
      <c r="E130" s="10"/>
      <c r="F130" s="11"/>
      <c r="G130" s="10"/>
      <c r="H130" s="10"/>
      <c r="I130" s="16" t="str">
        <f aca="false">IF(OR($A130="",$F130=""),"",IF($B130="입금",$F130,0))</f>
        <v/>
      </c>
      <c r="J130" s="16" t="str">
        <f aca="false">IF(OR($A130="",$F130=""),"",IF($B130="출금",$F130,0))</f>
        <v/>
      </c>
      <c r="K130" s="17" t="str">
        <f aca="false">IF($A130="","",COUNTIFS($A$3:$A130,$A130))</f>
        <v/>
      </c>
      <c r="L130" s="17" t="str">
        <f aca="false">IF($A130="","",TEXT($A130,"yyyymmdd")&amp;"|"&amp;$K130)</f>
        <v/>
      </c>
    </row>
    <row r="131" customFormat="false" ht="15" hidden="false" customHeight="true" outlineLevel="0" collapsed="false">
      <c r="A131" s="15"/>
      <c r="B131" s="10"/>
      <c r="C131" s="10"/>
      <c r="D131" s="10"/>
      <c r="E131" s="10"/>
      <c r="F131" s="11"/>
      <c r="G131" s="10"/>
      <c r="H131" s="10"/>
      <c r="I131" s="16" t="str">
        <f aca="false">IF(OR($A131="",$F131=""),"",IF($B131="입금",$F131,0))</f>
        <v/>
      </c>
      <c r="J131" s="16" t="str">
        <f aca="false">IF(OR($A131="",$F131=""),"",IF($B131="출금",$F131,0))</f>
        <v/>
      </c>
      <c r="K131" s="17" t="str">
        <f aca="false">IF($A131="","",COUNTIFS($A$3:$A131,$A131))</f>
        <v/>
      </c>
      <c r="L131" s="17" t="str">
        <f aca="false">IF($A131="","",TEXT($A131,"yyyymmdd")&amp;"|"&amp;$K131)</f>
        <v/>
      </c>
    </row>
    <row r="132" customFormat="false" ht="15" hidden="false" customHeight="true" outlineLevel="0" collapsed="false">
      <c r="A132" s="15"/>
      <c r="B132" s="10"/>
      <c r="C132" s="10"/>
      <c r="D132" s="10"/>
      <c r="E132" s="10"/>
      <c r="F132" s="11"/>
      <c r="G132" s="10"/>
      <c r="H132" s="10"/>
      <c r="I132" s="16" t="str">
        <f aca="false">IF(OR($A132="",$F132=""),"",IF($B132="입금",$F132,0))</f>
        <v/>
      </c>
      <c r="J132" s="16" t="str">
        <f aca="false">IF(OR($A132="",$F132=""),"",IF($B132="출금",$F132,0))</f>
        <v/>
      </c>
      <c r="K132" s="17" t="str">
        <f aca="false">IF($A132="","",COUNTIFS($A$3:$A132,$A132))</f>
        <v/>
      </c>
      <c r="L132" s="17" t="str">
        <f aca="false">IF($A132="","",TEXT($A132,"yyyymmdd")&amp;"|"&amp;$K132)</f>
        <v/>
      </c>
    </row>
    <row r="133" customFormat="false" ht="15" hidden="false" customHeight="true" outlineLevel="0" collapsed="false">
      <c r="A133" s="15"/>
      <c r="B133" s="10"/>
      <c r="C133" s="10"/>
      <c r="D133" s="10"/>
      <c r="E133" s="10"/>
      <c r="F133" s="11"/>
      <c r="G133" s="10"/>
      <c r="H133" s="10"/>
      <c r="I133" s="16" t="str">
        <f aca="false">IF(OR($A133="",$F133=""),"",IF($B133="입금",$F133,0))</f>
        <v/>
      </c>
      <c r="J133" s="16" t="str">
        <f aca="false">IF(OR($A133="",$F133=""),"",IF($B133="출금",$F133,0))</f>
        <v/>
      </c>
      <c r="K133" s="17" t="str">
        <f aca="false">IF($A133="","",COUNTIFS($A$3:$A133,$A133))</f>
        <v/>
      </c>
      <c r="L133" s="17" t="str">
        <f aca="false">IF($A133="","",TEXT($A133,"yyyymmdd")&amp;"|"&amp;$K133)</f>
        <v/>
      </c>
    </row>
    <row r="134" customFormat="false" ht="15" hidden="false" customHeight="true" outlineLevel="0" collapsed="false">
      <c r="A134" s="15"/>
      <c r="B134" s="10"/>
      <c r="C134" s="10"/>
      <c r="D134" s="10"/>
      <c r="E134" s="10"/>
      <c r="F134" s="11"/>
      <c r="G134" s="10"/>
      <c r="H134" s="10"/>
      <c r="I134" s="16" t="str">
        <f aca="false">IF(OR($A134="",$F134=""),"",IF($B134="입금",$F134,0))</f>
        <v/>
      </c>
      <c r="J134" s="16" t="str">
        <f aca="false">IF(OR($A134="",$F134=""),"",IF($B134="출금",$F134,0))</f>
        <v/>
      </c>
      <c r="K134" s="17" t="str">
        <f aca="false">IF($A134="","",COUNTIFS($A$3:$A134,$A134))</f>
        <v/>
      </c>
      <c r="L134" s="17" t="str">
        <f aca="false">IF($A134="","",TEXT($A134,"yyyymmdd")&amp;"|"&amp;$K134)</f>
        <v/>
      </c>
    </row>
    <row r="135" customFormat="false" ht="15" hidden="false" customHeight="true" outlineLevel="0" collapsed="false">
      <c r="A135" s="15"/>
      <c r="B135" s="10"/>
      <c r="C135" s="10"/>
      <c r="D135" s="10"/>
      <c r="E135" s="10"/>
      <c r="F135" s="11"/>
      <c r="G135" s="10"/>
      <c r="H135" s="10"/>
      <c r="I135" s="16" t="str">
        <f aca="false">IF(OR($A135="",$F135=""),"",IF($B135="입금",$F135,0))</f>
        <v/>
      </c>
      <c r="J135" s="16" t="str">
        <f aca="false">IF(OR($A135="",$F135=""),"",IF($B135="출금",$F135,0))</f>
        <v/>
      </c>
      <c r="K135" s="17" t="str">
        <f aca="false">IF($A135="","",COUNTIFS($A$3:$A135,$A135))</f>
        <v/>
      </c>
      <c r="L135" s="17" t="str">
        <f aca="false">IF($A135="","",TEXT($A135,"yyyymmdd")&amp;"|"&amp;$K135)</f>
        <v/>
      </c>
    </row>
    <row r="136" customFormat="false" ht="15" hidden="false" customHeight="true" outlineLevel="0" collapsed="false">
      <c r="A136" s="15"/>
      <c r="B136" s="10"/>
      <c r="C136" s="10"/>
      <c r="D136" s="10"/>
      <c r="E136" s="10"/>
      <c r="F136" s="11"/>
      <c r="G136" s="10"/>
      <c r="H136" s="10"/>
      <c r="I136" s="16" t="str">
        <f aca="false">IF(OR($A136="",$F136=""),"",IF($B136="입금",$F136,0))</f>
        <v/>
      </c>
      <c r="J136" s="16" t="str">
        <f aca="false">IF(OR($A136="",$F136=""),"",IF($B136="출금",$F136,0))</f>
        <v/>
      </c>
      <c r="K136" s="17" t="str">
        <f aca="false">IF($A136="","",COUNTIFS($A$3:$A136,$A136))</f>
        <v/>
      </c>
      <c r="L136" s="17" t="str">
        <f aca="false">IF($A136="","",TEXT($A136,"yyyymmdd")&amp;"|"&amp;$K136)</f>
        <v/>
      </c>
    </row>
    <row r="137" customFormat="false" ht="15" hidden="false" customHeight="true" outlineLevel="0" collapsed="false">
      <c r="A137" s="15"/>
      <c r="B137" s="10"/>
      <c r="C137" s="10"/>
      <c r="D137" s="10"/>
      <c r="E137" s="10"/>
      <c r="F137" s="11"/>
      <c r="G137" s="10"/>
      <c r="H137" s="10"/>
      <c r="I137" s="16" t="str">
        <f aca="false">IF(OR($A137="",$F137=""),"",IF($B137="입금",$F137,0))</f>
        <v/>
      </c>
      <c r="J137" s="16" t="str">
        <f aca="false">IF(OR($A137="",$F137=""),"",IF($B137="출금",$F137,0))</f>
        <v/>
      </c>
      <c r="K137" s="17" t="str">
        <f aca="false">IF($A137="","",COUNTIFS($A$3:$A137,$A137))</f>
        <v/>
      </c>
      <c r="L137" s="17" t="str">
        <f aca="false">IF($A137="","",TEXT($A137,"yyyymmdd")&amp;"|"&amp;$K137)</f>
        <v/>
      </c>
    </row>
    <row r="138" customFormat="false" ht="15" hidden="false" customHeight="true" outlineLevel="0" collapsed="false">
      <c r="A138" s="15"/>
      <c r="B138" s="10"/>
      <c r="C138" s="10"/>
      <c r="D138" s="10"/>
      <c r="E138" s="10"/>
      <c r="F138" s="11"/>
      <c r="G138" s="10"/>
      <c r="H138" s="10"/>
      <c r="I138" s="16" t="str">
        <f aca="false">IF(OR($A138="",$F138=""),"",IF($B138="입금",$F138,0))</f>
        <v/>
      </c>
      <c r="J138" s="16" t="str">
        <f aca="false">IF(OR($A138="",$F138=""),"",IF($B138="출금",$F138,0))</f>
        <v/>
      </c>
      <c r="K138" s="17" t="str">
        <f aca="false">IF($A138="","",COUNTIFS($A$3:$A138,$A138))</f>
        <v/>
      </c>
      <c r="L138" s="17" t="str">
        <f aca="false">IF($A138="","",TEXT($A138,"yyyymmdd")&amp;"|"&amp;$K138)</f>
        <v/>
      </c>
    </row>
    <row r="139" customFormat="false" ht="15" hidden="false" customHeight="true" outlineLevel="0" collapsed="false">
      <c r="A139" s="15"/>
      <c r="B139" s="10"/>
      <c r="C139" s="10"/>
      <c r="D139" s="10"/>
      <c r="E139" s="10"/>
      <c r="F139" s="11"/>
      <c r="G139" s="10"/>
      <c r="H139" s="10"/>
      <c r="I139" s="16" t="str">
        <f aca="false">IF(OR($A139="",$F139=""),"",IF($B139="입금",$F139,0))</f>
        <v/>
      </c>
      <c r="J139" s="16" t="str">
        <f aca="false">IF(OR($A139="",$F139=""),"",IF($B139="출금",$F139,0))</f>
        <v/>
      </c>
      <c r="K139" s="17" t="str">
        <f aca="false">IF($A139="","",COUNTIFS($A$3:$A139,$A139))</f>
        <v/>
      </c>
      <c r="L139" s="17" t="str">
        <f aca="false">IF($A139="","",TEXT($A139,"yyyymmdd")&amp;"|"&amp;$K139)</f>
        <v/>
      </c>
    </row>
    <row r="140" customFormat="false" ht="15" hidden="false" customHeight="true" outlineLevel="0" collapsed="false">
      <c r="A140" s="15"/>
      <c r="B140" s="10"/>
      <c r="C140" s="10"/>
      <c r="D140" s="10"/>
      <c r="E140" s="10"/>
      <c r="F140" s="11"/>
      <c r="G140" s="10"/>
      <c r="H140" s="10"/>
      <c r="I140" s="16" t="str">
        <f aca="false">IF(OR($A140="",$F140=""),"",IF($B140="입금",$F140,0))</f>
        <v/>
      </c>
      <c r="J140" s="16" t="str">
        <f aca="false">IF(OR($A140="",$F140=""),"",IF($B140="출금",$F140,0))</f>
        <v/>
      </c>
      <c r="K140" s="17" t="str">
        <f aca="false">IF($A140="","",COUNTIFS($A$3:$A140,$A140))</f>
        <v/>
      </c>
      <c r="L140" s="17" t="str">
        <f aca="false">IF($A140="","",TEXT($A140,"yyyymmdd")&amp;"|"&amp;$K140)</f>
        <v/>
      </c>
    </row>
    <row r="141" customFormat="false" ht="15" hidden="false" customHeight="true" outlineLevel="0" collapsed="false">
      <c r="A141" s="15"/>
      <c r="B141" s="10"/>
      <c r="C141" s="10"/>
      <c r="D141" s="10"/>
      <c r="E141" s="10"/>
      <c r="F141" s="11"/>
      <c r="G141" s="10"/>
      <c r="H141" s="10"/>
      <c r="I141" s="16" t="str">
        <f aca="false">IF(OR($A141="",$F141=""),"",IF($B141="입금",$F141,0))</f>
        <v/>
      </c>
      <c r="J141" s="16" t="str">
        <f aca="false">IF(OR($A141="",$F141=""),"",IF($B141="출금",$F141,0))</f>
        <v/>
      </c>
      <c r="K141" s="17" t="str">
        <f aca="false">IF($A141="","",COUNTIFS($A$3:$A141,$A141))</f>
        <v/>
      </c>
      <c r="L141" s="17" t="str">
        <f aca="false">IF($A141="","",TEXT($A141,"yyyymmdd")&amp;"|"&amp;$K141)</f>
        <v/>
      </c>
    </row>
    <row r="142" customFormat="false" ht="15" hidden="false" customHeight="true" outlineLevel="0" collapsed="false">
      <c r="A142" s="15"/>
      <c r="B142" s="10"/>
      <c r="C142" s="10"/>
      <c r="D142" s="10"/>
      <c r="E142" s="10"/>
      <c r="F142" s="11"/>
      <c r="G142" s="10"/>
      <c r="H142" s="10"/>
      <c r="I142" s="16" t="str">
        <f aca="false">IF(OR($A142="",$F142=""),"",IF($B142="입금",$F142,0))</f>
        <v/>
      </c>
      <c r="J142" s="16" t="str">
        <f aca="false">IF(OR($A142="",$F142=""),"",IF($B142="출금",$F142,0))</f>
        <v/>
      </c>
      <c r="K142" s="17" t="str">
        <f aca="false">IF($A142="","",COUNTIFS($A$3:$A142,$A142))</f>
        <v/>
      </c>
      <c r="L142" s="17" t="str">
        <f aca="false">IF($A142="","",TEXT($A142,"yyyymmdd")&amp;"|"&amp;$K142)</f>
        <v/>
      </c>
    </row>
    <row r="143" customFormat="false" ht="15" hidden="false" customHeight="true" outlineLevel="0" collapsed="false">
      <c r="A143" s="15"/>
      <c r="B143" s="10"/>
      <c r="C143" s="10"/>
      <c r="D143" s="10"/>
      <c r="E143" s="10"/>
      <c r="F143" s="11"/>
      <c r="G143" s="10"/>
      <c r="H143" s="10"/>
      <c r="I143" s="16" t="str">
        <f aca="false">IF(OR($A143="",$F143=""),"",IF($B143="입금",$F143,0))</f>
        <v/>
      </c>
      <c r="J143" s="16" t="str">
        <f aca="false">IF(OR($A143="",$F143=""),"",IF($B143="출금",$F143,0))</f>
        <v/>
      </c>
      <c r="K143" s="17" t="str">
        <f aca="false">IF($A143="","",COUNTIFS($A$3:$A143,$A143))</f>
        <v/>
      </c>
      <c r="L143" s="17" t="str">
        <f aca="false">IF($A143="","",TEXT($A143,"yyyymmdd")&amp;"|"&amp;$K143)</f>
        <v/>
      </c>
    </row>
    <row r="144" customFormat="false" ht="15" hidden="false" customHeight="true" outlineLevel="0" collapsed="false">
      <c r="A144" s="15"/>
      <c r="B144" s="10"/>
      <c r="C144" s="10"/>
      <c r="D144" s="10"/>
      <c r="E144" s="10"/>
      <c r="F144" s="11"/>
      <c r="G144" s="10"/>
      <c r="H144" s="10"/>
      <c r="I144" s="16" t="str">
        <f aca="false">IF(OR($A144="",$F144=""),"",IF($B144="입금",$F144,0))</f>
        <v/>
      </c>
      <c r="J144" s="16" t="str">
        <f aca="false">IF(OR($A144="",$F144=""),"",IF($B144="출금",$F144,0))</f>
        <v/>
      </c>
      <c r="K144" s="17" t="str">
        <f aca="false">IF($A144="","",COUNTIFS($A$3:$A144,$A144))</f>
        <v/>
      </c>
      <c r="L144" s="17" t="str">
        <f aca="false">IF($A144="","",TEXT($A144,"yyyymmdd")&amp;"|"&amp;$K144)</f>
        <v/>
      </c>
    </row>
    <row r="145" customFormat="false" ht="15" hidden="false" customHeight="true" outlineLevel="0" collapsed="false">
      <c r="A145" s="15"/>
      <c r="B145" s="10"/>
      <c r="C145" s="10"/>
      <c r="D145" s="10"/>
      <c r="E145" s="10"/>
      <c r="F145" s="11"/>
      <c r="G145" s="10"/>
      <c r="H145" s="10"/>
      <c r="I145" s="16" t="str">
        <f aca="false">IF(OR($A145="",$F145=""),"",IF($B145="입금",$F145,0))</f>
        <v/>
      </c>
      <c r="J145" s="16" t="str">
        <f aca="false">IF(OR($A145="",$F145=""),"",IF($B145="출금",$F145,0))</f>
        <v/>
      </c>
      <c r="K145" s="17" t="str">
        <f aca="false">IF($A145="","",COUNTIFS($A$3:$A145,$A145))</f>
        <v/>
      </c>
      <c r="L145" s="17" t="str">
        <f aca="false">IF($A145="","",TEXT($A145,"yyyymmdd")&amp;"|"&amp;$K145)</f>
        <v/>
      </c>
    </row>
    <row r="146" customFormat="false" ht="15" hidden="false" customHeight="true" outlineLevel="0" collapsed="false">
      <c r="A146" s="15"/>
      <c r="B146" s="10"/>
      <c r="C146" s="10"/>
      <c r="D146" s="10"/>
      <c r="E146" s="10"/>
      <c r="F146" s="11"/>
      <c r="G146" s="10"/>
      <c r="H146" s="10"/>
      <c r="I146" s="16" t="str">
        <f aca="false">IF(OR($A146="",$F146=""),"",IF($B146="입금",$F146,0))</f>
        <v/>
      </c>
      <c r="J146" s="16" t="str">
        <f aca="false">IF(OR($A146="",$F146=""),"",IF($B146="출금",$F146,0))</f>
        <v/>
      </c>
      <c r="K146" s="17" t="str">
        <f aca="false">IF($A146="","",COUNTIFS($A$3:$A146,$A146))</f>
        <v/>
      </c>
      <c r="L146" s="17" t="str">
        <f aca="false">IF($A146="","",TEXT($A146,"yyyymmdd")&amp;"|"&amp;$K146)</f>
        <v/>
      </c>
    </row>
    <row r="147" customFormat="false" ht="15" hidden="false" customHeight="true" outlineLevel="0" collapsed="false">
      <c r="A147" s="15"/>
      <c r="B147" s="10"/>
      <c r="C147" s="10"/>
      <c r="D147" s="10"/>
      <c r="E147" s="10"/>
      <c r="F147" s="11"/>
      <c r="G147" s="10"/>
      <c r="H147" s="10"/>
      <c r="I147" s="16" t="str">
        <f aca="false">IF(OR($A147="",$F147=""),"",IF($B147="입금",$F147,0))</f>
        <v/>
      </c>
      <c r="J147" s="16" t="str">
        <f aca="false">IF(OR($A147="",$F147=""),"",IF($B147="출금",$F147,0))</f>
        <v/>
      </c>
      <c r="K147" s="17" t="str">
        <f aca="false">IF($A147="","",COUNTIFS($A$3:$A147,$A147))</f>
        <v/>
      </c>
      <c r="L147" s="17" t="str">
        <f aca="false">IF($A147="","",TEXT($A147,"yyyymmdd")&amp;"|"&amp;$K147)</f>
        <v/>
      </c>
    </row>
    <row r="148" customFormat="false" ht="15" hidden="false" customHeight="true" outlineLevel="0" collapsed="false">
      <c r="A148" s="15"/>
      <c r="B148" s="10"/>
      <c r="C148" s="10"/>
      <c r="D148" s="10"/>
      <c r="E148" s="10"/>
      <c r="F148" s="11"/>
      <c r="G148" s="10"/>
      <c r="H148" s="10"/>
      <c r="I148" s="16" t="str">
        <f aca="false">IF(OR($A148="",$F148=""),"",IF($B148="입금",$F148,0))</f>
        <v/>
      </c>
      <c r="J148" s="16" t="str">
        <f aca="false">IF(OR($A148="",$F148=""),"",IF($B148="출금",$F148,0))</f>
        <v/>
      </c>
      <c r="K148" s="17" t="str">
        <f aca="false">IF($A148="","",COUNTIFS($A$3:$A148,$A148))</f>
        <v/>
      </c>
      <c r="L148" s="17" t="str">
        <f aca="false">IF($A148="","",TEXT($A148,"yyyymmdd")&amp;"|"&amp;$K148)</f>
        <v/>
      </c>
    </row>
    <row r="149" customFormat="false" ht="15" hidden="false" customHeight="true" outlineLevel="0" collapsed="false">
      <c r="A149" s="15"/>
      <c r="B149" s="10"/>
      <c r="C149" s="10"/>
      <c r="D149" s="10"/>
      <c r="E149" s="10"/>
      <c r="F149" s="11"/>
      <c r="G149" s="10"/>
      <c r="H149" s="10"/>
      <c r="I149" s="16" t="str">
        <f aca="false">IF(OR($A149="",$F149=""),"",IF($B149="입금",$F149,0))</f>
        <v/>
      </c>
      <c r="J149" s="16" t="str">
        <f aca="false">IF(OR($A149="",$F149=""),"",IF($B149="출금",$F149,0))</f>
        <v/>
      </c>
      <c r="K149" s="17" t="str">
        <f aca="false">IF($A149="","",COUNTIFS($A$3:$A149,$A149))</f>
        <v/>
      </c>
      <c r="L149" s="17" t="str">
        <f aca="false">IF($A149="","",TEXT($A149,"yyyymmdd")&amp;"|"&amp;$K149)</f>
        <v/>
      </c>
    </row>
    <row r="150" customFormat="false" ht="15" hidden="false" customHeight="true" outlineLevel="0" collapsed="false">
      <c r="A150" s="15"/>
      <c r="B150" s="10"/>
      <c r="C150" s="10"/>
      <c r="D150" s="10"/>
      <c r="E150" s="10"/>
      <c r="F150" s="11"/>
      <c r="G150" s="10"/>
      <c r="H150" s="10"/>
      <c r="I150" s="16" t="str">
        <f aca="false">IF(OR($A150="",$F150=""),"",IF($B150="입금",$F150,0))</f>
        <v/>
      </c>
      <c r="J150" s="16" t="str">
        <f aca="false">IF(OR($A150="",$F150=""),"",IF($B150="출금",$F150,0))</f>
        <v/>
      </c>
      <c r="K150" s="17" t="str">
        <f aca="false">IF($A150="","",COUNTIFS($A$3:$A150,$A150))</f>
        <v/>
      </c>
      <c r="L150" s="17" t="str">
        <f aca="false">IF($A150="","",TEXT($A150,"yyyymmdd")&amp;"|"&amp;$K150)</f>
        <v/>
      </c>
    </row>
    <row r="151" customFormat="false" ht="15" hidden="false" customHeight="true" outlineLevel="0" collapsed="false">
      <c r="A151" s="15"/>
      <c r="B151" s="10"/>
      <c r="C151" s="10"/>
      <c r="D151" s="10"/>
      <c r="E151" s="10"/>
      <c r="F151" s="11"/>
      <c r="G151" s="10"/>
      <c r="H151" s="10"/>
      <c r="I151" s="16" t="str">
        <f aca="false">IF(OR($A151="",$F151=""),"",IF($B151="입금",$F151,0))</f>
        <v/>
      </c>
      <c r="J151" s="16" t="str">
        <f aca="false">IF(OR($A151="",$F151=""),"",IF($B151="출금",$F151,0))</f>
        <v/>
      </c>
      <c r="K151" s="17" t="str">
        <f aca="false">IF($A151="","",COUNTIFS($A$3:$A151,$A151))</f>
        <v/>
      </c>
      <c r="L151" s="17" t="str">
        <f aca="false">IF($A151="","",TEXT($A151,"yyyymmdd")&amp;"|"&amp;$K151)</f>
        <v/>
      </c>
    </row>
    <row r="152" customFormat="false" ht="15" hidden="false" customHeight="true" outlineLevel="0" collapsed="false">
      <c r="A152" s="15"/>
      <c r="B152" s="10"/>
      <c r="C152" s="10"/>
      <c r="D152" s="10"/>
      <c r="E152" s="10"/>
      <c r="F152" s="11"/>
      <c r="G152" s="10"/>
      <c r="H152" s="10"/>
      <c r="I152" s="16" t="str">
        <f aca="false">IF(OR($A152="",$F152=""),"",IF($B152="입금",$F152,0))</f>
        <v/>
      </c>
      <c r="J152" s="16" t="str">
        <f aca="false">IF(OR($A152="",$F152=""),"",IF($B152="출금",$F152,0))</f>
        <v/>
      </c>
      <c r="K152" s="17" t="str">
        <f aca="false">IF($A152="","",COUNTIFS($A$3:$A152,$A152))</f>
        <v/>
      </c>
      <c r="L152" s="17" t="str">
        <f aca="false">IF($A152="","",TEXT($A152,"yyyymmdd")&amp;"|"&amp;$K152)</f>
        <v/>
      </c>
    </row>
    <row r="153" customFormat="false" ht="15" hidden="false" customHeight="true" outlineLevel="0" collapsed="false">
      <c r="A153" s="15"/>
      <c r="B153" s="10"/>
      <c r="C153" s="10"/>
      <c r="D153" s="10"/>
      <c r="E153" s="10"/>
      <c r="F153" s="11"/>
      <c r="G153" s="10"/>
      <c r="H153" s="10"/>
      <c r="I153" s="16" t="str">
        <f aca="false">IF(OR($A153="",$F153=""),"",IF($B153="입금",$F153,0))</f>
        <v/>
      </c>
      <c r="J153" s="16" t="str">
        <f aca="false">IF(OR($A153="",$F153=""),"",IF($B153="출금",$F153,0))</f>
        <v/>
      </c>
      <c r="K153" s="17" t="str">
        <f aca="false">IF($A153="","",COUNTIFS($A$3:$A153,$A153))</f>
        <v/>
      </c>
      <c r="L153" s="17" t="str">
        <f aca="false">IF($A153="","",TEXT($A153,"yyyymmdd")&amp;"|"&amp;$K153)</f>
        <v/>
      </c>
    </row>
    <row r="154" customFormat="false" ht="15" hidden="false" customHeight="true" outlineLevel="0" collapsed="false">
      <c r="A154" s="15"/>
      <c r="B154" s="10"/>
      <c r="C154" s="10"/>
      <c r="D154" s="10"/>
      <c r="E154" s="10"/>
      <c r="F154" s="11"/>
      <c r="G154" s="10"/>
      <c r="H154" s="10"/>
      <c r="I154" s="16" t="str">
        <f aca="false">IF(OR($A154="",$F154=""),"",IF($B154="입금",$F154,0))</f>
        <v/>
      </c>
      <c r="J154" s="16" t="str">
        <f aca="false">IF(OR($A154="",$F154=""),"",IF($B154="출금",$F154,0))</f>
        <v/>
      </c>
      <c r="K154" s="17" t="str">
        <f aca="false">IF($A154="","",COUNTIFS($A$3:$A154,$A154))</f>
        <v/>
      </c>
      <c r="L154" s="17" t="str">
        <f aca="false">IF($A154="","",TEXT($A154,"yyyymmdd")&amp;"|"&amp;$K154)</f>
        <v/>
      </c>
    </row>
    <row r="155" customFormat="false" ht="15" hidden="false" customHeight="true" outlineLevel="0" collapsed="false">
      <c r="A155" s="15"/>
      <c r="B155" s="10"/>
      <c r="C155" s="10"/>
      <c r="D155" s="10"/>
      <c r="E155" s="10"/>
      <c r="F155" s="11"/>
      <c r="G155" s="10"/>
      <c r="H155" s="10"/>
      <c r="I155" s="16" t="str">
        <f aca="false">IF(OR($A155="",$F155=""),"",IF($B155="입금",$F155,0))</f>
        <v/>
      </c>
      <c r="J155" s="16" t="str">
        <f aca="false">IF(OR($A155="",$F155=""),"",IF($B155="출금",$F155,0))</f>
        <v/>
      </c>
      <c r="K155" s="17" t="str">
        <f aca="false">IF($A155="","",COUNTIFS($A$3:$A155,$A155))</f>
        <v/>
      </c>
      <c r="L155" s="17" t="str">
        <f aca="false">IF($A155="","",TEXT($A155,"yyyymmdd")&amp;"|"&amp;$K155)</f>
        <v/>
      </c>
    </row>
    <row r="156" customFormat="false" ht="15" hidden="false" customHeight="true" outlineLevel="0" collapsed="false">
      <c r="A156" s="15"/>
      <c r="B156" s="10"/>
      <c r="C156" s="10"/>
      <c r="D156" s="10"/>
      <c r="E156" s="10"/>
      <c r="F156" s="11"/>
      <c r="G156" s="10"/>
      <c r="H156" s="10"/>
      <c r="I156" s="16" t="str">
        <f aca="false">IF(OR($A156="",$F156=""),"",IF($B156="입금",$F156,0))</f>
        <v/>
      </c>
      <c r="J156" s="16" t="str">
        <f aca="false">IF(OR($A156="",$F156=""),"",IF($B156="출금",$F156,0))</f>
        <v/>
      </c>
      <c r="K156" s="17" t="str">
        <f aca="false">IF($A156="","",COUNTIFS($A$3:$A156,$A156))</f>
        <v/>
      </c>
      <c r="L156" s="17" t="str">
        <f aca="false">IF($A156="","",TEXT($A156,"yyyymmdd")&amp;"|"&amp;$K156)</f>
        <v/>
      </c>
    </row>
    <row r="157" customFormat="false" ht="15" hidden="false" customHeight="true" outlineLevel="0" collapsed="false">
      <c r="A157" s="15"/>
      <c r="B157" s="10"/>
      <c r="C157" s="10"/>
      <c r="D157" s="10"/>
      <c r="E157" s="10"/>
      <c r="F157" s="11"/>
      <c r="G157" s="10"/>
      <c r="H157" s="10"/>
      <c r="I157" s="16" t="str">
        <f aca="false">IF(OR($A157="",$F157=""),"",IF($B157="입금",$F157,0))</f>
        <v/>
      </c>
      <c r="J157" s="16" t="str">
        <f aca="false">IF(OR($A157="",$F157=""),"",IF($B157="출금",$F157,0))</f>
        <v/>
      </c>
      <c r="K157" s="17" t="str">
        <f aca="false">IF($A157="","",COUNTIFS($A$3:$A157,$A157))</f>
        <v/>
      </c>
      <c r="L157" s="17" t="str">
        <f aca="false">IF($A157="","",TEXT($A157,"yyyymmdd")&amp;"|"&amp;$K157)</f>
        <v/>
      </c>
    </row>
    <row r="158" customFormat="false" ht="15" hidden="false" customHeight="true" outlineLevel="0" collapsed="false">
      <c r="A158" s="15"/>
      <c r="B158" s="10"/>
      <c r="C158" s="10"/>
      <c r="D158" s="10"/>
      <c r="E158" s="10"/>
      <c r="F158" s="11"/>
      <c r="G158" s="10"/>
      <c r="H158" s="10"/>
      <c r="I158" s="16" t="str">
        <f aca="false">IF(OR($A158="",$F158=""),"",IF($B158="입금",$F158,0))</f>
        <v/>
      </c>
      <c r="J158" s="16" t="str">
        <f aca="false">IF(OR($A158="",$F158=""),"",IF($B158="출금",$F158,0))</f>
        <v/>
      </c>
      <c r="K158" s="17" t="str">
        <f aca="false">IF($A158="","",COUNTIFS($A$3:$A158,$A158))</f>
        <v/>
      </c>
      <c r="L158" s="17" t="str">
        <f aca="false">IF($A158="","",TEXT($A158,"yyyymmdd")&amp;"|"&amp;$K158)</f>
        <v/>
      </c>
    </row>
    <row r="159" customFormat="false" ht="15" hidden="false" customHeight="true" outlineLevel="0" collapsed="false">
      <c r="A159" s="15"/>
      <c r="B159" s="10"/>
      <c r="C159" s="10"/>
      <c r="D159" s="10"/>
      <c r="E159" s="10"/>
      <c r="F159" s="11"/>
      <c r="G159" s="10"/>
      <c r="H159" s="10"/>
      <c r="I159" s="16" t="str">
        <f aca="false">IF(OR($A159="",$F159=""),"",IF($B159="입금",$F159,0))</f>
        <v/>
      </c>
      <c r="J159" s="16" t="str">
        <f aca="false">IF(OR($A159="",$F159=""),"",IF($B159="출금",$F159,0))</f>
        <v/>
      </c>
      <c r="K159" s="17" t="str">
        <f aca="false">IF($A159="","",COUNTIFS($A$3:$A159,$A159))</f>
        <v/>
      </c>
      <c r="L159" s="17" t="str">
        <f aca="false">IF($A159="","",TEXT($A159,"yyyymmdd")&amp;"|"&amp;$K159)</f>
        <v/>
      </c>
    </row>
    <row r="160" customFormat="false" ht="15" hidden="false" customHeight="true" outlineLevel="0" collapsed="false">
      <c r="A160" s="15"/>
      <c r="B160" s="10"/>
      <c r="C160" s="10"/>
      <c r="D160" s="10"/>
      <c r="E160" s="10"/>
      <c r="F160" s="11"/>
      <c r="G160" s="10"/>
      <c r="H160" s="10"/>
      <c r="I160" s="16" t="str">
        <f aca="false">IF(OR($A160="",$F160=""),"",IF($B160="입금",$F160,0))</f>
        <v/>
      </c>
      <c r="J160" s="16" t="str">
        <f aca="false">IF(OR($A160="",$F160=""),"",IF($B160="출금",$F160,0))</f>
        <v/>
      </c>
      <c r="K160" s="17" t="str">
        <f aca="false">IF($A160="","",COUNTIFS($A$3:$A160,$A160))</f>
        <v/>
      </c>
      <c r="L160" s="17" t="str">
        <f aca="false">IF($A160="","",TEXT($A160,"yyyymmdd")&amp;"|"&amp;$K160)</f>
        <v/>
      </c>
    </row>
    <row r="161" customFormat="false" ht="15" hidden="false" customHeight="true" outlineLevel="0" collapsed="false">
      <c r="A161" s="15"/>
      <c r="B161" s="10"/>
      <c r="C161" s="10"/>
      <c r="D161" s="10"/>
      <c r="E161" s="10"/>
      <c r="F161" s="11"/>
      <c r="G161" s="10"/>
      <c r="H161" s="10"/>
      <c r="I161" s="16" t="str">
        <f aca="false">IF(OR($A161="",$F161=""),"",IF($B161="입금",$F161,0))</f>
        <v/>
      </c>
      <c r="J161" s="16" t="str">
        <f aca="false">IF(OR($A161="",$F161=""),"",IF($B161="출금",$F161,0))</f>
        <v/>
      </c>
      <c r="K161" s="17" t="str">
        <f aca="false">IF($A161="","",COUNTIFS($A$3:$A161,$A161))</f>
        <v/>
      </c>
      <c r="L161" s="17" t="str">
        <f aca="false">IF($A161="","",TEXT($A161,"yyyymmdd")&amp;"|"&amp;$K161)</f>
        <v/>
      </c>
    </row>
    <row r="162" customFormat="false" ht="15" hidden="false" customHeight="true" outlineLevel="0" collapsed="false">
      <c r="A162" s="15"/>
      <c r="B162" s="10"/>
      <c r="C162" s="10"/>
      <c r="D162" s="10"/>
      <c r="E162" s="10"/>
      <c r="F162" s="11"/>
      <c r="G162" s="10"/>
      <c r="H162" s="10"/>
      <c r="I162" s="16" t="str">
        <f aca="false">IF(OR($A162="",$F162=""),"",IF($B162="입금",$F162,0))</f>
        <v/>
      </c>
      <c r="J162" s="16" t="str">
        <f aca="false">IF(OR($A162="",$F162=""),"",IF($B162="출금",$F162,0))</f>
        <v/>
      </c>
      <c r="K162" s="17" t="str">
        <f aca="false">IF($A162="","",COUNTIFS($A$3:$A162,$A162))</f>
        <v/>
      </c>
      <c r="L162" s="17" t="str">
        <f aca="false">IF($A162="","",TEXT($A162,"yyyymmdd")&amp;"|"&amp;$K162)</f>
        <v/>
      </c>
    </row>
    <row r="163" customFormat="false" ht="15" hidden="false" customHeight="true" outlineLevel="0" collapsed="false">
      <c r="A163" s="15"/>
      <c r="B163" s="10"/>
      <c r="C163" s="10"/>
      <c r="D163" s="10"/>
      <c r="E163" s="10"/>
      <c r="F163" s="11"/>
      <c r="G163" s="10"/>
      <c r="H163" s="10"/>
      <c r="I163" s="16" t="str">
        <f aca="false">IF(OR($A163="",$F163=""),"",IF($B163="입금",$F163,0))</f>
        <v/>
      </c>
      <c r="J163" s="16" t="str">
        <f aca="false">IF(OR($A163="",$F163=""),"",IF($B163="출금",$F163,0))</f>
        <v/>
      </c>
      <c r="K163" s="17" t="str">
        <f aca="false">IF($A163="","",COUNTIFS($A$3:$A163,$A163))</f>
        <v/>
      </c>
      <c r="L163" s="17" t="str">
        <f aca="false">IF($A163="","",TEXT($A163,"yyyymmdd")&amp;"|"&amp;$K163)</f>
        <v/>
      </c>
    </row>
    <row r="164" customFormat="false" ht="15" hidden="false" customHeight="true" outlineLevel="0" collapsed="false">
      <c r="A164" s="15"/>
      <c r="B164" s="10"/>
      <c r="C164" s="10"/>
      <c r="D164" s="10"/>
      <c r="E164" s="10"/>
      <c r="F164" s="11"/>
      <c r="G164" s="10"/>
      <c r="H164" s="10"/>
      <c r="I164" s="16" t="str">
        <f aca="false">IF(OR($A164="",$F164=""),"",IF($B164="입금",$F164,0))</f>
        <v/>
      </c>
      <c r="J164" s="16" t="str">
        <f aca="false">IF(OR($A164="",$F164=""),"",IF($B164="출금",$F164,0))</f>
        <v/>
      </c>
      <c r="K164" s="17" t="str">
        <f aca="false">IF($A164="","",COUNTIFS($A$3:$A164,$A164))</f>
        <v/>
      </c>
      <c r="L164" s="17" t="str">
        <f aca="false">IF($A164="","",TEXT($A164,"yyyymmdd")&amp;"|"&amp;$K164)</f>
        <v/>
      </c>
    </row>
    <row r="165" customFormat="false" ht="15" hidden="false" customHeight="true" outlineLevel="0" collapsed="false">
      <c r="A165" s="15"/>
      <c r="B165" s="10"/>
      <c r="C165" s="10"/>
      <c r="D165" s="10"/>
      <c r="E165" s="10"/>
      <c r="F165" s="11"/>
      <c r="G165" s="10"/>
      <c r="H165" s="10"/>
      <c r="I165" s="16" t="str">
        <f aca="false">IF(OR($A165="",$F165=""),"",IF($B165="입금",$F165,0))</f>
        <v/>
      </c>
      <c r="J165" s="16" t="str">
        <f aca="false">IF(OR($A165="",$F165=""),"",IF($B165="출금",$F165,0))</f>
        <v/>
      </c>
      <c r="K165" s="17" t="str">
        <f aca="false">IF($A165="","",COUNTIFS($A$3:$A165,$A165))</f>
        <v/>
      </c>
      <c r="L165" s="17" t="str">
        <f aca="false">IF($A165="","",TEXT($A165,"yyyymmdd")&amp;"|"&amp;$K165)</f>
        <v/>
      </c>
    </row>
    <row r="166" customFormat="false" ht="15" hidden="false" customHeight="true" outlineLevel="0" collapsed="false">
      <c r="A166" s="15"/>
      <c r="B166" s="10"/>
      <c r="C166" s="10"/>
      <c r="D166" s="10"/>
      <c r="E166" s="10"/>
      <c r="F166" s="11"/>
      <c r="G166" s="10"/>
      <c r="H166" s="10"/>
      <c r="I166" s="16" t="str">
        <f aca="false">IF(OR($A166="",$F166=""),"",IF($B166="입금",$F166,0))</f>
        <v/>
      </c>
      <c r="J166" s="16" t="str">
        <f aca="false">IF(OR($A166="",$F166=""),"",IF($B166="출금",$F166,0))</f>
        <v/>
      </c>
      <c r="K166" s="17" t="str">
        <f aca="false">IF($A166="","",COUNTIFS($A$3:$A166,$A166))</f>
        <v/>
      </c>
      <c r="L166" s="17" t="str">
        <f aca="false">IF($A166="","",TEXT($A166,"yyyymmdd")&amp;"|"&amp;$K166)</f>
        <v/>
      </c>
    </row>
    <row r="167" customFormat="false" ht="15" hidden="false" customHeight="true" outlineLevel="0" collapsed="false">
      <c r="A167" s="15"/>
      <c r="B167" s="10"/>
      <c r="C167" s="10"/>
      <c r="D167" s="10"/>
      <c r="E167" s="10"/>
      <c r="F167" s="11"/>
      <c r="G167" s="10"/>
      <c r="H167" s="10"/>
      <c r="I167" s="16" t="str">
        <f aca="false">IF(OR($A167="",$F167=""),"",IF($B167="입금",$F167,0))</f>
        <v/>
      </c>
      <c r="J167" s="16" t="str">
        <f aca="false">IF(OR($A167="",$F167=""),"",IF($B167="출금",$F167,0))</f>
        <v/>
      </c>
      <c r="K167" s="17" t="str">
        <f aca="false">IF($A167="","",COUNTIFS($A$3:$A167,$A167))</f>
        <v/>
      </c>
      <c r="L167" s="17" t="str">
        <f aca="false">IF($A167="","",TEXT($A167,"yyyymmdd")&amp;"|"&amp;$K167)</f>
        <v/>
      </c>
    </row>
    <row r="168" customFormat="false" ht="15" hidden="false" customHeight="true" outlineLevel="0" collapsed="false">
      <c r="A168" s="15"/>
      <c r="B168" s="10"/>
      <c r="C168" s="10"/>
      <c r="D168" s="10"/>
      <c r="E168" s="10"/>
      <c r="F168" s="11"/>
      <c r="G168" s="10"/>
      <c r="H168" s="10"/>
      <c r="I168" s="16" t="str">
        <f aca="false">IF(OR($A168="",$F168=""),"",IF($B168="입금",$F168,0))</f>
        <v/>
      </c>
      <c r="J168" s="16" t="str">
        <f aca="false">IF(OR($A168="",$F168=""),"",IF($B168="출금",$F168,0))</f>
        <v/>
      </c>
      <c r="K168" s="17" t="str">
        <f aca="false">IF($A168="","",COUNTIFS($A$3:$A168,$A168))</f>
        <v/>
      </c>
      <c r="L168" s="17" t="str">
        <f aca="false">IF($A168="","",TEXT($A168,"yyyymmdd")&amp;"|"&amp;$K168)</f>
        <v/>
      </c>
    </row>
    <row r="169" customFormat="false" ht="15" hidden="false" customHeight="true" outlineLevel="0" collapsed="false">
      <c r="A169" s="15"/>
      <c r="B169" s="10"/>
      <c r="C169" s="10"/>
      <c r="D169" s="10"/>
      <c r="E169" s="10"/>
      <c r="F169" s="11"/>
      <c r="G169" s="10"/>
      <c r="H169" s="10"/>
      <c r="I169" s="16" t="str">
        <f aca="false">IF(OR($A169="",$F169=""),"",IF($B169="입금",$F169,0))</f>
        <v/>
      </c>
      <c r="J169" s="16" t="str">
        <f aca="false">IF(OR($A169="",$F169=""),"",IF($B169="출금",$F169,0))</f>
        <v/>
      </c>
      <c r="K169" s="17" t="str">
        <f aca="false">IF($A169="","",COUNTIFS($A$3:$A169,$A169))</f>
        <v/>
      </c>
      <c r="L169" s="17" t="str">
        <f aca="false">IF($A169="","",TEXT($A169,"yyyymmdd")&amp;"|"&amp;$K169)</f>
        <v/>
      </c>
    </row>
    <row r="170" customFormat="false" ht="15" hidden="false" customHeight="true" outlineLevel="0" collapsed="false">
      <c r="A170" s="15"/>
      <c r="B170" s="10"/>
      <c r="C170" s="10"/>
      <c r="D170" s="10"/>
      <c r="E170" s="10"/>
      <c r="F170" s="11"/>
      <c r="G170" s="10"/>
      <c r="H170" s="10"/>
      <c r="I170" s="16" t="str">
        <f aca="false">IF(OR($A170="",$F170=""),"",IF($B170="입금",$F170,0))</f>
        <v/>
      </c>
      <c r="J170" s="16" t="str">
        <f aca="false">IF(OR($A170="",$F170=""),"",IF($B170="출금",$F170,0))</f>
        <v/>
      </c>
      <c r="K170" s="17" t="str">
        <f aca="false">IF($A170="","",COUNTIFS($A$3:$A170,$A170))</f>
        <v/>
      </c>
      <c r="L170" s="17" t="str">
        <f aca="false">IF($A170="","",TEXT($A170,"yyyymmdd")&amp;"|"&amp;$K170)</f>
        <v/>
      </c>
    </row>
    <row r="171" customFormat="false" ht="15" hidden="false" customHeight="true" outlineLevel="0" collapsed="false">
      <c r="A171" s="15"/>
      <c r="B171" s="10"/>
      <c r="C171" s="10"/>
      <c r="D171" s="10"/>
      <c r="E171" s="10"/>
      <c r="F171" s="11"/>
      <c r="G171" s="10"/>
      <c r="H171" s="10"/>
      <c r="I171" s="16" t="str">
        <f aca="false">IF(OR($A171="",$F171=""),"",IF($B171="입금",$F171,0))</f>
        <v/>
      </c>
      <c r="J171" s="16" t="str">
        <f aca="false">IF(OR($A171="",$F171=""),"",IF($B171="출금",$F171,0))</f>
        <v/>
      </c>
      <c r="K171" s="17" t="str">
        <f aca="false">IF($A171="","",COUNTIFS($A$3:$A171,$A171))</f>
        <v/>
      </c>
      <c r="L171" s="17" t="str">
        <f aca="false">IF($A171="","",TEXT($A171,"yyyymmdd")&amp;"|"&amp;$K171)</f>
        <v/>
      </c>
    </row>
    <row r="172" customFormat="false" ht="15" hidden="false" customHeight="true" outlineLevel="0" collapsed="false">
      <c r="A172" s="15"/>
      <c r="B172" s="10"/>
      <c r="C172" s="10"/>
      <c r="D172" s="10"/>
      <c r="E172" s="10"/>
      <c r="F172" s="11"/>
      <c r="G172" s="10"/>
      <c r="H172" s="10"/>
      <c r="I172" s="16" t="str">
        <f aca="false">IF(OR($A172="",$F172=""),"",IF($B172="입금",$F172,0))</f>
        <v/>
      </c>
      <c r="J172" s="16" t="str">
        <f aca="false">IF(OR($A172="",$F172=""),"",IF($B172="출금",$F172,0))</f>
        <v/>
      </c>
      <c r="K172" s="17" t="str">
        <f aca="false">IF($A172="","",COUNTIFS($A$3:$A172,$A172))</f>
        <v/>
      </c>
      <c r="L172" s="17" t="str">
        <f aca="false">IF($A172="","",TEXT($A172,"yyyymmdd")&amp;"|"&amp;$K172)</f>
        <v/>
      </c>
    </row>
    <row r="173" customFormat="false" ht="15" hidden="false" customHeight="true" outlineLevel="0" collapsed="false">
      <c r="A173" s="15"/>
      <c r="B173" s="10"/>
      <c r="C173" s="10"/>
      <c r="D173" s="10"/>
      <c r="E173" s="10"/>
      <c r="F173" s="11"/>
      <c r="G173" s="10"/>
      <c r="H173" s="10"/>
      <c r="I173" s="16" t="str">
        <f aca="false">IF(OR($A173="",$F173=""),"",IF($B173="입금",$F173,0))</f>
        <v/>
      </c>
      <c r="J173" s="16" t="str">
        <f aca="false">IF(OR($A173="",$F173=""),"",IF($B173="출금",$F173,0))</f>
        <v/>
      </c>
      <c r="K173" s="17" t="str">
        <f aca="false">IF($A173="","",COUNTIFS($A$3:$A173,$A173))</f>
        <v/>
      </c>
      <c r="L173" s="17" t="str">
        <f aca="false">IF($A173="","",TEXT($A173,"yyyymmdd")&amp;"|"&amp;$K173)</f>
        <v/>
      </c>
    </row>
    <row r="174" customFormat="false" ht="15" hidden="false" customHeight="true" outlineLevel="0" collapsed="false">
      <c r="A174" s="15"/>
      <c r="B174" s="10"/>
      <c r="C174" s="10"/>
      <c r="D174" s="10"/>
      <c r="E174" s="10"/>
      <c r="F174" s="11"/>
      <c r="G174" s="10"/>
      <c r="H174" s="10"/>
      <c r="I174" s="16" t="str">
        <f aca="false">IF(OR($A174="",$F174=""),"",IF($B174="입금",$F174,0))</f>
        <v/>
      </c>
      <c r="J174" s="16" t="str">
        <f aca="false">IF(OR($A174="",$F174=""),"",IF($B174="출금",$F174,0))</f>
        <v/>
      </c>
      <c r="K174" s="17" t="str">
        <f aca="false">IF($A174="","",COUNTIFS($A$3:$A174,$A174))</f>
        <v/>
      </c>
      <c r="L174" s="17" t="str">
        <f aca="false">IF($A174="","",TEXT($A174,"yyyymmdd")&amp;"|"&amp;$K174)</f>
        <v/>
      </c>
    </row>
    <row r="175" customFormat="false" ht="15" hidden="false" customHeight="true" outlineLevel="0" collapsed="false">
      <c r="A175" s="15"/>
      <c r="B175" s="10"/>
      <c r="C175" s="10"/>
      <c r="D175" s="10"/>
      <c r="E175" s="10"/>
      <c r="F175" s="11"/>
      <c r="G175" s="10"/>
      <c r="H175" s="10"/>
      <c r="I175" s="16" t="str">
        <f aca="false">IF(OR($A175="",$F175=""),"",IF($B175="입금",$F175,0))</f>
        <v/>
      </c>
      <c r="J175" s="16" t="str">
        <f aca="false">IF(OR($A175="",$F175=""),"",IF($B175="출금",$F175,0))</f>
        <v/>
      </c>
      <c r="K175" s="17" t="str">
        <f aca="false">IF($A175="","",COUNTIFS($A$3:$A175,$A175))</f>
        <v/>
      </c>
      <c r="L175" s="17" t="str">
        <f aca="false">IF($A175="","",TEXT($A175,"yyyymmdd")&amp;"|"&amp;$K175)</f>
        <v/>
      </c>
    </row>
    <row r="176" customFormat="false" ht="15" hidden="false" customHeight="true" outlineLevel="0" collapsed="false">
      <c r="A176" s="15"/>
      <c r="B176" s="10"/>
      <c r="C176" s="10"/>
      <c r="D176" s="10"/>
      <c r="E176" s="10"/>
      <c r="F176" s="11"/>
      <c r="G176" s="10"/>
      <c r="H176" s="10"/>
      <c r="I176" s="16" t="str">
        <f aca="false">IF(OR($A176="",$F176=""),"",IF($B176="입금",$F176,0))</f>
        <v/>
      </c>
      <c r="J176" s="16" t="str">
        <f aca="false">IF(OR($A176="",$F176=""),"",IF($B176="출금",$F176,0))</f>
        <v/>
      </c>
      <c r="K176" s="17" t="str">
        <f aca="false">IF($A176="","",COUNTIFS($A$3:$A176,$A176))</f>
        <v/>
      </c>
      <c r="L176" s="17" t="str">
        <f aca="false">IF($A176="","",TEXT($A176,"yyyymmdd")&amp;"|"&amp;$K176)</f>
        <v/>
      </c>
    </row>
    <row r="177" customFormat="false" ht="15" hidden="false" customHeight="true" outlineLevel="0" collapsed="false">
      <c r="A177" s="15"/>
      <c r="B177" s="10"/>
      <c r="C177" s="10"/>
      <c r="D177" s="10"/>
      <c r="E177" s="10"/>
      <c r="F177" s="11"/>
      <c r="G177" s="10"/>
      <c r="H177" s="10"/>
      <c r="I177" s="16" t="str">
        <f aca="false">IF(OR($A177="",$F177=""),"",IF($B177="입금",$F177,0))</f>
        <v/>
      </c>
      <c r="J177" s="16" t="str">
        <f aca="false">IF(OR($A177="",$F177=""),"",IF($B177="출금",$F177,0))</f>
        <v/>
      </c>
      <c r="K177" s="17" t="str">
        <f aca="false">IF($A177="","",COUNTIFS($A$3:$A177,$A177))</f>
        <v/>
      </c>
      <c r="L177" s="17" t="str">
        <f aca="false">IF($A177="","",TEXT($A177,"yyyymmdd")&amp;"|"&amp;$K177)</f>
        <v/>
      </c>
    </row>
    <row r="178" customFormat="false" ht="15" hidden="false" customHeight="true" outlineLevel="0" collapsed="false">
      <c r="A178" s="15"/>
      <c r="B178" s="10"/>
      <c r="C178" s="10"/>
      <c r="D178" s="10"/>
      <c r="E178" s="10"/>
      <c r="F178" s="11"/>
      <c r="G178" s="10"/>
      <c r="H178" s="10"/>
      <c r="I178" s="16" t="str">
        <f aca="false">IF(OR($A178="",$F178=""),"",IF($B178="입금",$F178,0))</f>
        <v/>
      </c>
      <c r="J178" s="16" t="str">
        <f aca="false">IF(OR($A178="",$F178=""),"",IF($B178="출금",$F178,0))</f>
        <v/>
      </c>
      <c r="K178" s="17" t="str">
        <f aca="false">IF($A178="","",COUNTIFS($A$3:$A178,$A178))</f>
        <v/>
      </c>
      <c r="L178" s="17" t="str">
        <f aca="false">IF($A178="","",TEXT($A178,"yyyymmdd")&amp;"|"&amp;$K178)</f>
        <v/>
      </c>
    </row>
    <row r="179" customFormat="false" ht="15" hidden="false" customHeight="true" outlineLevel="0" collapsed="false">
      <c r="A179" s="15"/>
      <c r="B179" s="10"/>
      <c r="C179" s="10"/>
      <c r="D179" s="10"/>
      <c r="E179" s="10"/>
      <c r="F179" s="11"/>
      <c r="G179" s="10"/>
      <c r="H179" s="10"/>
      <c r="I179" s="16" t="str">
        <f aca="false">IF(OR($A179="",$F179=""),"",IF($B179="입금",$F179,0))</f>
        <v/>
      </c>
      <c r="J179" s="16" t="str">
        <f aca="false">IF(OR($A179="",$F179=""),"",IF($B179="출금",$F179,0))</f>
        <v/>
      </c>
      <c r="K179" s="17" t="str">
        <f aca="false">IF($A179="","",COUNTIFS($A$3:$A179,$A179))</f>
        <v/>
      </c>
      <c r="L179" s="17" t="str">
        <f aca="false">IF($A179="","",TEXT($A179,"yyyymmdd")&amp;"|"&amp;$K179)</f>
        <v/>
      </c>
    </row>
    <row r="180" customFormat="false" ht="15" hidden="false" customHeight="true" outlineLevel="0" collapsed="false">
      <c r="A180" s="15"/>
      <c r="B180" s="10"/>
      <c r="C180" s="10"/>
      <c r="D180" s="10"/>
      <c r="E180" s="10"/>
      <c r="F180" s="11"/>
      <c r="G180" s="10"/>
      <c r="H180" s="10"/>
      <c r="I180" s="16" t="str">
        <f aca="false">IF(OR($A180="",$F180=""),"",IF($B180="입금",$F180,0))</f>
        <v/>
      </c>
      <c r="J180" s="16" t="str">
        <f aca="false">IF(OR($A180="",$F180=""),"",IF($B180="출금",$F180,0))</f>
        <v/>
      </c>
      <c r="K180" s="17" t="str">
        <f aca="false">IF($A180="","",COUNTIFS($A$3:$A180,$A180))</f>
        <v/>
      </c>
      <c r="L180" s="17" t="str">
        <f aca="false">IF($A180="","",TEXT($A180,"yyyymmdd")&amp;"|"&amp;$K180)</f>
        <v/>
      </c>
    </row>
    <row r="181" customFormat="false" ht="15" hidden="false" customHeight="true" outlineLevel="0" collapsed="false">
      <c r="A181" s="15"/>
      <c r="B181" s="10"/>
      <c r="C181" s="10"/>
      <c r="D181" s="10"/>
      <c r="E181" s="10"/>
      <c r="F181" s="11"/>
      <c r="G181" s="10"/>
      <c r="H181" s="10"/>
      <c r="I181" s="16" t="str">
        <f aca="false">IF(OR($A181="",$F181=""),"",IF($B181="입금",$F181,0))</f>
        <v/>
      </c>
      <c r="J181" s="16" t="str">
        <f aca="false">IF(OR($A181="",$F181=""),"",IF($B181="출금",$F181,0))</f>
        <v/>
      </c>
      <c r="K181" s="17" t="str">
        <f aca="false">IF($A181="","",COUNTIFS($A$3:$A181,$A181))</f>
        <v/>
      </c>
      <c r="L181" s="17" t="str">
        <f aca="false">IF($A181="","",TEXT($A181,"yyyymmdd")&amp;"|"&amp;$K181)</f>
        <v/>
      </c>
    </row>
    <row r="182" customFormat="false" ht="15" hidden="false" customHeight="true" outlineLevel="0" collapsed="false">
      <c r="A182" s="15"/>
      <c r="B182" s="10"/>
      <c r="C182" s="10"/>
      <c r="D182" s="10"/>
      <c r="E182" s="10"/>
      <c r="F182" s="11"/>
      <c r="G182" s="10"/>
      <c r="H182" s="10"/>
      <c r="I182" s="16" t="str">
        <f aca="false">IF(OR($A182="",$F182=""),"",IF($B182="입금",$F182,0))</f>
        <v/>
      </c>
      <c r="J182" s="16" t="str">
        <f aca="false">IF(OR($A182="",$F182=""),"",IF($B182="출금",$F182,0))</f>
        <v/>
      </c>
      <c r="K182" s="17" t="str">
        <f aca="false">IF($A182="","",COUNTIFS($A$3:$A182,$A182))</f>
        <v/>
      </c>
      <c r="L182" s="17" t="str">
        <f aca="false">IF($A182="","",TEXT($A182,"yyyymmdd")&amp;"|"&amp;$K182)</f>
        <v/>
      </c>
    </row>
    <row r="183" customFormat="false" ht="15" hidden="false" customHeight="true" outlineLevel="0" collapsed="false">
      <c r="A183" s="15"/>
      <c r="B183" s="10"/>
      <c r="C183" s="10"/>
      <c r="D183" s="10"/>
      <c r="E183" s="10"/>
      <c r="F183" s="11"/>
      <c r="G183" s="10"/>
      <c r="H183" s="10"/>
      <c r="I183" s="16" t="str">
        <f aca="false">IF(OR($A183="",$F183=""),"",IF($B183="입금",$F183,0))</f>
        <v/>
      </c>
      <c r="J183" s="16" t="str">
        <f aca="false">IF(OR($A183="",$F183=""),"",IF($B183="출금",$F183,0))</f>
        <v/>
      </c>
      <c r="K183" s="17" t="str">
        <f aca="false">IF($A183="","",COUNTIFS($A$3:$A183,$A183))</f>
        <v/>
      </c>
      <c r="L183" s="17" t="str">
        <f aca="false">IF($A183="","",TEXT($A183,"yyyymmdd")&amp;"|"&amp;$K183)</f>
        <v/>
      </c>
    </row>
    <row r="184" customFormat="false" ht="15" hidden="false" customHeight="true" outlineLevel="0" collapsed="false">
      <c r="A184" s="15"/>
      <c r="B184" s="10"/>
      <c r="C184" s="10"/>
      <c r="D184" s="10"/>
      <c r="E184" s="10"/>
      <c r="F184" s="11"/>
      <c r="G184" s="10"/>
      <c r="H184" s="10"/>
      <c r="I184" s="16" t="str">
        <f aca="false">IF(OR($A184="",$F184=""),"",IF($B184="입금",$F184,0))</f>
        <v/>
      </c>
      <c r="J184" s="16" t="str">
        <f aca="false">IF(OR($A184="",$F184=""),"",IF($B184="출금",$F184,0))</f>
        <v/>
      </c>
      <c r="K184" s="17" t="str">
        <f aca="false">IF($A184="","",COUNTIFS($A$3:$A184,$A184))</f>
        <v/>
      </c>
      <c r="L184" s="17" t="str">
        <f aca="false">IF($A184="","",TEXT($A184,"yyyymmdd")&amp;"|"&amp;$K184)</f>
        <v/>
      </c>
    </row>
    <row r="185" customFormat="false" ht="15" hidden="false" customHeight="true" outlineLevel="0" collapsed="false">
      <c r="A185" s="15"/>
      <c r="B185" s="10"/>
      <c r="C185" s="10"/>
      <c r="D185" s="10"/>
      <c r="E185" s="10"/>
      <c r="F185" s="11"/>
      <c r="G185" s="10"/>
      <c r="H185" s="10"/>
      <c r="I185" s="16" t="str">
        <f aca="false">IF(OR($A185="",$F185=""),"",IF($B185="입금",$F185,0))</f>
        <v/>
      </c>
      <c r="J185" s="16" t="str">
        <f aca="false">IF(OR($A185="",$F185=""),"",IF($B185="출금",$F185,0))</f>
        <v/>
      </c>
      <c r="K185" s="17" t="str">
        <f aca="false">IF($A185="","",COUNTIFS($A$3:$A185,$A185))</f>
        <v/>
      </c>
      <c r="L185" s="17" t="str">
        <f aca="false">IF($A185="","",TEXT($A185,"yyyymmdd")&amp;"|"&amp;$K185)</f>
        <v/>
      </c>
    </row>
    <row r="186" customFormat="false" ht="15" hidden="false" customHeight="true" outlineLevel="0" collapsed="false">
      <c r="A186" s="15"/>
      <c r="B186" s="10"/>
      <c r="C186" s="10"/>
      <c r="D186" s="10"/>
      <c r="E186" s="10"/>
      <c r="F186" s="11"/>
      <c r="G186" s="10"/>
      <c r="H186" s="10"/>
      <c r="I186" s="16" t="str">
        <f aca="false">IF(OR($A186="",$F186=""),"",IF($B186="입금",$F186,0))</f>
        <v/>
      </c>
      <c r="J186" s="16" t="str">
        <f aca="false">IF(OR($A186="",$F186=""),"",IF($B186="출금",$F186,0))</f>
        <v/>
      </c>
      <c r="K186" s="17" t="str">
        <f aca="false">IF($A186="","",COUNTIFS($A$3:$A186,$A186))</f>
        <v/>
      </c>
      <c r="L186" s="17" t="str">
        <f aca="false">IF($A186="","",TEXT($A186,"yyyymmdd")&amp;"|"&amp;$K186)</f>
        <v/>
      </c>
    </row>
    <row r="187" customFormat="false" ht="15" hidden="false" customHeight="true" outlineLevel="0" collapsed="false">
      <c r="A187" s="15"/>
      <c r="B187" s="10"/>
      <c r="C187" s="10"/>
      <c r="D187" s="10"/>
      <c r="E187" s="10"/>
      <c r="F187" s="11"/>
      <c r="G187" s="10"/>
      <c r="H187" s="10"/>
      <c r="I187" s="16" t="str">
        <f aca="false">IF(OR($A187="",$F187=""),"",IF($B187="입금",$F187,0))</f>
        <v/>
      </c>
      <c r="J187" s="16" t="str">
        <f aca="false">IF(OR($A187="",$F187=""),"",IF($B187="출금",$F187,0))</f>
        <v/>
      </c>
      <c r="K187" s="17" t="str">
        <f aca="false">IF($A187="","",COUNTIFS($A$3:$A187,$A187))</f>
        <v/>
      </c>
      <c r="L187" s="17" t="str">
        <f aca="false">IF($A187="","",TEXT($A187,"yyyymmdd")&amp;"|"&amp;$K187)</f>
        <v/>
      </c>
    </row>
    <row r="188" customFormat="false" ht="15" hidden="false" customHeight="true" outlineLevel="0" collapsed="false">
      <c r="A188" s="15"/>
      <c r="B188" s="10"/>
      <c r="C188" s="10"/>
      <c r="D188" s="10"/>
      <c r="E188" s="10"/>
      <c r="F188" s="11"/>
      <c r="G188" s="10"/>
      <c r="H188" s="10"/>
      <c r="I188" s="16" t="str">
        <f aca="false">IF(OR($A188="",$F188=""),"",IF($B188="입금",$F188,0))</f>
        <v/>
      </c>
      <c r="J188" s="16" t="str">
        <f aca="false">IF(OR($A188="",$F188=""),"",IF($B188="출금",$F188,0))</f>
        <v/>
      </c>
      <c r="K188" s="17" t="str">
        <f aca="false">IF($A188="","",COUNTIFS($A$3:$A188,$A188))</f>
        <v/>
      </c>
      <c r="L188" s="17" t="str">
        <f aca="false">IF($A188="","",TEXT($A188,"yyyymmdd")&amp;"|"&amp;$K188)</f>
        <v/>
      </c>
    </row>
    <row r="189" customFormat="false" ht="15" hidden="false" customHeight="true" outlineLevel="0" collapsed="false">
      <c r="A189" s="15"/>
      <c r="B189" s="10"/>
      <c r="C189" s="10"/>
      <c r="D189" s="10"/>
      <c r="E189" s="10"/>
      <c r="F189" s="11"/>
      <c r="G189" s="10"/>
      <c r="H189" s="10"/>
      <c r="I189" s="16" t="str">
        <f aca="false">IF(OR($A189="",$F189=""),"",IF($B189="입금",$F189,0))</f>
        <v/>
      </c>
      <c r="J189" s="16" t="str">
        <f aca="false">IF(OR($A189="",$F189=""),"",IF($B189="출금",$F189,0))</f>
        <v/>
      </c>
      <c r="K189" s="17" t="str">
        <f aca="false">IF($A189="","",COUNTIFS($A$3:$A189,$A189))</f>
        <v/>
      </c>
      <c r="L189" s="17" t="str">
        <f aca="false">IF($A189="","",TEXT($A189,"yyyymmdd")&amp;"|"&amp;$K189)</f>
        <v/>
      </c>
    </row>
    <row r="190" customFormat="false" ht="15" hidden="false" customHeight="true" outlineLevel="0" collapsed="false">
      <c r="A190" s="15"/>
      <c r="B190" s="10"/>
      <c r="C190" s="10"/>
      <c r="D190" s="10"/>
      <c r="E190" s="10"/>
      <c r="F190" s="11"/>
      <c r="G190" s="10"/>
      <c r="H190" s="10"/>
      <c r="I190" s="16" t="str">
        <f aca="false">IF(OR($A190="",$F190=""),"",IF($B190="입금",$F190,0))</f>
        <v/>
      </c>
      <c r="J190" s="16" t="str">
        <f aca="false">IF(OR($A190="",$F190=""),"",IF($B190="출금",$F190,0))</f>
        <v/>
      </c>
      <c r="K190" s="17" t="str">
        <f aca="false">IF($A190="","",COUNTIFS($A$3:$A190,$A190))</f>
        <v/>
      </c>
      <c r="L190" s="17" t="str">
        <f aca="false">IF($A190="","",TEXT($A190,"yyyymmdd")&amp;"|"&amp;$K190)</f>
        <v/>
      </c>
    </row>
    <row r="191" customFormat="false" ht="15" hidden="false" customHeight="true" outlineLevel="0" collapsed="false">
      <c r="A191" s="15"/>
      <c r="B191" s="10"/>
      <c r="C191" s="10"/>
      <c r="D191" s="10"/>
      <c r="E191" s="10"/>
      <c r="F191" s="11"/>
      <c r="G191" s="10"/>
      <c r="H191" s="10"/>
      <c r="I191" s="16" t="str">
        <f aca="false">IF(OR($A191="",$F191=""),"",IF($B191="입금",$F191,0))</f>
        <v/>
      </c>
      <c r="J191" s="16" t="str">
        <f aca="false">IF(OR($A191="",$F191=""),"",IF($B191="출금",$F191,0))</f>
        <v/>
      </c>
      <c r="K191" s="17" t="str">
        <f aca="false">IF($A191="","",COUNTIFS($A$3:$A191,$A191))</f>
        <v/>
      </c>
      <c r="L191" s="17" t="str">
        <f aca="false">IF($A191="","",TEXT($A191,"yyyymmdd")&amp;"|"&amp;$K191)</f>
        <v/>
      </c>
    </row>
    <row r="192" customFormat="false" ht="15" hidden="false" customHeight="true" outlineLevel="0" collapsed="false">
      <c r="A192" s="15"/>
      <c r="B192" s="10"/>
      <c r="C192" s="10"/>
      <c r="D192" s="10"/>
      <c r="E192" s="10"/>
      <c r="F192" s="11"/>
      <c r="G192" s="10"/>
      <c r="H192" s="10"/>
      <c r="I192" s="16" t="str">
        <f aca="false">IF(OR($A192="",$F192=""),"",IF($B192="입금",$F192,0))</f>
        <v/>
      </c>
      <c r="J192" s="16" t="str">
        <f aca="false">IF(OR($A192="",$F192=""),"",IF($B192="출금",$F192,0))</f>
        <v/>
      </c>
      <c r="K192" s="17" t="str">
        <f aca="false">IF($A192="","",COUNTIFS($A$3:$A192,$A192))</f>
        <v/>
      </c>
      <c r="L192" s="17" t="str">
        <f aca="false">IF($A192="","",TEXT($A192,"yyyymmdd")&amp;"|"&amp;$K192)</f>
        <v/>
      </c>
    </row>
    <row r="193" customFormat="false" ht="15" hidden="false" customHeight="true" outlineLevel="0" collapsed="false">
      <c r="A193" s="15"/>
      <c r="B193" s="10"/>
      <c r="C193" s="10"/>
      <c r="D193" s="10"/>
      <c r="E193" s="10"/>
      <c r="F193" s="11"/>
      <c r="G193" s="10"/>
      <c r="H193" s="10"/>
      <c r="I193" s="16" t="str">
        <f aca="false">IF(OR($A193="",$F193=""),"",IF($B193="입금",$F193,0))</f>
        <v/>
      </c>
      <c r="J193" s="16" t="str">
        <f aca="false">IF(OR($A193="",$F193=""),"",IF($B193="출금",$F193,0))</f>
        <v/>
      </c>
      <c r="K193" s="17" t="str">
        <f aca="false">IF($A193="","",COUNTIFS($A$3:$A193,$A193))</f>
        <v/>
      </c>
      <c r="L193" s="17" t="str">
        <f aca="false">IF($A193="","",TEXT($A193,"yyyymmdd")&amp;"|"&amp;$K193)</f>
        <v/>
      </c>
    </row>
    <row r="194" customFormat="false" ht="15" hidden="false" customHeight="true" outlineLevel="0" collapsed="false">
      <c r="A194" s="15"/>
      <c r="B194" s="10"/>
      <c r="C194" s="10"/>
      <c r="D194" s="10"/>
      <c r="E194" s="10"/>
      <c r="F194" s="11"/>
      <c r="G194" s="10"/>
      <c r="H194" s="10"/>
      <c r="I194" s="16" t="str">
        <f aca="false">IF(OR($A194="",$F194=""),"",IF($B194="입금",$F194,0))</f>
        <v/>
      </c>
      <c r="J194" s="16" t="str">
        <f aca="false">IF(OR($A194="",$F194=""),"",IF($B194="출금",$F194,0))</f>
        <v/>
      </c>
      <c r="K194" s="17" t="str">
        <f aca="false">IF($A194="","",COUNTIFS($A$3:$A194,$A194))</f>
        <v/>
      </c>
      <c r="L194" s="17" t="str">
        <f aca="false">IF($A194="","",TEXT($A194,"yyyymmdd")&amp;"|"&amp;$K194)</f>
        <v/>
      </c>
    </row>
    <row r="195" customFormat="false" ht="15" hidden="false" customHeight="true" outlineLevel="0" collapsed="false">
      <c r="A195" s="15"/>
      <c r="B195" s="10"/>
      <c r="C195" s="10"/>
      <c r="D195" s="10"/>
      <c r="E195" s="10"/>
      <c r="F195" s="11"/>
      <c r="G195" s="10"/>
      <c r="H195" s="10"/>
      <c r="I195" s="16" t="str">
        <f aca="false">IF(OR($A195="",$F195=""),"",IF($B195="입금",$F195,0))</f>
        <v/>
      </c>
      <c r="J195" s="16" t="str">
        <f aca="false">IF(OR($A195="",$F195=""),"",IF($B195="출금",$F195,0))</f>
        <v/>
      </c>
      <c r="K195" s="17" t="str">
        <f aca="false">IF($A195="","",COUNTIFS($A$3:$A195,$A195))</f>
        <v/>
      </c>
      <c r="L195" s="17" t="str">
        <f aca="false">IF($A195="","",TEXT($A195,"yyyymmdd")&amp;"|"&amp;$K195)</f>
        <v/>
      </c>
    </row>
    <row r="196" customFormat="false" ht="15" hidden="false" customHeight="true" outlineLevel="0" collapsed="false">
      <c r="A196" s="15"/>
      <c r="B196" s="10"/>
      <c r="C196" s="10"/>
      <c r="D196" s="10"/>
      <c r="E196" s="10"/>
      <c r="F196" s="11"/>
      <c r="G196" s="10"/>
      <c r="H196" s="10"/>
      <c r="I196" s="16" t="str">
        <f aca="false">IF(OR($A196="",$F196=""),"",IF($B196="입금",$F196,0))</f>
        <v/>
      </c>
      <c r="J196" s="16" t="str">
        <f aca="false">IF(OR($A196="",$F196=""),"",IF($B196="출금",$F196,0))</f>
        <v/>
      </c>
      <c r="K196" s="17" t="str">
        <f aca="false">IF($A196="","",COUNTIFS($A$3:$A196,$A196))</f>
        <v/>
      </c>
      <c r="L196" s="17" t="str">
        <f aca="false">IF($A196="","",TEXT($A196,"yyyymmdd")&amp;"|"&amp;$K196)</f>
        <v/>
      </c>
    </row>
    <row r="197" customFormat="false" ht="15" hidden="false" customHeight="true" outlineLevel="0" collapsed="false">
      <c r="A197" s="15"/>
      <c r="B197" s="10"/>
      <c r="C197" s="10"/>
      <c r="D197" s="10"/>
      <c r="E197" s="10"/>
      <c r="F197" s="11"/>
      <c r="G197" s="10"/>
      <c r="H197" s="10"/>
      <c r="I197" s="16" t="str">
        <f aca="false">IF(OR($A197="",$F197=""),"",IF($B197="입금",$F197,0))</f>
        <v/>
      </c>
      <c r="J197" s="16" t="str">
        <f aca="false">IF(OR($A197="",$F197=""),"",IF($B197="출금",$F197,0))</f>
        <v/>
      </c>
      <c r="K197" s="17" t="str">
        <f aca="false">IF($A197="","",COUNTIFS($A$3:$A197,$A197))</f>
        <v/>
      </c>
      <c r="L197" s="17" t="str">
        <f aca="false">IF($A197="","",TEXT($A197,"yyyymmdd")&amp;"|"&amp;$K197)</f>
        <v/>
      </c>
    </row>
    <row r="198" customFormat="false" ht="15" hidden="false" customHeight="true" outlineLevel="0" collapsed="false">
      <c r="A198" s="15"/>
      <c r="B198" s="10"/>
      <c r="C198" s="10"/>
      <c r="D198" s="10"/>
      <c r="E198" s="10"/>
      <c r="F198" s="11"/>
      <c r="G198" s="10"/>
      <c r="H198" s="10"/>
      <c r="I198" s="16" t="str">
        <f aca="false">IF(OR($A198="",$F198=""),"",IF($B198="입금",$F198,0))</f>
        <v/>
      </c>
      <c r="J198" s="16" t="str">
        <f aca="false">IF(OR($A198="",$F198=""),"",IF($B198="출금",$F198,0))</f>
        <v/>
      </c>
      <c r="K198" s="17" t="str">
        <f aca="false">IF($A198="","",COUNTIFS($A$3:$A198,$A198))</f>
        <v/>
      </c>
      <c r="L198" s="17" t="str">
        <f aca="false">IF($A198="","",TEXT($A198,"yyyymmdd")&amp;"|"&amp;$K198)</f>
        <v/>
      </c>
    </row>
    <row r="199" customFormat="false" ht="15" hidden="false" customHeight="true" outlineLevel="0" collapsed="false">
      <c r="A199" s="15"/>
      <c r="B199" s="10"/>
      <c r="C199" s="10"/>
      <c r="D199" s="10"/>
      <c r="E199" s="10"/>
      <c r="F199" s="11"/>
      <c r="G199" s="10"/>
      <c r="H199" s="10"/>
      <c r="I199" s="16" t="str">
        <f aca="false">IF(OR($A199="",$F199=""),"",IF($B199="입금",$F199,0))</f>
        <v/>
      </c>
      <c r="J199" s="16" t="str">
        <f aca="false">IF(OR($A199="",$F199=""),"",IF($B199="출금",$F199,0))</f>
        <v/>
      </c>
      <c r="K199" s="17" t="str">
        <f aca="false">IF($A199="","",COUNTIFS($A$3:$A199,$A199))</f>
        <v/>
      </c>
      <c r="L199" s="17" t="str">
        <f aca="false">IF($A199="","",TEXT($A199,"yyyymmdd")&amp;"|"&amp;$K199)</f>
        <v/>
      </c>
    </row>
    <row r="200" customFormat="false" ht="15" hidden="false" customHeight="true" outlineLevel="0" collapsed="false">
      <c r="A200" s="15"/>
      <c r="B200" s="10"/>
      <c r="C200" s="10"/>
      <c r="D200" s="10"/>
      <c r="E200" s="10"/>
      <c r="F200" s="11"/>
      <c r="G200" s="10"/>
      <c r="H200" s="10"/>
      <c r="I200" s="16" t="str">
        <f aca="false">IF(OR($A200="",$F200=""),"",IF($B200="입금",$F200,0))</f>
        <v/>
      </c>
      <c r="J200" s="16" t="str">
        <f aca="false">IF(OR($A200="",$F200=""),"",IF($B200="출금",$F200,0))</f>
        <v/>
      </c>
      <c r="K200" s="17" t="str">
        <f aca="false">IF($A200="","",COUNTIFS($A$3:$A200,$A200))</f>
        <v/>
      </c>
      <c r="L200" s="17" t="str">
        <f aca="false">IF($A200="","",TEXT($A200,"yyyymmdd")&amp;"|"&amp;$K200)</f>
        <v/>
      </c>
    </row>
    <row r="201" customFormat="false" ht="15" hidden="false" customHeight="true" outlineLevel="0" collapsed="false">
      <c r="A201" s="15"/>
      <c r="B201" s="10"/>
      <c r="C201" s="10"/>
      <c r="D201" s="10"/>
      <c r="E201" s="10"/>
      <c r="F201" s="11"/>
      <c r="G201" s="10"/>
      <c r="H201" s="10"/>
      <c r="I201" s="16" t="str">
        <f aca="false">IF(OR($A201="",$F201=""),"",IF($B201="입금",$F201,0))</f>
        <v/>
      </c>
      <c r="J201" s="16" t="str">
        <f aca="false">IF(OR($A201="",$F201=""),"",IF($B201="출금",$F201,0))</f>
        <v/>
      </c>
      <c r="K201" s="17" t="str">
        <f aca="false">IF($A201="","",COUNTIFS($A$3:$A201,$A201))</f>
        <v/>
      </c>
      <c r="L201" s="17" t="str">
        <f aca="false">IF($A201="","",TEXT($A201,"yyyymmdd")&amp;"|"&amp;$K201)</f>
        <v/>
      </c>
    </row>
    <row r="202" customFormat="false" ht="15" hidden="false" customHeight="true" outlineLevel="0" collapsed="false">
      <c r="A202" s="15"/>
      <c r="B202" s="10"/>
      <c r="C202" s="10"/>
      <c r="D202" s="10"/>
      <c r="E202" s="10"/>
      <c r="F202" s="11"/>
      <c r="G202" s="10"/>
      <c r="H202" s="10"/>
      <c r="I202" s="16" t="str">
        <f aca="false">IF(OR($A202="",$F202=""),"",IF($B202="입금",$F202,0))</f>
        <v/>
      </c>
      <c r="J202" s="16" t="str">
        <f aca="false">IF(OR($A202="",$F202=""),"",IF($B202="출금",$F202,0))</f>
        <v/>
      </c>
      <c r="K202" s="17" t="str">
        <f aca="false">IF($A202="","",COUNTIFS($A$3:$A202,$A202))</f>
        <v/>
      </c>
      <c r="L202" s="17" t="str">
        <f aca="false">IF($A202="","",TEXT($A202,"yyyymmdd")&amp;"|"&amp;$K202)</f>
        <v/>
      </c>
    </row>
    <row r="203" customFormat="false" ht="15" hidden="false" customHeight="true" outlineLevel="0" collapsed="false">
      <c r="A203" s="15"/>
      <c r="B203" s="10"/>
      <c r="C203" s="10"/>
      <c r="D203" s="10"/>
      <c r="E203" s="10"/>
      <c r="F203" s="11"/>
      <c r="G203" s="10"/>
      <c r="H203" s="10"/>
      <c r="I203" s="16" t="str">
        <f aca="false">IF(OR($A203="",$F203=""),"",IF($B203="입금",$F203,0))</f>
        <v/>
      </c>
      <c r="J203" s="16" t="str">
        <f aca="false">IF(OR($A203="",$F203=""),"",IF($B203="출금",$F203,0))</f>
        <v/>
      </c>
      <c r="K203" s="17" t="str">
        <f aca="false">IF($A203="","",COUNTIFS($A$3:$A203,$A203))</f>
        <v/>
      </c>
      <c r="L203" s="17" t="str">
        <f aca="false">IF($A203="","",TEXT($A203,"yyyymmdd")&amp;"|"&amp;$K203)</f>
        <v/>
      </c>
    </row>
    <row r="204" customFormat="false" ht="15" hidden="false" customHeight="true" outlineLevel="0" collapsed="false">
      <c r="A204" s="15"/>
      <c r="B204" s="10"/>
      <c r="C204" s="10"/>
      <c r="D204" s="10"/>
      <c r="E204" s="10"/>
      <c r="F204" s="11"/>
      <c r="G204" s="10"/>
      <c r="H204" s="10"/>
      <c r="I204" s="16" t="str">
        <f aca="false">IF(OR($A204="",$F204=""),"",IF($B204="입금",$F204,0))</f>
        <v/>
      </c>
      <c r="J204" s="16" t="str">
        <f aca="false">IF(OR($A204="",$F204=""),"",IF($B204="출금",$F204,0))</f>
        <v/>
      </c>
      <c r="K204" s="17" t="str">
        <f aca="false">IF($A204="","",COUNTIFS($A$3:$A204,$A204))</f>
        <v/>
      </c>
      <c r="L204" s="17" t="str">
        <f aca="false">IF($A204="","",TEXT($A204,"yyyymmdd")&amp;"|"&amp;$K204)</f>
        <v/>
      </c>
    </row>
    <row r="205" customFormat="false" ht="15" hidden="false" customHeight="true" outlineLevel="0" collapsed="false">
      <c r="A205" s="15"/>
      <c r="B205" s="10"/>
      <c r="C205" s="10"/>
      <c r="D205" s="10"/>
      <c r="E205" s="10"/>
      <c r="F205" s="11"/>
      <c r="G205" s="10"/>
      <c r="H205" s="10"/>
      <c r="I205" s="16" t="str">
        <f aca="false">IF(OR($A205="",$F205=""),"",IF($B205="입금",$F205,0))</f>
        <v/>
      </c>
      <c r="J205" s="16" t="str">
        <f aca="false">IF(OR($A205="",$F205=""),"",IF($B205="출금",$F205,0))</f>
        <v/>
      </c>
      <c r="K205" s="17" t="str">
        <f aca="false">IF($A205="","",COUNTIFS($A$3:$A205,$A205))</f>
        <v/>
      </c>
      <c r="L205" s="17" t="str">
        <f aca="false">IF($A205="","",TEXT($A205,"yyyymmdd")&amp;"|"&amp;$K205)</f>
        <v/>
      </c>
    </row>
    <row r="206" customFormat="false" ht="15" hidden="false" customHeight="true" outlineLevel="0" collapsed="false">
      <c r="A206" s="15"/>
      <c r="B206" s="10"/>
      <c r="C206" s="10"/>
      <c r="D206" s="10"/>
      <c r="E206" s="10"/>
      <c r="F206" s="11"/>
      <c r="G206" s="10"/>
      <c r="H206" s="10"/>
      <c r="I206" s="16" t="str">
        <f aca="false">IF(OR($A206="",$F206=""),"",IF($B206="입금",$F206,0))</f>
        <v/>
      </c>
      <c r="J206" s="16" t="str">
        <f aca="false">IF(OR($A206="",$F206=""),"",IF($B206="출금",$F206,0))</f>
        <v/>
      </c>
      <c r="K206" s="17" t="str">
        <f aca="false">IF($A206="","",COUNTIFS($A$3:$A206,$A206))</f>
        <v/>
      </c>
      <c r="L206" s="17" t="str">
        <f aca="false">IF($A206="","",TEXT($A206,"yyyymmdd")&amp;"|"&amp;$K206)</f>
        <v/>
      </c>
    </row>
    <row r="207" customFormat="false" ht="15" hidden="false" customHeight="true" outlineLevel="0" collapsed="false">
      <c r="A207" s="15"/>
      <c r="B207" s="10"/>
      <c r="C207" s="10"/>
      <c r="D207" s="10"/>
      <c r="E207" s="10"/>
      <c r="F207" s="11"/>
      <c r="G207" s="10"/>
      <c r="H207" s="10"/>
      <c r="I207" s="16" t="str">
        <f aca="false">IF(OR($A207="",$F207=""),"",IF($B207="입금",$F207,0))</f>
        <v/>
      </c>
      <c r="J207" s="16" t="str">
        <f aca="false">IF(OR($A207="",$F207=""),"",IF($B207="출금",$F207,0))</f>
        <v/>
      </c>
      <c r="K207" s="17" t="str">
        <f aca="false">IF($A207="","",COUNTIFS($A$3:$A207,$A207))</f>
        <v/>
      </c>
      <c r="L207" s="17" t="str">
        <f aca="false">IF($A207="","",TEXT($A207,"yyyymmdd")&amp;"|"&amp;$K207)</f>
        <v/>
      </c>
    </row>
    <row r="208" customFormat="false" ht="15" hidden="false" customHeight="true" outlineLevel="0" collapsed="false">
      <c r="A208" s="15"/>
      <c r="B208" s="10"/>
      <c r="C208" s="10"/>
      <c r="D208" s="10"/>
      <c r="E208" s="10"/>
      <c r="F208" s="11"/>
      <c r="G208" s="10"/>
      <c r="H208" s="10"/>
      <c r="I208" s="16" t="str">
        <f aca="false">IF(OR($A208="",$F208=""),"",IF($B208="입금",$F208,0))</f>
        <v/>
      </c>
      <c r="J208" s="16" t="str">
        <f aca="false">IF(OR($A208="",$F208=""),"",IF($B208="출금",$F208,0))</f>
        <v/>
      </c>
      <c r="K208" s="17" t="str">
        <f aca="false">IF($A208="","",COUNTIFS($A$3:$A208,$A208))</f>
        <v/>
      </c>
      <c r="L208" s="17" t="str">
        <f aca="false">IF($A208="","",TEXT($A208,"yyyymmdd")&amp;"|"&amp;$K208)</f>
        <v/>
      </c>
    </row>
    <row r="209" customFormat="false" ht="15" hidden="false" customHeight="true" outlineLevel="0" collapsed="false">
      <c r="A209" s="15"/>
      <c r="B209" s="10"/>
      <c r="C209" s="10"/>
      <c r="D209" s="10"/>
      <c r="E209" s="10"/>
      <c r="F209" s="11"/>
      <c r="G209" s="10"/>
      <c r="H209" s="10"/>
      <c r="I209" s="16" t="str">
        <f aca="false">IF(OR($A209="",$F209=""),"",IF($B209="입금",$F209,0))</f>
        <v/>
      </c>
      <c r="J209" s="16" t="str">
        <f aca="false">IF(OR($A209="",$F209=""),"",IF($B209="출금",$F209,0))</f>
        <v/>
      </c>
      <c r="K209" s="17" t="str">
        <f aca="false">IF($A209="","",COUNTIFS($A$3:$A209,$A209))</f>
        <v/>
      </c>
      <c r="L209" s="17" t="str">
        <f aca="false">IF($A209="","",TEXT($A209,"yyyymmdd")&amp;"|"&amp;$K209)</f>
        <v/>
      </c>
    </row>
    <row r="210" customFormat="false" ht="15" hidden="false" customHeight="true" outlineLevel="0" collapsed="false">
      <c r="A210" s="15"/>
      <c r="B210" s="10"/>
      <c r="C210" s="10"/>
      <c r="D210" s="10"/>
      <c r="E210" s="10"/>
      <c r="F210" s="11"/>
      <c r="G210" s="10"/>
      <c r="H210" s="10"/>
      <c r="I210" s="16" t="str">
        <f aca="false">IF(OR($A210="",$F210=""),"",IF($B210="입금",$F210,0))</f>
        <v/>
      </c>
      <c r="J210" s="16" t="str">
        <f aca="false">IF(OR($A210="",$F210=""),"",IF($B210="출금",$F210,0))</f>
        <v/>
      </c>
      <c r="K210" s="17" t="str">
        <f aca="false">IF($A210="","",COUNTIFS($A$3:$A210,$A210))</f>
        <v/>
      </c>
      <c r="L210" s="17" t="str">
        <f aca="false">IF($A210="","",TEXT($A210,"yyyymmdd")&amp;"|"&amp;$K210)</f>
        <v/>
      </c>
    </row>
    <row r="211" customFormat="false" ht="15" hidden="false" customHeight="true" outlineLevel="0" collapsed="false">
      <c r="A211" s="15"/>
      <c r="B211" s="10"/>
      <c r="C211" s="10"/>
      <c r="D211" s="10"/>
      <c r="E211" s="10"/>
      <c r="F211" s="11"/>
      <c r="G211" s="10"/>
      <c r="H211" s="10"/>
      <c r="I211" s="16" t="str">
        <f aca="false">IF(OR($A211="",$F211=""),"",IF($B211="입금",$F211,0))</f>
        <v/>
      </c>
      <c r="J211" s="16" t="str">
        <f aca="false">IF(OR($A211="",$F211=""),"",IF($B211="출금",$F211,0))</f>
        <v/>
      </c>
      <c r="K211" s="17" t="str">
        <f aca="false">IF($A211="","",COUNTIFS($A$3:$A211,$A211))</f>
        <v/>
      </c>
      <c r="L211" s="17" t="str">
        <f aca="false">IF($A211="","",TEXT($A211,"yyyymmdd")&amp;"|"&amp;$K211)</f>
        <v/>
      </c>
    </row>
    <row r="212" customFormat="false" ht="15" hidden="false" customHeight="true" outlineLevel="0" collapsed="false">
      <c r="A212" s="15"/>
      <c r="B212" s="10"/>
      <c r="C212" s="10"/>
      <c r="D212" s="10"/>
      <c r="E212" s="10"/>
      <c r="F212" s="11"/>
      <c r="G212" s="10"/>
      <c r="H212" s="10"/>
      <c r="I212" s="16" t="str">
        <f aca="false">IF(OR($A212="",$F212=""),"",IF($B212="입금",$F212,0))</f>
        <v/>
      </c>
      <c r="J212" s="16" t="str">
        <f aca="false">IF(OR($A212="",$F212=""),"",IF($B212="출금",$F212,0))</f>
        <v/>
      </c>
      <c r="K212" s="17" t="str">
        <f aca="false">IF($A212="","",COUNTIFS($A$3:$A212,$A212))</f>
        <v/>
      </c>
      <c r="L212" s="17" t="str">
        <f aca="false">IF($A212="","",TEXT($A212,"yyyymmdd")&amp;"|"&amp;$K212)</f>
        <v/>
      </c>
    </row>
    <row r="213" customFormat="false" ht="15" hidden="false" customHeight="true" outlineLevel="0" collapsed="false">
      <c r="A213" s="15"/>
      <c r="B213" s="10"/>
      <c r="C213" s="10"/>
      <c r="D213" s="10"/>
      <c r="E213" s="10"/>
      <c r="F213" s="11"/>
      <c r="G213" s="10"/>
      <c r="H213" s="10"/>
      <c r="I213" s="16" t="str">
        <f aca="false">IF(OR($A213="",$F213=""),"",IF($B213="입금",$F213,0))</f>
        <v/>
      </c>
      <c r="J213" s="16" t="str">
        <f aca="false">IF(OR($A213="",$F213=""),"",IF($B213="출금",$F213,0))</f>
        <v/>
      </c>
      <c r="K213" s="17" t="str">
        <f aca="false">IF($A213="","",COUNTIFS($A$3:$A213,$A213))</f>
        <v/>
      </c>
      <c r="L213" s="17" t="str">
        <f aca="false">IF($A213="","",TEXT($A213,"yyyymmdd")&amp;"|"&amp;$K213)</f>
        <v/>
      </c>
    </row>
    <row r="214" customFormat="false" ht="15" hidden="false" customHeight="true" outlineLevel="0" collapsed="false">
      <c r="A214" s="15"/>
      <c r="B214" s="10"/>
      <c r="C214" s="10"/>
      <c r="D214" s="10"/>
      <c r="E214" s="10"/>
      <c r="F214" s="11"/>
      <c r="G214" s="10"/>
      <c r="H214" s="10"/>
      <c r="I214" s="16" t="str">
        <f aca="false">IF(OR($A214="",$F214=""),"",IF($B214="입금",$F214,0))</f>
        <v/>
      </c>
      <c r="J214" s="16" t="str">
        <f aca="false">IF(OR($A214="",$F214=""),"",IF($B214="출금",$F214,0))</f>
        <v/>
      </c>
      <c r="K214" s="17" t="str">
        <f aca="false">IF($A214="","",COUNTIFS($A$3:$A214,$A214))</f>
        <v/>
      </c>
      <c r="L214" s="17" t="str">
        <f aca="false">IF($A214="","",TEXT($A214,"yyyymmdd")&amp;"|"&amp;$K214)</f>
        <v/>
      </c>
    </row>
    <row r="215" customFormat="false" ht="15" hidden="false" customHeight="true" outlineLevel="0" collapsed="false">
      <c r="A215" s="15"/>
      <c r="B215" s="10"/>
      <c r="C215" s="10"/>
      <c r="D215" s="10"/>
      <c r="E215" s="10"/>
      <c r="F215" s="11"/>
      <c r="G215" s="10"/>
      <c r="H215" s="10"/>
      <c r="I215" s="16" t="str">
        <f aca="false">IF(OR($A215="",$F215=""),"",IF($B215="입금",$F215,0))</f>
        <v/>
      </c>
      <c r="J215" s="16" t="str">
        <f aca="false">IF(OR($A215="",$F215=""),"",IF($B215="출금",$F215,0))</f>
        <v/>
      </c>
      <c r="K215" s="17" t="str">
        <f aca="false">IF($A215="","",COUNTIFS($A$3:$A215,$A215))</f>
        <v/>
      </c>
      <c r="L215" s="17" t="str">
        <f aca="false">IF($A215="","",TEXT($A215,"yyyymmdd")&amp;"|"&amp;$K215)</f>
        <v/>
      </c>
    </row>
    <row r="216" customFormat="false" ht="15" hidden="false" customHeight="true" outlineLevel="0" collapsed="false">
      <c r="A216" s="15"/>
      <c r="B216" s="10"/>
      <c r="C216" s="10"/>
      <c r="D216" s="10"/>
      <c r="E216" s="10"/>
      <c r="F216" s="11"/>
      <c r="G216" s="10"/>
      <c r="H216" s="10"/>
      <c r="I216" s="16" t="str">
        <f aca="false">IF(OR($A216="",$F216=""),"",IF($B216="입금",$F216,0))</f>
        <v/>
      </c>
      <c r="J216" s="16" t="str">
        <f aca="false">IF(OR($A216="",$F216=""),"",IF($B216="출금",$F216,0))</f>
        <v/>
      </c>
      <c r="K216" s="17" t="str">
        <f aca="false">IF($A216="","",COUNTIFS($A$3:$A216,$A216))</f>
        <v/>
      </c>
      <c r="L216" s="17" t="str">
        <f aca="false">IF($A216="","",TEXT($A216,"yyyymmdd")&amp;"|"&amp;$K216)</f>
        <v/>
      </c>
    </row>
    <row r="217" customFormat="false" ht="15" hidden="false" customHeight="true" outlineLevel="0" collapsed="false">
      <c r="A217" s="15"/>
      <c r="B217" s="10"/>
      <c r="C217" s="10"/>
      <c r="D217" s="10"/>
      <c r="E217" s="10"/>
      <c r="F217" s="11"/>
      <c r="G217" s="10"/>
      <c r="H217" s="10"/>
      <c r="I217" s="16" t="str">
        <f aca="false">IF(OR($A217="",$F217=""),"",IF($B217="입금",$F217,0))</f>
        <v/>
      </c>
      <c r="J217" s="16" t="str">
        <f aca="false">IF(OR($A217="",$F217=""),"",IF($B217="출금",$F217,0))</f>
        <v/>
      </c>
      <c r="K217" s="17" t="str">
        <f aca="false">IF($A217="","",COUNTIFS($A$3:$A217,$A217))</f>
        <v/>
      </c>
      <c r="L217" s="17" t="str">
        <f aca="false">IF($A217="","",TEXT($A217,"yyyymmdd")&amp;"|"&amp;$K217)</f>
        <v/>
      </c>
    </row>
    <row r="218" customFormat="false" ht="15" hidden="false" customHeight="true" outlineLevel="0" collapsed="false">
      <c r="A218" s="15"/>
      <c r="B218" s="10"/>
      <c r="C218" s="10"/>
      <c r="D218" s="10"/>
      <c r="E218" s="10"/>
      <c r="F218" s="11"/>
      <c r="G218" s="10"/>
      <c r="H218" s="10"/>
      <c r="I218" s="16" t="str">
        <f aca="false">IF(OR($A218="",$F218=""),"",IF($B218="입금",$F218,0))</f>
        <v/>
      </c>
      <c r="J218" s="16" t="str">
        <f aca="false">IF(OR($A218="",$F218=""),"",IF($B218="출금",$F218,0))</f>
        <v/>
      </c>
      <c r="K218" s="17" t="str">
        <f aca="false">IF($A218="","",COUNTIFS($A$3:$A218,$A218))</f>
        <v/>
      </c>
      <c r="L218" s="17" t="str">
        <f aca="false">IF($A218="","",TEXT($A218,"yyyymmdd")&amp;"|"&amp;$K218)</f>
        <v/>
      </c>
    </row>
    <row r="219" customFormat="false" ht="15" hidden="false" customHeight="true" outlineLevel="0" collapsed="false">
      <c r="A219" s="15"/>
      <c r="B219" s="10"/>
      <c r="C219" s="10"/>
      <c r="D219" s="10"/>
      <c r="E219" s="10"/>
      <c r="F219" s="11"/>
      <c r="G219" s="10"/>
      <c r="H219" s="10"/>
      <c r="I219" s="16" t="str">
        <f aca="false">IF(OR($A219="",$F219=""),"",IF($B219="입금",$F219,0))</f>
        <v/>
      </c>
      <c r="J219" s="16" t="str">
        <f aca="false">IF(OR($A219="",$F219=""),"",IF($B219="출금",$F219,0))</f>
        <v/>
      </c>
      <c r="K219" s="17" t="str">
        <f aca="false">IF($A219="","",COUNTIFS($A$3:$A219,$A219))</f>
        <v/>
      </c>
      <c r="L219" s="17" t="str">
        <f aca="false">IF($A219="","",TEXT($A219,"yyyymmdd")&amp;"|"&amp;$K219)</f>
        <v/>
      </c>
    </row>
    <row r="220" customFormat="false" ht="15" hidden="false" customHeight="true" outlineLevel="0" collapsed="false">
      <c r="A220" s="15"/>
      <c r="B220" s="10"/>
      <c r="C220" s="10"/>
      <c r="D220" s="10"/>
      <c r="E220" s="10"/>
      <c r="F220" s="11"/>
      <c r="G220" s="10"/>
      <c r="H220" s="10"/>
      <c r="I220" s="16" t="str">
        <f aca="false">IF(OR($A220="",$F220=""),"",IF($B220="입금",$F220,0))</f>
        <v/>
      </c>
      <c r="J220" s="16" t="str">
        <f aca="false">IF(OR($A220="",$F220=""),"",IF($B220="출금",$F220,0))</f>
        <v/>
      </c>
      <c r="K220" s="17" t="str">
        <f aca="false">IF($A220="","",COUNTIFS($A$3:$A220,$A220))</f>
        <v/>
      </c>
      <c r="L220" s="17" t="str">
        <f aca="false">IF($A220="","",TEXT($A220,"yyyymmdd")&amp;"|"&amp;$K220)</f>
        <v/>
      </c>
    </row>
    <row r="221" customFormat="false" ht="15" hidden="false" customHeight="true" outlineLevel="0" collapsed="false">
      <c r="A221" s="15"/>
      <c r="B221" s="10"/>
      <c r="C221" s="10"/>
      <c r="D221" s="10"/>
      <c r="E221" s="10"/>
      <c r="F221" s="11"/>
      <c r="G221" s="10"/>
      <c r="H221" s="10"/>
      <c r="I221" s="16" t="str">
        <f aca="false">IF(OR($A221="",$F221=""),"",IF($B221="입금",$F221,0))</f>
        <v/>
      </c>
      <c r="J221" s="16" t="str">
        <f aca="false">IF(OR($A221="",$F221=""),"",IF($B221="출금",$F221,0))</f>
        <v/>
      </c>
      <c r="K221" s="17" t="str">
        <f aca="false">IF($A221="","",COUNTIFS($A$3:$A221,$A221))</f>
        <v/>
      </c>
      <c r="L221" s="17" t="str">
        <f aca="false">IF($A221="","",TEXT($A221,"yyyymmdd")&amp;"|"&amp;$K221)</f>
        <v/>
      </c>
    </row>
    <row r="222" customFormat="false" ht="15" hidden="false" customHeight="true" outlineLevel="0" collapsed="false">
      <c r="A222" s="15"/>
      <c r="B222" s="10"/>
      <c r="C222" s="10"/>
      <c r="D222" s="10"/>
      <c r="E222" s="10"/>
      <c r="F222" s="11"/>
      <c r="G222" s="10"/>
      <c r="H222" s="10"/>
      <c r="I222" s="16" t="str">
        <f aca="false">IF(OR($A222="",$F222=""),"",IF($B222="입금",$F222,0))</f>
        <v/>
      </c>
      <c r="J222" s="16" t="str">
        <f aca="false">IF(OR($A222="",$F222=""),"",IF($B222="출금",$F222,0))</f>
        <v/>
      </c>
      <c r="K222" s="17" t="str">
        <f aca="false">IF($A222="","",COUNTIFS($A$3:$A222,$A222))</f>
        <v/>
      </c>
      <c r="L222" s="17" t="str">
        <f aca="false">IF($A222="","",TEXT($A222,"yyyymmdd")&amp;"|"&amp;$K222)</f>
        <v/>
      </c>
    </row>
    <row r="223" customFormat="false" ht="15" hidden="false" customHeight="true" outlineLevel="0" collapsed="false">
      <c r="A223" s="15"/>
      <c r="B223" s="10"/>
      <c r="C223" s="10"/>
      <c r="D223" s="10"/>
      <c r="E223" s="10"/>
      <c r="F223" s="11"/>
      <c r="G223" s="10"/>
      <c r="H223" s="10"/>
      <c r="I223" s="16" t="str">
        <f aca="false">IF(OR($A223="",$F223=""),"",IF($B223="입금",$F223,0))</f>
        <v/>
      </c>
      <c r="J223" s="16" t="str">
        <f aca="false">IF(OR($A223="",$F223=""),"",IF($B223="출금",$F223,0))</f>
        <v/>
      </c>
      <c r="K223" s="17" t="str">
        <f aca="false">IF($A223="","",COUNTIFS($A$3:$A223,$A223))</f>
        <v/>
      </c>
      <c r="L223" s="17" t="str">
        <f aca="false">IF($A223="","",TEXT($A223,"yyyymmdd")&amp;"|"&amp;$K223)</f>
        <v/>
      </c>
    </row>
    <row r="224" customFormat="false" ht="15" hidden="false" customHeight="true" outlineLevel="0" collapsed="false">
      <c r="A224" s="15"/>
      <c r="B224" s="10"/>
      <c r="C224" s="10"/>
      <c r="D224" s="10"/>
      <c r="E224" s="10"/>
      <c r="F224" s="11"/>
      <c r="G224" s="10"/>
      <c r="H224" s="10"/>
      <c r="I224" s="16" t="str">
        <f aca="false">IF(OR($A224="",$F224=""),"",IF($B224="입금",$F224,0))</f>
        <v/>
      </c>
      <c r="J224" s="16" t="str">
        <f aca="false">IF(OR($A224="",$F224=""),"",IF($B224="출금",$F224,0))</f>
        <v/>
      </c>
      <c r="K224" s="17" t="str">
        <f aca="false">IF($A224="","",COUNTIFS($A$3:$A224,$A224))</f>
        <v/>
      </c>
      <c r="L224" s="17" t="str">
        <f aca="false">IF($A224="","",TEXT($A224,"yyyymmdd")&amp;"|"&amp;$K224)</f>
        <v/>
      </c>
    </row>
    <row r="225" customFormat="false" ht="15" hidden="false" customHeight="true" outlineLevel="0" collapsed="false">
      <c r="A225" s="15"/>
      <c r="B225" s="10"/>
      <c r="C225" s="10"/>
      <c r="D225" s="10"/>
      <c r="E225" s="10"/>
      <c r="F225" s="11"/>
      <c r="G225" s="10"/>
      <c r="H225" s="10"/>
      <c r="I225" s="16" t="str">
        <f aca="false">IF(OR($A225="",$F225=""),"",IF($B225="입금",$F225,0))</f>
        <v/>
      </c>
      <c r="J225" s="16" t="str">
        <f aca="false">IF(OR($A225="",$F225=""),"",IF($B225="출금",$F225,0))</f>
        <v/>
      </c>
      <c r="K225" s="17" t="str">
        <f aca="false">IF($A225="","",COUNTIFS($A$3:$A225,$A225))</f>
        <v/>
      </c>
      <c r="L225" s="17" t="str">
        <f aca="false">IF($A225="","",TEXT($A225,"yyyymmdd")&amp;"|"&amp;$K225)</f>
        <v/>
      </c>
    </row>
    <row r="226" customFormat="false" ht="15" hidden="false" customHeight="true" outlineLevel="0" collapsed="false">
      <c r="A226" s="15"/>
      <c r="B226" s="10"/>
      <c r="C226" s="10"/>
      <c r="D226" s="10"/>
      <c r="E226" s="10"/>
      <c r="F226" s="11"/>
      <c r="G226" s="10"/>
      <c r="H226" s="10"/>
      <c r="I226" s="16" t="str">
        <f aca="false">IF(OR($A226="",$F226=""),"",IF($B226="입금",$F226,0))</f>
        <v/>
      </c>
      <c r="J226" s="16" t="str">
        <f aca="false">IF(OR($A226="",$F226=""),"",IF($B226="출금",$F226,0))</f>
        <v/>
      </c>
      <c r="K226" s="17" t="str">
        <f aca="false">IF($A226="","",COUNTIFS($A$3:$A226,$A226))</f>
        <v/>
      </c>
      <c r="L226" s="17" t="str">
        <f aca="false">IF($A226="","",TEXT($A226,"yyyymmdd")&amp;"|"&amp;$K226)</f>
        <v/>
      </c>
    </row>
    <row r="227" customFormat="false" ht="15" hidden="false" customHeight="true" outlineLevel="0" collapsed="false">
      <c r="A227" s="15"/>
      <c r="B227" s="10"/>
      <c r="C227" s="10"/>
      <c r="D227" s="10"/>
      <c r="E227" s="10"/>
      <c r="F227" s="11"/>
      <c r="G227" s="10"/>
      <c r="H227" s="10"/>
      <c r="I227" s="16" t="str">
        <f aca="false">IF(OR($A227="",$F227=""),"",IF($B227="입금",$F227,0))</f>
        <v/>
      </c>
      <c r="J227" s="16" t="str">
        <f aca="false">IF(OR($A227="",$F227=""),"",IF($B227="출금",$F227,0))</f>
        <v/>
      </c>
      <c r="K227" s="17" t="str">
        <f aca="false">IF($A227="","",COUNTIFS($A$3:$A227,$A227))</f>
        <v/>
      </c>
      <c r="L227" s="17" t="str">
        <f aca="false">IF($A227="","",TEXT($A227,"yyyymmdd")&amp;"|"&amp;$K227)</f>
        <v/>
      </c>
    </row>
    <row r="228" customFormat="false" ht="15" hidden="false" customHeight="true" outlineLevel="0" collapsed="false">
      <c r="A228" s="15"/>
      <c r="B228" s="10"/>
      <c r="C228" s="10"/>
      <c r="D228" s="10"/>
      <c r="E228" s="10"/>
      <c r="F228" s="11"/>
      <c r="G228" s="10"/>
      <c r="H228" s="10"/>
      <c r="I228" s="16" t="str">
        <f aca="false">IF(OR($A228="",$F228=""),"",IF($B228="입금",$F228,0))</f>
        <v/>
      </c>
      <c r="J228" s="16" t="str">
        <f aca="false">IF(OR($A228="",$F228=""),"",IF($B228="출금",$F228,0))</f>
        <v/>
      </c>
      <c r="K228" s="17" t="str">
        <f aca="false">IF($A228="","",COUNTIFS($A$3:$A228,$A228))</f>
        <v/>
      </c>
      <c r="L228" s="17" t="str">
        <f aca="false">IF($A228="","",TEXT($A228,"yyyymmdd")&amp;"|"&amp;$K228)</f>
        <v/>
      </c>
    </row>
    <row r="229" customFormat="false" ht="15" hidden="false" customHeight="true" outlineLevel="0" collapsed="false">
      <c r="A229" s="15"/>
      <c r="B229" s="10"/>
      <c r="C229" s="10"/>
      <c r="D229" s="10"/>
      <c r="E229" s="10"/>
      <c r="F229" s="11"/>
      <c r="G229" s="10"/>
      <c r="H229" s="10"/>
      <c r="I229" s="16" t="str">
        <f aca="false">IF(OR($A229="",$F229=""),"",IF($B229="입금",$F229,0))</f>
        <v/>
      </c>
      <c r="J229" s="16" t="str">
        <f aca="false">IF(OR($A229="",$F229=""),"",IF($B229="출금",$F229,0))</f>
        <v/>
      </c>
      <c r="K229" s="17" t="str">
        <f aca="false">IF($A229="","",COUNTIFS($A$3:$A229,$A229))</f>
        <v/>
      </c>
      <c r="L229" s="17" t="str">
        <f aca="false">IF($A229="","",TEXT($A229,"yyyymmdd")&amp;"|"&amp;$K229)</f>
        <v/>
      </c>
    </row>
    <row r="230" customFormat="false" ht="15" hidden="false" customHeight="true" outlineLevel="0" collapsed="false">
      <c r="A230" s="15"/>
      <c r="B230" s="10"/>
      <c r="C230" s="10"/>
      <c r="D230" s="10"/>
      <c r="E230" s="10"/>
      <c r="F230" s="11"/>
      <c r="G230" s="10"/>
      <c r="H230" s="10"/>
      <c r="I230" s="16" t="str">
        <f aca="false">IF(OR($A230="",$F230=""),"",IF($B230="입금",$F230,0))</f>
        <v/>
      </c>
      <c r="J230" s="16" t="str">
        <f aca="false">IF(OR($A230="",$F230=""),"",IF($B230="출금",$F230,0))</f>
        <v/>
      </c>
      <c r="K230" s="17" t="str">
        <f aca="false">IF($A230="","",COUNTIFS($A$3:$A230,$A230))</f>
        <v/>
      </c>
      <c r="L230" s="17" t="str">
        <f aca="false">IF($A230="","",TEXT($A230,"yyyymmdd")&amp;"|"&amp;$K230)</f>
        <v/>
      </c>
    </row>
    <row r="231" customFormat="false" ht="15" hidden="false" customHeight="true" outlineLevel="0" collapsed="false">
      <c r="A231" s="15"/>
      <c r="B231" s="10"/>
      <c r="C231" s="10"/>
      <c r="D231" s="10"/>
      <c r="E231" s="10"/>
      <c r="F231" s="11"/>
      <c r="G231" s="10"/>
      <c r="H231" s="10"/>
      <c r="I231" s="16" t="str">
        <f aca="false">IF(OR($A231="",$F231=""),"",IF($B231="입금",$F231,0))</f>
        <v/>
      </c>
      <c r="J231" s="16" t="str">
        <f aca="false">IF(OR($A231="",$F231=""),"",IF($B231="출금",$F231,0))</f>
        <v/>
      </c>
      <c r="K231" s="17" t="str">
        <f aca="false">IF($A231="","",COUNTIFS($A$3:$A231,$A231))</f>
        <v/>
      </c>
      <c r="L231" s="17" t="str">
        <f aca="false">IF($A231="","",TEXT($A231,"yyyymmdd")&amp;"|"&amp;$K231)</f>
        <v/>
      </c>
    </row>
    <row r="232" customFormat="false" ht="15" hidden="false" customHeight="true" outlineLevel="0" collapsed="false">
      <c r="A232" s="15"/>
      <c r="B232" s="10"/>
      <c r="C232" s="10"/>
      <c r="D232" s="10"/>
      <c r="E232" s="10"/>
      <c r="F232" s="11"/>
      <c r="G232" s="10"/>
      <c r="H232" s="10"/>
      <c r="I232" s="16" t="str">
        <f aca="false">IF(OR($A232="",$F232=""),"",IF($B232="입금",$F232,0))</f>
        <v/>
      </c>
      <c r="J232" s="16" t="str">
        <f aca="false">IF(OR($A232="",$F232=""),"",IF($B232="출금",$F232,0))</f>
        <v/>
      </c>
      <c r="K232" s="17" t="str">
        <f aca="false">IF($A232="","",COUNTIFS($A$3:$A232,$A232))</f>
        <v/>
      </c>
      <c r="L232" s="17" t="str">
        <f aca="false">IF($A232="","",TEXT($A232,"yyyymmdd")&amp;"|"&amp;$K232)</f>
        <v/>
      </c>
    </row>
    <row r="233" customFormat="false" ht="15" hidden="false" customHeight="true" outlineLevel="0" collapsed="false">
      <c r="A233" s="15"/>
      <c r="B233" s="10"/>
      <c r="C233" s="10"/>
      <c r="D233" s="10"/>
      <c r="E233" s="10"/>
      <c r="F233" s="11"/>
      <c r="G233" s="10"/>
      <c r="H233" s="10"/>
      <c r="I233" s="16" t="str">
        <f aca="false">IF(OR($A233="",$F233=""),"",IF($B233="입금",$F233,0))</f>
        <v/>
      </c>
      <c r="J233" s="16" t="str">
        <f aca="false">IF(OR($A233="",$F233=""),"",IF($B233="출금",$F233,0))</f>
        <v/>
      </c>
      <c r="K233" s="17" t="str">
        <f aca="false">IF($A233="","",COUNTIFS($A$3:$A233,$A233))</f>
        <v/>
      </c>
      <c r="L233" s="17" t="str">
        <f aca="false">IF($A233="","",TEXT($A233,"yyyymmdd")&amp;"|"&amp;$K233)</f>
        <v/>
      </c>
    </row>
    <row r="234" customFormat="false" ht="15" hidden="false" customHeight="true" outlineLevel="0" collapsed="false">
      <c r="A234" s="15"/>
      <c r="B234" s="10"/>
      <c r="C234" s="10"/>
      <c r="D234" s="10"/>
      <c r="E234" s="10"/>
      <c r="F234" s="11"/>
      <c r="G234" s="10"/>
      <c r="H234" s="10"/>
      <c r="I234" s="16" t="str">
        <f aca="false">IF(OR($A234="",$F234=""),"",IF($B234="입금",$F234,0))</f>
        <v/>
      </c>
      <c r="J234" s="16" t="str">
        <f aca="false">IF(OR($A234="",$F234=""),"",IF($B234="출금",$F234,0))</f>
        <v/>
      </c>
      <c r="K234" s="17" t="str">
        <f aca="false">IF($A234="","",COUNTIFS($A$3:$A234,$A234))</f>
        <v/>
      </c>
      <c r="L234" s="17" t="str">
        <f aca="false">IF($A234="","",TEXT($A234,"yyyymmdd")&amp;"|"&amp;$K234)</f>
        <v/>
      </c>
    </row>
    <row r="235" customFormat="false" ht="15" hidden="false" customHeight="true" outlineLevel="0" collapsed="false">
      <c r="A235" s="15"/>
      <c r="B235" s="10"/>
      <c r="C235" s="10"/>
      <c r="D235" s="10"/>
      <c r="E235" s="10"/>
      <c r="F235" s="11"/>
      <c r="G235" s="10"/>
      <c r="H235" s="10"/>
      <c r="I235" s="16" t="str">
        <f aca="false">IF(OR($A235="",$F235=""),"",IF($B235="입금",$F235,0))</f>
        <v/>
      </c>
      <c r="J235" s="16" t="str">
        <f aca="false">IF(OR($A235="",$F235=""),"",IF($B235="출금",$F235,0))</f>
        <v/>
      </c>
      <c r="K235" s="17" t="str">
        <f aca="false">IF($A235="","",COUNTIFS($A$3:$A235,$A235))</f>
        <v/>
      </c>
      <c r="L235" s="17" t="str">
        <f aca="false">IF($A235="","",TEXT($A235,"yyyymmdd")&amp;"|"&amp;$K235)</f>
        <v/>
      </c>
    </row>
    <row r="236" customFormat="false" ht="15" hidden="false" customHeight="true" outlineLevel="0" collapsed="false">
      <c r="A236" s="15"/>
      <c r="B236" s="10"/>
      <c r="C236" s="10"/>
      <c r="D236" s="10"/>
      <c r="E236" s="10"/>
      <c r="F236" s="11"/>
      <c r="G236" s="10"/>
      <c r="H236" s="10"/>
      <c r="I236" s="16" t="str">
        <f aca="false">IF(OR($A236="",$F236=""),"",IF($B236="입금",$F236,0))</f>
        <v/>
      </c>
      <c r="J236" s="16" t="str">
        <f aca="false">IF(OR($A236="",$F236=""),"",IF($B236="출금",$F236,0))</f>
        <v/>
      </c>
      <c r="K236" s="17" t="str">
        <f aca="false">IF($A236="","",COUNTIFS($A$3:$A236,$A236))</f>
        <v/>
      </c>
      <c r="L236" s="17" t="str">
        <f aca="false">IF($A236="","",TEXT($A236,"yyyymmdd")&amp;"|"&amp;$K236)</f>
        <v/>
      </c>
    </row>
    <row r="237" customFormat="false" ht="15" hidden="false" customHeight="true" outlineLevel="0" collapsed="false">
      <c r="A237" s="15"/>
      <c r="B237" s="10"/>
      <c r="C237" s="10"/>
      <c r="D237" s="10"/>
      <c r="E237" s="10"/>
      <c r="F237" s="11"/>
      <c r="G237" s="10"/>
      <c r="H237" s="10"/>
      <c r="I237" s="16" t="str">
        <f aca="false">IF(OR($A237="",$F237=""),"",IF($B237="입금",$F237,0))</f>
        <v/>
      </c>
      <c r="J237" s="16" t="str">
        <f aca="false">IF(OR($A237="",$F237=""),"",IF($B237="출금",$F237,0))</f>
        <v/>
      </c>
      <c r="K237" s="17" t="str">
        <f aca="false">IF($A237="","",COUNTIFS($A$3:$A237,$A237))</f>
        <v/>
      </c>
      <c r="L237" s="17" t="str">
        <f aca="false">IF($A237="","",TEXT($A237,"yyyymmdd")&amp;"|"&amp;$K237)</f>
        <v/>
      </c>
    </row>
    <row r="238" customFormat="false" ht="15" hidden="false" customHeight="true" outlineLevel="0" collapsed="false">
      <c r="A238" s="15"/>
      <c r="B238" s="10"/>
      <c r="C238" s="10"/>
      <c r="D238" s="10"/>
      <c r="E238" s="10"/>
      <c r="F238" s="11"/>
      <c r="G238" s="10"/>
      <c r="H238" s="10"/>
      <c r="I238" s="16" t="str">
        <f aca="false">IF(OR($A238="",$F238=""),"",IF($B238="입금",$F238,0))</f>
        <v/>
      </c>
      <c r="J238" s="16" t="str">
        <f aca="false">IF(OR($A238="",$F238=""),"",IF($B238="출금",$F238,0))</f>
        <v/>
      </c>
      <c r="K238" s="17" t="str">
        <f aca="false">IF($A238="","",COUNTIFS($A$3:$A238,$A238))</f>
        <v/>
      </c>
      <c r="L238" s="17" t="str">
        <f aca="false">IF($A238="","",TEXT($A238,"yyyymmdd")&amp;"|"&amp;$K238)</f>
        <v/>
      </c>
    </row>
    <row r="239" customFormat="false" ht="15" hidden="false" customHeight="true" outlineLevel="0" collapsed="false">
      <c r="A239" s="15"/>
      <c r="B239" s="10"/>
      <c r="C239" s="10"/>
      <c r="D239" s="10"/>
      <c r="E239" s="10"/>
      <c r="F239" s="11"/>
      <c r="G239" s="10"/>
      <c r="H239" s="10"/>
      <c r="I239" s="16" t="str">
        <f aca="false">IF(OR($A239="",$F239=""),"",IF($B239="입금",$F239,0))</f>
        <v/>
      </c>
      <c r="J239" s="16" t="str">
        <f aca="false">IF(OR($A239="",$F239=""),"",IF($B239="출금",$F239,0))</f>
        <v/>
      </c>
      <c r="K239" s="17" t="str">
        <f aca="false">IF($A239="","",COUNTIFS($A$3:$A239,$A239))</f>
        <v/>
      </c>
      <c r="L239" s="17" t="str">
        <f aca="false">IF($A239="","",TEXT($A239,"yyyymmdd")&amp;"|"&amp;$K239)</f>
        <v/>
      </c>
    </row>
    <row r="240" customFormat="false" ht="15" hidden="false" customHeight="true" outlineLevel="0" collapsed="false">
      <c r="A240" s="15"/>
      <c r="B240" s="10"/>
      <c r="C240" s="10"/>
      <c r="D240" s="10"/>
      <c r="E240" s="10"/>
      <c r="F240" s="11"/>
      <c r="G240" s="10"/>
      <c r="H240" s="10"/>
      <c r="I240" s="16" t="str">
        <f aca="false">IF(OR($A240="",$F240=""),"",IF($B240="입금",$F240,0))</f>
        <v/>
      </c>
      <c r="J240" s="16" t="str">
        <f aca="false">IF(OR($A240="",$F240=""),"",IF($B240="출금",$F240,0))</f>
        <v/>
      </c>
      <c r="K240" s="17" t="str">
        <f aca="false">IF($A240="","",COUNTIFS($A$3:$A240,$A240))</f>
        <v/>
      </c>
      <c r="L240" s="17" t="str">
        <f aca="false">IF($A240="","",TEXT($A240,"yyyymmdd")&amp;"|"&amp;$K240)</f>
        <v/>
      </c>
    </row>
    <row r="241" customFormat="false" ht="15" hidden="false" customHeight="true" outlineLevel="0" collapsed="false">
      <c r="A241" s="15"/>
      <c r="B241" s="10"/>
      <c r="C241" s="10"/>
      <c r="D241" s="10"/>
      <c r="E241" s="10"/>
      <c r="F241" s="11"/>
      <c r="G241" s="10"/>
      <c r="H241" s="10"/>
      <c r="I241" s="16" t="str">
        <f aca="false">IF(OR($A241="",$F241=""),"",IF($B241="입금",$F241,0))</f>
        <v/>
      </c>
      <c r="J241" s="16" t="str">
        <f aca="false">IF(OR($A241="",$F241=""),"",IF($B241="출금",$F241,0))</f>
        <v/>
      </c>
      <c r="K241" s="17" t="str">
        <f aca="false">IF($A241="","",COUNTIFS($A$3:$A241,$A241))</f>
        <v/>
      </c>
      <c r="L241" s="17" t="str">
        <f aca="false">IF($A241="","",TEXT($A241,"yyyymmdd")&amp;"|"&amp;$K241)</f>
        <v/>
      </c>
    </row>
    <row r="242" customFormat="false" ht="15" hidden="false" customHeight="true" outlineLevel="0" collapsed="false">
      <c r="A242" s="15"/>
      <c r="B242" s="10"/>
      <c r="C242" s="10"/>
      <c r="D242" s="10"/>
      <c r="E242" s="10"/>
      <c r="F242" s="11"/>
      <c r="G242" s="10"/>
      <c r="H242" s="10"/>
      <c r="I242" s="16" t="str">
        <f aca="false">IF(OR($A242="",$F242=""),"",IF($B242="입금",$F242,0))</f>
        <v/>
      </c>
      <c r="J242" s="16" t="str">
        <f aca="false">IF(OR($A242="",$F242=""),"",IF($B242="출금",$F242,0))</f>
        <v/>
      </c>
      <c r="K242" s="17" t="str">
        <f aca="false">IF($A242="","",COUNTIFS($A$3:$A242,$A242))</f>
        <v/>
      </c>
      <c r="L242" s="17" t="str">
        <f aca="false">IF($A242="","",TEXT($A242,"yyyymmdd")&amp;"|"&amp;$K242)</f>
        <v/>
      </c>
    </row>
    <row r="243" customFormat="false" ht="15" hidden="false" customHeight="true" outlineLevel="0" collapsed="false">
      <c r="A243" s="15"/>
      <c r="B243" s="10"/>
      <c r="C243" s="10"/>
      <c r="D243" s="10"/>
      <c r="E243" s="10"/>
      <c r="F243" s="11"/>
      <c r="G243" s="10"/>
      <c r="H243" s="10"/>
      <c r="I243" s="16" t="str">
        <f aca="false">IF(OR($A243="",$F243=""),"",IF($B243="입금",$F243,0))</f>
        <v/>
      </c>
      <c r="J243" s="16" t="str">
        <f aca="false">IF(OR($A243="",$F243=""),"",IF($B243="출금",$F243,0))</f>
        <v/>
      </c>
      <c r="K243" s="17" t="str">
        <f aca="false">IF($A243="","",COUNTIFS($A$3:$A243,$A243))</f>
        <v/>
      </c>
      <c r="L243" s="17" t="str">
        <f aca="false">IF($A243="","",TEXT($A243,"yyyymmdd")&amp;"|"&amp;$K243)</f>
        <v/>
      </c>
    </row>
    <row r="244" customFormat="false" ht="15" hidden="false" customHeight="true" outlineLevel="0" collapsed="false">
      <c r="A244" s="15"/>
      <c r="B244" s="10"/>
      <c r="C244" s="10"/>
      <c r="D244" s="10"/>
      <c r="E244" s="10"/>
      <c r="F244" s="11"/>
      <c r="G244" s="10"/>
      <c r="H244" s="10"/>
      <c r="I244" s="16" t="str">
        <f aca="false">IF(OR($A244="",$F244=""),"",IF($B244="입금",$F244,0))</f>
        <v/>
      </c>
      <c r="J244" s="16" t="str">
        <f aca="false">IF(OR($A244="",$F244=""),"",IF($B244="출금",$F244,0))</f>
        <v/>
      </c>
      <c r="K244" s="17" t="str">
        <f aca="false">IF($A244="","",COUNTIFS($A$3:$A244,$A244))</f>
        <v/>
      </c>
      <c r="L244" s="17" t="str">
        <f aca="false">IF($A244="","",TEXT($A244,"yyyymmdd")&amp;"|"&amp;$K244)</f>
        <v/>
      </c>
    </row>
    <row r="245" customFormat="false" ht="15" hidden="false" customHeight="true" outlineLevel="0" collapsed="false">
      <c r="A245" s="15"/>
      <c r="B245" s="10"/>
      <c r="C245" s="10"/>
      <c r="D245" s="10"/>
      <c r="E245" s="10"/>
      <c r="F245" s="11"/>
      <c r="G245" s="10"/>
      <c r="H245" s="10"/>
      <c r="I245" s="16" t="str">
        <f aca="false">IF(OR($A245="",$F245=""),"",IF($B245="입금",$F245,0))</f>
        <v/>
      </c>
      <c r="J245" s="16" t="str">
        <f aca="false">IF(OR($A245="",$F245=""),"",IF($B245="출금",$F245,0))</f>
        <v/>
      </c>
      <c r="K245" s="17" t="str">
        <f aca="false">IF($A245="","",COUNTIFS($A$3:$A245,$A245))</f>
        <v/>
      </c>
      <c r="L245" s="17" t="str">
        <f aca="false">IF($A245="","",TEXT($A245,"yyyymmdd")&amp;"|"&amp;$K245)</f>
        <v/>
      </c>
    </row>
    <row r="246" customFormat="false" ht="15" hidden="false" customHeight="true" outlineLevel="0" collapsed="false">
      <c r="A246" s="15"/>
      <c r="B246" s="10"/>
      <c r="C246" s="10"/>
      <c r="D246" s="10"/>
      <c r="E246" s="10"/>
      <c r="F246" s="11"/>
      <c r="G246" s="10"/>
      <c r="H246" s="10"/>
      <c r="I246" s="16" t="str">
        <f aca="false">IF(OR($A246="",$F246=""),"",IF($B246="입금",$F246,0))</f>
        <v/>
      </c>
      <c r="J246" s="16" t="str">
        <f aca="false">IF(OR($A246="",$F246=""),"",IF($B246="출금",$F246,0))</f>
        <v/>
      </c>
      <c r="K246" s="17" t="str">
        <f aca="false">IF($A246="","",COUNTIFS($A$3:$A246,$A246))</f>
        <v/>
      </c>
      <c r="L246" s="17" t="str">
        <f aca="false">IF($A246="","",TEXT($A246,"yyyymmdd")&amp;"|"&amp;$K246)</f>
        <v/>
      </c>
    </row>
    <row r="247" customFormat="false" ht="15" hidden="false" customHeight="true" outlineLevel="0" collapsed="false">
      <c r="A247" s="15"/>
      <c r="B247" s="10"/>
      <c r="C247" s="10"/>
      <c r="D247" s="10"/>
      <c r="E247" s="10"/>
      <c r="F247" s="11"/>
      <c r="G247" s="10"/>
      <c r="H247" s="10"/>
      <c r="I247" s="16" t="str">
        <f aca="false">IF(OR($A247="",$F247=""),"",IF($B247="입금",$F247,0))</f>
        <v/>
      </c>
      <c r="J247" s="16" t="str">
        <f aca="false">IF(OR($A247="",$F247=""),"",IF($B247="출금",$F247,0))</f>
        <v/>
      </c>
      <c r="K247" s="17" t="str">
        <f aca="false">IF($A247="","",COUNTIFS($A$3:$A247,$A247))</f>
        <v/>
      </c>
      <c r="L247" s="17" t="str">
        <f aca="false">IF($A247="","",TEXT($A247,"yyyymmdd")&amp;"|"&amp;$K247)</f>
        <v/>
      </c>
    </row>
    <row r="248" customFormat="false" ht="15" hidden="false" customHeight="true" outlineLevel="0" collapsed="false">
      <c r="A248" s="15"/>
      <c r="B248" s="10"/>
      <c r="C248" s="10"/>
      <c r="D248" s="10"/>
      <c r="E248" s="10"/>
      <c r="F248" s="11"/>
      <c r="G248" s="10"/>
      <c r="H248" s="10"/>
      <c r="I248" s="16" t="str">
        <f aca="false">IF(OR($A248="",$F248=""),"",IF($B248="입금",$F248,0))</f>
        <v/>
      </c>
      <c r="J248" s="16" t="str">
        <f aca="false">IF(OR($A248="",$F248=""),"",IF($B248="출금",$F248,0))</f>
        <v/>
      </c>
      <c r="K248" s="17" t="str">
        <f aca="false">IF($A248="","",COUNTIFS($A$3:$A248,$A248))</f>
        <v/>
      </c>
      <c r="L248" s="17" t="str">
        <f aca="false">IF($A248="","",TEXT($A248,"yyyymmdd")&amp;"|"&amp;$K248)</f>
        <v/>
      </c>
    </row>
    <row r="249" customFormat="false" ht="15" hidden="false" customHeight="true" outlineLevel="0" collapsed="false">
      <c r="A249" s="15"/>
      <c r="B249" s="10"/>
      <c r="C249" s="10"/>
      <c r="D249" s="10"/>
      <c r="E249" s="10"/>
      <c r="F249" s="11"/>
      <c r="G249" s="10"/>
      <c r="H249" s="10"/>
      <c r="I249" s="16" t="str">
        <f aca="false">IF(OR($A249="",$F249=""),"",IF($B249="입금",$F249,0))</f>
        <v/>
      </c>
      <c r="J249" s="16" t="str">
        <f aca="false">IF(OR($A249="",$F249=""),"",IF($B249="출금",$F249,0))</f>
        <v/>
      </c>
      <c r="K249" s="17" t="str">
        <f aca="false">IF($A249="","",COUNTIFS($A$3:$A249,$A249))</f>
        <v/>
      </c>
      <c r="L249" s="17" t="str">
        <f aca="false">IF($A249="","",TEXT($A249,"yyyymmdd")&amp;"|"&amp;$K249)</f>
        <v/>
      </c>
    </row>
    <row r="250" customFormat="false" ht="15" hidden="false" customHeight="true" outlineLevel="0" collapsed="false">
      <c r="A250" s="15"/>
      <c r="B250" s="10"/>
      <c r="C250" s="10"/>
      <c r="D250" s="10"/>
      <c r="E250" s="10"/>
      <c r="F250" s="11"/>
      <c r="G250" s="10"/>
      <c r="H250" s="10"/>
      <c r="I250" s="16" t="str">
        <f aca="false">IF(OR($A250="",$F250=""),"",IF($B250="입금",$F250,0))</f>
        <v/>
      </c>
      <c r="J250" s="16" t="str">
        <f aca="false">IF(OR($A250="",$F250=""),"",IF($B250="출금",$F250,0))</f>
        <v/>
      </c>
      <c r="K250" s="17" t="str">
        <f aca="false">IF($A250="","",COUNTIFS($A$3:$A250,$A250))</f>
        <v/>
      </c>
      <c r="L250" s="17" t="str">
        <f aca="false">IF($A250="","",TEXT($A250,"yyyymmdd")&amp;"|"&amp;$K250)</f>
        <v/>
      </c>
    </row>
    <row r="251" customFormat="false" ht="15" hidden="false" customHeight="true" outlineLevel="0" collapsed="false">
      <c r="A251" s="15"/>
      <c r="B251" s="10"/>
      <c r="C251" s="10"/>
      <c r="D251" s="10"/>
      <c r="E251" s="10"/>
      <c r="F251" s="11"/>
      <c r="G251" s="10"/>
      <c r="H251" s="10"/>
      <c r="I251" s="16" t="str">
        <f aca="false">IF(OR($A251="",$F251=""),"",IF($B251="입금",$F251,0))</f>
        <v/>
      </c>
      <c r="J251" s="16" t="str">
        <f aca="false">IF(OR($A251="",$F251=""),"",IF($B251="출금",$F251,0))</f>
        <v/>
      </c>
      <c r="K251" s="17" t="str">
        <f aca="false">IF($A251="","",COUNTIFS($A$3:$A251,$A251))</f>
        <v/>
      </c>
      <c r="L251" s="17" t="str">
        <f aca="false">IF($A251="","",TEXT($A251,"yyyymmdd")&amp;"|"&amp;$K251)</f>
        <v/>
      </c>
    </row>
    <row r="252" customFormat="false" ht="15" hidden="false" customHeight="true" outlineLevel="0" collapsed="false">
      <c r="A252" s="15"/>
      <c r="B252" s="10"/>
      <c r="C252" s="10"/>
      <c r="D252" s="10"/>
      <c r="E252" s="10"/>
      <c r="F252" s="11"/>
      <c r="G252" s="10"/>
      <c r="H252" s="10"/>
      <c r="I252" s="16" t="str">
        <f aca="false">IF(OR($A252="",$F252=""),"",IF($B252="입금",$F252,0))</f>
        <v/>
      </c>
      <c r="J252" s="16" t="str">
        <f aca="false">IF(OR($A252="",$F252=""),"",IF($B252="출금",$F252,0))</f>
        <v/>
      </c>
      <c r="K252" s="17" t="str">
        <f aca="false">IF($A252="","",COUNTIFS($A$3:$A252,$A252))</f>
        <v/>
      </c>
      <c r="L252" s="17" t="str">
        <f aca="false">IF($A252="","",TEXT($A252,"yyyymmdd")&amp;"|"&amp;$K252)</f>
        <v/>
      </c>
    </row>
    <row r="253" customFormat="false" ht="15" hidden="false" customHeight="true" outlineLevel="0" collapsed="false">
      <c r="A253" s="15"/>
      <c r="B253" s="10"/>
      <c r="C253" s="10"/>
      <c r="D253" s="10"/>
      <c r="E253" s="10"/>
      <c r="F253" s="11"/>
      <c r="G253" s="10"/>
      <c r="H253" s="10"/>
      <c r="I253" s="16" t="str">
        <f aca="false">IF(OR($A253="",$F253=""),"",IF($B253="입금",$F253,0))</f>
        <v/>
      </c>
      <c r="J253" s="16" t="str">
        <f aca="false">IF(OR($A253="",$F253=""),"",IF($B253="출금",$F253,0))</f>
        <v/>
      </c>
      <c r="K253" s="17" t="str">
        <f aca="false">IF($A253="","",COUNTIFS($A$3:$A253,$A253))</f>
        <v/>
      </c>
      <c r="L253" s="17" t="str">
        <f aca="false">IF($A253="","",TEXT($A253,"yyyymmdd")&amp;"|"&amp;$K253)</f>
        <v/>
      </c>
    </row>
    <row r="254" customFormat="false" ht="15" hidden="false" customHeight="true" outlineLevel="0" collapsed="false">
      <c r="A254" s="15"/>
      <c r="B254" s="10"/>
      <c r="C254" s="10"/>
      <c r="D254" s="10"/>
      <c r="E254" s="10"/>
      <c r="F254" s="11"/>
      <c r="G254" s="10"/>
      <c r="H254" s="10"/>
      <c r="I254" s="16" t="str">
        <f aca="false">IF(OR($A254="",$F254=""),"",IF($B254="입금",$F254,0))</f>
        <v/>
      </c>
      <c r="J254" s="16" t="str">
        <f aca="false">IF(OR($A254="",$F254=""),"",IF($B254="출금",$F254,0))</f>
        <v/>
      </c>
      <c r="K254" s="17" t="str">
        <f aca="false">IF($A254="","",COUNTIFS($A$3:$A254,$A254))</f>
        <v/>
      </c>
      <c r="L254" s="17" t="str">
        <f aca="false">IF($A254="","",TEXT($A254,"yyyymmdd")&amp;"|"&amp;$K254)</f>
        <v/>
      </c>
    </row>
    <row r="255" customFormat="false" ht="15" hidden="false" customHeight="true" outlineLevel="0" collapsed="false">
      <c r="A255" s="15"/>
      <c r="B255" s="10"/>
      <c r="C255" s="10"/>
      <c r="D255" s="10"/>
      <c r="E255" s="10"/>
      <c r="F255" s="11"/>
      <c r="G255" s="10"/>
      <c r="H255" s="10"/>
      <c r="I255" s="16" t="str">
        <f aca="false">IF(OR($A255="",$F255=""),"",IF($B255="입금",$F255,0))</f>
        <v/>
      </c>
      <c r="J255" s="16" t="str">
        <f aca="false">IF(OR($A255="",$F255=""),"",IF($B255="출금",$F255,0))</f>
        <v/>
      </c>
      <c r="K255" s="17" t="str">
        <f aca="false">IF($A255="","",COUNTIFS($A$3:$A255,$A255))</f>
        <v/>
      </c>
      <c r="L255" s="17" t="str">
        <f aca="false">IF($A255="","",TEXT($A255,"yyyymmdd")&amp;"|"&amp;$K255)</f>
        <v/>
      </c>
    </row>
    <row r="256" customFormat="false" ht="15" hidden="false" customHeight="true" outlineLevel="0" collapsed="false">
      <c r="A256" s="15"/>
      <c r="B256" s="10"/>
      <c r="C256" s="10"/>
      <c r="D256" s="10"/>
      <c r="E256" s="10"/>
      <c r="F256" s="11"/>
      <c r="G256" s="10"/>
      <c r="H256" s="10"/>
      <c r="I256" s="16" t="str">
        <f aca="false">IF(OR($A256="",$F256=""),"",IF($B256="입금",$F256,0))</f>
        <v/>
      </c>
      <c r="J256" s="16" t="str">
        <f aca="false">IF(OR($A256="",$F256=""),"",IF($B256="출금",$F256,0))</f>
        <v/>
      </c>
      <c r="K256" s="17" t="str">
        <f aca="false">IF($A256="","",COUNTIFS($A$3:$A256,$A256))</f>
        <v/>
      </c>
      <c r="L256" s="17" t="str">
        <f aca="false">IF($A256="","",TEXT($A256,"yyyymmdd")&amp;"|"&amp;$K256)</f>
        <v/>
      </c>
    </row>
    <row r="257" customFormat="false" ht="15" hidden="false" customHeight="true" outlineLevel="0" collapsed="false">
      <c r="A257" s="15"/>
      <c r="B257" s="10"/>
      <c r="C257" s="10"/>
      <c r="D257" s="10"/>
      <c r="E257" s="10"/>
      <c r="F257" s="11"/>
      <c r="G257" s="10"/>
      <c r="H257" s="10"/>
      <c r="I257" s="16" t="str">
        <f aca="false">IF(OR($A257="",$F257=""),"",IF($B257="입금",$F257,0))</f>
        <v/>
      </c>
      <c r="J257" s="16" t="str">
        <f aca="false">IF(OR($A257="",$F257=""),"",IF($B257="출금",$F257,0))</f>
        <v/>
      </c>
      <c r="K257" s="17" t="str">
        <f aca="false">IF($A257="","",COUNTIFS($A$3:$A257,$A257))</f>
        <v/>
      </c>
      <c r="L257" s="17" t="str">
        <f aca="false">IF($A257="","",TEXT($A257,"yyyymmdd")&amp;"|"&amp;$K257)</f>
        <v/>
      </c>
    </row>
    <row r="258" customFormat="false" ht="15" hidden="false" customHeight="true" outlineLevel="0" collapsed="false">
      <c r="A258" s="15"/>
      <c r="B258" s="10"/>
      <c r="C258" s="10"/>
      <c r="D258" s="10"/>
      <c r="E258" s="10"/>
      <c r="F258" s="11"/>
      <c r="G258" s="10"/>
      <c r="H258" s="10"/>
      <c r="I258" s="16" t="str">
        <f aca="false">IF(OR($A258="",$F258=""),"",IF($B258="입금",$F258,0))</f>
        <v/>
      </c>
      <c r="J258" s="16" t="str">
        <f aca="false">IF(OR($A258="",$F258=""),"",IF($B258="출금",$F258,0))</f>
        <v/>
      </c>
      <c r="K258" s="17" t="str">
        <f aca="false">IF($A258="","",COUNTIFS($A$3:$A258,$A258))</f>
        <v/>
      </c>
      <c r="L258" s="17" t="str">
        <f aca="false">IF($A258="","",TEXT($A258,"yyyymmdd")&amp;"|"&amp;$K258)</f>
        <v/>
      </c>
    </row>
    <row r="259" customFormat="false" ht="15" hidden="false" customHeight="true" outlineLevel="0" collapsed="false">
      <c r="A259" s="15"/>
      <c r="B259" s="10"/>
      <c r="C259" s="10"/>
      <c r="D259" s="10"/>
      <c r="E259" s="10"/>
      <c r="F259" s="11"/>
      <c r="G259" s="10"/>
      <c r="H259" s="10"/>
      <c r="I259" s="16" t="str">
        <f aca="false">IF(OR($A259="",$F259=""),"",IF($B259="입금",$F259,0))</f>
        <v/>
      </c>
      <c r="J259" s="16" t="str">
        <f aca="false">IF(OR($A259="",$F259=""),"",IF($B259="출금",$F259,0))</f>
        <v/>
      </c>
      <c r="K259" s="17" t="str">
        <f aca="false">IF($A259="","",COUNTIFS($A$3:$A259,$A259))</f>
        <v/>
      </c>
      <c r="L259" s="17" t="str">
        <f aca="false">IF($A259="","",TEXT($A259,"yyyymmdd")&amp;"|"&amp;$K259)</f>
        <v/>
      </c>
    </row>
    <row r="260" customFormat="false" ht="15" hidden="false" customHeight="true" outlineLevel="0" collapsed="false">
      <c r="A260" s="15"/>
      <c r="B260" s="10"/>
      <c r="C260" s="10"/>
      <c r="D260" s="10"/>
      <c r="E260" s="10"/>
      <c r="F260" s="11"/>
      <c r="G260" s="10"/>
      <c r="H260" s="10"/>
      <c r="I260" s="16" t="str">
        <f aca="false">IF(OR($A260="",$F260=""),"",IF($B260="입금",$F260,0))</f>
        <v/>
      </c>
      <c r="J260" s="16" t="str">
        <f aca="false">IF(OR($A260="",$F260=""),"",IF($B260="출금",$F260,0))</f>
        <v/>
      </c>
      <c r="K260" s="17" t="str">
        <f aca="false">IF($A260="","",COUNTIFS($A$3:$A260,$A260))</f>
        <v/>
      </c>
      <c r="L260" s="17" t="str">
        <f aca="false">IF($A260="","",TEXT($A260,"yyyymmdd")&amp;"|"&amp;$K260)</f>
        <v/>
      </c>
    </row>
    <row r="261" customFormat="false" ht="15" hidden="false" customHeight="true" outlineLevel="0" collapsed="false">
      <c r="A261" s="15"/>
      <c r="B261" s="10"/>
      <c r="C261" s="10"/>
      <c r="D261" s="10"/>
      <c r="E261" s="10"/>
      <c r="F261" s="11"/>
      <c r="G261" s="10"/>
      <c r="H261" s="10"/>
      <c r="I261" s="16" t="str">
        <f aca="false">IF(OR($A261="",$F261=""),"",IF($B261="입금",$F261,0))</f>
        <v/>
      </c>
      <c r="J261" s="16" t="str">
        <f aca="false">IF(OR($A261="",$F261=""),"",IF($B261="출금",$F261,0))</f>
        <v/>
      </c>
      <c r="K261" s="17" t="str">
        <f aca="false">IF($A261="","",COUNTIFS($A$3:$A261,$A261))</f>
        <v/>
      </c>
      <c r="L261" s="17" t="str">
        <f aca="false">IF($A261="","",TEXT($A261,"yyyymmdd")&amp;"|"&amp;$K261)</f>
        <v/>
      </c>
    </row>
    <row r="262" customFormat="false" ht="15" hidden="false" customHeight="true" outlineLevel="0" collapsed="false">
      <c r="A262" s="15"/>
      <c r="B262" s="10"/>
      <c r="C262" s="10"/>
      <c r="D262" s="10"/>
      <c r="E262" s="10"/>
      <c r="F262" s="11"/>
      <c r="G262" s="10"/>
      <c r="H262" s="10"/>
      <c r="I262" s="16" t="str">
        <f aca="false">IF(OR($A262="",$F262=""),"",IF($B262="입금",$F262,0))</f>
        <v/>
      </c>
      <c r="J262" s="16" t="str">
        <f aca="false">IF(OR($A262="",$F262=""),"",IF($B262="출금",$F262,0))</f>
        <v/>
      </c>
      <c r="K262" s="17" t="str">
        <f aca="false">IF($A262="","",COUNTIFS($A$3:$A262,$A262))</f>
        <v/>
      </c>
      <c r="L262" s="17" t="str">
        <f aca="false">IF($A262="","",TEXT($A262,"yyyymmdd")&amp;"|"&amp;$K262)</f>
        <v/>
      </c>
    </row>
    <row r="263" customFormat="false" ht="15" hidden="false" customHeight="true" outlineLevel="0" collapsed="false">
      <c r="A263" s="15"/>
      <c r="B263" s="10"/>
      <c r="C263" s="10"/>
      <c r="D263" s="10"/>
      <c r="E263" s="10"/>
      <c r="F263" s="11"/>
      <c r="G263" s="10"/>
      <c r="H263" s="10"/>
      <c r="I263" s="16" t="str">
        <f aca="false">IF(OR($A263="",$F263=""),"",IF($B263="입금",$F263,0))</f>
        <v/>
      </c>
      <c r="J263" s="16" t="str">
        <f aca="false">IF(OR($A263="",$F263=""),"",IF($B263="출금",$F263,0))</f>
        <v/>
      </c>
      <c r="K263" s="17" t="str">
        <f aca="false">IF($A263="","",COUNTIFS($A$3:$A263,$A263))</f>
        <v/>
      </c>
      <c r="L263" s="17" t="str">
        <f aca="false">IF($A263="","",TEXT($A263,"yyyymmdd")&amp;"|"&amp;$K263)</f>
        <v/>
      </c>
    </row>
    <row r="264" customFormat="false" ht="15" hidden="false" customHeight="true" outlineLevel="0" collapsed="false">
      <c r="A264" s="15"/>
      <c r="B264" s="10"/>
      <c r="C264" s="10"/>
      <c r="D264" s="10"/>
      <c r="E264" s="10"/>
      <c r="F264" s="11"/>
      <c r="G264" s="10"/>
      <c r="H264" s="10"/>
      <c r="I264" s="16" t="str">
        <f aca="false">IF(OR($A264="",$F264=""),"",IF($B264="입금",$F264,0))</f>
        <v/>
      </c>
      <c r="J264" s="16" t="str">
        <f aca="false">IF(OR($A264="",$F264=""),"",IF($B264="출금",$F264,0))</f>
        <v/>
      </c>
      <c r="K264" s="17" t="str">
        <f aca="false">IF($A264="","",COUNTIFS($A$3:$A264,$A264))</f>
        <v/>
      </c>
      <c r="L264" s="17" t="str">
        <f aca="false">IF($A264="","",TEXT($A264,"yyyymmdd")&amp;"|"&amp;$K264)</f>
        <v/>
      </c>
    </row>
    <row r="265" customFormat="false" ht="15" hidden="false" customHeight="true" outlineLevel="0" collapsed="false">
      <c r="A265" s="15"/>
      <c r="B265" s="10"/>
      <c r="C265" s="10"/>
      <c r="D265" s="10"/>
      <c r="E265" s="10"/>
      <c r="F265" s="11"/>
      <c r="G265" s="10"/>
      <c r="H265" s="10"/>
      <c r="I265" s="16" t="str">
        <f aca="false">IF(OR($A265="",$F265=""),"",IF($B265="입금",$F265,0))</f>
        <v/>
      </c>
      <c r="J265" s="16" t="str">
        <f aca="false">IF(OR($A265="",$F265=""),"",IF($B265="출금",$F265,0))</f>
        <v/>
      </c>
      <c r="K265" s="17" t="str">
        <f aca="false">IF($A265="","",COUNTIFS($A$3:$A265,$A265))</f>
        <v/>
      </c>
      <c r="L265" s="17" t="str">
        <f aca="false">IF($A265="","",TEXT($A265,"yyyymmdd")&amp;"|"&amp;$K265)</f>
        <v/>
      </c>
    </row>
    <row r="266" customFormat="false" ht="15" hidden="false" customHeight="true" outlineLevel="0" collapsed="false">
      <c r="A266" s="15"/>
      <c r="B266" s="10"/>
      <c r="C266" s="10"/>
      <c r="D266" s="10"/>
      <c r="E266" s="10"/>
      <c r="F266" s="11"/>
      <c r="G266" s="10"/>
      <c r="H266" s="10"/>
      <c r="I266" s="16" t="str">
        <f aca="false">IF(OR($A266="",$F266=""),"",IF($B266="입금",$F266,0))</f>
        <v/>
      </c>
      <c r="J266" s="16" t="str">
        <f aca="false">IF(OR($A266="",$F266=""),"",IF($B266="출금",$F266,0))</f>
        <v/>
      </c>
      <c r="K266" s="17" t="str">
        <f aca="false">IF($A266="","",COUNTIFS($A$3:$A266,$A266))</f>
        <v/>
      </c>
      <c r="L266" s="17" t="str">
        <f aca="false">IF($A266="","",TEXT($A266,"yyyymmdd")&amp;"|"&amp;$K266)</f>
        <v/>
      </c>
    </row>
    <row r="267" customFormat="false" ht="15" hidden="false" customHeight="true" outlineLevel="0" collapsed="false">
      <c r="A267" s="15"/>
      <c r="B267" s="10"/>
      <c r="C267" s="10"/>
      <c r="D267" s="10"/>
      <c r="E267" s="10"/>
      <c r="F267" s="11"/>
      <c r="G267" s="10"/>
      <c r="H267" s="10"/>
      <c r="I267" s="16" t="str">
        <f aca="false">IF(OR($A267="",$F267=""),"",IF($B267="입금",$F267,0))</f>
        <v/>
      </c>
      <c r="J267" s="16" t="str">
        <f aca="false">IF(OR($A267="",$F267=""),"",IF($B267="출금",$F267,0))</f>
        <v/>
      </c>
      <c r="K267" s="17" t="str">
        <f aca="false">IF($A267="","",COUNTIFS($A$3:$A267,$A267))</f>
        <v/>
      </c>
      <c r="L267" s="17" t="str">
        <f aca="false">IF($A267="","",TEXT($A267,"yyyymmdd")&amp;"|"&amp;$K267)</f>
        <v/>
      </c>
    </row>
    <row r="268" customFormat="false" ht="15" hidden="false" customHeight="true" outlineLevel="0" collapsed="false">
      <c r="A268" s="15"/>
      <c r="B268" s="10"/>
      <c r="C268" s="10"/>
      <c r="D268" s="10"/>
      <c r="E268" s="10"/>
      <c r="F268" s="11"/>
      <c r="G268" s="10"/>
      <c r="H268" s="10"/>
      <c r="I268" s="16" t="str">
        <f aca="false">IF(OR($A268="",$F268=""),"",IF($B268="입금",$F268,0))</f>
        <v/>
      </c>
      <c r="J268" s="16" t="str">
        <f aca="false">IF(OR($A268="",$F268=""),"",IF($B268="출금",$F268,0))</f>
        <v/>
      </c>
      <c r="K268" s="17" t="str">
        <f aca="false">IF($A268="","",COUNTIFS($A$3:$A268,$A268))</f>
        <v/>
      </c>
      <c r="L268" s="17" t="str">
        <f aca="false">IF($A268="","",TEXT($A268,"yyyymmdd")&amp;"|"&amp;$K268)</f>
        <v/>
      </c>
    </row>
    <row r="269" customFormat="false" ht="15" hidden="false" customHeight="true" outlineLevel="0" collapsed="false">
      <c r="A269" s="15"/>
      <c r="B269" s="10"/>
      <c r="C269" s="10"/>
      <c r="D269" s="10"/>
      <c r="E269" s="10"/>
      <c r="F269" s="11"/>
      <c r="G269" s="10"/>
      <c r="H269" s="10"/>
      <c r="I269" s="16" t="str">
        <f aca="false">IF(OR($A269="",$F269=""),"",IF($B269="입금",$F269,0))</f>
        <v/>
      </c>
      <c r="J269" s="16" t="str">
        <f aca="false">IF(OR($A269="",$F269=""),"",IF($B269="출금",$F269,0))</f>
        <v/>
      </c>
      <c r="K269" s="17" t="str">
        <f aca="false">IF($A269="","",COUNTIFS($A$3:$A269,$A269))</f>
        <v/>
      </c>
      <c r="L269" s="17" t="str">
        <f aca="false">IF($A269="","",TEXT($A269,"yyyymmdd")&amp;"|"&amp;$K269)</f>
        <v/>
      </c>
    </row>
    <row r="270" customFormat="false" ht="15" hidden="false" customHeight="true" outlineLevel="0" collapsed="false">
      <c r="A270" s="15"/>
      <c r="B270" s="10"/>
      <c r="C270" s="10"/>
      <c r="D270" s="10"/>
      <c r="E270" s="10"/>
      <c r="F270" s="11"/>
      <c r="G270" s="10"/>
      <c r="H270" s="10"/>
      <c r="I270" s="16" t="str">
        <f aca="false">IF(OR($A270="",$F270=""),"",IF($B270="입금",$F270,0))</f>
        <v/>
      </c>
      <c r="J270" s="16" t="str">
        <f aca="false">IF(OR($A270="",$F270=""),"",IF($B270="출금",$F270,0))</f>
        <v/>
      </c>
      <c r="K270" s="17" t="str">
        <f aca="false">IF($A270="","",COUNTIFS($A$3:$A270,$A270))</f>
        <v/>
      </c>
      <c r="L270" s="17" t="str">
        <f aca="false">IF($A270="","",TEXT($A270,"yyyymmdd")&amp;"|"&amp;$K270)</f>
        <v/>
      </c>
    </row>
    <row r="271" customFormat="false" ht="15" hidden="false" customHeight="true" outlineLevel="0" collapsed="false">
      <c r="A271" s="15"/>
      <c r="B271" s="10"/>
      <c r="C271" s="10"/>
      <c r="D271" s="10"/>
      <c r="E271" s="10"/>
      <c r="F271" s="11"/>
      <c r="G271" s="10"/>
      <c r="H271" s="10"/>
      <c r="I271" s="16" t="str">
        <f aca="false">IF(OR($A271="",$F271=""),"",IF($B271="입금",$F271,0))</f>
        <v/>
      </c>
      <c r="J271" s="16" t="str">
        <f aca="false">IF(OR($A271="",$F271=""),"",IF($B271="출금",$F271,0))</f>
        <v/>
      </c>
      <c r="K271" s="17" t="str">
        <f aca="false">IF($A271="","",COUNTIFS($A$3:$A271,$A271))</f>
        <v/>
      </c>
      <c r="L271" s="17" t="str">
        <f aca="false">IF($A271="","",TEXT($A271,"yyyymmdd")&amp;"|"&amp;$K271)</f>
        <v/>
      </c>
    </row>
    <row r="272" customFormat="false" ht="15" hidden="false" customHeight="true" outlineLevel="0" collapsed="false">
      <c r="A272" s="15"/>
      <c r="B272" s="10"/>
      <c r="C272" s="10"/>
      <c r="D272" s="10"/>
      <c r="E272" s="10"/>
      <c r="F272" s="11"/>
      <c r="G272" s="10"/>
      <c r="H272" s="10"/>
      <c r="I272" s="16" t="str">
        <f aca="false">IF(OR($A272="",$F272=""),"",IF($B272="입금",$F272,0))</f>
        <v/>
      </c>
      <c r="J272" s="16" t="str">
        <f aca="false">IF(OR($A272="",$F272=""),"",IF($B272="출금",$F272,0))</f>
        <v/>
      </c>
      <c r="K272" s="17" t="str">
        <f aca="false">IF($A272="","",COUNTIFS($A$3:$A272,$A272))</f>
        <v/>
      </c>
      <c r="L272" s="17" t="str">
        <f aca="false">IF($A272="","",TEXT($A272,"yyyymmdd")&amp;"|"&amp;$K272)</f>
        <v/>
      </c>
    </row>
    <row r="273" customFormat="false" ht="15" hidden="false" customHeight="true" outlineLevel="0" collapsed="false">
      <c r="A273" s="15"/>
      <c r="B273" s="10"/>
      <c r="C273" s="10"/>
      <c r="D273" s="10"/>
      <c r="E273" s="10"/>
      <c r="F273" s="11"/>
      <c r="G273" s="10"/>
      <c r="H273" s="10"/>
      <c r="I273" s="16" t="str">
        <f aca="false">IF(OR($A273="",$F273=""),"",IF($B273="입금",$F273,0))</f>
        <v/>
      </c>
      <c r="J273" s="16" t="str">
        <f aca="false">IF(OR($A273="",$F273=""),"",IF($B273="출금",$F273,0))</f>
        <v/>
      </c>
      <c r="K273" s="17" t="str">
        <f aca="false">IF($A273="","",COUNTIFS($A$3:$A273,$A273))</f>
        <v/>
      </c>
      <c r="L273" s="17" t="str">
        <f aca="false">IF($A273="","",TEXT($A273,"yyyymmdd")&amp;"|"&amp;$K273)</f>
        <v/>
      </c>
    </row>
    <row r="274" customFormat="false" ht="15" hidden="false" customHeight="true" outlineLevel="0" collapsed="false">
      <c r="A274" s="15"/>
      <c r="B274" s="10"/>
      <c r="C274" s="10"/>
      <c r="D274" s="10"/>
      <c r="E274" s="10"/>
      <c r="F274" s="11"/>
      <c r="G274" s="10"/>
      <c r="H274" s="10"/>
      <c r="I274" s="16" t="str">
        <f aca="false">IF(OR($A274="",$F274=""),"",IF($B274="입금",$F274,0))</f>
        <v/>
      </c>
      <c r="J274" s="16" t="str">
        <f aca="false">IF(OR($A274="",$F274=""),"",IF($B274="출금",$F274,0))</f>
        <v/>
      </c>
      <c r="K274" s="17" t="str">
        <f aca="false">IF($A274="","",COUNTIFS($A$3:$A274,$A274))</f>
        <v/>
      </c>
      <c r="L274" s="17" t="str">
        <f aca="false">IF($A274="","",TEXT($A274,"yyyymmdd")&amp;"|"&amp;$K274)</f>
        <v/>
      </c>
    </row>
    <row r="275" customFormat="false" ht="15" hidden="false" customHeight="true" outlineLevel="0" collapsed="false">
      <c r="A275" s="15"/>
      <c r="B275" s="10"/>
      <c r="C275" s="10"/>
      <c r="D275" s="10"/>
      <c r="E275" s="10"/>
      <c r="F275" s="11"/>
      <c r="G275" s="10"/>
      <c r="H275" s="10"/>
      <c r="I275" s="16" t="str">
        <f aca="false">IF(OR($A275="",$F275=""),"",IF($B275="입금",$F275,0))</f>
        <v/>
      </c>
      <c r="J275" s="16" t="str">
        <f aca="false">IF(OR($A275="",$F275=""),"",IF($B275="출금",$F275,0))</f>
        <v/>
      </c>
      <c r="K275" s="17" t="str">
        <f aca="false">IF($A275="","",COUNTIFS($A$3:$A275,$A275))</f>
        <v/>
      </c>
      <c r="L275" s="17" t="str">
        <f aca="false">IF($A275="","",TEXT($A275,"yyyymmdd")&amp;"|"&amp;$K275)</f>
        <v/>
      </c>
    </row>
    <row r="276" customFormat="false" ht="15" hidden="false" customHeight="true" outlineLevel="0" collapsed="false">
      <c r="A276" s="15"/>
      <c r="B276" s="10"/>
      <c r="C276" s="10"/>
      <c r="D276" s="10"/>
      <c r="E276" s="10"/>
      <c r="F276" s="11"/>
      <c r="G276" s="10"/>
      <c r="H276" s="10"/>
      <c r="I276" s="16" t="str">
        <f aca="false">IF(OR($A276="",$F276=""),"",IF($B276="입금",$F276,0))</f>
        <v/>
      </c>
      <c r="J276" s="16" t="str">
        <f aca="false">IF(OR($A276="",$F276=""),"",IF($B276="출금",$F276,0))</f>
        <v/>
      </c>
      <c r="K276" s="17" t="str">
        <f aca="false">IF($A276="","",COUNTIFS($A$3:$A276,$A276))</f>
        <v/>
      </c>
      <c r="L276" s="17" t="str">
        <f aca="false">IF($A276="","",TEXT($A276,"yyyymmdd")&amp;"|"&amp;$K276)</f>
        <v/>
      </c>
    </row>
    <row r="277" customFormat="false" ht="15" hidden="false" customHeight="true" outlineLevel="0" collapsed="false">
      <c r="A277" s="15"/>
      <c r="B277" s="10"/>
      <c r="C277" s="10"/>
      <c r="D277" s="10"/>
      <c r="E277" s="10"/>
      <c r="F277" s="11"/>
      <c r="G277" s="10"/>
      <c r="H277" s="10"/>
      <c r="I277" s="16" t="str">
        <f aca="false">IF(OR($A277="",$F277=""),"",IF($B277="입금",$F277,0))</f>
        <v/>
      </c>
      <c r="J277" s="16" t="str">
        <f aca="false">IF(OR($A277="",$F277=""),"",IF($B277="출금",$F277,0))</f>
        <v/>
      </c>
      <c r="K277" s="17" t="str">
        <f aca="false">IF($A277="","",COUNTIFS($A$3:$A277,$A277))</f>
        <v/>
      </c>
      <c r="L277" s="17" t="str">
        <f aca="false">IF($A277="","",TEXT($A277,"yyyymmdd")&amp;"|"&amp;$K277)</f>
        <v/>
      </c>
    </row>
    <row r="278" customFormat="false" ht="15" hidden="false" customHeight="true" outlineLevel="0" collapsed="false">
      <c r="A278" s="15"/>
      <c r="B278" s="10"/>
      <c r="C278" s="10"/>
      <c r="D278" s="10"/>
      <c r="E278" s="10"/>
      <c r="F278" s="11"/>
      <c r="G278" s="10"/>
      <c r="H278" s="10"/>
      <c r="I278" s="16" t="str">
        <f aca="false">IF(OR($A278="",$F278=""),"",IF($B278="입금",$F278,0))</f>
        <v/>
      </c>
      <c r="J278" s="16" t="str">
        <f aca="false">IF(OR($A278="",$F278=""),"",IF($B278="출금",$F278,0))</f>
        <v/>
      </c>
      <c r="K278" s="17" t="str">
        <f aca="false">IF($A278="","",COUNTIFS($A$3:$A278,$A278))</f>
        <v/>
      </c>
      <c r="L278" s="17" t="str">
        <f aca="false">IF($A278="","",TEXT($A278,"yyyymmdd")&amp;"|"&amp;$K278)</f>
        <v/>
      </c>
    </row>
    <row r="279" customFormat="false" ht="15" hidden="false" customHeight="true" outlineLevel="0" collapsed="false">
      <c r="A279" s="15"/>
      <c r="B279" s="10"/>
      <c r="C279" s="10"/>
      <c r="D279" s="10"/>
      <c r="E279" s="10"/>
      <c r="F279" s="11"/>
      <c r="G279" s="10"/>
      <c r="H279" s="10"/>
      <c r="I279" s="16" t="str">
        <f aca="false">IF(OR($A279="",$F279=""),"",IF($B279="입금",$F279,0))</f>
        <v/>
      </c>
      <c r="J279" s="16" t="str">
        <f aca="false">IF(OR($A279="",$F279=""),"",IF($B279="출금",$F279,0))</f>
        <v/>
      </c>
      <c r="K279" s="17" t="str">
        <f aca="false">IF($A279="","",COUNTIFS($A$3:$A279,$A279))</f>
        <v/>
      </c>
      <c r="L279" s="17" t="str">
        <f aca="false">IF($A279="","",TEXT($A279,"yyyymmdd")&amp;"|"&amp;$K279)</f>
        <v/>
      </c>
    </row>
    <row r="280" customFormat="false" ht="15" hidden="false" customHeight="true" outlineLevel="0" collapsed="false">
      <c r="A280" s="15"/>
      <c r="B280" s="10"/>
      <c r="C280" s="10"/>
      <c r="D280" s="10"/>
      <c r="E280" s="10"/>
      <c r="F280" s="11"/>
      <c r="G280" s="10"/>
      <c r="H280" s="10"/>
      <c r="I280" s="16" t="str">
        <f aca="false">IF(OR($A280="",$F280=""),"",IF($B280="입금",$F280,0))</f>
        <v/>
      </c>
      <c r="J280" s="16" t="str">
        <f aca="false">IF(OR($A280="",$F280=""),"",IF($B280="출금",$F280,0))</f>
        <v/>
      </c>
      <c r="K280" s="17" t="str">
        <f aca="false">IF($A280="","",COUNTIFS($A$3:$A280,$A280))</f>
        <v/>
      </c>
      <c r="L280" s="17" t="str">
        <f aca="false">IF($A280="","",TEXT($A280,"yyyymmdd")&amp;"|"&amp;$K280)</f>
        <v/>
      </c>
    </row>
    <row r="281" customFormat="false" ht="15" hidden="false" customHeight="true" outlineLevel="0" collapsed="false">
      <c r="A281" s="15"/>
      <c r="B281" s="10"/>
      <c r="C281" s="10"/>
      <c r="D281" s="10"/>
      <c r="E281" s="10"/>
      <c r="F281" s="11"/>
      <c r="G281" s="10"/>
      <c r="H281" s="10"/>
      <c r="I281" s="16" t="str">
        <f aca="false">IF(OR($A281="",$F281=""),"",IF($B281="입금",$F281,0))</f>
        <v/>
      </c>
      <c r="J281" s="16" t="str">
        <f aca="false">IF(OR($A281="",$F281=""),"",IF($B281="출금",$F281,0))</f>
        <v/>
      </c>
      <c r="K281" s="17" t="str">
        <f aca="false">IF($A281="","",COUNTIFS($A$3:$A281,$A281))</f>
        <v/>
      </c>
      <c r="L281" s="17" t="str">
        <f aca="false">IF($A281="","",TEXT($A281,"yyyymmdd")&amp;"|"&amp;$K281)</f>
        <v/>
      </c>
    </row>
    <row r="282" customFormat="false" ht="15" hidden="false" customHeight="true" outlineLevel="0" collapsed="false">
      <c r="A282" s="15"/>
      <c r="B282" s="10"/>
      <c r="C282" s="10"/>
      <c r="D282" s="10"/>
      <c r="E282" s="10"/>
      <c r="F282" s="11"/>
      <c r="G282" s="10"/>
      <c r="H282" s="10"/>
      <c r="I282" s="16" t="str">
        <f aca="false">IF(OR($A282="",$F282=""),"",IF($B282="입금",$F282,0))</f>
        <v/>
      </c>
      <c r="J282" s="16" t="str">
        <f aca="false">IF(OR($A282="",$F282=""),"",IF($B282="출금",$F282,0))</f>
        <v/>
      </c>
      <c r="K282" s="17" t="str">
        <f aca="false">IF($A282="","",COUNTIFS($A$3:$A282,$A282))</f>
        <v/>
      </c>
      <c r="L282" s="17" t="str">
        <f aca="false">IF($A282="","",TEXT($A282,"yyyymmdd")&amp;"|"&amp;$K282)</f>
        <v/>
      </c>
    </row>
    <row r="283" customFormat="false" ht="15" hidden="false" customHeight="true" outlineLevel="0" collapsed="false">
      <c r="A283" s="15"/>
      <c r="B283" s="10"/>
      <c r="C283" s="10"/>
      <c r="D283" s="10"/>
      <c r="E283" s="10"/>
      <c r="F283" s="11"/>
      <c r="G283" s="10"/>
      <c r="H283" s="10"/>
      <c r="I283" s="16" t="str">
        <f aca="false">IF(OR($A283="",$F283=""),"",IF($B283="입금",$F283,0))</f>
        <v/>
      </c>
      <c r="J283" s="16" t="str">
        <f aca="false">IF(OR($A283="",$F283=""),"",IF($B283="출금",$F283,0))</f>
        <v/>
      </c>
      <c r="K283" s="17" t="str">
        <f aca="false">IF($A283="","",COUNTIFS($A$3:$A283,$A283))</f>
        <v/>
      </c>
      <c r="L283" s="17" t="str">
        <f aca="false">IF($A283="","",TEXT($A283,"yyyymmdd")&amp;"|"&amp;$K283)</f>
        <v/>
      </c>
    </row>
    <row r="284" customFormat="false" ht="15" hidden="false" customHeight="true" outlineLevel="0" collapsed="false">
      <c r="A284" s="15"/>
      <c r="B284" s="10"/>
      <c r="C284" s="10"/>
      <c r="D284" s="10"/>
      <c r="E284" s="10"/>
      <c r="F284" s="11"/>
      <c r="G284" s="10"/>
      <c r="H284" s="10"/>
      <c r="I284" s="16" t="str">
        <f aca="false">IF(OR($A284="",$F284=""),"",IF($B284="입금",$F284,0))</f>
        <v/>
      </c>
      <c r="J284" s="16" t="str">
        <f aca="false">IF(OR($A284="",$F284=""),"",IF($B284="출금",$F284,0))</f>
        <v/>
      </c>
      <c r="K284" s="17" t="str">
        <f aca="false">IF($A284="","",COUNTIFS($A$3:$A284,$A284))</f>
        <v/>
      </c>
      <c r="L284" s="17" t="str">
        <f aca="false">IF($A284="","",TEXT($A284,"yyyymmdd")&amp;"|"&amp;$K284)</f>
        <v/>
      </c>
    </row>
    <row r="285" customFormat="false" ht="15" hidden="false" customHeight="true" outlineLevel="0" collapsed="false">
      <c r="A285" s="15"/>
      <c r="B285" s="10"/>
      <c r="C285" s="10"/>
      <c r="D285" s="10"/>
      <c r="E285" s="10"/>
      <c r="F285" s="11"/>
      <c r="G285" s="10"/>
      <c r="H285" s="10"/>
      <c r="I285" s="16" t="str">
        <f aca="false">IF(OR($A285="",$F285=""),"",IF($B285="입금",$F285,0))</f>
        <v/>
      </c>
      <c r="J285" s="16" t="str">
        <f aca="false">IF(OR($A285="",$F285=""),"",IF($B285="출금",$F285,0))</f>
        <v/>
      </c>
      <c r="K285" s="17" t="str">
        <f aca="false">IF($A285="","",COUNTIFS($A$3:$A285,$A285))</f>
        <v/>
      </c>
      <c r="L285" s="17" t="str">
        <f aca="false">IF($A285="","",TEXT($A285,"yyyymmdd")&amp;"|"&amp;$K285)</f>
        <v/>
      </c>
    </row>
    <row r="286" customFormat="false" ht="15" hidden="false" customHeight="true" outlineLevel="0" collapsed="false">
      <c r="A286" s="15"/>
      <c r="B286" s="10"/>
      <c r="C286" s="10"/>
      <c r="D286" s="10"/>
      <c r="E286" s="10"/>
      <c r="F286" s="11"/>
      <c r="G286" s="10"/>
      <c r="H286" s="10"/>
      <c r="I286" s="16" t="str">
        <f aca="false">IF(OR($A286="",$F286=""),"",IF($B286="입금",$F286,0))</f>
        <v/>
      </c>
      <c r="J286" s="16" t="str">
        <f aca="false">IF(OR($A286="",$F286=""),"",IF($B286="출금",$F286,0))</f>
        <v/>
      </c>
      <c r="K286" s="17" t="str">
        <f aca="false">IF($A286="","",COUNTIFS($A$3:$A286,$A286))</f>
        <v/>
      </c>
      <c r="L286" s="17" t="str">
        <f aca="false">IF($A286="","",TEXT($A286,"yyyymmdd")&amp;"|"&amp;$K286)</f>
        <v/>
      </c>
    </row>
    <row r="287" customFormat="false" ht="15" hidden="false" customHeight="true" outlineLevel="0" collapsed="false">
      <c r="A287" s="15"/>
      <c r="B287" s="10"/>
      <c r="C287" s="10"/>
      <c r="D287" s="10"/>
      <c r="E287" s="10"/>
      <c r="F287" s="11"/>
      <c r="G287" s="10"/>
      <c r="H287" s="10"/>
      <c r="I287" s="16" t="str">
        <f aca="false">IF(OR($A287="",$F287=""),"",IF($B287="입금",$F287,0))</f>
        <v/>
      </c>
      <c r="J287" s="16" t="str">
        <f aca="false">IF(OR($A287="",$F287=""),"",IF($B287="출금",$F287,0))</f>
        <v/>
      </c>
      <c r="K287" s="17" t="str">
        <f aca="false">IF($A287="","",COUNTIFS($A$3:$A287,$A287))</f>
        <v/>
      </c>
      <c r="L287" s="17" t="str">
        <f aca="false">IF($A287="","",TEXT($A287,"yyyymmdd")&amp;"|"&amp;$K287)</f>
        <v/>
      </c>
    </row>
    <row r="288" customFormat="false" ht="15" hidden="false" customHeight="true" outlineLevel="0" collapsed="false">
      <c r="A288" s="15"/>
      <c r="B288" s="10"/>
      <c r="C288" s="10"/>
      <c r="D288" s="10"/>
      <c r="E288" s="10"/>
      <c r="F288" s="11"/>
      <c r="G288" s="10"/>
      <c r="H288" s="10"/>
      <c r="I288" s="16" t="str">
        <f aca="false">IF(OR($A288="",$F288=""),"",IF($B288="입금",$F288,0))</f>
        <v/>
      </c>
      <c r="J288" s="16" t="str">
        <f aca="false">IF(OR($A288="",$F288=""),"",IF($B288="출금",$F288,0))</f>
        <v/>
      </c>
      <c r="K288" s="17" t="str">
        <f aca="false">IF($A288="","",COUNTIFS($A$3:$A288,$A288))</f>
        <v/>
      </c>
      <c r="L288" s="17" t="str">
        <f aca="false">IF($A288="","",TEXT($A288,"yyyymmdd")&amp;"|"&amp;$K288)</f>
        <v/>
      </c>
    </row>
    <row r="289" customFormat="false" ht="15" hidden="false" customHeight="true" outlineLevel="0" collapsed="false">
      <c r="A289" s="15"/>
      <c r="B289" s="10"/>
      <c r="C289" s="10"/>
      <c r="D289" s="10"/>
      <c r="E289" s="10"/>
      <c r="F289" s="11"/>
      <c r="G289" s="10"/>
      <c r="H289" s="10"/>
      <c r="I289" s="16" t="str">
        <f aca="false">IF(OR($A289="",$F289=""),"",IF($B289="입금",$F289,0))</f>
        <v/>
      </c>
      <c r="J289" s="16" t="str">
        <f aca="false">IF(OR($A289="",$F289=""),"",IF($B289="출금",$F289,0))</f>
        <v/>
      </c>
      <c r="K289" s="17" t="str">
        <f aca="false">IF($A289="","",COUNTIFS($A$3:$A289,$A289))</f>
        <v/>
      </c>
      <c r="L289" s="17" t="str">
        <f aca="false">IF($A289="","",TEXT($A289,"yyyymmdd")&amp;"|"&amp;$K289)</f>
        <v/>
      </c>
    </row>
    <row r="290" customFormat="false" ht="15" hidden="false" customHeight="true" outlineLevel="0" collapsed="false">
      <c r="A290" s="15"/>
      <c r="B290" s="10"/>
      <c r="C290" s="10"/>
      <c r="D290" s="10"/>
      <c r="E290" s="10"/>
      <c r="F290" s="11"/>
      <c r="G290" s="10"/>
      <c r="H290" s="10"/>
      <c r="I290" s="16" t="str">
        <f aca="false">IF(OR($A290="",$F290=""),"",IF($B290="입금",$F290,0))</f>
        <v/>
      </c>
      <c r="J290" s="16" t="str">
        <f aca="false">IF(OR($A290="",$F290=""),"",IF($B290="출금",$F290,0))</f>
        <v/>
      </c>
      <c r="K290" s="17" t="str">
        <f aca="false">IF($A290="","",COUNTIFS($A$3:$A290,$A290))</f>
        <v/>
      </c>
      <c r="L290" s="17" t="str">
        <f aca="false">IF($A290="","",TEXT($A290,"yyyymmdd")&amp;"|"&amp;$K290)</f>
        <v/>
      </c>
    </row>
    <row r="291" customFormat="false" ht="15" hidden="false" customHeight="true" outlineLevel="0" collapsed="false">
      <c r="A291" s="15"/>
      <c r="B291" s="10"/>
      <c r="C291" s="10"/>
      <c r="D291" s="10"/>
      <c r="E291" s="10"/>
      <c r="F291" s="11"/>
      <c r="G291" s="10"/>
      <c r="H291" s="10"/>
      <c r="I291" s="16" t="str">
        <f aca="false">IF(OR($A291="",$F291=""),"",IF($B291="입금",$F291,0))</f>
        <v/>
      </c>
      <c r="J291" s="16" t="str">
        <f aca="false">IF(OR($A291="",$F291=""),"",IF($B291="출금",$F291,0))</f>
        <v/>
      </c>
      <c r="K291" s="17" t="str">
        <f aca="false">IF($A291="","",COUNTIFS($A$3:$A291,$A291))</f>
        <v/>
      </c>
      <c r="L291" s="17" t="str">
        <f aca="false">IF($A291="","",TEXT($A291,"yyyymmdd")&amp;"|"&amp;$K291)</f>
        <v/>
      </c>
    </row>
    <row r="292" customFormat="false" ht="15" hidden="false" customHeight="true" outlineLevel="0" collapsed="false">
      <c r="A292" s="15"/>
      <c r="B292" s="10"/>
      <c r="C292" s="10"/>
      <c r="D292" s="10"/>
      <c r="E292" s="10"/>
      <c r="F292" s="11"/>
      <c r="G292" s="10"/>
      <c r="H292" s="10"/>
      <c r="I292" s="16" t="str">
        <f aca="false">IF(OR($A292="",$F292=""),"",IF($B292="입금",$F292,0))</f>
        <v/>
      </c>
      <c r="J292" s="16" t="str">
        <f aca="false">IF(OR($A292="",$F292=""),"",IF($B292="출금",$F292,0))</f>
        <v/>
      </c>
      <c r="K292" s="17" t="str">
        <f aca="false">IF($A292="","",COUNTIFS($A$3:$A292,$A292))</f>
        <v/>
      </c>
      <c r="L292" s="17" t="str">
        <f aca="false">IF($A292="","",TEXT($A292,"yyyymmdd")&amp;"|"&amp;$K292)</f>
        <v/>
      </c>
    </row>
    <row r="293" customFormat="false" ht="15" hidden="false" customHeight="true" outlineLevel="0" collapsed="false">
      <c r="A293" s="15"/>
      <c r="B293" s="10"/>
      <c r="C293" s="10"/>
      <c r="D293" s="10"/>
      <c r="E293" s="10"/>
      <c r="F293" s="11"/>
      <c r="G293" s="10"/>
      <c r="H293" s="10"/>
      <c r="I293" s="16" t="str">
        <f aca="false">IF(OR($A293="",$F293=""),"",IF($B293="입금",$F293,0))</f>
        <v/>
      </c>
      <c r="J293" s="16" t="str">
        <f aca="false">IF(OR($A293="",$F293=""),"",IF($B293="출금",$F293,0))</f>
        <v/>
      </c>
      <c r="K293" s="17" t="str">
        <f aca="false">IF($A293="","",COUNTIFS($A$3:$A293,$A293))</f>
        <v/>
      </c>
      <c r="L293" s="17" t="str">
        <f aca="false">IF($A293="","",TEXT($A293,"yyyymmdd")&amp;"|"&amp;$K293)</f>
        <v/>
      </c>
    </row>
    <row r="294" customFormat="false" ht="15" hidden="false" customHeight="true" outlineLevel="0" collapsed="false">
      <c r="A294" s="15"/>
      <c r="B294" s="10"/>
      <c r="C294" s="10"/>
      <c r="D294" s="10"/>
      <c r="E294" s="10"/>
      <c r="F294" s="11"/>
      <c r="G294" s="10"/>
      <c r="H294" s="10"/>
      <c r="I294" s="16" t="str">
        <f aca="false">IF(OR($A294="",$F294=""),"",IF($B294="입금",$F294,0))</f>
        <v/>
      </c>
      <c r="J294" s="16" t="str">
        <f aca="false">IF(OR($A294="",$F294=""),"",IF($B294="출금",$F294,0))</f>
        <v/>
      </c>
      <c r="K294" s="17" t="str">
        <f aca="false">IF($A294="","",COUNTIFS($A$3:$A294,$A294))</f>
        <v/>
      </c>
      <c r="L294" s="17" t="str">
        <f aca="false">IF($A294="","",TEXT($A294,"yyyymmdd")&amp;"|"&amp;$K294)</f>
        <v/>
      </c>
    </row>
    <row r="295" customFormat="false" ht="15" hidden="false" customHeight="true" outlineLevel="0" collapsed="false">
      <c r="A295" s="15"/>
      <c r="B295" s="10"/>
      <c r="C295" s="10"/>
      <c r="D295" s="10"/>
      <c r="E295" s="10"/>
      <c r="F295" s="11"/>
      <c r="G295" s="10"/>
      <c r="H295" s="10"/>
      <c r="I295" s="16" t="str">
        <f aca="false">IF(OR($A295="",$F295=""),"",IF($B295="입금",$F295,0))</f>
        <v/>
      </c>
      <c r="J295" s="16" t="str">
        <f aca="false">IF(OR($A295="",$F295=""),"",IF($B295="출금",$F295,0))</f>
        <v/>
      </c>
      <c r="K295" s="17" t="str">
        <f aca="false">IF($A295="","",COUNTIFS($A$3:$A295,$A295))</f>
        <v/>
      </c>
      <c r="L295" s="17" t="str">
        <f aca="false">IF($A295="","",TEXT($A295,"yyyymmdd")&amp;"|"&amp;$K295)</f>
        <v/>
      </c>
    </row>
    <row r="296" customFormat="false" ht="15" hidden="false" customHeight="true" outlineLevel="0" collapsed="false">
      <c r="A296" s="15"/>
      <c r="B296" s="10"/>
      <c r="C296" s="10"/>
      <c r="D296" s="10"/>
      <c r="E296" s="10"/>
      <c r="F296" s="11"/>
      <c r="G296" s="10"/>
      <c r="H296" s="10"/>
      <c r="I296" s="16" t="str">
        <f aca="false">IF(OR($A296="",$F296=""),"",IF($B296="입금",$F296,0))</f>
        <v/>
      </c>
      <c r="J296" s="16" t="str">
        <f aca="false">IF(OR($A296="",$F296=""),"",IF($B296="출금",$F296,0))</f>
        <v/>
      </c>
      <c r="K296" s="17" t="str">
        <f aca="false">IF($A296="","",COUNTIFS($A$3:$A296,$A296))</f>
        <v/>
      </c>
      <c r="L296" s="17" t="str">
        <f aca="false">IF($A296="","",TEXT($A296,"yyyymmdd")&amp;"|"&amp;$K296)</f>
        <v/>
      </c>
    </row>
    <row r="297" customFormat="false" ht="15" hidden="false" customHeight="true" outlineLevel="0" collapsed="false">
      <c r="A297" s="15"/>
      <c r="B297" s="10"/>
      <c r="C297" s="10"/>
      <c r="D297" s="10"/>
      <c r="E297" s="10"/>
      <c r="F297" s="11"/>
      <c r="G297" s="10"/>
      <c r="H297" s="10"/>
      <c r="I297" s="16" t="str">
        <f aca="false">IF(OR($A297="",$F297=""),"",IF($B297="입금",$F297,0))</f>
        <v/>
      </c>
      <c r="J297" s="16" t="str">
        <f aca="false">IF(OR($A297="",$F297=""),"",IF($B297="출금",$F297,0))</f>
        <v/>
      </c>
      <c r="K297" s="17" t="str">
        <f aca="false">IF($A297="","",COUNTIFS($A$3:$A297,$A297))</f>
        <v/>
      </c>
      <c r="L297" s="17" t="str">
        <f aca="false">IF($A297="","",TEXT($A297,"yyyymmdd")&amp;"|"&amp;$K297)</f>
        <v/>
      </c>
    </row>
    <row r="298" customFormat="false" ht="15" hidden="false" customHeight="true" outlineLevel="0" collapsed="false">
      <c r="A298" s="15"/>
      <c r="B298" s="10"/>
      <c r="C298" s="10"/>
      <c r="D298" s="10"/>
      <c r="E298" s="10"/>
      <c r="F298" s="11"/>
      <c r="G298" s="10"/>
      <c r="H298" s="10"/>
      <c r="I298" s="16" t="str">
        <f aca="false">IF(OR($A298="",$F298=""),"",IF($B298="입금",$F298,0))</f>
        <v/>
      </c>
      <c r="J298" s="16" t="str">
        <f aca="false">IF(OR($A298="",$F298=""),"",IF($B298="출금",$F298,0))</f>
        <v/>
      </c>
      <c r="K298" s="17" t="str">
        <f aca="false">IF($A298="","",COUNTIFS($A$3:$A298,$A298))</f>
        <v/>
      </c>
      <c r="L298" s="17" t="str">
        <f aca="false">IF($A298="","",TEXT($A298,"yyyymmdd")&amp;"|"&amp;$K298)</f>
        <v/>
      </c>
    </row>
    <row r="299" customFormat="false" ht="15" hidden="false" customHeight="true" outlineLevel="0" collapsed="false">
      <c r="A299" s="15"/>
      <c r="B299" s="10"/>
      <c r="C299" s="10"/>
      <c r="D299" s="10"/>
      <c r="E299" s="10"/>
      <c r="F299" s="11"/>
      <c r="G299" s="10"/>
      <c r="H299" s="10"/>
      <c r="I299" s="16" t="str">
        <f aca="false">IF(OR($A299="",$F299=""),"",IF($B299="입금",$F299,0))</f>
        <v/>
      </c>
      <c r="J299" s="16" t="str">
        <f aca="false">IF(OR($A299="",$F299=""),"",IF($B299="출금",$F299,0))</f>
        <v/>
      </c>
      <c r="K299" s="17" t="str">
        <f aca="false">IF($A299="","",COUNTIFS($A$3:$A299,$A299))</f>
        <v/>
      </c>
      <c r="L299" s="17" t="str">
        <f aca="false">IF($A299="","",TEXT($A299,"yyyymmdd")&amp;"|"&amp;$K299)</f>
        <v/>
      </c>
    </row>
    <row r="300" customFormat="false" ht="15" hidden="false" customHeight="true" outlineLevel="0" collapsed="false">
      <c r="A300" s="15"/>
      <c r="B300" s="10"/>
      <c r="C300" s="10"/>
      <c r="D300" s="10"/>
      <c r="E300" s="10"/>
      <c r="F300" s="11"/>
      <c r="G300" s="10"/>
      <c r="H300" s="10"/>
      <c r="I300" s="16" t="str">
        <f aca="false">IF(OR($A300="",$F300=""),"",IF($B300="입금",$F300,0))</f>
        <v/>
      </c>
      <c r="J300" s="16" t="str">
        <f aca="false">IF(OR($A300="",$F300=""),"",IF($B300="출금",$F300,0))</f>
        <v/>
      </c>
      <c r="K300" s="17" t="str">
        <f aca="false">IF($A300="","",COUNTIFS($A$3:$A300,$A300))</f>
        <v/>
      </c>
      <c r="L300" s="17" t="str">
        <f aca="false">IF($A300="","",TEXT($A300,"yyyymmdd")&amp;"|"&amp;$K300)</f>
        <v/>
      </c>
    </row>
    <row r="301" customFormat="false" ht="15" hidden="false" customHeight="true" outlineLevel="0" collapsed="false">
      <c r="A301" s="15"/>
      <c r="B301" s="10"/>
      <c r="C301" s="10"/>
      <c r="D301" s="10"/>
      <c r="E301" s="10"/>
      <c r="F301" s="11"/>
      <c r="G301" s="10"/>
      <c r="H301" s="10"/>
      <c r="I301" s="16" t="str">
        <f aca="false">IF(OR($A301="",$F301=""),"",IF($B301="입금",$F301,0))</f>
        <v/>
      </c>
      <c r="J301" s="16" t="str">
        <f aca="false">IF(OR($A301="",$F301=""),"",IF($B301="출금",$F301,0))</f>
        <v/>
      </c>
      <c r="K301" s="17" t="str">
        <f aca="false">IF($A301="","",COUNTIFS($A$3:$A301,$A301))</f>
        <v/>
      </c>
      <c r="L301" s="17" t="str">
        <f aca="false">IF($A301="","",TEXT($A301,"yyyymmdd")&amp;"|"&amp;$K301)</f>
        <v/>
      </c>
    </row>
    <row r="302" customFormat="false" ht="15" hidden="false" customHeight="true" outlineLevel="0" collapsed="false">
      <c r="A302" s="15"/>
      <c r="B302" s="10"/>
      <c r="C302" s="10"/>
      <c r="D302" s="10"/>
      <c r="E302" s="10"/>
      <c r="F302" s="11"/>
      <c r="G302" s="10"/>
      <c r="H302" s="10"/>
      <c r="I302" s="16" t="str">
        <f aca="false">IF(OR($A302="",$F302=""),"",IF($B302="입금",$F302,0))</f>
        <v/>
      </c>
      <c r="J302" s="16" t="str">
        <f aca="false">IF(OR($A302="",$F302=""),"",IF($B302="출금",$F302,0))</f>
        <v/>
      </c>
      <c r="K302" s="17" t="str">
        <f aca="false">IF($A302="","",COUNTIFS($A$3:$A302,$A302))</f>
        <v/>
      </c>
      <c r="L302" s="17" t="str">
        <f aca="false">IF($A302="","",TEXT($A302,"yyyymmdd")&amp;"|"&amp;$K302)</f>
        <v/>
      </c>
    </row>
    <row r="303" customFormat="false" ht="15" hidden="false" customHeight="true" outlineLevel="0" collapsed="false">
      <c r="A303" s="15"/>
      <c r="B303" s="10"/>
      <c r="C303" s="10"/>
      <c r="D303" s="10"/>
      <c r="E303" s="10"/>
      <c r="F303" s="11"/>
      <c r="G303" s="10"/>
      <c r="H303" s="10"/>
      <c r="I303" s="16" t="str">
        <f aca="false">IF(OR($A303="",$F303=""),"",IF($B303="입금",$F303,0))</f>
        <v/>
      </c>
      <c r="J303" s="16" t="str">
        <f aca="false">IF(OR($A303="",$F303=""),"",IF($B303="출금",$F303,0))</f>
        <v/>
      </c>
      <c r="K303" s="17" t="str">
        <f aca="false">IF($A303="","",COUNTIFS($A$3:$A303,$A303))</f>
        <v/>
      </c>
      <c r="L303" s="17" t="str">
        <f aca="false">IF($A303="","",TEXT($A303,"yyyymmdd")&amp;"|"&amp;$K303)</f>
        <v/>
      </c>
    </row>
    <row r="304" customFormat="false" ht="15" hidden="false" customHeight="true" outlineLevel="0" collapsed="false">
      <c r="A304" s="15"/>
      <c r="B304" s="10"/>
      <c r="C304" s="10"/>
      <c r="D304" s="10"/>
      <c r="E304" s="10"/>
      <c r="F304" s="11"/>
      <c r="G304" s="10"/>
      <c r="H304" s="10"/>
      <c r="I304" s="16" t="str">
        <f aca="false">IF(OR($A304="",$F304=""),"",IF($B304="입금",$F304,0))</f>
        <v/>
      </c>
      <c r="J304" s="16" t="str">
        <f aca="false">IF(OR($A304="",$F304=""),"",IF($B304="출금",$F304,0))</f>
        <v/>
      </c>
      <c r="K304" s="17" t="str">
        <f aca="false">IF($A304="","",COUNTIFS($A$3:$A304,$A304))</f>
        <v/>
      </c>
      <c r="L304" s="17" t="str">
        <f aca="false">IF($A304="","",TEXT($A304,"yyyymmdd")&amp;"|"&amp;$K304)</f>
        <v/>
      </c>
    </row>
    <row r="305" customFormat="false" ht="15" hidden="false" customHeight="true" outlineLevel="0" collapsed="false">
      <c r="A305" s="15"/>
      <c r="B305" s="10"/>
      <c r="C305" s="10"/>
      <c r="D305" s="10"/>
      <c r="E305" s="10"/>
      <c r="F305" s="11"/>
      <c r="G305" s="10"/>
      <c r="H305" s="10"/>
      <c r="I305" s="16" t="str">
        <f aca="false">IF(OR($A305="",$F305=""),"",IF($B305="입금",$F305,0))</f>
        <v/>
      </c>
      <c r="J305" s="16" t="str">
        <f aca="false">IF(OR($A305="",$F305=""),"",IF($B305="출금",$F305,0))</f>
        <v/>
      </c>
      <c r="K305" s="17" t="str">
        <f aca="false">IF($A305="","",COUNTIFS($A$3:$A305,$A305))</f>
        <v/>
      </c>
      <c r="L305" s="17" t="str">
        <f aca="false">IF($A305="","",TEXT($A305,"yyyymmdd")&amp;"|"&amp;$K305)</f>
        <v/>
      </c>
    </row>
    <row r="306" customFormat="false" ht="15" hidden="false" customHeight="true" outlineLevel="0" collapsed="false">
      <c r="A306" s="15"/>
      <c r="B306" s="10"/>
      <c r="C306" s="10"/>
      <c r="D306" s="10"/>
      <c r="E306" s="10"/>
      <c r="F306" s="11"/>
      <c r="G306" s="10"/>
      <c r="H306" s="10"/>
      <c r="I306" s="16" t="str">
        <f aca="false">IF(OR($A306="",$F306=""),"",IF($B306="입금",$F306,0))</f>
        <v/>
      </c>
      <c r="J306" s="16" t="str">
        <f aca="false">IF(OR($A306="",$F306=""),"",IF($B306="출금",$F306,0))</f>
        <v/>
      </c>
      <c r="K306" s="17" t="str">
        <f aca="false">IF($A306="","",COUNTIFS($A$3:$A306,$A306))</f>
        <v/>
      </c>
      <c r="L306" s="17" t="str">
        <f aca="false">IF($A306="","",TEXT($A306,"yyyymmdd")&amp;"|"&amp;$K306)</f>
        <v/>
      </c>
    </row>
    <row r="307" customFormat="false" ht="15" hidden="false" customHeight="true" outlineLevel="0" collapsed="false">
      <c r="A307" s="15"/>
      <c r="B307" s="10"/>
      <c r="C307" s="10"/>
      <c r="D307" s="10"/>
      <c r="E307" s="10"/>
      <c r="F307" s="11"/>
      <c r="G307" s="10"/>
      <c r="H307" s="10"/>
      <c r="I307" s="16" t="str">
        <f aca="false">IF(OR($A307="",$F307=""),"",IF($B307="입금",$F307,0))</f>
        <v/>
      </c>
      <c r="J307" s="16" t="str">
        <f aca="false">IF(OR($A307="",$F307=""),"",IF($B307="출금",$F307,0))</f>
        <v/>
      </c>
      <c r="K307" s="17" t="str">
        <f aca="false">IF($A307="","",COUNTIFS($A$3:$A307,$A307))</f>
        <v/>
      </c>
      <c r="L307" s="17" t="str">
        <f aca="false">IF($A307="","",TEXT($A307,"yyyymmdd")&amp;"|"&amp;$K307)</f>
        <v/>
      </c>
    </row>
    <row r="308" customFormat="false" ht="15" hidden="false" customHeight="true" outlineLevel="0" collapsed="false">
      <c r="A308" s="15"/>
      <c r="B308" s="10"/>
      <c r="C308" s="10"/>
      <c r="D308" s="10"/>
      <c r="E308" s="10"/>
      <c r="F308" s="11"/>
      <c r="G308" s="10"/>
      <c r="H308" s="10"/>
      <c r="I308" s="16" t="str">
        <f aca="false">IF(OR($A308="",$F308=""),"",IF($B308="입금",$F308,0))</f>
        <v/>
      </c>
      <c r="J308" s="16" t="str">
        <f aca="false">IF(OR($A308="",$F308=""),"",IF($B308="출금",$F308,0))</f>
        <v/>
      </c>
      <c r="K308" s="17" t="str">
        <f aca="false">IF($A308="","",COUNTIFS($A$3:$A308,$A308))</f>
        <v/>
      </c>
      <c r="L308" s="17" t="str">
        <f aca="false">IF($A308="","",TEXT($A308,"yyyymmdd")&amp;"|"&amp;$K308)</f>
        <v/>
      </c>
    </row>
    <row r="309" customFormat="false" ht="15" hidden="false" customHeight="true" outlineLevel="0" collapsed="false">
      <c r="A309" s="15"/>
      <c r="B309" s="10"/>
      <c r="C309" s="10"/>
      <c r="D309" s="10"/>
      <c r="E309" s="10"/>
      <c r="F309" s="11"/>
      <c r="G309" s="10"/>
      <c r="H309" s="10"/>
      <c r="I309" s="16" t="str">
        <f aca="false">IF(OR($A309="",$F309=""),"",IF($B309="입금",$F309,0))</f>
        <v/>
      </c>
      <c r="J309" s="16" t="str">
        <f aca="false">IF(OR($A309="",$F309=""),"",IF($B309="출금",$F309,0))</f>
        <v/>
      </c>
      <c r="K309" s="17" t="str">
        <f aca="false">IF($A309="","",COUNTIFS($A$3:$A309,$A309))</f>
        <v/>
      </c>
      <c r="L309" s="17" t="str">
        <f aca="false">IF($A309="","",TEXT($A309,"yyyymmdd")&amp;"|"&amp;$K309)</f>
        <v/>
      </c>
    </row>
    <row r="310" customFormat="false" ht="15" hidden="false" customHeight="true" outlineLevel="0" collapsed="false">
      <c r="A310" s="15"/>
      <c r="B310" s="10"/>
      <c r="C310" s="10"/>
      <c r="D310" s="10"/>
      <c r="E310" s="10"/>
      <c r="F310" s="11"/>
      <c r="G310" s="10"/>
      <c r="H310" s="10"/>
      <c r="I310" s="16" t="str">
        <f aca="false">IF(OR($A310="",$F310=""),"",IF($B310="입금",$F310,0))</f>
        <v/>
      </c>
      <c r="J310" s="16" t="str">
        <f aca="false">IF(OR($A310="",$F310=""),"",IF($B310="출금",$F310,0))</f>
        <v/>
      </c>
      <c r="K310" s="17" t="str">
        <f aca="false">IF($A310="","",COUNTIFS($A$3:$A310,$A310))</f>
        <v/>
      </c>
      <c r="L310" s="17" t="str">
        <f aca="false">IF($A310="","",TEXT($A310,"yyyymmdd")&amp;"|"&amp;$K310)</f>
        <v/>
      </c>
    </row>
    <row r="311" customFormat="false" ht="15" hidden="false" customHeight="true" outlineLevel="0" collapsed="false">
      <c r="A311" s="15"/>
      <c r="B311" s="10"/>
      <c r="C311" s="10"/>
      <c r="D311" s="10"/>
      <c r="E311" s="10"/>
      <c r="F311" s="11"/>
      <c r="G311" s="10"/>
      <c r="H311" s="10"/>
      <c r="I311" s="16" t="str">
        <f aca="false">IF(OR($A311="",$F311=""),"",IF($B311="입금",$F311,0))</f>
        <v/>
      </c>
      <c r="J311" s="16" t="str">
        <f aca="false">IF(OR($A311="",$F311=""),"",IF($B311="출금",$F311,0))</f>
        <v/>
      </c>
      <c r="K311" s="17" t="str">
        <f aca="false">IF($A311="","",COUNTIFS($A$3:$A311,$A311))</f>
        <v/>
      </c>
      <c r="L311" s="17" t="str">
        <f aca="false">IF($A311="","",TEXT($A311,"yyyymmdd")&amp;"|"&amp;$K311)</f>
        <v/>
      </c>
    </row>
    <row r="312" customFormat="false" ht="15" hidden="false" customHeight="true" outlineLevel="0" collapsed="false">
      <c r="A312" s="15"/>
      <c r="B312" s="10"/>
      <c r="C312" s="10"/>
      <c r="D312" s="10"/>
      <c r="E312" s="10"/>
      <c r="F312" s="11"/>
      <c r="G312" s="10"/>
      <c r="H312" s="10"/>
      <c r="I312" s="16" t="str">
        <f aca="false">IF(OR($A312="",$F312=""),"",IF($B312="입금",$F312,0))</f>
        <v/>
      </c>
      <c r="J312" s="16" t="str">
        <f aca="false">IF(OR($A312="",$F312=""),"",IF($B312="출금",$F312,0))</f>
        <v/>
      </c>
      <c r="K312" s="17" t="str">
        <f aca="false">IF($A312="","",COUNTIFS($A$3:$A312,$A312))</f>
        <v/>
      </c>
      <c r="L312" s="17" t="str">
        <f aca="false">IF($A312="","",TEXT($A312,"yyyymmdd")&amp;"|"&amp;$K312)</f>
        <v/>
      </c>
    </row>
    <row r="313" customFormat="false" ht="15" hidden="false" customHeight="true" outlineLevel="0" collapsed="false">
      <c r="A313" s="15"/>
      <c r="B313" s="10"/>
      <c r="C313" s="10"/>
      <c r="D313" s="10"/>
      <c r="E313" s="10"/>
      <c r="F313" s="11"/>
      <c r="G313" s="10"/>
      <c r="H313" s="10"/>
      <c r="I313" s="16" t="str">
        <f aca="false">IF(OR($A313="",$F313=""),"",IF($B313="입금",$F313,0))</f>
        <v/>
      </c>
      <c r="J313" s="16" t="str">
        <f aca="false">IF(OR($A313="",$F313=""),"",IF($B313="출금",$F313,0))</f>
        <v/>
      </c>
      <c r="K313" s="17" t="str">
        <f aca="false">IF($A313="","",COUNTIFS($A$3:$A313,$A313))</f>
        <v/>
      </c>
      <c r="L313" s="17" t="str">
        <f aca="false">IF($A313="","",TEXT($A313,"yyyymmdd")&amp;"|"&amp;$K313)</f>
        <v/>
      </c>
    </row>
    <row r="314" customFormat="false" ht="15" hidden="false" customHeight="true" outlineLevel="0" collapsed="false">
      <c r="A314" s="15"/>
      <c r="B314" s="10"/>
      <c r="C314" s="10"/>
      <c r="D314" s="10"/>
      <c r="E314" s="10"/>
      <c r="F314" s="11"/>
      <c r="G314" s="10"/>
      <c r="H314" s="10"/>
      <c r="I314" s="16" t="str">
        <f aca="false">IF(OR($A314="",$F314=""),"",IF($B314="입금",$F314,0))</f>
        <v/>
      </c>
      <c r="J314" s="16" t="str">
        <f aca="false">IF(OR($A314="",$F314=""),"",IF($B314="출금",$F314,0))</f>
        <v/>
      </c>
      <c r="K314" s="17" t="str">
        <f aca="false">IF($A314="","",COUNTIFS($A$3:$A314,$A314))</f>
        <v/>
      </c>
      <c r="L314" s="17" t="str">
        <f aca="false">IF($A314="","",TEXT($A314,"yyyymmdd")&amp;"|"&amp;$K314)</f>
        <v/>
      </c>
    </row>
    <row r="315" customFormat="false" ht="15" hidden="false" customHeight="true" outlineLevel="0" collapsed="false">
      <c r="A315" s="15"/>
      <c r="B315" s="10"/>
      <c r="C315" s="10"/>
      <c r="D315" s="10"/>
      <c r="E315" s="10"/>
      <c r="F315" s="11"/>
      <c r="G315" s="10"/>
      <c r="H315" s="10"/>
      <c r="I315" s="16" t="str">
        <f aca="false">IF(OR($A315="",$F315=""),"",IF($B315="입금",$F315,0))</f>
        <v/>
      </c>
      <c r="J315" s="16" t="str">
        <f aca="false">IF(OR($A315="",$F315=""),"",IF($B315="출금",$F315,0))</f>
        <v/>
      </c>
      <c r="K315" s="17" t="str">
        <f aca="false">IF($A315="","",COUNTIFS($A$3:$A315,$A315))</f>
        <v/>
      </c>
      <c r="L315" s="17" t="str">
        <f aca="false">IF($A315="","",TEXT($A315,"yyyymmdd")&amp;"|"&amp;$K315)</f>
        <v/>
      </c>
    </row>
    <row r="316" customFormat="false" ht="15" hidden="false" customHeight="true" outlineLevel="0" collapsed="false">
      <c r="A316" s="15"/>
      <c r="B316" s="10"/>
      <c r="C316" s="10"/>
      <c r="D316" s="10"/>
      <c r="E316" s="10"/>
      <c r="F316" s="11"/>
      <c r="G316" s="10"/>
      <c r="H316" s="10"/>
      <c r="I316" s="16" t="str">
        <f aca="false">IF(OR($A316="",$F316=""),"",IF($B316="입금",$F316,0))</f>
        <v/>
      </c>
      <c r="J316" s="16" t="str">
        <f aca="false">IF(OR($A316="",$F316=""),"",IF($B316="출금",$F316,0))</f>
        <v/>
      </c>
      <c r="K316" s="17" t="str">
        <f aca="false">IF($A316="","",COUNTIFS($A$3:$A316,$A316))</f>
        <v/>
      </c>
      <c r="L316" s="17" t="str">
        <f aca="false">IF($A316="","",TEXT($A316,"yyyymmdd")&amp;"|"&amp;$K316)</f>
        <v/>
      </c>
    </row>
    <row r="317" customFormat="false" ht="15" hidden="false" customHeight="true" outlineLevel="0" collapsed="false">
      <c r="A317" s="15"/>
      <c r="B317" s="10"/>
      <c r="C317" s="10"/>
      <c r="D317" s="10"/>
      <c r="E317" s="10"/>
      <c r="F317" s="11"/>
      <c r="G317" s="10"/>
      <c r="H317" s="10"/>
      <c r="I317" s="16" t="str">
        <f aca="false">IF(OR($A317="",$F317=""),"",IF($B317="입금",$F317,0))</f>
        <v/>
      </c>
      <c r="J317" s="16" t="str">
        <f aca="false">IF(OR($A317="",$F317=""),"",IF($B317="출금",$F317,0))</f>
        <v/>
      </c>
      <c r="K317" s="17" t="str">
        <f aca="false">IF($A317="","",COUNTIFS($A$3:$A317,$A317))</f>
        <v/>
      </c>
      <c r="L317" s="17" t="str">
        <f aca="false">IF($A317="","",TEXT($A317,"yyyymmdd")&amp;"|"&amp;$K317)</f>
        <v/>
      </c>
    </row>
    <row r="318" customFormat="false" ht="15" hidden="false" customHeight="true" outlineLevel="0" collapsed="false">
      <c r="A318" s="15"/>
      <c r="B318" s="10"/>
      <c r="C318" s="10"/>
      <c r="D318" s="10"/>
      <c r="E318" s="10"/>
      <c r="F318" s="11"/>
      <c r="G318" s="10"/>
      <c r="H318" s="10"/>
      <c r="I318" s="16" t="str">
        <f aca="false">IF(OR($A318="",$F318=""),"",IF($B318="입금",$F318,0))</f>
        <v/>
      </c>
      <c r="J318" s="16" t="str">
        <f aca="false">IF(OR($A318="",$F318=""),"",IF($B318="출금",$F318,0))</f>
        <v/>
      </c>
      <c r="K318" s="17" t="str">
        <f aca="false">IF($A318="","",COUNTIFS($A$3:$A318,$A318))</f>
        <v/>
      </c>
      <c r="L318" s="17" t="str">
        <f aca="false">IF($A318="","",TEXT($A318,"yyyymmdd")&amp;"|"&amp;$K318)</f>
        <v/>
      </c>
    </row>
    <row r="319" customFormat="false" ht="15" hidden="false" customHeight="true" outlineLevel="0" collapsed="false">
      <c r="A319" s="15"/>
      <c r="B319" s="10"/>
      <c r="C319" s="10"/>
      <c r="D319" s="10"/>
      <c r="E319" s="10"/>
      <c r="F319" s="11"/>
      <c r="G319" s="10"/>
      <c r="H319" s="10"/>
      <c r="I319" s="16" t="str">
        <f aca="false">IF(OR($A319="",$F319=""),"",IF($B319="입금",$F319,0))</f>
        <v/>
      </c>
      <c r="J319" s="16" t="str">
        <f aca="false">IF(OR($A319="",$F319=""),"",IF($B319="출금",$F319,0))</f>
        <v/>
      </c>
      <c r="K319" s="17" t="str">
        <f aca="false">IF($A319="","",COUNTIFS($A$3:$A319,$A319))</f>
        <v/>
      </c>
      <c r="L319" s="17" t="str">
        <f aca="false">IF($A319="","",TEXT($A319,"yyyymmdd")&amp;"|"&amp;$K319)</f>
        <v/>
      </c>
    </row>
    <row r="320" customFormat="false" ht="15" hidden="false" customHeight="true" outlineLevel="0" collapsed="false">
      <c r="A320" s="15"/>
      <c r="B320" s="10"/>
      <c r="C320" s="10"/>
      <c r="D320" s="10"/>
      <c r="E320" s="10"/>
      <c r="F320" s="11"/>
      <c r="G320" s="10"/>
      <c r="H320" s="10"/>
      <c r="I320" s="16" t="str">
        <f aca="false">IF(OR($A320="",$F320=""),"",IF($B320="입금",$F320,0))</f>
        <v/>
      </c>
      <c r="J320" s="16" t="str">
        <f aca="false">IF(OR($A320="",$F320=""),"",IF($B320="출금",$F320,0))</f>
        <v/>
      </c>
      <c r="K320" s="17" t="str">
        <f aca="false">IF($A320="","",COUNTIFS($A$3:$A320,$A320))</f>
        <v/>
      </c>
      <c r="L320" s="17" t="str">
        <f aca="false">IF($A320="","",TEXT($A320,"yyyymmdd")&amp;"|"&amp;$K320)</f>
        <v/>
      </c>
    </row>
    <row r="321" customFormat="false" ht="15" hidden="false" customHeight="true" outlineLevel="0" collapsed="false">
      <c r="A321" s="15"/>
      <c r="B321" s="10"/>
      <c r="C321" s="10"/>
      <c r="D321" s="10"/>
      <c r="E321" s="10"/>
      <c r="F321" s="11"/>
      <c r="G321" s="10"/>
      <c r="H321" s="10"/>
      <c r="I321" s="16" t="str">
        <f aca="false">IF(OR($A321="",$F321=""),"",IF($B321="입금",$F321,0))</f>
        <v/>
      </c>
      <c r="J321" s="16" t="str">
        <f aca="false">IF(OR($A321="",$F321=""),"",IF($B321="출금",$F321,0))</f>
        <v/>
      </c>
      <c r="K321" s="17" t="str">
        <f aca="false">IF($A321="","",COUNTIFS($A$3:$A321,$A321))</f>
        <v/>
      </c>
      <c r="L321" s="17" t="str">
        <f aca="false">IF($A321="","",TEXT($A321,"yyyymmdd")&amp;"|"&amp;$K321)</f>
        <v/>
      </c>
    </row>
    <row r="322" customFormat="false" ht="15" hidden="false" customHeight="true" outlineLevel="0" collapsed="false">
      <c r="A322" s="15"/>
      <c r="B322" s="10"/>
      <c r="C322" s="10"/>
      <c r="D322" s="10"/>
      <c r="E322" s="10"/>
      <c r="F322" s="11"/>
      <c r="G322" s="10"/>
      <c r="H322" s="10"/>
      <c r="I322" s="16" t="str">
        <f aca="false">IF(OR($A322="",$F322=""),"",IF($B322="입금",$F322,0))</f>
        <v/>
      </c>
      <c r="J322" s="16" t="str">
        <f aca="false">IF(OR($A322="",$F322=""),"",IF($B322="출금",$F322,0))</f>
        <v/>
      </c>
      <c r="K322" s="17" t="str">
        <f aca="false">IF($A322="","",COUNTIFS($A$3:$A322,$A322))</f>
        <v/>
      </c>
      <c r="L322" s="17" t="str">
        <f aca="false">IF($A322="","",TEXT($A322,"yyyymmdd")&amp;"|"&amp;$K322)</f>
        <v/>
      </c>
    </row>
    <row r="323" customFormat="false" ht="15" hidden="false" customHeight="true" outlineLevel="0" collapsed="false">
      <c r="A323" s="15"/>
      <c r="B323" s="10"/>
      <c r="C323" s="10"/>
      <c r="D323" s="10"/>
      <c r="E323" s="10"/>
      <c r="F323" s="11"/>
      <c r="G323" s="10"/>
      <c r="H323" s="10"/>
      <c r="I323" s="16" t="str">
        <f aca="false">IF(OR($A323="",$F323=""),"",IF($B323="입금",$F323,0))</f>
        <v/>
      </c>
      <c r="J323" s="16" t="str">
        <f aca="false">IF(OR($A323="",$F323=""),"",IF($B323="출금",$F323,0))</f>
        <v/>
      </c>
      <c r="K323" s="17" t="str">
        <f aca="false">IF($A323="","",COUNTIFS($A$3:$A323,$A323))</f>
        <v/>
      </c>
      <c r="L323" s="17" t="str">
        <f aca="false">IF($A323="","",TEXT($A323,"yyyymmdd")&amp;"|"&amp;$K323)</f>
        <v/>
      </c>
    </row>
    <row r="324" customFormat="false" ht="15" hidden="false" customHeight="true" outlineLevel="0" collapsed="false">
      <c r="A324" s="15"/>
      <c r="B324" s="10"/>
      <c r="C324" s="10"/>
      <c r="D324" s="10"/>
      <c r="E324" s="10"/>
      <c r="F324" s="11"/>
      <c r="G324" s="10"/>
      <c r="H324" s="10"/>
      <c r="I324" s="16" t="str">
        <f aca="false">IF(OR($A324="",$F324=""),"",IF($B324="입금",$F324,0))</f>
        <v/>
      </c>
      <c r="J324" s="16" t="str">
        <f aca="false">IF(OR($A324="",$F324=""),"",IF($B324="출금",$F324,0))</f>
        <v/>
      </c>
      <c r="K324" s="17" t="str">
        <f aca="false">IF($A324="","",COUNTIFS($A$3:$A324,$A324))</f>
        <v/>
      </c>
      <c r="L324" s="17" t="str">
        <f aca="false">IF($A324="","",TEXT($A324,"yyyymmdd")&amp;"|"&amp;$K324)</f>
        <v/>
      </c>
    </row>
    <row r="325" customFormat="false" ht="15" hidden="false" customHeight="true" outlineLevel="0" collapsed="false">
      <c r="A325" s="15"/>
      <c r="B325" s="10"/>
      <c r="C325" s="10"/>
      <c r="D325" s="10"/>
      <c r="E325" s="10"/>
      <c r="F325" s="11"/>
      <c r="G325" s="10"/>
      <c r="H325" s="10"/>
      <c r="I325" s="16" t="str">
        <f aca="false">IF(OR($A325="",$F325=""),"",IF($B325="입금",$F325,0))</f>
        <v/>
      </c>
      <c r="J325" s="16" t="str">
        <f aca="false">IF(OR($A325="",$F325=""),"",IF($B325="출금",$F325,0))</f>
        <v/>
      </c>
      <c r="K325" s="17" t="str">
        <f aca="false">IF($A325="","",COUNTIFS($A$3:$A325,$A325))</f>
        <v/>
      </c>
      <c r="L325" s="17" t="str">
        <f aca="false">IF($A325="","",TEXT($A325,"yyyymmdd")&amp;"|"&amp;$K325)</f>
        <v/>
      </c>
    </row>
    <row r="326" customFormat="false" ht="15" hidden="false" customHeight="true" outlineLevel="0" collapsed="false">
      <c r="A326" s="15"/>
      <c r="B326" s="10"/>
      <c r="C326" s="10"/>
      <c r="D326" s="10"/>
      <c r="E326" s="10"/>
      <c r="F326" s="11"/>
      <c r="G326" s="10"/>
      <c r="H326" s="10"/>
      <c r="I326" s="16" t="str">
        <f aca="false">IF(OR($A326="",$F326=""),"",IF($B326="입금",$F326,0))</f>
        <v/>
      </c>
      <c r="J326" s="16" t="str">
        <f aca="false">IF(OR($A326="",$F326=""),"",IF($B326="출금",$F326,0))</f>
        <v/>
      </c>
      <c r="K326" s="17" t="str">
        <f aca="false">IF($A326="","",COUNTIFS($A$3:$A326,$A326))</f>
        <v/>
      </c>
      <c r="L326" s="17" t="str">
        <f aca="false">IF($A326="","",TEXT($A326,"yyyymmdd")&amp;"|"&amp;$K326)</f>
        <v/>
      </c>
    </row>
    <row r="327" customFormat="false" ht="15" hidden="false" customHeight="true" outlineLevel="0" collapsed="false">
      <c r="A327" s="15"/>
      <c r="B327" s="10"/>
      <c r="C327" s="10"/>
      <c r="D327" s="10"/>
      <c r="E327" s="10"/>
      <c r="F327" s="11"/>
      <c r="G327" s="10"/>
      <c r="H327" s="10"/>
      <c r="I327" s="16" t="str">
        <f aca="false">IF(OR($A327="",$F327=""),"",IF($B327="입금",$F327,0))</f>
        <v/>
      </c>
      <c r="J327" s="16" t="str">
        <f aca="false">IF(OR($A327="",$F327=""),"",IF($B327="출금",$F327,0))</f>
        <v/>
      </c>
      <c r="K327" s="17" t="str">
        <f aca="false">IF($A327="","",COUNTIFS($A$3:$A327,$A327))</f>
        <v/>
      </c>
      <c r="L327" s="17" t="str">
        <f aca="false">IF($A327="","",TEXT($A327,"yyyymmdd")&amp;"|"&amp;$K327)</f>
        <v/>
      </c>
    </row>
    <row r="328" customFormat="false" ht="15" hidden="false" customHeight="true" outlineLevel="0" collapsed="false">
      <c r="A328" s="15"/>
      <c r="B328" s="10"/>
      <c r="C328" s="10"/>
      <c r="D328" s="10"/>
      <c r="E328" s="10"/>
      <c r="F328" s="11"/>
      <c r="G328" s="10"/>
      <c r="H328" s="10"/>
      <c r="I328" s="16" t="str">
        <f aca="false">IF(OR($A328="",$F328=""),"",IF($B328="입금",$F328,0))</f>
        <v/>
      </c>
      <c r="J328" s="16" t="str">
        <f aca="false">IF(OR($A328="",$F328=""),"",IF($B328="출금",$F328,0))</f>
        <v/>
      </c>
      <c r="K328" s="17" t="str">
        <f aca="false">IF($A328="","",COUNTIFS($A$3:$A328,$A328))</f>
        <v/>
      </c>
      <c r="L328" s="17" t="str">
        <f aca="false">IF($A328="","",TEXT($A328,"yyyymmdd")&amp;"|"&amp;$K328)</f>
        <v/>
      </c>
    </row>
    <row r="329" customFormat="false" ht="15" hidden="false" customHeight="true" outlineLevel="0" collapsed="false">
      <c r="A329" s="15"/>
      <c r="B329" s="10"/>
      <c r="C329" s="10"/>
      <c r="D329" s="10"/>
      <c r="E329" s="10"/>
      <c r="F329" s="11"/>
      <c r="G329" s="10"/>
      <c r="H329" s="10"/>
      <c r="I329" s="16" t="str">
        <f aca="false">IF(OR($A329="",$F329=""),"",IF($B329="입금",$F329,0))</f>
        <v/>
      </c>
      <c r="J329" s="16" t="str">
        <f aca="false">IF(OR($A329="",$F329=""),"",IF($B329="출금",$F329,0))</f>
        <v/>
      </c>
      <c r="K329" s="17" t="str">
        <f aca="false">IF($A329="","",COUNTIFS($A$3:$A329,$A329))</f>
        <v/>
      </c>
      <c r="L329" s="17" t="str">
        <f aca="false">IF($A329="","",TEXT($A329,"yyyymmdd")&amp;"|"&amp;$K329)</f>
        <v/>
      </c>
    </row>
    <row r="330" customFormat="false" ht="15" hidden="false" customHeight="true" outlineLevel="0" collapsed="false">
      <c r="A330" s="15"/>
      <c r="B330" s="10"/>
      <c r="C330" s="10"/>
      <c r="D330" s="10"/>
      <c r="E330" s="10"/>
      <c r="F330" s="11"/>
      <c r="G330" s="10"/>
      <c r="H330" s="10"/>
      <c r="I330" s="16" t="str">
        <f aca="false">IF(OR($A330="",$F330=""),"",IF($B330="입금",$F330,0))</f>
        <v/>
      </c>
      <c r="J330" s="16" t="str">
        <f aca="false">IF(OR($A330="",$F330=""),"",IF($B330="출금",$F330,0))</f>
        <v/>
      </c>
      <c r="K330" s="17" t="str">
        <f aca="false">IF($A330="","",COUNTIFS($A$3:$A330,$A330))</f>
        <v/>
      </c>
      <c r="L330" s="17" t="str">
        <f aca="false">IF($A330="","",TEXT($A330,"yyyymmdd")&amp;"|"&amp;$K330)</f>
        <v/>
      </c>
    </row>
    <row r="331" customFormat="false" ht="15" hidden="false" customHeight="true" outlineLevel="0" collapsed="false">
      <c r="A331" s="15"/>
      <c r="B331" s="10"/>
      <c r="C331" s="10"/>
      <c r="D331" s="10"/>
      <c r="E331" s="10"/>
      <c r="F331" s="11"/>
      <c r="G331" s="10"/>
      <c r="H331" s="10"/>
      <c r="I331" s="16" t="str">
        <f aca="false">IF(OR($A331="",$F331=""),"",IF($B331="입금",$F331,0))</f>
        <v/>
      </c>
      <c r="J331" s="16" t="str">
        <f aca="false">IF(OR($A331="",$F331=""),"",IF($B331="출금",$F331,0))</f>
        <v/>
      </c>
      <c r="K331" s="17" t="str">
        <f aca="false">IF($A331="","",COUNTIFS($A$3:$A331,$A331))</f>
        <v/>
      </c>
      <c r="L331" s="17" t="str">
        <f aca="false">IF($A331="","",TEXT($A331,"yyyymmdd")&amp;"|"&amp;$K331)</f>
        <v/>
      </c>
    </row>
    <row r="332" customFormat="false" ht="15" hidden="false" customHeight="true" outlineLevel="0" collapsed="false">
      <c r="A332" s="15"/>
      <c r="B332" s="10"/>
      <c r="C332" s="10"/>
      <c r="D332" s="10"/>
      <c r="E332" s="10"/>
      <c r="F332" s="11"/>
      <c r="G332" s="10"/>
      <c r="H332" s="10"/>
      <c r="I332" s="16" t="str">
        <f aca="false">IF(OR($A332="",$F332=""),"",IF($B332="입금",$F332,0))</f>
        <v/>
      </c>
      <c r="J332" s="16" t="str">
        <f aca="false">IF(OR($A332="",$F332=""),"",IF($B332="출금",$F332,0))</f>
        <v/>
      </c>
      <c r="K332" s="17" t="str">
        <f aca="false">IF($A332="","",COUNTIFS($A$3:$A332,$A332))</f>
        <v/>
      </c>
      <c r="L332" s="17" t="str">
        <f aca="false">IF($A332="","",TEXT($A332,"yyyymmdd")&amp;"|"&amp;$K332)</f>
        <v/>
      </c>
    </row>
    <row r="333" customFormat="false" ht="15" hidden="false" customHeight="true" outlineLevel="0" collapsed="false">
      <c r="A333" s="15"/>
      <c r="B333" s="10"/>
      <c r="C333" s="10"/>
      <c r="D333" s="10"/>
      <c r="E333" s="10"/>
      <c r="F333" s="11"/>
      <c r="G333" s="10"/>
      <c r="H333" s="10"/>
      <c r="I333" s="16" t="str">
        <f aca="false">IF(OR($A333="",$F333=""),"",IF($B333="입금",$F333,0))</f>
        <v/>
      </c>
      <c r="J333" s="16" t="str">
        <f aca="false">IF(OR($A333="",$F333=""),"",IF($B333="출금",$F333,0))</f>
        <v/>
      </c>
      <c r="K333" s="17" t="str">
        <f aca="false">IF($A333="","",COUNTIFS($A$3:$A333,$A333))</f>
        <v/>
      </c>
      <c r="L333" s="17" t="str">
        <f aca="false">IF($A333="","",TEXT($A333,"yyyymmdd")&amp;"|"&amp;$K333)</f>
        <v/>
      </c>
    </row>
    <row r="334" customFormat="false" ht="15" hidden="false" customHeight="true" outlineLevel="0" collapsed="false">
      <c r="A334" s="15"/>
      <c r="B334" s="10"/>
      <c r="C334" s="10"/>
      <c r="D334" s="10"/>
      <c r="E334" s="10"/>
      <c r="F334" s="11"/>
      <c r="G334" s="10"/>
      <c r="H334" s="10"/>
      <c r="I334" s="16" t="str">
        <f aca="false">IF(OR($A334="",$F334=""),"",IF($B334="입금",$F334,0))</f>
        <v/>
      </c>
      <c r="J334" s="16" t="str">
        <f aca="false">IF(OR($A334="",$F334=""),"",IF($B334="출금",$F334,0))</f>
        <v/>
      </c>
      <c r="K334" s="17" t="str">
        <f aca="false">IF($A334="","",COUNTIFS($A$3:$A334,$A334))</f>
        <v/>
      </c>
      <c r="L334" s="17" t="str">
        <f aca="false">IF($A334="","",TEXT($A334,"yyyymmdd")&amp;"|"&amp;$K334)</f>
        <v/>
      </c>
    </row>
    <row r="335" customFormat="false" ht="15" hidden="false" customHeight="true" outlineLevel="0" collapsed="false">
      <c r="A335" s="15"/>
      <c r="B335" s="10"/>
      <c r="C335" s="10"/>
      <c r="D335" s="10"/>
      <c r="E335" s="10"/>
      <c r="F335" s="11"/>
      <c r="G335" s="10"/>
      <c r="H335" s="10"/>
      <c r="I335" s="16" t="str">
        <f aca="false">IF(OR($A335="",$F335=""),"",IF($B335="입금",$F335,0))</f>
        <v/>
      </c>
      <c r="J335" s="16" t="str">
        <f aca="false">IF(OR($A335="",$F335=""),"",IF($B335="출금",$F335,0))</f>
        <v/>
      </c>
      <c r="K335" s="17" t="str">
        <f aca="false">IF($A335="","",COUNTIFS($A$3:$A335,$A335))</f>
        <v/>
      </c>
      <c r="L335" s="17" t="str">
        <f aca="false">IF($A335="","",TEXT($A335,"yyyymmdd")&amp;"|"&amp;$K335)</f>
        <v/>
      </c>
    </row>
    <row r="336" customFormat="false" ht="15" hidden="false" customHeight="true" outlineLevel="0" collapsed="false">
      <c r="A336" s="15"/>
      <c r="B336" s="10"/>
      <c r="C336" s="10"/>
      <c r="D336" s="10"/>
      <c r="E336" s="10"/>
      <c r="F336" s="11"/>
      <c r="G336" s="10"/>
      <c r="H336" s="10"/>
      <c r="I336" s="16" t="str">
        <f aca="false">IF(OR($A336="",$F336=""),"",IF($B336="입금",$F336,0))</f>
        <v/>
      </c>
      <c r="J336" s="16" t="str">
        <f aca="false">IF(OR($A336="",$F336=""),"",IF($B336="출금",$F336,0))</f>
        <v/>
      </c>
      <c r="K336" s="17" t="str">
        <f aca="false">IF($A336="","",COUNTIFS($A$3:$A336,$A336))</f>
        <v/>
      </c>
      <c r="L336" s="17" t="str">
        <f aca="false">IF($A336="","",TEXT($A336,"yyyymmdd")&amp;"|"&amp;$K336)</f>
        <v/>
      </c>
    </row>
    <row r="337" customFormat="false" ht="15" hidden="false" customHeight="true" outlineLevel="0" collapsed="false">
      <c r="A337" s="15"/>
      <c r="B337" s="10"/>
      <c r="C337" s="10"/>
      <c r="D337" s="10"/>
      <c r="E337" s="10"/>
      <c r="F337" s="11"/>
      <c r="G337" s="10"/>
      <c r="H337" s="10"/>
      <c r="I337" s="16" t="str">
        <f aca="false">IF(OR($A337="",$F337=""),"",IF($B337="입금",$F337,0))</f>
        <v/>
      </c>
      <c r="J337" s="16" t="str">
        <f aca="false">IF(OR($A337="",$F337=""),"",IF($B337="출금",$F337,0))</f>
        <v/>
      </c>
      <c r="K337" s="17" t="str">
        <f aca="false">IF($A337="","",COUNTIFS($A$3:$A337,$A337))</f>
        <v/>
      </c>
      <c r="L337" s="17" t="str">
        <f aca="false">IF($A337="","",TEXT($A337,"yyyymmdd")&amp;"|"&amp;$K337)</f>
        <v/>
      </c>
    </row>
    <row r="338" customFormat="false" ht="15" hidden="false" customHeight="true" outlineLevel="0" collapsed="false">
      <c r="A338" s="15"/>
      <c r="B338" s="10"/>
      <c r="C338" s="10"/>
      <c r="D338" s="10"/>
      <c r="E338" s="10"/>
      <c r="F338" s="11"/>
      <c r="G338" s="10"/>
      <c r="H338" s="10"/>
      <c r="I338" s="16" t="str">
        <f aca="false">IF(OR($A338="",$F338=""),"",IF($B338="입금",$F338,0))</f>
        <v/>
      </c>
      <c r="J338" s="16" t="str">
        <f aca="false">IF(OR($A338="",$F338=""),"",IF($B338="출금",$F338,0))</f>
        <v/>
      </c>
      <c r="K338" s="17" t="str">
        <f aca="false">IF($A338="","",COUNTIFS($A$3:$A338,$A338))</f>
        <v/>
      </c>
      <c r="L338" s="17" t="str">
        <f aca="false">IF($A338="","",TEXT($A338,"yyyymmdd")&amp;"|"&amp;$K338)</f>
        <v/>
      </c>
    </row>
    <row r="339" customFormat="false" ht="15" hidden="false" customHeight="true" outlineLevel="0" collapsed="false">
      <c r="A339" s="15"/>
      <c r="B339" s="10"/>
      <c r="C339" s="10"/>
      <c r="D339" s="10"/>
      <c r="E339" s="10"/>
      <c r="F339" s="11"/>
      <c r="G339" s="10"/>
      <c r="H339" s="10"/>
      <c r="I339" s="16" t="str">
        <f aca="false">IF(OR($A339="",$F339=""),"",IF($B339="입금",$F339,0))</f>
        <v/>
      </c>
      <c r="J339" s="16" t="str">
        <f aca="false">IF(OR($A339="",$F339=""),"",IF($B339="출금",$F339,0))</f>
        <v/>
      </c>
      <c r="K339" s="17" t="str">
        <f aca="false">IF($A339="","",COUNTIFS($A$3:$A339,$A339))</f>
        <v/>
      </c>
      <c r="L339" s="17" t="str">
        <f aca="false">IF($A339="","",TEXT($A339,"yyyymmdd")&amp;"|"&amp;$K339)</f>
        <v/>
      </c>
    </row>
    <row r="340" customFormat="false" ht="15" hidden="false" customHeight="true" outlineLevel="0" collapsed="false">
      <c r="A340" s="15"/>
      <c r="B340" s="10"/>
      <c r="C340" s="10"/>
      <c r="D340" s="10"/>
      <c r="E340" s="10"/>
      <c r="F340" s="11"/>
      <c r="G340" s="10"/>
      <c r="H340" s="10"/>
      <c r="I340" s="16" t="str">
        <f aca="false">IF(OR($A340="",$F340=""),"",IF($B340="입금",$F340,0))</f>
        <v/>
      </c>
      <c r="J340" s="16" t="str">
        <f aca="false">IF(OR($A340="",$F340=""),"",IF($B340="출금",$F340,0))</f>
        <v/>
      </c>
      <c r="K340" s="17" t="str">
        <f aca="false">IF($A340="","",COUNTIFS($A$3:$A340,$A340))</f>
        <v/>
      </c>
      <c r="L340" s="17" t="str">
        <f aca="false">IF($A340="","",TEXT($A340,"yyyymmdd")&amp;"|"&amp;$K340)</f>
        <v/>
      </c>
    </row>
    <row r="341" customFormat="false" ht="15" hidden="false" customHeight="true" outlineLevel="0" collapsed="false">
      <c r="A341" s="15"/>
      <c r="B341" s="10"/>
      <c r="C341" s="10"/>
      <c r="D341" s="10"/>
      <c r="E341" s="10"/>
      <c r="F341" s="11"/>
      <c r="G341" s="10"/>
      <c r="H341" s="10"/>
      <c r="I341" s="16" t="str">
        <f aca="false">IF(OR($A341="",$F341=""),"",IF($B341="입금",$F341,0))</f>
        <v/>
      </c>
      <c r="J341" s="16" t="str">
        <f aca="false">IF(OR($A341="",$F341=""),"",IF($B341="출금",$F341,0))</f>
        <v/>
      </c>
      <c r="K341" s="17" t="str">
        <f aca="false">IF($A341="","",COUNTIFS($A$3:$A341,$A341))</f>
        <v/>
      </c>
      <c r="L341" s="17" t="str">
        <f aca="false">IF($A341="","",TEXT($A341,"yyyymmdd")&amp;"|"&amp;$K341)</f>
        <v/>
      </c>
    </row>
    <row r="342" customFormat="false" ht="15" hidden="false" customHeight="true" outlineLevel="0" collapsed="false">
      <c r="A342" s="15"/>
      <c r="B342" s="10"/>
      <c r="C342" s="10"/>
      <c r="D342" s="10"/>
      <c r="E342" s="10"/>
      <c r="F342" s="11"/>
      <c r="G342" s="10"/>
      <c r="H342" s="10"/>
      <c r="I342" s="16" t="str">
        <f aca="false">IF(OR($A342="",$F342=""),"",IF($B342="입금",$F342,0))</f>
        <v/>
      </c>
      <c r="J342" s="16" t="str">
        <f aca="false">IF(OR($A342="",$F342=""),"",IF($B342="출금",$F342,0))</f>
        <v/>
      </c>
      <c r="K342" s="17" t="str">
        <f aca="false">IF($A342="","",COUNTIFS($A$3:$A342,$A342))</f>
        <v/>
      </c>
      <c r="L342" s="17" t="str">
        <f aca="false">IF($A342="","",TEXT($A342,"yyyymmdd")&amp;"|"&amp;$K342)</f>
        <v/>
      </c>
    </row>
    <row r="343" customFormat="false" ht="15" hidden="false" customHeight="true" outlineLevel="0" collapsed="false">
      <c r="A343" s="15"/>
      <c r="B343" s="10"/>
      <c r="C343" s="10"/>
      <c r="D343" s="10"/>
      <c r="E343" s="10"/>
      <c r="F343" s="11"/>
      <c r="G343" s="10"/>
      <c r="H343" s="10"/>
      <c r="I343" s="16" t="str">
        <f aca="false">IF(OR($A343="",$F343=""),"",IF($B343="입금",$F343,0))</f>
        <v/>
      </c>
      <c r="J343" s="16" t="str">
        <f aca="false">IF(OR($A343="",$F343=""),"",IF($B343="출금",$F343,0))</f>
        <v/>
      </c>
      <c r="K343" s="17" t="str">
        <f aca="false">IF($A343="","",COUNTIFS($A$3:$A343,$A343))</f>
        <v/>
      </c>
      <c r="L343" s="17" t="str">
        <f aca="false">IF($A343="","",TEXT($A343,"yyyymmdd")&amp;"|"&amp;$K343)</f>
        <v/>
      </c>
    </row>
    <row r="344" customFormat="false" ht="15" hidden="false" customHeight="true" outlineLevel="0" collapsed="false">
      <c r="A344" s="15"/>
      <c r="B344" s="10"/>
      <c r="C344" s="10"/>
      <c r="D344" s="10"/>
      <c r="E344" s="10"/>
      <c r="F344" s="11"/>
      <c r="G344" s="10"/>
      <c r="H344" s="10"/>
      <c r="I344" s="16" t="str">
        <f aca="false">IF(OR($A344="",$F344=""),"",IF($B344="입금",$F344,0))</f>
        <v/>
      </c>
      <c r="J344" s="16" t="str">
        <f aca="false">IF(OR($A344="",$F344=""),"",IF($B344="출금",$F344,0))</f>
        <v/>
      </c>
      <c r="K344" s="17" t="str">
        <f aca="false">IF($A344="","",COUNTIFS($A$3:$A344,$A344))</f>
        <v/>
      </c>
      <c r="L344" s="17" t="str">
        <f aca="false">IF($A344="","",TEXT($A344,"yyyymmdd")&amp;"|"&amp;$K344)</f>
        <v/>
      </c>
    </row>
    <row r="345" customFormat="false" ht="15" hidden="false" customHeight="true" outlineLevel="0" collapsed="false">
      <c r="A345" s="15"/>
      <c r="B345" s="10"/>
      <c r="C345" s="10"/>
      <c r="D345" s="10"/>
      <c r="E345" s="10"/>
      <c r="F345" s="11"/>
      <c r="G345" s="10"/>
      <c r="H345" s="10"/>
      <c r="I345" s="16" t="str">
        <f aca="false">IF(OR($A345="",$F345=""),"",IF($B345="입금",$F345,0))</f>
        <v/>
      </c>
      <c r="J345" s="16" t="str">
        <f aca="false">IF(OR($A345="",$F345=""),"",IF($B345="출금",$F345,0))</f>
        <v/>
      </c>
      <c r="K345" s="17" t="str">
        <f aca="false">IF($A345="","",COUNTIFS($A$3:$A345,$A345))</f>
        <v/>
      </c>
      <c r="L345" s="17" t="str">
        <f aca="false">IF($A345="","",TEXT($A345,"yyyymmdd")&amp;"|"&amp;$K345)</f>
        <v/>
      </c>
    </row>
    <row r="346" customFormat="false" ht="15" hidden="false" customHeight="true" outlineLevel="0" collapsed="false">
      <c r="A346" s="15"/>
      <c r="B346" s="10"/>
      <c r="C346" s="10"/>
      <c r="D346" s="10"/>
      <c r="E346" s="10"/>
      <c r="F346" s="11"/>
      <c r="G346" s="10"/>
      <c r="H346" s="10"/>
      <c r="I346" s="16" t="str">
        <f aca="false">IF(OR($A346="",$F346=""),"",IF($B346="입금",$F346,0))</f>
        <v/>
      </c>
      <c r="J346" s="16" t="str">
        <f aca="false">IF(OR($A346="",$F346=""),"",IF($B346="출금",$F346,0))</f>
        <v/>
      </c>
      <c r="K346" s="17" t="str">
        <f aca="false">IF($A346="","",COUNTIFS($A$3:$A346,$A346))</f>
        <v/>
      </c>
      <c r="L346" s="17" t="str">
        <f aca="false">IF($A346="","",TEXT($A346,"yyyymmdd")&amp;"|"&amp;$K346)</f>
        <v/>
      </c>
    </row>
    <row r="347" customFormat="false" ht="15" hidden="false" customHeight="true" outlineLevel="0" collapsed="false">
      <c r="A347" s="15"/>
      <c r="B347" s="10"/>
      <c r="C347" s="10"/>
      <c r="D347" s="10"/>
      <c r="E347" s="10"/>
      <c r="F347" s="11"/>
      <c r="G347" s="10"/>
      <c r="H347" s="10"/>
      <c r="I347" s="16" t="str">
        <f aca="false">IF(OR($A347="",$F347=""),"",IF($B347="입금",$F347,0))</f>
        <v/>
      </c>
      <c r="J347" s="16" t="str">
        <f aca="false">IF(OR($A347="",$F347=""),"",IF($B347="출금",$F347,0))</f>
        <v/>
      </c>
      <c r="K347" s="17" t="str">
        <f aca="false">IF($A347="","",COUNTIFS($A$3:$A347,$A347))</f>
        <v/>
      </c>
      <c r="L347" s="17" t="str">
        <f aca="false">IF($A347="","",TEXT($A347,"yyyymmdd")&amp;"|"&amp;$K347)</f>
        <v/>
      </c>
    </row>
    <row r="348" customFormat="false" ht="15" hidden="false" customHeight="true" outlineLevel="0" collapsed="false">
      <c r="A348" s="15"/>
      <c r="B348" s="10"/>
      <c r="C348" s="10"/>
      <c r="D348" s="10"/>
      <c r="E348" s="10"/>
      <c r="F348" s="11"/>
      <c r="G348" s="10"/>
      <c r="H348" s="10"/>
      <c r="I348" s="16" t="str">
        <f aca="false">IF(OR($A348="",$F348=""),"",IF($B348="입금",$F348,0))</f>
        <v/>
      </c>
      <c r="J348" s="16" t="str">
        <f aca="false">IF(OR($A348="",$F348=""),"",IF($B348="출금",$F348,0))</f>
        <v/>
      </c>
      <c r="K348" s="17" t="str">
        <f aca="false">IF($A348="","",COUNTIFS($A$3:$A348,$A348))</f>
        <v/>
      </c>
      <c r="L348" s="17" t="str">
        <f aca="false">IF($A348="","",TEXT($A348,"yyyymmdd")&amp;"|"&amp;$K348)</f>
        <v/>
      </c>
    </row>
    <row r="349" customFormat="false" ht="15" hidden="false" customHeight="true" outlineLevel="0" collapsed="false">
      <c r="A349" s="15"/>
      <c r="B349" s="10"/>
      <c r="C349" s="10"/>
      <c r="D349" s="10"/>
      <c r="E349" s="10"/>
      <c r="F349" s="11"/>
      <c r="G349" s="10"/>
      <c r="H349" s="10"/>
      <c r="I349" s="16" t="str">
        <f aca="false">IF(OR($A349="",$F349=""),"",IF($B349="입금",$F349,0))</f>
        <v/>
      </c>
      <c r="J349" s="16" t="str">
        <f aca="false">IF(OR($A349="",$F349=""),"",IF($B349="출금",$F349,0))</f>
        <v/>
      </c>
      <c r="K349" s="17" t="str">
        <f aca="false">IF($A349="","",COUNTIFS($A$3:$A349,$A349))</f>
        <v/>
      </c>
      <c r="L349" s="17" t="str">
        <f aca="false">IF($A349="","",TEXT($A349,"yyyymmdd")&amp;"|"&amp;$K349)</f>
        <v/>
      </c>
    </row>
    <row r="350" customFormat="false" ht="15" hidden="false" customHeight="true" outlineLevel="0" collapsed="false">
      <c r="A350" s="15"/>
      <c r="B350" s="10"/>
      <c r="C350" s="10"/>
      <c r="D350" s="10"/>
      <c r="E350" s="10"/>
      <c r="F350" s="11"/>
      <c r="G350" s="10"/>
      <c r="H350" s="10"/>
      <c r="I350" s="16" t="str">
        <f aca="false">IF(OR($A350="",$F350=""),"",IF($B350="입금",$F350,0))</f>
        <v/>
      </c>
      <c r="J350" s="16" t="str">
        <f aca="false">IF(OR($A350="",$F350=""),"",IF($B350="출금",$F350,0))</f>
        <v/>
      </c>
      <c r="K350" s="17" t="str">
        <f aca="false">IF($A350="","",COUNTIFS($A$3:$A350,$A350))</f>
        <v/>
      </c>
      <c r="L350" s="17" t="str">
        <f aca="false">IF($A350="","",TEXT($A350,"yyyymmdd")&amp;"|"&amp;$K350)</f>
        <v/>
      </c>
    </row>
    <row r="351" customFormat="false" ht="15" hidden="false" customHeight="true" outlineLevel="0" collapsed="false">
      <c r="A351" s="15"/>
      <c r="B351" s="10"/>
      <c r="C351" s="10"/>
      <c r="D351" s="10"/>
      <c r="E351" s="10"/>
      <c r="F351" s="11"/>
      <c r="G351" s="10"/>
      <c r="H351" s="10"/>
      <c r="I351" s="16" t="str">
        <f aca="false">IF(OR($A351="",$F351=""),"",IF($B351="입금",$F351,0))</f>
        <v/>
      </c>
      <c r="J351" s="16" t="str">
        <f aca="false">IF(OR($A351="",$F351=""),"",IF($B351="출금",$F351,0))</f>
        <v/>
      </c>
      <c r="K351" s="17" t="str">
        <f aca="false">IF($A351="","",COUNTIFS($A$3:$A351,$A351))</f>
        <v/>
      </c>
      <c r="L351" s="17" t="str">
        <f aca="false">IF($A351="","",TEXT($A351,"yyyymmdd")&amp;"|"&amp;$K351)</f>
        <v/>
      </c>
    </row>
    <row r="352" customFormat="false" ht="15" hidden="false" customHeight="true" outlineLevel="0" collapsed="false">
      <c r="A352" s="15"/>
      <c r="B352" s="10"/>
      <c r="C352" s="10"/>
      <c r="D352" s="10"/>
      <c r="E352" s="10"/>
      <c r="F352" s="11"/>
      <c r="G352" s="10"/>
      <c r="H352" s="10"/>
      <c r="I352" s="16" t="str">
        <f aca="false">IF(OR($A352="",$F352=""),"",IF($B352="입금",$F352,0))</f>
        <v/>
      </c>
      <c r="J352" s="16" t="str">
        <f aca="false">IF(OR($A352="",$F352=""),"",IF($B352="출금",$F352,0))</f>
        <v/>
      </c>
      <c r="K352" s="17" t="str">
        <f aca="false">IF($A352="","",COUNTIFS($A$3:$A352,$A352))</f>
        <v/>
      </c>
      <c r="L352" s="17" t="str">
        <f aca="false">IF($A352="","",TEXT($A352,"yyyymmdd")&amp;"|"&amp;$K352)</f>
        <v/>
      </c>
    </row>
    <row r="353" customFormat="false" ht="15" hidden="false" customHeight="true" outlineLevel="0" collapsed="false">
      <c r="A353" s="15"/>
      <c r="B353" s="10"/>
      <c r="C353" s="10"/>
      <c r="D353" s="10"/>
      <c r="E353" s="10"/>
      <c r="F353" s="11"/>
      <c r="G353" s="10"/>
      <c r="H353" s="10"/>
      <c r="I353" s="16" t="str">
        <f aca="false">IF(OR($A353="",$F353=""),"",IF($B353="입금",$F353,0))</f>
        <v/>
      </c>
      <c r="J353" s="16" t="str">
        <f aca="false">IF(OR($A353="",$F353=""),"",IF($B353="출금",$F353,0))</f>
        <v/>
      </c>
      <c r="K353" s="17" t="str">
        <f aca="false">IF($A353="","",COUNTIFS($A$3:$A353,$A353))</f>
        <v/>
      </c>
      <c r="L353" s="17" t="str">
        <f aca="false">IF($A353="","",TEXT($A353,"yyyymmdd")&amp;"|"&amp;$K353)</f>
        <v/>
      </c>
    </row>
    <row r="354" customFormat="false" ht="15" hidden="false" customHeight="true" outlineLevel="0" collapsed="false">
      <c r="A354" s="15"/>
      <c r="B354" s="10"/>
      <c r="C354" s="10"/>
      <c r="D354" s="10"/>
      <c r="E354" s="10"/>
      <c r="F354" s="11"/>
      <c r="G354" s="10"/>
      <c r="H354" s="10"/>
      <c r="I354" s="16" t="str">
        <f aca="false">IF(OR($A354="",$F354=""),"",IF($B354="입금",$F354,0))</f>
        <v/>
      </c>
      <c r="J354" s="16" t="str">
        <f aca="false">IF(OR($A354="",$F354=""),"",IF($B354="출금",$F354,0))</f>
        <v/>
      </c>
      <c r="K354" s="17" t="str">
        <f aca="false">IF($A354="","",COUNTIFS($A$3:$A354,$A354))</f>
        <v/>
      </c>
      <c r="L354" s="17" t="str">
        <f aca="false">IF($A354="","",TEXT($A354,"yyyymmdd")&amp;"|"&amp;$K354)</f>
        <v/>
      </c>
    </row>
    <row r="355" customFormat="false" ht="15" hidden="false" customHeight="true" outlineLevel="0" collapsed="false">
      <c r="A355" s="15"/>
      <c r="B355" s="10"/>
      <c r="C355" s="10"/>
      <c r="D355" s="10"/>
      <c r="E355" s="10"/>
      <c r="F355" s="11"/>
      <c r="G355" s="10"/>
      <c r="H355" s="10"/>
      <c r="I355" s="16" t="str">
        <f aca="false">IF(OR($A355="",$F355=""),"",IF($B355="입금",$F355,0))</f>
        <v/>
      </c>
      <c r="J355" s="16" t="str">
        <f aca="false">IF(OR($A355="",$F355=""),"",IF($B355="출금",$F355,0))</f>
        <v/>
      </c>
      <c r="K355" s="17" t="str">
        <f aca="false">IF($A355="","",COUNTIFS($A$3:$A355,$A355))</f>
        <v/>
      </c>
      <c r="L355" s="17" t="str">
        <f aca="false">IF($A355="","",TEXT($A355,"yyyymmdd")&amp;"|"&amp;$K355)</f>
        <v/>
      </c>
    </row>
    <row r="356" customFormat="false" ht="15" hidden="false" customHeight="true" outlineLevel="0" collapsed="false">
      <c r="A356" s="15"/>
      <c r="B356" s="10"/>
      <c r="C356" s="10"/>
      <c r="D356" s="10"/>
      <c r="E356" s="10"/>
      <c r="F356" s="11"/>
      <c r="G356" s="10"/>
      <c r="H356" s="10"/>
      <c r="I356" s="16" t="str">
        <f aca="false">IF(OR($A356="",$F356=""),"",IF($B356="입금",$F356,0))</f>
        <v/>
      </c>
      <c r="J356" s="16" t="str">
        <f aca="false">IF(OR($A356="",$F356=""),"",IF($B356="출금",$F356,0))</f>
        <v/>
      </c>
      <c r="K356" s="17" t="str">
        <f aca="false">IF($A356="","",COUNTIFS($A$3:$A356,$A356))</f>
        <v/>
      </c>
      <c r="L356" s="17" t="str">
        <f aca="false">IF($A356="","",TEXT($A356,"yyyymmdd")&amp;"|"&amp;$K356)</f>
        <v/>
      </c>
    </row>
    <row r="357" customFormat="false" ht="15" hidden="false" customHeight="true" outlineLevel="0" collapsed="false">
      <c r="A357" s="15"/>
      <c r="B357" s="10"/>
      <c r="C357" s="10"/>
      <c r="D357" s="10"/>
      <c r="E357" s="10"/>
      <c r="F357" s="11"/>
      <c r="G357" s="10"/>
      <c r="H357" s="10"/>
      <c r="I357" s="16" t="str">
        <f aca="false">IF(OR($A357="",$F357=""),"",IF($B357="입금",$F357,0))</f>
        <v/>
      </c>
      <c r="J357" s="16" t="str">
        <f aca="false">IF(OR($A357="",$F357=""),"",IF($B357="출금",$F357,0))</f>
        <v/>
      </c>
      <c r="K357" s="17" t="str">
        <f aca="false">IF($A357="","",COUNTIFS($A$3:$A357,$A357))</f>
        <v/>
      </c>
      <c r="L357" s="17" t="str">
        <f aca="false">IF($A357="","",TEXT($A357,"yyyymmdd")&amp;"|"&amp;$K357)</f>
        <v/>
      </c>
    </row>
    <row r="358" customFormat="false" ht="15" hidden="false" customHeight="true" outlineLevel="0" collapsed="false">
      <c r="A358" s="15"/>
      <c r="B358" s="10"/>
      <c r="C358" s="10"/>
      <c r="D358" s="10"/>
      <c r="E358" s="10"/>
      <c r="F358" s="11"/>
      <c r="G358" s="10"/>
      <c r="H358" s="10"/>
      <c r="I358" s="16" t="str">
        <f aca="false">IF(OR($A358="",$F358=""),"",IF($B358="입금",$F358,0))</f>
        <v/>
      </c>
      <c r="J358" s="16" t="str">
        <f aca="false">IF(OR($A358="",$F358=""),"",IF($B358="출금",$F358,0))</f>
        <v/>
      </c>
      <c r="K358" s="17" t="str">
        <f aca="false">IF($A358="","",COUNTIFS($A$3:$A358,$A358))</f>
        <v/>
      </c>
      <c r="L358" s="17" t="str">
        <f aca="false">IF($A358="","",TEXT($A358,"yyyymmdd")&amp;"|"&amp;$K358)</f>
        <v/>
      </c>
    </row>
    <row r="359" customFormat="false" ht="15" hidden="false" customHeight="true" outlineLevel="0" collapsed="false">
      <c r="A359" s="15"/>
      <c r="B359" s="10"/>
      <c r="C359" s="10"/>
      <c r="D359" s="10"/>
      <c r="E359" s="10"/>
      <c r="F359" s="11"/>
      <c r="G359" s="10"/>
      <c r="H359" s="10"/>
      <c r="I359" s="16" t="str">
        <f aca="false">IF(OR($A359="",$F359=""),"",IF($B359="입금",$F359,0))</f>
        <v/>
      </c>
      <c r="J359" s="16" t="str">
        <f aca="false">IF(OR($A359="",$F359=""),"",IF($B359="출금",$F359,0))</f>
        <v/>
      </c>
      <c r="K359" s="17" t="str">
        <f aca="false">IF($A359="","",COUNTIFS($A$3:$A359,$A359))</f>
        <v/>
      </c>
      <c r="L359" s="17" t="str">
        <f aca="false">IF($A359="","",TEXT($A359,"yyyymmdd")&amp;"|"&amp;$K359)</f>
        <v/>
      </c>
    </row>
    <row r="360" customFormat="false" ht="15" hidden="false" customHeight="true" outlineLevel="0" collapsed="false">
      <c r="A360" s="15"/>
      <c r="B360" s="10"/>
      <c r="C360" s="10"/>
      <c r="D360" s="10"/>
      <c r="E360" s="10"/>
      <c r="F360" s="11"/>
      <c r="G360" s="10"/>
      <c r="H360" s="10"/>
      <c r="I360" s="16" t="str">
        <f aca="false">IF(OR($A360="",$F360=""),"",IF($B360="입금",$F360,0))</f>
        <v/>
      </c>
      <c r="J360" s="16" t="str">
        <f aca="false">IF(OR($A360="",$F360=""),"",IF($B360="출금",$F360,0))</f>
        <v/>
      </c>
      <c r="K360" s="17" t="str">
        <f aca="false">IF($A360="","",COUNTIFS($A$3:$A360,$A360))</f>
        <v/>
      </c>
      <c r="L360" s="17" t="str">
        <f aca="false">IF($A360="","",TEXT($A360,"yyyymmdd")&amp;"|"&amp;$K360)</f>
        <v/>
      </c>
    </row>
    <row r="361" customFormat="false" ht="15" hidden="false" customHeight="true" outlineLevel="0" collapsed="false">
      <c r="A361" s="15"/>
      <c r="B361" s="10"/>
      <c r="C361" s="10"/>
      <c r="D361" s="10"/>
      <c r="E361" s="10"/>
      <c r="F361" s="11"/>
      <c r="G361" s="10"/>
      <c r="H361" s="10"/>
      <c r="I361" s="16" t="str">
        <f aca="false">IF(OR($A361="",$F361=""),"",IF($B361="입금",$F361,0))</f>
        <v/>
      </c>
      <c r="J361" s="16" t="str">
        <f aca="false">IF(OR($A361="",$F361=""),"",IF($B361="출금",$F361,0))</f>
        <v/>
      </c>
      <c r="K361" s="17" t="str">
        <f aca="false">IF($A361="","",COUNTIFS($A$3:$A361,$A361))</f>
        <v/>
      </c>
      <c r="L361" s="17" t="str">
        <f aca="false">IF($A361="","",TEXT($A361,"yyyymmdd")&amp;"|"&amp;$K361)</f>
        <v/>
      </c>
    </row>
    <row r="362" customFormat="false" ht="15" hidden="false" customHeight="true" outlineLevel="0" collapsed="false">
      <c r="A362" s="15"/>
      <c r="B362" s="10"/>
      <c r="C362" s="10"/>
      <c r="D362" s="10"/>
      <c r="E362" s="10"/>
      <c r="F362" s="11"/>
      <c r="G362" s="10"/>
      <c r="H362" s="10"/>
      <c r="I362" s="16" t="str">
        <f aca="false">IF(OR($A362="",$F362=""),"",IF($B362="입금",$F362,0))</f>
        <v/>
      </c>
      <c r="J362" s="16" t="str">
        <f aca="false">IF(OR($A362="",$F362=""),"",IF($B362="출금",$F362,0))</f>
        <v/>
      </c>
      <c r="K362" s="17" t="str">
        <f aca="false">IF($A362="","",COUNTIFS($A$3:$A362,$A362))</f>
        <v/>
      </c>
      <c r="L362" s="17" t="str">
        <f aca="false">IF($A362="","",TEXT($A362,"yyyymmdd")&amp;"|"&amp;$K362)</f>
        <v/>
      </c>
    </row>
    <row r="363" customFormat="false" ht="15" hidden="false" customHeight="true" outlineLevel="0" collapsed="false">
      <c r="A363" s="15"/>
      <c r="B363" s="10"/>
      <c r="C363" s="10"/>
      <c r="D363" s="10"/>
      <c r="E363" s="10"/>
      <c r="F363" s="11"/>
      <c r="G363" s="10"/>
      <c r="H363" s="10"/>
      <c r="I363" s="16" t="str">
        <f aca="false">IF(OR($A363="",$F363=""),"",IF($B363="입금",$F363,0))</f>
        <v/>
      </c>
      <c r="J363" s="16" t="str">
        <f aca="false">IF(OR($A363="",$F363=""),"",IF($B363="출금",$F363,0))</f>
        <v/>
      </c>
      <c r="K363" s="17" t="str">
        <f aca="false">IF($A363="","",COUNTIFS($A$3:$A363,$A363))</f>
        <v/>
      </c>
      <c r="L363" s="17" t="str">
        <f aca="false">IF($A363="","",TEXT($A363,"yyyymmdd")&amp;"|"&amp;$K363)</f>
        <v/>
      </c>
    </row>
    <row r="364" customFormat="false" ht="15" hidden="false" customHeight="true" outlineLevel="0" collapsed="false">
      <c r="A364" s="15"/>
      <c r="B364" s="10"/>
      <c r="C364" s="10"/>
      <c r="D364" s="10"/>
      <c r="E364" s="10"/>
      <c r="F364" s="11"/>
      <c r="G364" s="10"/>
      <c r="H364" s="10"/>
      <c r="I364" s="16" t="str">
        <f aca="false">IF(OR($A364="",$F364=""),"",IF($B364="입금",$F364,0))</f>
        <v/>
      </c>
      <c r="J364" s="16" t="str">
        <f aca="false">IF(OR($A364="",$F364=""),"",IF($B364="출금",$F364,0))</f>
        <v/>
      </c>
      <c r="K364" s="17" t="str">
        <f aca="false">IF($A364="","",COUNTIFS($A$3:$A364,$A364))</f>
        <v/>
      </c>
      <c r="L364" s="17" t="str">
        <f aca="false">IF($A364="","",TEXT($A364,"yyyymmdd")&amp;"|"&amp;$K364)</f>
        <v/>
      </c>
    </row>
    <row r="365" customFormat="false" ht="15" hidden="false" customHeight="true" outlineLevel="0" collapsed="false">
      <c r="A365" s="15"/>
      <c r="B365" s="10"/>
      <c r="C365" s="10"/>
      <c r="D365" s="10"/>
      <c r="E365" s="10"/>
      <c r="F365" s="11"/>
      <c r="G365" s="10"/>
      <c r="H365" s="10"/>
      <c r="I365" s="16" t="str">
        <f aca="false">IF(OR($A365="",$F365=""),"",IF($B365="입금",$F365,0))</f>
        <v/>
      </c>
      <c r="J365" s="16" t="str">
        <f aca="false">IF(OR($A365="",$F365=""),"",IF($B365="출금",$F365,0))</f>
        <v/>
      </c>
      <c r="K365" s="17" t="str">
        <f aca="false">IF($A365="","",COUNTIFS($A$3:$A365,$A365))</f>
        <v/>
      </c>
      <c r="L365" s="17" t="str">
        <f aca="false">IF($A365="","",TEXT($A365,"yyyymmdd")&amp;"|"&amp;$K365)</f>
        <v/>
      </c>
    </row>
    <row r="366" customFormat="false" ht="15" hidden="false" customHeight="true" outlineLevel="0" collapsed="false">
      <c r="A366" s="15"/>
      <c r="B366" s="10"/>
      <c r="C366" s="10"/>
      <c r="D366" s="10"/>
      <c r="E366" s="10"/>
      <c r="F366" s="11"/>
      <c r="G366" s="10"/>
      <c r="H366" s="10"/>
      <c r="I366" s="16" t="str">
        <f aca="false">IF(OR($A366="",$F366=""),"",IF($B366="입금",$F366,0))</f>
        <v/>
      </c>
      <c r="J366" s="16" t="str">
        <f aca="false">IF(OR($A366="",$F366=""),"",IF($B366="출금",$F366,0))</f>
        <v/>
      </c>
      <c r="K366" s="17" t="str">
        <f aca="false">IF($A366="","",COUNTIFS($A$3:$A366,$A366))</f>
        <v/>
      </c>
      <c r="L366" s="17" t="str">
        <f aca="false">IF($A366="","",TEXT($A366,"yyyymmdd")&amp;"|"&amp;$K366)</f>
        <v/>
      </c>
    </row>
    <row r="367" customFormat="false" ht="15" hidden="false" customHeight="true" outlineLevel="0" collapsed="false">
      <c r="A367" s="15"/>
      <c r="B367" s="10"/>
      <c r="C367" s="10"/>
      <c r="D367" s="10"/>
      <c r="E367" s="10"/>
      <c r="F367" s="11"/>
      <c r="G367" s="10"/>
      <c r="H367" s="10"/>
      <c r="I367" s="16" t="str">
        <f aca="false">IF(OR($A367="",$F367=""),"",IF($B367="입금",$F367,0))</f>
        <v/>
      </c>
      <c r="J367" s="16" t="str">
        <f aca="false">IF(OR($A367="",$F367=""),"",IF($B367="출금",$F367,0))</f>
        <v/>
      </c>
      <c r="K367" s="17" t="str">
        <f aca="false">IF($A367="","",COUNTIFS($A$3:$A367,$A367))</f>
        <v/>
      </c>
      <c r="L367" s="17" t="str">
        <f aca="false">IF($A367="","",TEXT($A367,"yyyymmdd")&amp;"|"&amp;$K367)</f>
        <v/>
      </c>
    </row>
    <row r="368" customFormat="false" ht="15" hidden="false" customHeight="true" outlineLevel="0" collapsed="false">
      <c r="A368" s="15"/>
      <c r="B368" s="10"/>
      <c r="C368" s="10"/>
      <c r="D368" s="10"/>
      <c r="E368" s="10"/>
      <c r="F368" s="11"/>
      <c r="G368" s="10"/>
      <c r="H368" s="10"/>
      <c r="I368" s="16" t="str">
        <f aca="false">IF(OR($A368="",$F368=""),"",IF($B368="입금",$F368,0))</f>
        <v/>
      </c>
      <c r="J368" s="16" t="str">
        <f aca="false">IF(OR($A368="",$F368=""),"",IF($B368="출금",$F368,0))</f>
        <v/>
      </c>
      <c r="K368" s="17" t="str">
        <f aca="false">IF($A368="","",COUNTIFS($A$3:$A368,$A368))</f>
        <v/>
      </c>
      <c r="L368" s="17" t="str">
        <f aca="false">IF($A368="","",TEXT($A368,"yyyymmdd")&amp;"|"&amp;$K368)</f>
        <v/>
      </c>
    </row>
    <row r="369" customFormat="false" ht="15" hidden="false" customHeight="true" outlineLevel="0" collapsed="false">
      <c r="A369" s="15"/>
      <c r="B369" s="10"/>
      <c r="C369" s="10"/>
      <c r="D369" s="10"/>
      <c r="E369" s="10"/>
      <c r="F369" s="11"/>
      <c r="G369" s="10"/>
      <c r="H369" s="10"/>
      <c r="I369" s="16" t="str">
        <f aca="false">IF(OR($A369="",$F369=""),"",IF($B369="입금",$F369,0))</f>
        <v/>
      </c>
      <c r="J369" s="16" t="str">
        <f aca="false">IF(OR($A369="",$F369=""),"",IF($B369="출금",$F369,0))</f>
        <v/>
      </c>
      <c r="K369" s="17" t="str">
        <f aca="false">IF($A369="","",COUNTIFS($A$3:$A369,$A369))</f>
        <v/>
      </c>
      <c r="L369" s="17" t="str">
        <f aca="false">IF($A369="","",TEXT($A369,"yyyymmdd")&amp;"|"&amp;$K369)</f>
        <v/>
      </c>
    </row>
    <row r="370" customFormat="false" ht="15" hidden="false" customHeight="true" outlineLevel="0" collapsed="false">
      <c r="A370" s="15"/>
      <c r="B370" s="10"/>
      <c r="C370" s="10"/>
      <c r="D370" s="10"/>
      <c r="E370" s="10"/>
      <c r="F370" s="11"/>
      <c r="G370" s="10"/>
      <c r="H370" s="10"/>
      <c r="I370" s="16" t="str">
        <f aca="false">IF(OR($A370="",$F370=""),"",IF($B370="입금",$F370,0))</f>
        <v/>
      </c>
      <c r="J370" s="16" t="str">
        <f aca="false">IF(OR($A370="",$F370=""),"",IF($B370="출금",$F370,0))</f>
        <v/>
      </c>
      <c r="K370" s="17" t="str">
        <f aca="false">IF($A370="","",COUNTIFS($A$3:$A370,$A370))</f>
        <v/>
      </c>
      <c r="L370" s="17" t="str">
        <f aca="false">IF($A370="","",TEXT($A370,"yyyymmdd")&amp;"|"&amp;$K370)</f>
        <v/>
      </c>
    </row>
    <row r="371" customFormat="false" ht="15" hidden="false" customHeight="true" outlineLevel="0" collapsed="false">
      <c r="A371" s="15"/>
      <c r="B371" s="10"/>
      <c r="C371" s="10"/>
      <c r="D371" s="10"/>
      <c r="E371" s="10"/>
      <c r="F371" s="11"/>
      <c r="G371" s="10"/>
      <c r="H371" s="10"/>
      <c r="I371" s="16" t="str">
        <f aca="false">IF(OR($A371="",$F371=""),"",IF($B371="입금",$F371,0))</f>
        <v/>
      </c>
      <c r="J371" s="16" t="str">
        <f aca="false">IF(OR($A371="",$F371=""),"",IF($B371="출금",$F371,0))</f>
        <v/>
      </c>
      <c r="K371" s="17" t="str">
        <f aca="false">IF($A371="","",COUNTIFS($A$3:$A371,$A371))</f>
        <v/>
      </c>
      <c r="L371" s="17" t="str">
        <f aca="false">IF($A371="","",TEXT($A371,"yyyymmdd")&amp;"|"&amp;$K371)</f>
        <v/>
      </c>
    </row>
    <row r="372" customFormat="false" ht="15" hidden="false" customHeight="true" outlineLevel="0" collapsed="false">
      <c r="A372" s="15"/>
      <c r="B372" s="10"/>
      <c r="C372" s="10"/>
      <c r="D372" s="10"/>
      <c r="E372" s="10"/>
      <c r="F372" s="11"/>
      <c r="G372" s="10"/>
      <c r="H372" s="10"/>
      <c r="I372" s="16" t="str">
        <f aca="false">IF(OR($A372="",$F372=""),"",IF($B372="입금",$F372,0))</f>
        <v/>
      </c>
      <c r="J372" s="16" t="str">
        <f aca="false">IF(OR($A372="",$F372=""),"",IF($B372="출금",$F372,0))</f>
        <v/>
      </c>
      <c r="K372" s="17" t="str">
        <f aca="false">IF($A372="","",COUNTIFS($A$3:$A372,$A372))</f>
        <v/>
      </c>
      <c r="L372" s="17" t="str">
        <f aca="false">IF($A372="","",TEXT($A372,"yyyymmdd")&amp;"|"&amp;$K372)</f>
        <v/>
      </c>
    </row>
    <row r="373" customFormat="false" ht="15" hidden="false" customHeight="true" outlineLevel="0" collapsed="false">
      <c r="A373" s="15"/>
      <c r="B373" s="10"/>
      <c r="C373" s="10"/>
      <c r="D373" s="10"/>
      <c r="E373" s="10"/>
      <c r="F373" s="11"/>
      <c r="G373" s="10"/>
      <c r="H373" s="10"/>
      <c r="I373" s="16" t="str">
        <f aca="false">IF(OR($A373="",$F373=""),"",IF($B373="입금",$F373,0))</f>
        <v/>
      </c>
      <c r="J373" s="16" t="str">
        <f aca="false">IF(OR($A373="",$F373=""),"",IF($B373="출금",$F373,0))</f>
        <v/>
      </c>
      <c r="K373" s="17" t="str">
        <f aca="false">IF($A373="","",COUNTIFS($A$3:$A373,$A373))</f>
        <v/>
      </c>
      <c r="L373" s="17" t="str">
        <f aca="false">IF($A373="","",TEXT($A373,"yyyymmdd")&amp;"|"&amp;$K373)</f>
        <v/>
      </c>
    </row>
    <row r="374" customFormat="false" ht="15" hidden="false" customHeight="true" outlineLevel="0" collapsed="false">
      <c r="A374" s="15"/>
      <c r="B374" s="10"/>
      <c r="C374" s="10"/>
      <c r="D374" s="10"/>
      <c r="E374" s="10"/>
      <c r="F374" s="11"/>
      <c r="G374" s="10"/>
      <c r="H374" s="10"/>
      <c r="I374" s="16" t="str">
        <f aca="false">IF(OR($A374="",$F374=""),"",IF($B374="입금",$F374,0))</f>
        <v/>
      </c>
      <c r="J374" s="16" t="str">
        <f aca="false">IF(OR($A374="",$F374=""),"",IF($B374="출금",$F374,0))</f>
        <v/>
      </c>
      <c r="K374" s="17" t="str">
        <f aca="false">IF($A374="","",COUNTIFS($A$3:$A374,$A374))</f>
        <v/>
      </c>
      <c r="L374" s="17" t="str">
        <f aca="false">IF($A374="","",TEXT($A374,"yyyymmdd")&amp;"|"&amp;$K374)</f>
        <v/>
      </c>
    </row>
    <row r="375" customFormat="false" ht="15" hidden="false" customHeight="true" outlineLevel="0" collapsed="false">
      <c r="A375" s="15"/>
      <c r="B375" s="10"/>
      <c r="C375" s="10"/>
      <c r="D375" s="10"/>
      <c r="E375" s="10"/>
      <c r="F375" s="11"/>
      <c r="G375" s="10"/>
      <c r="H375" s="10"/>
      <c r="I375" s="16" t="str">
        <f aca="false">IF(OR($A375="",$F375=""),"",IF($B375="입금",$F375,0))</f>
        <v/>
      </c>
      <c r="J375" s="16" t="str">
        <f aca="false">IF(OR($A375="",$F375=""),"",IF($B375="출금",$F375,0))</f>
        <v/>
      </c>
      <c r="K375" s="17" t="str">
        <f aca="false">IF($A375="","",COUNTIFS($A$3:$A375,$A375))</f>
        <v/>
      </c>
      <c r="L375" s="17" t="str">
        <f aca="false">IF($A375="","",TEXT($A375,"yyyymmdd")&amp;"|"&amp;$K375)</f>
        <v/>
      </c>
    </row>
    <row r="376" customFormat="false" ht="15" hidden="false" customHeight="true" outlineLevel="0" collapsed="false">
      <c r="A376" s="15"/>
      <c r="B376" s="10"/>
      <c r="C376" s="10"/>
      <c r="D376" s="10"/>
      <c r="E376" s="10"/>
      <c r="F376" s="11"/>
      <c r="G376" s="10"/>
      <c r="H376" s="10"/>
      <c r="I376" s="16" t="str">
        <f aca="false">IF(OR($A376="",$F376=""),"",IF($B376="입금",$F376,0))</f>
        <v/>
      </c>
      <c r="J376" s="16" t="str">
        <f aca="false">IF(OR($A376="",$F376=""),"",IF($B376="출금",$F376,0))</f>
        <v/>
      </c>
      <c r="K376" s="17" t="str">
        <f aca="false">IF($A376="","",COUNTIFS($A$3:$A376,$A376))</f>
        <v/>
      </c>
      <c r="L376" s="17" t="str">
        <f aca="false">IF($A376="","",TEXT($A376,"yyyymmdd")&amp;"|"&amp;$K376)</f>
        <v/>
      </c>
    </row>
    <row r="377" customFormat="false" ht="15" hidden="false" customHeight="true" outlineLevel="0" collapsed="false">
      <c r="A377" s="15"/>
      <c r="B377" s="10"/>
      <c r="C377" s="10"/>
      <c r="D377" s="10"/>
      <c r="E377" s="10"/>
      <c r="F377" s="11"/>
      <c r="G377" s="10"/>
      <c r="H377" s="10"/>
      <c r="I377" s="16" t="str">
        <f aca="false">IF(OR($A377="",$F377=""),"",IF($B377="입금",$F377,0))</f>
        <v/>
      </c>
      <c r="J377" s="16" t="str">
        <f aca="false">IF(OR($A377="",$F377=""),"",IF($B377="출금",$F377,0))</f>
        <v/>
      </c>
      <c r="K377" s="17" t="str">
        <f aca="false">IF($A377="","",COUNTIFS($A$3:$A377,$A377))</f>
        <v/>
      </c>
      <c r="L377" s="17" t="str">
        <f aca="false">IF($A377="","",TEXT($A377,"yyyymmdd")&amp;"|"&amp;$K377)</f>
        <v/>
      </c>
    </row>
    <row r="378" customFormat="false" ht="15" hidden="false" customHeight="true" outlineLevel="0" collapsed="false">
      <c r="A378" s="15"/>
      <c r="B378" s="10"/>
      <c r="C378" s="10"/>
      <c r="D378" s="10"/>
      <c r="E378" s="10"/>
      <c r="F378" s="11"/>
      <c r="G378" s="10"/>
      <c r="H378" s="10"/>
      <c r="I378" s="16" t="str">
        <f aca="false">IF(OR($A378="",$F378=""),"",IF($B378="입금",$F378,0))</f>
        <v/>
      </c>
      <c r="J378" s="16" t="str">
        <f aca="false">IF(OR($A378="",$F378=""),"",IF($B378="출금",$F378,0))</f>
        <v/>
      </c>
      <c r="K378" s="17" t="str">
        <f aca="false">IF($A378="","",COUNTIFS($A$3:$A378,$A378))</f>
        <v/>
      </c>
      <c r="L378" s="17" t="str">
        <f aca="false">IF($A378="","",TEXT($A378,"yyyymmdd")&amp;"|"&amp;$K378)</f>
        <v/>
      </c>
    </row>
    <row r="379" customFormat="false" ht="15" hidden="false" customHeight="true" outlineLevel="0" collapsed="false">
      <c r="A379" s="15"/>
      <c r="B379" s="10"/>
      <c r="C379" s="10"/>
      <c r="D379" s="10"/>
      <c r="E379" s="10"/>
      <c r="F379" s="11"/>
      <c r="G379" s="10"/>
      <c r="H379" s="10"/>
      <c r="I379" s="16" t="str">
        <f aca="false">IF(OR($A379="",$F379=""),"",IF($B379="입금",$F379,0))</f>
        <v/>
      </c>
      <c r="J379" s="16" t="str">
        <f aca="false">IF(OR($A379="",$F379=""),"",IF($B379="출금",$F379,0))</f>
        <v/>
      </c>
      <c r="K379" s="17" t="str">
        <f aca="false">IF($A379="","",COUNTIFS($A$3:$A379,$A379))</f>
        <v/>
      </c>
      <c r="L379" s="17" t="str">
        <f aca="false">IF($A379="","",TEXT($A379,"yyyymmdd")&amp;"|"&amp;$K379)</f>
        <v/>
      </c>
    </row>
    <row r="380" customFormat="false" ht="15" hidden="false" customHeight="true" outlineLevel="0" collapsed="false">
      <c r="A380" s="15"/>
      <c r="B380" s="10"/>
      <c r="C380" s="10"/>
      <c r="D380" s="10"/>
      <c r="E380" s="10"/>
      <c r="F380" s="11"/>
      <c r="G380" s="10"/>
      <c r="H380" s="10"/>
      <c r="I380" s="16" t="str">
        <f aca="false">IF(OR($A380="",$F380=""),"",IF($B380="입금",$F380,0))</f>
        <v/>
      </c>
      <c r="J380" s="16" t="str">
        <f aca="false">IF(OR($A380="",$F380=""),"",IF($B380="출금",$F380,0))</f>
        <v/>
      </c>
      <c r="K380" s="17" t="str">
        <f aca="false">IF($A380="","",COUNTIFS($A$3:$A380,$A380))</f>
        <v/>
      </c>
      <c r="L380" s="17" t="str">
        <f aca="false">IF($A380="","",TEXT($A380,"yyyymmdd")&amp;"|"&amp;$K380)</f>
        <v/>
      </c>
    </row>
    <row r="381" customFormat="false" ht="15" hidden="false" customHeight="true" outlineLevel="0" collapsed="false">
      <c r="A381" s="15"/>
      <c r="B381" s="10"/>
      <c r="C381" s="10"/>
      <c r="D381" s="10"/>
      <c r="E381" s="10"/>
      <c r="F381" s="11"/>
      <c r="G381" s="10"/>
      <c r="H381" s="10"/>
      <c r="I381" s="16" t="str">
        <f aca="false">IF(OR($A381="",$F381=""),"",IF($B381="입금",$F381,0))</f>
        <v/>
      </c>
      <c r="J381" s="16" t="str">
        <f aca="false">IF(OR($A381="",$F381=""),"",IF($B381="출금",$F381,0))</f>
        <v/>
      </c>
      <c r="K381" s="17" t="str">
        <f aca="false">IF($A381="","",COUNTIFS($A$3:$A381,$A381))</f>
        <v/>
      </c>
      <c r="L381" s="17" t="str">
        <f aca="false">IF($A381="","",TEXT($A381,"yyyymmdd")&amp;"|"&amp;$K381)</f>
        <v/>
      </c>
    </row>
    <row r="382" customFormat="false" ht="15" hidden="false" customHeight="true" outlineLevel="0" collapsed="false">
      <c r="A382" s="15"/>
      <c r="B382" s="10"/>
      <c r="C382" s="10"/>
      <c r="D382" s="10"/>
      <c r="E382" s="10"/>
      <c r="F382" s="11"/>
      <c r="G382" s="10"/>
      <c r="H382" s="10"/>
      <c r="I382" s="16" t="str">
        <f aca="false">IF(OR($A382="",$F382=""),"",IF($B382="입금",$F382,0))</f>
        <v/>
      </c>
      <c r="J382" s="16" t="str">
        <f aca="false">IF(OR($A382="",$F382=""),"",IF($B382="출금",$F382,0))</f>
        <v/>
      </c>
      <c r="K382" s="17" t="str">
        <f aca="false">IF($A382="","",COUNTIFS($A$3:$A382,$A382))</f>
        <v/>
      </c>
      <c r="L382" s="17" t="str">
        <f aca="false">IF($A382="","",TEXT($A382,"yyyymmdd")&amp;"|"&amp;$K382)</f>
        <v/>
      </c>
    </row>
    <row r="383" customFormat="false" ht="15" hidden="false" customHeight="true" outlineLevel="0" collapsed="false">
      <c r="A383" s="15"/>
      <c r="B383" s="10"/>
      <c r="C383" s="10"/>
      <c r="D383" s="10"/>
      <c r="E383" s="10"/>
      <c r="F383" s="11"/>
      <c r="G383" s="10"/>
      <c r="H383" s="10"/>
      <c r="I383" s="16" t="str">
        <f aca="false">IF(OR($A383="",$F383=""),"",IF($B383="입금",$F383,0))</f>
        <v/>
      </c>
      <c r="J383" s="16" t="str">
        <f aca="false">IF(OR($A383="",$F383=""),"",IF($B383="출금",$F383,0))</f>
        <v/>
      </c>
      <c r="K383" s="17" t="str">
        <f aca="false">IF($A383="","",COUNTIFS($A$3:$A383,$A383))</f>
        <v/>
      </c>
      <c r="L383" s="17" t="str">
        <f aca="false">IF($A383="","",TEXT($A383,"yyyymmdd")&amp;"|"&amp;$K383)</f>
        <v/>
      </c>
    </row>
    <row r="384" customFormat="false" ht="15" hidden="false" customHeight="true" outlineLevel="0" collapsed="false">
      <c r="A384" s="15"/>
      <c r="B384" s="10"/>
      <c r="C384" s="10"/>
      <c r="D384" s="10"/>
      <c r="E384" s="10"/>
      <c r="F384" s="11"/>
      <c r="G384" s="10"/>
      <c r="H384" s="10"/>
      <c r="I384" s="16" t="str">
        <f aca="false">IF(OR($A384="",$F384=""),"",IF($B384="입금",$F384,0))</f>
        <v/>
      </c>
      <c r="J384" s="16" t="str">
        <f aca="false">IF(OR($A384="",$F384=""),"",IF($B384="출금",$F384,0))</f>
        <v/>
      </c>
      <c r="K384" s="17" t="str">
        <f aca="false">IF($A384="","",COUNTIFS($A$3:$A384,$A384))</f>
        <v/>
      </c>
      <c r="L384" s="17" t="str">
        <f aca="false">IF($A384="","",TEXT($A384,"yyyymmdd")&amp;"|"&amp;$K384)</f>
        <v/>
      </c>
    </row>
    <row r="385" customFormat="false" ht="15" hidden="false" customHeight="true" outlineLevel="0" collapsed="false">
      <c r="A385" s="15"/>
      <c r="B385" s="10"/>
      <c r="C385" s="10"/>
      <c r="D385" s="10"/>
      <c r="E385" s="10"/>
      <c r="F385" s="11"/>
      <c r="G385" s="10"/>
      <c r="H385" s="10"/>
      <c r="I385" s="16" t="str">
        <f aca="false">IF(OR($A385="",$F385=""),"",IF($B385="입금",$F385,0))</f>
        <v/>
      </c>
      <c r="J385" s="16" t="str">
        <f aca="false">IF(OR($A385="",$F385=""),"",IF($B385="출금",$F385,0))</f>
        <v/>
      </c>
      <c r="K385" s="17" t="str">
        <f aca="false">IF($A385="","",COUNTIFS($A$3:$A385,$A385))</f>
        <v/>
      </c>
      <c r="L385" s="17" t="str">
        <f aca="false">IF($A385="","",TEXT($A385,"yyyymmdd")&amp;"|"&amp;$K385)</f>
        <v/>
      </c>
    </row>
    <row r="386" customFormat="false" ht="15" hidden="false" customHeight="true" outlineLevel="0" collapsed="false">
      <c r="A386" s="15"/>
      <c r="B386" s="10"/>
      <c r="C386" s="10"/>
      <c r="D386" s="10"/>
      <c r="E386" s="10"/>
      <c r="F386" s="11"/>
      <c r="G386" s="10"/>
      <c r="H386" s="10"/>
      <c r="I386" s="16" t="str">
        <f aca="false">IF(OR($A386="",$F386=""),"",IF($B386="입금",$F386,0))</f>
        <v/>
      </c>
      <c r="J386" s="16" t="str">
        <f aca="false">IF(OR($A386="",$F386=""),"",IF($B386="출금",$F386,0))</f>
        <v/>
      </c>
      <c r="K386" s="17" t="str">
        <f aca="false">IF($A386="","",COUNTIFS($A$3:$A386,$A386))</f>
        <v/>
      </c>
      <c r="L386" s="17" t="str">
        <f aca="false">IF($A386="","",TEXT($A386,"yyyymmdd")&amp;"|"&amp;$K386)</f>
        <v/>
      </c>
    </row>
    <row r="387" customFormat="false" ht="15" hidden="false" customHeight="true" outlineLevel="0" collapsed="false">
      <c r="A387" s="15"/>
      <c r="B387" s="10"/>
      <c r="C387" s="10"/>
      <c r="D387" s="10"/>
      <c r="E387" s="10"/>
      <c r="F387" s="11"/>
      <c r="G387" s="10"/>
      <c r="H387" s="10"/>
      <c r="I387" s="16" t="str">
        <f aca="false">IF(OR($A387="",$F387=""),"",IF($B387="입금",$F387,0))</f>
        <v/>
      </c>
      <c r="J387" s="16" t="str">
        <f aca="false">IF(OR($A387="",$F387=""),"",IF($B387="출금",$F387,0))</f>
        <v/>
      </c>
      <c r="K387" s="17" t="str">
        <f aca="false">IF($A387="","",COUNTIFS($A$3:$A387,$A387))</f>
        <v/>
      </c>
      <c r="L387" s="17" t="str">
        <f aca="false">IF($A387="","",TEXT($A387,"yyyymmdd")&amp;"|"&amp;$K387)</f>
        <v/>
      </c>
    </row>
    <row r="388" customFormat="false" ht="15" hidden="false" customHeight="true" outlineLevel="0" collapsed="false">
      <c r="A388" s="15"/>
      <c r="B388" s="10"/>
      <c r="C388" s="10"/>
      <c r="D388" s="10"/>
      <c r="E388" s="10"/>
      <c r="F388" s="11"/>
      <c r="G388" s="10"/>
      <c r="H388" s="10"/>
      <c r="I388" s="16" t="str">
        <f aca="false">IF(OR($A388="",$F388=""),"",IF($B388="입금",$F388,0))</f>
        <v/>
      </c>
      <c r="J388" s="16" t="str">
        <f aca="false">IF(OR($A388="",$F388=""),"",IF($B388="출금",$F388,0))</f>
        <v/>
      </c>
      <c r="K388" s="17" t="str">
        <f aca="false">IF($A388="","",COUNTIFS($A$3:$A388,$A388))</f>
        <v/>
      </c>
      <c r="L388" s="17" t="str">
        <f aca="false">IF($A388="","",TEXT($A388,"yyyymmdd")&amp;"|"&amp;$K388)</f>
        <v/>
      </c>
    </row>
    <row r="389" customFormat="false" ht="15" hidden="false" customHeight="true" outlineLevel="0" collapsed="false">
      <c r="A389" s="15"/>
      <c r="B389" s="10"/>
      <c r="C389" s="10"/>
      <c r="D389" s="10"/>
      <c r="E389" s="10"/>
      <c r="F389" s="11"/>
      <c r="G389" s="10"/>
      <c r="H389" s="10"/>
      <c r="I389" s="16" t="str">
        <f aca="false">IF(OR($A389="",$F389=""),"",IF($B389="입금",$F389,0))</f>
        <v/>
      </c>
      <c r="J389" s="16" t="str">
        <f aca="false">IF(OR($A389="",$F389=""),"",IF($B389="출금",$F389,0))</f>
        <v/>
      </c>
      <c r="K389" s="17" t="str">
        <f aca="false">IF($A389="","",COUNTIFS($A$3:$A389,$A389))</f>
        <v/>
      </c>
      <c r="L389" s="17" t="str">
        <f aca="false">IF($A389="","",TEXT($A389,"yyyymmdd")&amp;"|"&amp;$K389)</f>
        <v/>
      </c>
    </row>
    <row r="390" customFormat="false" ht="15" hidden="false" customHeight="true" outlineLevel="0" collapsed="false">
      <c r="A390" s="15"/>
      <c r="B390" s="10"/>
      <c r="C390" s="10"/>
      <c r="D390" s="10"/>
      <c r="E390" s="10"/>
      <c r="F390" s="11"/>
      <c r="G390" s="10"/>
      <c r="H390" s="10"/>
      <c r="I390" s="16" t="str">
        <f aca="false">IF(OR($A390="",$F390=""),"",IF($B390="입금",$F390,0))</f>
        <v/>
      </c>
      <c r="J390" s="16" t="str">
        <f aca="false">IF(OR($A390="",$F390=""),"",IF($B390="출금",$F390,0))</f>
        <v/>
      </c>
      <c r="K390" s="17" t="str">
        <f aca="false">IF($A390="","",COUNTIFS($A$3:$A390,$A390))</f>
        <v/>
      </c>
      <c r="L390" s="17" t="str">
        <f aca="false">IF($A390="","",TEXT($A390,"yyyymmdd")&amp;"|"&amp;$K390)</f>
        <v/>
      </c>
    </row>
    <row r="391" customFormat="false" ht="15" hidden="false" customHeight="true" outlineLevel="0" collapsed="false">
      <c r="A391" s="15"/>
      <c r="B391" s="10"/>
      <c r="C391" s="10"/>
      <c r="D391" s="10"/>
      <c r="E391" s="10"/>
      <c r="F391" s="11"/>
      <c r="G391" s="10"/>
      <c r="H391" s="10"/>
      <c r="I391" s="16" t="str">
        <f aca="false">IF(OR($A391="",$F391=""),"",IF($B391="입금",$F391,0))</f>
        <v/>
      </c>
      <c r="J391" s="16" t="str">
        <f aca="false">IF(OR($A391="",$F391=""),"",IF($B391="출금",$F391,0))</f>
        <v/>
      </c>
      <c r="K391" s="17" t="str">
        <f aca="false">IF($A391="","",COUNTIFS($A$3:$A391,$A391))</f>
        <v/>
      </c>
      <c r="L391" s="17" t="str">
        <f aca="false">IF($A391="","",TEXT($A391,"yyyymmdd")&amp;"|"&amp;$K391)</f>
        <v/>
      </c>
    </row>
    <row r="392" customFormat="false" ht="15" hidden="false" customHeight="true" outlineLevel="0" collapsed="false">
      <c r="A392" s="15"/>
      <c r="B392" s="10"/>
      <c r="C392" s="10"/>
      <c r="D392" s="10"/>
      <c r="E392" s="10"/>
      <c r="F392" s="11"/>
      <c r="G392" s="10"/>
      <c r="H392" s="10"/>
      <c r="I392" s="16" t="str">
        <f aca="false">IF(OR($A392="",$F392=""),"",IF($B392="입금",$F392,0))</f>
        <v/>
      </c>
      <c r="J392" s="16" t="str">
        <f aca="false">IF(OR($A392="",$F392=""),"",IF($B392="출금",$F392,0))</f>
        <v/>
      </c>
      <c r="K392" s="17" t="str">
        <f aca="false">IF($A392="","",COUNTIFS($A$3:$A392,$A392))</f>
        <v/>
      </c>
      <c r="L392" s="17" t="str">
        <f aca="false">IF($A392="","",TEXT($A392,"yyyymmdd")&amp;"|"&amp;$K392)</f>
        <v/>
      </c>
    </row>
    <row r="393" customFormat="false" ht="15" hidden="false" customHeight="true" outlineLevel="0" collapsed="false">
      <c r="A393" s="15"/>
      <c r="B393" s="10"/>
      <c r="C393" s="10"/>
      <c r="D393" s="10"/>
      <c r="E393" s="10"/>
      <c r="F393" s="11"/>
      <c r="G393" s="10"/>
      <c r="H393" s="10"/>
      <c r="I393" s="16" t="str">
        <f aca="false">IF(OR($A393="",$F393=""),"",IF($B393="입금",$F393,0))</f>
        <v/>
      </c>
      <c r="J393" s="16" t="str">
        <f aca="false">IF(OR($A393="",$F393=""),"",IF($B393="출금",$F393,0))</f>
        <v/>
      </c>
      <c r="K393" s="17" t="str">
        <f aca="false">IF($A393="","",COUNTIFS($A$3:$A393,$A393))</f>
        <v/>
      </c>
      <c r="L393" s="17" t="str">
        <f aca="false">IF($A393="","",TEXT($A393,"yyyymmdd")&amp;"|"&amp;$K393)</f>
        <v/>
      </c>
    </row>
    <row r="394" customFormat="false" ht="15" hidden="false" customHeight="true" outlineLevel="0" collapsed="false">
      <c r="A394" s="15"/>
      <c r="B394" s="10"/>
      <c r="C394" s="10"/>
      <c r="D394" s="10"/>
      <c r="E394" s="10"/>
      <c r="F394" s="11"/>
      <c r="G394" s="10"/>
      <c r="H394" s="10"/>
      <c r="I394" s="16" t="str">
        <f aca="false">IF(OR($A394="",$F394=""),"",IF($B394="입금",$F394,0))</f>
        <v/>
      </c>
      <c r="J394" s="16" t="str">
        <f aca="false">IF(OR($A394="",$F394=""),"",IF($B394="출금",$F394,0))</f>
        <v/>
      </c>
      <c r="K394" s="17" t="str">
        <f aca="false">IF($A394="","",COUNTIFS($A$3:$A394,$A394))</f>
        <v/>
      </c>
      <c r="L394" s="17" t="str">
        <f aca="false">IF($A394="","",TEXT($A394,"yyyymmdd")&amp;"|"&amp;$K394)</f>
        <v/>
      </c>
    </row>
    <row r="395" customFormat="false" ht="15" hidden="false" customHeight="true" outlineLevel="0" collapsed="false">
      <c r="A395" s="15"/>
      <c r="B395" s="10"/>
      <c r="C395" s="10"/>
      <c r="D395" s="10"/>
      <c r="E395" s="10"/>
      <c r="F395" s="11"/>
      <c r="G395" s="10"/>
      <c r="H395" s="10"/>
      <c r="I395" s="16" t="str">
        <f aca="false">IF(OR($A395="",$F395=""),"",IF($B395="입금",$F395,0))</f>
        <v/>
      </c>
      <c r="J395" s="16" t="str">
        <f aca="false">IF(OR($A395="",$F395=""),"",IF($B395="출금",$F395,0))</f>
        <v/>
      </c>
      <c r="K395" s="17" t="str">
        <f aca="false">IF($A395="","",COUNTIFS($A$3:$A395,$A395))</f>
        <v/>
      </c>
      <c r="L395" s="17" t="str">
        <f aca="false">IF($A395="","",TEXT($A395,"yyyymmdd")&amp;"|"&amp;$K395)</f>
        <v/>
      </c>
    </row>
    <row r="396" customFormat="false" ht="15" hidden="false" customHeight="true" outlineLevel="0" collapsed="false">
      <c r="A396" s="15"/>
      <c r="B396" s="10"/>
      <c r="C396" s="10"/>
      <c r="D396" s="10"/>
      <c r="E396" s="10"/>
      <c r="F396" s="11"/>
      <c r="G396" s="10"/>
      <c r="H396" s="10"/>
      <c r="I396" s="16" t="str">
        <f aca="false">IF(OR($A396="",$F396=""),"",IF($B396="입금",$F396,0))</f>
        <v/>
      </c>
      <c r="J396" s="16" t="str">
        <f aca="false">IF(OR($A396="",$F396=""),"",IF($B396="출금",$F396,0))</f>
        <v/>
      </c>
      <c r="K396" s="17" t="str">
        <f aca="false">IF($A396="","",COUNTIFS($A$3:$A396,$A396))</f>
        <v/>
      </c>
      <c r="L396" s="17" t="str">
        <f aca="false">IF($A396="","",TEXT($A396,"yyyymmdd")&amp;"|"&amp;$K396)</f>
        <v/>
      </c>
    </row>
    <row r="397" customFormat="false" ht="15" hidden="false" customHeight="true" outlineLevel="0" collapsed="false">
      <c r="A397" s="15"/>
      <c r="B397" s="10"/>
      <c r="C397" s="10"/>
      <c r="D397" s="10"/>
      <c r="E397" s="10"/>
      <c r="F397" s="11"/>
      <c r="G397" s="10"/>
      <c r="H397" s="10"/>
      <c r="I397" s="16" t="str">
        <f aca="false">IF(OR($A397="",$F397=""),"",IF($B397="입금",$F397,0))</f>
        <v/>
      </c>
      <c r="J397" s="16" t="str">
        <f aca="false">IF(OR($A397="",$F397=""),"",IF($B397="출금",$F397,0))</f>
        <v/>
      </c>
      <c r="K397" s="17" t="str">
        <f aca="false">IF($A397="","",COUNTIFS($A$3:$A397,$A397))</f>
        <v/>
      </c>
      <c r="L397" s="17" t="str">
        <f aca="false">IF($A397="","",TEXT($A397,"yyyymmdd")&amp;"|"&amp;$K397)</f>
        <v/>
      </c>
    </row>
    <row r="398" customFormat="false" ht="15" hidden="false" customHeight="true" outlineLevel="0" collapsed="false">
      <c r="A398" s="15"/>
      <c r="B398" s="10"/>
      <c r="C398" s="10"/>
      <c r="D398" s="10"/>
      <c r="E398" s="10"/>
      <c r="F398" s="11"/>
      <c r="G398" s="10"/>
      <c r="H398" s="10"/>
      <c r="I398" s="16" t="str">
        <f aca="false">IF(OR($A398="",$F398=""),"",IF($B398="입금",$F398,0))</f>
        <v/>
      </c>
      <c r="J398" s="16" t="str">
        <f aca="false">IF(OR($A398="",$F398=""),"",IF($B398="출금",$F398,0))</f>
        <v/>
      </c>
      <c r="K398" s="17" t="str">
        <f aca="false">IF($A398="","",COUNTIFS($A$3:$A398,$A398))</f>
        <v/>
      </c>
      <c r="L398" s="17" t="str">
        <f aca="false">IF($A398="","",TEXT($A398,"yyyymmdd")&amp;"|"&amp;$K398)</f>
        <v/>
      </c>
    </row>
    <row r="399" customFormat="false" ht="15" hidden="false" customHeight="true" outlineLevel="0" collapsed="false">
      <c r="A399" s="15"/>
      <c r="B399" s="10"/>
      <c r="C399" s="10"/>
      <c r="D399" s="10"/>
      <c r="E399" s="10"/>
      <c r="F399" s="11"/>
      <c r="G399" s="10"/>
      <c r="H399" s="10"/>
      <c r="I399" s="16" t="str">
        <f aca="false">IF(OR($A399="",$F399=""),"",IF($B399="입금",$F399,0))</f>
        <v/>
      </c>
      <c r="J399" s="16" t="str">
        <f aca="false">IF(OR($A399="",$F399=""),"",IF($B399="출금",$F399,0))</f>
        <v/>
      </c>
      <c r="K399" s="17" t="str">
        <f aca="false">IF($A399="","",COUNTIFS($A$3:$A399,$A399))</f>
        <v/>
      </c>
      <c r="L399" s="17" t="str">
        <f aca="false">IF($A399="","",TEXT($A399,"yyyymmdd")&amp;"|"&amp;$K399)</f>
        <v/>
      </c>
    </row>
    <row r="400" customFormat="false" ht="15" hidden="false" customHeight="true" outlineLevel="0" collapsed="false">
      <c r="A400" s="15"/>
      <c r="B400" s="10"/>
      <c r="C400" s="10"/>
      <c r="D400" s="10"/>
      <c r="E400" s="10"/>
      <c r="F400" s="11"/>
      <c r="G400" s="10"/>
      <c r="H400" s="10"/>
      <c r="I400" s="16" t="str">
        <f aca="false">IF(OR($A400="",$F400=""),"",IF($B400="입금",$F400,0))</f>
        <v/>
      </c>
      <c r="J400" s="16" t="str">
        <f aca="false">IF(OR($A400="",$F400=""),"",IF($B400="출금",$F400,0))</f>
        <v/>
      </c>
      <c r="K400" s="17" t="str">
        <f aca="false">IF($A400="","",COUNTIFS($A$3:$A400,$A400))</f>
        <v/>
      </c>
      <c r="L400" s="17" t="str">
        <f aca="false">IF($A400="","",TEXT($A400,"yyyymmdd")&amp;"|"&amp;$K400)</f>
        <v/>
      </c>
    </row>
    <row r="401" customFormat="false" ht="15" hidden="false" customHeight="true" outlineLevel="0" collapsed="false">
      <c r="A401" s="15"/>
      <c r="B401" s="10"/>
      <c r="C401" s="10"/>
      <c r="D401" s="10"/>
      <c r="E401" s="10"/>
      <c r="F401" s="11"/>
      <c r="G401" s="10"/>
      <c r="H401" s="10"/>
      <c r="I401" s="16" t="str">
        <f aca="false">IF(OR($A401="",$F401=""),"",IF($B401="입금",$F401,0))</f>
        <v/>
      </c>
      <c r="J401" s="16" t="str">
        <f aca="false">IF(OR($A401="",$F401=""),"",IF($B401="출금",$F401,0))</f>
        <v/>
      </c>
      <c r="K401" s="17" t="str">
        <f aca="false">IF($A401="","",COUNTIFS($A$3:$A401,$A401))</f>
        <v/>
      </c>
      <c r="L401" s="17" t="str">
        <f aca="false">IF($A401="","",TEXT($A401,"yyyymmdd")&amp;"|"&amp;$K401)</f>
        <v/>
      </c>
    </row>
    <row r="402" customFormat="false" ht="15" hidden="false" customHeight="true" outlineLevel="0" collapsed="false">
      <c r="A402" s="15"/>
      <c r="B402" s="10"/>
      <c r="C402" s="10"/>
      <c r="D402" s="10"/>
      <c r="E402" s="10"/>
      <c r="F402" s="11"/>
      <c r="G402" s="10"/>
      <c r="H402" s="10"/>
      <c r="I402" s="16" t="str">
        <f aca="false">IF(OR($A402="",$F402=""),"",IF($B402="입금",$F402,0))</f>
        <v/>
      </c>
      <c r="J402" s="16" t="str">
        <f aca="false">IF(OR($A402="",$F402=""),"",IF($B402="출금",$F402,0))</f>
        <v/>
      </c>
      <c r="K402" s="17" t="str">
        <f aca="false">IF($A402="","",COUNTIFS($A$3:$A402,$A402))</f>
        <v/>
      </c>
      <c r="L402" s="17" t="str">
        <f aca="false">IF($A402="","",TEXT($A402,"yyyymmdd")&amp;"|"&amp;$K402)</f>
        <v/>
      </c>
    </row>
    <row r="403" customFormat="false" ht="15" hidden="false" customHeight="true" outlineLevel="0" collapsed="false">
      <c r="A403" s="15"/>
      <c r="B403" s="10"/>
      <c r="C403" s="10"/>
      <c r="D403" s="10"/>
      <c r="E403" s="10"/>
      <c r="F403" s="11"/>
      <c r="G403" s="10"/>
      <c r="H403" s="10"/>
      <c r="I403" s="16" t="str">
        <f aca="false">IF(OR($A403="",$F403=""),"",IF($B403="입금",$F403,0))</f>
        <v/>
      </c>
      <c r="J403" s="16" t="str">
        <f aca="false">IF(OR($A403="",$F403=""),"",IF($B403="출금",$F403,0))</f>
        <v/>
      </c>
      <c r="K403" s="17" t="str">
        <f aca="false">IF($A403="","",COUNTIFS($A$3:$A403,$A403))</f>
        <v/>
      </c>
      <c r="L403" s="17" t="str">
        <f aca="false">IF($A403="","",TEXT($A403,"yyyymmdd")&amp;"|"&amp;$K403)</f>
        <v/>
      </c>
    </row>
    <row r="404" customFormat="false" ht="15" hidden="false" customHeight="true" outlineLevel="0" collapsed="false">
      <c r="A404" s="15"/>
      <c r="B404" s="10"/>
      <c r="C404" s="10"/>
      <c r="D404" s="10"/>
      <c r="E404" s="10"/>
      <c r="F404" s="11"/>
      <c r="G404" s="10"/>
      <c r="H404" s="10"/>
      <c r="I404" s="16" t="str">
        <f aca="false">IF(OR($A404="",$F404=""),"",IF($B404="입금",$F404,0))</f>
        <v/>
      </c>
      <c r="J404" s="16" t="str">
        <f aca="false">IF(OR($A404="",$F404=""),"",IF($B404="출금",$F404,0))</f>
        <v/>
      </c>
      <c r="K404" s="17" t="str">
        <f aca="false">IF($A404="","",COUNTIFS($A$3:$A404,$A404))</f>
        <v/>
      </c>
      <c r="L404" s="17" t="str">
        <f aca="false">IF($A404="","",TEXT($A404,"yyyymmdd")&amp;"|"&amp;$K404)</f>
        <v/>
      </c>
    </row>
    <row r="405" customFormat="false" ht="15" hidden="false" customHeight="true" outlineLevel="0" collapsed="false">
      <c r="A405" s="15"/>
      <c r="B405" s="10"/>
      <c r="C405" s="10"/>
      <c r="D405" s="10"/>
      <c r="E405" s="10"/>
      <c r="F405" s="11"/>
      <c r="G405" s="10"/>
      <c r="H405" s="10"/>
      <c r="I405" s="16" t="str">
        <f aca="false">IF(OR($A405="",$F405=""),"",IF($B405="입금",$F405,0))</f>
        <v/>
      </c>
      <c r="J405" s="16" t="str">
        <f aca="false">IF(OR($A405="",$F405=""),"",IF($B405="출금",$F405,0))</f>
        <v/>
      </c>
      <c r="K405" s="17" t="str">
        <f aca="false">IF($A405="","",COUNTIFS($A$3:$A405,$A405))</f>
        <v/>
      </c>
      <c r="L405" s="17" t="str">
        <f aca="false">IF($A405="","",TEXT($A405,"yyyymmdd")&amp;"|"&amp;$K405)</f>
        <v/>
      </c>
    </row>
    <row r="406" customFormat="false" ht="15" hidden="false" customHeight="true" outlineLevel="0" collapsed="false">
      <c r="A406" s="15"/>
      <c r="B406" s="10"/>
      <c r="C406" s="10"/>
      <c r="D406" s="10"/>
      <c r="E406" s="10"/>
      <c r="F406" s="11"/>
      <c r="G406" s="10"/>
      <c r="H406" s="10"/>
      <c r="I406" s="16" t="str">
        <f aca="false">IF(OR($A406="",$F406=""),"",IF($B406="입금",$F406,0))</f>
        <v/>
      </c>
      <c r="J406" s="16" t="str">
        <f aca="false">IF(OR($A406="",$F406=""),"",IF($B406="출금",$F406,0))</f>
        <v/>
      </c>
      <c r="K406" s="17" t="str">
        <f aca="false">IF($A406="","",COUNTIFS($A$3:$A406,$A406))</f>
        <v/>
      </c>
      <c r="L406" s="17" t="str">
        <f aca="false">IF($A406="","",TEXT($A406,"yyyymmdd")&amp;"|"&amp;$K406)</f>
        <v/>
      </c>
    </row>
    <row r="407" customFormat="false" ht="15" hidden="false" customHeight="true" outlineLevel="0" collapsed="false">
      <c r="A407" s="15"/>
      <c r="B407" s="10"/>
      <c r="C407" s="10"/>
      <c r="D407" s="10"/>
      <c r="E407" s="10"/>
      <c r="F407" s="11"/>
      <c r="G407" s="10"/>
      <c r="H407" s="10"/>
      <c r="I407" s="16" t="str">
        <f aca="false">IF(OR($A407="",$F407=""),"",IF($B407="입금",$F407,0))</f>
        <v/>
      </c>
      <c r="J407" s="16" t="str">
        <f aca="false">IF(OR($A407="",$F407=""),"",IF($B407="출금",$F407,0))</f>
        <v/>
      </c>
      <c r="K407" s="17" t="str">
        <f aca="false">IF($A407="","",COUNTIFS($A$3:$A407,$A407))</f>
        <v/>
      </c>
      <c r="L407" s="17" t="str">
        <f aca="false">IF($A407="","",TEXT($A407,"yyyymmdd")&amp;"|"&amp;$K407)</f>
        <v/>
      </c>
    </row>
    <row r="408" customFormat="false" ht="15" hidden="false" customHeight="true" outlineLevel="0" collapsed="false">
      <c r="A408" s="15"/>
      <c r="B408" s="10"/>
      <c r="C408" s="10"/>
      <c r="D408" s="10"/>
      <c r="E408" s="10"/>
      <c r="F408" s="11"/>
      <c r="G408" s="10"/>
      <c r="H408" s="10"/>
      <c r="I408" s="16" t="str">
        <f aca="false">IF(OR($A408="",$F408=""),"",IF($B408="입금",$F408,0))</f>
        <v/>
      </c>
      <c r="J408" s="16" t="str">
        <f aca="false">IF(OR($A408="",$F408=""),"",IF($B408="출금",$F408,0))</f>
        <v/>
      </c>
      <c r="K408" s="17" t="str">
        <f aca="false">IF($A408="","",COUNTIFS($A$3:$A408,$A408))</f>
        <v/>
      </c>
      <c r="L408" s="17" t="str">
        <f aca="false">IF($A408="","",TEXT($A408,"yyyymmdd")&amp;"|"&amp;$K408)</f>
        <v/>
      </c>
    </row>
    <row r="409" customFormat="false" ht="15" hidden="false" customHeight="true" outlineLevel="0" collapsed="false">
      <c r="A409" s="15"/>
      <c r="B409" s="10"/>
      <c r="C409" s="10"/>
      <c r="D409" s="10"/>
      <c r="E409" s="10"/>
      <c r="F409" s="11"/>
      <c r="G409" s="10"/>
      <c r="H409" s="10"/>
      <c r="I409" s="16" t="str">
        <f aca="false">IF(OR($A409="",$F409=""),"",IF($B409="입금",$F409,0))</f>
        <v/>
      </c>
      <c r="J409" s="16" t="str">
        <f aca="false">IF(OR($A409="",$F409=""),"",IF($B409="출금",$F409,0))</f>
        <v/>
      </c>
      <c r="K409" s="17" t="str">
        <f aca="false">IF($A409="","",COUNTIFS($A$3:$A409,$A409))</f>
        <v/>
      </c>
      <c r="L409" s="17" t="str">
        <f aca="false">IF($A409="","",TEXT($A409,"yyyymmdd")&amp;"|"&amp;$K409)</f>
        <v/>
      </c>
    </row>
    <row r="410" customFormat="false" ht="15" hidden="false" customHeight="true" outlineLevel="0" collapsed="false">
      <c r="A410" s="15"/>
      <c r="B410" s="10"/>
      <c r="C410" s="10"/>
      <c r="D410" s="10"/>
      <c r="E410" s="10"/>
      <c r="F410" s="11"/>
      <c r="G410" s="10"/>
      <c r="H410" s="10"/>
      <c r="I410" s="16" t="str">
        <f aca="false">IF(OR($A410="",$F410=""),"",IF($B410="입금",$F410,0))</f>
        <v/>
      </c>
      <c r="J410" s="16" t="str">
        <f aca="false">IF(OR($A410="",$F410=""),"",IF($B410="출금",$F410,0))</f>
        <v/>
      </c>
      <c r="K410" s="17" t="str">
        <f aca="false">IF($A410="","",COUNTIFS($A$3:$A410,$A410))</f>
        <v/>
      </c>
      <c r="L410" s="17" t="str">
        <f aca="false">IF($A410="","",TEXT($A410,"yyyymmdd")&amp;"|"&amp;$K410)</f>
        <v/>
      </c>
    </row>
    <row r="411" customFormat="false" ht="15" hidden="false" customHeight="true" outlineLevel="0" collapsed="false">
      <c r="A411" s="15"/>
      <c r="B411" s="10"/>
      <c r="C411" s="10"/>
      <c r="D411" s="10"/>
      <c r="E411" s="10"/>
      <c r="F411" s="11"/>
      <c r="G411" s="10"/>
      <c r="H411" s="10"/>
      <c r="I411" s="16" t="str">
        <f aca="false">IF(OR($A411="",$F411=""),"",IF($B411="입금",$F411,0))</f>
        <v/>
      </c>
      <c r="J411" s="16" t="str">
        <f aca="false">IF(OR($A411="",$F411=""),"",IF($B411="출금",$F411,0))</f>
        <v/>
      </c>
      <c r="K411" s="17" t="str">
        <f aca="false">IF($A411="","",COUNTIFS($A$3:$A411,$A411))</f>
        <v/>
      </c>
      <c r="L411" s="17" t="str">
        <f aca="false">IF($A411="","",TEXT($A411,"yyyymmdd")&amp;"|"&amp;$K411)</f>
        <v/>
      </c>
    </row>
    <row r="412" customFormat="false" ht="15" hidden="false" customHeight="true" outlineLevel="0" collapsed="false">
      <c r="A412" s="15"/>
      <c r="B412" s="10"/>
      <c r="C412" s="10"/>
      <c r="D412" s="10"/>
      <c r="E412" s="10"/>
      <c r="F412" s="11"/>
      <c r="G412" s="10"/>
      <c r="H412" s="10"/>
      <c r="I412" s="16" t="str">
        <f aca="false">IF(OR($A412="",$F412=""),"",IF($B412="입금",$F412,0))</f>
        <v/>
      </c>
      <c r="J412" s="16" t="str">
        <f aca="false">IF(OR($A412="",$F412=""),"",IF($B412="출금",$F412,0))</f>
        <v/>
      </c>
      <c r="K412" s="17" t="str">
        <f aca="false">IF($A412="","",COUNTIFS($A$3:$A412,$A412))</f>
        <v/>
      </c>
      <c r="L412" s="17" t="str">
        <f aca="false">IF($A412="","",TEXT($A412,"yyyymmdd")&amp;"|"&amp;$K412)</f>
        <v/>
      </c>
    </row>
    <row r="413" customFormat="false" ht="15" hidden="false" customHeight="true" outlineLevel="0" collapsed="false">
      <c r="A413" s="15"/>
      <c r="B413" s="10"/>
      <c r="C413" s="10"/>
      <c r="D413" s="10"/>
      <c r="E413" s="10"/>
      <c r="F413" s="11"/>
      <c r="G413" s="10"/>
      <c r="H413" s="10"/>
      <c r="I413" s="16" t="str">
        <f aca="false">IF(OR($A413="",$F413=""),"",IF($B413="입금",$F413,0))</f>
        <v/>
      </c>
      <c r="J413" s="16" t="str">
        <f aca="false">IF(OR($A413="",$F413=""),"",IF($B413="출금",$F413,0))</f>
        <v/>
      </c>
      <c r="K413" s="17" t="str">
        <f aca="false">IF($A413="","",COUNTIFS($A$3:$A413,$A413))</f>
        <v/>
      </c>
      <c r="L413" s="17" t="str">
        <f aca="false">IF($A413="","",TEXT($A413,"yyyymmdd")&amp;"|"&amp;$K413)</f>
        <v/>
      </c>
    </row>
    <row r="414" customFormat="false" ht="15" hidden="false" customHeight="true" outlineLevel="0" collapsed="false">
      <c r="A414" s="15"/>
      <c r="B414" s="10"/>
      <c r="C414" s="10"/>
      <c r="D414" s="10"/>
      <c r="E414" s="10"/>
      <c r="F414" s="11"/>
      <c r="G414" s="10"/>
      <c r="H414" s="10"/>
      <c r="I414" s="16" t="str">
        <f aca="false">IF(OR($A414="",$F414=""),"",IF($B414="입금",$F414,0))</f>
        <v/>
      </c>
      <c r="J414" s="16" t="str">
        <f aca="false">IF(OR($A414="",$F414=""),"",IF($B414="출금",$F414,0))</f>
        <v/>
      </c>
      <c r="K414" s="17" t="str">
        <f aca="false">IF($A414="","",COUNTIFS($A$3:$A414,$A414))</f>
        <v/>
      </c>
      <c r="L414" s="17" t="str">
        <f aca="false">IF($A414="","",TEXT($A414,"yyyymmdd")&amp;"|"&amp;$K414)</f>
        <v/>
      </c>
    </row>
    <row r="415" customFormat="false" ht="15" hidden="false" customHeight="true" outlineLevel="0" collapsed="false">
      <c r="A415" s="15"/>
      <c r="B415" s="10"/>
      <c r="C415" s="10"/>
      <c r="D415" s="10"/>
      <c r="E415" s="10"/>
      <c r="F415" s="11"/>
      <c r="G415" s="10"/>
      <c r="H415" s="10"/>
      <c r="I415" s="16" t="str">
        <f aca="false">IF(OR($A415="",$F415=""),"",IF($B415="입금",$F415,0))</f>
        <v/>
      </c>
      <c r="J415" s="16" t="str">
        <f aca="false">IF(OR($A415="",$F415=""),"",IF($B415="출금",$F415,0))</f>
        <v/>
      </c>
      <c r="K415" s="17" t="str">
        <f aca="false">IF($A415="","",COUNTIFS($A$3:$A415,$A415))</f>
        <v/>
      </c>
      <c r="L415" s="17" t="str">
        <f aca="false">IF($A415="","",TEXT($A415,"yyyymmdd")&amp;"|"&amp;$K415)</f>
        <v/>
      </c>
    </row>
    <row r="416" customFormat="false" ht="15" hidden="false" customHeight="true" outlineLevel="0" collapsed="false">
      <c r="A416" s="15"/>
      <c r="B416" s="10"/>
      <c r="C416" s="10"/>
      <c r="D416" s="10"/>
      <c r="E416" s="10"/>
      <c r="F416" s="11"/>
      <c r="G416" s="10"/>
      <c r="H416" s="10"/>
      <c r="I416" s="16" t="str">
        <f aca="false">IF(OR($A416="",$F416=""),"",IF($B416="입금",$F416,0))</f>
        <v/>
      </c>
      <c r="J416" s="16" t="str">
        <f aca="false">IF(OR($A416="",$F416=""),"",IF($B416="출금",$F416,0))</f>
        <v/>
      </c>
      <c r="K416" s="17" t="str">
        <f aca="false">IF($A416="","",COUNTIFS($A$3:$A416,$A416))</f>
        <v/>
      </c>
      <c r="L416" s="17" t="str">
        <f aca="false">IF($A416="","",TEXT($A416,"yyyymmdd")&amp;"|"&amp;$K416)</f>
        <v/>
      </c>
    </row>
    <row r="417" customFormat="false" ht="15" hidden="false" customHeight="true" outlineLevel="0" collapsed="false">
      <c r="A417" s="15"/>
      <c r="B417" s="10"/>
      <c r="C417" s="10"/>
      <c r="D417" s="10"/>
      <c r="E417" s="10"/>
      <c r="F417" s="11"/>
      <c r="G417" s="10"/>
      <c r="H417" s="10"/>
      <c r="I417" s="16" t="str">
        <f aca="false">IF(OR($A417="",$F417=""),"",IF($B417="입금",$F417,0))</f>
        <v/>
      </c>
      <c r="J417" s="16" t="str">
        <f aca="false">IF(OR($A417="",$F417=""),"",IF($B417="출금",$F417,0))</f>
        <v/>
      </c>
      <c r="K417" s="17" t="str">
        <f aca="false">IF($A417="","",COUNTIFS($A$3:$A417,$A417))</f>
        <v/>
      </c>
      <c r="L417" s="17" t="str">
        <f aca="false">IF($A417="","",TEXT($A417,"yyyymmdd")&amp;"|"&amp;$K417)</f>
        <v/>
      </c>
    </row>
    <row r="418" customFormat="false" ht="15" hidden="false" customHeight="true" outlineLevel="0" collapsed="false">
      <c r="A418" s="15"/>
      <c r="B418" s="10"/>
      <c r="C418" s="10"/>
      <c r="D418" s="10"/>
      <c r="E418" s="10"/>
      <c r="F418" s="11"/>
      <c r="G418" s="10"/>
      <c r="H418" s="10"/>
      <c r="I418" s="16" t="str">
        <f aca="false">IF(OR($A418="",$F418=""),"",IF($B418="입금",$F418,0))</f>
        <v/>
      </c>
      <c r="J418" s="16" t="str">
        <f aca="false">IF(OR($A418="",$F418=""),"",IF($B418="출금",$F418,0))</f>
        <v/>
      </c>
      <c r="K418" s="17" t="str">
        <f aca="false">IF($A418="","",COUNTIFS($A$3:$A418,$A418))</f>
        <v/>
      </c>
      <c r="L418" s="17" t="str">
        <f aca="false">IF($A418="","",TEXT($A418,"yyyymmdd")&amp;"|"&amp;$K418)</f>
        <v/>
      </c>
    </row>
    <row r="419" customFormat="false" ht="15" hidden="false" customHeight="true" outlineLevel="0" collapsed="false">
      <c r="A419" s="15"/>
      <c r="B419" s="10"/>
      <c r="C419" s="10"/>
      <c r="D419" s="10"/>
      <c r="E419" s="10"/>
      <c r="F419" s="11"/>
      <c r="G419" s="10"/>
      <c r="H419" s="10"/>
      <c r="I419" s="16" t="str">
        <f aca="false">IF(OR($A419="",$F419=""),"",IF($B419="입금",$F419,0))</f>
        <v/>
      </c>
      <c r="J419" s="16" t="str">
        <f aca="false">IF(OR($A419="",$F419=""),"",IF($B419="출금",$F419,0))</f>
        <v/>
      </c>
      <c r="K419" s="17" t="str">
        <f aca="false">IF($A419="","",COUNTIFS($A$3:$A419,$A419))</f>
        <v/>
      </c>
      <c r="L419" s="17" t="str">
        <f aca="false">IF($A419="","",TEXT($A419,"yyyymmdd")&amp;"|"&amp;$K419)</f>
        <v/>
      </c>
    </row>
    <row r="420" customFormat="false" ht="15" hidden="false" customHeight="true" outlineLevel="0" collapsed="false">
      <c r="A420" s="15"/>
      <c r="B420" s="10"/>
      <c r="C420" s="10"/>
      <c r="D420" s="10"/>
      <c r="E420" s="10"/>
      <c r="F420" s="11"/>
      <c r="G420" s="10"/>
      <c r="H420" s="10"/>
      <c r="I420" s="16" t="str">
        <f aca="false">IF(OR($A420="",$F420=""),"",IF($B420="입금",$F420,0))</f>
        <v/>
      </c>
      <c r="J420" s="16" t="str">
        <f aca="false">IF(OR($A420="",$F420=""),"",IF($B420="출금",$F420,0))</f>
        <v/>
      </c>
      <c r="K420" s="17" t="str">
        <f aca="false">IF($A420="","",COUNTIFS($A$3:$A420,$A420))</f>
        <v/>
      </c>
      <c r="L420" s="17" t="str">
        <f aca="false">IF($A420="","",TEXT($A420,"yyyymmdd")&amp;"|"&amp;$K420)</f>
        <v/>
      </c>
    </row>
    <row r="421" customFormat="false" ht="15" hidden="false" customHeight="true" outlineLevel="0" collapsed="false">
      <c r="A421" s="15"/>
      <c r="B421" s="10"/>
      <c r="C421" s="10"/>
      <c r="D421" s="10"/>
      <c r="E421" s="10"/>
      <c r="F421" s="11"/>
      <c r="G421" s="10"/>
      <c r="H421" s="10"/>
      <c r="I421" s="16" t="str">
        <f aca="false">IF(OR($A421="",$F421=""),"",IF($B421="입금",$F421,0))</f>
        <v/>
      </c>
      <c r="J421" s="16" t="str">
        <f aca="false">IF(OR($A421="",$F421=""),"",IF($B421="출금",$F421,0))</f>
        <v/>
      </c>
      <c r="K421" s="17" t="str">
        <f aca="false">IF($A421="","",COUNTIFS($A$3:$A421,$A421))</f>
        <v/>
      </c>
      <c r="L421" s="17" t="str">
        <f aca="false">IF($A421="","",TEXT($A421,"yyyymmdd")&amp;"|"&amp;$K421)</f>
        <v/>
      </c>
    </row>
    <row r="422" customFormat="false" ht="15" hidden="false" customHeight="true" outlineLevel="0" collapsed="false">
      <c r="A422" s="15"/>
      <c r="B422" s="10"/>
      <c r="C422" s="10"/>
      <c r="D422" s="10"/>
      <c r="E422" s="10"/>
      <c r="F422" s="11"/>
      <c r="G422" s="10"/>
      <c r="H422" s="10"/>
      <c r="I422" s="16" t="str">
        <f aca="false">IF(OR($A422="",$F422=""),"",IF($B422="입금",$F422,0))</f>
        <v/>
      </c>
      <c r="J422" s="16" t="str">
        <f aca="false">IF(OR($A422="",$F422=""),"",IF($B422="출금",$F422,0))</f>
        <v/>
      </c>
      <c r="K422" s="17" t="str">
        <f aca="false">IF($A422="","",COUNTIFS($A$3:$A422,$A422))</f>
        <v/>
      </c>
      <c r="L422" s="17" t="str">
        <f aca="false">IF($A422="","",TEXT($A422,"yyyymmdd")&amp;"|"&amp;$K422)</f>
        <v/>
      </c>
    </row>
    <row r="423" customFormat="false" ht="15" hidden="false" customHeight="true" outlineLevel="0" collapsed="false">
      <c r="A423" s="15"/>
      <c r="B423" s="10"/>
      <c r="C423" s="10"/>
      <c r="D423" s="10"/>
      <c r="E423" s="10"/>
      <c r="F423" s="11"/>
      <c r="G423" s="10"/>
      <c r="H423" s="10"/>
      <c r="I423" s="16" t="str">
        <f aca="false">IF(OR($A423="",$F423=""),"",IF($B423="입금",$F423,0))</f>
        <v/>
      </c>
      <c r="J423" s="16" t="str">
        <f aca="false">IF(OR($A423="",$F423=""),"",IF($B423="출금",$F423,0))</f>
        <v/>
      </c>
      <c r="K423" s="17" t="str">
        <f aca="false">IF($A423="","",COUNTIFS($A$3:$A423,$A423))</f>
        <v/>
      </c>
      <c r="L423" s="17" t="str">
        <f aca="false">IF($A423="","",TEXT($A423,"yyyymmdd")&amp;"|"&amp;$K423)</f>
        <v/>
      </c>
    </row>
    <row r="424" customFormat="false" ht="15" hidden="false" customHeight="true" outlineLevel="0" collapsed="false">
      <c r="A424" s="15"/>
      <c r="B424" s="10"/>
      <c r="C424" s="10"/>
      <c r="D424" s="10"/>
      <c r="E424" s="10"/>
      <c r="F424" s="11"/>
      <c r="G424" s="10"/>
      <c r="H424" s="10"/>
      <c r="I424" s="16" t="str">
        <f aca="false">IF(OR($A424="",$F424=""),"",IF($B424="입금",$F424,0))</f>
        <v/>
      </c>
      <c r="J424" s="16" t="str">
        <f aca="false">IF(OR($A424="",$F424=""),"",IF($B424="출금",$F424,0))</f>
        <v/>
      </c>
      <c r="K424" s="17" t="str">
        <f aca="false">IF($A424="","",COUNTIFS($A$3:$A424,$A424))</f>
        <v/>
      </c>
      <c r="L424" s="17" t="str">
        <f aca="false">IF($A424="","",TEXT($A424,"yyyymmdd")&amp;"|"&amp;$K424)</f>
        <v/>
      </c>
    </row>
    <row r="425" customFormat="false" ht="15" hidden="false" customHeight="true" outlineLevel="0" collapsed="false">
      <c r="A425" s="15"/>
      <c r="B425" s="10"/>
      <c r="C425" s="10"/>
      <c r="D425" s="10"/>
      <c r="E425" s="10"/>
      <c r="F425" s="11"/>
      <c r="G425" s="10"/>
      <c r="H425" s="10"/>
      <c r="I425" s="16" t="str">
        <f aca="false">IF(OR($A425="",$F425=""),"",IF($B425="입금",$F425,0))</f>
        <v/>
      </c>
      <c r="J425" s="16" t="str">
        <f aca="false">IF(OR($A425="",$F425=""),"",IF($B425="출금",$F425,0))</f>
        <v/>
      </c>
      <c r="K425" s="17" t="str">
        <f aca="false">IF($A425="","",COUNTIFS($A$3:$A425,$A425))</f>
        <v/>
      </c>
      <c r="L425" s="17" t="str">
        <f aca="false">IF($A425="","",TEXT($A425,"yyyymmdd")&amp;"|"&amp;$K425)</f>
        <v/>
      </c>
    </row>
    <row r="426" customFormat="false" ht="15" hidden="false" customHeight="true" outlineLevel="0" collapsed="false">
      <c r="A426" s="15"/>
      <c r="B426" s="10"/>
      <c r="C426" s="10"/>
      <c r="D426" s="10"/>
      <c r="E426" s="10"/>
      <c r="F426" s="11"/>
      <c r="G426" s="10"/>
      <c r="H426" s="10"/>
      <c r="I426" s="16" t="str">
        <f aca="false">IF(OR($A426="",$F426=""),"",IF($B426="입금",$F426,0))</f>
        <v/>
      </c>
      <c r="J426" s="16" t="str">
        <f aca="false">IF(OR($A426="",$F426=""),"",IF($B426="출금",$F426,0))</f>
        <v/>
      </c>
      <c r="K426" s="17" t="str">
        <f aca="false">IF($A426="","",COUNTIFS($A$3:$A426,$A426))</f>
        <v/>
      </c>
      <c r="L426" s="17" t="str">
        <f aca="false">IF($A426="","",TEXT($A426,"yyyymmdd")&amp;"|"&amp;$K426)</f>
        <v/>
      </c>
    </row>
    <row r="427" customFormat="false" ht="15" hidden="false" customHeight="true" outlineLevel="0" collapsed="false">
      <c r="A427" s="15"/>
      <c r="B427" s="10"/>
      <c r="C427" s="10"/>
      <c r="D427" s="10"/>
      <c r="E427" s="10"/>
      <c r="F427" s="11"/>
      <c r="G427" s="10"/>
      <c r="H427" s="10"/>
      <c r="I427" s="16" t="str">
        <f aca="false">IF(OR($A427="",$F427=""),"",IF($B427="입금",$F427,0))</f>
        <v/>
      </c>
      <c r="J427" s="16" t="str">
        <f aca="false">IF(OR($A427="",$F427=""),"",IF($B427="출금",$F427,0))</f>
        <v/>
      </c>
      <c r="K427" s="17" t="str">
        <f aca="false">IF($A427="","",COUNTIFS($A$3:$A427,$A427))</f>
        <v/>
      </c>
      <c r="L427" s="17" t="str">
        <f aca="false">IF($A427="","",TEXT($A427,"yyyymmdd")&amp;"|"&amp;$K427)</f>
        <v/>
      </c>
    </row>
    <row r="428" customFormat="false" ht="15" hidden="false" customHeight="true" outlineLevel="0" collapsed="false">
      <c r="A428" s="15"/>
      <c r="B428" s="10"/>
      <c r="C428" s="10"/>
      <c r="D428" s="10"/>
      <c r="E428" s="10"/>
      <c r="F428" s="11"/>
      <c r="G428" s="10"/>
      <c r="H428" s="10"/>
      <c r="I428" s="16" t="str">
        <f aca="false">IF(OR($A428="",$F428=""),"",IF($B428="입금",$F428,0))</f>
        <v/>
      </c>
      <c r="J428" s="16" t="str">
        <f aca="false">IF(OR($A428="",$F428=""),"",IF($B428="출금",$F428,0))</f>
        <v/>
      </c>
      <c r="K428" s="17" t="str">
        <f aca="false">IF($A428="","",COUNTIFS($A$3:$A428,$A428))</f>
        <v/>
      </c>
      <c r="L428" s="17" t="str">
        <f aca="false">IF($A428="","",TEXT($A428,"yyyymmdd")&amp;"|"&amp;$K428)</f>
        <v/>
      </c>
    </row>
    <row r="429" customFormat="false" ht="15" hidden="false" customHeight="true" outlineLevel="0" collapsed="false">
      <c r="A429" s="15"/>
      <c r="B429" s="10"/>
      <c r="C429" s="10"/>
      <c r="D429" s="10"/>
      <c r="E429" s="10"/>
      <c r="F429" s="11"/>
      <c r="G429" s="10"/>
      <c r="H429" s="10"/>
      <c r="I429" s="16" t="str">
        <f aca="false">IF(OR($A429="",$F429=""),"",IF($B429="입금",$F429,0))</f>
        <v/>
      </c>
      <c r="J429" s="16" t="str">
        <f aca="false">IF(OR($A429="",$F429=""),"",IF($B429="출금",$F429,0))</f>
        <v/>
      </c>
      <c r="K429" s="17" t="str">
        <f aca="false">IF($A429="","",COUNTIFS($A$3:$A429,$A429))</f>
        <v/>
      </c>
      <c r="L429" s="17" t="str">
        <f aca="false">IF($A429="","",TEXT($A429,"yyyymmdd")&amp;"|"&amp;$K429)</f>
        <v/>
      </c>
    </row>
    <row r="430" customFormat="false" ht="15" hidden="false" customHeight="true" outlineLevel="0" collapsed="false">
      <c r="A430" s="15"/>
      <c r="B430" s="10"/>
      <c r="C430" s="10"/>
      <c r="D430" s="10"/>
      <c r="E430" s="10"/>
      <c r="F430" s="11"/>
      <c r="G430" s="10"/>
      <c r="H430" s="10"/>
      <c r="I430" s="16" t="str">
        <f aca="false">IF(OR($A430="",$F430=""),"",IF($B430="입금",$F430,0))</f>
        <v/>
      </c>
      <c r="J430" s="16" t="str">
        <f aca="false">IF(OR($A430="",$F430=""),"",IF($B430="출금",$F430,0))</f>
        <v/>
      </c>
      <c r="K430" s="17" t="str">
        <f aca="false">IF($A430="","",COUNTIFS($A$3:$A430,$A430))</f>
        <v/>
      </c>
      <c r="L430" s="17" t="str">
        <f aca="false">IF($A430="","",TEXT($A430,"yyyymmdd")&amp;"|"&amp;$K430)</f>
        <v/>
      </c>
    </row>
    <row r="431" customFormat="false" ht="15" hidden="false" customHeight="true" outlineLevel="0" collapsed="false">
      <c r="A431" s="15"/>
      <c r="B431" s="10"/>
      <c r="C431" s="10"/>
      <c r="D431" s="10"/>
      <c r="E431" s="10"/>
      <c r="F431" s="11"/>
      <c r="G431" s="10"/>
      <c r="H431" s="10"/>
      <c r="I431" s="16" t="str">
        <f aca="false">IF(OR($A431="",$F431=""),"",IF($B431="입금",$F431,0))</f>
        <v/>
      </c>
      <c r="J431" s="16" t="str">
        <f aca="false">IF(OR($A431="",$F431=""),"",IF($B431="출금",$F431,0))</f>
        <v/>
      </c>
      <c r="K431" s="17" t="str">
        <f aca="false">IF($A431="","",COUNTIFS($A$3:$A431,$A431))</f>
        <v/>
      </c>
      <c r="L431" s="17" t="str">
        <f aca="false">IF($A431="","",TEXT($A431,"yyyymmdd")&amp;"|"&amp;$K431)</f>
        <v/>
      </c>
    </row>
    <row r="432" customFormat="false" ht="15" hidden="false" customHeight="true" outlineLevel="0" collapsed="false">
      <c r="A432" s="15"/>
      <c r="B432" s="10"/>
      <c r="C432" s="10"/>
      <c r="D432" s="10"/>
      <c r="E432" s="10"/>
      <c r="F432" s="11"/>
      <c r="G432" s="10"/>
      <c r="H432" s="10"/>
      <c r="I432" s="16" t="str">
        <f aca="false">IF(OR($A432="",$F432=""),"",IF($B432="입금",$F432,0))</f>
        <v/>
      </c>
      <c r="J432" s="16" t="str">
        <f aca="false">IF(OR($A432="",$F432=""),"",IF($B432="출금",$F432,0))</f>
        <v/>
      </c>
      <c r="K432" s="17" t="str">
        <f aca="false">IF($A432="","",COUNTIFS($A$3:$A432,$A432))</f>
        <v/>
      </c>
      <c r="L432" s="17" t="str">
        <f aca="false">IF($A432="","",TEXT($A432,"yyyymmdd")&amp;"|"&amp;$K432)</f>
        <v/>
      </c>
    </row>
    <row r="433" customFormat="false" ht="15" hidden="false" customHeight="true" outlineLevel="0" collapsed="false">
      <c r="A433" s="15"/>
      <c r="B433" s="10"/>
      <c r="C433" s="10"/>
      <c r="D433" s="10"/>
      <c r="E433" s="10"/>
      <c r="F433" s="11"/>
      <c r="G433" s="10"/>
      <c r="H433" s="10"/>
      <c r="I433" s="16" t="str">
        <f aca="false">IF(OR($A433="",$F433=""),"",IF($B433="입금",$F433,0))</f>
        <v/>
      </c>
      <c r="J433" s="16" t="str">
        <f aca="false">IF(OR($A433="",$F433=""),"",IF($B433="출금",$F433,0))</f>
        <v/>
      </c>
      <c r="K433" s="17" t="str">
        <f aca="false">IF($A433="","",COUNTIFS($A$3:$A433,$A433))</f>
        <v/>
      </c>
      <c r="L433" s="17" t="str">
        <f aca="false">IF($A433="","",TEXT($A433,"yyyymmdd")&amp;"|"&amp;$K433)</f>
        <v/>
      </c>
    </row>
    <row r="434" customFormat="false" ht="15" hidden="false" customHeight="true" outlineLevel="0" collapsed="false">
      <c r="A434" s="15"/>
      <c r="B434" s="10"/>
      <c r="C434" s="10"/>
      <c r="D434" s="10"/>
      <c r="E434" s="10"/>
      <c r="F434" s="11"/>
      <c r="G434" s="10"/>
      <c r="H434" s="10"/>
      <c r="I434" s="16" t="str">
        <f aca="false">IF(OR($A434="",$F434=""),"",IF($B434="입금",$F434,0))</f>
        <v/>
      </c>
      <c r="J434" s="16" t="str">
        <f aca="false">IF(OR($A434="",$F434=""),"",IF($B434="출금",$F434,0))</f>
        <v/>
      </c>
      <c r="K434" s="17" t="str">
        <f aca="false">IF($A434="","",COUNTIFS($A$3:$A434,$A434))</f>
        <v/>
      </c>
      <c r="L434" s="17" t="str">
        <f aca="false">IF($A434="","",TEXT($A434,"yyyymmdd")&amp;"|"&amp;$K434)</f>
        <v/>
      </c>
    </row>
    <row r="435" customFormat="false" ht="15" hidden="false" customHeight="true" outlineLevel="0" collapsed="false">
      <c r="A435" s="15"/>
      <c r="B435" s="10"/>
      <c r="C435" s="10"/>
      <c r="D435" s="10"/>
      <c r="E435" s="10"/>
      <c r="F435" s="11"/>
      <c r="G435" s="10"/>
      <c r="H435" s="10"/>
      <c r="I435" s="16" t="str">
        <f aca="false">IF(OR($A435="",$F435=""),"",IF($B435="입금",$F435,0))</f>
        <v/>
      </c>
      <c r="J435" s="16" t="str">
        <f aca="false">IF(OR($A435="",$F435=""),"",IF($B435="출금",$F435,0))</f>
        <v/>
      </c>
      <c r="K435" s="17" t="str">
        <f aca="false">IF($A435="","",COUNTIFS($A$3:$A435,$A435))</f>
        <v/>
      </c>
      <c r="L435" s="17" t="str">
        <f aca="false">IF($A435="","",TEXT($A435,"yyyymmdd")&amp;"|"&amp;$K435)</f>
        <v/>
      </c>
    </row>
    <row r="436" customFormat="false" ht="15" hidden="false" customHeight="true" outlineLevel="0" collapsed="false">
      <c r="A436" s="15"/>
      <c r="B436" s="10"/>
      <c r="C436" s="10"/>
      <c r="D436" s="10"/>
      <c r="E436" s="10"/>
      <c r="F436" s="11"/>
      <c r="G436" s="10"/>
      <c r="H436" s="10"/>
      <c r="I436" s="16" t="str">
        <f aca="false">IF(OR($A436="",$F436=""),"",IF($B436="입금",$F436,0))</f>
        <v/>
      </c>
      <c r="J436" s="16" t="str">
        <f aca="false">IF(OR($A436="",$F436=""),"",IF($B436="출금",$F436,0))</f>
        <v/>
      </c>
      <c r="K436" s="17" t="str">
        <f aca="false">IF($A436="","",COUNTIFS($A$3:$A436,$A436))</f>
        <v/>
      </c>
      <c r="L436" s="17" t="str">
        <f aca="false">IF($A436="","",TEXT($A436,"yyyymmdd")&amp;"|"&amp;$K436)</f>
        <v/>
      </c>
    </row>
    <row r="437" customFormat="false" ht="15" hidden="false" customHeight="true" outlineLevel="0" collapsed="false">
      <c r="A437" s="15"/>
      <c r="B437" s="10"/>
      <c r="C437" s="10"/>
      <c r="D437" s="10"/>
      <c r="E437" s="10"/>
      <c r="F437" s="11"/>
      <c r="G437" s="10"/>
      <c r="H437" s="10"/>
      <c r="I437" s="16" t="str">
        <f aca="false">IF(OR($A437="",$F437=""),"",IF($B437="입금",$F437,0))</f>
        <v/>
      </c>
      <c r="J437" s="16" t="str">
        <f aca="false">IF(OR($A437="",$F437=""),"",IF($B437="출금",$F437,0))</f>
        <v/>
      </c>
      <c r="K437" s="17" t="str">
        <f aca="false">IF($A437="","",COUNTIFS($A$3:$A437,$A437))</f>
        <v/>
      </c>
      <c r="L437" s="17" t="str">
        <f aca="false">IF($A437="","",TEXT($A437,"yyyymmdd")&amp;"|"&amp;$K437)</f>
        <v/>
      </c>
    </row>
    <row r="438" customFormat="false" ht="15" hidden="false" customHeight="true" outlineLevel="0" collapsed="false">
      <c r="A438" s="15"/>
      <c r="B438" s="10"/>
      <c r="C438" s="10"/>
      <c r="D438" s="10"/>
      <c r="E438" s="10"/>
      <c r="F438" s="11"/>
      <c r="G438" s="10"/>
      <c r="H438" s="10"/>
      <c r="I438" s="16" t="str">
        <f aca="false">IF(OR($A438="",$F438=""),"",IF($B438="입금",$F438,0))</f>
        <v/>
      </c>
      <c r="J438" s="16" t="str">
        <f aca="false">IF(OR($A438="",$F438=""),"",IF($B438="출금",$F438,0))</f>
        <v/>
      </c>
      <c r="K438" s="17" t="str">
        <f aca="false">IF($A438="","",COUNTIFS($A$3:$A438,$A438))</f>
        <v/>
      </c>
      <c r="L438" s="17" t="str">
        <f aca="false">IF($A438="","",TEXT($A438,"yyyymmdd")&amp;"|"&amp;$K438)</f>
        <v/>
      </c>
    </row>
    <row r="439" customFormat="false" ht="15" hidden="false" customHeight="true" outlineLevel="0" collapsed="false">
      <c r="A439" s="15"/>
      <c r="B439" s="10"/>
      <c r="C439" s="10"/>
      <c r="D439" s="10"/>
      <c r="E439" s="10"/>
      <c r="F439" s="11"/>
      <c r="G439" s="10"/>
      <c r="H439" s="10"/>
      <c r="I439" s="16" t="str">
        <f aca="false">IF(OR($A439="",$F439=""),"",IF($B439="입금",$F439,0))</f>
        <v/>
      </c>
      <c r="J439" s="16" t="str">
        <f aca="false">IF(OR($A439="",$F439=""),"",IF($B439="출금",$F439,0))</f>
        <v/>
      </c>
      <c r="K439" s="17" t="str">
        <f aca="false">IF($A439="","",COUNTIFS($A$3:$A439,$A439))</f>
        <v/>
      </c>
      <c r="L439" s="17" t="str">
        <f aca="false">IF($A439="","",TEXT($A439,"yyyymmdd")&amp;"|"&amp;$K439)</f>
        <v/>
      </c>
    </row>
    <row r="440" customFormat="false" ht="15" hidden="false" customHeight="true" outlineLevel="0" collapsed="false">
      <c r="A440" s="15"/>
      <c r="B440" s="10"/>
      <c r="C440" s="10"/>
      <c r="D440" s="10"/>
      <c r="E440" s="10"/>
      <c r="F440" s="11"/>
      <c r="G440" s="10"/>
      <c r="H440" s="10"/>
      <c r="I440" s="16" t="str">
        <f aca="false">IF(OR($A440="",$F440=""),"",IF($B440="입금",$F440,0))</f>
        <v/>
      </c>
      <c r="J440" s="16" t="str">
        <f aca="false">IF(OR($A440="",$F440=""),"",IF($B440="출금",$F440,0))</f>
        <v/>
      </c>
      <c r="K440" s="17" t="str">
        <f aca="false">IF($A440="","",COUNTIFS($A$3:$A440,$A440))</f>
        <v/>
      </c>
      <c r="L440" s="17" t="str">
        <f aca="false">IF($A440="","",TEXT($A440,"yyyymmdd")&amp;"|"&amp;$K440)</f>
        <v/>
      </c>
    </row>
    <row r="441" customFormat="false" ht="15" hidden="false" customHeight="true" outlineLevel="0" collapsed="false">
      <c r="A441" s="15"/>
      <c r="B441" s="10"/>
      <c r="C441" s="10"/>
      <c r="D441" s="10"/>
      <c r="E441" s="10"/>
      <c r="F441" s="11"/>
      <c r="G441" s="10"/>
      <c r="H441" s="10"/>
      <c r="I441" s="16" t="str">
        <f aca="false">IF(OR($A441="",$F441=""),"",IF($B441="입금",$F441,0))</f>
        <v/>
      </c>
      <c r="J441" s="16" t="str">
        <f aca="false">IF(OR($A441="",$F441=""),"",IF($B441="출금",$F441,0))</f>
        <v/>
      </c>
      <c r="K441" s="17" t="str">
        <f aca="false">IF($A441="","",COUNTIFS($A$3:$A441,$A441))</f>
        <v/>
      </c>
      <c r="L441" s="17" t="str">
        <f aca="false">IF($A441="","",TEXT($A441,"yyyymmdd")&amp;"|"&amp;$K441)</f>
        <v/>
      </c>
    </row>
    <row r="442" customFormat="false" ht="15" hidden="false" customHeight="true" outlineLevel="0" collapsed="false">
      <c r="A442" s="15"/>
      <c r="B442" s="10"/>
      <c r="C442" s="10"/>
      <c r="D442" s="10"/>
      <c r="E442" s="10"/>
      <c r="F442" s="11"/>
      <c r="G442" s="10"/>
      <c r="H442" s="10"/>
      <c r="I442" s="16" t="str">
        <f aca="false">IF(OR($A442="",$F442=""),"",IF($B442="입금",$F442,0))</f>
        <v/>
      </c>
      <c r="J442" s="16" t="str">
        <f aca="false">IF(OR($A442="",$F442=""),"",IF($B442="출금",$F442,0))</f>
        <v/>
      </c>
      <c r="K442" s="17" t="str">
        <f aca="false">IF($A442="","",COUNTIFS($A$3:$A442,$A442))</f>
        <v/>
      </c>
      <c r="L442" s="17" t="str">
        <f aca="false">IF($A442="","",TEXT($A442,"yyyymmdd")&amp;"|"&amp;$K442)</f>
        <v/>
      </c>
    </row>
    <row r="443" customFormat="false" ht="15" hidden="false" customHeight="true" outlineLevel="0" collapsed="false">
      <c r="A443" s="15"/>
      <c r="B443" s="10"/>
      <c r="C443" s="10"/>
      <c r="D443" s="10"/>
      <c r="E443" s="10"/>
      <c r="F443" s="11"/>
      <c r="G443" s="10"/>
      <c r="H443" s="10"/>
      <c r="I443" s="16" t="str">
        <f aca="false">IF(OR($A443="",$F443=""),"",IF($B443="입금",$F443,0))</f>
        <v/>
      </c>
      <c r="J443" s="16" t="str">
        <f aca="false">IF(OR($A443="",$F443=""),"",IF($B443="출금",$F443,0))</f>
        <v/>
      </c>
      <c r="K443" s="17" t="str">
        <f aca="false">IF($A443="","",COUNTIFS($A$3:$A443,$A443))</f>
        <v/>
      </c>
      <c r="L443" s="17" t="str">
        <f aca="false">IF($A443="","",TEXT($A443,"yyyymmdd")&amp;"|"&amp;$K443)</f>
        <v/>
      </c>
    </row>
    <row r="444" customFormat="false" ht="15" hidden="false" customHeight="true" outlineLevel="0" collapsed="false">
      <c r="A444" s="15"/>
      <c r="B444" s="10"/>
      <c r="C444" s="10"/>
      <c r="D444" s="10"/>
      <c r="E444" s="10"/>
      <c r="F444" s="11"/>
      <c r="G444" s="10"/>
      <c r="H444" s="10"/>
      <c r="I444" s="16" t="str">
        <f aca="false">IF(OR($A444="",$F444=""),"",IF($B444="입금",$F444,0))</f>
        <v/>
      </c>
      <c r="J444" s="16" t="str">
        <f aca="false">IF(OR($A444="",$F444=""),"",IF($B444="출금",$F444,0))</f>
        <v/>
      </c>
      <c r="K444" s="17" t="str">
        <f aca="false">IF($A444="","",COUNTIFS($A$3:$A444,$A444))</f>
        <v/>
      </c>
      <c r="L444" s="17" t="str">
        <f aca="false">IF($A444="","",TEXT($A444,"yyyymmdd")&amp;"|"&amp;$K444)</f>
        <v/>
      </c>
    </row>
    <row r="445" customFormat="false" ht="15" hidden="false" customHeight="true" outlineLevel="0" collapsed="false">
      <c r="A445" s="15"/>
      <c r="B445" s="10"/>
      <c r="C445" s="10"/>
      <c r="D445" s="10"/>
      <c r="E445" s="10"/>
      <c r="F445" s="11"/>
      <c r="G445" s="10"/>
      <c r="H445" s="10"/>
      <c r="I445" s="16" t="str">
        <f aca="false">IF(OR($A445="",$F445=""),"",IF($B445="입금",$F445,0))</f>
        <v/>
      </c>
      <c r="J445" s="16" t="str">
        <f aca="false">IF(OR($A445="",$F445=""),"",IF($B445="출금",$F445,0))</f>
        <v/>
      </c>
      <c r="K445" s="17" t="str">
        <f aca="false">IF($A445="","",COUNTIFS($A$3:$A445,$A445))</f>
        <v/>
      </c>
      <c r="L445" s="17" t="str">
        <f aca="false">IF($A445="","",TEXT($A445,"yyyymmdd")&amp;"|"&amp;$K445)</f>
        <v/>
      </c>
    </row>
    <row r="446" customFormat="false" ht="15" hidden="false" customHeight="true" outlineLevel="0" collapsed="false">
      <c r="A446" s="15"/>
      <c r="B446" s="10"/>
      <c r="C446" s="10"/>
      <c r="D446" s="10"/>
      <c r="E446" s="10"/>
      <c r="F446" s="11"/>
      <c r="G446" s="10"/>
      <c r="H446" s="10"/>
      <c r="I446" s="16" t="str">
        <f aca="false">IF(OR($A446="",$F446=""),"",IF($B446="입금",$F446,0))</f>
        <v/>
      </c>
      <c r="J446" s="16" t="str">
        <f aca="false">IF(OR($A446="",$F446=""),"",IF($B446="출금",$F446,0))</f>
        <v/>
      </c>
      <c r="K446" s="17" t="str">
        <f aca="false">IF($A446="","",COUNTIFS($A$3:$A446,$A446))</f>
        <v/>
      </c>
      <c r="L446" s="17" t="str">
        <f aca="false">IF($A446="","",TEXT($A446,"yyyymmdd")&amp;"|"&amp;$K446)</f>
        <v/>
      </c>
    </row>
    <row r="447" customFormat="false" ht="15" hidden="false" customHeight="true" outlineLevel="0" collapsed="false">
      <c r="A447" s="15"/>
      <c r="B447" s="10"/>
      <c r="C447" s="10"/>
      <c r="D447" s="10"/>
      <c r="E447" s="10"/>
      <c r="F447" s="11"/>
      <c r="G447" s="10"/>
      <c r="H447" s="10"/>
      <c r="I447" s="16" t="str">
        <f aca="false">IF(OR($A447="",$F447=""),"",IF($B447="입금",$F447,0))</f>
        <v/>
      </c>
      <c r="J447" s="16" t="str">
        <f aca="false">IF(OR($A447="",$F447=""),"",IF($B447="출금",$F447,0))</f>
        <v/>
      </c>
      <c r="K447" s="17" t="str">
        <f aca="false">IF($A447="","",COUNTIFS($A$3:$A447,$A447))</f>
        <v/>
      </c>
      <c r="L447" s="17" t="str">
        <f aca="false">IF($A447="","",TEXT($A447,"yyyymmdd")&amp;"|"&amp;$K447)</f>
        <v/>
      </c>
    </row>
    <row r="448" customFormat="false" ht="15" hidden="false" customHeight="true" outlineLevel="0" collapsed="false">
      <c r="A448" s="15"/>
      <c r="B448" s="10"/>
      <c r="C448" s="10"/>
      <c r="D448" s="10"/>
      <c r="E448" s="10"/>
      <c r="F448" s="11"/>
      <c r="G448" s="10"/>
      <c r="H448" s="10"/>
      <c r="I448" s="16" t="str">
        <f aca="false">IF(OR($A448="",$F448=""),"",IF($B448="입금",$F448,0))</f>
        <v/>
      </c>
      <c r="J448" s="16" t="str">
        <f aca="false">IF(OR($A448="",$F448=""),"",IF($B448="출금",$F448,0))</f>
        <v/>
      </c>
      <c r="K448" s="17" t="str">
        <f aca="false">IF($A448="","",COUNTIFS($A$3:$A448,$A448))</f>
        <v/>
      </c>
      <c r="L448" s="17" t="str">
        <f aca="false">IF($A448="","",TEXT($A448,"yyyymmdd")&amp;"|"&amp;$K448)</f>
        <v/>
      </c>
    </row>
    <row r="449" customFormat="false" ht="15" hidden="false" customHeight="true" outlineLevel="0" collapsed="false">
      <c r="A449" s="15"/>
      <c r="B449" s="10"/>
      <c r="C449" s="10"/>
      <c r="D449" s="10"/>
      <c r="E449" s="10"/>
      <c r="F449" s="11"/>
      <c r="G449" s="10"/>
      <c r="H449" s="10"/>
      <c r="I449" s="16" t="str">
        <f aca="false">IF(OR($A449="",$F449=""),"",IF($B449="입금",$F449,0))</f>
        <v/>
      </c>
      <c r="J449" s="16" t="str">
        <f aca="false">IF(OR($A449="",$F449=""),"",IF($B449="출금",$F449,0))</f>
        <v/>
      </c>
      <c r="K449" s="17" t="str">
        <f aca="false">IF($A449="","",COUNTIFS($A$3:$A449,$A449))</f>
        <v/>
      </c>
      <c r="L449" s="17" t="str">
        <f aca="false">IF($A449="","",TEXT($A449,"yyyymmdd")&amp;"|"&amp;$K449)</f>
        <v/>
      </c>
    </row>
    <row r="450" customFormat="false" ht="15" hidden="false" customHeight="true" outlineLevel="0" collapsed="false">
      <c r="A450" s="15"/>
      <c r="B450" s="10"/>
      <c r="C450" s="10"/>
      <c r="D450" s="10"/>
      <c r="E450" s="10"/>
      <c r="F450" s="11"/>
      <c r="G450" s="10"/>
      <c r="H450" s="10"/>
      <c r="I450" s="16" t="str">
        <f aca="false">IF(OR($A450="",$F450=""),"",IF($B450="입금",$F450,0))</f>
        <v/>
      </c>
      <c r="J450" s="16" t="str">
        <f aca="false">IF(OR($A450="",$F450=""),"",IF($B450="출금",$F450,0))</f>
        <v/>
      </c>
      <c r="K450" s="17" t="str">
        <f aca="false">IF($A450="","",COUNTIFS($A$3:$A450,$A450))</f>
        <v/>
      </c>
      <c r="L450" s="17" t="str">
        <f aca="false">IF($A450="","",TEXT($A450,"yyyymmdd")&amp;"|"&amp;$K450)</f>
        <v/>
      </c>
    </row>
    <row r="451" customFormat="false" ht="15" hidden="false" customHeight="true" outlineLevel="0" collapsed="false">
      <c r="A451" s="15"/>
      <c r="B451" s="10"/>
      <c r="C451" s="10"/>
      <c r="D451" s="10"/>
      <c r="E451" s="10"/>
      <c r="F451" s="11"/>
      <c r="G451" s="10"/>
      <c r="H451" s="10"/>
      <c r="I451" s="16" t="str">
        <f aca="false">IF(OR($A451="",$F451=""),"",IF($B451="입금",$F451,0))</f>
        <v/>
      </c>
      <c r="J451" s="16" t="str">
        <f aca="false">IF(OR($A451="",$F451=""),"",IF($B451="출금",$F451,0))</f>
        <v/>
      </c>
      <c r="K451" s="17" t="str">
        <f aca="false">IF($A451="","",COUNTIFS($A$3:$A451,$A451))</f>
        <v/>
      </c>
      <c r="L451" s="17" t="str">
        <f aca="false">IF($A451="","",TEXT($A451,"yyyymmdd")&amp;"|"&amp;$K451)</f>
        <v/>
      </c>
    </row>
    <row r="452" customFormat="false" ht="15" hidden="false" customHeight="true" outlineLevel="0" collapsed="false">
      <c r="A452" s="15"/>
      <c r="B452" s="10"/>
      <c r="C452" s="10"/>
      <c r="D452" s="10"/>
      <c r="E452" s="10"/>
      <c r="F452" s="11"/>
      <c r="G452" s="10"/>
      <c r="H452" s="10"/>
      <c r="I452" s="16" t="str">
        <f aca="false">IF(OR($A452="",$F452=""),"",IF($B452="입금",$F452,0))</f>
        <v/>
      </c>
      <c r="J452" s="16" t="str">
        <f aca="false">IF(OR($A452="",$F452=""),"",IF($B452="출금",$F452,0))</f>
        <v/>
      </c>
      <c r="K452" s="17" t="str">
        <f aca="false">IF($A452="","",COUNTIFS($A$3:$A452,$A452))</f>
        <v/>
      </c>
      <c r="L452" s="17" t="str">
        <f aca="false">IF($A452="","",TEXT($A452,"yyyymmdd")&amp;"|"&amp;$K452)</f>
        <v/>
      </c>
    </row>
    <row r="453" customFormat="false" ht="15" hidden="false" customHeight="true" outlineLevel="0" collapsed="false">
      <c r="A453" s="15"/>
      <c r="B453" s="10"/>
      <c r="C453" s="10"/>
      <c r="D453" s="10"/>
      <c r="E453" s="10"/>
      <c r="F453" s="11"/>
      <c r="G453" s="10"/>
      <c r="H453" s="10"/>
      <c r="I453" s="16" t="str">
        <f aca="false">IF(OR($A453="",$F453=""),"",IF($B453="입금",$F453,0))</f>
        <v/>
      </c>
      <c r="J453" s="16" t="str">
        <f aca="false">IF(OR($A453="",$F453=""),"",IF($B453="출금",$F453,0))</f>
        <v/>
      </c>
      <c r="K453" s="17" t="str">
        <f aca="false">IF($A453="","",COUNTIFS($A$3:$A453,$A453))</f>
        <v/>
      </c>
      <c r="L453" s="17" t="str">
        <f aca="false">IF($A453="","",TEXT($A453,"yyyymmdd")&amp;"|"&amp;$K453)</f>
        <v/>
      </c>
    </row>
    <row r="454" customFormat="false" ht="15" hidden="false" customHeight="true" outlineLevel="0" collapsed="false">
      <c r="A454" s="15"/>
      <c r="B454" s="10"/>
      <c r="C454" s="10"/>
      <c r="D454" s="10"/>
      <c r="E454" s="10"/>
      <c r="F454" s="11"/>
      <c r="G454" s="10"/>
      <c r="H454" s="10"/>
      <c r="I454" s="16" t="str">
        <f aca="false">IF(OR($A454="",$F454=""),"",IF($B454="입금",$F454,0))</f>
        <v/>
      </c>
      <c r="J454" s="16" t="str">
        <f aca="false">IF(OR($A454="",$F454=""),"",IF($B454="출금",$F454,0))</f>
        <v/>
      </c>
      <c r="K454" s="17" t="str">
        <f aca="false">IF($A454="","",COUNTIFS($A$3:$A454,$A454))</f>
        <v/>
      </c>
      <c r="L454" s="17" t="str">
        <f aca="false">IF($A454="","",TEXT($A454,"yyyymmdd")&amp;"|"&amp;$K454)</f>
        <v/>
      </c>
    </row>
    <row r="455" customFormat="false" ht="15" hidden="false" customHeight="true" outlineLevel="0" collapsed="false">
      <c r="A455" s="15"/>
      <c r="B455" s="10"/>
      <c r="C455" s="10"/>
      <c r="D455" s="10"/>
      <c r="E455" s="10"/>
      <c r="F455" s="11"/>
      <c r="G455" s="10"/>
      <c r="H455" s="10"/>
      <c r="I455" s="16" t="str">
        <f aca="false">IF(OR($A455="",$F455=""),"",IF($B455="입금",$F455,0))</f>
        <v/>
      </c>
      <c r="J455" s="16" t="str">
        <f aca="false">IF(OR($A455="",$F455=""),"",IF($B455="출금",$F455,0))</f>
        <v/>
      </c>
      <c r="K455" s="17" t="str">
        <f aca="false">IF($A455="","",COUNTIFS($A$3:$A455,$A455))</f>
        <v/>
      </c>
      <c r="L455" s="17" t="str">
        <f aca="false">IF($A455="","",TEXT($A455,"yyyymmdd")&amp;"|"&amp;$K455)</f>
        <v/>
      </c>
    </row>
    <row r="456" customFormat="false" ht="15" hidden="false" customHeight="true" outlineLevel="0" collapsed="false">
      <c r="A456" s="15"/>
      <c r="B456" s="10"/>
      <c r="C456" s="10"/>
      <c r="D456" s="10"/>
      <c r="E456" s="10"/>
      <c r="F456" s="11"/>
      <c r="G456" s="10"/>
      <c r="H456" s="10"/>
      <c r="I456" s="16" t="str">
        <f aca="false">IF(OR($A456="",$F456=""),"",IF($B456="입금",$F456,0))</f>
        <v/>
      </c>
      <c r="J456" s="16" t="str">
        <f aca="false">IF(OR($A456="",$F456=""),"",IF($B456="출금",$F456,0))</f>
        <v/>
      </c>
      <c r="K456" s="17" t="str">
        <f aca="false">IF($A456="","",COUNTIFS($A$3:$A456,$A456))</f>
        <v/>
      </c>
      <c r="L456" s="17" t="str">
        <f aca="false">IF($A456="","",TEXT($A456,"yyyymmdd")&amp;"|"&amp;$K456)</f>
        <v/>
      </c>
    </row>
    <row r="457" customFormat="false" ht="15" hidden="false" customHeight="true" outlineLevel="0" collapsed="false">
      <c r="A457" s="15"/>
      <c r="B457" s="10"/>
      <c r="C457" s="10"/>
      <c r="D457" s="10"/>
      <c r="E457" s="10"/>
      <c r="F457" s="11"/>
      <c r="G457" s="10"/>
      <c r="H457" s="10"/>
      <c r="I457" s="16" t="str">
        <f aca="false">IF(OR($A457="",$F457=""),"",IF($B457="입금",$F457,0))</f>
        <v/>
      </c>
      <c r="J457" s="16" t="str">
        <f aca="false">IF(OR($A457="",$F457=""),"",IF($B457="출금",$F457,0))</f>
        <v/>
      </c>
      <c r="K457" s="17" t="str">
        <f aca="false">IF($A457="","",COUNTIFS($A$3:$A457,$A457))</f>
        <v/>
      </c>
      <c r="L457" s="17" t="str">
        <f aca="false">IF($A457="","",TEXT($A457,"yyyymmdd")&amp;"|"&amp;$K457)</f>
        <v/>
      </c>
    </row>
    <row r="458" customFormat="false" ht="15" hidden="false" customHeight="true" outlineLevel="0" collapsed="false">
      <c r="A458" s="15"/>
      <c r="B458" s="10"/>
      <c r="C458" s="10"/>
      <c r="D458" s="10"/>
      <c r="E458" s="10"/>
      <c r="F458" s="11"/>
      <c r="G458" s="10"/>
      <c r="H458" s="10"/>
      <c r="I458" s="16" t="str">
        <f aca="false">IF(OR($A458="",$F458=""),"",IF($B458="입금",$F458,0))</f>
        <v/>
      </c>
      <c r="J458" s="16" t="str">
        <f aca="false">IF(OR($A458="",$F458=""),"",IF($B458="출금",$F458,0))</f>
        <v/>
      </c>
      <c r="K458" s="17" t="str">
        <f aca="false">IF($A458="","",COUNTIFS($A$3:$A458,$A458))</f>
        <v/>
      </c>
      <c r="L458" s="17" t="str">
        <f aca="false">IF($A458="","",TEXT($A458,"yyyymmdd")&amp;"|"&amp;$K458)</f>
        <v/>
      </c>
    </row>
    <row r="459" customFormat="false" ht="15" hidden="false" customHeight="true" outlineLevel="0" collapsed="false">
      <c r="A459" s="15"/>
      <c r="B459" s="10"/>
      <c r="C459" s="10"/>
      <c r="D459" s="10"/>
      <c r="E459" s="10"/>
      <c r="F459" s="11"/>
      <c r="G459" s="10"/>
      <c r="H459" s="10"/>
      <c r="I459" s="16" t="str">
        <f aca="false">IF(OR($A459="",$F459=""),"",IF($B459="입금",$F459,0))</f>
        <v/>
      </c>
      <c r="J459" s="16" t="str">
        <f aca="false">IF(OR($A459="",$F459=""),"",IF($B459="출금",$F459,0))</f>
        <v/>
      </c>
      <c r="K459" s="17" t="str">
        <f aca="false">IF($A459="","",COUNTIFS($A$3:$A459,$A459))</f>
        <v/>
      </c>
      <c r="L459" s="17" t="str">
        <f aca="false">IF($A459="","",TEXT($A459,"yyyymmdd")&amp;"|"&amp;$K459)</f>
        <v/>
      </c>
    </row>
    <row r="460" customFormat="false" ht="15" hidden="false" customHeight="true" outlineLevel="0" collapsed="false">
      <c r="A460" s="15"/>
      <c r="B460" s="10"/>
      <c r="C460" s="10"/>
      <c r="D460" s="10"/>
      <c r="E460" s="10"/>
      <c r="F460" s="11"/>
      <c r="G460" s="10"/>
      <c r="H460" s="10"/>
      <c r="I460" s="16" t="str">
        <f aca="false">IF(OR($A460="",$F460=""),"",IF($B460="입금",$F460,0))</f>
        <v/>
      </c>
      <c r="J460" s="16" t="str">
        <f aca="false">IF(OR($A460="",$F460=""),"",IF($B460="출금",$F460,0))</f>
        <v/>
      </c>
      <c r="K460" s="17" t="str">
        <f aca="false">IF($A460="","",COUNTIFS($A$3:$A460,$A460))</f>
        <v/>
      </c>
      <c r="L460" s="17" t="str">
        <f aca="false">IF($A460="","",TEXT($A460,"yyyymmdd")&amp;"|"&amp;$K460)</f>
        <v/>
      </c>
    </row>
    <row r="461" customFormat="false" ht="15" hidden="false" customHeight="true" outlineLevel="0" collapsed="false">
      <c r="A461" s="15"/>
      <c r="B461" s="10"/>
      <c r="C461" s="10"/>
      <c r="D461" s="10"/>
      <c r="E461" s="10"/>
      <c r="F461" s="11"/>
      <c r="G461" s="10"/>
      <c r="H461" s="10"/>
      <c r="I461" s="16" t="str">
        <f aca="false">IF(OR($A461="",$F461=""),"",IF($B461="입금",$F461,0))</f>
        <v/>
      </c>
      <c r="J461" s="16" t="str">
        <f aca="false">IF(OR($A461="",$F461=""),"",IF($B461="출금",$F461,0))</f>
        <v/>
      </c>
      <c r="K461" s="17" t="str">
        <f aca="false">IF($A461="","",COUNTIFS($A$3:$A461,$A461))</f>
        <v/>
      </c>
      <c r="L461" s="17" t="str">
        <f aca="false">IF($A461="","",TEXT($A461,"yyyymmdd")&amp;"|"&amp;$K461)</f>
        <v/>
      </c>
    </row>
    <row r="462" customFormat="false" ht="15" hidden="false" customHeight="true" outlineLevel="0" collapsed="false">
      <c r="A462" s="15"/>
      <c r="B462" s="10"/>
      <c r="C462" s="10"/>
      <c r="D462" s="10"/>
      <c r="E462" s="10"/>
      <c r="F462" s="11"/>
      <c r="G462" s="10"/>
      <c r="H462" s="10"/>
      <c r="I462" s="16" t="str">
        <f aca="false">IF(OR($A462="",$F462=""),"",IF($B462="입금",$F462,0))</f>
        <v/>
      </c>
      <c r="J462" s="16" t="str">
        <f aca="false">IF(OR($A462="",$F462=""),"",IF($B462="출금",$F462,0))</f>
        <v/>
      </c>
      <c r="K462" s="17" t="str">
        <f aca="false">IF($A462="","",COUNTIFS($A$3:$A462,$A462))</f>
        <v/>
      </c>
      <c r="L462" s="17" t="str">
        <f aca="false">IF($A462="","",TEXT($A462,"yyyymmdd")&amp;"|"&amp;$K462)</f>
        <v/>
      </c>
    </row>
    <row r="463" customFormat="false" ht="15" hidden="false" customHeight="true" outlineLevel="0" collapsed="false">
      <c r="A463" s="15"/>
      <c r="B463" s="10"/>
      <c r="C463" s="10"/>
      <c r="D463" s="10"/>
      <c r="E463" s="10"/>
      <c r="F463" s="11"/>
      <c r="G463" s="10"/>
      <c r="H463" s="10"/>
      <c r="I463" s="16" t="str">
        <f aca="false">IF(OR($A463="",$F463=""),"",IF($B463="입금",$F463,0))</f>
        <v/>
      </c>
      <c r="J463" s="16" t="str">
        <f aca="false">IF(OR($A463="",$F463=""),"",IF($B463="출금",$F463,0))</f>
        <v/>
      </c>
      <c r="K463" s="17" t="str">
        <f aca="false">IF($A463="","",COUNTIFS($A$3:$A463,$A463))</f>
        <v/>
      </c>
      <c r="L463" s="17" t="str">
        <f aca="false">IF($A463="","",TEXT($A463,"yyyymmdd")&amp;"|"&amp;$K463)</f>
        <v/>
      </c>
    </row>
    <row r="464" customFormat="false" ht="15" hidden="false" customHeight="true" outlineLevel="0" collapsed="false">
      <c r="A464" s="15"/>
      <c r="B464" s="10"/>
      <c r="C464" s="10"/>
      <c r="D464" s="10"/>
      <c r="E464" s="10"/>
      <c r="F464" s="11"/>
      <c r="G464" s="10"/>
      <c r="H464" s="10"/>
      <c r="I464" s="16" t="str">
        <f aca="false">IF(OR($A464="",$F464=""),"",IF($B464="입금",$F464,0))</f>
        <v/>
      </c>
      <c r="J464" s="16" t="str">
        <f aca="false">IF(OR($A464="",$F464=""),"",IF($B464="출금",$F464,0))</f>
        <v/>
      </c>
      <c r="K464" s="17" t="str">
        <f aca="false">IF($A464="","",COUNTIFS($A$3:$A464,$A464))</f>
        <v/>
      </c>
      <c r="L464" s="17" t="str">
        <f aca="false">IF($A464="","",TEXT($A464,"yyyymmdd")&amp;"|"&amp;$K464)</f>
        <v/>
      </c>
    </row>
    <row r="465" customFormat="false" ht="15" hidden="false" customHeight="true" outlineLevel="0" collapsed="false">
      <c r="A465" s="15"/>
      <c r="B465" s="10"/>
      <c r="C465" s="10"/>
      <c r="D465" s="10"/>
      <c r="E465" s="10"/>
      <c r="F465" s="11"/>
      <c r="G465" s="10"/>
      <c r="H465" s="10"/>
      <c r="I465" s="16" t="str">
        <f aca="false">IF(OR($A465="",$F465=""),"",IF($B465="입금",$F465,0))</f>
        <v/>
      </c>
      <c r="J465" s="16" t="str">
        <f aca="false">IF(OR($A465="",$F465=""),"",IF($B465="출금",$F465,0))</f>
        <v/>
      </c>
      <c r="K465" s="17" t="str">
        <f aca="false">IF($A465="","",COUNTIFS($A$3:$A465,$A465))</f>
        <v/>
      </c>
      <c r="L465" s="17" t="str">
        <f aca="false">IF($A465="","",TEXT($A465,"yyyymmdd")&amp;"|"&amp;$K465)</f>
        <v/>
      </c>
    </row>
    <row r="466" customFormat="false" ht="15" hidden="false" customHeight="true" outlineLevel="0" collapsed="false">
      <c r="A466" s="15"/>
      <c r="B466" s="10"/>
      <c r="C466" s="10"/>
      <c r="D466" s="10"/>
      <c r="E466" s="10"/>
      <c r="F466" s="11"/>
      <c r="G466" s="10"/>
      <c r="H466" s="10"/>
      <c r="I466" s="16" t="str">
        <f aca="false">IF(OR($A466="",$F466=""),"",IF($B466="입금",$F466,0))</f>
        <v/>
      </c>
      <c r="J466" s="16" t="str">
        <f aca="false">IF(OR($A466="",$F466=""),"",IF($B466="출금",$F466,0))</f>
        <v/>
      </c>
      <c r="K466" s="17" t="str">
        <f aca="false">IF($A466="","",COUNTIFS($A$3:$A466,$A466))</f>
        <v/>
      </c>
      <c r="L466" s="17" t="str">
        <f aca="false">IF($A466="","",TEXT($A466,"yyyymmdd")&amp;"|"&amp;$K466)</f>
        <v/>
      </c>
    </row>
    <row r="467" customFormat="false" ht="15" hidden="false" customHeight="true" outlineLevel="0" collapsed="false">
      <c r="A467" s="15"/>
      <c r="B467" s="10"/>
      <c r="C467" s="10"/>
      <c r="D467" s="10"/>
      <c r="E467" s="10"/>
      <c r="F467" s="11"/>
      <c r="G467" s="10"/>
      <c r="H467" s="10"/>
      <c r="I467" s="16" t="str">
        <f aca="false">IF(OR($A467="",$F467=""),"",IF($B467="입금",$F467,0))</f>
        <v/>
      </c>
      <c r="J467" s="16" t="str">
        <f aca="false">IF(OR($A467="",$F467=""),"",IF($B467="출금",$F467,0))</f>
        <v/>
      </c>
      <c r="K467" s="17" t="str">
        <f aca="false">IF($A467="","",COUNTIFS($A$3:$A467,$A467))</f>
        <v/>
      </c>
      <c r="L467" s="17" t="str">
        <f aca="false">IF($A467="","",TEXT($A467,"yyyymmdd")&amp;"|"&amp;$K467)</f>
        <v/>
      </c>
    </row>
    <row r="468" customFormat="false" ht="15" hidden="false" customHeight="true" outlineLevel="0" collapsed="false">
      <c r="A468" s="15"/>
      <c r="B468" s="10"/>
      <c r="C468" s="10"/>
      <c r="D468" s="10"/>
      <c r="E468" s="10"/>
      <c r="F468" s="11"/>
      <c r="G468" s="10"/>
      <c r="H468" s="10"/>
      <c r="I468" s="16" t="str">
        <f aca="false">IF(OR($A468="",$F468=""),"",IF($B468="입금",$F468,0))</f>
        <v/>
      </c>
      <c r="J468" s="16" t="str">
        <f aca="false">IF(OR($A468="",$F468=""),"",IF($B468="출금",$F468,0))</f>
        <v/>
      </c>
      <c r="K468" s="17" t="str">
        <f aca="false">IF($A468="","",COUNTIFS($A$3:$A468,$A468))</f>
        <v/>
      </c>
      <c r="L468" s="17" t="str">
        <f aca="false">IF($A468="","",TEXT($A468,"yyyymmdd")&amp;"|"&amp;$K468)</f>
        <v/>
      </c>
    </row>
    <row r="469" customFormat="false" ht="15" hidden="false" customHeight="true" outlineLevel="0" collapsed="false">
      <c r="A469" s="15"/>
      <c r="B469" s="10"/>
      <c r="C469" s="10"/>
      <c r="D469" s="10"/>
      <c r="E469" s="10"/>
      <c r="F469" s="11"/>
      <c r="G469" s="10"/>
      <c r="H469" s="10"/>
      <c r="I469" s="16" t="str">
        <f aca="false">IF(OR($A469="",$F469=""),"",IF($B469="입금",$F469,0))</f>
        <v/>
      </c>
      <c r="J469" s="16" t="str">
        <f aca="false">IF(OR($A469="",$F469=""),"",IF($B469="출금",$F469,0))</f>
        <v/>
      </c>
      <c r="K469" s="17" t="str">
        <f aca="false">IF($A469="","",COUNTIFS($A$3:$A469,$A469))</f>
        <v/>
      </c>
      <c r="L469" s="17" t="str">
        <f aca="false">IF($A469="","",TEXT($A469,"yyyymmdd")&amp;"|"&amp;$K469)</f>
        <v/>
      </c>
    </row>
    <row r="470" customFormat="false" ht="15" hidden="false" customHeight="true" outlineLevel="0" collapsed="false">
      <c r="A470" s="15"/>
      <c r="B470" s="10"/>
      <c r="C470" s="10"/>
      <c r="D470" s="10"/>
      <c r="E470" s="10"/>
      <c r="F470" s="11"/>
      <c r="G470" s="10"/>
      <c r="H470" s="10"/>
      <c r="I470" s="16" t="str">
        <f aca="false">IF(OR($A470="",$F470=""),"",IF($B470="입금",$F470,0))</f>
        <v/>
      </c>
      <c r="J470" s="16" t="str">
        <f aca="false">IF(OR($A470="",$F470=""),"",IF($B470="출금",$F470,0))</f>
        <v/>
      </c>
      <c r="K470" s="17" t="str">
        <f aca="false">IF($A470="","",COUNTIFS($A$3:$A470,$A470))</f>
        <v/>
      </c>
      <c r="L470" s="17" t="str">
        <f aca="false">IF($A470="","",TEXT($A470,"yyyymmdd")&amp;"|"&amp;$K470)</f>
        <v/>
      </c>
    </row>
    <row r="471" customFormat="false" ht="15" hidden="false" customHeight="true" outlineLevel="0" collapsed="false">
      <c r="A471" s="15"/>
      <c r="B471" s="10"/>
      <c r="C471" s="10"/>
      <c r="D471" s="10"/>
      <c r="E471" s="10"/>
      <c r="F471" s="11"/>
      <c r="G471" s="10"/>
      <c r="H471" s="10"/>
      <c r="I471" s="16" t="str">
        <f aca="false">IF(OR($A471="",$F471=""),"",IF($B471="입금",$F471,0))</f>
        <v/>
      </c>
      <c r="J471" s="16" t="str">
        <f aca="false">IF(OR($A471="",$F471=""),"",IF($B471="출금",$F471,0))</f>
        <v/>
      </c>
      <c r="K471" s="17" t="str">
        <f aca="false">IF($A471="","",COUNTIFS($A$3:$A471,$A471))</f>
        <v/>
      </c>
      <c r="L471" s="17" t="str">
        <f aca="false">IF($A471="","",TEXT($A471,"yyyymmdd")&amp;"|"&amp;$K471)</f>
        <v/>
      </c>
    </row>
    <row r="472" customFormat="false" ht="15" hidden="false" customHeight="true" outlineLevel="0" collapsed="false">
      <c r="A472" s="15"/>
      <c r="B472" s="10"/>
      <c r="C472" s="10"/>
      <c r="D472" s="10"/>
      <c r="E472" s="10"/>
      <c r="F472" s="11"/>
      <c r="G472" s="10"/>
      <c r="H472" s="10"/>
      <c r="I472" s="16" t="str">
        <f aca="false">IF(OR($A472="",$F472=""),"",IF($B472="입금",$F472,0))</f>
        <v/>
      </c>
      <c r="J472" s="16" t="str">
        <f aca="false">IF(OR($A472="",$F472=""),"",IF($B472="출금",$F472,0))</f>
        <v/>
      </c>
      <c r="K472" s="17" t="str">
        <f aca="false">IF($A472="","",COUNTIFS($A$3:$A472,$A472))</f>
        <v/>
      </c>
      <c r="L472" s="17" t="str">
        <f aca="false">IF($A472="","",TEXT($A472,"yyyymmdd")&amp;"|"&amp;$K472)</f>
        <v/>
      </c>
    </row>
    <row r="473" customFormat="false" ht="15" hidden="false" customHeight="true" outlineLevel="0" collapsed="false">
      <c r="A473" s="15"/>
      <c r="B473" s="10"/>
      <c r="C473" s="10"/>
      <c r="D473" s="10"/>
      <c r="E473" s="10"/>
      <c r="F473" s="11"/>
      <c r="G473" s="10"/>
      <c r="H473" s="10"/>
      <c r="I473" s="16" t="str">
        <f aca="false">IF(OR($A473="",$F473=""),"",IF($B473="입금",$F473,0))</f>
        <v/>
      </c>
      <c r="J473" s="16" t="str">
        <f aca="false">IF(OR($A473="",$F473=""),"",IF($B473="출금",$F473,0))</f>
        <v/>
      </c>
      <c r="K473" s="17" t="str">
        <f aca="false">IF($A473="","",COUNTIFS($A$3:$A473,$A473))</f>
        <v/>
      </c>
      <c r="L473" s="17" t="str">
        <f aca="false">IF($A473="","",TEXT($A473,"yyyymmdd")&amp;"|"&amp;$K473)</f>
        <v/>
      </c>
    </row>
    <row r="474" customFormat="false" ht="15" hidden="false" customHeight="true" outlineLevel="0" collapsed="false">
      <c r="A474" s="15"/>
      <c r="B474" s="10"/>
      <c r="C474" s="10"/>
      <c r="D474" s="10"/>
      <c r="E474" s="10"/>
      <c r="F474" s="11"/>
      <c r="G474" s="10"/>
      <c r="H474" s="10"/>
      <c r="I474" s="16" t="str">
        <f aca="false">IF(OR($A474="",$F474=""),"",IF($B474="입금",$F474,0))</f>
        <v/>
      </c>
      <c r="J474" s="16" t="str">
        <f aca="false">IF(OR($A474="",$F474=""),"",IF($B474="출금",$F474,0))</f>
        <v/>
      </c>
      <c r="K474" s="17" t="str">
        <f aca="false">IF($A474="","",COUNTIFS($A$3:$A474,$A474))</f>
        <v/>
      </c>
      <c r="L474" s="17" t="str">
        <f aca="false">IF($A474="","",TEXT($A474,"yyyymmdd")&amp;"|"&amp;$K474)</f>
        <v/>
      </c>
    </row>
    <row r="475" customFormat="false" ht="15" hidden="false" customHeight="true" outlineLevel="0" collapsed="false">
      <c r="A475" s="15"/>
      <c r="B475" s="10"/>
      <c r="C475" s="10"/>
      <c r="D475" s="10"/>
      <c r="E475" s="10"/>
      <c r="F475" s="11"/>
      <c r="G475" s="10"/>
      <c r="H475" s="10"/>
      <c r="I475" s="16" t="str">
        <f aca="false">IF(OR($A475="",$F475=""),"",IF($B475="입금",$F475,0))</f>
        <v/>
      </c>
      <c r="J475" s="16" t="str">
        <f aca="false">IF(OR($A475="",$F475=""),"",IF($B475="출금",$F475,0))</f>
        <v/>
      </c>
      <c r="K475" s="17" t="str">
        <f aca="false">IF($A475="","",COUNTIFS($A$3:$A475,$A475))</f>
        <v/>
      </c>
      <c r="L475" s="17" t="str">
        <f aca="false">IF($A475="","",TEXT($A475,"yyyymmdd")&amp;"|"&amp;$K475)</f>
        <v/>
      </c>
    </row>
    <row r="476" customFormat="false" ht="15" hidden="false" customHeight="true" outlineLevel="0" collapsed="false">
      <c r="A476" s="15"/>
      <c r="B476" s="10"/>
      <c r="C476" s="10"/>
      <c r="D476" s="10"/>
      <c r="E476" s="10"/>
      <c r="F476" s="11"/>
      <c r="G476" s="10"/>
      <c r="H476" s="10"/>
      <c r="I476" s="16" t="str">
        <f aca="false">IF(OR($A476="",$F476=""),"",IF($B476="입금",$F476,0))</f>
        <v/>
      </c>
      <c r="J476" s="16" t="str">
        <f aca="false">IF(OR($A476="",$F476=""),"",IF($B476="출금",$F476,0))</f>
        <v/>
      </c>
      <c r="K476" s="17" t="str">
        <f aca="false">IF($A476="","",COUNTIFS($A$3:$A476,$A476))</f>
        <v/>
      </c>
      <c r="L476" s="17" t="str">
        <f aca="false">IF($A476="","",TEXT($A476,"yyyymmdd")&amp;"|"&amp;$K476)</f>
        <v/>
      </c>
    </row>
    <row r="477" customFormat="false" ht="15" hidden="false" customHeight="true" outlineLevel="0" collapsed="false">
      <c r="A477" s="15"/>
      <c r="B477" s="10"/>
      <c r="C477" s="10"/>
      <c r="D477" s="10"/>
      <c r="E477" s="10"/>
      <c r="F477" s="11"/>
      <c r="G477" s="10"/>
      <c r="H477" s="10"/>
      <c r="I477" s="16" t="str">
        <f aca="false">IF(OR($A477="",$F477=""),"",IF($B477="입금",$F477,0))</f>
        <v/>
      </c>
      <c r="J477" s="16" t="str">
        <f aca="false">IF(OR($A477="",$F477=""),"",IF($B477="출금",$F477,0))</f>
        <v/>
      </c>
      <c r="K477" s="17" t="str">
        <f aca="false">IF($A477="","",COUNTIFS($A$3:$A477,$A477))</f>
        <v/>
      </c>
      <c r="L477" s="17" t="str">
        <f aca="false">IF($A477="","",TEXT($A477,"yyyymmdd")&amp;"|"&amp;$K477)</f>
        <v/>
      </c>
    </row>
    <row r="478" customFormat="false" ht="15" hidden="false" customHeight="true" outlineLevel="0" collapsed="false">
      <c r="A478" s="15"/>
      <c r="B478" s="10"/>
      <c r="C478" s="10"/>
      <c r="D478" s="10"/>
      <c r="E478" s="10"/>
      <c r="F478" s="11"/>
      <c r="G478" s="10"/>
      <c r="H478" s="10"/>
      <c r="I478" s="16" t="str">
        <f aca="false">IF(OR($A478="",$F478=""),"",IF($B478="입금",$F478,0))</f>
        <v/>
      </c>
      <c r="J478" s="16" t="str">
        <f aca="false">IF(OR($A478="",$F478=""),"",IF($B478="출금",$F478,0))</f>
        <v/>
      </c>
      <c r="K478" s="17" t="str">
        <f aca="false">IF($A478="","",COUNTIFS($A$3:$A478,$A478))</f>
        <v/>
      </c>
      <c r="L478" s="17" t="str">
        <f aca="false">IF($A478="","",TEXT($A478,"yyyymmdd")&amp;"|"&amp;$K478)</f>
        <v/>
      </c>
    </row>
    <row r="479" customFormat="false" ht="15" hidden="false" customHeight="true" outlineLevel="0" collapsed="false">
      <c r="A479" s="15"/>
      <c r="B479" s="10"/>
      <c r="C479" s="10"/>
      <c r="D479" s="10"/>
      <c r="E479" s="10"/>
      <c r="F479" s="11"/>
      <c r="G479" s="10"/>
      <c r="H479" s="10"/>
      <c r="I479" s="16" t="str">
        <f aca="false">IF(OR($A479="",$F479=""),"",IF($B479="입금",$F479,0))</f>
        <v/>
      </c>
      <c r="J479" s="16" t="str">
        <f aca="false">IF(OR($A479="",$F479=""),"",IF($B479="출금",$F479,0))</f>
        <v/>
      </c>
      <c r="K479" s="17" t="str">
        <f aca="false">IF($A479="","",COUNTIFS($A$3:$A479,$A479))</f>
        <v/>
      </c>
      <c r="L479" s="17" t="str">
        <f aca="false">IF($A479="","",TEXT($A479,"yyyymmdd")&amp;"|"&amp;$K479)</f>
        <v/>
      </c>
    </row>
    <row r="480" customFormat="false" ht="15" hidden="false" customHeight="true" outlineLevel="0" collapsed="false">
      <c r="A480" s="15"/>
      <c r="B480" s="10"/>
      <c r="C480" s="10"/>
      <c r="D480" s="10"/>
      <c r="E480" s="10"/>
      <c r="F480" s="11"/>
      <c r="G480" s="10"/>
      <c r="H480" s="10"/>
      <c r="I480" s="16" t="str">
        <f aca="false">IF(OR($A480="",$F480=""),"",IF($B480="입금",$F480,0))</f>
        <v/>
      </c>
      <c r="J480" s="16" t="str">
        <f aca="false">IF(OR($A480="",$F480=""),"",IF($B480="출금",$F480,0))</f>
        <v/>
      </c>
      <c r="K480" s="17" t="str">
        <f aca="false">IF($A480="","",COUNTIFS($A$3:$A480,$A480))</f>
        <v/>
      </c>
      <c r="L480" s="17" t="str">
        <f aca="false">IF($A480="","",TEXT($A480,"yyyymmdd")&amp;"|"&amp;$K480)</f>
        <v/>
      </c>
    </row>
    <row r="481" customFormat="false" ht="15" hidden="false" customHeight="true" outlineLevel="0" collapsed="false">
      <c r="A481" s="15"/>
      <c r="B481" s="10"/>
      <c r="C481" s="10"/>
      <c r="D481" s="10"/>
      <c r="E481" s="10"/>
      <c r="F481" s="11"/>
      <c r="G481" s="10"/>
      <c r="H481" s="10"/>
      <c r="I481" s="16" t="str">
        <f aca="false">IF(OR($A481="",$F481=""),"",IF($B481="입금",$F481,0))</f>
        <v/>
      </c>
      <c r="J481" s="16" t="str">
        <f aca="false">IF(OR($A481="",$F481=""),"",IF($B481="출금",$F481,0))</f>
        <v/>
      </c>
      <c r="K481" s="17" t="str">
        <f aca="false">IF($A481="","",COUNTIFS($A$3:$A481,$A481))</f>
        <v/>
      </c>
      <c r="L481" s="17" t="str">
        <f aca="false">IF($A481="","",TEXT($A481,"yyyymmdd")&amp;"|"&amp;$K481)</f>
        <v/>
      </c>
    </row>
    <row r="482" customFormat="false" ht="15" hidden="false" customHeight="true" outlineLevel="0" collapsed="false">
      <c r="A482" s="15"/>
      <c r="B482" s="10"/>
      <c r="C482" s="10"/>
      <c r="D482" s="10"/>
      <c r="E482" s="10"/>
      <c r="F482" s="11"/>
      <c r="G482" s="10"/>
      <c r="H482" s="10"/>
      <c r="I482" s="16" t="str">
        <f aca="false">IF(OR($A482="",$F482=""),"",IF($B482="입금",$F482,0))</f>
        <v/>
      </c>
      <c r="J482" s="16" t="str">
        <f aca="false">IF(OR($A482="",$F482=""),"",IF($B482="출금",$F482,0))</f>
        <v/>
      </c>
      <c r="K482" s="17" t="str">
        <f aca="false">IF($A482="","",COUNTIFS($A$3:$A482,$A482))</f>
        <v/>
      </c>
      <c r="L482" s="17" t="str">
        <f aca="false">IF($A482="","",TEXT($A482,"yyyymmdd")&amp;"|"&amp;$K482)</f>
        <v/>
      </c>
    </row>
    <row r="483" customFormat="false" ht="15" hidden="false" customHeight="true" outlineLevel="0" collapsed="false">
      <c r="A483" s="15"/>
      <c r="B483" s="10"/>
      <c r="C483" s="10"/>
      <c r="D483" s="10"/>
      <c r="E483" s="10"/>
      <c r="F483" s="11"/>
      <c r="G483" s="10"/>
      <c r="H483" s="10"/>
      <c r="I483" s="16" t="str">
        <f aca="false">IF(OR($A483="",$F483=""),"",IF($B483="입금",$F483,0))</f>
        <v/>
      </c>
      <c r="J483" s="16" t="str">
        <f aca="false">IF(OR($A483="",$F483=""),"",IF($B483="출금",$F483,0))</f>
        <v/>
      </c>
      <c r="K483" s="17" t="str">
        <f aca="false">IF($A483="","",COUNTIFS($A$3:$A483,$A483))</f>
        <v/>
      </c>
      <c r="L483" s="17" t="str">
        <f aca="false">IF($A483="","",TEXT($A483,"yyyymmdd")&amp;"|"&amp;$K483)</f>
        <v/>
      </c>
    </row>
    <row r="484" customFormat="false" ht="15" hidden="false" customHeight="true" outlineLevel="0" collapsed="false">
      <c r="A484" s="15"/>
      <c r="B484" s="10"/>
      <c r="C484" s="10"/>
      <c r="D484" s="10"/>
      <c r="E484" s="10"/>
      <c r="F484" s="11"/>
      <c r="G484" s="10"/>
      <c r="H484" s="10"/>
      <c r="I484" s="16" t="str">
        <f aca="false">IF(OR($A484="",$F484=""),"",IF($B484="입금",$F484,0))</f>
        <v/>
      </c>
      <c r="J484" s="16" t="str">
        <f aca="false">IF(OR($A484="",$F484=""),"",IF($B484="출금",$F484,0))</f>
        <v/>
      </c>
      <c r="K484" s="17" t="str">
        <f aca="false">IF($A484="","",COUNTIFS($A$3:$A484,$A484))</f>
        <v/>
      </c>
      <c r="L484" s="17" t="str">
        <f aca="false">IF($A484="","",TEXT($A484,"yyyymmdd")&amp;"|"&amp;$K484)</f>
        <v/>
      </c>
    </row>
    <row r="485" customFormat="false" ht="15" hidden="false" customHeight="true" outlineLevel="0" collapsed="false">
      <c r="A485" s="15"/>
      <c r="B485" s="10"/>
      <c r="C485" s="10"/>
      <c r="D485" s="10"/>
      <c r="E485" s="10"/>
      <c r="F485" s="11"/>
      <c r="G485" s="10"/>
      <c r="H485" s="10"/>
      <c r="I485" s="16" t="str">
        <f aca="false">IF(OR($A485="",$F485=""),"",IF($B485="입금",$F485,0))</f>
        <v/>
      </c>
      <c r="J485" s="16" t="str">
        <f aca="false">IF(OR($A485="",$F485=""),"",IF($B485="출금",$F485,0))</f>
        <v/>
      </c>
      <c r="K485" s="17" t="str">
        <f aca="false">IF($A485="","",COUNTIFS($A$3:$A485,$A485))</f>
        <v/>
      </c>
      <c r="L485" s="17" t="str">
        <f aca="false">IF($A485="","",TEXT($A485,"yyyymmdd")&amp;"|"&amp;$K485)</f>
        <v/>
      </c>
    </row>
    <row r="486" customFormat="false" ht="15" hidden="false" customHeight="true" outlineLevel="0" collapsed="false">
      <c r="A486" s="15"/>
      <c r="B486" s="10"/>
      <c r="C486" s="10"/>
      <c r="D486" s="10"/>
      <c r="E486" s="10"/>
      <c r="F486" s="11"/>
      <c r="G486" s="10"/>
      <c r="H486" s="10"/>
      <c r="I486" s="16" t="str">
        <f aca="false">IF(OR($A486="",$F486=""),"",IF($B486="입금",$F486,0))</f>
        <v/>
      </c>
      <c r="J486" s="16" t="str">
        <f aca="false">IF(OR($A486="",$F486=""),"",IF($B486="출금",$F486,0))</f>
        <v/>
      </c>
      <c r="K486" s="17" t="str">
        <f aca="false">IF($A486="","",COUNTIFS($A$3:$A486,$A486))</f>
        <v/>
      </c>
      <c r="L486" s="17" t="str">
        <f aca="false">IF($A486="","",TEXT($A486,"yyyymmdd")&amp;"|"&amp;$K486)</f>
        <v/>
      </c>
    </row>
    <row r="487" customFormat="false" ht="15" hidden="false" customHeight="true" outlineLevel="0" collapsed="false">
      <c r="A487" s="15"/>
      <c r="B487" s="10"/>
      <c r="C487" s="10"/>
      <c r="D487" s="10"/>
      <c r="E487" s="10"/>
      <c r="F487" s="11"/>
      <c r="G487" s="10"/>
      <c r="H487" s="10"/>
      <c r="I487" s="16" t="str">
        <f aca="false">IF(OR($A487="",$F487=""),"",IF($B487="입금",$F487,0))</f>
        <v/>
      </c>
      <c r="J487" s="16" t="str">
        <f aca="false">IF(OR($A487="",$F487=""),"",IF($B487="출금",$F487,0))</f>
        <v/>
      </c>
      <c r="K487" s="17" t="str">
        <f aca="false">IF($A487="","",COUNTIFS($A$3:$A487,$A487))</f>
        <v/>
      </c>
      <c r="L487" s="17" t="str">
        <f aca="false">IF($A487="","",TEXT($A487,"yyyymmdd")&amp;"|"&amp;$K487)</f>
        <v/>
      </c>
    </row>
    <row r="488" customFormat="false" ht="15" hidden="false" customHeight="true" outlineLevel="0" collapsed="false">
      <c r="A488" s="15"/>
      <c r="B488" s="10"/>
      <c r="C488" s="10"/>
      <c r="D488" s="10"/>
      <c r="E488" s="10"/>
      <c r="F488" s="11"/>
      <c r="G488" s="10"/>
      <c r="H488" s="10"/>
      <c r="I488" s="16" t="str">
        <f aca="false">IF(OR($A488="",$F488=""),"",IF($B488="입금",$F488,0))</f>
        <v/>
      </c>
      <c r="J488" s="16" t="str">
        <f aca="false">IF(OR($A488="",$F488=""),"",IF($B488="출금",$F488,0))</f>
        <v/>
      </c>
      <c r="K488" s="17" t="str">
        <f aca="false">IF($A488="","",COUNTIFS($A$3:$A488,$A488))</f>
        <v/>
      </c>
      <c r="L488" s="17" t="str">
        <f aca="false">IF($A488="","",TEXT($A488,"yyyymmdd")&amp;"|"&amp;$K488)</f>
        <v/>
      </c>
    </row>
    <row r="489" customFormat="false" ht="15" hidden="false" customHeight="true" outlineLevel="0" collapsed="false">
      <c r="A489" s="15"/>
      <c r="B489" s="10"/>
      <c r="C489" s="10"/>
      <c r="D489" s="10"/>
      <c r="E489" s="10"/>
      <c r="F489" s="11"/>
      <c r="G489" s="10"/>
      <c r="H489" s="10"/>
      <c r="I489" s="16" t="str">
        <f aca="false">IF(OR($A489="",$F489=""),"",IF($B489="입금",$F489,0))</f>
        <v/>
      </c>
      <c r="J489" s="16" t="str">
        <f aca="false">IF(OR($A489="",$F489=""),"",IF($B489="출금",$F489,0))</f>
        <v/>
      </c>
      <c r="K489" s="17" t="str">
        <f aca="false">IF($A489="","",COUNTIFS($A$3:$A489,$A489))</f>
        <v/>
      </c>
      <c r="L489" s="17" t="str">
        <f aca="false">IF($A489="","",TEXT($A489,"yyyymmdd")&amp;"|"&amp;$K489)</f>
        <v/>
      </c>
    </row>
    <row r="490" customFormat="false" ht="15" hidden="false" customHeight="true" outlineLevel="0" collapsed="false">
      <c r="A490" s="15"/>
      <c r="B490" s="10"/>
      <c r="C490" s="10"/>
      <c r="D490" s="10"/>
      <c r="E490" s="10"/>
      <c r="F490" s="11"/>
      <c r="G490" s="10"/>
      <c r="H490" s="10"/>
      <c r="I490" s="16" t="str">
        <f aca="false">IF(OR($A490="",$F490=""),"",IF($B490="입금",$F490,0))</f>
        <v/>
      </c>
      <c r="J490" s="16" t="str">
        <f aca="false">IF(OR($A490="",$F490=""),"",IF($B490="출금",$F490,0))</f>
        <v/>
      </c>
      <c r="K490" s="17" t="str">
        <f aca="false">IF($A490="","",COUNTIFS($A$3:$A490,$A490))</f>
        <v/>
      </c>
      <c r="L490" s="17" t="str">
        <f aca="false">IF($A490="","",TEXT($A490,"yyyymmdd")&amp;"|"&amp;$K490)</f>
        <v/>
      </c>
    </row>
    <row r="491" customFormat="false" ht="15" hidden="false" customHeight="true" outlineLevel="0" collapsed="false">
      <c r="A491" s="15"/>
      <c r="B491" s="10"/>
      <c r="C491" s="10"/>
      <c r="D491" s="10"/>
      <c r="E491" s="10"/>
      <c r="F491" s="11"/>
      <c r="G491" s="10"/>
      <c r="H491" s="10"/>
      <c r="I491" s="16" t="str">
        <f aca="false">IF(OR($A491="",$F491=""),"",IF($B491="입금",$F491,0))</f>
        <v/>
      </c>
      <c r="J491" s="16" t="str">
        <f aca="false">IF(OR($A491="",$F491=""),"",IF($B491="출금",$F491,0))</f>
        <v/>
      </c>
      <c r="K491" s="17" t="str">
        <f aca="false">IF($A491="","",COUNTIFS($A$3:$A491,$A491))</f>
        <v/>
      </c>
      <c r="L491" s="17" t="str">
        <f aca="false">IF($A491="","",TEXT($A491,"yyyymmdd")&amp;"|"&amp;$K491)</f>
        <v/>
      </c>
    </row>
    <row r="492" customFormat="false" ht="15" hidden="false" customHeight="true" outlineLevel="0" collapsed="false">
      <c r="A492" s="15"/>
      <c r="B492" s="10"/>
      <c r="C492" s="10"/>
      <c r="D492" s="10"/>
      <c r="E492" s="10"/>
      <c r="F492" s="11"/>
      <c r="G492" s="10"/>
      <c r="H492" s="10"/>
      <c r="I492" s="16" t="str">
        <f aca="false">IF(OR($A492="",$F492=""),"",IF($B492="입금",$F492,0))</f>
        <v/>
      </c>
      <c r="J492" s="16" t="str">
        <f aca="false">IF(OR($A492="",$F492=""),"",IF($B492="출금",$F492,0))</f>
        <v/>
      </c>
      <c r="K492" s="17" t="str">
        <f aca="false">IF($A492="","",COUNTIFS($A$3:$A492,$A492))</f>
        <v/>
      </c>
      <c r="L492" s="17" t="str">
        <f aca="false">IF($A492="","",TEXT($A492,"yyyymmdd")&amp;"|"&amp;$K492)</f>
        <v/>
      </c>
    </row>
    <row r="493" customFormat="false" ht="15" hidden="false" customHeight="true" outlineLevel="0" collapsed="false">
      <c r="A493" s="15"/>
      <c r="B493" s="10"/>
      <c r="C493" s="10"/>
      <c r="D493" s="10"/>
      <c r="E493" s="10"/>
      <c r="F493" s="11"/>
      <c r="G493" s="10"/>
      <c r="H493" s="10"/>
      <c r="I493" s="16" t="str">
        <f aca="false">IF(OR($A493="",$F493=""),"",IF($B493="입금",$F493,0))</f>
        <v/>
      </c>
      <c r="J493" s="16" t="str">
        <f aca="false">IF(OR($A493="",$F493=""),"",IF($B493="출금",$F493,0))</f>
        <v/>
      </c>
      <c r="K493" s="17" t="str">
        <f aca="false">IF($A493="","",COUNTIFS($A$3:$A493,$A493))</f>
        <v/>
      </c>
      <c r="L493" s="17" t="str">
        <f aca="false">IF($A493="","",TEXT($A493,"yyyymmdd")&amp;"|"&amp;$K493)</f>
        <v/>
      </c>
    </row>
    <row r="494" customFormat="false" ht="15" hidden="false" customHeight="true" outlineLevel="0" collapsed="false">
      <c r="A494" s="15"/>
      <c r="B494" s="10"/>
      <c r="C494" s="10"/>
      <c r="D494" s="10"/>
      <c r="E494" s="10"/>
      <c r="F494" s="11"/>
      <c r="G494" s="10"/>
      <c r="H494" s="10"/>
      <c r="I494" s="16" t="str">
        <f aca="false">IF(OR($A494="",$F494=""),"",IF($B494="입금",$F494,0))</f>
        <v/>
      </c>
      <c r="J494" s="16" t="str">
        <f aca="false">IF(OR($A494="",$F494=""),"",IF($B494="출금",$F494,0))</f>
        <v/>
      </c>
      <c r="K494" s="17" t="str">
        <f aca="false">IF($A494="","",COUNTIFS($A$3:$A494,$A494))</f>
        <v/>
      </c>
      <c r="L494" s="17" t="str">
        <f aca="false">IF($A494="","",TEXT($A494,"yyyymmdd")&amp;"|"&amp;$K494)</f>
        <v/>
      </c>
    </row>
    <row r="495" customFormat="false" ht="15" hidden="false" customHeight="true" outlineLevel="0" collapsed="false">
      <c r="A495" s="15"/>
      <c r="B495" s="10"/>
      <c r="C495" s="10"/>
      <c r="D495" s="10"/>
      <c r="E495" s="10"/>
      <c r="F495" s="11"/>
      <c r="G495" s="10"/>
      <c r="H495" s="10"/>
      <c r="I495" s="16" t="str">
        <f aca="false">IF(OR($A495="",$F495=""),"",IF($B495="입금",$F495,0))</f>
        <v/>
      </c>
      <c r="J495" s="16" t="str">
        <f aca="false">IF(OR($A495="",$F495=""),"",IF($B495="출금",$F495,0))</f>
        <v/>
      </c>
      <c r="K495" s="17" t="str">
        <f aca="false">IF($A495="","",COUNTIFS($A$3:$A495,$A495))</f>
        <v/>
      </c>
      <c r="L495" s="17" t="str">
        <f aca="false">IF($A495="","",TEXT($A495,"yyyymmdd")&amp;"|"&amp;$K495)</f>
        <v/>
      </c>
    </row>
    <row r="496" customFormat="false" ht="15" hidden="false" customHeight="true" outlineLevel="0" collapsed="false">
      <c r="A496" s="15"/>
      <c r="B496" s="10"/>
      <c r="C496" s="10"/>
      <c r="D496" s="10"/>
      <c r="E496" s="10"/>
      <c r="F496" s="11"/>
      <c r="G496" s="10"/>
      <c r="H496" s="10"/>
      <c r="I496" s="16" t="str">
        <f aca="false">IF(OR($A496="",$F496=""),"",IF($B496="입금",$F496,0))</f>
        <v/>
      </c>
      <c r="J496" s="16" t="str">
        <f aca="false">IF(OR($A496="",$F496=""),"",IF($B496="출금",$F496,0))</f>
        <v/>
      </c>
      <c r="K496" s="17" t="str">
        <f aca="false">IF($A496="","",COUNTIFS($A$3:$A496,$A496))</f>
        <v/>
      </c>
      <c r="L496" s="17" t="str">
        <f aca="false">IF($A496="","",TEXT($A496,"yyyymmdd")&amp;"|"&amp;$K496)</f>
        <v/>
      </c>
    </row>
    <row r="497" customFormat="false" ht="15" hidden="false" customHeight="true" outlineLevel="0" collapsed="false">
      <c r="A497" s="15"/>
      <c r="B497" s="10"/>
      <c r="C497" s="10"/>
      <c r="D497" s="10"/>
      <c r="E497" s="10"/>
      <c r="F497" s="11"/>
      <c r="G497" s="10"/>
      <c r="H497" s="10"/>
      <c r="I497" s="16" t="str">
        <f aca="false">IF(OR($A497="",$F497=""),"",IF($B497="입금",$F497,0))</f>
        <v/>
      </c>
      <c r="J497" s="16" t="str">
        <f aca="false">IF(OR($A497="",$F497=""),"",IF($B497="출금",$F497,0))</f>
        <v/>
      </c>
      <c r="K497" s="17" t="str">
        <f aca="false">IF($A497="","",COUNTIFS($A$3:$A497,$A497))</f>
        <v/>
      </c>
      <c r="L497" s="17" t="str">
        <f aca="false">IF($A497="","",TEXT($A497,"yyyymmdd")&amp;"|"&amp;$K497)</f>
        <v/>
      </c>
    </row>
    <row r="498" customFormat="false" ht="15" hidden="false" customHeight="true" outlineLevel="0" collapsed="false">
      <c r="A498" s="15"/>
      <c r="B498" s="10"/>
      <c r="C498" s="10"/>
      <c r="D498" s="10"/>
      <c r="E498" s="10"/>
      <c r="F498" s="11"/>
      <c r="G498" s="10"/>
      <c r="H498" s="10"/>
      <c r="I498" s="16" t="str">
        <f aca="false">IF(OR($A498="",$F498=""),"",IF($B498="입금",$F498,0))</f>
        <v/>
      </c>
      <c r="J498" s="16" t="str">
        <f aca="false">IF(OR($A498="",$F498=""),"",IF($B498="출금",$F498,0))</f>
        <v/>
      </c>
      <c r="K498" s="17" t="str">
        <f aca="false">IF($A498="","",COUNTIFS($A$3:$A498,$A498))</f>
        <v/>
      </c>
      <c r="L498" s="17" t="str">
        <f aca="false">IF($A498="","",TEXT($A498,"yyyymmdd")&amp;"|"&amp;$K498)</f>
        <v/>
      </c>
    </row>
    <row r="499" customFormat="false" ht="15" hidden="false" customHeight="true" outlineLevel="0" collapsed="false">
      <c r="A499" s="15"/>
      <c r="B499" s="10"/>
      <c r="C499" s="10"/>
      <c r="D499" s="10"/>
      <c r="E499" s="10"/>
      <c r="F499" s="11"/>
      <c r="G499" s="10"/>
      <c r="H499" s="10"/>
      <c r="I499" s="16" t="str">
        <f aca="false">IF(OR($A499="",$F499=""),"",IF($B499="입금",$F499,0))</f>
        <v/>
      </c>
      <c r="J499" s="16" t="str">
        <f aca="false">IF(OR($A499="",$F499=""),"",IF($B499="출금",$F499,0))</f>
        <v/>
      </c>
      <c r="K499" s="17" t="str">
        <f aca="false">IF($A499="","",COUNTIFS($A$3:$A499,$A499))</f>
        <v/>
      </c>
      <c r="L499" s="17" t="str">
        <f aca="false">IF($A499="","",TEXT($A499,"yyyymmdd")&amp;"|"&amp;$K499)</f>
        <v/>
      </c>
    </row>
    <row r="500" customFormat="false" ht="15" hidden="false" customHeight="true" outlineLevel="0" collapsed="false">
      <c r="A500" s="15"/>
      <c r="B500" s="10"/>
      <c r="C500" s="10"/>
      <c r="D500" s="10"/>
      <c r="E500" s="10"/>
      <c r="F500" s="11"/>
      <c r="G500" s="10"/>
      <c r="H500" s="10"/>
      <c r="I500" s="16" t="str">
        <f aca="false">IF(OR($A500="",$F500=""),"",IF($B500="입금",$F500,0))</f>
        <v/>
      </c>
      <c r="J500" s="16" t="str">
        <f aca="false">IF(OR($A500="",$F500=""),"",IF($B500="출금",$F500,0))</f>
        <v/>
      </c>
      <c r="K500" s="17" t="str">
        <f aca="false">IF($A500="","",COUNTIFS($A$3:$A500,$A500))</f>
        <v/>
      </c>
      <c r="L500" s="17" t="str">
        <f aca="false">IF($A500="","",TEXT($A500,"yyyymmdd")&amp;"|"&amp;$K500)</f>
        <v/>
      </c>
    </row>
    <row r="501" customFormat="false" ht="15" hidden="false" customHeight="true" outlineLevel="0" collapsed="false">
      <c r="A501" s="15"/>
      <c r="B501" s="10"/>
      <c r="C501" s="10"/>
      <c r="D501" s="10"/>
      <c r="E501" s="10"/>
      <c r="F501" s="11"/>
      <c r="G501" s="10"/>
      <c r="H501" s="10"/>
      <c r="I501" s="16" t="str">
        <f aca="false">IF(OR($A501="",$F501=""),"",IF($B501="입금",$F501,0))</f>
        <v/>
      </c>
      <c r="J501" s="16" t="str">
        <f aca="false">IF(OR($A501="",$F501=""),"",IF($B501="출금",$F501,0))</f>
        <v/>
      </c>
      <c r="K501" s="17" t="str">
        <f aca="false">IF($A501="","",COUNTIFS($A$3:$A501,$A501))</f>
        <v/>
      </c>
      <c r="L501" s="17" t="str">
        <f aca="false">IF($A501="","",TEXT($A501,"yyyymmdd")&amp;"|"&amp;$K501)</f>
        <v/>
      </c>
    </row>
    <row r="502" customFormat="false" ht="15" hidden="false" customHeight="true" outlineLevel="0" collapsed="false">
      <c r="A502" s="15"/>
      <c r="B502" s="10"/>
      <c r="C502" s="10"/>
      <c r="D502" s="10"/>
      <c r="E502" s="10"/>
      <c r="F502" s="11"/>
      <c r="G502" s="10"/>
      <c r="H502" s="10"/>
      <c r="I502" s="16" t="str">
        <f aca="false">IF(OR($A502="",$F502=""),"",IF($B502="입금",$F502,0))</f>
        <v/>
      </c>
      <c r="J502" s="16" t="str">
        <f aca="false">IF(OR($A502="",$F502=""),"",IF($B502="출금",$F502,0))</f>
        <v/>
      </c>
      <c r="K502" s="17" t="str">
        <f aca="false">IF($A502="","",COUNTIFS($A$3:$A502,$A502))</f>
        <v/>
      </c>
      <c r="L502" s="17" t="str">
        <f aca="false">IF($A502="","",TEXT($A502,"yyyymmdd")&amp;"|"&amp;$K502)</f>
        <v/>
      </c>
    </row>
    <row r="503" customFormat="false" ht="15" hidden="false" customHeight="true" outlineLevel="0" collapsed="false">
      <c r="A503" s="15"/>
      <c r="B503" s="10"/>
      <c r="C503" s="10"/>
      <c r="D503" s="10"/>
      <c r="E503" s="10"/>
      <c r="F503" s="11"/>
      <c r="G503" s="10"/>
      <c r="H503" s="10"/>
      <c r="I503" s="16" t="str">
        <f aca="false">IF(OR($A503="",$F503=""),"",IF($B503="입금",$F503,0))</f>
        <v/>
      </c>
      <c r="J503" s="16" t="str">
        <f aca="false">IF(OR($A503="",$F503=""),"",IF($B503="출금",$F503,0))</f>
        <v/>
      </c>
      <c r="K503" s="17" t="str">
        <f aca="false">IF($A503="","",COUNTIFS($A$3:$A503,$A503))</f>
        <v/>
      </c>
      <c r="L503" s="17" t="str">
        <f aca="false">IF($A503="","",TEXT($A503,"yyyymmdd")&amp;"|"&amp;$K503)</f>
        <v/>
      </c>
    </row>
    <row r="504" customFormat="false" ht="15" hidden="false" customHeight="true" outlineLevel="0" collapsed="false">
      <c r="A504" s="15"/>
      <c r="B504" s="10"/>
      <c r="C504" s="10"/>
      <c r="D504" s="10"/>
      <c r="E504" s="10"/>
      <c r="F504" s="11"/>
      <c r="G504" s="10"/>
      <c r="H504" s="10"/>
      <c r="I504" s="16" t="str">
        <f aca="false">IF(OR($A504="",$F504=""),"",IF($B504="입금",$F504,0))</f>
        <v/>
      </c>
      <c r="J504" s="16" t="str">
        <f aca="false">IF(OR($A504="",$F504=""),"",IF($B504="출금",$F504,0))</f>
        <v/>
      </c>
      <c r="K504" s="17" t="str">
        <f aca="false">IF($A504="","",COUNTIFS($A$3:$A504,$A504))</f>
        <v/>
      </c>
      <c r="L504" s="17" t="str">
        <f aca="false">IF($A504="","",TEXT($A504,"yyyymmdd")&amp;"|"&amp;$K504)</f>
        <v/>
      </c>
    </row>
    <row r="505" customFormat="false" ht="15" hidden="false" customHeight="true" outlineLevel="0" collapsed="false">
      <c r="A505" s="15"/>
      <c r="B505" s="10"/>
      <c r="C505" s="10"/>
      <c r="D505" s="10"/>
      <c r="E505" s="10"/>
      <c r="F505" s="11"/>
      <c r="G505" s="10"/>
      <c r="H505" s="10"/>
      <c r="I505" s="16" t="str">
        <f aca="false">IF(OR($A505="",$F505=""),"",IF($B505="입금",$F505,0))</f>
        <v/>
      </c>
      <c r="J505" s="16" t="str">
        <f aca="false">IF(OR($A505="",$F505=""),"",IF($B505="출금",$F505,0))</f>
        <v/>
      </c>
      <c r="K505" s="17" t="str">
        <f aca="false">IF($A505="","",COUNTIFS($A$3:$A505,$A505))</f>
        <v/>
      </c>
      <c r="L505" s="17" t="str">
        <f aca="false">IF($A505="","",TEXT($A505,"yyyymmdd")&amp;"|"&amp;$K505)</f>
        <v/>
      </c>
    </row>
    <row r="506" customFormat="false" ht="15" hidden="false" customHeight="true" outlineLevel="0" collapsed="false">
      <c r="A506" s="15"/>
      <c r="B506" s="10"/>
      <c r="C506" s="10"/>
      <c r="D506" s="10"/>
      <c r="E506" s="10"/>
      <c r="F506" s="11"/>
      <c r="G506" s="10"/>
      <c r="H506" s="10"/>
      <c r="I506" s="16" t="str">
        <f aca="false">IF(OR($A506="",$F506=""),"",IF($B506="입금",$F506,0))</f>
        <v/>
      </c>
      <c r="J506" s="16" t="str">
        <f aca="false">IF(OR($A506="",$F506=""),"",IF($B506="출금",$F506,0))</f>
        <v/>
      </c>
      <c r="K506" s="17" t="str">
        <f aca="false">IF($A506="","",COUNTIFS($A$3:$A506,$A506))</f>
        <v/>
      </c>
      <c r="L506" s="17" t="str">
        <f aca="false">IF($A506="","",TEXT($A506,"yyyymmdd")&amp;"|"&amp;$K506)</f>
        <v/>
      </c>
    </row>
    <row r="507" customFormat="false" ht="15" hidden="false" customHeight="true" outlineLevel="0" collapsed="false">
      <c r="A507" s="15"/>
      <c r="B507" s="10"/>
      <c r="C507" s="10"/>
      <c r="D507" s="10"/>
      <c r="E507" s="10"/>
      <c r="F507" s="11"/>
      <c r="G507" s="10"/>
      <c r="H507" s="10"/>
      <c r="I507" s="16" t="str">
        <f aca="false">IF(OR($A507="",$F507=""),"",IF($B507="입금",$F507,0))</f>
        <v/>
      </c>
      <c r="J507" s="16" t="str">
        <f aca="false">IF(OR($A507="",$F507=""),"",IF($B507="출금",$F507,0))</f>
        <v/>
      </c>
      <c r="K507" s="17" t="str">
        <f aca="false">IF($A507="","",COUNTIFS($A$3:$A507,$A507))</f>
        <v/>
      </c>
      <c r="L507" s="17" t="str">
        <f aca="false">IF($A507="","",TEXT($A507,"yyyymmdd")&amp;"|"&amp;$K507)</f>
        <v/>
      </c>
    </row>
    <row r="508" customFormat="false" ht="15" hidden="false" customHeight="true" outlineLevel="0" collapsed="false">
      <c r="A508" s="15"/>
      <c r="B508" s="10"/>
      <c r="C508" s="10"/>
      <c r="D508" s="10"/>
      <c r="E508" s="10"/>
      <c r="F508" s="11"/>
      <c r="G508" s="10"/>
      <c r="H508" s="10"/>
      <c r="I508" s="16" t="str">
        <f aca="false">IF(OR($A508="",$F508=""),"",IF($B508="입금",$F508,0))</f>
        <v/>
      </c>
      <c r="J508" s="16" t="str">
        <f aca="false">IF(OR($A508="",$F508=""),"",IF($B508="출금",$F508,0))</f>
        <v/>
      </c>
      <c r="K508" s="17" t="str">
        <f aca="false">IF($A508="","",COUNTIFS($A$3:$A508,$A508))</f>
        <v/>
      </c>
      <c r="L508" s="17" t="str">
        <f aca="false">IF($A508="","",TEXT($A508,"yyyymmdd")&amp;"|"&amp;$K508)</f>
        <v/>
      </c>
    </row>
    <row r="509" customFormat="false" ht="15" hidden="false" customHeight="true" outlineLevel="0" collapsed="false">
      <c r="A509" s="15"/>
      <c r="B509" s="10"/>
      <c r="C509" s="10"/>
      <c r="D509" s="10"/>
      <c r="E509" s="10"/>
      <c r="F509" s="11"/>
      <c r="G509" s="10"/>
      <c r="H509" s="10"/>
      <c r="I509" s="16" t="str">
        <f aca="false">IF(OR($A509="",$F509=""),"",IF($B509="입금",$F509,0))</f>
        <v/>
      </c>
      <c r="J509" s="16" t="str">
        <f aca="false">IF(OR($A509="",$F509=""),"",IF($B509="출금",$F509,0))</f>
        <v/>
      </c>
      <c r="K509" s="17" t="str">
        <f aca="false">IF($A509="","",COUNTIFS($A$3:$A509,$A509))</f>
        <v/>
      </c>
      <c r="L509" s="17" t="str">
        <f aca="false">IF($A509="","",TEXT($A509,"yyyymmdd")&amp;"|"&amp;$K509)</f>
        <v/>
      </c>
    </row>
    <row r="510" customFormat="false" ht="15" hidden="false" customHeight="true" outlineLevel="0" collapsed="false">
      <c r="A510" s="15"/>
      <c r="B510" s="10"/>
      <c r="C510" s="10"/>
      <c r="D510" s="10"/>
      <c r="E510" s="10"/>
      <c r="F510" s="11"/>
      <c r="G510" s="10"/>
      <c r="H510" s="10"/>
      <c r="I510" s="16" t="str">
        <f aca="false">IF(OR($A510="",$F510=""),"",IF($B510="입금",$F510,0))</f>
        <v/>
      </c>
      <c r="J510" s="16" t="str">
        <f aca="false">IF(OR($A510="",$F510=""),"",IF($B510="출금",$F510,0))</f>
        <v/>
      </c>
      <c r="K510" s="17" t="str">
        <f aca="false">IF($A510="","",COUNTIFS($A$3:$A510,$A510))</f>
        <v/>
      </c>
      <c r="L510" s="17" t="str">
        <f aca="false">IF($A510="","",TEXT($A510,"yyyymmdd")&amp;"|"&amp;$K510)</f>
        <v/>
      </c>
    </row>
    <row r="511" customFormat="false" ht="15" hidden="false" customHeight="true" outlineLevel="0" collapsed="false">
      <c r="A511" s="15"/>
      <c r="B511" s="10"/>
      <c r="C511" s="10"/>
      <c r="D511" s="10"/>
      <c r="E511" s="10"/>
      <c r="F511" s="11"/>
      <c r="G511" s="10"/>
      <c r="H511" s="10"/>
      <c r="I511" s="16" t="str">
        <f aca="false">IF(OR($A511="",$F511=""),"",IF($B511="입금",$F511,0))</f>
        <v/>
      </c>
      <c r="J511" s="16" t="str">
        <f aca="false">IF(OR($A511="",$F511=""),"",IF($B511="출금",$F511,0))</f>
        <v/>
      </c>
      <c r="K511" s="17" t="str">
        <f aca="false">IF($A511="","",COUNTIFS($A$3:$A511,$A511))</f>
        <v/>
      </c>
      <c r="L511" s="17" t="str">
        <f aca="false">IF($A511="","",TEXT($A511,"yyyymmdd")&amp;"|"&amp;$K511)</f>
        <v/>
      </c>
    </row>
    <row r="512" customFormat="false" ht="15" hidden="false" customHeight="true" outlineLevel="0" collapsed="false">
      <c r="A512" s="15"/>
      <c r="B512" s="10"/>
      <c r="C512" s="10"/>
      <c r="D512" s="10"/>
      <c r="E512" s="10"/>
      <c r="F512" s="11"/>
      <c r="G512" s="10"/>
      <c r="H512" s="10"/>
      <c r="I512" s="16" t="str">
        <f aca="false">IF(OR($A512="",$F512=""),"",IF($B512="입금",$F512,0))</f>
        <v/>
      </c>
      <c r="J512" s="16" t="str">
        <f aca="false">IF(OR($A512="",$F512=""),"",IF($B512="출금",$F512,0))</f>
        <v/>
      </c>
      <c r="K512" s="17" t="str">
        <f aca="false">IF($A512="","",COUNTIFS($A$3:$A512,$A512))</f>
        <v/>
      </c>
      <c r="L512" s="17" t="str">
        <f aca="false">IF($A512="","",TEXT($A512,"yyyymmdd")&amp;"|"&amp;$K512)</f>
        <v/>
      </c>
    </row>
    <row r="513" customFormat="false" ht="15" hidden="false" customHeight="true" outlineLevel="0" collapsed="false">
      <c r="A513" s="15"/>
      <c r="B513" s="10"/>
      <c r="C513" s="10"/>
      <c r="D513" s="10"/>
      <c r="E513" s="10"/>
      <c r="F513" s="11"/>
      <c r="G513" s="10"/>
      <c r="H513" s="10"/>
      <c r="I513" s="16" t="str">
        <f aca="false">IF(OR($A513="",$F513=""),"",IF($B513="입금",$F513,0))</f>
        <v/>
      </c>
      <c r="J513" s="16" t="str">
        <f aca="false">IF(OR($A513="",$F513=""),"",IF($B513="출금",$F513,0))</f>
        <v/>
      </c>
      <c r="K513" s="17" t="str">
        <f aca="false">IF($A513="","",COUNTIFS($A$3:$A513,$A513))</f>
        <v/>
      </c>
      <c r="L513" s="17" t="str">
        <f aca="false">IF($A513="","",TEXT($A513,"yyyymmdd")&amp;"|"&amp;$K513)</f>
        <v/>
      </c>
    </row>
    <row r="514" customFormat="false" ht="15" hidden="false" customHeight="true" outlineLevel="0" collapsed="false">
      <c r="A514" s="15"/>
      <c r="B514" s="10"/>
      <c r="C514" s="10"/>
      <c r="D514" s="10"/>
      <c r="E514" s="10"/>
      <c r="F514" s="11"/>
      <c r="G514" s="10"/>
      <c r="H514" s="10"/>
      <c r="I514" s="16" t="str">
        <f aca="false">IF(OR($A514="",$F514=""),"",IF($B514="입금",$F514,0))</f>
        <v/>
      </c>
      <c r="J514" s="16" t="str">
        <f aca="false">IF(OR($A514="",$F514=""),"",IF($B514="출금",$F514,0))</f>
        <v/>
      </c>
      <c r="K514" s="17" t="str">
        <f aca="false">IF($A514="","",COUNTIFS($A$3:$A514,$A514))</f>
        <v/>
      </c>
      <c r="L514" s="17" t="str">
        <f aca="false">IF($A514="","",TEXT($A514,"yyyymmdd")&amp;"|"&amp;$K514)</f>
        <v/>
      </c>
    </row>
    <row r="515" customFormat="false" ht="15" hidden="false" customHeight="true" outlineLevel="0" collapsed="false">
      <c r="A515" s="15"/>
      <c r="B515" s="10"/>
      <c r="C515" s="10"/>
      <c r="D515" s="10"/>
      <c r="E515" s="10"/>
      <c r="F515" s="11"/>
      <c r="G515" s="10"/>
      <c r="H515" s="10"/>
      <c r="I515" s="16" t="str">
        <f aca="false">IF(OR($A515="",$F515=""),"",IF($B515="입금",$F515,0))</f>
        <v/>
      </c>
      <c r="J515" s="16" t="str">
        <f aca="false">IF(OR($A515="",$F515=""),"",IF($B515="출금",$F515,0))</f>
        <v/>
      </c>
      <c r="K515" s="17" t="str">
        <f aca="false">IF($A515="","",COUNTIFS($A$3:$A515,$A515))</f>
        <v/>
      </c>
      <c r="L515" s="17" t="str">
        <f aca="false">IF($A515="","",TEXT($A515,"yyyymmdd")&amp;"|"&amp;$K515)</f>
        <v/>
      </c>
    </row>
    <row r="516" customFormat="false" ht="15" hidden="false" customHeight="true" outlineLevel="0" collapsed="false">
      <c r="A516" s="15"/>
      <c r="B516" s="10"/>
      <c r="C516" s="10"/>
      <c r="D516" s="10"/>
      <c r="E516" s="10"/>
      <c r="F516" s="11"/>
      <c r="G516" s="10"/>
      <c r="H516" s="10"/>
      <c r="I516" s="16" t="str">
        <f aca="false">IF(OR($A516="",$F516=""),"",IF($B516="입금",$F516,0))</f>
        <v/>
      </c>
      <c r="J516" s="16" t="str">
        <f aca="false">IF(OR($A516="",$F516=""),"",IF($B516="출금",$F516,0))</f>
        <v/>
      </c>
      <c r="K516" s="17" t="str">
        <f aca="false">IF($A516="","",COUNTIFS($A$3:$A516,$A516))</f>
        <v/>
      </c>
      <c r="L516" s="17" t="str">
        <f aca="false">IF($A516="","",TEXT($A516,"yyyymmdd")&amp;"|"&amp;$K516)</f>
        <v/>
      </c>
    </row>
    <row r="517" customFormat="false" ht="15" hidden="false" customHeight="true" outlineLevel="0" collapsed="false">
      <c r="A517" s="15"/>
      <c r="B517" s="10"/>
      <c r="C517" s="10"/>
      <c r="D517" s="10"/>
      <c r="E517" s="10"/>
      <c r="F517" s="11"/>
      <c r="G517" s="10"/>
      <c r="H517" s="10"/>
      <c r="I517" s="16" t="str">
        <f aca="false">IF(OR($A517="",$F517=""),"",IF($B517="입금",$F517,0))</f>
        <v/>
      </c>
      <c r="J517" s="16" t="str">
        <f aca="false">IF(OR($A517="",$F517=""),"",IF($B517="출금",$F517,0))</f>
        <v/>
      </c>
      <c r="K517" s="17" t="str">
        <f aca="false">IF($A517="","",COUNTIFS($A$3:$A517,$A517))</f>
        <v/>
      </c>
      <c r="L517" s="17" t="str">
        <f aca="false">IF($A517="","",TEXT($A517,"yyyymmdd")&amp;"|"&amp;$K517)</f>
        <v/>
      </c>
    </row>
    <row r="518" customFormat="false" ht="15" hidden="false" customHeight="true" outlineLevel="0" collapsed="false">
      <c r="A518" s="15"/>
      <c r="B518" s="10"/>
      <c r="C518" s="10"/>
      <c r="D518" s="10"/>
      <c r="E518" s="10"/>
      <c r="F518" s="11"/>
      <c r="G518" s="10"/>
      <c r="H518" s="10"/>
      <c r="I518" s="16" t="str">
        <f aca="false">IF(OR($A518="",$F518=""),"",IF($B518="입금",$F518,0))</f>
        <v/>
      </c>
      <c r="J518" s="16" t="str">
        <f aca="false">IF(OR($A518="",$F518=""),"",IF($B518="출금",$F518,0))</f>
        <v/>
      </c>
      <c r="K518" s="17" t="str">
        <f aca="false">IF($A518="","",COUNTIFS($A$3:$A518,$A518))</f>
        <v/>
      </c>
      <c r="L518" s="17" t="str">
        <f aca="false">IF($A518="","",TEXT($A518,"yyyymmdd")&amp;"|"&amp;$K518)</f>
        <v/>
      </c>
    </row>
    <row r="519" customFormat="false" ht="15" hidden="false" customHeight="true" outlineLevel="0" collapsed="false">
      <c r="A519" s="15"/>
      <c r="B519" s="10"/>
      <c r="C519" s="10"/>
      <c r="D519" s="10"/>
      <c r="E519" s="10"/>
      <c r="F519" s="11"/>
      <c r="G519" s="10"/>
      <c r="H519" s="10"/>
      <c r="I519" s="16" t="str">
        <f aca="false">IF(OR($A519="",$F519=""),"",IF($B519="입금",$F519,0))</f>
        <v/>
      </c>
      <c r="J519" s="16" t="str">
        <f aca="false">IF(OR($A519="",$F519=""),"",IF($B519="출금",$F519,0))</f>
        <v/>
      </c>
      <c r="K519" s="17" t="str">
        <f aca="false">IF($A519="","",COUNTIFS($A$3:$A519,$A519))</f>
        <v/>
      </c>
      <c r="L519" s="17" t="str">
        <f aca="false">IF($A519="","",TEXT($A519,"yyyymmdd")&amp;"|"&amp;$K519)</f>
        <v/>
      </c>
    </row>
    <row r="520" customFormat="false" ht="15" hidden="false" customHeight="true" outlineLevel="0" collapsed="false">
      <c r="A520" s="15"/>
      <c r="B520" s="10"/>
      <c r="C520" s="10"/>
      <c r="D520" s="10"/>
      <c r="E520" s="10"/>
      <c r="F520" s="11"/>
      <c r="G520" s="10"/>
      <c r="H520" s="10"/>
      <c r="I520" s="16" t="str">
        <f aca="false">IF(OR($A520="",$F520=""),"",IF($B520="입금",$F520,0))</f>
        <v/>
      </c>
      <c r="J520" s="16" t="str">
        <f aca="false">IF(OR($A520="",$F520=""),"",IF($B520="출금",$F520,0))</f>
        <v/>
      </c>
      <c r="K520" s="17" t="str">
        <f aca="false">IF($A520="","",COUNTIFS($A$3:$A520,$A520))</f>
        <v/>
      </c>
      <c r="L520" s="17" t="str">
        <f aca="false">IF($A520="","",TEXT($A520,"yyyymmdd")&amp;"|"&amp;$K520)</f>
        <v/>
      </c>
    </row>
    <row r="521" customFormat="false" ht="15" hidden="false" customHeight="true" outlineLevel="0" collapsed="false">
      <c r="A521" s="15"/>
      <c r="B521" s="10"/>
      <c r="C521" s="10"/>
      <c r="D521" s="10"/>
      <c r="E521" s="10"/>
      <c r="F521" s="11"/>
      <c r="G521" s="10"/>
      <c r="H521" s="10"/>
      <c r="I521" s="16" t="str">
        <f aca="false">IF(OR($A521="",$F521=""),"",IF($B521="입금",$F521,0))</f>
        <v/>
      </c>
      <c r="J521" s="16" t="str">
        <f aca="false">IF(OR($A521="",$F521=""),"",IF($B521="출금",$F521,0))</f>
        <v/>
      </c>
      <c r="K521" s="17" t="str">
        <f aca="false">IF($A521="","",COUNTIFS($A$3:$A521,$A521))</f>
        <v/>
      </c>
      <c r="L521" s="17" t="str">
        <f aca="false">IF($A521="","",TEXT($A521,"yyyymmdd")&amp;"|"&amp;$K521)</f>
        <v/>
      </c>
    </row>
    <row r="522" customFormat="false" ht="15" hidden="false" customHeight="true" outlineLevel="0" collapsed="false">
      <c r="A522" s="15"/>
      <c r="B522" s="10"/>
      <c r="C522" s="10"/>
      <c r="D522" s="10"/>
      <c r="E522" s="10"/>
      <c r="F522" s="11"/>
      <c r="G522" s="10"/>
      <c r="H522" s="10"/>
      <c r="I522" s="16" t="str">
        <f aca="false">IF(OR($A522="",$F522=""),"",IF($B522="입금",$F522,0))</f>
        <v/>
      </c>
      <c r="J522" s="16" t="str">
        <f aca="false">IF(OR($A522="",$F522=""),"",IF($B522="출금",$F522,0))</f>
        <v/>
      </c>
      <c r="K522" s="17" t="str">
        <f aca="false">IF($A522="","",COUNTIFS($A$3:$A522,$A522))</f>
        <v/>
      </c>
      <c r="L522" s="17" t="str">
        <f aca="false">IF($A522="","",TEXT($A522,"yyyymmdd")&amp;"|"&amp;$K522)</f>
        <v/>
      </c>
    </row>
    <row r="523" customFormat="false" ht="15" hidden="false" customHeight="true" outlineLevel="0" collapsed="false">
      <c r="A523" s="15"/>
      <c r="B523" s="10"/>
      <c r="C523" s="10"/>
      <c r="D523" s="10"/>
      <c r="E523" s="10"/>
      <c r="F523" s="11"/>
      <c r="G523" s="10"/>
      <c r="H523" s="10"/>
      <c r="I523" s="16" t="str">
        <f aca="false">IF(OR($A523="",$F523=""),"",IF($B523="입금",$F523,0))</f>
        <v/>
      </c>
      <c r="J523" s="16" t="str">
        <f aca="false">IF(OR($A523="",$F523=""),"",IF($B523="출금",$F523,0))</f>
        <v/>
      </c>
      <c r="K523" s="17" t="str">
        <f aca="false">IF($A523="","",COUNTIFS($A$3:$A523,$A523))</f>
        <v/>
      </c>
      <c r="L523" s="17" t="str">
        <f aca="false">IF($A523="","",TEXT($A523,"yyyymmdd")&amp;"|"&amp;$K523)</f>
        <v/>
      </c>
    </row>
    <row r="524" customFormat="false" ht="15" hidden="false" customHeight="true" outlineLevel="0" collapsed="false">
      <c r="A524" s="15"/>
      <c r="B524" s="10"/>
      <c r="C524" s="10"/>
      <c r="D524" s="10"/>
      <c r="E524" s="10"/>
      <c r="F524" s="11"/>
      <c r="G524" s="10"/>
      <c r="H524" s="10"/>
      <c r="I524" s="16" t="str">
        <f aca="false">IF(OR($A524="",$F524=""),"",IF($B524="입금",$F524,0))</f>
        <v/>
      </c>
      <c r="J524" s="16" t="str">
        <f aca="false">IF(OR($A524="",$F524=""),"",IF($B524="출금",$F524,0))</f>
        <v/>
      </c>
      <c r="K524" s="17" t="str">
        <f aca="false">IF($A524="","",COUNTIFS($A$3:$A524,$A524))</f>
        <v/>
      </c>
      <c r="L524" s="17" t="str">
        <f aca="false">IF($A524="","",TEXT($A524,"yyyymmdd")&amp;"|"&amp;$K524)</f>
        <v/>
      </c>
    </row>
    <row r="525" customFormat="false" ht="15" hidden="false" customHeight="true" outlineLevel="0" collapsed="false">
      <c r="A525" s="15"/>
      <c r="B525" s="10"/>
      <c r="C525" s="10"/>
      <c r="D525" s="10"/>
      <c r="E525" s="10"/>
      <c r="F525" s="11"/>
      <c r="G525" s="10"/>
      <c r="H525" s="10"/>
      <c r="I525" s="16" t="str">
        <f aca="false">IF(OR($A525="",$F525=""),"",IF($B525="입금",$F525,0))</f>
        <v/>
      </c>
      <c r="J525" s="16" t="str">
        <f aca="false">IF(OR($A525="",$F525=""),"",IF($B525="출금",$F525,0))</f>
        <v/>
      </c>
      <c r="K525" s="17" t="str">
        <f aca="false">IF($A525="","",COUNTIFS($A$3:$A525,$A525))</f>
        <v/>
      </c>
      <c r="L525" s="17" t="str">
        <f aca="false">IF($A525="","",TEXT($A525,"yyyymmdd")&amp;"|"&amp;$K525)</f>
        <v/>
      </c>
    </row>
    <row r="526" customFormat="false" ht="15" hidden="false" customHeight="true" outlineLevel="0" collapsed="false">
      <c r="A526" s="15"/>
      <c r="B526" s="10"/>
      <c r="C526" s="10"/>
      <c r="D526" s="10"/>
      <c r="E526" s="10"/>
      <c r="F526" s="11"/>
      <c r="G526" s="10"/>
      <c r="H526" s="10"/>
      <c r="I526" s="16" t="str">
        <f aca="false">IF(OR($A526="",$F526=""),"",IF($B526="입금",$F526,0))</f>
        <v/>
      </c>
      <c r="J526" s="16" t="str">
        <f aca="false">IF(OR($A526="",$F526=""),"",IF($B526="출금",$F526,0))</f>
        <v/>
      </c>
      <c r="K526" s="17" t="str">
        <f aca="false">IF($A526="","",COUNTIFS($A$3:$A526,$A526))</f>
        <v/>
      </c>
      <c r="L526" s="17" t="str">
        <f aca="false">IF($A526="","",TEXT($A526,"yyyymmdd")&amp;"|"&amp;$K526)</f>
        <v/>
      </c>
    </row>
    <row r="527" customFormat="false" ht="15" hidden="false" customHeight="true" outlineLevel="0" collapsed="false">
      <c r="A527" s="15"/>
      <c r="B527" s="10"/>
      <c r="C527" s="10"/>
      <c r="D527" s="10"/>
      <c r="E527" s="10"/>
      <c r="F527" s="11"/>
      <c r="G527" s="10"/>
      <c r="H527" s="10"/>
      <c r="I527" s="16" t="str">
        <f aca="false">IF(OR($A527="",$F527=""),"",IF($B527="입금",$F527,0))</f>
        <v/>
      </c>
      <c r="J527" s="16" t="str">
        <f aca="false">IF(OR($A527="",$F527=""),"",IF($B527="출금",$F527,0))</f>
        <v/>
      </c>
      <c r="K527" s="17" t="str">
        <f aca="false">IF($A527="","",COUNTIFS($A$3:$A527,$A527))</f>
        <v/>
      </c>
      <c r="L527" s="17" t="str">
        <f aca="false">IF($A527="","",TEXT($A527,"yyyymmdd")&amp;"|"&amp;$K527)</f>
        <v/>
      </c>
    </row>
    <row r="528" customFormat="false" ht="15" hidden="false" customHeight="true" outlineLevel="0" collapsed="false">
      <c r="A528" s="15"/>
      <c r="B528" s="10"/>
      <c r="C528" s="10"/>
      <c r="D528" s="10"/>
      <c r="E528" s="10"/>
      <c r="F528" s="11"/>
      <c r="G528" s="10"/>
      <c r="H528" s="10"/>
      <c r="I528" s="16" t="str">
        <f aca="false">IF(OR($A528="",$F528=""),"",IF($B528="입금",$F528,0))</f>
        <v/>
      </c>
      <c r="J528" s="16" t="str">
        <f aca="false">IF(OR($A528="",$F528=""),"",IF($B528="출금",$F528,0))</f>
        <v/>
      </c>
      <c r="K528" s="17" t="str">
        <f aca="false">IF($A528="","",COUNTIFS($A$3:$A528,$A528))</f>
        <v/>
      </c>
      <c r="L528" s="17" t="str">
        <f aca="false">IF($A528="","",TEXT($A528,"yyyymmdd")&amp;"|"&amp;$K528)</f>
        <v/>
      </c>
    </row>
    <row r="529" customFormat="false" ht="15" hidden="false" customHeight="true" outlineLevel="0" collapsed="false">
      <c r="A529" s="15"/>
      <c r="B529" s="10"/>
      <c r="C529" s="10"/>
      <c r="D529" s="10"/>
      <c r="E529" s="10"/>
      <c r="F529" s="11"/>
      <c r="G529" s="10"/>
      <c r="H529" s="10"/>
      <c r="I529" s="16" t="str">
        <f aca="false">IF(OR($A529="",$F529=""),"",IF($B529="입금",$F529,0))</f>
        <v/>
      </c>
      <c r="J529" s="16" t="str">
        <f aca="false">IF(OR($A529="",$F529=""),"",IF($B529="출금",$F529,0))</f>
        <v/>
      </c>
      <c r="K529" s="17" t="str">
        <f aca="false">IF($A529="","",COUNTIFS($A$3:$A529,$A529))</f>
        <v/>
      </c>
      <c r="L529" s="17" t="str">
        <f aca="false">IF($A529="","",TEXT($A529,"yyyymmdd")&amp;"|"&amp;$K529)</f>
        <v/>
      </c>
    </row>
    <row r="530" customFormat="false" ht="15" hidden="false" customHeight="true" outlineLevel="0" collapsed="false">
      <c r="A530" s="15"/>
      <c r="B530" s="10"/>
      <c r="C530" s="10"/>
      <c r="D530" s="10"/>
      <c r="E530" s="10"/>
      <c r="F530" s="11"/>
      <c r="G530" s="10"/>
      <c r="H530" s="10"/>
      <c r="I530" s="16" t="str">
        <f aca="false">IF(OR($A530="",$F530=""),"",IF($B530="입금",$F530,0))</f>
        <v/>
      </c>
      <c r="J530" s="16" t="str">
        <f aca="false">IF(OR($A530="",$F530=""),"",IF($B530="출금",$F530,0))</f>
        <v/>
      </c>
      <c r="K530" s="17" t="str">
        <f aca="false">IF($A530="","",COUNTIFS($A$3:$A530,$A530))</f>
        <v/>
      </c>
      <c r="L530" s="17" t="str">
        <f aca="false">IF($A530="","",TEXT($A530,"yyyymmdd")&amp;"|"&amp;$K530)</f>
        <v/>
      </c>
    </row>
    <row r="531" customFormat="false" ht="15" hidden="false" customHeight="true" outlineLevel="0" collapsed="false">
      <c r="A531" s="15"/>
      <c r="B531" s="10"/>
      <c r="C531" s="10"/>
      <c r="D531" s="10"/>
      <c r="E531" s="10"/>
      <c r="F531" s="11"/>
      <c r="G531" s="10"/>
      <c r="H531" s="10"/>
      <c r="I531" s="16" t="str">
        <f aca="false">IF(OR($A531="",$F531=""),"",IF($B531="입금",$F531,0))</f>
        <v/>
      </c>
      <c r="J531" s="16" t="str">
        <f aca="false">IF(OR($A531="",$F531=""),"",IF($B531="출금",$F531,0))</f>
        <v/>
      </c>
      <c r="K531" s="17" t="str">
        <f aca="false">IF($A531="","",COUNTIFS($A$3:$A531,$A531))</f>
        <v/>
      </c>
      <c r="L531" s="17" t="str">
        <f aca="false">IF($A531="","",TEXT($A531,"yyyymmdd")&amp;"|"&amp;$K531)</f>
        <v/>
      </c>
    </row>
    <row r="532" customFormat="false" ht="15" hidden="false" customHeight="true" outlineLevel="0" collapsed="false">
      <c r="A532" s="15"/>
      <c r="B532" s="10"/>
      <c r="C532" s="10"/>
      <c r="D532" s="10"/>
      <c r="E532" s="10"/>
      <c r="F532" s="11"/>
      <c r="G532" s="10"/>
      <c r="H532" s="10"/>
      <c r="I532" s="16" t="str">
        <f aca="false">IF(OR($A532="",$F532=""),"",IF($B532="입금",$F532,0))</f>
        <v/>
      </c>
      <c r="J532" s="16" t="str">
        <f aca="false">IF(OR($A532="",$F532=""),"",IF($B532="출금",$F532,0))</f>
        <v/>
      </c>
      <c r="K532" s="17" t="str">
        <f aca="false">IF($A532="","",COUNTIFS($A$3:$A532,$A532))</f>
        <v/>
      </c>
      <c r="L532" s="17" t="str">
        <f aca="false">IF($A532="","",TEXT($A532,"yyyymmdd")&amp;"|"&amp;$K532)</f>
        <v/>
      </c>
    </row>
    <row r="533" customFormat="false" ht="15" hidden="false" customHeight="true" outlineLevel="0" collapsed="false">
      <c r="A533" s="15"/>
      <c r="B533" s="10"/>
      <c r="C533" s="10"/>
      <c r="D533" s="10"/>
      <c r="E533" s="10"/>
      <c r="F533" s="11"/>
      <c r="G533" s="10"/>
      <c r="H533" s="10"/>
      <c r="I533" s="16" t="str">
        <f aca="false">IF(OR($A533="",$F533=""),"",IF($B533="입금",$F533,0))</f>
        <v/>
      </c>
      <c r="J533" s="16" t="str">
        <f aca="false">IF(OR($A533="",$F533=""),"",IF($B533="출금",$F533,0))</f>
        <v/>
      </c>
      <c r="K533" s="17" t="str">
        <f aca="false">IF($A533="","",COUNTIFS($A$3:$A533,$A533))</f>
        <v/>
      </c>
      <c r="L533" s="17" t="str">
        <f aca="false">IF($A533="","",TEXT($A533,"yyyymmdd")&amp;"|"&amp;$K533)</f>
        <v/>
      </c>
    </row>
    <row r="534" customFormat="false" ht="15" hidden="false" customHeight="true" outlineLevel="0" collapsed="false">
      <c r="A534" s="15"/>
      <c r="B534" s="10"/>
      <c r="C534" s="10"/>
      <c r="D534" s="10"/>
      <c r="E534" s="10"/>
      <c r="F534" s="11"/>
      <c r="G534" s="10"/>
      <c r="H534" s="10"/>
      <c r="I534" s="16" t="str">
        <f aca="false">IF(OR($A534="",$F534=""),"",IF($B534="입금",$F534,0))</f>
        <v/>
      </c>
      <c r="J534" s="16" t="str">
        <f aca="false">IF(OR($A534="",$F534=""),"",IF($B534="출금",$F534,0))</f>
        <v/>
      </c>
      <c r="K534" s="17" t="str">
        <f aca="false">IF($A534="","",COUNTIFS($A$3:$A534,$A534))</f>
        <v/>
      </c>
      <c r="L534" s="17" t="str">
        <f aca="false">IF($A534="","",TEXT($A534,"yyyymmdd")&amp;"|"&amp;$K534)</f>
        <v/>
      </c>
    </row>
    <row r="535" customFormat="false" ht="15" hidden="false" customHeight="true" outlineLevel="0" collapsed="false">
      <c r="A535" s="15"/>
      <c r="B535" s="10"/>
      <c r="C535" s="10"/>
      <c r="D535" s="10"/>
      <c r="E535" s="10"/>
      <c r="F535" s="11"/>
      <c r="G535" s="10"/>
      <c r="H535" s="10"/>
      <c r="I535" s="16" t="str">
        <f aca="false">IF(OR($A535="",$F535=""),"",IF($B535="입금",$F535,0))</f>
        <v/>
      </c>
      <c r="J535" s="16" t="str">
        <f aca="false">IF(OR($A535="",$F535=""),"",IF($B535="출금",$F535,0))</f>
        <v/>
      </c>
      <c r="K535" s="17" t="str">
        <f aca="false">IF($A535="","",COUNTIFS($A$3:$A535,$A535))</f>
        <v/>
      </c>
      <c r="L535" s="17" t="str">
        <f aca="false">IF($A535="","",TEXT($A535,"yyyymmdd")&amp;"|"&amp;$K535)</f>
        <v/>
      </c>
    </row>
    <row r="536" customFormat="false" ht="15" hidden="false" customHeight="true" outlineLevel="0" collapsed="false">
      <c r="A536" s="15"/>
      <c r="B536" s="10"/>
      <c r="C536" s="10"/>
      <c r="D536" s="10"/>
      <c r="E536" s="10"/>
      <c r="F536" s="11"/>
      <c r="G536" s="10"/>
      <c r="H536" s="10"/>
      <c r="I536" s="16" t="str">
        <f aca="false">IF(OR($A536="",$F536=""),"",IF($B536="입금",$F536,0))</f>
        <v/>
      </c>
      <c r="J536" s="16" t="str">
        <f aca="false">IF(OR($A536="",$F536=""),"",IF($B536="출금",$F536,0))</f>
        <v/>
      </c>
      <c r="K536" s="17" t="str">
        <f aca="false">IF($A536="","",COUNTIFS($A$3:$A536,$A536))</f>
        <v/>
      </c>
      <c r="L536" s="17" t="str">
        <f aca="false">IF($A536="","",TEXT($A536,"yyyymmdd")&amp;"|"&amp;$K536)</f>
        <v/>
      </c>
    </row>
    <row r="537" customFormat="false" ht="15" hidden="false" customHeight="true" outlineLevel="0" collapsed="false">
      <c r="A537" s="15"/>
      <c r="B537" s="10"/>
      <c r="C537" s="10"/>
      <c r="D537" s="10"/>
      <c r="E537" s="10"/>
      <c r="F537" s="11"/>
      <c r="G537" s="10"/>
      <c r="H537" s="10"/>
      <c r="I537" s="16" t="str">
        <f aca="false">IF(OR($A537="",$F537=""),"",IF($B537="입금",$F537,0))</f>
        <v/>
      </c>
      <c r="J537" s="16" t="str">
        <f aca="false">IF(OR($A537="",$F537=""),"",IF($B537="출금",$F537,0))</f>
        <v/>
      </c>
      <c r="K537" s="17" t="str">
        <f aca="false">IF($A537="","",COUNTIFS($A$3:$A537,$A537))</f>
        <v/>
      </c>
      <c r="L537" s="17" t="str">
        <f aca="false">IF($A537="","",TEXT($A537,"yyyymmdd")&amp;"|"&amp;$K537)</f>
        <v/>
      </c>
    </row>
    <row r="538" customFormat="false" ht="15" hidden="false" customHeight="true" outlineLevel="0" collapsed="false">
      <c r="A538" s="15"/>
      <c r="B538" s="10"/>
      <c r="C538" s="10"/>
      <c r="D538" s="10"/>
      <c r="E538" s="10"/>
      <c r="F538" s="11"/>
      <c r="G538" s="10"/>
      <c r="H538" s="10"/>
      <c r="I538" s="16" t="str">
        <f aca="false">IF(OR($A538="",$F538=""),"",IF($B538="입금",$F538,0))</f>
        <v/>
      </c>
      <c r="J538" s="16" t="str">
        <f aca="false">IF(OR($A538="",$F538=""),"",IF($B538="출금",$F538,0))</f>
        <v/>
      </c>
      <c r="K538" s="17" t="str">
        <f aca="false">IF($A538="","",COUNTIFS($A$3:$A538,$A538))</f>
        <v/>
      </c>
      <c r="L538" s="17" t="str">
        <f aca="false">IF($A538="","",TEXT($A538,"yyyymmdd")&amp;"|"&amp;$K538)</f>
        <v/>
      </c>
    </row>
    <row r="539" customFormat="false" ht="15" hidden="false" customHeight="true" outlineLevel="0" collapsed="false">
      <c r="A539" s="15"/>
      <c r="B539" s="10"/>
      <c r="C539" s="10"/>
      <c r="D539" s="10"/>
      <c r="E539" s="10"/>
      <c r="F539" s="11"/>
      <c r="G539" s="10"/>
      <c r="H539" s="10"/>
      <c r="I539" s="16" t="str">
        <f aca="false">IF(OR($A539="",$F539=""),"",IF($B539="입금",$F539,0))</f>
        <v/>
      </c>
      <c r="J539" s="16" t="str">
        <f aca="false">IF(OR($A539="",$F539=""),"",IF($B539="출금",$F539,0))</f>
        <v/>
      </c>
      <c r="K539" s="17" t="str">
        <f aca="false">IF($A539="","",COUNTIFS($A$3:$A539,$A539))</f>
        <v/>
      </c>
      <c r="L539" s="17" t="str">
        <f aca="false">IF($A539="","",TEXT($A539,"yyyymmdd")&amp;"|"&amp;$K539)</f>
        <v/>
      </c>
    </row>
    <row r="540" customFormat="false" ht="15" hidden="false" customHeight="true" outlineLevel="0" collapsed="false">
      <c r="A540" s="15"/>
      <c r="B540" s="10"/>
      <c r="C540" s="10"/>
      <c r="D540" s="10"/>
      <c r="E540" s="10"/>
      <c r="F540" s="11"/>
      <c r="G540" s="10"/>
      <c r="H540" s="10"/>
      <c r="I540" s="16" t="str">
        <f aca="false">IF(OR($A540="",$F540=""),"",IF($B540="입금",$F540,0))</f>
        <v/>
      </c>
      <c r="J540" s="16" t="str">
        <f aca="false">IF(OR($A540="",$F540=""),"",IF($B540="출금",$F540,0))</f>
        <v/>
      </c>
      <c r="K540" s="17" t="str">
        <f aca="false">IF($A540="","",COUNTIFS($A$3:$A540,$A540))</f>
        <v/>
      </c>
      <c r="L540" s="17" t="str">
        <f aca="false">IF($A540="","",TEXT($A540,"yyyymmdd")&amp;"|"&amp;$K540)</f>
        <v/>
      </c>
    </row>
    <row r="541" customFormat="false" ht="15" hidden="false" customHeight="true" outlineLevel="0" collapsed="false">
      <c r="A541" s="15"/>
      <c r="B541" s="10"/>
      <c r="C541" s="10"/>
      <c r="D541" s="10"/>
      <c r="E541" s="10"/>
      <c r="F541" s="11"/>
      <c r="G541" s="10"/>
      <c r="H541" s="10"/>
      <c r="I541" s="16" t="str">
        <f aca="false">IF(OR($A541="",$F541=""),"",IF($B541="입금",$F541,0))</f>
        <v/>
      </c>
      <c r="J541" s="16" t="str">
        <f aca="false">IF(OR($A541="",$F541=""),"",IF($B541="출금",$F541,0))</f>
        <v/>
      </c>
      <c r="K541" s="17" t="str">
        <f aca="false">IF($A541="","",COUNTIFS($A$3:$A541,$A541))</f>
        <v/>
      </c>
      <c r="L541" s="17" t="str">
        <f aca="false">IF($A541="","",TEXT($A541,"yyyymmdd")&amp;"|"&amp;$K541)</f>
        <v/>
      </c>
    </row>
    <row r="542" customFormat="false" ht="15" hidden="false" customHeight="true" outlineLevel="0" collapsed="false">
      <c r="A542" s="15"/>
      <c r="B542" s="10"/>
      <c r="C542" s="10"/>
      <c r="D542" s="10"/>
      <c r="E542" s="10"/>
      <c r="F542" s="11"/>
      <c r="G542" s="10"/>
      <c r="H542" s="10"/>
      <c r="I542" s="16" t="str">
        <f aca="false">IF(OR($A542="",$F542=""),"",IF($B542="입금",$F542,0))</f>
        <v/>
      </c>
      <c r="J542" s="16" t="str">
        <f aca="false">IF(OR($A542="",$F542=""),"",IF($B542="출금",$F542,0))</f>
        <v/>
      </c>
      <c r="K542" s="17" t="str">
        <f aca="false">IF($A542="","",COUNTIFS($A$3:$A542,$A542))</f>
        <v/>
      </c>
      <c r="L542" s="17" t="str">
        <f aca="false">IF($A542="","",TEXT($A542,"yyyymmdd")&amp;"|"&amp;$K542)</f>
        <v/>
      </c>
    </row>
    <row r="543" customFormat="false" ht="15" hidden="false" customHeight="true" outlineLevel="0" collapsed="false">
      <c r="A543" s="15"/>
      <c r="B543" s="10"/>
      <c r="C543" s="10"/>
      <c r="D543" s="10"/>
      <c r="E543" s="10"/>
      <c r="F543" s="11"/>
      <c r="G543" s="10"/>
      <c r="H543" s="10"/>
      <c r="I543" s="16" t="str">
        <f aca="false">IF(OR($A543="",$F543=""),"",IF($B543="입금",$F543,0))</f>
        <v/>
      </c>
      <c r="J543" s="16" t="str">
        <f aca="false">IF(OR($A543="",$F543=""),"",IF($B543="출금",$F543,0))</f>
        <v/>
      </c>
      <c r="K543" s="17" t="str">
        <f aca="false">IF($A543="","",COUNTIFS($A$3:$A543,$A543))</f>
        <v/>
      </c>
      <c r="L543" s="17" t="str">
        <f aca="false">IF($A543="","",TEXT($A543,"yyyymmdd")&amp;"|"&amp;$K543)</f>
        <v/>
      </c>
    </row>
    <row r="544" customFormat="false" ht="15" hidden="false" customHeight="true" outlineLevel="0" collapsed="false">
      <c r="A544" s="15"/>
      <c r="B544" s="10"/>
      <c r="C544" s="10"/>
      <c r="D544" s="10"/>
      <c r="E544" s="10"/>
      <c r="F544" s="11"/>
      <c r="G544" s="10"/>
      <c r="H544" s="10"/>
      <c r="I544" s="16" t="str">
        <f aca="false">IF(OR($A544="",$F544=""),"",IF($B544="입금",$F544,0))</f>
        <v/>
      </c>
      <c r="J544" s="16" t="str">
        <f aca="false">IF(OR($A544="",$F544=""),"",IF($B544="출금",$F544,0))</f>
        <v/>
      </c>
      <c r="K544" s="17" t="str">
        <f aca="false">IF($A544="","",COUNTIFS($A$3:$A544,$A544))</f>
        <v/>
      </c>
      <c r="L544" s="17" t="str">
        <f aca="false">IF($A544="","",TEXT($A544,"yyyymmdd")&amp;"|"&amp;$K544)</f>
        <v/>
      </c>
    </row>
    <row r="545" customFormat="false" ht="15" hidden="false" customHeight="true" outlineLevel="0" collapsed="false">
      <c r="A545" s="15"/>
      <c r="B545" s="10"/>
      <c r="C545" s="10"/>
      <c r="D545" s="10"/>
      <c r="E545" s="10"/>
      <c r="F545" s="11"/>
      <c r="G545" s="10"/>
      <c r="H545" s="10"/>
      <c r="I545" s="16" t="str">
        <f aca="false">IF(OR($A545="",$F545=""),"",IF($B545="입금",$F545,0))</f>
        <v/>
      </c>
      <c r="J545" s="16" t="str">
        <f aca="false">IF(OR($A545="",$F545=""),"",IF($B545="출금",$F545,0))</f>
        <v/>
      </c>
      <c r="K545" s="17" t="str">
        <f aca="false">IF($A545="","",COUNTIFS($A$3:$A545,$A545))</f>
        <v/>
      </c>
      <c r="L545" s="17" t="str">
        <f aca="false">IF($A545="","",TEXT($A545,"yyyymmdd")&amp;"|"&amp;$K545)</f>
        <v/>
      </c>
    </row>
    <row r="546" customFormat="false" ht="15" hidden="false" customHeight="true" outlineLevel="0" collapsed="false">
      <c r="A546" s="15"/>
      <c r="B546" s="10"/>
      <c r="C546" s="10"/>
      <c r="D546" s="10"/>
      <c r="E546" s="10"/>
      <c r="F546" s="11"/>
      <c r="G546" s="10"/>
      <c r="H546" s="10"/>
      <c r="I546" s="16" t="str">
        <f aca="false">IF(OR($A546="",$F546=""),"",IF($B546="입금",$F546,0))</f>
        <v/>
      </c>
      <c r="J546" s="16" t="str">
        <f aca="false">IF(OR($A546="",$F546=""),"",IF($B546="출금",$F546,0))</f>
        <v/>
      </c>
      <c r="K546" s="17" t="str">
        <f aca="false">IF($A546="","",COUNTIFS($A$3:$A546,$A546))</f>
        <v/>
      </c>
      <c r="L546" s="17" t="str">
        <f aca="false">IF($A546="","",TEXT($A546,"yyyymmdd")&amp;"|"&amp;$K546)</f>
        <v/>
      </c>
    </row>
    <row r="547" customFormat="false" ht="15" hidden="false" customHeight="true" outlineLevel="0" collapsed="false">
      <c r="A547" s="15"/>
      <c r="B547" s="10"/>
      <c r="C547" s="10"/>
      <c r="D547" s="10"/>
      <c r="E547" s="10"/>
      <c r="F547" s="11"/>
      <c r="G547" s="10"/>
      <c r="H547" s="10"/>
      <c r="I547" s="16" t="str">
        <f aca="false">IF(OR($A547="",$F547=""),"",IF($B547="입금",$F547,0))</f>
        <v/>
      </c>
      <c r="J547" s="16" t="str">
        <f aca="false">IF(OR($A547="",$F547=""),"",IF($B547="출금",$F547,0))</f>
        <v/>
      </c>
      <c r="K547" s="17" t="str">
        <f aca="false">IF($A547="","",COUNTIFS($A$3:$A547,$A547))</f>
        <v/>
      </c>
      <c r="L547" s="17" t="str">
        <f aca="false">IF($A547="","",TEXT($A547,"yyyymmdd")&amp;"|"&amp;$K547)</f>
        <v/>
      </c>
    </row>
    <row r="548" customFormat="false" ht="15" hidden="false" customHeight="true" outlineLevel="0" collapsed="false">
      <c r="A548" s="15"/>
      <c r="B548" s="10"/>
      <c r="C548" s="10"/>
      <c r="D548" s="10"/>
      <c r="E548" s="10"/>
      <c r="F548" s="11"/>
      <c r="G548" s="10"/>
      <c r="H548" s="10"/>
      <c r="I548" s="16" t="str">
        <f aca="false">IF(OR($A548="",$F548=""),"",IF($B548="입금",$F548,0))</f>
        <v/>
      </c>
      <c r="J548" s="16" t="str">
        <f aca="false">IF(OR($A548="",$F548=""),"",IF($B548="출금",$F548,0))</f>
        <v/>
      </c>
      <c r="K548" s="17" t="str">
        <f aca="false">IF($A548="","",COUNTIFS($A$3:$A548,$A548))</f>
        <v/>
      </c>
      <c r="L548" s="17" t="str">
        <f aca="false">IF($A548="","",TEXT($A548,"yyyymmdd")&amp;"|"&amp;$K548)</f>
        <v/>
      </c>
    </row>
    <row r="549" customFormat="false" ht="15" hidden="false" customHeight="true" outlineLevel="0" collapsed="false">
      <c r="A549" s="15"/>
      <c r="B549" s="10"/>
      <c r="C549" s="10"/>
      <c r="D549" s="10"/>
      <c r="E549" s="10"/>
      <c r="F549" s="11"/>
      <c r="G549" s="10"/>
      <c r="H549" s="10"/>
      <c r="I549" s="16" t="str">
        <f aca="false">IF(OR($A549="",$F549=""),"",IF($B549="입금",$F549,0))</f>
        <v/>
      </c>
      <c r="J549" s="16" t="str">
        <f aca="false">IF(OR($A549="",$F549=""),"",IF($B549="출금",$F549,0))</f>
        <v/>
      </c>
      <c r="K549" s="17" t="str">
        <f aca="false">IF($A549="","",COUNTIFS($A$3:$A549,$A549))</f>
        <v/>
      </c>
      <c r="L549" s="17" t="str">
        <f aca="false">IF($A549="","",TEXT($A549,"yyyymmdd")&amp;"|"&amp;$K549)</f>
        <v/>
      </c>
    </row>
    <row r="550" customFormat="false" ht="15" hidden="false" customHeight="true" outlineLevel="0" collapsed="false">
      <c r="A550" s="15"/>
      <c r="B550" s="10"/>
      <c r="C550" s="10"/>
      <c r="D550" s="10"/>
      <c r="E550" s="10"/>
      <c r="F550" s="11"/>
      <c r="G550" s="10"/>
      <c r="H550" s="10"/>
      <c r="I550" s="16" t="str">
        <f aca="false">IF(OR($A550="",$F550=""),"",IF($B550="입금",$F550,0))</f>
        <v/>
      </c>
      <c r="J550" s="16" t="str">
        <f aca="false">IF(OR($A550="",$F550=""),"",IF($B550="출금",$F550,0))</f>
        <v/>
      </c>
      <c r="K550" s="17" t="str">
        <f aca="false">IF($A550="","",COUNTIFS($A$3:$A550,$A550))</f>
        <v/>
      </c>
      <c r="L550" s="17" t="str">
        <f aca="false">IF($A550="","",TEXT($A550,"yyyymmdd")&amp;"|"&amp;$K550)</f>
        <v/>
      </c>
    </row>
    <row r="551" customFormat="false" ht="15" hidden="false" customHeight="true" outlineLevel="0" collapsed="false">
      <c r="A551" s="15"/>
      <c r="B551" s="10"/>
      <c r="C551" s="10"/>
      <c r="D551" s="10"/>
      <c r="E551" s="10"/>
      <c r="F551" s="11"/>
      <c r="G551" s="10"/>
      <c r="H551" s="10"/>
      <c r="I551" s="16" t="str">
        <f aca="false">IF(OR($A551="",$F551=""),"",IF($B551="입금",$F551,0))</f>
        <v/>
      </c>
      <c r="J551" s="16" t="str">
        <f aca="false">IF(OR($A551="",$F551=""),"",IF($B551="출금",$F551,0))</f>
        <v/>
      </c>
      <c r="K551" s="17" t="str">
        <f aca="false">IF($A551="","",COUNTIFS($A$3:$A551,$A551))</f>
        <v/>
      </c>
      <c r="L551" s="17" t="str">
        <f aca="false">IF($A551="","",TEXT($A551,"yyyymmdd")&amp;"|"&amp;$K551)</f>
        <v/>
      </c>
    </row>
    <row r="552" customFormat="false" ht="15" hidden="false" customHeight="true" outlineLevel="0" collapsed="false">
      <c r="A552" s="15"/>
      <c r="B552" s="10"/>
      <c r="C552" s="10"/>
      <c r="D552" s="10"/>
      <c r="E552" s="10"/>
      <c r="F552" s="11"/>
      <c r="G552" s="10"/>
      <c r="H552" s="10"/>
      <c r="I552" s="16" t="str">
        <f aca="false">IF(OR($A552="",$F552=""),"",IF($B552="입금",$F552,0))</f>
        <v/>
      </c>
      <c r="J552" s="16" t="str">
        <f aca="false">IF(OR($A552="",$F552=""),"",IF($B552="출금",$F552,0))</f>
        <v/>
      </c>
      <c r="K552" s="17" t="str">
        <f aca="false">IF($A552="","",COUNTIFS($A$3:$A552,$A552))</f>
        <v/>
      </c>
      <c r="L552" s="17" t="str">
        <f aca="false">IF($A552="","",TEXT($A552,"yyyymmdd")&amp;"|"&amp;$K552)</f>
        <v/>
      </c>
    </row>
    <row r="553" customFormat="false" ht="15" hidden="false" customHeight="true" outlineLevel="0" collapsed="false">
      <c r="A553" s="15"/>
      <c r="B553" s="10"/>
      <c r="C553" s="10"/>
      <c r="D553" s="10"/>
      <c r="E553" s="10"/>
      <c r="F553" s="11"/>
      <c r="G553" s="10"/>
      <c r="H553" s="10"/>
      <c r="I553" s="16" t="str">
        <f aca="false">IF(OR($A553="",$F553=""),"",IF($B553="입금",$F553,0))</f>
        <v/>
      </c>
      <c r="J553" s="16" t="str">
        <f aca="false">IF(OR($A553="",$F553=""),"",IF($B553="출금",$F553,0))</f>
        <v/>
      </c>
      <c r="K553" s="17" t="str">
        <f aca="false">IF($A553="","",COUNTIFS($A$3:$A553,$A553))</f>
        <v/>
      </c>
      <c r="L553" s="17" t="str">
        <f aca="false">IF($A553="","",TEXT($A553,"yyyymmdd")&amp;"|"&amp;$K553)</f>
        <v/>
      </c>
    </row>
    <row r="554" customFormat="false" ht="15" hidden="false" customHeight="true" outlineLevel="0" collapsed="false">
      <c r="A554" s="15"/>
      <c r="B554" s="10"/>
      <c r="C554" s="10"/>
      <c r="D554" s="10"/>
      <c r="E554" s="10"/>
      <c r="F554" s="11"/>
      <c r="G554" s="10"/>
      <c r="H554" s="10"/>
      <c r="I554" s="16" t="str">
        <f aca="false">IF(OR($A554="",$F554=""),"",IF($B554="입금",$F554,0))</f>
        <v/>
      </c>
      <c r="J554" s="16" t="str">
        <f aca="false">IF(OR($A554="",$F554=""),"",IF($B554="출금",$F554,0))</f>
        <v/>
      </c>
      <c r="K554" s="17" t="str">
        <f aca="false">IF($A554="","",COUNTIFS($A$3:$A554,$A554))</f>
        <v/>
      </c>
      <c r="L554" s="17" t="str">
        <f aca="false">IF($A554="","",TEXT($A554,"yyyymmdd")&amp;"|"&amp;$K554)</f>
        <v/>
      </c>
    </row>
    <row r="555" customFormat="false" ht="15" hidden="false" customHeight="true" outlineLevel="0" collapsed="false">
      <c r="A555" s="15"/>
      <c r="B555" s="10"/>
      <c r="C555" s="10"/>
      <c r="D555" s="10"/>
      <c r="E555" s="10"/>
      <c r="F555" s="11"/>
      <c r="G555" s="10"/>
      <c r="H555" s="10"/>
      <c r="I555" s="16" t="str">
        <f aca="false">IF(OR($A555="",$F555=""),"",IF($B555="입금",$F555,0))</f>
        <v/>
      </c>
      <c r="J555" s="16" t="str">
        <f aca="false">IF(OR($A555="",$F555=""),"",IF($B555="출금",$F555,0))</f>
        <v/>
      </c>
      <c r="K555" s="17" t="str">
        <f aca="false">IF($A555="","",COUNTIFS($A$3:$A555,$A555))</f>
        <v/>
      </c>
      <c r="L555" s="17" t="str">
        <f aca="false">IF($A555="","",TEXT($A555,"yyyymmdd")&amp;"|"&amp;$K555)</f>
        <v/>
      </c>
    </row>
    <row r="556" customFormat="false" ht="15" hidden="false" customHeight="true" outlineLevel="0" collapsed="false">
      <c r="A556" s="15"/>
      <c r="B556" s="10"/>
      <c r="C556" s="10"/>
      <c r="D556" s="10"/>
      <c r="E556" s="10"/>
      <c r="F556" s="11"/>
      <c r="G556" s="10"/>
      <c r="H556" s="10"/>
      <c r="I556" s="16" t="str">
        <f aca="false">IF(OR($A556="",$F556=""),"",IF($B556="입금",$F556,0))</f>
        <v/>
      </c>
      <c r="J556" s="16" t="str">
        <f aca="false">IF(OR($A556="",$F556=""),"",IF($B556="출금",$F556,0))</f>
        <v/>
      </c>
      <c r="K556" s="17" t="str">
        <f aca="false">IF($A556="","",COUNTIFS($A$3:$A556,$A556))</f>
        <v/>
      </c>
      <c r="L556" s="17" t="str">
        <f aca="false">IF($A556="","",TEXT($A556,"yyyymmdd")&amp;"|"&amp;$K556)</f>
        <v/>
      </c>
    </row>
    <row r="557" customFormat="false" ht="15" hidden="false" customHeight="true" outlineLevel="0" collapsed="false">
      <c r="A557" s="15"/>
      <c r="B557" s="10"/>
      <c r="C557" s="10"/>
      <c r="D557" s="10"/>
      <c r="E557" s="10"/>
      <c r="F557" s="11"/>
      <c r="G557" s="10"/>
      <c r="H557" s="10"/>
      <c r="I557" s="16" t="str">
        <f aca="false">IF(OR($A557="",$F557=""),"",IF($B557="입금",$F557,0))</f>
        <v/>
      </c>
      <c r="J557" s="16" t="str">
        <f aca="false">IF(OR($A557="",$F557=""),"",IF($B557="출금",$F557,0))</f>
        <v/>
      </c>
      <c r="K557" s="17" t="str">
        <f aca="false">IF($A557="","",COUNTIFS($A$3:$A557,$A557))</f>
        <v/>
      </c>
      <c r="L557" s="17" t="str">
        <f aca="false">IF($A557="","",TEXT($A557,"yyyymmdd")&amp;"|"&amp;$K557)</f>
        <v/>
      </c>
    </row>
    <row r="558" customFormat="false" ht="15" hidden="false" customHeight="true" outlineLevel="0" collapsed="false">
      <c r="A558" s="15"/>
      <c r="B558" s="10"/>
      <c r="C558" s="10"/>
      <c r="D558" s="10"/>
      <c r="E558" s="10"/>
      <c r="F558" s="11"/>
      <c r="G558" s="10"/>
      <c r="H558" s="10"/>
      <c r="I558" s="16" t="str">
        <f aca="false">IF(OR($A558="",$F558=""),"",IF($B558="입금",$F558,0))</f>
        <v/>
      </c>
      <c r="J558" s="16" t="str">
        <f aca="false">IF(OR($A558="",$F558=""),"",IF($B558="출금",$F558,0))</f>
        <v/>
      </c>
      <c r="K558" s="17" t="str">
        <f aca="false">IF($A558="","",COUNTIFS($A$3:$A558,$A558))</f>
        <v/>
      </c>
      <c r="L558" s="17" t="str">
        <f aca="false">IF($A558="","",TEXT($A558,"yyyymmdd")&amp;"|"&amp;$K558)</f>
        <v/>
      </c>
    </row>
    <row r="559" customFormat="false" ht="15" hidden="false" customHeight="true" outlineLevel="0" collapsed="false">
      <c r="A559" s="15"/>
      <c r="B559" s="10"/>
      <c r="C559" s="10"/>
      <c r="D559" s="10"/>
      <c r="E559" s="10"/>
      <c r="F559" s="11"/>
      <c r="G559" s="10"/>
      <c r="H559" s="10"/>
      <c r="I559" s="16" t="str">
        <f aca="false">IF(OR($A559="",$F559=""),"",IF($B559="입금",$F559,0))</f>
        <v/>
      </c>
      <c r="J559" s="16" t="str">
        <f aca="false">IF(OR($A559="",$F559=""),"",IF($B559="출금",$F559,0))</f>
        <v/>
      </c>
      <c r="K559" s="17" t="str">
        <f aca="false">IF($A559="","",COUNTIFS($A$3:$A559,$A559))</f>
        <v/>
      </c>
      <c r="L559" s="17" t="str">
        <f aca="false">IF($A559="","",TEXT($A559,"yyyymmdd")&amp;"|"&amp;$K559)</f>
        <v/>
      </c>
    </row>
    <row r="560" customFormat="false" ht="15" hidden="false" customHeight="true" outlineLevel="0" collapsed="false">
      <c r="A560" s="15"/>
      <c r="B560" s="10"/>
      <c r="C560" s="10"/>
      <c r="D560" s="10"/>
      <c r="E560" s="10"/>
      <c r="F560" s="11"/>
      <c r="G560" s="10"/>
      <c r="H560" s="10"/>
      <c r="I560" s="16" t="str">
        <f aca="false">IF(OR($A560="",$F560=""),"",IF($B560="입금",$F560,0))</f>
        <v/>
      </c>
      <c r="J560" s="16" t="str">
        <f aca="false">IF(OR($A560="",$F560=""),"",IF($B560="출금",$F560,0))</f>
        <v/>
      </c>
      <c r="K560" s="17" t="str">
        <f aca="false">IF($A560="","",COUNTIFS($A$3:$A560,$A560))</f>
        <v/>
      </c>
      <c r="L560" s="17" t="str">
        <f aca="false">IF($A560="","",TEXT($A560,"yyyymmdd")&amp;"|"&amp;$K560)</f>
        <v/>
      </c>
    </row>
    <row r="561" customFormat="false" ht="15" hidden="false" customHeight="true" outlineLevel="0" collapsed="false">
      <c r="A561" s="15"/>
      <c r="B561" s="10"/>
      <c r="C561" s="10"/>
      <c r="D561" s="10"/>
      <c r="E561" s="10"/>
      <c r="F561" s="11"/>
      <c r="G561" s="10"/>
      <c r="H561" s="10"/>
      <c r="I561" s="16" t="str">
        <f aca="false">IF(OR($A561="",$F561=""),"",IF($B561="입금",$F561,0))</f>
        <v/>
      </c>
      <c r="J561" s="16" t="str">
        <f aca="false">IF(OR($A561="",$F561=""),"",IF($B561="출금",$F561,0))</f>
        <v/>
      </c>
      <c r="K561" s="17" t="str">
        <f aca="false">IF($A561="","",COUNTIFS($A$3:$A561,$A561))</f>
        <v/>
      </c>
      <c r="L561" s="17" t="str">
        <f aca="false">IF($A561="","",TEXT($A561,"yyyymmdd")&amp;"|"&amp;$K561)</f>
        <v/>
      </c>
    </row>
    <row r="562" customFormat="false" ht="15" hidden="false" customHeight="true" outlineLevel="0" collapsed="false">
      <c r="A562" s="15"/>
      <c r="B562" s="10"/>
      <c r="C562" s="10"/>
      <c r="D562" s="10"/>
      <c r="E562" s="10"/>
      <c r="F562" s="11"/>
      <c r="G562" s="10"/>
      <c r="H562" s="10"/>
      <c r="I562" s="16" t="str">
        <f aca="false">IF(OR($A562="",$F562=""),"",IF($B562="입금",$F562,0))</f>
        <v/>
      </c>
      <c r="J562" s="16" t="str">
        <f aca="false">IF(OR($A562="",$F562=""),"",IF($B562="출금",$F562,0))</f>
        <v/>
      </c>
      <c r="K562" s="17" t="str">
        <f aca="false">IF($A562="","",COUNTIFS($A$3:$A562,$A562))</f>
        <v/>
      </c>
      <c r="L562" s="17" t="str">
        <f aca="false">IF($A562="","",TEXT($A562,"yyyymmdd")&amp;"|"&amp;$K562)</f>
        <v/>
      </c>
    </row>
    <row r="563" customFormat="false" ht="15" hidden="false" customHeight="true" outlineLevel="0" collapsed="false">
      <c r="A563" s="15"/>
      <c r="B563" s="10"/>
      <c r="C563" s="10"/>
      <c r="D563" s="10"/>
      <c r="E563" s="10"/>
      <c r="F563" s="11"/>
      <c r="G563" s="10"/>
      <c r="H563" s="10"/>
      <c r="I563" s="16" t="str">
        <f aca="false">IF(OR($A563="",$F563=""),"",IF($B563="입금",$F563,0))</f>
        <v/>
      </c>
      <c r="J563" s="16" t="str">
        <f aca="false">IF(OR($A563="",$F563=""),"",IF($B563="출금",$F563,0))</f>
        <v/>
      </c>
      <c r="K563" s="17" t="str">
        <f aca="false">IF($A563="","",COUNTIFS($A$3:$A563,$A563))</f>
        <v/>
      </c>
      <c r="L563" s="17" t="str">
        <f aca="false">IF($A563="","",TEXT($A563,"yyyymmdd")&amp;"|"&amp;$K563)</f>
        <v/>
      </c>
    </row>
    <row r="564" customFormat="false" ht="15" hidden="false" customHeight="true" outlineLevel="0" collapsed="false">
      <c r="A564" s="15"/>
      <c r="B564" s="10"/>
      <c r="C564" s="10"/>
      <c r="D564" s="10"/>
      <c r="E564" s="10"/>
      <c r="F564" s="11"/>
      <c r="G564" s="10"/>
      <c r="H564" s="10"/>
      <c r="I564" s="16" t="str">
        <f aca="false">IF(OR($A564="",$F564=""),"",IF($B564="입금",$F564,0))</f>
        <v/>
      </c>
      <c r="J564" s="16" t="str">
        <f aca="false">IF(OR($A564="",$F564=""),"",IF($B564="출금",$F564,0))</f>
        <v/>
      </c>
      <c r="K564" s="17" t="str">
        <f aca="false">IF($A564="","",COUNTIFS($A$3:$A564,$A564))</f>
        <v/>
      </c>
      <c r="L564" s="17" t="str">
        <f aca="false">IF($A564="","",TEXT($A564,"yyyymmdd")&amp;"|"&amp;$K564)</f>
        <v/>
      </c>
    </row>
    <row r="565" customFormat="false" ht="15" hidden="false" customHeight="true" outlineLevel="0" collapsed="false">
      <c r="A565" s="15"/>
      <c r="B565" s="10"/>
      <c r="C565" s="10"/>
      <c r="D565" s="10"/>
      <c r="E565" s="10"/>
      <c r="F565" s="11"/>
      <c r="G565" s="10"/>
      <c r="H565" s="10"/>
      <c r="I565" s="16" t="str">
        <f aca="false">IF(OR($A565="",$F565=""),"",IF($B565="입금",$F565,0))</f>
        <v/>
      </c>
      <c r="J565" s="16" t="str">
        <f aca="false">IF(OR($A565="",$F565=""),"",IF($B565="출금",$F565,0))</f>
        <v/>
      </c>
      <c r="K565" s="17" t="str">
        <f aca="false">IF($A565="","",COUNTIFS($A$3:$A565,$A565))</f>
        <v/>
      </c>
      <c r="L565" s="17" t="str">
        <f aca="false">IF($A565="","",TEXT($A565,"yyyymmdd")&amp;"|"&amp;$K565)</f>
        <v/>
      </c>
    </row>
    <row r="566" customFormat="false" ht="15" hidden="false" customHeight="true" outlineLevel="0" collapsed="false">
      <c r="A566" s="15"/>
      <c r="B566" s="10"/>
      <c r="C566" s="10"/>
      <c r="D566" s="10"/>
      <c r="E566" s="10"/>
      <c r="F566" s="11"/>
      <c r="G566" s="10"/>
      <c r="H566" s="10"/>
      <c r="I566" s="16" t="str">
        <f aca="false">IF(OR($A566="",$F566=""),"",IF($B566="입금",$F566,0))</f>
        <v/>
      </c>
      <c r="J566" s="16" t="str">
        <f aca="false">IF(OR($A566="",$F566=""),"",IF($B566="출금",$F566,0))</f>
        <v/>
      </c>
      <c r="K566" s="17" t="str">
        <f aca="false">IF($A566="","",COUNTIFS($A$3:$A566,$A566))</f>
        <v/>
      </c>
      <c r="L566" s="17" t="str">
        <f aca="false">IF($A566="","",TEXT($A566,"yyyymmdd")&amp;"|"&amp;$K566)</f>
        <v/>
      </c>
    </row>
    <row r="567" customFormat="false" ht="15" hidden="false" customHeight="true" outlineLevel="0" collapsed="false">
      <c r="A567" s="15"/>
      <c r="B567" s="10"/>
      <c r="C567" s="10"/>
      <c r="D567" s="10"/>
      <c r="E567" s="10"/>
      <c r="F567" s="11"/>
      <c r="G567" s="10"/>
      <c r="H567" s="10"/>
      <c r="I567" s="16" t="str">
        <f aca="false">IF(OR($A567="",$F567=""),"",IF($B567="입금",$F567,0))</f>
        <v/>
      </c>
      <c r="J567" s="16" t="str">
        <f aca="false">IF(OR($A567="",$F567=""),"",IF($B567="출금",$F567,0))</f>
        <v/>
      </c>
      <c r="K567" s="17" t="str">
        <f aca="false">IF($A567="","",COUNTIFS($A$3:$A567,$A567))</f>
        <v/>
      </c>
      <c r="L567" s="17" t="str">
        <f aca="false">IF($A567="","",TEXT($A567,"yyyymmdd")&amp;"|"&amp;$K567)</f>
        <v/>
      </c>
    </row>
    <row r="568" customFormat="false" ht="15" hidden="false" customHeight="true" outlineLevel="0" collapsed="false">
      <c r="A568" s="15"/>
      <c r="B568" s="10"/>
      <c r="C568" s="10"/>
      <c r="D568" s="10"/>
      <c r="E568" s="10"/>
      <c r="F568" s="11"/>
      <c r="G568" s="10"/>
      <c r="H568" s="10"/>
      <c r="I568" s="16" t="str">
        <f aca="false">IF(OR($A568="",$F568=""),"",IF($B568="입금",$F568,0))</f>
        <v/>
      </c>
      <c r="J568" s="16" t="str">
        <f aca="false">IF(OR($A568="",$F568=""),"",IF($B568="출금",$F568,0))</f>
        <v/>
      </c>
      <c r="K568" s="17" t="str">
        <f aca="false">IF($A568="","",COUNTIFS($A$3:$A568,$A568))</f>
        <v/>
      </c>
      <c r="L568" s="17" t="str">
        <f aca="false">IF($A568="","",TEXT($A568,"yyyymmdd")&amp;"|"&amp;$K568)</f>
        <v/>
      </c>
    </row>
    <row r="569" customFormat="false" ht="15" hidden="false" customHeight="true" outlineLevel="0" collapsed="false">
      <c r="A569" s="15"/>
      <c r="B569" s="10"/>
      <c r="C569" s="10"/>
      <c r="D569" s="10"/>
      <c r="E569" s="10"/>
      <c r="F569" s="11"/>
      <c r="G569" s="10"/>
      <c r="H569" s="10"/>
      <c r="I569" s="16" t="str">
        <f aca="false">IF(OR($A569="",$F569=""),"",IF($B569="입금",$F569,0))</f>
        <v/>
      </c>
      <c r="J569" s="16" t="str">
        <f aca="false">IF(OR($A569="",$F569=""),"",IF($B569="출금",$F569,0))</f>
        <v/>
      </c>
      <c r="K569" s="17" t="str">
        <f aca="false">IF($A569="","",COUNTIFS($A$3:$A569,$A569))</f>
        <v/>
      </c>
      <c r="L569" s="17" t="str">
        <f aca="false">IF($A569="","",TEXT($A569,"yyyymmdd")&amp;"|"&amp;$K569)</f>
        <v/>
      </c>
    </row>
    <row r="570" customFormat="false" ht="15" hidden="false" customHeight="true" outlineLevel="0" collapsed="false">
      <c r="A570" s="15"/>
      <c r="B570" s="10"/>
      <c r="C570" s="10"/>
      <c r="D570" s="10"/>
      <c r="E570" s="10"/>
      <c r="F570" s="11"/>
      <c r="G570" s="10"/>
      <c r="H570" s="10"/>
      <c r="I570" s="16" t="str">
        <f aca="false">IF(OR($A570="",$F570=""),"",IF($B570="입금",$F570,0))</f>
        <v/>
      </c>
      <c r="J570" s="16" t="str">
        <f aca="false">IF(OR($A570="",$F570=""),"",IF($B570="출금",$F570,0))</f>
        <v/>
      </c>
      <c r="K570" s="17" t="str">
        <f aca="false">IF($A570="","",COUNTIFS($A$3:$A570,$A570))</f>
        <v/>
      </c>
      <c r="L570" s="17" t="str">
        <f aca="false">IF($A570="","",TEXT($A570,"yyyymmdd")&amp;"|"&amp;$K570)</f>
        <v/>
      </c>
    </row>
    <row r="571" customFormat="false" ht="15" hidden="false" customHeight="true" outlineLevel="0" collapsed="false">
      <c r="A571" s="15"/>
      <c r="B571" s="10"/>
      <c r="C571" s="10"/>
      <c r="D571" s="10"/>
      <c r="E571" s="10"/>
      <c r="F571" s="11"/>
      <c r="G571" s="10"/>
      <c r="H571" s="10"/>
      <c r="I571" s="16" t="str">
        <f aca="false">IF(OR($A571="",$F571=""),"",IF($B571="입금",$F571,0))</f>
        <v/>
      </c>
      <c r="J571" s="16" t="str">
        <f aca="false">IF(OR($A571="",$F571=""),"",IF($B571="출금",$F571,0))</f>
        <v/>
      </c>
      <c r="K571" s="17" t="str">
        <f aca="false">IF($A571="","",COUNTIFS($A$3:$A571,$A571))</f>
        <v/>
      </c>
      <c r="L571" s="17" t="str">
        <f aca="false">IF($A571="","",TEXT($A571,"yyyymmdd")&amp;"|"&amp;$K571)</f>
        <v/>
      </c>
    </row>
    <row r="572" customFormat="false" ht="15" hidden="false" customHeight="true" outlineLevel="0" collapsed="false">
      <c r="A572" s="15"/>
      <c r="B572" s="10"/>
      <c r="C572" s="10"/>
      <c r="D572" s="10"/>
      <c r="E572" s="10"/>
      <c r="F572" s="11"/>
      <c r="G572" s="10"/>
      <c r="H572" s="10"/>
      <c r="I572" s="16" t="str">
        <f aca="false">IF(OR($A572="",$F572=""),"",IF($B572="입금",$F572,0))</f>
        <v/>
      </c>
      <c r="J572" s="16" t="str">
        <f aca="false">IF(OR($A572="",$F572=""),"",IF($B572="출금",$F572,0))</f>
        <v/>
      </c>
      <c r="K572" s="17" t="str">
        <f aca="false">IF($A572="","",COUNTIFS($A$3:$A572,$A572))</f>
        <v/>
      </c>
      <c r="L572" s="17" t="str">
        <f aca="false">IF($A572="","",TEXT($A572,"yyyymmdd")&amp;"|"&amp;$K572)</f>
        <v/>
      </c>
    </row>
    <row r="573" customFormat="false" ht="15" hidden="false" customHeight="true" outlineLevel="0" collapsed="false">
      <c r="A573" s="15"/>
      <c r="B573" s="10"/>
      <c r="C573" s="10"/>
      <c r="D573" s="10"/>
      <c r="E573" s="10"/>
      <c r="F573" s="11"/>
      <c r="G573" s="10"/>
      <c r="H573" s="10"/>
      <c r="I573" s="16" t="str">
        <f aca="false">IF(OR($A573="",$F573=""),"",IF($B573="입금",$F573,0))</f>
        <v/>
      </c>
      <c r="J573" s="16" t="str">
        <f aca="false">IF(OR($A573="",$F573=""),"",IF($B573="출금",$F573,0))</f>
        <v/>
      </c>
      <c r="K573" s="17" t="str">
        <f aca="false">IF($A573="","",COUNTIFS($A$3:$A573,$A573))</f>
        <v/>
      </c>
      <c r="L573" s="17" t="str">
        <f aca="false">IF($A573="","",TEXT($A573,"yyyymmdd")&amp;"|"&amp;$K573)</f>
        <v/>
      </c>
    </row>
    <row r="574" customFormat="false" ht="15" hidden="false" customHeight="true" outlineLevel="0" collapsed="false">
      <c r="A574" s="15"/>
      <c r="B574" s="10"/>
      <c r="C574" s="10"/>
      <c r="D574" s="10"/>
      <c r="E574" s="10"/>
      <c r="F574" s="11"/>
      <c r="G574" s="10"/>
      <c r="H574" s="10"/>
      <c r="I574" s="16" t="str">
        <f aca="false">IF(OR($A574="",$F574=""),"",IF($B574="입금",$F574,0))</f>
        <v/>
      </c>
      <c r="J574" s="16" t="str">
        <f aca="false">IF(OR($A574="",$F574=""),"",IF($B574="출금",$F574,0))</f>
        <v/>
      </c>
      <c r="K574" s="17" t="str">
        <f aca="false">IF($A574="","",COUNTIFS($A$3:$A574,$A574))</f>
        <v/>
      </c>
      <c r="L574" s="17" t="str">
        <f aca="false">IF($A574="","",TEXT($A574,"yyyymmdd")&amp;"|"&amp;$K574)</f>
        <v/>
      </c>
    </row>
    <row r="575" customFormat="false" ht="15" hidden="false" customHeight="true" outlineLevel="0" collapsed="false">
      <c r="A575" s="15"/>
      <c r="B575" s="10"/>
      <c r="C575" s="10"/>
      <c r="D575" s="10"/>
      <c r="E575" s="10"/>
      <c r="F575" s="11"/>
      <c r="G575" s="10"/>
      <c r="H575" s="10"/>
      <c r="I575" s="16" t="str">
        <f aca="false">IF(OR($A575="",$F575=""),"",IF($B575="입금",$F575,0))</f>
        <v/>
      </c>
      <c r="J575" s="16" t="str">
        <f aca="false">IF(OR($A575="",$F575=""),"",IF($B575="출금",$F575,0))</f>
        <v/>
      </c>
      <c r="K575" s="17" t="str">
        <f aca="false">IF($A575="","",COUNTIFS($A$3:$A575,$A575))</f>
        <v/>
      </c>
      <c r="L575" s="17" t="str">
        <f aca="false">IF($A575="","",TEXT($A575,"yyyymmdd")&amp;"|"&amp;$K575)</f>
        <v/>
      </c>
    </row>
    <row r="576" customFormat="false" ht="15" hidden="false" customHeight="true" outlineLevel="0" collapsed="false">
      <c r="A576" s="15"/>
      <c r="B576" s="10"/>
      <c r="C576" s="10"/>
      <c r="D576" s="10"/>
      <c r="E576" s="10"/>
      <c r="F576" s="11"/>
      <c r="G576" s="10"/>
      <c r="H576" s="10"/>
      <c r="I576" s="16" t="str">
        <f aca="false">IF(OR($A576="",$F576=""),"",IF($B576="입금",$F576,0))</f>
        <v/>
      </c>
      <c r="J576" s="16" t="str">
        <f aca="false">IF(OR($A576="",$F576=""),"",IF($B576="출금",$F576,0))</f>
        <v/>
      </c>
      <c r="K576" s="17" t="str">
        <f aca="false">IF($A576="","",COUNTIFS($A$3:$A576,$A576))</f>
        <v/>
      </c>
      <c r="L576" s="17" t="str">
        <f aca="false">IF($A576="","",TEXT($A576,"yyyymmdd")&amp;"|"&amp;$K576)</f>
        <v/>
      </c>
    </row>
    <row r="577" customFormat="false" ht="15" hidden="false" customHeight="true" outlineLevel="0" collapsed="false">
      <c r="A577" s="15"/>
      <c r="B577" s="10"/>
      <c r="C577" s="10"/>
      <c r="D577" s="10"/>
      <c r="E577" s="10"/>
      <c r="F577" s="11"/>
      <c r="G577" s="10"/>
      <c r="H577" s="10"/>
      <c r="I577" s="16" t="str">
        <f aca="false">IF(OR($A577="",$F577=""),"",IF($B577="입금",$F577,0))</f>
        <v/>
      </c>
      <c r="J577" s="16" t="str">
        <f aca="false">IF(OR($A577="",$F577=""),"",IF($B577="출금",$F577,0))</f>
        <v/>
      </c>
      <c r="K577" s="17" t="str">
        <f aca="false">IF($A577="","",COUNTIFS($A$3:$A577,$A577))</f>
        <v/>
      </c>
      <c r="L577" s="17" t="str">
        <f aca="false">IF($A577="","",TEXT($A577,"yyyymmdd")&amp;"|"&amp;$K577)</f>
        <v/>
      </c>
    </row>
    <row r="578" customFormat="false" ht="15" hidden="false" customHeight="true" outlineLevel="0" collapsed="false">
      <c r="A578" s="15"/>
      <c r="B578" s="10"/>
      <c r="C578" s="10"/>
      <c r="D578" s="10"/>
      <c r="E578" s="10"/>
      <c r="F578" s="11"/>
      <c r="G578" s="10"/>
      <c r="H578" s="10"/>
      <c r="I578" s="16" t="str">
        <f aca="false">IF(OR($A578="",$F578=""),"",IF($B578="입금",$F578,0))</f>
        <v/>
      </c>
      <c r="J578" s="16" t="str">
        <f aca="false">IF(OR($A578="",$F578=""),"",IF($B578="출금",$F578,0))</f>
        <v/>
      </c>
      <c r="K578" s="17" t="str">
        <f aca="false">IF($A578="","",COUNTIFS($A$3:$A578,$A578))</f>
        <v/>
      </c>
      <c r="L578" s="17" t="str">
        <f aca="false">IF($A578="","",TEXT($A578,"yyyymmdd")&amp;"|"&amp;$K578)</f>
        <v/>
      </c>
    </row>
    <row r="579" customFormat="false" ht="15" hidden="false" customHeight="true" outlineLevel="0" collapsed="false">
      <c r="A579" s="15"/>
      <c r="B579" s="10"/>
      <c r="C579" s="10"/>
      <c r="D579" s="10"/>
      <c r="E579" s="10"/>
      <c r="F579" s="11"/>
      <c r="G579" s="10"/>
      <c r="H579" s="10"/>
      <c r="I579" s="16" t="str">
        <f aca="false">IF(OR($A579="",$F579=""),"",IF($B579="입금",$F579,0))</f>
        <v/>
      </c>
      <c r="J579" s="16" t="str">
        <f aca="false">IF(OR($A579="",$F579=""),"",IF($B579="출금",$F579,0))</f>
        <v/>
      </c>
      <c r="K579" s="17" t="str">
        <f aca="false">IF($A579="","",COUNTIFS($A$3:$A579,$A579))</f>
        <v/>
      </c>
      <c r="L579" s="17" t="str">
        <f aca="false">IF($A579="","",TEXT($A579,"yyyymmdd")&amp;"|"&amp;$K579)</f>
        <v/>
      </c>
    </row>
    <row r="580" customFormat="false" ht="15" hidden="false" customHeight="true" outlineLevel="0" collapsed="false">
      <c r="A580" s="15"/>
      <c r="B580" s="10"/>
      <c r="C580" s="10"/>
      <c r="D580" s="10"/>
      <c r="E580" s="10"/>
      <c r="F580" s="11"/>
      <c r="G580" s="10"/>
      <c r="H580" s="10"/>
      <c r="I580" s="16" t="str">
        <f aca="false">IF(OR($A580="",$F580=""),"",IF($B580="입금",$F580,0))</f>
        <v/>
      </c>
      <c r="J580" s="16" t="str">
        <f aca="false">IF(OR($A580="",$F580=""),"",IF($B580="출금",$F580,0))</f>
        <v/>
      </c>
      <c r="K580" s="17" t="str">
        <f aca="false">IF($A580="","",COUNTIFS($A$3:$A580,$A580))</f>
        <v/>
      </c>
      <c r="L580" s="17" t="str">
        <f aca="false">IF($A580="","",TEXT($A580,"yyyymmdd")&amp;"|"&amp;$K580)</f>
        <v/>
      </c>
    </row>
    <row r="581" customFormat="false" ht="15" hidden="false" customHeight="true" outlineLevel="0" collapsed="false">
      <c r="A581" s="15"/>
      <c r="B581" s="10"/>
      <c r="C581" s="10"/>
      <c r="D581" s="10"/>
      <c r="E581" s="10"/>
      <c r="F581" s="11"/>
      <c r="G581" s="10"/>
      <c r="H581" s="10"/>
      <c r="I581" s="16" t="str">
        <f aca="false">IF(OR($A581="",$F581=""),"",IF($B581="입금",$F581,0))</f>
        <v/>
      </c>
      <c r="J581" s="16" t="str">
        <f aca="false">IF(OR($A581="",$F581=""),"",IF($B581="출금",$F581,0))</f>
        <v/>
      </c>
      <c r="K581" s="17" t="str">
        <f aca="false">IF($A581="","",COUNTIFS($A$3:$A581,$A581))</f>
        <v/>
      </c>
      <c r="L581" s="17" t="str">
        <f aca="false">IF($A581="","",TEXT($A581,"yyyymmdd")&amp;"|"&amp;$K581)</f>
        <v/>
      </c>
    </row>
    <row r="582" customFormat="false" ht="15" hidden="false" customHeight="true" outlineLevel="0" collapsed="false">
      <c r="A582" s="15"/>
      <c r="B582" s="10"/>
      <c r="C582" s="10"/>
      <c r="D582" s="10"/>
      <c r="E582" s="10"/>
      <c r="F582" s="11"/>
      <c r="G582" s="10"/>
      <c r="H582" s="10"/>
      <c r="I582" s="16" t="str">
        <f aca="false">IF(OR($A582="",$F582=""),"",IF($B582="입금",$F582,0))</f>
        <v/>
      </c>
      <c r="J582" s="16" t="str">
        <f aca="false">IF(OR($A582="",$F582=""),"",IF($B582="출금",$F582,0))</f>
        <v/>
      </c>
      <c r="K582" s="17" t="str">
        <f aca="false">IF($A582="","",COUNTIFS($A$3:$A582,$A582))</f>
        <v/>
      </c>
      <c r="L582" s="17" t="str">
        <f aca="false">IF($A582="","",TEXT($A582,"yyyymmdd")&amp;"|"&amp;$K582)</f>
        <v/>
      </c>
    </row>
    <row r="583" customFormat="false" ht="15" hidden="false" customHeight="true" outlineLevel="0" collapsed="false">
      <c r="A583" s="15"/>
      <c r="B583" s="10"/>
      <c r="C583" s="10"/>
      <c r="D583" s="10"/>
      <c r="E583" s="10"/>
      <c r="F583" s="11"/>
      <c r="G583" s="10"/>
      <c r="H583" s="10"/>
      <c r="I583" s="16" t="str">
        <f aca="false">IF(OR($A583="",$F583=""),"",IF($B583="입금",$F583,0))</f>
        <v/>
      </c>
      <c r="J583" s="16" t="str">
        <f aca="false">IF(OR($A583="",$F583=""),"",IF($B583="출금",$F583,0))</f>
        <v/>
      </c>
      <c r="K583" s="17" t="str">
        <f aca="false">IF($A583="","",COUNTIFS($A$3:$A583,$A583))</f>
        <v/>
      </c>
      <c r="L583" s="17" t="str">
        <f aca="false">IF($A583="","",TEXT($A583,"yyyymmdd")&amp;"|"&amp;$K583)</f>
        <v/>
      </c>
    </row>
    <row r="584" customFormat="false" ht="15" hidden="false" customHeight="true" outlineLevel="0" collapsed="false">
      <c r="A584" s="15"/>
      <c r="B584" s="10"/>
      <c r="C584" s="10"/>
      <c r="D584" s="10"/>
      <c r="E584" s="10"/>
      <c r="F584" s="11"/>
      <c r="G584" s="10"/>
      <c r="H584" s="10"/>
      <c r="I584" s="16" t="str">
        <f aca="false">IF(OR($A584="",$F584=""),"",IF($B584="입금",$F584,0))</f>
        <v/>
      </c>
      <c r="J584" s="16" t="str">
        <f aca="false">IF(OR($A584="",$F584=""),"",IF($B584="출금",$F584,0))</f>
        <v/>
      </c>
      <c r="K584" s="17" t="str">
        <f aca="false">IF($A584="","",COUNTIFS($A$3:$A584,$A584))</f>
        <v/>
      </c>
      <c r="L584" s="17" t="str">
        <f aca="false">IF($A584="","",TEXT($A584,"yyyymmdd")&amp;"|"&amp;$K584)</f>
        <v/>
      </c>
    </row>
    <row r="585" customFormat="false" ht="15" hidden="false" customHeight="true" outlineLevel="0" collapsed="false">
      <c r="A585" s="15"/>
      <c r="B585" s="10"/>
      <c r="C585" s="10"/>
      <c r="D585" s="10"/>
      <c r="E585" s="10"/>
      <c r="F585" s="11"/>
      <c r="G585" s="10"/>
      <c r="H585" s="10"/>
      <c r="I585" s="16" t="str">
        <f aca="false">IF(OR($A585="",$F585=""),"",IF($B585="입금",$F585,0))</f>
        <v/>
      </c>
      <c r="J585" s="16" t="str">
        <f aca="false">IF(OR($A585="",$F585=""),"",IF($B585="출금",$F585,0))</f>
        <v/>
      </c>
      <c r="K585" s="17" t="str">
        <f aca="false">IF($A585="","",COUNTIFS($A$3:$A585,$A585))</f>
        <v/>
      </c>
      <c r="L585" s="17" t="str">
        <f aca="false">IF($A585="","",TEXT($A585,"yyyymmdd")&amp;"|"&amp;$K585)</f>
        <v/>
      </c>
    </row>
    <row r="586" customFormat="false" ht="15" hidden="false" customHeight="true" outlineLevel="0" collapsed="false">
      <c r="A586" s="15"/>
      <c r="B586" s="10"/>
      <c r="C586" s="10"/>
      <c r="D586" s="10"/>
      <c r="E586" s="10"/>
      <c r="F586" s="11"/>
      <c r="G586" s="10"/>
      <c r="H586" s="10"/>
      <c r="I586" s="16" t="str">
        <f aca="false">IF(OR($A586="",$F586=""),"",IF($B586="입금",$F586,0))</f>
        <v/>
      </c>
      <c r="J586" s="16" t="str">
        <f aca="false">IF(OR($A586="",$F586=""),"",IF($B586="출금",$F586,0))</f>
        <v/>
      </c>
      <c r="K586" s="17" t="str">
        <f aca="false">IF($A586="","",COUNTIFS($A$3:$A586,$A586))</f>
        <v/>
      </c>
      <c r="L586" s="17" t="str">
        <f aca="false">IF($A586="","",TEXT($A586,"yyyymmdd")&amp;"|"&amp;$K586)</f>
        <v/>
      </c>
    </row>
    <row r="587" customFormat="false" ht="15" hidden="false" customHeight="true" outlineLevel="0" collapsed="false">
      <c r="A587" s="15"/>
      <c r="B587" s="10"/>
      <c r="C587" s="10"/>
      <c r="D587" s="10"/>
      <c r="E587" s="10"/>
      <c r="F587" s="11"/>
      <c r="G587" s="10"/>
      <c r="H587" s="10"/>
      <c r="I587" s="16" t="str">
        <f aca="false">IF(OR($A587="",$F587=""),"",IF($B587="입금",$F587,0))</f>
        <v/>
      </c>
      <c r="J587" s="16" t="str">
        <f aca="false">IF(OR($A587="",$F587=""),"",IF($B587="출금",$F587,0))</f>
        <v/>
      </c>
      <c r="K587" s="17" t="str">
        <f aca="false">IF($A587="","",COUNTIFS($A$3:$A587,$A587))</f>
        <v/>
      </c>
      <c r="L587" s="17" t="str">
        <f aca="false">IF($A587="","",TEXT($A587,"yyyymmdd")&amp;"|"&amp;$K587)</f>
        <v/>
      </c>
    </row>
    <row r="588" customFormat="false" ht="15" hidden="false" customHeight="true" outlineLevel="0" collapsed="false">
      <c r="A588" s="15"/>
      <c r="B588" s="10"/>
      <c r="C588" s="10"/>
      <c r="D588" s="10"/>
      <c r="E588" s="10"/>
      <c r="F588" s="11"/>
      <c r="G588" s="10"/>
      <c r="H588" s="10"/>
      <c r="I588" s="16" t="str">
        <f aca="false">IF(OR($A588="",$F588=""),"",IF($B588="입금",$F588,0))</f>
        <v/>
      </c>
      <c r="J588" s="16" t="str">
        <f aca="false">IF(OR($A588="",$F588=""),"",IF($B588="출금",$F588,0))</f>
        <v/>
      </c>
      <c r="K588" s="17" t="str">
        <f aca="false">IF($A588="","",COUNTIFS($A$3:$A588,$A588))</f>
        <v/>
      </c>
      <c r="L588" s="17" t="str">
        <f aca="false">IF($A588="","",TEXT($A588,"yyyymmdd")&amp;"|"&amp;$K588)</f>
        <v/>
      </c>
    </row>
    <row r="589" customFormat="false" ht="15" hidden="false" customHeight="true" outlineLevel="0" collapsed="false">
      <c r="A589" s="15"/>
      <c r="B589" s="10"/>
      <c r="C589" s="10"/>
      <c r="D589" s="10"/>
      <c r="E589" s="10"/>
      <c r="F589" s="11"/>
      <c r="G589" s="10"/>
      <c r="H589" s="10"/>
      <c r="I589" s="16" t="str">
        <f aca="false">IF(OR($A589="",$F589=""),"",IF($B589="입금",$F589,0))</f>
        <v/>
      </c>
      <c r="J589" s="16" t="str">
        <f aca="false">IF(OR($A589="",$F589=""),"",IF($B589="출금",$F589,0))</f>
        <v/>
      </c>
      <c r="K589" s="17" t="str">
        <f aca="false">IF($A589="","",COUNTIFS($A$3:$A589,$A589))</f>
        <v/>
      </c>
      <c r="L589" s="17" t="str">
        <f aca="false">IF($A589="","",TEXT($A589,"yyyymmdd")&amp;"|"&amp;$K589)</f>
        <v/>
      </c>
    </row>
    <row r="590" customFormat="false" ht="15" hidden="false" customHeight="true" outlineLevel="0" collapsed="false">
      <c r="A590" s="15"/>
      <c r="B590" s="10"/>
      <c r="C590" s="10"/>
      <c r="D590" s="10"/>
      <c r="E590" s="10"/>
      <c r="F590" s="11"/>
      <c r="G590" s="10"/>
      <c r="H590" s="10"/>
      <c r="I590" s="16" t="str">
        <f aca="false">IF(OR($A590="",$F590=""),"",IF($B590="입금",$F590,0))</f>
        <v/>
      </c>
      <c r="J590" s="16" t="str">
        <f aca="false">IF(OR($A590="",$F590=""),"",IF($B590="출금",$F590,0))</f>
        <v/>
      </c>
      <c r="K590" s="17" t="str">
        <f aca="false">IF($A590="","",COUNTIFS($A$3:$A590,$A590))</f>
        <v/>
      </c>
      <c r="L590" s="17" t="str">
        <f aca="false">IF($A590="","",TEXT($A590,"yyyymmdd")&amp;"|"&amp;$K590)</f>
        <v/>
      </c>
    </row>
    <row r="591" customFormat="false" ht="15" hidden="false" customHeight="true" outlineLevel="0" collapsed="false">
      <c r="A591" s="15"/>
      <c r="B591" s="10"/>
      <c r="C591" s="10"/>
      <c r="D591" s="10"/>
      <c r="E591" s="10"/>
      <c r="F591" s="11"/>
      <c r="G591" s="10"/>
      <c r="H591" s="10"/>
      <c r="I591" s="16" t="str">
        <f aca="false">IF(OR($A591="",$F591=""),"",IF($B591="입금",$F591,0))</f>
        <v/>
      </c>
      <c r="J591" s="16" t="str">
        <f aca="false">IF(OR($A591="",$F591=""),"",IF($B591="출금",$F591,0))</f>
        <v/>
      </c>
      <c r="K591" s="17" t="str">
        <f aca="false">IF($A591="","",COUNTIFS($A$3:$A591,$A591))</f>
        <v/>
      </c>
      <c r="L591" s="17" t="str">
        <f aca="false">IF($A591="","",TEXT($A591,"yyyymmdd")&amp;"|"&amp;$K591)</f>
        <v/>
      </c>
    </row>
    <row r="592" customFormat="false" ht="15" hidden="false" customHeight="true" outlineLevel="0" collapsed="false">
      <c r="A592" s="15"/>
      <c r="B592" s="10"/>
      <c r="C592" s="10"/>
      <c r="D592" s="10"/>
      <c r="E592" s="10"/>
      <c r="F592" s="11"/>
      <c r="G592" s="10"/>
      <c r="H592" s="10"/>
      <c r="I592" s="16" t="str">
        <f aca="false">IF(OR($A592="",$F592=""),"",IF($B592="입금",$F592,0))</f>
        <v/>
      </c>
      <c r="J592" s="16" t="str">
        <f aca="false">IF(OR($A592="",$F592=""),"",IF($B592="출금",$F592,0))</f>
        <v/>
      </c>
      <c r="K592" s="17" t="str">
        <f aca="false">IF($A592="","",COUNTIFS($A$3:$A592,$A592))</f>
        <v/>
      </c>
      <c r="L592" s="17" t="str">
        <f aca="false">IF($A592="","",TEXT($A592,"yyyymmdd")&amp;"|"&amp;$K592)</f>
        <v/>
      </c>
    </row>
    <row r="593" customFormat="false" ht="15" hidden="false" customHeight="true" outlineLevel="0" collapsed="false">
      <c r="A593" s="15"/>
      <c r="B593" s="10"/>
      <c r="C593" s="10"/>
      <c r="D593" s="10"/>
      <c r="E593" s="10"/>
      <c r="F593" s="11"/>
      <c r="G593" s="10"/>
      <c r="H593" s="10"/>
      <c r="I593" s="16" t="str">
        <f aca="false">IF(OR($A593="",$F593=""),"",IF($B593="입금",$F593,0))</f>
        <v/>
      </c>
      <c r="J593" s="16" t="str">
        <f aca="false">IF(OR($A593="",$F593=""),"",IF($B593="출금",$F593,0))</f>
        <v/>
      </c>
      <c r="K593" s="17" t="str">
        <f aca="false">IF($A593="","",COUNTIFS($A$3:$A593,$A593))</f>
        <v/>
      </c>
      <c r="L593" s="17" t="str">
        <f aca="false">IF($A593="","",TEXT($A593,"yyyymmdd")&amp;"|"&amp;$K593)</f>
        <v/>
      </c>
    </row>
    <row r="594" customFormat="false" ht="15" hidden="false" customHeight="true" outlineLevel="0" collapsed="false">
      <c r="A594" s="15"/>
      <c r="B594" s="10"/>
      <c r="C594" s="10"/>
      <c r="D594" s="10"/>
      <c r="E594" s="10"/>
      <c r="F594" s="11"/>
      <c r="G594" s="10"/>
      <c r="H594" s="10"/>
      <c r="I594" s="16" t="str">
        <f aca="false">IF(OR($A594="",$F594=""),"",IF($B594="입금",$F594,0))</f>
        <v/>
      </c>
      <c r="J594" s="16" t="str">
        <f aca="false">IF(OR($A594="",$F594=""),"",IF($B594="출금",$F594,0))</f>
        <v/>
      </c>
      <c r="K594" s="17" t="str">
        <f aca="false">IF($A594="","",COUNTIFS($A$3:$A594,$A594))</f>
        <v/>
      </c>
      <c r="L594" s="17" t="str">
        <f aca="false">IF($A594="","",TEXT($A594,"yyyymmdd")&amp;"|"&amp;$K594)</f>
        <v/>
      </c>
    </row>
    <row r="595" customFormat="false" ht="15" hidden="false" customHeight="true" outlineLevel="0" collapsed="false">
      <c r="A595" s="15"/>
      <c r="B595" s="10"/>
      <c r="C595" s="10"/>
      <c r="D595" s="10"/>
      <c r="E595" s="10"/>
      <c r="F595" s="11"/>
      <c r="G595" s="10"/>
      <c r="H595" s="10"/>
      <c r="I595" s="16" t="str">
        <f aca="false">IF(OR($A595="",$F595=""),"",IF($B595="입금",$F595,0))</f>
        <v/>
      </c>
      <c r="J595" s="16" t="str">
        <f aca="false">IF(OR($A595="",$F595=""),"",IF($B595="출금",$F595,0))</f>
        <v/>
      </c>
      <c r="K595" s="17" t="str">
        <f aca="false">IF($A595="","",COUNTIFS($A$3:$A595,$A595))</f>
        <v/>
      </c>
      <c r="L595" s="17" t="str">
        <f aca="false">IF($A595="","",TEXT($A595,"yyyymmdd")&amp;"|"&amp;$K595)</f>
        <v/>
      </c>
    </row>
    <row r="596" customFormat="false" ht="15" hidden="false" customHeight="true" outlineLevel="0" collapsed="false">
      <c r="A596" s="15"/>
      <c r="B596" s="10"/>
      <c r="C596" s="10"/>
      <c r="D596" s="10"/>
      <c r="E596" s="10"/>
      <c r="F596" s="11"/>
      <c r="G596" s="10"/>
      <c r="H596" s="10"/>
      <c r="I596" s="16" t="str">
        <f aca="false">IF(OR($A596="",$F596=""),"",IF($B596="입금",$F596,0))</f>
        <v/>
      </c>
      <c r="J596" s="16" t="str">
        <f aca="false">IF(OR($A596="",$F596=""),"",IF($B596="출금",$F596,0))</f>
        <v/>
      </c>
      <c r="K596" s="17" t="str">
        <f aca="false">IF($A596="","",COUNTIFS($A$3:$A596,$A596))</f>
        <v/>
      </c>
      <c r="L596" s="17" t="str">
        <f aca="false">IF($A596="","",TEXT($A596,"yyyymmdd")&amp;"|"&amp;$K596)</f>
        <v/>
      </c>
    </row>
    <row r="597" customFormat="false" ht="15" hidden="false" customHeight="true" outlineLevel="0" collapsed="false">
      <c r="A597" s="15"/>
      <c r="B597" s="10"/>
      <c r="C597" s="10"/>
      <c r="D597" s="10"/>
      <c r="E597" s="10"/>
      <c r="F597" s="11"/>
      <c r="G597" s="10"/>
      <c r="H597" s="10"/>
      <c r="I597" s="16" t="str">
        <f aca="false">IF(OR($A597="",$F597=""),"",IF($B597="입금",$F597,0))</f>
        <v/>
      </c>
      <c r="J597" s="16" t="str">
        <f aca="false">IF(OR($A597="",$F597=""),"",IF($B597="출금",$F597,0))</f>
        <v/>
      </c>
      <c r="K597" s="17" t="str">
        <f aca="false">IF($A597="","",COUNTIFS($A$3:$A597,$A597))</f>
        <v/>
      </c>
      <c r="L597" s="17" t="str">
        <f aca="false">IF($A597="","",TEXT($A597,"yyyymmdd")&amp;"|"&amp;$K597)</f>
        <v/>
      </c>
    </row>
    <row r="598" customFormat="false" ht="15" hidden="false" customHeight="true" outlineLevel="0" collapsed="false">
      <c r="A598" s="15"/>
      <c r="B598" s="10"/>
      <c r="C598" s="10"/>
      <c r="D598" s="10"/>
      <c r="E598" s="10"/>
      <c r="F598" s="11"/>
      <c r="G598" s="10"/>
      <c r="H598" s="10"/>
      <c r="I598" s="16" t="str">
        <f aca="false">IF(OR($A598="",$F598=""),"",IF($B598="입금",$F598,0))</f>
        <v/>
      </c>
      <c r="J598" s="16" t="str">
        <f aca="false">IF(OR($A598="",$F598=""),"",IF($B598="출금",$F598,0))</f>
        <v/>
      </c>
      <c r="K598" s="17" t="str">
        <f aca="false">IF($A598="","",COUNTIFS($A$3:$A598,$A598))</f>
        <v/>
      </c>
      <c r="L598" s="17" t="str">
        <f aca="false">IF($A598="","",TEXT($A598,"yyyymmdd")&amp;"|"&amp;$K598)</f>
        <v/>
      </c>
    </row>
    <row r="599" customFormat="false" ht="15" hidden="false" customHeight="true" outlineLevel="0" collapsed="false">
      <c r="A599" s="15"/>
      <c r="B599" s="10"/>
      <c r="C599" s="10"/>
      <c r="D599" s="10"/>
      <c r="E599" s="10"/>
      <c r="F599" s="11"/>
      <c r="G599" s="10"/>
      <c r="H599" s="10"/>
      <c r="I599" s="16" t="str">
        <f aca="false">IF(OR($A599="",$F599=""),"",IF($B599="입금",$F599,0))</f>
        <v/>
      </c>
      <c r="J599" s="16" t="str">
        <f aca="false">IF(OR($A599="",$F599=""),"",IF($B599="출금",$F599,0))</f>
        <v/>
      </c>
      <c r="K599" s="17" t="str">
        <f aca="false">IF($A599="","",COUNTIFS($A$3:$A599,$A599))</f>
        <v/>
      </c>
      <c r="L599" s="17" t="str">
        <f aca="false">IF($A599="","",TEXT($A599,"yyyymmdd")&amp;"|"&amp;$K599)</f>
        <v/>
      </c>
    </row>
    <row r="600" customFormat="false" ht="15" hidden="false" customHeight="true" outlineLevel="0" collapsed="false">
      <c r="A600" s="15"/>
      <c r="B600" s="10"/>
      <c r="C600" s="10"/>
      <c r="D600" s="10"/>
      <c r="E600" s="10"/>
      <c r="F600" s="11"/>
      <c r="G600" s="10"/>
      <c r="H600" s="10"/>
      <c r="I600" s="16" t="str">
        <f aca="false">IF(OR($A600="",$F600=""),"",IF($B600="입금",$F600,0))</f>
        <v/>
      </c>
      <c r="J600" s="16" t="str">
        <f aca="false">IF(OR($A600="",$F600=""),"",IF($B600="출금",$F600,0))</f>
        <v/>
      </c>
      <c r="K600" s="17" t="str">
        <f aca="false">IF($A600="","",COUNTIFS($A$3:$A600,$A600))</f>
        <v/>
      </c>
      <c r="L600" s="17" t="str">
        <f aca="false">IF($A600="","",TEXT($A600,"yyyymmdd")&amp;"|"&amp;$K600)</f>
        <v/>
      </c>
    </row>
    <row r="601" customFormat="false" ht="15" hidden="false" customHeight="true" outlineLevel="0" collapsed="false">
      <c r="A601" s="15"/>
      <c r="B601" s="10"/>
      <c r="C601" s="10"/>
      <c r="D601" s="10"/>
      <c r="E601" s="10"/>
      <c r="F601" s="11"/>
      <c r="G601" s="10"/>
      <c r="H601" s="10"/>
      <c r="I601" s="16" t="str">
        <f aca="false">IF(OR($A601="",$F601=""),"",IF($B601="입금",$F601,0))</f>
        <v/>
      </c>
      <c r="J601" s="16" t="str">
        <f aca="false">IF(OR($A601="",$F601=""),"",IF($B601="출금",$F601,0))</f>
        <v/>
      </c>
      <c r="K601" s="17" t="str">
        <f aca="false">IF($A601="","",COUNTIFS($A$3:$A601,$A601))</f>
        <v/>
      </c>
      <c r="L601" s="17" t="str">
        <f aca="false">IF($A601="","",TEXT($A601,"yyyymmdd")&amp;"|"&amp;$K601)</f>
        <v/>
      </c>
    </row>
    <row r="602" customFormat="false" ht="15" hidden="false" customHeight="true" outlineLevel="0" collapsed="false">
      <c r="A602" s="15"/>
      <c r="B602" s="10"/>
      <c r="C602" s="10"/>
      <c r="D602" s="10"/>
      <c r="E602" s="10"/>
      <c r="F602" s="11"/>
      <c r="G602" s="10"/>
      <c r="H602" s="10"/>
      <c r="I602" s="16" t="str">
        <f aca="false">IF(OR($A602="",$F602=""),"",IF($B602="입금",$F602,0))</f>
        <v/>
      </c>
      <c r="J602" s="16" t="str">
        <f aca="false">IF(OR($A602="",$F602=""),"",IF($B602="출금",$F602,0))</f>
        <v/>
      </c>
      <c r="K602" s="17" t="str">
        <f aca="false">IF($A602="","",COUNTIFS($A$3:$A602,$A602))</f>
        <v/>
      </c>
      <c r="L602" s="17" t="str">
        <f aca="false">IF($A602="","",TEXT($A602,"yyyymmdd")&amp;"|"&amp;$K602)</f>
        <v/>
      </c>
    </row>
    <row r="603" customFormat="false" ht="15" hidden="false" customHeight="true" outlineLevel="0" collapsed="false">
      <c r="A603" s="15"/>
      <c r="B603" s="10"/>
      <c r="C603" s="10"/>
      <c r="D603" s="10"/>
      <c r="E603" s="10"/>
      <c r="F603" s="11"/>
      <c r="G603" s="10"/>
      <c r="H603" s="10"/>
      <c r="I603" s="16" t="str">
        <f aca="false">IF(OR($A603="",$F603=""),"",IF($B603="입금",$F603,0))</f>
        <v/>
      </c>
      <c r="J603" s="16" t="str">
        <f aca="false">IF(OR($A603="",$F603=""),"",IF($B603="출금",$F603,0))</f>
        <v/>
      </c>
      <c r="K603" s="17" t="str">
        <f aca="false">IF($A603="","",COUNTIFS($A$3:$A603,$A603))</f>
        <v/>
      </c>
      <c r="L603" s="17" t="str">
        <f aca="false">IF($A603="","",TEXT($A603,"yyyymmdd")&amp;"|"&amp;$K603)</f>
        <v/>
      </c>
    </row>
    <row r="604" customFormat="false" ht="15" hidden="false" customHeight="true" outlineLevel="0" collapsed="false">
      <c r="A604" s="15"/>
      <c r="B604" s="10"/>
      <c r="C604" s="10"/>
      <c r="D604" s="10"/>
      <c r="E604" s="10"/>
      <c r="F604" s="11"/>
      <c r="G604" s="10"/>
      <c r="H604" s="10"/>
      <c r="I604" s="16" t="str">
        <f aca="false">IF(OR($A604="",$F604=""),"",IF($B604="입금",$F604,0))</f>
        <v/>
      </c>
      <c r="J604" s="16" t="str">
        <f aca="false">IF(OR($A604="",$F604=""),"",IF($B604="출금",$F604,0))</f>
        <v/>
      </c>
      <c r="K604" s="17" t="str">
        <f aca="false">IF($A604="","",COUNTIFS($A$3:$A604,$A604))</f>
        <v/>
      </c>
      <c r="L604" s="17" t="str">
        <f aca="false">IF($A604="","",TEXT($A604,"yyyymmdd")&amp;"|"&amp;$K604)</f>
        <v/>
      </c>
    </row>
    <row r="605" customFormat="false" ht="15" hidden="false" customHeight="true" outlineLevel="0" collapsed="false">
      <c r="A605" s="15"/>
      <c r="B605" s="10"/>
      <c r="C605" s="10"/>
      <c r="D605" s="10"/>
      <c r="E605" s="10"/>
      <c r="F605" s="11"/>
      <c r="G605" s="10"/>
      <c r="H605" s="10"/>
      <c r="I605" s="16" t="str">
        <f aca="false">IF(OR($A605="",$F605=""),"",IF($B605="입금",$F605,0))</f>
        <v/>
      </c>
      <c r="J605" s="16" t="str">
        <f aca="false">IF(OR($A605="",$F605=""),"",IF($B605="출금",$F605,0))</f>
        <v/>
      </c>
      <c r="K605" s="17" t="str">
        <f aca="false">IF($A605="","",COUNTIFS($A$3:$A605,$A605))</f>
        <v/>
      </c>
      <c r="L605" s="17" t="str">
        <f aca="false">IF($A605="","",TEXT($A605,"yyyymmdd")&amp;"|"&amp;$K605)</f>
        <v/>
      </c>
    </row>
    <row r="606" customFormat="false" ht="15" hidden="false" customHeight="true" outlineLevel="0" collapsed="false">
      <c r="A606" s="15"/>
      <c r="B606" s="10"/>
      <c r="C606" s="10"/>
      <c r="D606" s="10"/>
      <c r="E606" s="10"/>
      <c r="F606" s="11"/>
      <c r="G606" s="10"/>
      <c r="H606" s="10"/>
      <c r="I606" s="16" t="str">
        <f aca="false">IF(OR($A606="",$F606=""),"",IF($B606="입금",$F606,0))</f>
        <v/>
      </c>
      <c r="J606" s="16" t="str">
        <f aca="false">IF(OR($A606="",$F606=""),"",IF($B606="출금",$F606,0))</f>
        <v/>
      </c>
      <c r="K606" s="17" t="str">
        <f aca="false">IF($A606="","",COUNTIFS($A$3:$A606,$A606))</f>
        <v/>
      </c>
      <c r="L606" s="17" t="str">
        <f aca="false">IF($A606="","",TEXT($A606,"yyyymmdd")&amp;"|"&amp;$K606)</f>
        <v/>
      </c>
    </row>
    <row r="607" customFormat="false" ht="15" hidden="false" customHeight="true" outlineLevel="0" collapsed="false">
      <c r="A607" s="15"/>
      <c r="B607" s="10"/>
      <c r="C607" s="10"/>
      <c r="D607" s="10"/>
      <c r="E607" s="10"/>
      <c r="F607" s="11"/>
      <c r="G607" s="10"/>
      <c r="H607" s="10"/>
      <c r="I607" s="16" t="str">
        <f aca="false">IF(OR($A607="",$F607=""),"",IF($B607="입금",$F607,0))</f>
        <v/>
      </c>
      <c r="J607" s="16" t="str">
        <f aca="false">IF(OR($A607="",$F607=""),"",IF($B607="출금",$F607,0))</f>
        <v/>
      </c>
      <c r="K607" s="17" t="str">
        <f aca="false">IF($A607="","",COUNTIFS($A$3:$A607,$A607))</f>
        <v/>
      </c>
      <c r="L607" s="17" t="str">
        <f aca="false">IF($A607="","",TEXT($A607,"yyyymmdd")&amp;"|"&amp;$K607)</f>
        <v/>
      </c>
    </row>
    <row r="608" customFormat="false" ht="15" hidden="false" customHeight="true" outlineLevel="0" collapsed="false">
      <c r="A608" s="15"/>
      <c r="B608" s="10"/>
      <c r="C608" s="10"/>
      <c r="D608" s="10"/>
      <c r="E608" s="10"/>
      <c r="F608" s="11"/>
      <c r="G608" s="10"/>
      <c r="H608" s="10"/>
      <c r="I608" s="16" t="str">
        <f aca="false">IF(OR($A608="",$F608=""),"",IF($B608="입금",$F608,0))</f>
        <v/>
      </c>
      <c r="J608" s="16" t="str">
        <f aca="false">IF(OR($A608="",$F608=""),"",IF($B608="출금",$F608,0))</f>
        <v/>
      </c>
      <c r="K608" s="17" t="str">
        <f aca="false">IF($A608="","",COUNTIFS($A$3:$A608,$A608))</f>
        <v/>
      </c>
      <c r="L608" s="17" t="str">
        <f aca="false">IF($A608="","",TEXT($A608,"yyyymmdd")&amp;"|"&amp;$K608)</f>
        <v/>
      </c>
    </row>
    <row r="609" customFormat="false" ht="15" hidden="false" customHeight="true" outlineLevel="0" collapsed="false">
      <c r="A609" s="15"/>
      <c r="B609" s="10"/>
      <c r="C609" s="10"/>
      <c r="D609" s="10"/>
      <c r="E609" s="10"/>
      <c r="F609" s="11"/>
      <c r="G609" s="10"/>
      <c r="H609" s="10"/>
      <c r="I609" s="16" t="str">
        <f aca="false">IF(OR($A609="",$F609=""),"",IF($B609="입금",$F609,0))</f>
        <v/>
      </c>
      <c r="J609" s="16" t="str">
        <f aca="false">IF(OR($A609="",$F609=""),"",IF($B609="출금",$F609,0))</f>
        <v/>
      </c>
      <c r="K609" s="17" t="str">
        <f aca="false">IF($A609="","",COUNTIFS($A$3:$A609,$A609))</f>
        <v/>
      </c>
      <c r="L609" s="17" t="str">
        <f aca="false">IF($A609="","",TEXT($A609,"yyyymmdd")&amp;"|"&amp;$K609)</f>
        <v/>
      </c>
    </row>
    <row r="610" customFormat="false" ht="15" hidden="false" customHeight="true" outlineLevel="0" collapsed="false">
      <c r="A610" s="15"/>
      <c r="B610" s="10"/>
      <c r="C610" s="10"/>
      <c r="D610" s="10"/>
      <c r="E610" s="10"/>
      <c r="F610" s="11"/>
      <c r="G610" s="10"/>
      <c r="H610" s="10"/>
      <c r="I610" s="16" t="str">
        <f aca="false">IF(OR($A610="",$F610=""),"",IF($B610="입금",$F610,0))</f>
        <v/>
      </c>
      <c r="J610" s="16" t="str">
        <f aca="false">IF(OR($A610="",$F610=""),"",IF($B610="출금",$F610,0))</f>
        <v/>
      </c>
      <c r="K610" s="17" t="str">
        <f aca="false">IF($A610="","",COUNTIFS($A$3:$A610,$A610))</f>
        <v/>
      </c>
      <c r="L610" s="17" t="str">
        <f aca="false">IF($A610="","",TEXT($A610,"yyyymmdd")&amp;"|"&amp;$K610)</f>
        <v/>
      </c>
    </row>
    <row r="611" customFormat="false" ht="15" hidden="false" customHeight="true" outlineLevel="0" collapsed="false">
      <c r="A611" s="15"/>
      <c r="B611" s="10"/>
      <c r="C611" s="10"/>
      <c r="D611" s="10"/>
      <c r="E611" s="10"/>
      <c r="F611" s="11"/>
      <c r="G611" s="10"/>
      <c r="H611" s="10"/>
      <c r="I611" s="16" t="str">
        <f aca="false">IF(OR($A611="",$F611=""),"",IF($B611="입금",$F611,0))</f>
        <v/>
      </c>
      <c r="J611" s="16" t="str">
        <f aca="false">IF(OR($A611="",$F611=""),"",IF($B611="출금",$F611,0))</f>
        <v/>
      </c>
      <c r="K611" s="17" t="str">
        <f aca="false">IF($A611="","",COUNTIFS($A$3:$A611,$A611))</f>
        <v/>
      </c>
      <c r="L611" s="17" t="str">
        <f aca="false">IF($A611="","",TEXT($A611,"yyyymmdd")&amp;"|"&amp;$K611)</f>
        <v/>
      </c>
    </row>
    <row r="612" customFormat="false" ht="15" hidden="false" customHeight="true" outlineLevel="0" collapsed="false">
      <c r="A612" s="15"/>
      <c r="B612" s="10"/>
      <c r="C612" s="10"/>
      <c r="D612" s="10"/>
      <c r="E612" s="10"/>
      <c r="F612" s="11"/>
      <c r="G612" s="10"/>
      <c r="H612" s="10"/>
      <c r="I612" s="16" t="str">
        <f aca="false">IF(OR($A612="",$F612=""),"",IF($B612="입금",$F612,0))</f>
        <v/>
      </c>
      <c r="J612" s="16" t="str">
        <f aca="false">IF(OR($A612="",$F612=""),"",IF($B612="출금",$F612,0))</f>
        <v/>
      </c>
      <c r="K612" s="17" t="str">
        <f aca="false">IF($A612="","",COUNTIFS($A$3:$A612,$A612))</f>
        <v/>
      </c>
      <c r="L612" s="17" t="str">
        <f aca="false">IF($A612="","",TEXT($A612,"yyyymmdd")&amp;"|"&amp;$K612)</f>
        <v/>
      </c>
    </row>
    <row r="613" customFormat="false" ht="15" hidden="false" customHeight="true" outlineLevel="0" collapsed="false">
      <c r="A613" s="15"/>
      <c r="B613" s="10"/>
      <c r="C613" s="10"/>
      <c r="D613" s="10"/>
      <c r="E613" s="10"/>
      <c r="F613" s="11"/>
      <c r="G613" s="10"/>
      <c r="H613" s="10"/>
      <c r="I613" s="16" t="str">
        <f aca="false">IF(OR($A613="",$F613=""),"",IF($B613="입금",$F613,0))</f>
        <v/>
      </c>
      <c r="J613" s="16" t="str">
        <f aca="false">IF(OR($A613="",$F613=""),"",IF($B613="출금",$F613,0))</f>
        <v/>
      </c>
      <c r="K613" s="17" t="str">
        <f aca="false">IF($A613="","",COUNTIFS($A$3:$A613,$A613))</f>
        <v/>
      </c>
      <c r="L613" s="17" t="str">
        <f aca="false">IF($A613="","",TEXT($A613,"yyyymmdd")&amp;"|"&amp;$K613)</f>
        <v/>
      </c>
    </row>
    <row r="614" customFormat="false" ht="15" hidden="false" customHeight="true" outlineLevel="0" collapsed="false">
      <c r="A614" s="15"/>
      <c r="B614" s="10"/>
      <c r="C614" s="10"/>
      <c r="D614" s="10"/>
      <c r="E614" s="10"/>
      <c r="F614" s="11"/>
      <c r="G614" s="10"/>
      <c r="H614" s="10"/>
      <c r="I614" s="16" t="str">
        <f aca="false">IF(OR($A614="",$F614=""),"",IF($B614="입금",$F614,0))</f>
        <v/>
      </c>
      <c r="J614" s="16" t="str">
        <f aca="false">IF(OR($A614="",$F614=""),"",IF($B614="출금",$F614,0))</f>
        <v/>
      </c>
      <c r="K614" s="17" t="str">
        <f aca="false">IF($A614="","",COUNTIFS($A$3:$A614,$A614))</f>
        <v/>
      </c>
      <c r="L614" s="17" t="str">
        <f aca="false">IF($A614="","",TEXT($A614,"yyyymmdd")&amp;"|"&amp;$K614)</f>
        <v/>
      </c>
    </row>
    <row r="615" customFormat="false" ht="15" hidden="false" customHeight="true" outlineLevel="0" collapsed="false">
      <c r="A615" s="15"/>
      <c r="B615" s="10"/>
      <c r="C615" s="10"/>
      <c r="D615" s="10"/>
      <c r="E615" s="10"/>
      <c r="F615" s="11"/>
      <c r="G615" s="10"/>
      <c r="H615" s="10"/>
      <c r="I615" s="16" t="str">
        <f aca="false">IF(OR($A615="",$F615=""),"",IF($B615="입금",$F615,0))</f>
        <v/>
      </c>
      <c r="J615" s="16" t="str">
        <f aca="false">IF(OR($A615="",$F615=""),"",IF($B615="출금",$F615,0))</f>
        <v/>
      </c>
      <c r="K615" s="17" t="str">
        <f aca="false">IF($A615="","",COUNTIFS($A$3:$A615,$A615))</f>
        <v/>
      </c>
      <c r="L615" s="17" t="str">
        <f aca="false">IF($A615="","",TEXT($A615,"yyyymmdd")&amp;"|"&amp;$K615)</f>
        <v/>
      </c>
    </row>
    <row r="616" customFormat="false" ht="15" hidden="false" customHeight="true" outlineLevel="0" collapsed="false">
      <c r="A616" s="15"/>
      <c r="B616" s="10"/>
      <c r="C616" s="10"/>
      <c r="D616" s="10"/>
      <c r="E616" s="10"/>
      <c r="F616" s="11"/>
      <c r="G616" s="10"/>
      <c r="H616" s="10"/>
      <c r="I616" s="16" t="str">
        <f aca="false">IF(OR($A616="",$F616=""),"",IF($B616="입금",$F616,0))</f>
        <v/>
      </c>
      <c r="J616" s="16" t="str">
        <f aca="false">IF(OR($A616="",$F616=""),"",IF($B616="출금",$F616,0))</f>
        <v/>
      </c>
      <c r="K616" s="17" t="str">
        <f aca="false">IF($A616="","",COUNTIFS($A$3:$A616,$A616))</f>
        <v/>
      </c>
      <c r="L616" s="17" t="str">
        <f aca="false">IF($A616="","",TEXT($A616,"yyyymmdd")&amp;"|"&amp;$K616)</f>
        <v/>
      </c>
    </row>
    <row r="617" customFormat="false" ht="15" hidden="false" customHeight="true" outlineLevel="0" collapsed="false">
      <c r="A617" s="15"/>
      <c r="B617" s="10"/>
      <c r="C617" s="10"/>
      <c r="D617" s="10"/>
      <c r="E617" s="10"/>
      <c r="F617" s="11"/>
      <c r="G617" s="10"/>
      <c r="H617" s="10"/>
      <c r="I617" s="16" t="str">
        <f aca="false">IF(OR($A617="",$F617=""),"",IF($B617="입금",$F617,0))</f>
        <v/>
      </c>
      <c r="J617" s="16" t="str">
        <f aca="false">IF(OR($A617="",$F617=""),"",IF($B617="출금",$F617,0))</f>
        <v/>
      </c>
      <c r="K617" s="17" t="str">
        <f aca="false">IF($A617="","",COUNTIFS($A$3:$A617,$A617))</f>
        <v/>
      </c>
      <c r="L617" s="17" t="str">
        <f aca="false">IF($A617="","",TEXT($A617,"yyyymmdd")&amp;"|"&amp;$K617)</f>
        <v/>
      </c>
    </row>
    <row r="618" customFormat="false" ht="15" hidden="false" customHeight="true" outlineLevel="0" collapsed="false">
      <c r="A618" s="15"/>
      <c r="B618" s="10"/>
      <c r="C618" s="10"/>
      <c r="D618" s="10"/>
      <c r="E618" s="10"/>
      <c r="F618" s="11"/>
      <c r="G618" s="10"/>
      <c r="H618" s="10"/>
      <c r="I618" s="16" t="str">
        <f aca="false">IF(OR($A618="",$F618=""),"",IF($B618="입금",$F618,0))</f>
        <v/>
      </c>
      <c r="J618" s="16" t="str">
        <f aca="false">IF(OR($A618="",$F618=""),"",IF($B618="출금",$F618,0))</f>
        <v/>
      </c>
      <c r="K618" s="17" t="str">
        <f aca="false">IF($A618="","",COUNTIFS($A$3:$A618,$A618))</f>
        <v/>
      </c>
      <c r="L618" s="17" t="str">
        <f aca="false">IF($A618="","",TEXT($A618,"yyyymmdd")&amp;"|"&amp;$K618)</f>
        <v/>
      </c>
    </row>
    <row r="619" customFormat="false" ht="15" hidden="false" customHeight="true" outlineLevel="0" collapsed="false">
      <c r="A619" s="15"/>
      <c r="B619" s="10"/>
      <c r="C619" s="10"/>
      <c r="D619" s="10"/>
      <c r="E619" s="10"/>
      <c r="F619" s="11"/>
      <c r="G619" s="10"/>
      <c r="H619" s="10"/>
      <c r="I619" s="16" t="str">
        <f aca="false">IF(OR($A619="",$F619=""),"",IF($B619="입금",$F619,0))</f>
        <v/>
      </c>
      <c r="J619" s="16" t="str">
        <f aca="false">IF(OR($A619="",$F619=""),"",IF($B619="출금",$F619,0))</f>
        <v/>
      </c>
      <c r="K619" s="17" t="str">
        <f aca="false">IF($A619="","",COUNTIFS($A$3:$A619,$A619))</f>
        <v/>
      </c>
      <c r="L619" s="17" t="str">
        <f aca="false">IF($A619="","",TEXT($A619,"yyyymmdd")&amp;"|"&amp;$K619)</f>
        <v/>
      </c>
    </row>
    <row r="620" customFormat="false" ht="15" hidden="false" customHeight="true" outlineLevel="0" collapsed="false">
      <c r="A620" s="15"/>
      <c r="B620" s="10"/>
      <c r="C620" s="10"/>
      <c r="D620" s="10"/>
      <c r="E620" s="10"/>
      <c r="F620" s="11"/>
      <c r="G620" s="10"/>
      <c r="H620" s="10"/>
      <c r="I620" s="16" t="str">
        <f aca="false">IF(OR($A620="",$F620=""),"",IF($B620="입금",$F620,0))</f>
        <v/>
      </c>
      <c r="J620" s="16" t="str">
        <f aca="false">IF(OR($A620="",$F620=""),"",IF($B620="출금",$F620,0))</f>
        <v/>
      </c>
      <c r="K620" s="17" t="str">
        <f aca="false">IF($A620="","",COUNTIFS($A$3:$A620,$A620))</f>
        <v/>
      </c>
      <c r="L620" s="17" t="str">
        <f aca="false">IF($A620="","",TEXT($A620,"yyyymmdd")&amp;"|"&amp;$K620)</f>
        <v/>
      </c>
    </row>
    <row r="621" customFormat="false" ht="15" hidden="false" customHeight="true" outlineLevel="0" collapsed="false">
      <c r="A621" s="15"/>
      <c r="B621" s="10"/>
      <c r="C621" s="10"/>
      <c r="D621" s="10"/>
      <c r="E621" s="10"/>
      <c r="F621" s="11"/>
      <c r="G621" s="10"/>
      <c r="H621" s="10"/>
      <c r="I621" s="16" t="str">
        <f aca="false">IF(OR($A621="",$F621=""),"",IF($B621="입금",$F621,0))</f>
        <v/>
      </c>
      <c r="J621" s="16" t="str">
        <f aca="false">IF(OR($A621="",$F621=""),"",IF($B621="출금",$F621,0))</f>
        <v/>
      </c>
      <c r="K621" s="17" t="str">
        <f aca="false">IF($A621="","",COUNTIFS($A$3:$A621,$A621))</f>
        <v/>
      </c>
      <c r="L621" s="17" t="str">
        <f aca="false">IF($A621="","",TEXT($A621,"yyyymmdd")&amp;"|"&amp;$K621)</f>
        <v/>
      </c>
    </row>
    <row r="622" customFormat="false" ht="15" hidden="false" customHeight="true" outlineLevel="0" collapsed="false">
      <c r="A622" s="15"/>
      <c r="B622" s="10"/>
      <c r="C622" s="10"/>
      <c r="D622" s="10"/>
      <c r="E622" s="10"/>
      <c r="F622" s="11"/>
      <c r="G622" s="10"/>
      <c r="H622" s="10"/>
      <c r="I622" s="16" t="str">
        <f aca="false">IF(OR($A622="",$F622=""),"",IF($B622="입금",$F622,0))</f>
        <v/>
      </c>
      <c r="J622" s="16" t="str">
        <f aca="false">IF(OR($A622="",$F622=""),"",IF($B622="출금",$F622,0))</f>
        <v/>
      </c>
      <c r="K622" s="17" t="str">
        <f aca="false">IF($A622="","",COUNTIFS($A$3:$A622,$A622))</f>
        <v/>
      </c>
      <c r="L622" s="17" t="str">
        <f aca="false">IF($A622="","",TEXT($A622,"yyyymmdd")&amp;"|"&amp;$K622)</f>
        <v/>
      </c>
    </row>
    <row r="623" customFormat="false" ht="15" hidden="false" customHeight="true" outlineLevel="0" collapsed="false">
      <c r="A623" s="15"/>
      <c r="B623" s="10"/>
      <c r="C623" s="10"/>
      <c r="D623" s="10"/>
      <c r="E623" s="10"/>
      <c r="F623" s="11"/>
      <c r="G623" s="10"/>
      <c r="H623" s="10"/>
      <c r="I623" s="16" t="str">
        <f aca="false">IF(OR($A623="",$F623=""),"",IF($B623="입금",$F623,0))</f>
        <v/>
      </c>
      <c r="J623" s="16" t="str">
        <f aca="false">IF(OR($A623="",$F623=""),"",IF($B623="출금",$F623,0))</f>
        <v/>
      </c>
      <c r="K623" s="17" t="str">
        <f aca="false">IF($A623="","",COUNTIFS($A$3:$A623,$A623))</f>
        <v/>
      </c>
      <c r="L623" s="17" t="str">
        <f aca="false">IF($A623="","",TEXT($A623,"yyyymmdd")&amp;"|"&amp;$K623)</f>
        <v/>
      </c>
    </row>
    <row r="624" customFormat="false" ht="15" hidden="false" customHeight="true" outlineLevel="0" collapsed="false">
      <c r="A624" s="15"/>
      <c r="B624" s="10"/>
      <c r="C624" s="10"/>
      <c r="D624" s="10"/>
      <c r="E624" s="10"/>
      <c r="F624" s="11"/>
      <c r="G624" s="10"/>
      <c r="H624" s="10"/>
      <c r="I624" s="16" t="str">
        <f aca="false">IF(OR($A624="",$F624=""),"",IF($B624="입금",$F624,0))</f>
        <v/>
      </c>
      <c r="J624" s="16" t="str">
        <f aca="false">IF(OR($A624="",$F624=""),"",IF($B624="출금",$F624,0))</f>
        <v/>
      </c>
      <c r="K624" s="17" t="str">
        <f aca="false">IF($A624="","",COUNTIFS($A$3:$A624,$A624))</f>
        <v/>
      </c>
      <c r="L624" s="17" t="str">
        <f aca="false">IF($A624="","",TEXT($A624,"yyyymmdd")&amp;"|"&amp;$K624)</f>
        <v/>
      </c>
    </row>
    <row r="625" customFormat="false" ht="15" hidden="false" customHeight="true" outlineLevel="0" collapsed="false">
      <c r="A625" s="15"/>
      <c r="B625" s="10"/>
      <c r="C625" s="10"/>
      <c r="D625" s="10"/>
      <c r="E625" s="10"/>
      <c r="F625" s="11"/>
      <c r="G625" s="10"/>
      <c r="H625" s="10"/>
      <c r="I625" s="16" t="str">
        <f aca="false">IF(OR($A625="",$F625=""),"",IF($B625="입금",$F625,0))</f>
        <v/>
      </c>
      <c r="J625" s="16" t="str">
        <f aca="false">IF(OR($A625="",$F625=""),"",IF($B625="출금",$F625,0))</f>
        <v/>
      </c>
      <c r="K625" s="17" t="str">
        <f aca="false">IF($A625="","",COUNTIFS($A$3:$A625,$A625))</f>
        <v/>
      </c>
      <c r="L625" s="17" t="str">
        <f aca="false">IF($A625="","",TEXT($A625,"yyyymmdd")&amp;"|"&amp;$K625)</f>
        <v/>
      </c>
    </row>
    <row r="626" customFormat="false" ht="15" hidden="false" customHeight="true" outlineLevel="0" collapsed="false">
      <c r="A626" s="15"/>
      <c r="B626" s="10"/>
      <c r="C626" s="10"/>
      <c r="D626" s="10"/>
      <c r="E626" s="10"/>
      <c r="F626" s="11"/>
      <c r="G626" s="10"/>
      <c r="H626" s="10"/>
      <c r="I626" s="16" t="str">
        <f aca="false">IF(OR($A626="",$F626=""),"",IF($B626="입금",$F626,0))</f>
        <v/>
      </c>
      <c r="J626" s="16" t="str">
        <f aca="false">IF(OR($A626="",$F626=""),"",IF($B626="출금",$F626,0))</f>
        <v/>
      </c>
      <c r="K626" s="17" t="str">
        <f aca="false">IF($A626="","",COUNTIFS($A$3:$A626,$A626))</f>
        <v/>
      </c>
      <c r="L626" s="17" t="str">
        <f aca="false">IF($A626="","",TEXT($A626,"yyyymmdd")&amp;"|"&amp;$K626)</f>
        <v/>
      </c>
    </row>
    <row r="627" customFormat="false" ht="15" hidden="false" customHeight="true" outlineLevel="0" collapsed="false">
      <c r="A627" s="15"/>
      <c r="B627" s="10"/>
      <c r="C627" s="10"/>
      <c r="D627" s="10"/>
      <c r="E627" s="10"/>
      <c r="F627" s="11"/>
      <c r="G627" s="10"/>
      <c r="H627" s="10"/>
      <c r="I627" s="16" t="str">
        <f aca="false">IF(OR($A627="",$F627=""),"",IF($B627="입금",$F627,0))</f>
        <v/>
      </c>
      <c r="J627" s="16" t="str">
        <f aca="false">IF(OR($A627="",$F627=""),"",IF($B627="출금",$F627,0))</f>
        <v/>
      </c>
      <c r="K627" s="17" t="str">
        <f aca="false">IF($A627="","",COUNTIFS($A$3:$A627,$A627))</f>
        <v/>
      </c>
      <c r="L627" s="17" t="str">
        <f aca="false">IF($A627="","",TEXT($A627,"yyyymmdd")&amp;"|"&amp;$K627)</f>
        <v/>
      </c>
    </row>
    <row r="628" customFormat="false" ht="15" hidden="false" customHeight="true" outlineLevel="0" collapsed="false">
      <c r="A628" s="15"/>
      <c r="B628" s="10"/>
      <c r="C628" s="10"/>
      <c r="D628" s="10"/>
      <c r="E628" s="10"/>
      <c r="F628" s="11"/>
      <c r="G628" s="10"/>
      <c r="H628" s="10"/>
      <c r="I628" s="16" t="str">
        <f aca="false">IF(OR($A628="",$F628=""),"",IF($B628="입금",$F628,0))</f>
        <v/>
      </c>
      <c r="J628" s="16" t="str">
        <f aca="false">IF(OR($A628="",$F628=""),"",IF($B628="출금",$F628,0))</f>
        <v/>
      </c>
      <c r="K628" s="17" t="str">
        <f aca="false">IF($A628="","",COUNTIFS($A$3:$A628,$A628))</f>
        <v/>
      </c>
      <c r="L628" s="17" t="str">
        <f aca="false">IF($A628="","",TEXT($A628,"yyyymmdd")&amp;"|"&amp;$K628)</f>
        <v/>
      </c>
    </row>
    <row r="629" customFormat="false" ht="15" hidden="false" customHeight="true" outlineLevel="0" collapsed="false">
      <c r="A629" s="15"/>
      <c r="B629" s="10"/>
      <c r="C629" s="10"/>
      <c r="D629" s="10"/>
      <c r="E629" s="10"/>
      <c r="F629" s="11"/>
      <c r="G629" s="10"/>
      <c r="H629" s="10"/>
      <c r="I629" s="16" t="str">
        <f aca="false">IF(OR($A629="",$F629=""),"",IF($B629="입금",$F629,0))</f>
        <v/>
      </c>
      <c r="J629" s="16" t="str">
        <f aca="false">IF(OR($A629="",$F629=""),"",IF($B629="출금",$F629,0))</f>
        <v/>
      </c>
      <c r="K629" s="17" t="str">
        <f aca="false">IF($A629="","",COUNTIFS($A$3:$A629,$A629))</f>
        <v/>
      </c>
      <c r="L629" s="17" t="str">
        <f aca="false">IF($A629="","",TEXT($A629,"yyyymmdd")&amp;"|"&amp;$K629)</f>
        <v/>
      </c>
    </row>
    <row r="630" customFormat="false" ht="15" hidden="false" customHeight="true" outlineLevel="0" collapsed="false">
      <c r="A630" s="15"/>
      <c r="B630" s="10"/>
      <c r="C630" s="10"/>
      <c r="D630" s="10"/>
      <c r="E630" s="10"/>
      <c r="F630" s="11"/>
      <c r="G630" s="10"/>
      <c r="H630" s="10"/>
      <c r="I630" s="16" t="str">
        <f aca="false">IF(OR($A630="",$F630=""),"",IF($B630="입금",$F630,0))</f>
        <v/>
      </c>
      <c r="J630" s="16" t="str">
        <f aca="false">IF(OR($A630="",$F630=""),"",IF($B630="출금",$F630,0))</f>
        <v/>
      </c>
      <c r="K630" s="17" t="str">
        <f aca="false">IF($A630="","",COUNTIFS($A$3:$A630,$A630))</f>
        <v/>
      </c>
      <c r="L630" s="17" t="str">
        <f aca="false">IF($A630="","",TEXT($A630,"yyyymmdd")&amp;"|"&amp;$K630)</f>
        <v/>
      </c>
    </row>
    <row r="631" customFormat="false" ht="15" hidden="false" customHeight="true" outlineLevel="0" collapsed="false">
      <c r="A631" s="15"/>
      <c r="B631" s="10"/>
      <c r="C631" s="10"/>
      <c r="D631" s="10"/>
      <c r="E631" s="10"/>
      <c r="F631" s="11"/>
      <c r="G631" s="10"/>
      <c r="H631" s="10"/>
      <c r="I631" s="16" t="str">
        <f aca="false">IF(OR($A631="",$F631=""),"",IF($B631="입금",$F631,0))</f>
        <v/>
      </c>
      <c r="J631" s="16" t="str">
        <f aca="false">IF(OR($A631="",$F631=""),"",IF($B631="출금",$F631,0))</f>
        <v/>
      </c>
      <c r="K631" s="17" t="str">
        <f aca="false">IF($A631="","",COUNTIFS($A$3:$A631,$A631))</f>
        <v/>
      </c>
      <c r="L631" s="17" t="str">
        <f aca="false">IF($A631="","",TEXT($A631,"yyyymmdd")&amp;"|"&amp;$K631)</f>
        <v/>
      </c>
    </row>
    <row r="632" customFormat="false" ht="15" hidden="false" customHeight="true" outlineLevel="0" collapsed="false">
      <c r="A632" s="15"/>
      <c r="B632" s="10"/>
      <c r="C632" s="10"/>
      <c r="D632" s="10"/>
      <c r="E632" s="10"/>
      <c r="F632" s="11"/>
      <c r="G632" s="10"/>
      <c r="H632" s="10"/>
      <c r="I632" s="16" t="str">
        <f aca="false">IF(OR($A632="",$F632=""),"",IF($B632="입금",$F632,0))</f>
        <v/>
      </c>
      <c r="J632" s="16" t="str">
        <f aca="false">IF(OR($A632="",$F632=""),"",IF($B632="출금",$F632,0))</f>
        <v/>
      </c>
      <c r="K632" s="17" t="str">
        <f aca="false">IF($A632="","",COUNTIFS($A$3:$A632,$A632))</f>
        <v/>
      </c>
      <c r="L632" s="17" t="str">
        <f aca="false">IF($A632="","",TEXT($A632,"yyyymmdd")&amp;"|"&amp;$K632)</f>
        <v/>
      </c>
    </row>
    <row r="633" customFormat="false" ht="15" hidden="false" customHeight="true" outlineLevel="0" collapsed="false">
      <c r="A633" s="15"/>
      <c r="B633" s="10"/>
      <c r="C633" s="10"/>
      <c r="D633" s="10"/>
      <c r="E633" s="10"/>
      <c r="F633" s="11"/>
      <c r="G633" s="10"/>
      <c r="H633" s="10"/>
      <c r="I633" s="16" t="str">
        <f aca="false">IF(OR($A633="",$F633=""),"",IF($B633="입금",$F633,0))</f>
        <v/>
      </c>
      <c r="J633" s="16" t="str">
        <f aca="false">IF(OR($A633="",$F633=""),"",IF($B633="출금",$F633,0))</f>
        <v/>
      </c>
      <c r="K633" s="17" t="str">
        <f aca="false">IF($A633="","",COUNTIFS($A$3:$A633,$A633))</f>
        <v/>
      </c>
      <c r="L633" s="17" t="str">
        <f aca="false">IF($A633="","",TEXT($A633,"yyyymmdd")&amp;"|"&amp;$K633)</f>
        <v/>
      </c>
    </row>
    <row r="634" customFormat="false" ht="15" hidden="false" customHeight="true" outlineLevel="0" collapsed="false">
      <c r="A634" s="15"/>
      <c r="B634" s="10"/>
      <c r="C634" s="10"/>
      <c r="D634" s="10"/>
      <c r="E634" s="10"/>
      <c r="F634" s="11"/>
      <c r="G634" s="10"/>
      <c r="H634" s="10"/>
      <c r="I634" s="16" t="str">
        <f aca="false">IF(OR($A634="",$F634=""),"",IF($B634="입금",$F634,0))</f>
        <v/>
      </c>
      <c r="J634" s="16" t="str">
        <f aca="false">IF(OR($A634="",$F634=""),"",IF($B634="출금",$F634,0))</f>
        <v/>
      </c>
      <c r="K634" s="17" t="str">
        <f aca="false">IF($A634="","",COUNTIFS($A$3:$A634,$A634))</f>
        <v/>
      </c>
      <c r="L634" s="17" t="str">
        <f aca="false">IF($A634="","",TEXT($A634,"yyyymmdd")&amp;"|"&amp;$K634)</f>
        <v/>
      </c>
    </row>
    <row r="635" customFormat="false" ht="15" hidden="false" customHeight="true" outlineLevel="0" collapsed="false">
      <c r="A635" s="15"/>
      <c r="B635" s="10"/>
      <c r="C635" s="10"/>
      <c r="D635" s="10"/>
      <c r="E635" s="10"/>
      <c r="F635" s="11"/>
      <c r="G635" s="10"/>
      <c r="H635" s="10"/>
      <c r="I635" s="16" t="str">
        <f aca="false">IF(OR($A635="",$F635=""),"",IF($B635="입금",$F635,0))</f>
        <v/>
      </c>
      <c r="J635" s="16" t="str">
        <f aca="false">IF(OR($A635="",$F635=""),"",IF($B635="출금",$F635,0))</f>
        <v/>
      </c>
      <c r="K635" s="17" t="str">
        <f aca="false">IF($A635="","",COUNTIFS($A$3:$A635,$A635))</f>
        <v/>
      </c>
      <c r="L635" s="17" t="str">
        <f aca="false">IF($A635="","",TEXT($A635,"yyyymmdd")&amp;"|"&amp;$K635)</f>
        <v/>
      </c>
    </row>
    <row r="636" customFormat="false" ht="15" hidden="false" customHeight="true" outlineLevel="0" collapsed="false">
      <c r="A636" s="15"/>
      <c r="B636" s="10"/>
      <c r="C636" s="10"/>
      <c r="D636" s="10"/>
      <c r="E636" s="10"/>
      <c r="F636" s="11"/>
      <c r="G636" s="10"/>
      <c r="H636" s="10"/>
      <c r="I636" s="16" t="str">
        <f aca="false">IF(OR($A636="",$F636=""),"",IF($B636="입금",$F636,0))</f>
        <v/>
      </c>
      <c r="J636" s="16" t="str">
        <f aca="false">IF(OR($A636="",$F636=""),"",IF($B636="출금",$F636,0))</f>
        <v/>
      </c>
      <c r="K636" s="17" t="str">
        <f aca="false">IF($A636="","",COUNTIFS($A$3:$A636,$A636))</f>
        <v/>
      </c>
      <c r="L636" s="17" t="str">
        <f aca="false">IF($A636="","",TEXT($A636,"yyyymmdd")&amp;"|"&amp;$K636)</f>
        <v/>
      </c>
    </row>
    <row r="637" customFormat="false" ht="15" hidden="false" customHeight="true" outlineLevel="0" collapsed="false">
      <c r="A637" s="15"/>
      <c r="B637" s="10"/>
      <c r="C637" s="10"/>
      <c r="D637" s="10"/>
      <c r="E637" s="10"/>
      <c r="F637" s="11"/>
      <c r="G637" s="10"/>
      <c r="H637" s="10"/>
      <c r="I637" s="16" t="str">
        <f aca="false">IF(OR($A637="",$F637=""),"",IF($B637="입금",$F637,0))</f>
        <v/>
      </c>
      <c r="J637" s="16" t="str">
        <f aca="false">IF(OR($A637="",$F637=""),"",IF($B637="출금",$F637,0))</f>
        <v/>
      </c>
      <c r="K637" s="17" t="str">
        <f aca="false">IF($A637="","",COUNTIFS($A$3:$A637,$A637))</f>
        <v/>
      </c>
      <c r="L637" s="17" t="str">
        <f aca="false">IF($A637="","",TEXT($A637,"yyyymmdd")&amp;"|"&amp;$K637)</f>
        <v/>
      </c>
    </row>
    <row r="638" customFormat="false" ht="15" hidden="false" customHeight="true" outlineLevel="0" collapsed="false">
      <c r="A638" s="15"/>
      <c r="B638" s="10"/>
      <c r="C638" s="10"/>
      <c r="D638" s="10"/>
      <c r="E638" s="10"/>
      <c r="F638" s="11"/>
      <c r="G638" s="10"/>
      <c r="H638" s="10"/>
      <c r="I638" s="16" t="str">
        <f aca="false">IF(OR($A638="",$F638=""),"",IF($B638="입금",$F638,0))</f>
        <v/>
      </c>
      <c r="J638" s="16" t="str">
        <f aca="false">IF(OR($A638="",$F638=""),"",IF($B638="출금",$F638,0))</f>
        <v/>
      </c>
      <c r="K638" s="17" t="str">
        <f aca="false">IF($A638="","",COUNTIFS($A$3:$A638,$A638))</f>
        <v/>
      </c>
      <c r="L638" s="17" t="str">
        <f aca="false">IF($A638="","",TEXT($A638,"yyyymmdd")&amp;"|"&amp;$K638)</f>
        <v/>
      </c>
    </row>
    <row r="639" customFormat="false" ht="15" hidden="false" customHeight="true" outlineLevel="0" collapsed="false">
      <c r="A639" s="15"/>
      <c r="B639" s="10"/>
      <c r="C639" s="10"/>
      <c r="D639" s="10"/>
      <c r="E639" s="10"/>
      <c r="F639" s="11"/>
      <c r="G639" s="10"/>
      <c r="H639" s="10"/>
      <c r="I639" s="16" t="str">
        <f aca="false">IF(OR($A639="",$F639=""),"",IF($B639="입금",$F639,0))</f>
        <v/>
      </c>
      <c r="J639" s="16" t="str">
        <f aca="false">IF(OR($A639="",$F639=""),"",IF($B639="출금",$F639,0))</f>
        <v/>
      </c>
      <c r="K639" s="17" t="str">
        <f aca="false">IF($A639="","",COUNTIFS($A$3:$A639,$A639))</f>
        <v/>
      </c>
      <c r="L639" s="17" t="str">
        <f aca="false">IF($A639="","",TEXT($A639,"yyyymmdd")&amp;"|"&amp;$K639)</f>
        <v/>
      </c>
    </row>
    <row r="640" customFormat="false" ht="15" hidden="false" customHeight="true" outlineLevel="0" collapsed="false">
      <c r="A640" s="15"/>
      <c r="B640" s="10"/>
      <c r="C640" s="10"/>
      <c r="D640" s="10"/>
      <c r="E640" s="10"/>
      <c r="F640" s="11"/>
      <c r="G640" s="10"/>
      <c r="H640" s="10"/>
      <c r="I640" s="16" t="str">
        <f aca="false">IF(OR($A640="",$F640=""),"",IF($B640="입금",$F640,0))</f>
        <v/>
      </c>
      <c r="J640" s="16" t="str">
        <f aca="false">IF(OR($A640="",$F640=""),"",IF($B640="출금",$F640,0))</f>
        <v/>
      </c>
      <c r="K640" s="17" t="str">
        <f aca="false">IF($A640="","",COUNTIFS($A$3:$A640,$A640))</f>
        <v/>
      </c>
      <c r="L640" s="17" t="str">
        <f aca="false">IF($A640="","",TEXT($A640,"yyyymmdd")&amp;"|"&amp;$K640)</f>
        <v/>
      </c>
    </row>
    <row r="641" customFormat="false" ht="15" hidden="false" customHeight="true" outlineLevel="0" collapsed="false">
      <c r="A641" s="15"/>
      <c r="B641" s="10"/>
      <c r="C641" s="10"/>
      <c r="D641" s="10"/>
      <c r="E641" s="10"/>
      <c r="F641" s="11"/>
      <c r="G641" s="10"/>
      <c r="H641" s="10"/>
      <c r="I641" s="16" t="str">
        <f aca="false">IF(OR($A641="",$F641=""),"",IF($B641="입금",$F641,0))</f>
        <v/>
      </c>
      <c r="J641" s="16" t="str">
        <f aca="false">IF(OR($A641="",$F641=""),"",IF($B641="출금",$F641,0))</f>
        <v/>
      </c>
      <c r="K641" s="17" t="str">
        <f aca="false">IF($A641="","",COUNTIFS($A$3:$A641,$A641))</f>
        <v/>
      </c>
      <c r="L641" s="17" t="str">
        <f aca="false">IF($A641="","",TEXT($A641,"yyyymmdd")&amp;"|"&amp;$K641)</f>
        <v/>
      </c>
    </row>
    <row r="642" customFormat="false" ht="15" hidden="false" customHeight="true" outlineLevel="0" collapsed="false">
      <c r="A642" s="15"/>
      <c r="B642" s="10"/>
      <c r="C642" s="10"/>
      <c r="D642" s="10"/>
      <c r="E642" s="10"/>
      <c r="F642" s="11"/>
      <c r="G642" s="10"/>
      <c r="H642" s="10"/>
      <c r="I642" s="16" t="str">
        <f aca="false">IF(OR($A642="",$F642=""),"",IF($B642="입금",$F642,0))</f>
        <v/>
      </c>
      <c r="J642" s="16" t="str">
        <f aca="false">IF(OR($A642="",$F642=""),"",IF($B642="출금",$F642,0))</f>
        <v/>
      </c>
      <c r="K642" s="17" t="str">
        <f aca="false">IF($A642="","",COUNTIFS($A$3:$A642,$A642))</f>
        <v/>
      </c>
      <c r="L642" s="17" t="str">
        <f aca="false">IF($A642="","",TEXT($A642,"yyyymmdd")&amp;"|"&amp;$K642)</f>
        <v/>
      </c>
    </row>
    <row r="643" customFormat="false" ht="15" hidden="false" customHeight="true" outlineLevel="0" collapsed="false">
      <c r="A643" s="15"/>
      <c r="B643" s="10"/>
      <c r="C643" s="10"/>
      <c r="D643" s="10"/>
      <c r="E643" s="10"/>
      <c r="F643" s="11"/>
      <c r="G643" s="10"/>
      <c r="H643" s="10"/>
      <c r="I643" s="16" t="str">
        <f aca="false">IF(OR($A643="",$F643=""),"",IF($B643="입금",$F643,0))</f>
        <v/>
      </c>
      <c r="J643" s="16" t="str">
        <f aca="false">IF(OR($A643="",$F643=""),"",IF($B643="출금",$F643,0))</f>
        <v/>
      </c>
      <c r="K643" s="17" t="str">
        <f aca="false">IF($A643="","",COUNTIFS($A$3:$A643,$A643))</f>
        <v/>
      </c>
      <c r="L643" s="17" t="str">
        <f aca="false">IF($A643="","",TEXT($A643,"yyyymmdd")&amp;"|"&amp;$K643)</f>
        <v/>
      </c>
    </row>
    <row r="644" customFormat="false" ht="15" hidden="false" customHeight="true" outlineLevel="0" collapsed="false">
      <c r="A644" s="15"/>
      <c r="B644" s="10"/>
      <c r="C644" s="10"/>
      <c r="D644" s="10"/>
      <c r="E644" s="10"/>
      <c r="F644" s="11"/>
      <c r="G644" s="10"/>
      <c r="H644" s="10"/>
      <c r="I644" s="16" t="str">
        <f aca="false">IF(OR($A644="",$F644=""),"",IF($B644="입금",$F644,0))</f>
        <v/>
      </c>
      <c r="J644" s="16" t="str">
        <f aca="false">IF(OR($A644="",$F644=""),"",IF($B644="출금",$F644,0))</f>
        <v/>
      </c>
      <c r="K644" s="17" t="str">
        <f aca="false">IF($A644="","",COUNTIFS($A$3:$A644,$A644))</f>
        <v/>
      </c>
      <c r="L644" s="17" t="str">
        <f aca="false">IF($A644="","",TEXT($A644,"yyyymmdd")&amp;"|"&amp;$K644)</f>
        <v/>
      </c>
    </row>
    <row r="645" customFormat="false" ht="15" hidden="false" customHeight="true" outlineLevel="0" collapsed="false">
      <c r="A645" s="15"/>
      <c r="B645" s="10"/>
      <c r="C645" s="10"/>
      <c r="D645" s="10"/>
      <c r="E645" s="10"/>
      <c r="F645" s="11"/>
      <c r="G645" s="10"/>
      <c r="H645" s="10"/>
      <c r="I645" s="16" t="str">
        <f aca="false">IF(OR($A645="",$F645=""),"",IF($B645="입금",$F645,0))</f>
        <v/>
      </c>
      <c r="J645" s="16" t="str">
        <f aca="false">IF(OR($A645="",$F645=""),"",IF($B645="출금",$F645,0))</f>
        <v/>
      </c>
      <c r="K645" s="17" t="str">
        <f aca="false">IF($A645="","",COUNTIFS($A$3:$A645,$A645))</f>
        <v/>
      </c>
      <c r="L645" s="17" t="str">
        <f aca="false">IF($A645="","",TEXT($A645,"yyyymmdd")&amp;"|"&amp;$K645)</f>
        <v/>
      </c>
    </row>
    <row r="646" customFormat="false" ht="15" hidden="false" customHeight="true" outlineLevel="0" collapsed="false">
      <c r="A646" s="15"/>
      <c r="B646" s="10"/>
      <c r="C646" s="10"/>
      <c r="D646" s="10"/>
      <c r="E646" s="10"/>
      <c r="F646" s="11"/>
      <c r="G646" s="10"/>
      <c r="H646" s="10"/>
      <c r="I646" s="16" t="str">
        <f aca="false">IF(OR($A646="",$F646=""),"",IF($B646="입금",$F646,0))</f>
        <v/>
      </c>
      <c r="J646" s="16" t="str">
        <f aca="false">IF(OR($A646="",$F646=""),"",IF($B646="출금",$F646,0))</f>
        <v/>
      </c>
      <c r="K646" s="17" t="str">
        <f aca="false">IF($A646="","",COUNTIFS($A$3:$A646,$A646))</f>
        <v/>
      </c>
      <c r="L646" s="17" t="str">
        <f aca="false">IF($A646="","",TEXT($A646,"yyyymmdd")&amp;"|"&amp;$K646)</f>
        <v/>
      </c>
    </row>
    <row r="647" customFormat="false" ht="15" hidden="false" customHeight="true" outlineLevel="0" collapsed="false">
      <c r="A647" s="15"/>
      <c r="B647" s="10"/>
      <c r="C647" s="10"/>
      <c r="D647" s="10"/>
      <c r="E647" s="10"/>
      <c r="F647" s="11"/>
      <c r="G647" s="10"/>
      <c r="H647" s="10"/>
      <c r="I647" s="16" t="str">
        <f aca="false">IF(OR($A647="",$F647=""),"",IF($B647="입금",$F647,0))</f>
        <v/>
      </c>
      <c r="J647" s="16" t="str">
        <f aca="false">IF(OR($A647="",$F647=""),"",IF($B647="출금",$F647,0))</f>
        <v/>
      </c>
      <c r="K647" s="17" t="str">
        <f aca="false">IF($A647="","",COUNTIFS($A$3:$A647,$A647))</f>
        <v/>
      </c>
      <c r="L647" s="17" t="str">
        <f aca="false">IF($A647="","",TEXT($A647,"yyyymmdd")&amp;"|"&amp;$K647)</f>
        <v/>
      </c>
    </row>
    <row r="648" customFormat="false" ht="15" hidden="false" customHeight="true" outlineLevel="0" collapsed="false">
      <c r="A648" s="15"/>
      <c r="B648" s="10"/>
      <c r="C648" s="10"/>
      <c r="D648" s="10"/>
      <c r="E648" s="10"/>
      <c r="F648" s="11"/>
      <c r="G648" s="10"/>
      <c r="H648" s="10"/>
      <c r="I648" s="16" t="str">
        <f aca="false">IF(OR($A648="",$F648=""),"",IF($B648="입금",$F648,0))</f>
        <v/>
      </c>
      <c r="J648" s="16" t="str">
        <f aca="false">IF(OR($A648="",$F648=""),"",IF($B648="출금",$F648,0))</f>
        <v/>
      </c>
      <c r="K648" s="17" t="str">
        <f aca="false">IF($A648="","",COUNTIFS($A$3:$A648,$A648))</f>
        <v/>
      </c>
      <c r="L648" s="17" t="str">
        <f aca="false">IF($A648="","",TEXT($A648,"yyyymmdd")&amp;"|"&amp;$K648)</f>
        <v/>
      </c>
    </row>
    <row r="649" customFormat="false" ht="15" hidden="false" customHeight="true" outlineLevel="0" collapsed="false">
      <c r="A649" s="15"/>
      <c r="B649" s="10"/>
      <c r="C649" s="10"/>
      <c r="D649" s="10"/>
      <c r="E649" s="10"/>
      <c r="F649" s="11"/>
      <c r="G649" s="10"/>
      <c r="H649" s="10"/>
      <c r="I649" s="16" t="str">
        <f aca="false">IF(OR($A649="",$F649=""),"",IF($B649="입금",$F649,0))</f>
        <v/>
      </c>
      <c r="J649" s="16" t="str">
        <f aca="false">IF(OR($A649="",$F649=""),"",IF($B649="출금",$F649,0))</f>
        <v/>
      </c>
      <c r="K649" s="17" t="str">
        <f aca="false">IF($A649="","",COUNTIFS($A$3:$A649,$A649))</f>
        <v/>
      </c>
      <c r="L649" s="17" t="str">
        <f aca="false">IF($A649="","",TEXT($A649,"yyyymmdd")&amp;"|"&amp;$K649)</f>
        <v/>
      </c>
    </row>
    <row r="650" customFormat="false" ht="15" hidden="false" customHeight="true" outlineLevel="0" collapsed="false">
      <c r="A650" s="15"/>
      <c r="B650" s="10"/>
      <c r="C650" s="10"/>
      <c r="D650" s="10"/>
      <c r="E650" s="10"/>
      <c r="F650" s="11"/>
      <c r="G650" s="10"/>
      <c r="H650" s="10"/>
      <c r="I650" s="16" t="str">
        <f aca="false">IF(OR($A650="",$F650=""),"",IF($B650="입금",$F650,0))</f>
        <v/>
      </c>
      <c r="J650" s="16" t="str">
        <f aca="false">IF(OR($A650="",$F650=""),"",IF($B650="출금",$F650,0))</f>
        <v/>
      </c>
      <c r="K650" s="17" t="str">
        <f aca="false">IF($A650="","",COUNTIFS($A$3:$A650,$A650))</f>
        <v/>
      </c>
      <c r="L650" s="17" t="str">
        <f aca="false">IF($A650="","",TEXT($A650,"yyyymmdd")&amp;"|"&amp;$K650)</f>
        <v/>
      </c>
    </row>
    <row r="651" customFormat="false" ht="15" hidden="false" customHeight="true" outlineLevel="0" collapsed="false">
      <c r="A651" s="15"/>
      <c r="B651" s="10"/>
      <c r="C651" s="10"/>
      <c r="D651" s="10"/>
      <c r="E651" s="10"/>
      <c r="F651" s="11"/>
      <c r="G651" s="10"/>
      <c r="H651" s="10"/>
      <c r="I651" s="16" t="str">
        <f aca="false">IF(OR($A651="",$F651=""),"",IF($B651="입금",$F651,0))</f>
        <v/>
      </c>
      <c r="J651" s="16" t="str">
        <f aca="false">IF(OR($A651="",$F651=""),"",IF($B651="출금",$F651,0))</f>
        <v/>
      </c>
      <c r="K651" s="17" t="str">
        <f aca="false">IF($A651="","",COUNTIFS($A$3:$A651,$A651))</f>
        <v/>
      </c>
      <c r="L651" s="17" t="str">
        <f aca="false">IF($A651="","",TEXT($A651,"yyyymmdd")&amp;"|"&amp;$K651)</f>
        <v/>
      </c>
    </row>
    <row r="652" customFormat="false" ht="15" hidden="false" customHeight="true" outlineLevel="0" collapsed="false">
      <c r="A652" s="15"/>
      <c r="B652" s="10"/>
      <c r="C652" s="10"/>
      <c r="D652" s="10"/>
      <c r="E652" s="10"/>
      <c r="F652" s="11"/>
      <c r="G652" s="10"/>
      <c r="H652" s="10"/>
      <c r="I652" s="16" t="str">
        <f aca="false">IF(OR($A652="",$F652=""),"",IF($B652="입금",$F652,0))</f>
        <v/>
      </c>
      <c r="J652" s="16" t="str">
        <f aca="false">IF(OR($A652="",$F652=""),"",IF($B652="출금",$F652,0))</f>
        <v/>
      </c>
      <c r="K652" s="17" t="str">
        <f aca="false">IF($A652="","",COUNTIFS($A$3:$A652,$A652))</f>
        <v/>
      </c>
      <c r="L652" s="17" t="str">
        <f aca="false">IF($A652="","",TEXT($A652,"yyyymmdd")&amp;"|"&amp;$K652)</f>
        <v/>
      </c>
    </row>
    <row r="653" customFormat="false" ht="15" hidden="false" customHeight="true" outlineLevel="0" collapsed="false">
      <c r="A653" s="15"/>
      <c r="B653" s="10"/>
      <c r="C653" s="10"/>
      <c r="D653" s="10"/>
      <c r="E653" s="10"/>
      <c r="F653" s="11"/>
      <c r="G653" s="10"/>
      <c r="H653" s="10"/>
      <c r="I653" s="16" t="str">
        <f aca="false">IF(OR($A653="",$F653=""),"",IF($B653="입금",$F653,0))</f>
        <v/>
      </c>
      <c r="J653" s="16" t="str">
        <f aca="false">IF(OR($A653="",$F653=""),"",IF($B653="출금",$F653,0))</f>
        <v/>
      </c>
      <c r="K653" s="17" t="str">
        <f aca="false">IF($A653="","",COUNTIFS($A$3:$A653,$A653))</f>
        <v/>
      </c>
      <c r="L653" s="17" t="str">
        <f aca="false">IF($A653="","",TEXT($A653,"yyyymmdd")&amp;"|"&amp;$K653)</f>
        <v/>
      </c>
    </row>
    <row r="654" customFormat="false" ht="15" hidden="false" customHeight="true" outlineLevel="0" collapsed="false">
      <c r="A654" s="15"/>
      <c r="B654" s="10"/>
      <c r="C654" s="10"/>
      <c r="D654" s="10"/>
      <c r="E654" s="10"/>
      <c r="F654" s="11"/>
      <c r="G654" s="10"/>
      <c r="H654" s="10"/>
      <c r="I654" s="16" t="str">
        <f aca="false">IF(OR($A654="",$F654=""),"",IF($B654="입금",$F654,0))</f>
        <v/>
      </c>
      <c r="J654" s="16" t="str">
        <f aca="false">IF(OR($A654="",$F654=""),"",IF($B654="출금",$F654,0))</f>
        <v/>
      </c>
      <c r="K654" s="17" t="str">
        <f aca="false">IF($A654="","",COUNTIFS($A$3:$A654,$A654))</f>
        <v/>
      </c>
      <c r="L654" s="17" t="str">
        <f aca="false">IF($A654="","",TEXT($A654,"yyyymmdd")&amp;"|"&amp;$K654)</f>
        <v/>
      </c>
    </row>
    <row r="655" customFormat="false" ht="15" hidden="false" customHeight="true" outlineLevel="0" collapsed="false">
      <c r="A655" s="15"/>
      <c r="B655" s="10"/>
      <c r="C655" s="10"/>
      <c r="D655" s="10"/>
      <c r="E655" s="10"/>
      <c r="F655" s="11"/>
      <c r="G655" s="10"/>
      <c r="H655" s="10"/>
      <c r="I655" s="16" t="str">
        <f aca="false">IF(OR($A655="",$F655=""),"",IF($B655="입금",$F655,0))</f>
        <v/>
      </c>
      <c r="J655" s="16" t="str">
        <f aca="false">IF(OR($A655="",$F655=""),"",IF($B655="출금",$F655,0))</f>
        <v/>
      </c>
      <c r="K655" s="17" t="str">
        <f aca="false">IF($A655="","",COUNTIFS($A$3:$A655,$A655))</f>
        <v/>
      </c>
      <c r="L655" s="17" t="str">
        <f aca="false">IF($A655="","",TEXT($A655,"yyyymmdd")&amp;"|"&amp;$K655)</f>
        <v/>
      </c>
    </row>
    <row r="656" customFormat="false" ht="15" hidden="false" customHeight="true" outlineLevel="0" collapsed="false">
      <c r="A656" s="15"/>
      <c r="B656" s="10"/>
      <c r="C656" s="10"/>
      <c r="D656" s="10"/>
      <c r="E656" s="10"/>
      <c r="F656" s="11"/>
      <c r="G656" s="10"/>
      <c r="H656" s="10"/>
      <c r="I656" s="16" t="str">
        <f aca="false">IF(OR($A656="",$F656=""),"",IF($B656="입금",$F656,0))</f>
        <v/>
      </c>
      <c r="J656" s="16" t="str">
        <f aca="false">IF(OR($A656="",$F656=""),"",IF($B656="출금",$F656,0))</f>
        <v/>
      </c>
      <c r="K656" s="17" t="str">
        <f aca="false">IF($A656="","",COUNTIFS($A$3:$A656,$A656))</f>
        <v/>
      </c>
      <c r="L656" s="17" t="str">
        <f aca="false">IF($A656="","",TEXT($A656,"yyyymmdd")&amp;"|"&amp;$K656)</f>
        <v/>
      </c>
    </row>
    <row r="657" customFormat="false" ht="15" hidden="false" customHeight="true" outlineLevel="0" collapsed="false">
      <c r="A657" s="15"/>
      <c r="B657" s="10"/>
      <c r="C657" s="10"/>
      <c r="D657" s="10"/>
      <c r="E657" s="10"/>
      <c r="F657" s="11"/>
      <c r="G657" s="10"/>
      <c r="H657" s="10"/>
      <c r="I657" s="16" t="str">
        <f aca="false">IF(OR($A657="",$F657=""),"",IF($B657="입금",$F657,0))</f>
        <v/>
      </c>
      <c r="J657" s="16" t="str">
        <f aca="false">IF(OR($A657="",$F657=""),"",IF($B657="출금",$F657,0))</f>
        <v/>
      </c>
      <c r="K657" s="17" t="str">
        <f aca="false">IF($A657="","",COUNTIFS($A$3:$A657,$A657))</f>
        <v/>
      </c>
      <c r="L657" s="17" t="str">
        <f aca="false">IF($A657="","",TEXT($A657,"yyyymmdd")&amp;"|"&amp;$K657)</f>
        <v/>
      </c>
    </row>
    <row r="658" customFormat="false" ht="15" hidden="false" customHeight="true" outlineLevel="0" collapsed="false">
      <c r="A658" s="15"/>
      <c r="B658" s="10"/>
      <c r="C658" s="10"/>
      <c r="D658" s="10"/>
      <c r="E658" s="10"/>
      <c r="F658" s="11"/>
      <c r="G658" s="10"/>
      <c r="H658" s="10"/>
      <c r="I658" s="16" t="str">
        <f aca="false">IF(OR($A658="",$F658=""),"",IF($B658="입금",$F658,0))</f>
        <v/>
      </c>
      <c r="J658" s="16" t="str">
        <f aca="false">IF(OR($A658="",$F658=""),"",IF($B658="출금",$F658,0))</f>
        <v/>
      </c>
      <c r="K658" s="17" t="str">
        <f aca="false">IF($A658="","",COUNTIFS($A$3:$A658,$A658))</f>
        <v/>
      </c>
      <c r="L658" s="17" t="str">
        <f aca="false">IF($A658="","",TEXT($A658,"yyyymmdd")&amp;"|"&amp;$K658)</f>
        <v/>
      </c>
    </row>
    <row r="659" customFormat="false" ht="15" hidden="false" customHeight="true" outlineLevel="0" collapsed="false">
      <c r="A659" s="15"/>
      <c r="B659" s="10"/>
      <c r="C659" s="10"/>
      <c r="D659" s="10"/>
      <c r="E659" s="10"/>
      <c r="F659" s="11"/>
      <c r="G659" s="10"/>
      <c r="H659" s="10"/>
      <c r="I659" s="16" t="str">
        <f aca="false">IF(OR($A659="",$F659=""),"",IF($B659="입금",$F659,0))</f>
        <v/>
      </c>
      <c r="J659" s="16" t="str">
        <f aca="false">IF(OR($A659="",$F659=""),"",IF($B659="출금",$F659,0))</f>
        <v/>
      </c>
      <c r="K659" s="17" t="str">
        <f aca="false">IF($A659="","",COUNTIFS($A$3:$A659,$A659))</f>
        <v/>
      </c>
      <c r="L659" s="17" t="str">
        <f aca="false">IF($A659="","",TEXT($A659,"yyyymmdd")&amp;"|"&amp;$K659)</f>
        <v/>
      </c>
    </row>
    <row r="660" customFormat="false" ht="15" hidden="false" customHeight="true" outlineLevel="0" collapsed="false">
      <c r="A660" s="15"/>
      <c r="B660" s="10"/>
      <c r="C660" s="10"/>
      <c r="D660" s="10"/>
      <c r="E660" s="10"/>
      <c r="F660" s="11"/>
      <c r="G660" s="10"/>
      <c r="H660" s="10"/>
      <c r="I660" s="16" t="str">
        <f aca="false">IF(OR($A660="",$F660=""),"",IF($B660="입금",$F660,0))</f>
        <v/>
      </c>
      <c r="J660" s="16" t="str">
        <f aca="false">IF(OR($A660="",$F660=""),"",IF($B660="출금",$F660,0))</f>
        <v/>
      </c>
      <c r="K660" s="17" t="str">
        <f aca="false">IF($A660="","",COUNTIFS($A$3:$A660,$A660))</f>
        <v/>
      </c>
      <c r="L660" s="17" t="str">
        <f aca="false">IF($A660="","",TEXT($A660,"yyyymmdd")&amp;"|"&amp;$K660)</f>
        <v/>
      </c>
    </row>
    <row r="661" customFormat="false" ht="15" hidden="false" customHeight="true" outlineLevel="0" collapsed="false">
      <c r="A661" s="15"/>
      <c r="B661" s="10"/>
      <c r="C661" s="10"/>
      <c r="D661" s="10"/>
      <c r="E661" s="10"/>
      <c r="F661" s="11"/>
      <c r="G661" s="10"/>
      <c r="H661" s="10"/>
      <c r="I661" s="16" t="str">
        <f aca="false">IF(OR($A661="",$F661=""),"",IF($B661="입금",$F661,0))</f>
        <v/>
      </c>
      <c r="J661" s="16" t="str">
        <f aca="false">IF(OR($A661="",$F661=""),"",IF($B661="출금",$F661,0))</f>
        <v/>
      </c>
      <c r="K661" s="17" t="str">
        <f aca="false">IF($A661="","",COUNTIFS($A$3:$A661,$A661))</f>
        <v/>
      </c>
      <c r="L661" s="17" t="str">
        <f aca="false">IF($A661="","",TEXT($A661,"yyyymmdd")&amp;"|"&amp;$K661)</f>
        <v/>
      </c>
    </row>
    <row r="662" customFormat="false" ht="15" hidden="false" customHeight="true" outlineLevel="0" collapsed="false">
      <c r="A662" s="15"/>
      <c r="B662" s="10"/>
      <c r="C662" s="10"/>
      <c r="D662" s="10"/>
      <c r="E662" s="10"/>
      <c r="F662" s="11"/>
      <c r="G662" s="10"/>
      <c r="H662" s="10"/>
      <c r="I662" s="16" t="str">
        <f aca="false">IF(OR($A662="",$F662=""),"",IF($B662="입금",$F662,0))</f>
        <v/>
      </c>
      <c r="J662" s="16" t="str">
        <f aca="false">IF(OR($A662="",$F662=""),"",IF($B662="출금",$F662,0))</f>
        <v/>
      </c>
      <c r="K662" s="17" t="str">
        <f aca="false">IF($A662="","",COUNTIFS($A$3:$A662,$A662))</f>
        <v/>
      </c>
      <c r="L662" s="17" t="str">
        <f aca="false">IF($A662="","",TEXT($A662,"yyyymmdd")&amp;"|"&amp;$K662)</f>
        <v/>
      </c>
    </row>
    <row r="663" customFormat="false" ht="15" hidden="false" customHeight="true" outlineLevel="0" collapsed="false">
      <c r="A663" s="15"/>
      <c r="B663" s="10"/>
      <c r="C663" s="10"/>
      <c r="D663" s="10"/>
      <c r="E663" s="10"/>
      <c r="F663" s="11"/>
      <c r="G663" s="10"/>
      <c r="H663" s="10"/>
      <c r="I663" s="16" t="str">
        <f aca="false">IF(OR($A663="",$F663=""),"",IF($B663="입금",$F663,0))</f>
        <v/>
      </c>
      <c r="J663" s="16" t="str">
        <f aca="false">IF(OR($A663="",$F663=""),"",IF($B663="출금",$F663,0))</f>
        <v/>
      </c>
      <c r="K663" s="17" t="str">
        <f aca="false">IF($A663="","",COUNTIFS($A$3:$A663,$A663))</f>
        <v/>
      </c>
      <c r="L663" s="17" t="str">
        <f aca="false">IF($A663="","",TEXT($A663,"yyyymmdd")&amp;"|"&amp;$K663)</f>
        <v/>
      </c>
    </row>
    <row r="664" customFormat="false" ht="15" hidden="false" customHeight="true" outlineLevel="0" collapsed="false">
      <c r="A664" s="15"/>
      <c r="B664" s="10"/>
      <c r="C664" s="10"/>
      <c r="D664" s="10"/>
      <c r="E664" s="10"/>
      <c r="F664" s="11"/>
      <c r="G664" s="10"/>
      <c r="H664" s="10"/>
      <c r="I664" s="16" t="str">
        <f aca="false">IF(OR($A664="",$F664=""),"",IF($B664="입금",$F664,0))</f>
        <v/>
      </c>
      <c r="J664" s="16" t="str">
        <f aca="false">IF(OR($A664="",$F664=""),"",IF($B664="출금",$F664,0))</f>
        <v/>
      </c>
      <c r="K664" s="17" t="str">
        <f aca="false">IF($A664="","",COUNTIFS($A$3:$A664,$A664))</f>
        <v/>
      </c>
      <c r="L664" s="17" t="str">
        <f aca="false">IF($A664="","",TEXT($A664,"yyyymmdd")&amp;"|"&amp;$K664)</f>
        <v/>
      </c>
    </row>
    <row r="665" customFormat="false" ht="15" hidden="false" customHeight="true" outlineLevel="0" collapsed="false">
      <c r="A665" s="15"/>
      <c r="B665" s="10"/>
      <c r="C665" s="10"/>
      <c r="D665" s="10"/>
      <c r="E665" s="10"/>
      <c r="F665" s="11"/>
      <c r="G665" s="10"/>
      <c r="H665" s="10"/>
      <c r="I665" s="16" t="str">
        <f aca="false">IF(OR($A665="",$F665=""),"",IF($B665="입금",$F665,0))</f>
        <v/>
      </c>
      <c r="J665" s="16" t="str">
        <f aca="false">IF(OR($A665="",$F665=""),"",IF($B665="출금",$F665,0))</f>
        <v/>
      </c>
      <c r="K665" s="17" t="str">
        <f aca="false">IF($A665="","",COUNTIFS($A$3:$A665,$A665))</f>
        <v/>
      </c>
      <c r="L665" s="17" t="str">
        <f aca="false">IF($A665="","",TEXT($A665,"yyyymmdd")&amp;"|"&amp;$K665)</f>
        <v/>
      </c>
    </row>
    <row r="666" customFormat="false" ht="15" hidden="false" customHeight="true" outlineLevel="0" collapsed="false">
      <c r="A666" s="15"/>
      <c r="B666" s="10"/>
      <c r="C666" s="10"/>
      <c r="D666" s="10"/>
      <c r="E666" s="10"/>
      <c r="F666" s="11"/>
      <c r="G666" s="10"/>
      <c r="H666" s="10"/>
      <c r="I666" s="16" t="str">
        <f aca="false">IF(OR($A666="",$F666=""),"",IF($B666="입금",$F666,0))</f>
        <v/>
      </c>
      <c r="J666" s="16" t="str">
        <f aca="false">IF(OR($A666="",$F666=""),"",IF($B666="출금",$F666,0))</f>
        <v/>
      </c>
      <c r="K666" s="17" t="str">
        <f aca="false">IF($A666="","",COUNTIFS($A$3:$A666,$A666))</f>
        <v/>
      </c>
      <c r="L666" s="17" t="str">
        <f aca="false">IF($A666="","",TEXT($A666,"yyyymmdd")&amp;"|"&amp;$K666)</f>
        <v/>
      </c>
    </row>
    <row r="667" customFormat="false" ht="15" hidden="false" customHeight="true" outlineLevel="0" collapsed="false">
      <c r="A667" s="15"/>
      <c r="B667" s="10"/>
      <c r="C667" s="10"/>
      <c r="D667" s="10"/>
      <c r="E667" s="10"/>
      <c r="F667" s="11"/>
      <c r="G667" s="10"/>
      <c r="H667" s="10"/>
      <c r="I667" s="16" t="str">
        <f aca="false">IF(OR($A667="",$F667=""),"",IF($B667="입금",$F667,0))</f>
        <v/>
      </c>
      <c r="J667" s="16" t="str">
        <f aca="false">IF(OR($A667="",$F667=""),"",IF($B667="출금",$F667,0))</f>
        <v/>
      </c>
      <c r="K667" s="17" t="str">
        <f aca="false">IF($A667="","",COUNTIFS($A$3:$A667,$A667))</f>
        <v/>
      </c>
      <c r="L667" s="17" t="str">
        <f aca="false">IF($A667="","",TEXT($A667,"yyyymmdd")&amp;"|"&amp;$K667)</f>
        <v/>
      </c>
    </row>
    <row r="668" customFormat="false" ht="15" hidden="false" customHeight="true" outlineLevel="0" collapsed="false">
      <c r="A668" s="15"/>
      <c r="B668" s="10"/>
      <c r="C668" s="10"/>
      <c r="D668" s="10"/>
      <c r="E668" s="10"/>
      <c r="F668" s="11"/>
      <c r="G668" s="10"/>
      <c r="H668" s="10"/>
      <c r="I668" s="16" t="str">
        <f aca="false">IF(OR($A668="",$F668=""),"",IF($B668="입금",$F668,0))</f>
        <v/>
      </c>
      <c r="J668" s="16" t="str">
        <f aca="false">IF(OR($A668="",$F668=""),"",IF($B668="출금",$F668,0))</f>
        <v/>
      </c>
      <c r="K668" s="17" t="str">
        <f aca="false">IF($A668="","",COUNTIFS($A$3:$A668,$A668))</f>
        <v/>
      </c>
      <c r="L668" s="17" t="str">
        <f aca="false">IF($A668="","",TEXT($A668,"yyyymmdd")&amp;"|"&amp;$K668)</f>
        <v/>
      </c>
    </row>
    <row r="669" customFormat="false" ht="15" hidden="false" customHeight="true" outlineLevel="0" collapsed="false">
      <c r="A669" s="15"/>
      <c r="B669" s="10"/>
      <c r="C669" s="10"/>
      <c r="D669" s="10"/>
      <c r="E669" s="10"/>
      <c r="F669" s="11"/>
      <c r="G669" s="10"/>
      <c r="H669" s="10"/>
      <c r="I669" s="16" t="str">
        <f aca="false">IF(OR($A669="",$F669=""),"",IF($B669="입금",$F669,0))</f>
        <v/>
      </c>
      <c r="J669" s="16" t="str">
        <f aca="false">IF(OR($A669="",$F669=""),"",IF($B669="출금",$F669,0))</f>
        <v/>
      </c>
      <c r="K669" s="17" t="str">
        <f aca="false">IF($A669="","",COUNTIFS($A$3:$A669,$A669))</f>
        <v/>
      </c>
      <c r="L669" s="17" t="str">
        <f aca="false">IF($A669="","",TEXT($A669,"yyyymmdd")&amp;"|"&amp;$K669)</f>
        <v/>
      </c>
    </row>
    <row r="670" customFormat="false" ht="15" hidden="false" customHeight="true" outlineLevel="0" collapsed="false">
      <c r="A670" s="15"/>
      <c r="B670" s="10"/>
      <c r="C670" s="10"/>
      <c r="D670" s="10"/>
      <c r="E670" s="10"/>
      <c r="F670" s="11"/>
      <c r="G670" s="10"/>
      <c r="H670" s="10"/>
      <c r="I670" s="16" t="str">
        <f aca="false">IF(OR($A670="",$F670=""),"",IF($B670="입금",$F670,0))</f>
        <v/>
      </c>
      <c r="J670" s="16" t="str">
        <f aca="false">IF(OR($A670="",$F670=""),"",IF($B670="출금",$F670,0))</f>
        <v/>
      </c>
      <c r="K670" s="17" t="str">
        <f aca="false">IF($A670="","",COUNTIFS($A$3:$A670,$A670))</f>
        <v/>
      </c>
      <c r="L670" s="17" t="str">
        <f aca="false">IF($A670="","",TEXT($A670,"yyyymmdd")&amp;"|"&amp;$K670)</f>
        <v/>
      </c>
    </row>
    <row r="671" customFormat="false" ht="15" hidden="false" customHeight="true" outlineLevel="0" collapsed="false">
      <c r="A671" s="15"/>
      <c r="B671" s="10"/>
      <c r="C671" s="10"/>
      <c r="D671" s="10"/>
      <c r="E671" s="10"/>
      <c r="F671" s="11"/>
      <c r="G671" s="10"/>
      <c r="H671" s="10"/>
      <c r="I671" s="16" t="str">
        <f aca="false">IF(OR($A671="",$F671=""),"",IF($B671="입금",$F671,0))</f>
        <v/>
      </c>
      <c r="J671" s="16" t="str">
        <f aca="false">IF(OR($A671="",$F671=""),"",IF($B671="출금",$F671,0))</f>
        <v/>
      </c>
      <c r="K671" s="17" t="str">
        <f aca="false">IF($A671="","",COUNTIFS($A$3:$A671,$A671))</f>
        <v/>
      </c>
      <c r="L671" s="17" t="str">
        <f aca="false">IF($A671="","",TEXT($A671,"yyyymmdd")&amp;"|"&amp;$K671)</f>
        <v/>
      </c>
    </row>
    <row r="672" customFormat="false" ht="15" hidden="false" customHeight="true" outlineLevel="0" collapsed="false">
      <c r="A672" s="15"/>
      <c r="B672" s="10"/>
      <c r="C672" s="10"/>
      <c r="D672" s="10"/>
      <c r="E672" s="10"/>
      <c r="F672" s="11"/>
      <c r="G672" s="10"/>
      <c r="H672" s="10"/>
      <c r="I672" s="16" t="str">
        <f aca="false">IF(OR($A672="",$F672=""),"",IF($B672="입금",$F672,0))</f>
        <v/>
      </c>
      <c r="J672" s="16" t="str">
        <f aca="false">IF(OR($A672="",$F672=""),"",IF($B672="출금",$F672,0))</f>
        <v/>
      </c>
      <c r="K672" s="17" t="str">
        <f aca="false">IF($A672="","",COUNTIFS($A$3:$A672,$A672))</f>
        <v/>
      </c>
      <c r="L672" s="17" t="str">
        <f aca="false">IF($A672="","",TEXT($A672,"yyyymmdd")&amp;"|"&amp;$K672)</f>
        <v/>
      </c>
    </row>
    <row r="673" customFormat="false" ht="15" hidden="false" customHeight="true" outlineLevel="0" collapsed="false">
      <c r="A673" s="15"/>
      <c r="B673" s="10"/>
      <c r="C673" s="10"/>
      <c r="D673" s="10"/>
      <c r="E673" s="10"/>
      <c r="F673" s="11"/>
      <c r="G673" s="10"/>
      <c r="H673" s="10"/>
      <c r="I673" s="16" t="str">
        <f aca="false">IF(OR($A673="",$F673=""),"",IF($B673="입금",$F673,0))</f>
        <v/>
      </c>
      <c r="J673" s="16" t="str">
        <f aca="false">IF(OR($A673="",$F673=""),"",IF($B673="출금",$F673,0))</f>
        <v/>
      </c>
      <c r="K673" s="17" t="str">
        <f aca="false">IF($A673="","",COUNTIFS($A$3:$A673,$A673))</f>
        <v/>
      </c>
      <c r="L673" s="17" t="str">
        <f aca="false">IF($A673="","",TEXT($A673,"yyyymmdd")&amp;"|"&amp;$K673)</f>
        <v/>
      </c>
    </row>
    <row r="674" customFormat="false" ht="15" hidden="false" customHeight="true" outlineLevel="0" collapsed="false">
      <c r="A674" s="15"/>
      <c r="B674" s="10"/>
      <c r="C674" s="10"/>
      <c r="D674" s="10"/>
      <c r="E674" s="10"/>
      <c r="F674" s="11"/>
      <c r="G674" s="10"/>
      <c r="H674" s="10"/>
      <c r="I674" s="16" t="str">
        <f aca="false">IF(OR($A674="",$F674=""),"",IF($B674="입금",$F674,0))</f>
        <v/>
      </c>
      <c r="J674" s="16" t="str">
        <f aca="false">IF(OR($A674="",$F674=""),"",IF($B674="출금",$F674,0))</f>
        <v/>
      </c>
      <c r="K674" s="17" t="str">
        <f aca="false">IF($A674="","",COUNTIFS($A$3:$A674,$A674))</f>
        <v/>
      </c>
      <c r="L674" s="17" t="str">
        <f aca="false">IF($A674="","",TEXT($A674,"yyyymmdd")&amp;"|"&amp;$K674)</f>
        <v/>
      </c>
    </row>
    <row r="675" customFormat="false" ht="15" hidden="false" customHeight="true" outlineLevel="0" collapsed="false">
      <c r="A675" s="15"/>
      <c r="B675" s="10"/>
      <c r="C675" s="10"/>
      <c r="D675" s="10"/>
      <c r="E675" s="10"/>
      <c r="F675" s="11"/>
      <c r="G675" s="10"/>
      <c r="H675" s="10"/>
      <c r="I675" s="16" t="str">
        <f aca="false">IF(OR($A675="",$F675=""),"",IF($B675="입금",$F675,0))</f>
        <v/>
      </c>
      <c r="J675" s="16" t="str">
        <f aca="false">IF(OR($A675="",$F675=""),"",IF($B675="출금",$F675,0))</f>
        <v/>
      </c>
      <c r="K675" s="17" t="str">
        <f aca="false">IF($A675="","",COUNTIFS($A$3:$A675,$A675))</f>
        <v/>
      </c>
      <c r="L675" s="17" t="str">
        <f aca="false">IF($A675="","",TEXT($A675,"yyyymmdd")&amp;"|"&amp;$K675)</f>
        <v/>
      </c>
    </row>
    <row r="676" customFormat="false" ht="15" hidden="false" customHeight="true" outlineLevel="0" collapsed="false">
      <c r="A676" s="15"/>
      <c r="B676" s="10"/>
      <c r="C676" s="10"/>
      <c r="D676" s="10"/>
      <c r="E676" s="10"/>
      <c r="F676" s="11"/>
      <c r="G676" s="10"/>
      <c r="H676" s="10"/>
      <c r="I676" s="16" t="str">
        <f aca="false">IF(OR($A676="",$F676=""),"",IF($B676="입금",$F676,0))</f>
        <v/>
      </c>
      <c r="J676" s="16" t="str">
        <f aca="false">IF(OR($A676="",$F676=""),"",IF($B676="출금",$F676,0))</f>
        <v/>
      </c>
      <c r="K676" s="17" t="str">
        <f aca="false">IF($A676="","",COUNTIFS($A$3:$A676,$A676))</f>
        <v/>
      </c>
      <c r="L676" s="17" t="str">
        <f aca="false">IF($A676="","",TEXT($A676,"yyyymmdd")&amp;"|"&amp;$K676)</f>
        <v/>
      </c>
    </row>
    <row r="677" customFormat="false" ht="15" hidden="false" customHeight="true" outlineLevel="0" collapsed="false">
      <c r="A677" s="15"/>
      <c r="B677" s="10"/>
      <c r="C677" s="10"/>
      <c r="D677" s="10"/>
      <c r="E677" s="10"/>
      <c r="F677" s="11"/>
      <c r="G677" s="10"/>
      <c r="H677" s="10"/>
      <c r="I677" s="16" t="str">
        <f aca="false">IF(OR($A677="",$F677=""),"",IF($B677="입금",$F677,0))</f>
        <v/>
      </c>
      <c r="J677" s="16" t="str">
        <f aca="false">IF(OR($A677="",$F677=""),"",IF($B677="출금",$F677,0))</f>
        <v/>
      </c>
      <c r="K677" s="17" t="str">
        <f aca="false">IF($A677="","",COUNTIFS($A$3:$A677,$A677))</f>
        <v/>
      </c>
      <c r="L677" s="17" t="str">
        <f aca="false">IF($A677="","",TEXT($A677,"yyyymmdd")&amp;"|"&amp;$K677)</f>
        <v/>
      </c>
    </row>
    <row r="678" customFormat="false" ht="15" hidden="false" customHeight="true" outlineLevel="0" collapsed="false">
      <c r="A678" s="15"/>
      <c r="B678" s="10"/>
      <c r="C678" s="10"/>
      <c r="D678" s="10"/>
      <c r="E678" s="10"/>
      <c r="F678" s="11"/>
      <c r="G678" s="10"/>
      <c r="H678" s="10"/>
      <c r="I678" s="16" t="str">
        <f aca="false">IF(OR($A678="",$F678=""),"",IF($B678="입금",$F678,0))</f>
        <v/>
      </c>
      <c r="J678" s="16" t="str">
        <f aca="false">IF(OR($A678="",$F678=""),"",IF($B678="출금",$F678,0))</f>
        <v/>
      </c>
      <c r="K678" s="17" t="str">
        <f aca="false">IF($A678="","",COUNTIFS($A$3:$A678,$A678))</f>
        <v/>
      </c>
      <c r="L678" s="17" t="str">
        <f aca="false">IF($A678="","",TEXT($A678,"yyyymmdd")&amp;"|"&amp;$K678)</f>
        <v/>
      </c>
    </row>
    <row r="679" customFormat="false" ht="15" hidden="false" customHeight="true" outlineLevel="0" collapsed="false">
      <c r="A679" s="15"/>
      <c r="B679" s="10"/>
      <c r="C679" s="10"/>
      <c r="D679" s="10"/>
      <c r="E679" s="10"/>
      <c r="F679" s="11"/>
      <c r="G679" s="10"/>
      <c r="H679" s="10"/>
      <c r="I679" s="16" t="str">
        <f aca="false">IF(OR($A679="",$F679=""),"",IF($B679="입금",$F679,0))</f>
        <v/>
      </c>
      <c r="J679" s="16" t="str">
        <f aca="false">IF(OR($A679="",$F679=""),"",IF($B679="출금",$F679,0))</f>
        <v/>
      </c>
      <c r="K679" s="17" t="str">
        <f aca="false">IF($A679="","",COUNTIFS($A$3:$A679,$A679))</f>
        <v/>
      </c>
      <c r="L679" s="17" t="str">
        <f aca="false">IF($A679="","",TEXT($A679,"yyyymmdd")&amp;"|"&amp;$K679)</f>
        <v/>
      </c>
    </row>
    <row r="680" customFormat="false" ht="15" hidden="false" customHeight="true" outlineLevel="0" collapsed="false">
      <c r="A680" s="15"/>
      <c r="B680" s="10"/>
      <c r="C680" s="10"/>
      <c r="D680" s="10"/>
      <c r="E680" s="10"/>
      <c r="F680" s="11"/>
      <c r="G680" s="10"/>
      <c r="H680" s="10"/>
      <c r="I680" s="16" t="str">
        <f aca="false">IF(OR($A680="",$F680=""),"",IF($B680="입금",$F680,0))</f>
        <v/>
      </c>
      <c r="J680" s="16" t="str">
        <f aca="false">IF(OR($A680="",$F680=""),"",IF($B680="출금",$F680,0))</f>
        <v/>
      </c>
      <c r="K680" s="17" t="str">
        <f aca="false">IF($A680="","",COUNTIFS($A$3:$A680,$A680))</f>
        <v/>
      </c>
      <c r="L680" s="17" t="str">
        <f aca="false">IF($A680="","",TEXT($A680,"yyyymmdd")&amp;"|"&amp;$K680)</f>
        <v/>
      </c>
    </row>
    <row r="681" customFormat="false" ht="15" hidden="false" customHeight="true" outlineLevel="0" collapsed="false">
      <c r="A681" s="15"/>
      <c r="B681" s="10"/>
      <c r="C681" s="10"/>
      <c r="D681" s="10"/>
      <c r="E681" s="10"/>
      <c r="F681" s="11"/>
      <c r="G681" s="10"/>
      <c r="H681" s="10"/>
      <c r="I681" s="16" t="str">
        <f aca="false">IF(OR($A681="",$F681=""),"",IF($B681="입금",$F681,0))</f>
        <v/>
      </c>
      <c r="J681" s="16" t="str">
        <f aca="false">IF(OR($A681="",$F681=""),"",IF($B681="출금",$F681,0))</f>
        <v/>
      </c>
      <c r="K681" s="17" t="str">
        <f aca="false">IF($A681="","",COUNTIFS($A$3:$A681,$A681))</f>
        <v/>
      </c>
      <c r="L681" s="17" t="str">
        <f aca="false">IF($A681="","",TEXT($A681,"yyyymmdd")&amp;"|"&amp;$K681)</f>
        <v/>
      </c>
    </row>
    <row r="682" customFormat="false" ht="15" hidden="false" customHeight="true" outlineLevel="0" collapsed="false">
      <c r="A682" s="15"/>
      <c r="B682" s="10"/>
      <c r="C682" s="10"/>
      <c r="D682" s="10"/>
      <c r="E682" s="10"/>
      <c r="F682" s="11"/>
      <c r="G682" s="10"/>
      <c r="H682" s="10"/>
      <c r="I682" s="16" t="str">
        <f aca="false">IF(OR($A682="",$F682=""),"",IF($B682="입금",$F682,0))</f>
        <v/>
      </c>
      <c r="J682" s="16" t="str">
        <f aca="false">IF(OR($A682="",$F682=""),"",IF($B682="출금",$F682,0))</f>
        <v/>
      </c>
      <c r="K682" s="17" t="str">
        <f aca="false">IF($A682="","",COUNTIFS($A$3:$A682,$A682))</f>
        <v/>
      </c>
      <c r="L682" s="17" t="str">
        <f aca="false">IF($A682="","",TEXT($A682,"yyyymmdd")&amp;"|"&amp;$K682)</f>
        <v/>
      </c>
    </row>
    <row r="683" customFormat="false" ht="15" hidden="false" customHeight="true" outlineLevel="0" collapsed="false">
      <c r="A683" s="15"/>
      <c r="B683" s="10"/>
      <c r="C683" s="10"/>
      <c r="D683" s="10"/>
      <c r="E683" s="10"/>
      <c r="F683" s="11"/>
      <c r="G683" s="10"/>
      <c r="H683" s="10"/>
      <c r="I683" s="16" t="str">
        <f aca="false">IF(OR($A683="",$F683=""),"",IF($B683="입금",$F683,0))</f>
        <v/>
      </c>
      <c r="J683" s="16" t="str">
        <f aca="false">IF(OR($A683="",$F683=""),"",IF($B683="출금",$F683,0))</f>
        <v/>
      </c>
      <c r="K683" s="17" t="str">
        <f aca="false">IF($A683="","",COUNTIFS($A$3:$A683,$A683))</f>
        <v/>
      </c>
      <c r="L683" s="17" t="str">
        <f aca="false">IF($A683="","",TEXT($A683,"yyyymmdd")&amp;"|"&amp;$K683)</f>
        <v/>
      </c>
    </row>
    <row r="684" customFormat="false" ht="15" hidden="false" customHeight="true" outlineLevel="0" collapsed="false">
      <c r="A684" s="15"/>
      <c r="B684" s="10"/>
      <c r="C684" s="10"/>
      <c r="D684" s="10"/>
      <c r="E684" s="10"/>
      <c r="F684" s="11"/>
      <c r="G684" s="10"/>
      <c r="H684" s="10"/>
      <c r="I684" s="16" t="str">
        <f aca="false">IF(OR($A684="",$F684=""),"",IF($B684="입금",$F684,0))</f>
        <v/>
      </c>
      <c r="J684" s="16" t="str">
        <f aca="false">IF(OR($A684="",$F684=""),"",IF($B684="출금",$F684,0))</f>
        <v/>
      </c>
      <c r="K684" s="17" t="str">
        <f aca="false">IF($A684="","",COUNTIFS($A$3:$A684,$A684))</f>
        <v/>
      </c>
      <c r="L684" s="17" t="str">
        <f aca="false">IF($A684="","",TEXT($A684,"yyyymmdd")&amp;"|"&amp;$K684)</f>
        <v/>
      </c>
    </row>
    <row r="685" customFormat="false" ht="15" hidden="false" customHeight="true" outlineLevel="0" collapsed="false">
      <c r="A685" s="15"/>
      <c r="B685" s="10"/>
      <c r="C685" s="10"/>
      <c r="D685" s="10"/>
      <c r="E685" s="10"/>
      <c r="F685" s="11"/>
      <c r="G685" s="10"/>
      <c r="H685" s="10"/>
      <c r="I685" s="16" t="str">
        <f aca="false">IF(OR($A685="",$F685=""),"",IF($B685="입금",$F685,0))</f>
        <v/>
      </c>
      <c r="J685" s="16" t="str">
        <f aca="false">IF(OR($A685="",$F685=""),"",IF($B685="출금",$F685,0))</f>
        <v/>
      </c>
      <c r="K685" s="17" t="str">
        <f aca="false">IF($A685="","",COUNTIFS($A$3:$A685,$A685))</f>
        <v/>
      </c>
      <c r="L685" s="17" t="str">
        <f aca="false">IF($A685="","",TEXT($A685,"yyyymmdd")&amp;"|"&amp;$K685)</f>
        <v/>
      </c>
    </row>
    <row r="686" customFormat="false" ht="15" hidden="false" customHeight="true" outlineLevel="0" collapsed="false">
      <c r="A686" s="15"/>
      <c r="B686" s="10"/>
      <c r="C686" s="10"/>
      <c r="D686" s="10"/>
      <c r="E686" s="10"/>
      <c r="F686" s="11"/>
      <c r="G686" s="10"/>
      <c r="H686" s="10"/>
      <c r="I686" s="16" t="str">
        <f aca="false">IF(OR($A686="",$F686=""),"",IF($B686="입금",$F686,0))</f>
        <v/>
      </c>
      <c r="J686" s="16" t="str">
        <f aca="false">IF(OR($A686="",$F686=""),"",IF($B686="출금",$F686,0))</f>
        <v/>
      </c>
      <c r="K686" s="17" t="str">
        <f aca="false">IF($A686="","",COUNTIFS($A$3:$A686,$A686))</f>
        <v/>
      </c>
      <c r="L686" s="17" t="str">
        <f aca="false">IF($A686="","",TEXT($A686,"yyyymmdd")&amp;"|"&amp;$K686)</f>
        <v/>
      </c>
    </row>
    <row r="687" customFormat="false" ht="15" hidden="false" customHeight="true" outlineLevel="0" collapsed="false">
      <c r="A687" s="15"/>
      <c r="B687" s="10"/>
      <c r="C687" s="10"/>
      <c r="D687" s="10"/>
      <c r="E687" s="10"/>
      <c r="F687" s="11"/>
      <c r="G687" s="10"/>
      <c r="H687" s="10"/>
      <c r="I687" s="16" t="str">
        <f aca="false">IF(OR($A687="",$F687=""),"",IF($B687="입금",$F687,0))</f>
        <v/>
      </c>
      <c r="J687" s="16" t="str">
        <f aca="false">IF(OR($A687="",$F687=""),"",IF($B687="출금",$F687,0))</f>
        <v/>
      </c>
      <c r="K687" s="17" t="str">
        <f aca="false">IF($A687="","",COUNTIFS($A$3:$A687,$A687))</f>
        <v/>
      </c>
      <c r="L687" s="17" t="str">
        <f aca="false">IF($A687="","",TEXT($A687,"yyyymmdd")&amp;"|"&amp;$K687)</f>
        <v/>
      </c>
    </row>
    <row r="688" customFormat="false" ht="15" hidden="false" customHeight="true" outlineLevel="0" collapsed="false">
      <c r="A688" s="15"/>
      <c r="B688" s="10"/>
      <c r="C688" s="10"/>
      <c r="D688" s="10"/>
      <c r="E688" s="10"/>
      <c r="F688" s="11"/>
      <c r="G688" s="10"/>
      <c r="H688" s="10"/>
      <c r="I688" s="16" t="str">
        <f aca="false">IF(OR($A688="",$F688=""),"",IF($B688="입금",$F688,0))</f>
        <v/>
      </c>
      <c r="J688" s="16" t="str">
        <f aca="false">IF(OR($A688="",$F688=""),"",IF($B688="출금",$F688,0))</f>
        <v/>
      </c>
      <c r="K688" s="17" t="str">
        <f aca="false">IF($A688="","",COUNTIFS($A$3:$A688,$A688))</f>
        <v/>
      </c>
      <c r="L688" s="17" t="str">
        <f aca="false">IF($A688="","",TEXT($A688,"yyyymmdd")&amp;"|"&amp;$K688)</f>
        <v/>
      </c>
    </row>
    <row r="689" customFormat="false" ht="15" hidden="false" customHeight="true" outlineLevel="0" collapsed="false">
      <c r="A689" s="15"/>
      <c r="B689" s="10"/>
      <c r="C689" s="10"/>
      <c r="D689" s="10"/>
      <c r="E689" s="10"/>
      <c r="F689" s="11"/>
      <c r="G689" s="10"/>
      <c r="H689" s="10"/>
      <c r="I689" s="16" t="str">
        <f aca="false">IF(OR($A689="",$F689=""),"",IF($B689="입금",$F689,0))</f>
        <v/>
      </c>
      <c r="J689" s="16" t="str">
        <f aca="false">IF(OR($A689="",$F689=""),"",IF($B689="출금",$F689,0))</f>
        <v/>
      </c>
      <c r="K689" s="17" t="str">
        <f aca="false">IF($A689="","",COUNTIFS($A$3:$A689,$A689))</f>
        <v/>
      </c>
      <c r="L689" s="17" t="str">
        <f aca="false">IF($A689="","",TEXT($A689,"yyyymmdd")&amp;"|"&amp;$K689)</f>
        <v/>
      </c>
    </row>
    <row r="690" customFormat="false" ht="15" hidden="false" customHeight="true" outlineLevel="0" collapsed="false">
      <c r="A690" s="15"/>
      <c r="B690" s="10"/>
      <c r="C690" s="10"/>
      <c r="D690" s="10"/>
      <c r="E690" s="10"/>
      <c r="F690" s="11"/>
      <c r="G690" s="10"/>
      <c r="H690" s="10"/>
      <c r="I690" s="16" t="str">
        <f aca="false">IF(OR($A690="",$F690=""),"",IF($B690="입금",$F690,0))</f>
        <v/>
      </c>
      <c r="J690" s="16" t="str">
        <f aca="false">IF(OR($A690="",$F690=""),"",IF($B690="출금",$F690,0))</f>
        <v/>
      </c>
      <c r="K690" s="17" t="str">
        <f aca="false">IF($A690="","",COUNTIFS($A$3:$A690,$A690))</f>
        <v/>
      </c>
      <c r="L690" s="17" t="str">
        <f aca="false">IF($A690="","",TEXT($A690,"yyyymmdd")&amp;"|"&amp;$K690)</f>
        <v/>
      </c>
    </row>
    <row r="691" customFormat="false" ht="15" hidden="false" customHeight="true" outlineLevel="0" collapsed="false">
      <c r="A691" s="15"/>
      <c r="B691" s="10"/>
      <c r="C691" s="10"/>
      <c r="D691" s="10"/>
      <c r="E691" s="10"/>
      <c r="F691" s="11"/>
      <c r="G691" s="10"/>
      <c r="H691" s="10"/>
      <c r="I691" s="16" t="str">
        <f aca="false">IF(OR($A691="",$F691=""),"",IF($B691="입금",$F691,0))</f>
        <v/>
      </c>
      <c r="J691" s="16" t="str">
        <f aca="false">IF(OR($A691="",$F691=""),"",IF($B691="출금",$F691,0))</f>
        <v/>
      </c>
      <c r="K691" s="17" t="str">
        <f aca="false">IF($A691="","",COUNTIFS($A$3:$A691,$A691))</f>
        <v/>
      </c>
      <c r="L691" s="17" t="str">
        <f aca="false">IF($A691="","",TEXT($A691,"yyyymmdd")&amp;"|"&amp;$K691)</f>
        <v/>
      </c>
    </row>
    <row r="692" customFormat="false" ht="15" hidden="false" customHeight="true" outlineLevel="0" collapsed="false">
      <c r="A692" s="15"/>
      <c r="B692" s="10"/>
      <c r="C692" s="10"/>
      <c r="D692" s="10"/>
      <c r="E692" s="10"/>
      <c r="F692" s="11"/>
      <c r="G692" s="10"/>
      <c r="H692" s="10"/>
      <c r="I692" s="16" t="str">
        <f aca="false">IF(OR($A692="",$F692=""),"",IF($B692="입금",$F692,0))</f>
        <v/>
      </c>
      <c r="J692" s="16" t="str">
        <f aca="false">IF(OR($A692="",$F692=""),"",IF($B692="출금",$F692,0))</f>
        <v/>
      </c>
      <c r="K692" s="17" t="str">
        <f aca="false">IF($A692="","",COUNTIFS($A$3:$A692,$A692))</f>
        <v/>
      </c>
      <c r="L692" s="17" t="str">
        <f aca="false">IF($A692="","",TEXT($A692,"yyyymmdd")&amp;"|"&amp;$K692)</f>
        <v/>
      </c>
    </row>
    <row r="693" customFormat="false" ht="15" hidden="false" customHeight="true" outlineLevel="0" collapsed="false">
      <c r="A693" s="15"/>
      <c r="B693" s="10"/>
      <c r="C693" s="10"/>
      <c r="D693" s="10"/>
      <c r="E693" s="10"/>
      <c r="F693" s="11"/>
      <c r="G693" s="10"/>
      <c r="H693" s="10"/>
      <c r="I693" s="16" t="str">
        <f aca="false">IF(OR($A693="",$F693=""),"",IF($B693="입금",$F693,0))</f>
        <v/>
      </c>
      <c r="J693" s="16" t="str">
        <f aca="false">IF(OR($A693="",$F693=""),"",IF($B693="출금",$F693,0))</f>
        <v/>
      </c>
      <c r="K693" s="17" t="str">
        <f aca="false">IF($A693="","",COUNTIFS($A$3:$A693,$A693))</f>
        <v/>
      </c>
      <c r="L693" s="17" t="str">
        <f aca="false">IF($A693="","",TEXT($A693,"yyyymmdd")&amp;"|"&amp;$K693)</f>
        <v/>
      </c>
    </row>
    <row r="694" customFormat="false" ht="15" hidden="false" customHeight="true" outlineLevel="0" collapsed="false">
      <c r="A694" s="15"/>
      <c r="B694" s="10"/>
      <c r="C694" s="10"/>
      <c r="D694" s="10"/>
      <c r="E694" s="10"/>
      <c r="F694" s="11"/>
      <c r="G694" s="10"/>
      <c r="H694" s="10"/>
      <c r="I694" s="16" t="str">
        <f aca="false">IF(OR($A694="",$F694=""),"",IF($B694="입금",$F694,0))</f>
        <v/>
      </c>
      <c r="J694" s="16" t="str">
        <f aca="false">IF(OR($A694="",$F694=""),"",IF($B694="출금",$F694,0))</f>
        <v/>
      </c>
      <c r="K694" s="17" t="str">
        <f aca="false">IF($A694="","",COUNTIFS($A$3:$A694,$A694))</f>
        <v/>
      </c>
      <c r="L694" s="17" t="str">
        <f aca="false">IF($A694="","",TEXT($A694,"yyyymmdd")&amp;"|"&amp;$K694)</f>
        <v/>
      </c>
    </row>
    <row r="695" customFormat="false" ht="15" hidden="false" customHeight="true" outlineLevel="0" collapsed="false">
      <c r="A695" s="15"/>
      <c r="B695" s="10"/>
      <c r="C695" s="10"/>
      <c r="D695" s="10"/>
      <c r="E695" s="10"/>
      <c r="F695" s="11"/>
      <c r="G695" s="10"/>
      <c r="H695" s="10"/>
      <c r="I695" s="16" t="str">
        <f aca="false">IF(OR($A695="",$F695=""),"",IF($B695="입금",$F695,0))</f>
        <v/>
      </c>
      <c r="J695" s="16" t="str">
        <f aca="false">IF(OR($A695="",$F695=""),"",IF($B695="출금",$F695,0))</f>
        <v/>
      </c>
      <c r="K695" s="17" t="str">
        <f aca="false">IF($A695="","",COUNTIFS($A$3:$A695,$A695))</f>
        <v/>
      </c>
      <c r="L695" s="17" t="str">
        <f aca="false">IF($A695="","",TEXT($A695,"yyyymmdd")&amp;"|"&amp;$K695)</f>
        <v/>
      </c>
    </row>
    <row r="696" customFormat="false" ht="15" hidden="false" customHeight="true" outlineLevel="0" collapsed="false">
      <c r="A696" s="15"/>
      <c r="B696" s="10"/>
      <c r="C696" s="10"/>
      <c r="D696" s="10"/>
      <c r="E696" s="10"/>
      <c r="F696" s="11"/>
      <c r="G696" s="10"/>
      <c r="H696" s="10"/>
      <c r="I696" s="16" t="str">
        <f aca="false">IF(OR($A696="",$F696=""),"",IF($B696="입금",$F696,0))</f>
        <v/>
      </c>
      <c r="J696" s="16" t="str">
        <f aca="false">IF(OR($A696="",$F696=""),"",IF($B696="출금",$F696,0))</f>
        <v/>
      </c>
      <c r="K696" s="17" t="str">
        <f aca="false">IF($A696="","",COUNTIFS($A$3:$A696,$A696))</f>
        <v/>
      </c>
      <c r="L696" s="17" t="str">
        <f aca="false">IF($A696="","",TEXT($A696,"yyyymmdd")&amp;"|"&amp;$K696)</f>
        <v/>
      </c>
    </row>
    <row r="697" customFormat="false" ht="15" hidden="false" customHeight="true" outlineLevel="0" collapsed="false">
      <c r="A697" s="15"/>
      <c r="B697" s="10"/>
      <c r="C697" s="10"/>
      <c r="D697" s="10"/>
      <c r="E697" s="10"/>
      <c r="F697" s="11"/>
      <c r="G697" s="10"/>
      <c r="H697" s="10"/>
      <c r="I697" s="16" t="str">
        <f aca="false">IF(OR($A697="",$F697=""),"",IF($B697="입금",$F697,0))</f>
        <v/>
      </c>
      <c r="J697" s="16" t="str">
        <f aca="false">IF(OR($A697="",$F697=""),"",IF($B697="출금",$F697,0))</f>
        <v/>
      </c>
      <c r="K697" s="17" t="str">
        <f aca="false">IF($A697="","",COUNTIFS($A$3:$A697,$A697))</f>
        <v/>
      </c>
      <c r="L697" s="17" t="str">
        <f aca="false">IF($A697="","",TEXT($A697,"yyyymmdd")&amp;"|"&amp;$K697)</f>
        <v/>
      </c>
    </row>
    <row r="698" customFormat="false" ht="15" hidden="false" customHeight="true" outlineLevel="0" collapsed="false">
      <c r="A698" s="15"/>
      <c r="B698" s="10"/>
      <c r="C698" s="10"/>
      <c r="D698" s="10"/>
      <c r="E698" s="10"/>
      <c r="F698" s="11"/>
      <c r="G698" s="10"/>
      <c r="H698" s="10"/>
      <c r="I698" s="16" t="str">
        <f aca="false">IF(OR($A698="",$F698=""),"",IF($B698="입금",$F698,0))</f>
        <v/>
      </c>
      <c r="J698" s="16" t="str">
        <f aca="false">IF(OR($A698="",$F698=""),"",IF($B698="출금",$F698,0))</f>
        <v/>
      </c>
      <c r="K698" s="17" t="str">
        <f aca="false">IF($A698="","",COUNTIFS($A$3:$A698,$A698))</f>
        <v/>
      </c>
      <c r="L698" s="17" t="str">
        <f aca="false">IF($A698="","",TEXT($A698,"yyyymmdd")&amp;"|"&amp;$K698)</f>
        <v/>
      </c>
    </row>
    <row r="699" customFormat="false" ht="15" hidden="false" customHeight="true" outlineLevel="0" collapsed="false">
      <c r="A699" s="15"/>
      <c r="B699" s="10"/>
      <c r="C699" s="10"/>
      <c r="D699" s="10"/>
      <c r="E699" s="10"/>
      <c r="F699" s="11"/>
      <c r="G699" s="10"/>
      <c r="H699" s="10"/>
      <c r="I699" s="16" t="str">
        <f aca="false">IF(OR($A699="",$F699=""),"",IF($B699="입금",$F699,0))</f>
        <v/>
      </c>
      <c r="J699" s="16" t="str">
        <f aca="false">IF(OR($A699="",$F699=""),"",IF($B699="출금",$F699,0))</f>
        <v/>
      </c>
      <c r="K699" s="17" t="str">
        <f aca="false">IF($A699="","",COUNTIFS($A$3:$A699,$A699))</f>
        <v/>
      </c>
      <c r="L699" s="17" t="str">
        <f aca="false">IF($A699="","",TEXT($A699,"yyyymmdd")&amp;"|"&amp;$K699)</f>
        <v/>
      </c>
    </row>
    <row r="700" customFormat="false" ht="15" hidden="false" customHeight="true" outlineLevel="0" collapsed="false">
      <c r="A700" s="15"/>
      <c r="B700" s="10"/>
      <c r="C700" s="10"/>
      <c r="D700" s="10"/>
      <c r="E700" s="10"/>
      <c r="F700" s="11"/>
      <c r="G700" s="10"/>
      <c r="H700" s="10"/>
      <c r="I700" s="16" t="str">
        <f aca="false">IF(OR($A700="",$F700=""),"",IF($B700="입금",$F700,0))</f>
        <v/>
      </c>
      <c r="J700" s="16" t="str">
        <f aca="false">IF(OR($A700="",$F700=""),"",IF($B700="출금",$F700,0))</f>
        <v/>
      </c>
      <c r="K700" s="17" t="str">
        <f aca="false">IF($A700="","",COUNTIFS($A$3:$A700,$A700))</f>
        <v/>
      </c>
      <c r="L700" s="17" t="str">
        <f aca="false">IF($A700="","",TEXT($A700,"yyyymmdd")&amp;"|"&amp;$K700)</f>
        <v/>
      </c>
    </row>
    <row r="701" customFormat="false" ht="15" hidden="false" customHeight="true" outlineLevel="0" collapsed="false">
      <c r="A701" s="15"/>
      <c r="B701" s="10"/>
      <c r="C701" s="10"/>
      <c r="D701" s="10"/>
      <c r="E701" s="10"/>
      <c r="F701" s="11"/>
      <c r="G701" s="10"/>
      <c r="H701" s="10"/>
      <c r="I701" s="16" t="str">
        <f aca="false">IF(OR($A701="",$F701=""),"",IF($B701="입금",$F701,0))</f>
        <v/>
      </c>
      <c r="J701" s="16" t="str">
        <f aca="false">IF(OR($A701="",$F701=""),"",IF($B701="출금",$F701,0))</f>
        <v/>
      </c>
      <c r="K701" s="17" t="str">
        <f aca="false">IF($A701="","",COUNTIFS($A$3:$A701,$A701))</f>
        <v/>
      </c>
      <c r="L701" s="17" t="str">
        <f aca="false">IF($A701="","",TEXT($A701,"yyyymmdd")&amp;"|"&amp;$K701)</f>
        <v/>
      </c>
    </row>
    <row r="702" customFormat="false" ht="15" hidden="false" customHeight="true" outlineLevel="0" collapsed="false">
      <c r="A702" s="15"/>
      <c r="B702" s="10"/>
      <c r="C702" s="10"/>
      <c r="D702" s="10"/>
      <c r="E702" s="10"/>
      <c r="F702" s="11"/>
      <c r="G702" s="10"/>
      <c r="H702" s="10"/>
      <c r="I702" s="16" t="str">
        <f aca="false">IF(OR($A702="",$F702=""),"",IF($B702="입금",$F702,0))</f>
        <v/>
      </c>
      <c r="J702" s="16" t="str">
        <f aca="false">IF(OR($A702="",$F702=""),"",IF($B702="출금",$F702,0))</f>
        <v/>
      </c>
      <c r="K702" s="17" t="str">
        <f aca="false">IF($A702="","",COUNTIFS($A$3:$A702,$A702))</f>
        <v/>
      </c>
      <c r="L702" s="17" t="str">
        <f aca="false">IF($A702="","",TEXT($A702,"yyyymmdd")&amp;"|"&amp;$K702)</f>
        <v/>
      </c>
    </row>
    <row r="703" customFormat="false" ht="15" hidden="false" customHeight="true" outlineLevel="0" collapsed="false">
      <c r="A703" s="15"/>
      <c r="B703" s="10"/>
      <c r="C703" s="10"/>
      <c r="D703" s="10"/>
      <c r="E703" s="10"/>
      <c r="F703" s="11"/>
      <c r="G703" s="10"/>
      <c r="H703" s="10"/>
      <c r="I703" s="16" t="str">
        <f aca="false">IF(OR($A703="",$F703=""),"",IF($B703="입금",$F703,0))</f>
        <v/>
      </c>
      <c r="J703" s="16" t="str">
        <f aca="false">IF(OR($A703="",$F703=""),"",IF($B703="출금",$F703,0))</f>
        <v/>
      </c>
      <c r="K703" s="17" t="str">
        <f aca="false">IF($A703="","",COUNTIFS($A$3:$A703,$A703))</f>
        <v/>
      </c>
      <c r="L703" s="17" t="str">
        <f aca="false">IF($A703="","",TEXT($A703,"yyyymmdd")&amp;"|"&amp;$K703)</f>
        <v/>
      </c>
    </row>
    <row r="704" customFormat="false" ht="15" hidden="false" customHeight="true" outlineLevel="0" collapsed="false">
      <c r="A704" s="15"/>
      <c r="B704" s="10"/>
      <c r="C704" s="10"/>
      <c r="D704" s="10"/>
      <c r="E704" s="10"/>
      <c r="F704" s="11"/>
      <c r="G704" s="10"/>
      <c r="H704" s="10"/>
      <c r="I704" s="16" t="str">
        <f aca="false">IF(OR($A704="",$F704=""),"",IF($B704="입금",$F704,0))</f>
        <v/>
      </c>
      <c r="J704" s="16" t="str">
        <f aca="false">IF(OR($A704="",$F704=""),"",IF($B704="출금",$F704,0))</f>
        <v/>
      </c>
      <c r="K704" s="17" t="str">
        <f aca="false">IF($A704="","",COUNTIFS($A$3:$A704,$A704))</f>
        <v/>
      </c>
      <c r="L704" s="17" t="str">
        <f aca="false">IF($A704="","",TEXT($A704,"yyyymmdd")&amp;"|"&amp;$K704)</f>
        <v/>
      </c>
    </row>
    <row r="705" customFormat="false" ht="15" hidden="false" customHeight="true" outlineLevel="0" collapsed="false">
      <c r="A705" s="15"/>
      <c r="B705" s="10"/>
      <c r="C705" s="10"/>
      <c r="D705" s="10"/>
      <c r="E705" s="10"/>
      <c r="F705" s="11"/>
      <c r="G705" s="10"/>
      <c r="H705" s="10"/>
      <c r="I705" s="16" t="str">
        <f aca="false">IF(OR($A705="",$F705=""),"",IF($B705="입금",$F705,0))</f>
        <v/>
      </c>
      <c r="J705" s="16" t="str">
        <f aca="false">IF(OR($A705="",$F705=""),"",IF($B705="출금",$F705,0))</f>
        <v/>
      </c>
      <c r="K705" s="17" t="str">
        <f aca="false">IF($A705="","",COUNTIFS($A$3:$A705,$A705))</f>
        <v/>
      </c>
      <c r="L705" s="17" t="str">
        <f aca="false">IF($A705="","",TEXT($A705,"yyyymmdd")&amp;"|"&amp;$K705)</f>
        <v/>
      </c>
    </row>
    <row r="706" customFormat="false" ht="15" hidden="false" customHeight="true" outlineLevel="0" collapsed="false">
      <c r="A706" s="15"/>
      <c r="B706" s="10"/>
      <c r="C706" s="10"/>
      <c r="D706" s="10"/>
      <c r="E706" s="10"/>
      <c r="F706" s="11"/>
      <c r="G706" s="10"/>
      <c r="H706" s="10"/>
      <c r="I706" s="16" t="str">
        <f aca="false">IF(OR($A706="",$F706=""),"",IF($B706="입금",$F706,0))</f>
        <v/>
      </c>
      <c r="J706" s="16" t="str">
        <f aca="false">IF(OR($A706="",$F706=""),"",IF($B706="출금",$F706,0))</f>
        <v/>
      </c>
      <c r="K706" s="17" t="str">
        <f aca="false">IF($A706="","",COUNTIFS($A$3:$A706,$A706))</f>
        <v/>
      </c>
      <c r="L706" s="17" t="str">
        <f aca="false">IF($A706="","",TEXT($A706,"yyyymmdd")&amp;"|"&amp;$K706)</f>
        <v/>
      </c>
    </row>
    <row r="707" customFormat="false" ht="15" hidden="false" customHeight="true" outlineLevel="0" collapsed="false">
      <c r="A707" s="15"/>
      <c r="B707" s="10"/>
      <c r="C707" s="10"/>
      <c r="D707" s="10"/>
      <c r="E707" s="10"/>
      <c r="F707" s="11"/>
      <c r="G707" s="10"/>
      <c r="H707" s="10"/>
      <c r="I707" s="16" t="str">
        <f aca="false">IF(OR($A707="",$F707=""),"",IF($B707="입금",$F707,0))</f>
        <v/>
      </c>
      <c r="J707" s="16" t="str">
        <f aca="false">IF(OR($A707="",$F707=""),"",IF($B707="출금",$F707,0))</f>
        <v/>
      </c>
      <c r="K707" s="17" t="str">
        <f aca="false">IF($A707="","",COUNTIFS($A$3:$A707,$A707))</f>
        <v/>
      </c>
      <c r="L707" s="17" t="str">
        <f aca="false">IF($A707="","",TEXT($A707,"yyyymmdd")&amp;"|"&amp;$K707)</f>
        <v/>
      </c>
    </row>
    <row r="708" customFormat="false" ht="15" hidden="false" customHeight="true" outlineLevel="0" collapsed="false">
      <c r="A708" s="15"/>
      <c r="B708" s="10"/>
      <c r="C708" s="10"/>
      <c r="D708" s="10"/>
      <c r="E708" s="10"/>
      <c r="F708" s="11"/>
      <c r="G708" s="10"/>
      <c r="H708" s="10"/>
      <c r="I708" s="16" t="str">
        <f aca="false">IF(OR($A708="",$F708=""),"",IF($B708="입금",$F708,0))</f>
        <v/>
      </c>
      <c r="J708" s="16" t="str">
        <f aca="false">IF(OR($A708="",$F708=""),"",IF($B708="출금",$F708,0))</f>
        <v/>
      </c>
      <c r="K708" s="17" t="str">
        <f aca="false">IF($A708="","",COUNTIFS($A$3:$A708,$A708))</f>
        <v/>
      </c>
      <c r="L708" s="17" t="str">
        <f aca="false">IF($A708="","",TEXT($A708,"yyyymmdd")&amp;"|"&amp;$K708)</f>
        <v/>
      </c>
    </row>
    <row r="709" customFormat="false" ht="15" hidden="false" customHeight="true" outlineLevel="0" collapsed="false">
      <c r="A709" s="15"/>
      <c r="B709" s="10"/>
      <c r="C709" s="10"/>
      <c r="D709" s="10"/>
      <c r="E709" s="10"/>
      <c r="F709" s="11"/>
      <c r="G709" s="10"/>
      <c r="H709" s="10"/>
      <c r="I709" s="16" t="str">
        <f aca="false">IF(OR($A709="",$F709=""),"",IF($B709="입금",$F709,0))</f>
        <v/>
      </c>
      <c r="J709" s="16" t="str">
        <f aca="false">IF(OR($A709="",$F709=""),"",IF($B709="출금",$F709,0))</f>
        <v/>
      </c>
      <c r="K709" s="17" t="str">
        <f aca="false">IF($A709="","",COUNTIFS($A$3:$A709,$A709))</f>
        <v/>
      </c>
      <c r="L709" s="17" t="str">
        <f aca="false">IF($A709="","",TEXT($A709,"yyyymmdd")&amp;"|"&amp;$K709)</f>
        <v/>
      </c>
    </row>
    <row r="710" customFormat="false" ht="15" hidden="false" customHeight="true" outlineLevel="0" collapsed="false">
      <c r="A710" s="15"/>
      <c r="B710" s="10"/>
      <c r="C710" s="10"/>
      <c r="D710" s="10"/>
      <c r="E710" s="10"/>
      <c r="F710" s="11"/>
      <c r="G710" s="10"/>
      <c r="H710" s="10"/>
      <c r="I710" s="16" t="str">
        <f aca="false">IF(OR($A710="",$F710=""),"",IF($B710="입금",$F710,0))</f>
        <v/>
      </c>
      <c r="J710" s="16" t="str">
        <f aca="false">IF(OR($A710="",$F710=""),"",IF($B710="출금",$F710,0))</f>
        <v/>
      </c>
      <c r="K710" s="17" t="str">
        <f aca="false">IF($A710="","",COUNTIFS($A$3:$A710,$A710))</f>
        <v/>
      </c>
      <c r="L710" s="17" t="str">
        <f aca="false">IF($A710="","",TEXT($A710,"yyyymmdd")&amp;"|"&amp;$K710)</f>
        <v/>
      </c>
    </row>
    <row r="711" customFormat="false" ht="15" hidden="false" customHeight="true" outlineLevel="0" collapsed="false">
      <c r="A711" s="15"/>
      <c r="B711" s="10"/>
      <c r="C711" s="10"/>
      <c r="D711" s="10"/>
      <c r="E711" s="10"/>
      <c r="F711" s="11"/>
      <c r="G711" s="10"/>
      <c r="H711" s="10"/>
      <c r="I711" s="16" t="str">
        <f aca="false">IF(OR($A711="",$F711=""),"",IF($B711="입금",$F711,0))</f>
        <v/>
      </c>
      <c r="J711" s="16" t="str">
        <f aca="false">IF(OR($A711="",$F711=""),"",IF($B711="출금",$F711,0))</f>
        <v/>
      </c>
      <c r="K711" s="17" t="str">
        <f aca="false">IF($A711="","",COUNTIFS($A$3:$A711,$A711))</f>
        <v/>
      </c>
      <c r="L711" s="17" t="str">
        <f aca="false">IF($A711="","",TEXT($A711,"yyyymmdd")&amp;"|"&amp;$K711)</f>
        <v/>
      </c>
    </row>
    <row r="712" customFormat="false" ht="15" hidden="false" customHeight="true" outlineLevel="0" collapsed="false">
      <c r="A712" s="15"/>
      <c r="B712" s="10"/>
      <c r="C712" s="10"/>
      <c r="D712" s="10"/>
      <c r="E712" s="10"/>
      <c r="F712" s="11"/>
      <c r="G712" s="10"/>
      <c r="H712" s="10"/>
      <c r="I712" s="16" t="str">
        <f aca="false">IF(OR($A712="",$F712=""),"",IF($B712="입금",$F712,0))</f>
        <v/>
      </c>
      <c r="J712" s="16" t="str">
        <f aca="false">IF(OR($A712="",$F712=""),"",IF($B712="출금",$F712,0))</f>
        <v/>
      </c>
      <c r="K712" s="17" t="str">
        <f aca="false">IF($A712="","",COUNTIFS($A$3:$A712,$A712))</f>
        <v/>
      </c>
      <c r="L712" s="17" t="str">
        <f aca="false">IF($A712="","",TEXT($A712,"yyyymmdd")&amp;"|"&amp;$K712)</f>
        <v/>
      </c>
    </row>
    <row r="713" customFormat="false" ht="15" hidden="false" customHeight="true" outlineLevel="0" collapsed="false">
      <c r="A713" s="15"/>
      <c r="B713" s="10"/>
      <c r="C713" s="10"/>
      <c r="D713" s="10"/>
      <c r="E713" s="10"/>
      <c r="F713" s="11"/>
      <c r="G713" s="10"/>
      <c r="H713" s="10"/>
      <c r="I713" s="16" t="str">
        <f aca="false">IF(OR($A713="",$F713=""),"",IF($B713="입금",$F713,0))</f>
        <v/>
      </c>
      <c r="J713" s="16" t="str">
        <f aca="false">IF(OR($A713="",$F713=""),"",IF($B713="출금",$F713,0))</f>
        <v/>
      </c>
      <c r="K713" s="17" t="str">
        <f aca="false">IF($A713="","",COUNTIFS($A$3:$A713,$A713))</f>
        <v/>
      </c>
      <c r="L713" s="17" t="str">
        <f aca="false">IF($A713="","",TEXT($A713,"yyyymmdd")&amp;"|"&amp;$K713)</f>
        <v/>
      </c>
    </row>
    <row r="714" customFormat="false" ht="15" hidden="false" customHeight="true" outlineLevel="0" collapsed="false">
      <c r="A714" s="15"/>
      <c r="B714" s="10"/>
      <c r="C714" s="10"/>
      <c r="D714" s="10"/>
      <c r="E714" s="10"/>
      <c r="F714" s="11"/>
      <c r="G714" s="10"/>
      <c r="H714" s="10"/>
      <c r="I714" s="16" t="str">
        <f aca="false">IF(OR($A714="",$F714=""),"",IF($B714="입금",$F714,0))</f>
        <v/>
      </c>
      <c r="J714" s="16" t="str">
        <f aca="false">IF(OR($A714="",$F714=""),"",IF($B714="출금",$F714,0))</f>
        <v/>
      </c>
      <c r="K714" s="17" t="str">
        <f aca="false">IF($A714="","",COUNTIFS($A$3:$A714,$A714))</f>
        <v/>
      </c>
      <c r="L714" s="17" t="str">
        <f aca="false">IF($A714="","",TEXT($A714,"yyyymmdd")&amp;"|"&amp;$K714)</f>
        <v/>
      </c>
    </row>
    <row r="715" customFormat="false" ht="15" hidden="false" customHeight="true" outlineLevel="0" collapsed="false">
      <c r="A715" s="15"/>
      <c r="B715" s="10"/>
      <c r="C715" s="10"/>
      <c r="D715" s="10"/>
      <c r="E715" s="10"/>
      <c r="F715" s="11"/>
      <c r="G715" s="10"/>
      <c r="H715" s="10"/>
      <c r="I715" s="16" t="str">
        <f aca="false">IF(OR($A715="",$F715=""),"",IF($B715="입금",$F715,0))</f>
        <v/>
      </c>
      <c r="J715" s="16" t="str">
        <f aca="false">IF(OR($A715="",$F715=""),"",IF($B715="출금",$F715,0))</f>
        <v/>
      </c>
      <c r="K715" s="17" t="str">
        <f aca="false">IF($A715="","",COUNTIFS($A$3:$A715,$A715))</f>
        <v/>
      </c>
      <c r="L715" s="17" t="str">
        <f aca="false">IF($A715="","",TEXT($A715,"yyyymmdd")&amp;"|"&amp;$K715)</f>
        <v/>
      </c>
    </row>
    <row r="716" customFormat="false" ht="15" hidden="false" customHeight="true" outlineLevel="0" collapsed="false">
      <c r="A716" s="15"/>
      <c r="B716" s="10"/>
      <c r="C716" s="10"/>
      <c r="D716" s="10"/>
      <c r="E716" s="10"/>
      <c r="F716" s="11"/>
      <c r="G716" s="10"/>
      <c r="H716" s="10"/>
      <c r="I716" s="16" t="str">
        <f aca="false">IF(OR($A716="",$F716=""),"",IF($B716="입금",$F716,0))</f>
        <v/>
      </c>
      <c r="J716" s="16" t="str">
        <f aca="false">IF(OR($A716="",$F716=""),"",IF($B716="출금",$F716,0))</f>
        <v/>
      </c>
      <c r="K716" s="17" t="str">
        <f aca="false">IF($A716="","",COUNTIFS($A$3:$A716,$A716))</f>
        <v/>
      </c>
      <c r="L716" s="17" t="str">
        <f aca="false">IF($A716="","",TEXT($A716,"yyyymmdd")&amp;"|"&amp;$K716)</f>
        <v/>
      </c>
    </row>
    <row r="717" customFormat="false" ht="15" hidden="false" customHeight="true" outlineLevel="0" collapsed="false">
      <c r="A717" s="15"/>
      <c r="B717" s="10"/>
      <c r="C717" s="10"/>
      <c r="D717" s="10"/>
      <c r="E717" s="10"/>
      <c r="F717" s="11"/>
      <c r="G717" s="10"/>
      <c r="H717" s="10"/>
      <c r="I717" s="16" t="str">
        <f aca="false">IF(OR($A717="",$F717=""),"",IF($B717="입금",$F717,0))</f>
        <v/>
      </c>
      <c r="J717" s="16" t="str">
        <f aca="false">IF(OR($A717="",$F717=""),"",IF($B717="출금",$F717,0))</f>
        <v/>
      </c>
      <c r="K717" s="17" t="str">
        <f aca="false">IF($A717="","",COUNTIFS($A$3:$A717,$A717))</f>
        <v/>
      </c>
      <c r="L717" s="17" t="str">
        <f aca="false">IF($A717="","",TEXT($A717,"yyyymmdd")&amp;"|"&amp;$K717)</f>
        <v/>
      </c>
    </row>
    <row r="718" customFormat="false" ht="15" hidden="false" customHeight="true" outlineLevel="0" collapsed="false">
      <c r="A718" s="15"/>
      <c r="B718" s="10"/>
      <c r="C718" s="10"/>
      <c r="D718" s="10"/>
      <c r="E718" s="10"/>
      <c r="F718" s="11"/>
      <c r="G718" s="10"/>
      <c r="H718" s="10"/>
      <c r="I718" s="16" t="str">
        <f aca="false">IF(OR($A718="",$F718=""),"",IF($B718="입금",$F718,0))</f>
        <v/>
      </c>
      <c r="J718" s="16" t="str">
        <f aca="false">IF(OR($A718="",$F718=""),"",IF($B718="출금",$F718,0))</f>
        <v/>
      </c>
      <c r="K718" s="17" t="str">
        <f aca="false">IF($A718="","",COUNTIFS($A$3:$A718,$A718))</f>
        <v/>
      </c>
      <c r="L718" s="17" t="str">
        <f aca="false">IF($A718="","",TEXT($A718,"yyyymmdd")&amp;"|"&amp;$K718)</f>
        <v/>
      </c>
    </row>
    <row r="719" customFormat="false" ht="15" hidden="false" customHeight="true" outlineLevel="0" collapsed="false">
      <c r="A719" s="15"/>
      <c r="B719" s="10"/>
      <c r="C719" s="10"/>
      <c r="D719" s="10"/>
      <c r="E719" s="10"/>
      <c r="F719" s="11"/>
      <c r="G719" s="10"/>
      <c r="H719" s="10"/>
      <c r="I719" s="16" t="str">
        <f aca="false">IF(OR($A719="",$F719=""),"",IF($B719="입금",$F719,0))</f>
        <v/>
      </c>
      <c r="J719" s="16" t="str">
        <f aca="false">IF(OR($A719="",$F719=""),"",IF($B719="출금",$F719,0))</f>
        <v/>
      </c>
      <c r="K719" s="17" t="str">
        <f aca="false">IF($A719="","",COUNTIFS($A$3:$A719,$A719))</f>
        <v/>
      </c>
      <c r="L719" s="17" t="str">
        <f aca="false">IF($A719="","",TEXT($A719,"yyyymmdd")&amp;"|"&amp;$K719)</f>
        <v/>
      </c>
    </row>
    <row r="720" customFormat="false" ht="15" hidden="false" customHeight="true" outlineLevel="0" collapsed="false">
      <c r="A720" s="15"/>
      <c r="B720" s="10"/>
      <c r="C720" s="10"/>
      <c r="D720" s="10"/>
      <c r="E720" s="10"/>
      <c r="F720" s="11"/>
      <c r="G720" s="10"/>
      <c r="H720" s="10"/>
      <c r="I720" s="16" t="str">
        <f aca="false">IF(OR($A720="",$F720=""),"",IF($B720="입금",$F720,0))</f>
        <v/>
      </c>
      <c r="J720" s="16" t="str">
        <f aca="false">IF(OR($A720="",$F720=""),"",IF($B720="출금",$F720,0))</f>
        <v/>
      </c>
      <c r="K720" s="17" t="str">
        <f aca="false">IF($A720="","",COUNTIFS($A$3:$A720,$A720))</f>
        <v/>
      </c>
      <c r="L720" s="17" t="str">
        <f aca="false">IF($A720="","",TEXT($A720,"yyyymmdd")&amp;"|"&amp;$K720)</f>
        <v/>
      </c>
    </row>
    <row r="721" customFormat="false" ht="15" hidden="false" customHeight="true" outlineLevel="0" collapsed="false">
      <c r="A721" s="15"/>
      <c r="B721" s="10"/>
      <c r="C721" s="10"/>
      <c r="D721" s="10"/>
      <c r="E721" s="10"/>
      <c r="F721" s="11"/>
      <c r="G721" s="10"/>
      <c r="H721" s="10"/>
      <c r="I721" s="16" t="str">
        <f aca="false">IF(OR($A721="",$F721=""),"",IF($B721="입금",$F721,0))</f>
        <v/>
      </c>
      <c r="J721" s="16" t="str">
        <f aca="false">IF(OR($A721="",$F721=""),"",IF($B721="출금",$F721,0))</f>
        <v/>
      </c>
      <c r="K721" s="17" t="str">
        <f aca="false">IF($A721="","",COUNTIFS($A$3:$A721,$A721))</f>
        <v/>
      </c>
      <c r="L721" s="17" t="str">
        <f aca="false">IF($A721="","",TEXT($A721,"yyyymmdd")&amp;"|"&amp;$K721)</f>
        <v/>
      </c>
    </row>
    <row r="722" customFormat="false" ht="15" hidden="false" customHeight="true" outlineLevel="0" collapsed="false">
      <c r="A722" s="15"/>
      <c r="B722" s="10"/>
      <c r="C722" s="10"/>
      <c r="D722" s="10"/>
      <c r="E722" s="10"/>
      <c r="F722" s="11"/>
      <c r="G722" s="10"/>
      <c r="H722" s="10"/>
      <c r="I722" s="16" t="str">
        <f aca="false">IF(OR($A722="",$F722=""),"",IF($B722="입금",$F722,0))</f>
        <v/>
      </c>
      <c r="J722" s="16" t="str">
        <f aca="false">IF(OR($A722="",$F722=""),"",IF($B722="출금",$F722,0))</f>
        <v/>
      </c>
      <c r="K722" s="17" t="str">
        <f aca="false">IF($A722="","",COUNTIFS($A$3:$A722,$A722))</f>
        <v/>
      </c>
      <c r="L722" s="17" t="str">
        <f aca="false">IF($A722="","",TEXT($A722,"yyyymmdd")&amp;"|"&amp;$K722)</f>
        <v/>
      </c>
    </row>
    <row r="723" customFormat="false" ht="15" hidden="false" customHeight="true" outlineLevel="0" collapsed="false">
      <c r="A723" s="15"/>
      <c r="B723" s="10"/>
      <c r="C723" s="10"/>
      <c r="D723" s="10"/>
      <c r="E723" s="10"/>
      <c r="F723" s="11"/>
      <c r="G723" s="10"/>
      <c r="H723" s="10"/>
      <c r="I723" s="16" t="str">
        <f aca="false">IF(OR($A723="",$F723=""),"",IF($B723="입금",$F723,0))</f>
        <v/>
      </c>
      <c r="J723" s="16" t="str">
        <f aca="false">IF(OR($A723="",$F723=""),"",IF($B723="출금",$F723,0))</f>
        <v/>
      </c>
      <c r="K723" s="17" t="str">
        <f aca="false">IF($A723="","",COUNTIFS($A$3:$A723,$A723))</f>
        <v/>
      </c>
      <c r="L723" s="17" t="str">
        <f aca="false">IF($A723="","",TEXT($A723,"yyyymmdd")&amp;"|"&amp;$K723)</f>
        <v/>
      </c>
    </row>
    <row r="724" customFormat="false" ht="15" hidden="false" customHeight="true" outlineLevel="0" collapsed="false">
      <c r="A724" s="15"/>
      <c r="B724" s="10"/>
      <c r="C724" s="10"/>
      <c r="D724" s="10"/>
      <c r="E724" s="10"/>
      <c r="F724" s="11"/>
      <c r="G724" s="10"/>
      <c r="H724" s="10"/>
      <c r="I724" s="16" t="str">
        <f aca="false">IF(OR($A724="",$F724=""),"",IF($B724="입금",$F724,0))</f>
        <v/>
      </c>
      <c r="J724" s="16" t="str">
        <f aca="false">IF(OR($A724="",$F724=""),"",IF($B724="출금",$F724,0))</f>
        <v/>
      </c>
      <c r="K724" s="17" t="str">
        <f aca="false">IF($A724="","",COUNTIFS($A$3:$A724,$A724))</f>
        <v/>
      </c>
      <c r="L724" s="17" t="str">
        <f aca="false">IF($A724="","",TEXT($A724,"yyyymmdd")&amp;"|"&amp;$K724)</f>
        <v/>
      </c>
    </row>
    <row r="725" customFormat="false" ht="15" hidden="false" customHeight="true" outlineLevel="0" collapsed="false">
      <c r="A725" s="15"/>
      <c r="B725" s="10"/>
      <c r="C725" s="10"/>
      <c r="D725" s="10"/>
      <c r="E725" s="10"/>
      <c r="F725" s="11"/>
      <c r="G725" s="10"/>
      <c r="H725" s="10"/>
      <c r="I725" s="16" t="str">
        <f aca="false">IF(OR($A725="",$F725=""),"",IF($B725="입금",$F725,0))</f>
        <v/>
      </c>
      <c r="J725" s="16" t="str">
        <f aca="false">IF(OR($A725="",$F725=""),"",IF($B725="출금",$F725,0))</f>
        <v/>
      </c>
      <c r="K725" s="17" t="str">
        <f aca="false">IF($A725="","",COUNTIFS($A$3:$A725,$A725))</f>
        <v/>
      </c>
      <c r="L725" s="17" t="str">
        <f aca="false">IF($A725="","",TEXT($A725,"yyyymmdd")&amp;"|"&amp;$K725)</f>
        <v/>
      </c>
    </row>
    <row r="726" customFormat="false" ht="15" hidden="false" customHeight="true" outlineLevel="0" collapsed="false">
      <c r="A726" s="15"/>
      <c r="B726" s="10"/>
      <c r="C726" s="10"/>
      <c r="D726" s="10"/>
      <c r="E726" s="10"/>
      <c r="F726" s="11"/>
      <c r="G726" s="10"/>
      <c r="H726" s="10"/>
      <c r="I726" s="16" t="str">
        <f aca="false">IF(OR($A726="",$F726=""),"",IF($B726="입금",$F726,0))</f>
        <v/>
      </c>
      <c r="J726" s="16" t="str">
        <f aca="false">IF(OR($A726="",$F726=""),"",IF($B726="출금",$F726,0))</f>
        <v/>
      </c>
      <c r="K726" s="17" t="str">
        <f aca="false">IF($A726="","",COUNTIFS($A$3:$A726,$A726))</f>
        <v/>
      </c>
      <c r="L726" s="17" t="str">
        <f aca="false">IF($A726="","",TEXT($A726,"yyyymmdd")&amp;"|"&amp;$K726)</f>
        <v/>
      </c>
    </row>
    <row r="727" customFormat="false" ht="15" hidden="false" customHeight="true" outlineLevel="0" collapsed="false">
      <c r="A727" s="15"/>
      <c r="B727" s="10"/>
      <c r="C727" s="10"/>
      <c r="D727" s="10"/>
      <c r="E727" s="10"/>
      <c r="F727" s="11"/>
      <c r="G727" s="10"/>
      <c r="H727" s="10"/>
      <c r="I727" s="16" t="str">
        <f aca="false">IF(OR($A727="",$F727=""),"",IF($B727="입금",$F727,0))</f>
        <v/>
      </c>
      <c r="J727" s="16" t="str">
        <f aca="false">IF(OR($A727="",$F727=""),"",IF($B727="출금",$F727,0))</f>
        <v/>
      </c>
      <c r="K727" s="17" t="str">
        <f aca="false">IF($A727="","",COUNTIFS($A$3:$A727,$A727))</f>
        <v/>
      </c>
      <c r="L727" s="17" t="str">
        <f aca="false">IF($A727="","",TEXT($A727,"yyyymmdd")&amp;"|"&amp;$K727)</f>
        <v/>
      </c>
    </row>
    <row r="728" customFormat="false" ht="15" hidden="false" customHeight="true" outlineLevel="0" collapsed="false">
      <c r="A728" s="15"/>
      <c r="B728" s="10"/>
      <c r="C728" s="10"/>
      <c r="D728" s="10"/>
      <c r="E728" s="10"/>
      <c r="F728" s="11"/>
      <c r="G728" s="10"/>
      <c r="H728" s="10"/>
      <c r="I728" s="16" t="str">
        <f aca="false">IF(OR($A728="",$F728=""),"",IF($B728="입금",$F728,0))</f>
        <v/>
      </c>
      <c r="J728" s="16" t="str">
        <f aca="false">IF(OR($A728="",$F728=""),"",IF($B728="출금",$F728,0))</f>
        <v/>
      </c>
      <c r="K728" s="17" t="str">
        <f aca="false">IF($A728="","",COUNTIFS($A$3:$A728,$A728))</f>
        <v/>
      </c>
      <c r="L728" s="17" t="str">
        <f aca="false">IF($A728="","",TEXT($A728,"yyyymmdd")&amp;"|"&amp;$K728)</f>
        <v/>
      </c>
    </row>
    <row r="729" customFormat="false" ht="15" hidden="false" customHeight="true" outlineLevel="0" collapsed="false">
      <c r="A729" s="15"/>
      <c r="B729" s="10"/>
      <c r="C729" s="10"/>
      <c r="D729" s="10"/>
      <c r="E729" s="10"/>
      <c r="F729" s="11"/>
      <c r="G729" s="10"/>
      <c r="H729" s="10"/>
      <c r="I729" s="16" t="str">
        <f aca="false">IF(OR($A729="",$F729=""),"",IF($B729="입금",$F729,0))</f>
        <v/>
      </c>
      <c r="J729" s="16" t="str">
        <f aca="false">IF(OR($A729="",$F729=""),"",IF($B729="출금",$F729,0))</f>
        <v/>
      </c>
      <c r="K729" s="17" t="str">
        <f aca="false">IF($A729="","",COUNTIFS($A$3:$A729,$A729))</f>
        <v/>
      </c>
      <c r="L729" s="17" t="str">
        <f aca="false">IF($A729="","",TEXT($A729,"yyyymmdd")&amp;"|"&amp;$K729)</f>
        <v/>
      </c>
    </row>
    <row r="730" customFormat="false" ht="15" hidden="false" customHeight="true" outlineLevel="0" collapsed="false">
      <c r="A730" s="15"/>
      <c r="B730" s="10"/>
      <c r="C730" s="10"/>
      <c r="D730" s="10"/>
      <c r="E730" s="10"/>
      <c r="F730" s="11"/>
      <c r="G730" s="10"/>
      <c r="H730" s="10"/>
      <c r="I730" s="16" t="str">
        <f aca="false">IF(OR($A730="",$F730=""),"",IF($B730="입금",$F730,0))</f>
        <v/>
      </c>
      <c r="J730" s="16" t="str">
        <f aca="false">IF(OR($A730="",$F730=""),"",IF($B730="출금",$F730,0))</f>
        <v/>
      </c>
      <c r="K730" s="17" t="str">
        <f aca="false">IF($A730="","",COUNTIFS($A$3:$A730,$A730))</f>
        <v/>
      </c>
      <c r="L730" s="17" t="str">
        <f aca="false">IF($A730="","",TEXT($A730,"yyyymmdd")&amp;"|"&amp;$K730)</f>
        <v/>
      </c>
    </row>
    <row r="731" customFormat="false" ht="15" hidden="false" customHeight="true" outlineLevel="0" collapsed="false">
      <c r="A731" s="15"/>
      <c r="B731" s="10"/>
      <c r="C731" s="10"/>
      <c r="D731" s="10"/>
      <c r="E731" s="10"/>
      <c r="F731" s="11"/>
      <c r="G731" s="10"/>
      <c r="H731" s="10"/>
      <c r="I731" s="16" t="str">
        <f aca="false">IF(OR($A731="",$F731=""),"",IF($B731="입금",$F731,0))</f>
        <v/>
      </c>
      <c r="J731" s="16" t="str">
        <f aca="false">IF(OR($A731="",$F731=""),"",IF($B731="출금",$F731,0))</f>
        <v/>
      </c>
      <c r="K731" s="17" t="str">
        <f aca="false">IF($A731="","",COUNTIFS($A$3:$A731,$A731))</f>
        <v/>
      </c>
      <c r="L731" s="17" t="str">
        <f aca="false">IF($A731="","",TEXT($A731,"yyyymmdd")&amp;"|"&amp;$K731)</f>
        <v/>
      </c>
    </row>
    <row r="732" customFormat="false" ht="15" hidden="false" customHeight="true" outlineLevel="0" collapsed="false">
      <c r="A732" s="15"/>
      <c r="B732" s="10"/>
      <c r="C732" s="10"/>
      <c r="D732" s="10"/>
      <c r="E732" s="10"/>
      <c r="F732" s="11"/>
      <c r="G732" s="10"/>
      <c r="H732" s="10"/>
      <c r="I732" s="16" t="str">
        <f aca="false">IF(OR($A732="",$F732=""),"",IF($B732="입금",$F732,0))</f>
        <v/>
      </c>
      <c r="J732" s="16" t="str">
        <f aca="false">IF(OR($A732="",$F732=""),"",IF($B732="출금",$F732,0))</f>
        <v/>
      </c>
      <c r="K732" s="17" t="str">
        <f aca="false">IF($A732="","",COUNTIFS($A$3:$A732,$A732))</f>
        <v/>
      </c>
      <c r="L732" s="17" t="str">
        <f aca="false">IF($A732="","",TEXT($A732,"yyyymmdd")&amp;"|"&amp;$K732)</f>
        <v/>
      </c>
    </row>
    <row r="733" customFormat="false" ht="15" hidden="false" customHeight="true" outlineLevel="0" collapsed="false">
      <c r="A733" s="15"/>
      <c r="B733" s="10"/>
      <c r="C733" s="10"/>
      <c r="D733" s="10"/>
      <c r="E733" s="10"/>
      <c r="F733" s="11"/>
      <c r="G733" s="10"/>
      <c r="H733" s="10"/>
      <c r="I733" s="16" t="str">
        <f aca="false">IF(OR($A733="",$F733=""),"",IF($B733="입금",$F733,0))</f>
        <v/>
      </c>
      <c r="J733" s="16" t="str">
        <f aca="false">IF(OR($A733="",$F733=""),"",IF($B733="출금",$F733,0))</f>
        <v/>
      </c>
      <c r="K733" s="17" t="str">
        <f aca="false">IF($A733="","",COUNTIFS($A$3:$A733,$A733))</f>
        <v/>
      </c>
      <c r="L733" s="17" t="str">
        <f aca="false">IF($A733="","",TEXT($A733,"yyyymmdd")&amp;"|"&amp;$K733)</f>
        <v/>
      </c>
    </row>
    <row r="734" customFormat="false" ht="15" hidden="false" customHeight="true" outlineLevel="0" collapsed="false">
      <c r="A734" s="15"/>
      <c r="B734" s="10"/>
      <c r="C734" s="10"/>
      <c r="D734" s="10"/>
      <c r="E734" s="10"/>
      <c r="F734" s="11"/>
      <c r="G734" s="10"/>
      <c r="H734" s="10"/>
      <c r="I734" s="16" t="str">
        <f aca="false">IF(OR($A734="",$F734=""),"",IF($B734="입금",$F734,0))</f>
        <v/>
      </c>
      <c r="J734" s="16" t="str">
        <f aca="false">IF(OR($A734="",$F734=""),"",IF($B734="출금",$F734,0))</f>
        <v/>
      </c>
      <c r="K734" s="17" t="str">
        <f aca="false">IF($A734="","",COUNTIFS($A$3:$A734,$A734))</f>
        <v/>
      </c>
      <c r="L734" s="17" t="str">
        <f aca="false">IF($A734="","",TEXT($A734,"yyyymmdd")&amp;"|"&amp;$K734)</f>
        <v/>
      </c>
    </row>
    <row r="735" customFormat="false" ht="15" hidden="false" customHeight="true" outlineLevel="0" collapsed="false">
      <c r="A735" s="15"/>
      <c r="B735" s="10"/>
      <c r="C735" s="10"/>
      <c r="D735" s="10"/>
      <c r="E735" s="10"/>
      <c r="F735" s="11"/>
      <c r="G735" s="10"/>
      <c r="H735" s="10"/>
      <c r="I735" s="16" t="str">
        <f aca="false">IF(OR($A735="",$F735=""),"",IF($B735="입금",$F735,0))</f>
        <v/>
      </c>
      <c r="J735" s="16" t="str">
        <f aca="false">IF(OR($A735="",$F735=""),"",IF($B735="출금",$F735,0))</f>
        <v/>
      </c>
      <c r="K735" s="17" t="str">
        <f aca="false">IF($A735="","",COUNTIFS($A$3:$A735,$A735))</f>
        <v/>
      </c>
      <c r="L735" s="17" t="str">
        <f aca="false">IF($A735="","",TEXT($A735,"yyyymmdd")&amp;"|"&amp;$K735)</f>
        <v/>
      </c>
    </row>
    <row r="736" customFormat="false" ht="15" hidden="false" customHeight="true" outlineLevel="0" collapsed="false">
      <c r="A736" s="15"/>
      <c r="B736" s="10"/>
      <c r="C736" s="10"/>
      <c r="D736" s="10"/>
      <c r="E736" s="10"/>
      <c r="F736" s="11"/>
      <c r="G736" s="10"/>
      <c r="H736" s="10"/>
      <c r="I736" s="16" t="str">
        <f aca="false">IF(OR($A736="",$F736=""),"",IF($B736="입금",$F736,0))</f>
        <v/>
      </c>
      <c r="J736" s="16" t="str">
        <f aca="false">IF(OR($A736="",$F736=""),"",IF($B736="출금",$F736,0))</f>
        <v/>
      </c>
      <c r="K736" s="17" t="str">
        <f aca="false">IF($A736="","",COUNTIFS($A$3:$A736,$A736))</f>
        <v/>
      </c>
      <c r="L736" s="17" t="str">
        <f aca="false">IF($A736="","",TEXT($A736,"yyyymmdd")&amp;"|"&amp;$K736)</f>
        <v/>
      </c>
    </row>
    <row r="737" customFormat="false" ht="15" hidden="false" customHeight="true" outlineLevel="0" collapsed="false">
      <c r="A737" s="15"/>
      <c r="B737" s="10"/>
      <c r="C737" s="10"/>
      <c r="D737" s="10"/>
      <c r="E737" s="10"/>
      <c r="F737" s="11"/>
      <c r="G737" s="10"/>
      <c r="H737" s="10"/>
      <c r="I737" s="16" t="str">
        <f aca="false">IF(OR($A737="",$F737=""),"",IF($B737="입금",$F737,0))</f>
        <v/>
      </c>
      <c r="J737" s="16" t="str">
        <f aca="false">IF(OR($A737="",$F737=""),"",IF($B737="출금",$F737,0))</f>
        <v/>
      </c>
      <c r="K737" s="17" t="str">
        <f aca="false">IF($A737="","",COUNTIFS($A$3:$A737,$A737))</f>
        <v/>
      </c>
      <c r="L737" s="17" t="str">
        <f aca="false">IF($A737="","",TEXT($A737,"yyyymmdd")&amp;"|"&amp;$K737)</f>
        <v/>
      </c>
    </row>
    <row r="738" customFormat="false" ht="15" hidden="false" customHeight="true" outlineLevel="0" collapsed="false">
      <c r="A738" s="15"/>
      <c r="B738" s="10"/>
      <c r="C738" s="10"/>
      <c r="D738" s="10"/>
      <c r="E738" s="10"/>
      <c r="F738" s="11"/>
      <c r="G738" s="10"/>
      <c r="H738" s="10"/>
      <c r="I738" s="16" t="str">
        <f aca="false">IF(OR($A738="",$F738=""),"",IF($B738="입금",$F738,0))</f>
        <v/>
      </c>
      <c r="J738" s="16" t="str">
        <f aca="false">IF(OR($A738="",$F738=""),"",IF($B738="출금",$F738,0))</f>
        <v/>
      </c>
      <c r="K738" s="17" t="str">
        <f aca="false">IF($A738="","",COUNTIFS($A$3:$A738,$A738))</f>
        <v/>
      </c>
      <c r="L738" s="17" t="str">
        <f aca="false">IF($A738="","",TEXT($A738,"yyyymmdd")&amp;"|"&amp;$K738)</f>
        <v/>
      </c>
    </row>
    <row r="739" customFormat="false" ht="15" hidden="false" customHeight="true" outlineLevel="0" collapsed="false">
      <c r="A739" s="15"/>
      <c r="B739" s="10"/>
      <c r="C739" s="10"/>
      <c r="D739" s="10"/>
      <c r="E739" s="10"/>
      <c r="F739" s="11"/>
      <c r="G739" s="10"/>
      <c r="H739" s="10"/>
      <c r="I739" s="16" t="str">
        <f aca="false">IF(OR($A739="",$F739=""),"",IF($B739="입금",$F739,0))</f>
        <v/>
      </c>
      <c r="J739" s="16" t="str">
        <f aca="false">IF(OR($A739="",$F739=""),"",IF($B739="출금",$F739,0))</f>
        <v/>
      </c>
      <c r="K739" s="17" t="str">
        <f aca="false">IF($A739="","",COUNTIFS($A$3:$A739,$A739))</f>
        <v/>
      </c>
      <c r="L739" s="17" t="str">
        <f aca="false">IF($A739="","",TEXT($A739,"yyyymmdd")&amp;"|"&amp;$K739)</f>
        <v/>
      </c>
    </row>
    <row r="740" customFormat="false" ht="15" hidden="false" customHeight="true" outlineLevel="0" collapsed="false">
      <c r="A740" s="15"/>
      <c r="B740" s="10"/>
      <c r="C740" s="10"/>
      <c r="D740" s="10"/>
      <c r="E740" s="10"/>
      <c r="F740" s="11"/>
      <c r="G740" s="10"/>
      <c r="H740" s="10"/>
      <c r="I740" s="16" t="str">
        <f aca="false">IF(OR($A740="",$F740=""),"",IF($B740="입금",$F740,0))</f>
        <v/>
      </c>
      <c r="J740" s="16" t="str">
        <f aca="false">IF(OR($A740="",$F740=""),"",IF($B740="출금",$F740,0))</f>
        <v/>
      </c>
      <c r="K740" s="17" t="str">
        <f aca="false">IF($A740="","",COUNTIFS($A$3:$A740,$A740))</f>
        <v/>
      </c>
      <c r="L740" s="17" t="str">
        <f aca="false">IF($A740="","",TEXT($A740,"yyyymmdd")&amp;"|"&amp;$K740)</f>
        <v/>
      </c>
    </row>
    <row r="741" customFormat="false" ht="15" hidden="false" customHeight="true" outlineLevel="0" collapsed="false">
      <c r="A741" s="15"/>
      <c r="B741" s="10"/>
      <c r="C741" s="10"/>
      <c r="D741" s="10"/>
      <c r="E741" s="10"/>
      <c r="F741" s="11"/>
      <c r="G741" s="10"/>
      <c r="H741" s="10"/>
      <c r="I741" s="16" t="str">
        <f aca="false">IF(OR($A741="",$F741=""),"",IF($B741="입금",$F741,0))</f>
        <v/>
      </c>
      <c r="J741" s="16" t="str">
        <f aca="false">IF(OR($A741="",$F741=""),"",IF($B741="출금",$F741,0))</f>
        <v/>
      </c>
      <c r="K741" s="17" t="str">
        <f aca="false">IF($A741="","",COUNTIFS($A$3:$A741,$A741))</f>
        <v/>
      </c>
      <c r="L741" s="17" t="str">
        <f aca="false">IF($A741="","",TEXT($A741,"yyyymmdd")&amp;"|"&amp;$K741)</f>
        <v/>
      </c>
    </row>
    <row r="742" customFormat="false" ht="15" hidden="false" customHeight="true" outlineLevel="0" collapsed="false">
      <c r="A742" s="15"/>
      <c r="B742" s="10"/>
      <c r="C742" s="10"/>
      <c r="D742" s="10"/>
      <c r="E742" s="10"/>
      <c r="F742" s="11"/>
      <c r="G742" s="10"/>
      <c r="H742" s="10"/>
      <c r="I742" s="16" t="str">
        <f aca="false">IF(OR($A742="",$F742=""),"",IF($B742="입금",$F742,0))</f>
        <v/>
      </c>
      <c r="J742" s="16" t="str">
        <f aca="false">IF(OR($A742="",$F742=""),"",IF($B742="출금",$F742,0))</f>
        <v/>
      </c>
      <c r="K742" s="17" t="str">
        <f aca="false">IF($A742="","",COUNTIFS($A$3:$A742,$A742))</f>
        <v/>
      </c>
      <c r="L742" s="17" t="str">
        <f aca="false">IF($A742="","",TEXT($A742,"yyyymmdd")&amp;"|"&amp;$K742)</f>
        <v/>
      </c>
    </row>
    <row r="743" customFormat="false" ht="15" hidden="false" customHeight="true" outlineLevel="0" collapsed="false">
      <c r="A743" s="15"/>
      <c r="B743" s="10"/>
      <c r="C743" s="10"/>
      <c r="D743" s="10"/>
      <c r="E743" s="10"/>
      <c r="F743" s="11"/>
      <c r="G743" s="10"/>
      <c r="H743" s="10"/>
      <c r="I743" s="16" t="str">
        <f aca="false">IF(OR($A743="",$F743=""),"",IF($B743="입금",$F743,0))</f>
        <v/>
      </c>
      <c r="J743" s="16" t="str">
        <f aca="false">IF(OR($A743="",$F743=""),"",IF($B743="출금",$F743,0))</f>
        <v/>
      </c>
      <c r="K743" s="17" t="str">
        <f aca="false">IF($A743="","",COUNTIFS($A$3:$A743,$A743))</f>
        <v/>
      </c>
      <c r="L743" s="17" t="str">
        <f aca="false">IF($A743="","",TEXT($A743,"yyyymmdd")&amp;"|"&amp;$K743)</f>
        <v/>
      </c>
    </row>
    <row r="744" customFormat="false" ht="15" hidden="false" customHeight="true" outlineLevel="0" collapsed="false">
      <c r="A744" s="15"/>
      <c r="B744" s="10"/>
      <c r="C744" s="10"/>
      <c r="D744" s="10"/>
      <c r="E744" s="10"/>
      <c r="F744" s="11"/>
      <c r="G744" s="10"/>
      <c r="H744" s="10"/>
      <c r="I744" s="16" t="str">
        <f aca="false">IF(OR($A744="",$F744=""),"",IF($B744="입금",$F744,0))</f>
        <v/>
      </c>
      <c r="J744" s="16" t="str">
        <f aca="false">IF(OR($A744="",$F744=""),"",IF($B744="출금",$F744,0))</f>
        <v/>
      </c>
      <c r="K744" s="17" t="str">
        <f aca="false">IF($A744="","",COUNTIFS($A$3:$A744,$A744))</f>
        <v/>
      </c>
      <c r="L744" s="17" t="str">
        <f aca="false">IF($A744="","",TEXT($A744,"yyyymmdd")&amp;"|"&amp;$K744)</f>
        <v/>
      </c>
    </row>
    <row r="745" customFormat="false" ht="15" hidden="false" customHeight="true" outlineLevel="0" collapsed="false">
      <c r="A745" s="15"/>
      <c r="B745" s="10"/>
      <c r="C745" s="10"/>
      <c r="D745" s="10"/>
      <c r="E745" s="10"/>
      <c r="F745" s="11"/>
      <c r="G745" s="10"/>
      <c r="H745" s="10"/>
      <c r="I745" s="16" t="str">
        <f aca="false">IF(OR($A745="",$F745=""),"",IF($B745="입금",$F745,0))</f>
        <v/>
      </c>
      <c r="J745" s="16" t="str">
        <f aca="false">IF(OR($A745="",$F745=""),"",IF($B745="출금",$F745,0))</f>
        <v/>
      </c>
      <c r="K745" s="17" t="str">
        <f aca="false">IF($A745="","",COUNTIFS($A$3:$A745,$A745))</f>
        <v/>
      </c>
      <c r="L745" s="17" t="str">
        <f aca="false">IF($A745="","",TEXT($A745,"yyyymmdd")&amp;"|"&amp;$K745)</f>
        <v/>
      </c>
    </row>
    <row r="746" customFormat="false" ht="15" hidden="false" customHeight="true" outlineLevel="0" collapsed="false">
      <c r="A746" s="15"/>
      <c r="B746" s="10"/>
      <c r="C746" s="10"/>
      <c r="D746" s="10"/>
      <c r="E746" s="10"/>
      <c r="F746" s="11"/>
      <c r="G746" s="10"/>
      <c r="H746" s="10"/>
      <c r="I746" s="16" t="str">
        <f aca="false">IF(OR($A746="",$F746=""),"",IF($B746="입금",$F746,0))</f>
        <v/>
      </c>
      <c r="J746" s="16" t="str">
        <f aca="false">IF(OR($A746="",$F746=""),"",IF($B746="출금",$F746,0))</f>
        <v/>
      </c>
      <c r="K746" s="17" t="str">
        <f aca="false">IF($A746="","",COUNTIFS($A$3:$A746,$A746))</f>
        <v/>
      </c>
      <c r="L746" s="17" t="str">
        <f aca="false">IF($A746="","",TEXT($A746,"yyyymmdd")&amp;"|"&amp;$K746)</f>
        <v/>
      </c>
    </row>
    <row r="747" customFormat="false" ht="15" hidden="false" customHeight="true" outlineLevel="0" collapsed="false">
      <c r="A747" s="15"/>
      <c r="B747" s="10"/>
      <c r="C747" s="10"/>
      <c r="D747" s="10"/>
      <c r="E747" s="10"/>
      <c r="F747" s="11"/>
      <c r="G747" s="10"/>
      <c r="H747" s="10"/>
      <c r="I747" s="16" t="str">
        <f aca="false">IF(OR($A747="",$F747=""),"",IF($B747="입금",$F747,0))</f>
        <v/>
      </c>
      <c r="J747" s="16" t="str">
        <f aca="false">IF(OR($A747="",$F747=""),"",IF($B747="출금",$F747,0))</f>
        <v/>
      </c>
      <c r="K747" s="17" t="str">
        <f aca="false">IF($A747="","",COUNTIFS($A$3:$A747,$A747))</f>
        <v/>
      </c>
      <c r="L747" s="17" t="str">
        <f aca="false">IF($A747="","",TEXT($A747,"yyyymmdd")&amp;"|"&amp;$K747)</f>
        <v/>
      </c>
    </row>
    <row r="748" customFormat="false" ht="15" hidden="false" customHeight="true" outlineLevel="0" collapsed="false">
      <c r="A748" s="15"/>
      <c r="B748" s="10"/>
      <c r="C748" s="10"/>
      <c r="D748" s="10"/>
      <c r="E748" s="10"/>
      <c r="F748" s="11"/>
      <c r="G748" s="10"/>
      <c r="H748" s="10"/>
      <c r="I748" s="16" t="str">
        <f aca="false">IF(OR($A748="",$F748=""),"",IF($B748="입금",$F748,0))</f>
        <v/>
      </c>
      <c r="J748" s="16" t="str">
        <f aca="false">IF(OR($A748="",$F748=""),"",IF($B748="출금",$F748,0))</f>
        <v/>
      </c>
      <c r="K748" s="17" t="str">
        <f aca="false">IF($A748="","",COUNTIFS($A$3:$A748,$A748))</f>
        <v/>
      </c>
      <c r="L748" s="17" t="str">
        <f aca="false">IF($A748="","",TEXT($A748,"yyyymmdd")&amp;"|"&amp;$K748)</f>
        <v/>
      </c>
    </row>
    <row r="749" customFormat="false" ht="15" hidden="false" customHeight="true" outlineLevel="0" collapsed="false">
      <c r="A749" s="15"/>
      <c r="B749" s="10"/>
      <c r="C749" s="10"/>
      <c r="D749" s="10"/>
      <c r="E749" s="10"/>
      <c r="F749" s="11"/>
      <c r="G749" s="10"/>
      <c r="H749" s="10"/>
      <c r="I749" s="16" t="str">
        <f aca="false">IF(OR($A749="",$F749=""),"",IF($B749="입금",$F749,0))</f>
        <v/>
      </c>
      <c r="J749" s="16" t="str">
        <f aca="false">IF(OR($A749="",$F749=""),"",IF($B749="출금",$F749,0))</f>
        <v/>
      </c>
      <c r="K749" s="17" t="str">
        <f aca="false">IF($A749="","",COUNTIFS($A$3:$A749,$A749))</f>
        <v/>
      </c>
      <c r="L749" s="17" t="str">
        <f aca="false">IF($A749="","",TEXT($A749,"yyyymmdd")&amp;"|"&amp;$K749)</f>
        <v/>
      </c>
    </row>
    <row r="750" customFormat="false" ht="15" hidden="false" customHeight="true" outlineLevel="0" collapsed="false">
      <c r="A750" s="15"/>
      <c r="B750" s="10"/>
      <c r="C750" s="10"/>
      <c r="D750" s="10"/>
      <c r="E750" s="10"/>
      <c r="F750" s="11"/>
      <c r="G750" s="10"/>
      <c r="H750" s="10"/>
      <c r="I750" s="16" t="str">
        <f aca="false">IF(OR($A750="",$F750=""),"",IF($B750="입금",$F750,0))</f>
        <v/>
      </c>
      <c r="J750" s="16" t="str">
        <f aca="false">IF(OR($A750="",$F750=""),"",IF($B750="출금",$F750,0))</f>
        <v/>
      </c>
      <c r="K750" s="17" t="str">
        <f aca="false">IF($A750="","",COUNTIFS($A$3:$A750,$A750))</f>
        <v/>
      </c>
      <c r="L750" s="17" t="str">
        <f aca="false">IF($A750="","",TEXT($A750,"yyyymmdd")&amp;"|"&amp;$K750)</f>
        <v/>
      </c>
    </row>
    <row r="751" customFormat="false" ht="15" hidden="false" customHeight="true" outlineLevel="0" collapsed="false">
      <c r="A751" s="15"/>
      <c r="B751" s="10"/>
      <c r="C751" s="10"/>
      <c r="D751" s="10"/>
      <c r="E751" s="10"/>
      <c r="F751" s="11"/>
      <c r="G751" s="10"/>
      <c r="H751" s="10"/>
      <c r="I751" s="16" t="str">
        <f aca="false">IF(OR($A751="",$F751=""),"",IF($B751="입금",$F751,0))</f>
        <v/>
      </c>
      <c r="J751" s="16" t="str">
        <f aca="false">IF(OR($A751="",$F751=""),"",IF($B751="출금",$F751,0))</f>
        <v/>
      </c>
      <c r="K751" s="17" t="str">
        <f aca="false">IF($A751="","",COUNTIFS($A$3:$A751,$A751))</f>
        <v/>
      </c>
      <c r="L751" s="17" t="str">
        <f aca="false">IF($A751="","",TEXT($A751,"yyyymmdd")&amp;"|"&amp;$K751)</f>
        <v/>
      </c>
    </row>
    <row r="752" customFormat="false" ht="15" hidden="false" customHeight="true" outlineLevel="0" collapsed="false">
      <c r="A752" s="15"/>
      <c r="B752" s="10"/>
      <c r="C752" s="10"/>
      <c r="D752" s="10"/>
      <c r="E752" s="10"/>
      <c r="F752" s="11"/>
      <c r="G752" s="10"/>
      <c r="H752" s="10"/>
      <c r="I752" s="16" t="str">
        <f aca="false">IF(OR($A752="",$F752=""),"",IF($B752="입금",$F752,0))</f>
        <v/>
      </c>
      <c r="J752" s="16" t="str">
        <f aca="false">IF(OR($A752="",$F752=""),"",IF($B752="출금",$F752,0))</f>
        <v/>
      </c>
      <c r="K752" s="17" t="str">
        <f aca="false">IF($A752="","",COUNTIFS($A$3:$A752,$A752))</f>
        <v/>
      </c>
      <c r="L752" s="17" t="str">
        <f aca="false">IF($A752="","",TEXT($A752,"yyyymmdd")&amp;"|"&amp;$K752)</f>
        <v/>
      </c>
    </row>
    <row r="753" customFormat="false" ht="15" hidden="false" customHeight="true" outlineLevel="0" collapsed="false">
      <c r="A753" s="15"/>
      <c r="B753" s="10"/>
      <c r="C753" s="10"/>
      <c r="D753" s="10"/>
      <c r="E753" s="10"/>
      <c r="F753" s="11"/>
      <c r="G753" s="10"/>
      <c r="H753" s="10"/>
      <c r="I753" s="16" t="str">
        <f aca="false">IF(OR($A753="",$F753=""),"",IF($B753="입금",$F753,0))</f>
        <v/>
      </c>
      <c r="J753" s="16" t="str">
        <f aca="false">IF(OR($A753="",$F753=""),"",IF($B753="출금",$F753,0))</f>
        <v/>
      </c>
      <c r="K753" s="17" t="str">
        <f aca="false">IF($A753="","",COUNTIFS($A$3:$A753,$A753))</f>
        <v/>
      </c>
      <c r="L753" s="17" t="str">
        <f aca="false">IF($A753="","",TEXT($A753,"yyyymmdd")&amp;"|"&amp;$K753)</f>
        <v/>
      </c>
    </row>
    <row r="754" customFormat="false" ht="15" hidden="false" customHeight="true" outlineLevel="0" collapsed="false">
      <c r="A754" s="15"/>
      <c r="B754" s="10"/>
      <c r="C754" s="10"/>
      <c r="D754" s="10"/>
      <c r="E754" s="10"/>
      <c r="F754" s="11"/>
      <c r="G754" s="10"/>
      <c r="H754" s="10"/>
      <c r="I754" s="16" t="str">
        <f aca="false">IF(OR($A754="",$F754=""),"",IF($B754="입금",$F754,0))</f>
        <v/>
      </c>
      <c r="J754" s="16" t="str">
        <f aca="false">IF(OR($A754="",$F754=""),"",IF($B754="출금",$F754,0))</f>
        <v/>
      </c>
      <c r="K754" s="17" t="str">
        <f aca="false">IF($A754="","",COUNTIFS($A$3:$A754,$A754))</f>
        <v/>
      </c>
      <c r="L754" s="17" t="str">
        <f aca="false">IF($A754="","",TEXT($A754,"yyyymmdd")&amp;"|"&amp;$K754)</f>
        <v/>
      </c>
    </row>
    <row r="755" customFormat="false" ht="15" hidden="false" customHeight="true" outlineLevel="0" collapsed="false">
      <c r="A755" s="15"/>
      <c r="B755" s="10"/>
      <c r="C755" s="10"/>
      <c r="D755" s="10"/>
      <c r="E755" s="10"/>
      <c r="F755" s="11"/>
      <c r="G755" s="10"/>
      <c r="H755" s="10"/>
      <c r="I755" s="16" t="str">
        <f aca="false">IF(OR($A755="",$F755=""),"",IF($B755="입금",$F755,0))</f>
        <v/>
      </c>
      <c r="J755" s="16" t="str">
        <f aca="false">IF(OR($A755="",$F755=""),"",IF($B755="출금",$F755,0))</f>
        <v/>
      </c>
      <c r="K755" s="17" t="str">
        <f aca="false">IF($A755="","",COUNTIFS($A$3:$A755,$A755))</f>
        <v/>
      </c>
      <c r="L755" s="17" t="str">
        <f aca="false">IF($A755="","",TEXT($A755,"yyyymmdd")&amp;"|"&amp;$K755)</f>
        <v/>
      </c>
    </row>
    <row r="756" customFormat="false" ht="15" hidden="false" customHeight="true" outlineLevel="0" collapsed="false">
      <c r="A756" s="15"/>
      <c r="B756" s="10"/>
      <c r="C756" s="10"/>
      <c r="D756" s="10"/>
      <c r="E756" s="10"/>
      <c r="F756" s="11"/>
      <c r="G756" s="10"/>
      <c r="H756" s="10"/>
      <c r="I756" s="16" t="str">
        <f aca="false">IF(OR($A756="",$F756=""),"",IF($B756="입금",$F756,0))</f>
        <v/>
      </c>
      <c r="J756" s="16" t="str">
        <f aca="false">IF(OR($A756="",$F756=""),"",IF($B756="출금",$F756,0))</f>
        <v/>
      </c>
      <c r="K756" s="17" t="str">
        <f aca="false">IF($A756="","",COUNTIFS($A$3:$A756,$A756))</f>
        <v/>
      </c>
      <c r="L756" s="17" t="str">
        <f aca="false">IF($A756="","",TEXT($A756,"yyyymmdd")&amp;"|"&amp;$K756)</f>
        <v/>
      </c>
    </row>
    <row r="757" customFormat="false" ht="15" hidden="false" customHeight="true" outlineLevel="0" collapsed="false">
      <c r="A757" s="15"/>
      <c r="B757" s="10"/>
      <c r="C757" s="10"/>
      <c r="D757" s="10"/>
      <c r="E757" s="10"/>
      <c r="F757" s="11"/>
      <c r="G757" s="10"/>
      <c r="H757" s="10"/>
      <c r="I757" s="16" t="str">
        <f aca="false">IF(OR($A757="",$F757=""),"",IF($B757="입금",$F757,0))</f>
        <v/>
      </c>
      <c r="J757" s="16" t="str">
        <f aca="false">IF(OR($A757="",$F757=""),"",IF($B757="출금",$F757,0))</f>
        <v/>
      </c>
      <c r="K757" s="17" t="str">
        <f aca="false">IF($A757="","",COUNTIFS($A$3:$A757,$A757))</f>
        <v/>
      </c>
      <c r="L757" s="17" t="str">
        <f aca="false">IF($A757="","",TEXT($A757,"yyyymmdd")&amp;"|"&amp;$K757)</f>
        <v/>
      </c>
    </row>
    <row r="758" customFormat="false" ht="15" hidden="false" customHeight="true" outlineLevel="0" collapsed="false">
      <c r="A758" s="15"/>
      <c r="B758" s="10"/>
      <c r="C758" s="10"/>
      <c r="D758" s="10"/>
      <c r="E758" s="10"/>
      <c r="F758" s="11"/>
      <c r="G758" s="10"/>
      <c r="H758" s="10"/>
      <c r="I758" s="16" t="str">
        <f aca="false">IF(OR($A758="",$F758=""),"",IF($B758="입금",$F758,0))</f>
        <v/>
      </c>
      <c r="J758" s="16" t="str">
        <f aca="false">IF(OR($A758="",$F758=""),"",IF($B758="출금",$F758,0))</f>
        <v/>
      </c>
      <c r="K758" s="17" t="str">
        <f aca="false">IF($A758="","",COUNTIFS($A$3:$A758,$A758))</f>
        <v/>
      </c>
      <c r="L758" s="17" t="str">
        <f aca="false">IF($A758="","",TEXT($A758,"yyyymmdd")&amp;"|"&amp;$K758)</f>
        <v/>
      </c>
    </row>
    <row r="759" customFormat="false" ht="15" hidden="false" customHeight="true" outlineLevel="0" collapsed="false">
      <c r="A759" s="15"/>
      <c r="B759" s="10"/>
      <c r="C759" s="10"/>
      <c r="D759" s="10"/>
      <c r="E759" s="10"/>
      <c r="F759" s="11"/>
      <c r="G759" s="10"/>
      <c r="H759" s="10"/>
      <c r="I759" s="16" t="str">
        <f aca="false">IF(OR($A759="",$F759=""),"",IF($B759="입금",$F759,0))</f>
        <v/>
      </c>
      <c r="J759" s="16" t="str">
        <f aca="false">IF(OR($A759="",$F759=""),"",IF($B759="출금",$F759,0))</f>
        <v/>
      </c>
      <c r="K759" s="17" t="str">
        <f aca="false">IF($A759="","",COUNTIFS($A$3:$A759,$A759))</f>
        <v/>
      </c>
      <c r="L759" s="17" t="str">
        <f aca="false">IF($A759="","",TEXT($A759,"yyyymmdd")&amp;"|"&amp;$K759)</f>
        <v/>
      </c>
    </row>
    <row r="760" customFormat="false" ht="15" hidden="false" customHeight="true" outlineLevel="0" collapsed="false">
      <c r="A760" s="15"/>
      <c r="B760" s="10"/>
      <c r="C760" s="10"/>
      <c r="D760" s="10"/>
      <c r="E760" s="10"/>
      <c r="F760" s="11"/>
      <c r="G760" s="10"/>
      <c r="H760" s="10"/>
      <c r="I760" s="16" t="str">
        <f aca="false">IF(OR($A760="",$F760=""),"",IF($B760="입금",$F760,0))</f>
        <v/>
      </c>
      <c r="J760" s="16" t="str">
        <f aca="false">IF(OR($A760="",$F760=""),"",IF($B760="출금",$F760,0))</f>
        <v/>
      </c>
      <c r="K760" s="17" t="str">
        <f aca="false">IF($A760="","",COUNTIFS($A$3:$A760,$A760))</f>
        <v/>
      </c>
      <c r="L760" s="17" t="str">
        <f aca="false">IF($A760="","",TEXT($A760,"yyyymmdd")&amp;"|"&amp;$K760)</f>
        <v/>
      </c>
    </row>
    <row r="761" customFormat="false" ht="15" hidden="false" customHeight="true" outlineLevel="0" collapsed="false">
      <c r="A761" s="15"/>
      <c r="B761" s="10"/>
      <c r="C761" s="10"/>
      <c r="D761" s="10"/>
      <c r="E761" s="10"/>
      <c r="F761" s="11"/>
      <c r="G761" s="10"/>
      <c r="H761" s="10"/>
      <c r="I761" s="16" t="str">
        <f aca="false">IF(OR($A761="",$F761=""),"",IF($B761="입금",$F761,0))</f>
        <v/>
      </c>
      <c r="J761" s="16" t="str">
        <f aca="false">IF(OR($A761="",$F761=""),"",IF($B761="출금",$F761,0))</f>
        <v/>
      </c>
      <c r="K761" s="17" t="str">
        <f aca="false">IF($A761="","",COUNTIFS($A$3:$A761,$A761))</f>
        <v/>
      </c>
      <c r="L761" s="17" t="str">
        <f aca="false">IF($A761="","",TEXT($A761,"yyyymmdd")&amp;"|"&amp;$K761)</f>
        <v/>
      </c>
    </row>
    <row r="762" customFormat="false" ht="15" hidden="false" customHeight="true" outlineLevel="0" collapsed="false">
      <c r="A762" s="15"/>
      <c r="B762" s="10"/>
      <c r="C762" s="10"/>
      <c r="D762" s="10"/>
      <c r="E762" s="10"/>
      <c r="F762" s="11"/>
      <c r="G762" s="10"/>
      <c r="H762" s="10"/>
      <c r="I762" s="16" t="str">
        <f aca="false">IF(OR($A762="",$F762=""),"",IF($B762="입금",$F762,0))</f>
        <v/>
      </c>
      <c r="J762" s="16" t="str">
        <f aca="false">IF(OR($A762="",$F762=""),"",IF($B762="출금",$F762,0))</f>
        <v/>
      </c>
      <c r="K762" s="17" t="str">
        <f aca="false">IF($A762="","",COUNTIFS($A$3:$A762,$A762))</f>
        <v/>
      </c>
      <c r="L762" s="17" t="str">
        <f aca="false">IF($A762="","",TEXT($A762,"yyyymmdd")&amp;"|"&amp;$K762)</f>
        <v/>
      </c>
    </row>
    <row r="763" customFormat="false" ht="15" hidden="false" customHeight="true" outlineLevel="0" collapsed="false">
      <c r="A763" s="15"/>
      <c r="B763" s="10"/>
      <c r="C763" s="10"/>
      <c r="D763" s="10"/>
      <c r="E763" s="10"/>
      <c r="F763" s="11"/>
      <c r="G763" s="10"/>
      <c r="H763" s="10"/>
      <c r="I763" s="16" t="str">
        <f aca="false">IF(OR($A763="",$F763=""),"",IF($B763="입금",$F763,0))</f>
        <v/>
      </c>
      <c r="J763" s="16" t="str">
        <f aca="false">IF(OR($A763="",$F763=""),"",IF($B763="출금",$F763,0))</f>
        <v/>
      </c>
      <c r="K763" s="17" t="str">
        <f aca="false">IF($A763="","",COUNTIFS($A$3:$A763,$A763))</f>
        <v/>
      </c>
      <c r="L763" s="17" t="str">
        <f aca="false">IF($A763="","",TEXT($A763,"yyyymmdd")&amp;"|"&amp;$K763)</f>
        <v/>
      </c>
    </row>
    <row r="764" customFormat="false" ht="15" hidden="false" customHeight="true" outlineLevel="0" collapsed="false">
      <c r="A764" s="15"/>
      <c r="B764" s="10"/>
      <c r="C764" s="10"/>
      <c r="D764" s="10"/>
      <c r="E764" s="10"/>
      <c r="F764" s="11"/>
      <c r="G764" s="10"/>
      <c r="H764" s="10"/>
      <c r="I764" s="16" t="str">
        <f aca="false">IF(OR($A764="",$F764=""),"",IF($B764="입금",$F764,0))</f>
        <v/>
      </c>
      <c r="J764" s="16" t="str">
        <f aca="false">IF(OR($A764="",$F764=""),"",IF($B764="출금",$F764,0))</f>
        <v/>
      </c>
      <c r="K764" s="17" t="str">
        <f aca="false">IF($A764="","",COUNTIFS($A$3:$A764,$A764))</f>
        <v/>
      </c>
      <c r="L764" s="17" t="str">
        <f aca="false">IF($A764="","",TEXT($A764,"yyyymmdd")&amp;"|"&amp;$K764)</f>
        <v/>
      </c>
    </row>
    <row r="765" customFormat="false" ht="15" hidden="false" customHeight="true" outlineLevel="0" collapsed="false">
      <c r="A765" s="15"/>
      <c r="B765" s="10"/>
      <c r="C765" s="10"/>
      <c r="D765" s="10"/>
      <c r="E765" s="10"/>
      <c r="F765" s="11"/>
      <c r="G765" s="10"/>
      <c r="H765" s="10"/>
      <c r="I765" s="16" t="str">
        <f aca="false">IF(OR($A765="",$F765=""),"",IF($B765="입금",$F765,0))</f>
        <v/>
      </c>
      <c r="J765" s="16" t="str">
        <f aca="false">IF(OR($A765="",$F765=""),"",IF($B765="출금",$F765,0))</f>
        <v/>
      </c>
      <c r="K765" s="17" t="str">
        <f aca="false">IF($A765="","",COUNTIFS($A$3:$A765,$A765))</f>
        <v/>
      </c>
      <c r="L765" s="17" t="str">
        <f aca="false">IF($A765="","",TEXT($A765,"yyyymmdd")&amp;"|"&amp;$K765)</f>
        <v/>
      </c>
    </row>
    <row r="766" customFormat="false" ht="15" hidden="false" customHeight="true" outlineLevel="0" collapsed="false">
      <c r="A766" s="15"/>
      <c r="B766" s="10"/>
      <c r="C766" s="10"/>
      <c r="D766" s="10"/>
      <c r="E766" s="10"/>
      <c r="F766" s="11"/>
      <c r="G766" s="10"/>
      <c r="H766" s="10"/>
      <c r="I766" s="16" t="str">
        <f aca="false">IF(OR($A766="",$F766=""),"",IF($B766="입금",$F766,0))</f>
        <v/>
      </c>
      <c r="J766" s="16" t="str">
        <f aca="false">IF(OR($A766="",$F766=""),"",IF($B766="출금",$F766,0))</f>
        <v/>
      </c>
      <c r="K766" s="17" t="str">
        <f aca="false">IF($A766="","",COUNTIFS($A$3:$A766,$A766))</f>
        <v/>
      </c>
      <c r="L766" s="17" t="str">
        <f aca="false">IF($A766="","",TEXT($A766,"yyyymmdd")&amp;"|"&amp;$K766)</f>
        <v/>
      </c>
    </row>
    <row r="767" customFormat="false" ht="15" hidden="false" customHeight="true" outlineLevel="0" collapsed="false">
      <c r="A767" s="15"/>
      <c r="B767" s="10"/>
      <c r="C767" s="10"/>
      <c r="D767" s="10"/>
      <c r="E767" s="10"/>
      <c r="F767" s="11"/>
      <c r="G767" s="10"/>
      <c r="H767" s="10"/>
      <c r="I767" s="16" t="str">
        <f aca="false">IF(OR($A767="",$F767=""),"",IF($B767="입금",$F767,0))</f>
        <v/>
      </c>
      <c r="J767" s="16" t="str">
        <f aca="false">IF(OR($A767="",$F767=""),"",IF($B767="출금",$F767,0))</f>
        <v/>
      </c>
      <c r="K767" s="17" t="str">
        <f aca="false">IF($A767="","",COUNTIFS($A$3:$A767,$A767))</f>
        <v/>
      </c>
      <c r="L767" s="17" t="str">
        <f aca="false">IF($A767="","",TEXT($A767,"yyyymmdd")&amp;"|"&amp;$K767)</f>
        <v/>
      </c>
    </row>
    <row r="768" customFormat="false" ht="15" hidden="false" customHeight="true" outlineLevel="0" collapsed="false">
      <c r="A768" s="15"/>
      <c r="B768" s="10"/>
      <c r="C768" s="10"/>
      <c r="D768" s="10"/>
      <c r="E768" s="10"/>
      <c r="F768" s="11"/>
      <c r="G768" s="10"/>
      <c r="H768" s="10"/>
      <c r="I768" s="16" t="str">
        <f aca="false">IF(OR($A768="",$F768=""),"",IF($B768="입금",$F768,0))</f>
        <v/>
      </c>
      <c r="J768" s="16" t="str">
        <f aca="false">IF(OR($A768="",$F768=""),"",IF($B768="출금",$F768,0))</f>
        <v/>
      </c>
      <c r="K768" s="17" t="str">
        <f aca="false">IF($A768="","",COUNTIFS($A$3:$A768,$A768))</f>
        <v/>
      </c>
      <c r="L768" s="17" t="str">
        <f aca="false">IF($A768="","",TEXT($A768,"yyyymmdd")&amp;"|"&amp;$K768)</f>
        <v/>
      </c>
    </row>
    <row r="769" customFormat="false" ht="15" hidden="false" customHeight="true" outlineLevel="0" collapsed="false">
      <c r="A769" s="15"/>
      <c r="B769" s="10"/>
      <c r="C769" s="10"/>
      <c r="D769" s="10"/>
      <c r="E769" s="10"/>
      <c r="F769" s="11"/>
      <c r="G769" s="10"/>
      <c r="H769" s="10"/>
      <c r="I769" s="16" t="str">
        <f aca="false">IF(OR($A769="",$F769=""),"",IF($B769="입금",$F769,0))</f>
        <v/>
      </c>
      <c r="J769" s="16" t="str">
        <f aca="false">IF(OR($A769="",$F769=""),"",IF($B769="출금",$F769,0))</f>
        <v/>
      </c>
      <c r="K769" s="17" t="str">
        <f aca="false">IF($A769="","",COUNTIFS($A$3:$A769,$A769))</f>
        <v/>
      </c>
      <c r="L769" s="17" t="str">
        <f aca="false">IF($A769="","",TEXT($A769,"yyyymmdd")&amp;"|"&amp;$K769)</f>
        <v/>
      </c>
    </row>
    <row r="770" customFormat="false" ht="15" hidden="false" customHeight="true" outlineLevel="0" collapsed="false">
      <c r="A770" s="15"/>
      <c r="B770" s="10"/>
      <c r="C770" s="10"/>
      <c r="D770" s="10"/>
      <c r="E770" s="10"/>
      <c r="F770" s="11"/>
      <c r="G770" s="10"/>
      <c r="H770" s="10"/>
      <c r="I770" s="16" t="str">
        <f aca="false">IF(OR($A770="",$F770=""),"",IF($B770="입금",$F770,0))</f>
        <v/>
      </c>
      <c r="J770" s="16" t="str">
        <f aca="false">IF(OR($A770="",$F770=""),"",IF($B770="출금",$F770,0))</f>
        <v/>
      </c>
      <c r="K770" s="17" t="str">
        <f aca="false">IF($A770="","",COUNTIFS($A$3:$A770,$A770))</f>
        <v/>
      </c>
      <c r="L770" s="17" t="str">
        <f aca="false">IF($A770="","",TEXT($A770,"yyyymmdd")&amp;"|"&amp;$K770)</f>
        <v/>
      </c>
    </row>
    <row r="771" customFormat="false" ht="15" hidden="false" customHeight="true" outlineLevel="0" collapsed="false">
      <c r="A771" s="15"/>
      <c r="B771" s="10"/>
      <c r="C771" s="10"/>
      <c r="D771" s="10"/>
      <c r="E771" s="10"/>
      <c r="F771" s="11"/>
      <c r="G771" s="10"/>
      <c r="H771" s="10"/>
      <c r="I771" s="16" t="str">
        <f aca="false">IF(OR($A771="",$F771=""),"",IF($B771="입금",$F771,0))</f>
        <v/>
      </c>
      <c r="J771" s="16" t="str">
        <f aca="false">IF(OR($A771="",$F771=""),"",IF($B771="출금",$F771,0))</f>
        <v/>
      </c>
      <c r="K771" s="17" t="str">
        <f aca="false">IF($A771="","",COUNTIFS($A$3:$A771,$A771))</f>
        <v/>
      </c>
      <c r="L771" s="17" t="str">
        <f aca="false">IF($A771="","",TEXT($A771,"yyyymmdd")&amp;"|"&amp;$K771)</f>
        <v/>
      </c>
    </row>
    <row r="772" customFormat="false" ht="15" hidden="false" customHeight="true" outlineLevel="0" collapsed="false">
      <c r="A772" s="15"/>
      <c r="B772" s="10"/>
      <c r="C772" s="10"/>
      <c r="D772" s="10"/>
      <c r="E772" s="10"/>
      <c r="F772" s="11"/>
      <c r="G772" s="10"/>
      <c r="H772" s="10"/>
      <c r="I772" s="16" t="str">
        <f aca="false">IF(OR($A772="",$F772=""),"",IF($B772="입금",$F772,0))</f>
        <v/>
      </c>
      <c r="J772" s="16" t="str">
        <f aca="false">IF(OR($A772="",$F772=""),"",IF($B772="출금",$F772,0))</f>
        <v/>
      </c>
      <c r="K772" s="17" t="str">
        <f aca="false">IF($A772="","",COUNTIFS($A$3:$A772,$A772))</f>
        <v/>
      </c>
      <c r="L772" s="17" t="str">
        <f aca="false">IF($A772="","",TEXT($A772,"yyyymmdd")&amp;"|"&amp;$K772)</f>
        <v/>
      </c>
    </row>
    <row r="773" customFormat="false" ht="15" hidden="false" customHeight="true" outlineLevel="0" collapsed="false">
      <c r="A773" s="15"/>
      <c r="B773" s="10"/>
      <c r="C773" s="10"/>
      <c r="D773" s="10"/>
      <c r="E773" s="10"/>
      <c r="F773" s="11"/>
      <c r="G773" s="10"/>
      <c r="H773" s="10"/>
      <c r="I773" s="16" t="str">
        <f aca="false">IF(OR($A773="",$F773=""),"",IF($B773="입금",$F773,0))</f>
        <v/>
      </c>
      <c r="J773" s="16" t="str">
        <f aca="false">IF(OR($A773="",$F773=""),"",IF($B773="출금",$F773,0))</f>
        <v/>
      </c>
      <c r="K773" s="17" t="str">
        <f aca="false">IF($A773="","",COUNTIFS($A$3:$A773,$A773))</f>
        <v/>
      </c>
      <c r="L773" s="17" t="str">
        <f aca="false">IF($A773="","",TEXT($A773,"yyyymmdd")&amp;"|"&amp;$K773)</f>
        <v/>
      </c>
    </row>
    <row r="774" customFormat="false" ht="15" hidden="false" customHeight="true" outlineLevel="0" collapsed="false">
      <c r="A774" s="15"/>
      <c r="B774" s="10"/>
      <c r="C774" s="10"/>
      <c r="D774" s="10"/>
      <c r="E774" s="10"/>
      <c r="F774" s="11"/>
      <c r="G774" s="10"/>
      <c r="H774" s="10"/>
      <c r="I774" s="16" t="str">
        <f aca="false">IF(OR($A774="",$F774=""),"",IF($B774="입금",$F774,0))</f>
        <v/>
      </c>
      <c r="J774" s="16" t="str">
        <f aca="false">IF(OR($A774="",$F774=""),"",IF($B774="출금",$F774,0))</f>
        <v/>
      </c>
      <c r="K774" s="17" t="str">
        <f aca="false">IF($A774="","",COUNTIFS($A$3:$A774,$A774))</f>
        <v/>
      </c>
      <c r="L774" s="17" t="str">
        <f aca="false">IF($A774="","",TEXT($A774,"yyyymmdd")&amp;"|"&amp;$K774)</f>
        <v/>
      </c>
    </row>
    <row r="775" customFormat="false" ht="15" hidden="false" customHeight="true" outlineLevel="0" collapsed="false">
      <c r="A775" s="15"/>
      <c r="B775" s="10"/>
      <c r="C775" s="10"/>
      <c r="D775" s="10"/>
      <c r="E775" s="10"/>
      <c r="F775" s="11"/>
      <c r="G775" s="10"/>
      <c r="H775" s="10"/>
      <c r="I775" s="16" t="str">
        <f aca="false">IF(OR($A775="",$F775=""),"",IF($B775="입금",$F775,0))</f>
        <v/>
      </c>
      <c r="J775" s="16" t="str">
        <f aca="false">IF(OR($A775="",$F775=""),"",IF($B775="출금",$F775,0))</f>
        <v/>
      </c>
      <c r="K775" s="17" t="str">
        <f aca="false">IF($A775="","",COUNTIFS($A$3:$A775,$A775))</f>
        <v/>
      </c>
      <c r="L775" s="17" t="str">
        <f aca="false">IF($A775="","",TEXT($A775,"yyyymmdd")&amp;"|"&amp;$K775)</f>
        <v/>
      </c>
    </row>
    <row r="776" customFormat="false" ht="15" hidden="false" customHeight="true" outlineLevel="0" collapsed="false">
      <c r="A776" s="15"/>
      <c r="B776" s="10"/>
      <c r="C776" s="10"/>
      <c r="D776" s="10"/>
      <c r="E776" s="10"/>
      <c r="F776" s="11"/>
      <c r="G776" s="10"/>
      <c r="H776" s="10"/>
      <c r="I776" s="16" t="str">
        <f aca="false">IF(OR($A776="",$F776=""),"",IF($B776="입금",$F776,0))</f>
        <v/>
      </c>
      <c r="J776" s="16" t="str">
        <f aca="false">IF(OR($A776="",$F776=""),"",IF($B776="출금",$F776,0))</f>
        <v/>
      </c>
      <c r="K776" s="17" t="str">
        <f aca="false">IF($A776="","",COUNTIFS($A$3:$A776,$A776))</f>
        <v/>
      </c>
      <c r="L776" s="17" t="str">
        <f aca="false">IF($A776="","",TEXT($A776,"yyyymmdd")&amp;"|"&amp;$K776)</f>
        <v/>
      </c>
    </row>
    <row r="777" customFormat="false" ht="15" hidden="false" customHeight="true" outlineLevel="0" collapsed="false">
      <c r="A777" s="15"/>
      <c r="B777" s="10"/>
      <c r="C777" s="10"/>
      <c r="D777" s="10"/>
      <c r="E777" s="10"/>
      <c r="F777" s="11"/>
      <c r="G777" s="10"/>
      <c r="H777" s="10"/>
      <c r="I777" s="16" t="str">
        <f aca="false">IF(OR($A777="",$F777=""),"",IF($B777="입금",$F777,0))</f>
        <v/>
      </c>
      <c r="J777" s="16" t="str">
        <f aca="false">IF(OR($A777="",$F777=""),"",IF($B777="출금",$F777,0))</f>
        <v/>
      </c>
      <c r="K777" s="17" t="str">
        <f aca="false">IF($A777="","",COUNTIFS($A$3:$A777,$A777))</f>
        <v/>
      </c>
      <c r="L777" s="17" t="str">
        <f aca="false">IF($A777="","",TEXT($A777,"yyyymmdd")&amp;"|"&amp;$K777)</f>
        <v/>
      </c>
    </row>
    <row r="778" customFormat="false" ht="15" hidden="false" customHeight="true" outlineLevel="0" collapsed="false">
      <c r="A778" s="15"/>
      <c r="B778" s="10"/>
      <c r="C778" s="10"/>
      <c r="D778" s="10"/>
      <c r="E778" s="10"/>
      <c r="F778" s="11"/>
      <c r="G778" s="10"/>
      <c r="H778" s="10"/>
      <c r="I778" s="16" t="str">
        <f aca="false">IF(OR($A778="",$F778=""),"",IF($B778="입금",$F778,0))</f>
        <v/>
      </c>
      <c r="J778" s="16" t="str">
        <f aca="false">IF(OR($A778="",$F778=""),"",IF($B778="출금",$F778,0))</f>
        <v/>
      </c>
      <c r="K778" s="17" t="str">
        <f aca="false">IF($A778="","",COUNTIFS($A$3:$A778,$A778))</f>
        <v/>
      </c>
      <c r="L778" s="17" t="str">
        <f aca="false">IF($A778="","",TEXT($A778,"yyyymmdd")&amp;"|"&amp;$K778)</f>
        <v/>
      </c>
    </row>
    <row r="779" customFormat="false" ht="15" hidden="false" customHeight="true" outlineLevel="0" collapsed="false">
      <c r="A779" s="15"/>
      <c r="B779" s="10"/>
      <c r="C779" s="10"/>
      <c r="D779" s="10"/>
      <c r="E779" s="10"/>
      <c r="F779" s="11"/>
      <c r="G779" s="10"/>
      <c r="H779" s="10"/>
      <c r="I779" s="16" t="str">
        <f aca="false">IF(OR($A779="",$F779=""),"",IF($B779="입금",$F779,0))</f>
        <v/>
      </c>
      <c r="J779" s="16" t="str">
        <f aca="false">IF(OR($A779="",$F779=""),"",IF($B779="출금",$F779,0))</f>
        <v/>
      </c>
      <c r="K779" s="17" t="str">
        <f aca="false">IF($A779="","",COUNTIFS($A$3:$A779,$A779))</f>
        <v/>
      </c>
      <c r="L779" s="17" t="str">
        <f aca="false">IF($A779="","",TEXT($A779,"yyyymmdd")&amp;"|"&amp;$K779)</f>
        <v/>
      </c>
    </row>
    <row r="780" customFormat="false" ht="15" hidden="false" customHeight="true" outlineLevel="0" collapsed="false">
      <c r="A780" s="15"/>
      <c r="B780" s="10"/>
      <c r="C780" s="10"/>
      <c r="D780" s="10"/>
      <c r="E780" s="10"/>
      <c r="F780" s="11"/>
      <c r="G780" s="10"/>
      <c r="H780" s="10"/>
      <c r="I780" s="16" t="str">
        <f aca="false">IF(OR($A780="",$F780=""),"",IF($B780="입금",$F780,0))</f>
        <v/>
      </c>
      <c r="J780" s="16" t="str">
        <f aca="false">IF(OR($A780="",$F780=""),"",IF($B780="출금",$F780,0))</f>
        <v/>
      </c>
      <c r="K780" s="17" t="str">
        <f aca="false">IF($A780="","",COUNTIFS($A$3:$A780,$A780))</f>
        <v/>
      </c>
      <c r="L780" s="17" t="str">
        <f aca="false">IF($A780="","",TEXT($A780,"yyyymmdd")&amp;"|"&amp;$K780)</f>
        <v/>
      </c>
    </row>
    <row r="781" customFormat="false" ht="15" hidden="false" customHeight="true" outlineLevel="0" collapsed="false">
      <c r="A781" s="15"/>
      <c r="B781" s="10"/>
      <c r="C781" s="10"/>
      <c r="D781" s="10"/>
      <c r="E781" s="10"/>
      <c r="F781" s="11"/>
      <c r="G781" s="10"/>
      <c r="H781" s="10"/>
      <c r="I781" s="16" t="str">
        <f aca="false">IF(OR($A781="",$F781=""),"",IF($B781="입금",$F781,0))</f>
        <v/>
      </c>
      <c r="J781" s="16" t="str">
        <f aca="false">IF(OR($A781="",$F781=""),"",IF($B781="출금",$F781,0))</f>
        <v/>
      </c>
      <c r="K781" s="17" t="str">
        <f aca="false">IF($A781="","",COUNTIFS($A$3:$A781,$A781))</f>
        <v/>
      </c>
      <c r="L781" s="17" t="str">
        <f aca="false">IF($A781="","",TEXT($A781,"yyyymmdd")&amp;"|"&amp;$K781)</f>
        <v/>
      </c>
    </row>
    <row r="782" customFormat="false" ht="15" hidden="false" customHeight="true" outlineLevel="0" collapsed="false">
      <c r="A782" s="15"/>
      <c r="B782" s="10"/>
      <c r="C782" s="10"/>
      <c r="D782" s="10"/>
      <c r="E782" s="10"/>
      <c r="F782" s="11"/>
      <c r="G782" s="10"/>
      <c r="H782" s="10"/>
      <c r="I782" s="16" t="str">
        <f aca="false">IF(OR($A782="",$F782=""),"",IF($B782="입금",$F782,0))</f>
        <v/>
      </c>
      <c r="J782" s="16" t="str">
        <f aca="false">IF(OR($A782="",$F782=""),"",IF($B782="출금",$F782,0))</f>
        <v/>
      </c>
      <c r="K782" s="17" t="str">
        <f aca="false">IF($A782="","",COUNTIFS($A$3:$A782,$A782))</f>
        <v/>
      </c>
      <c r="L782" s="17" t="str">
        <f aca="false">IF($A782="","",TEXT($A782,"yyyymmdd")&amp;"|"&amp;$K782)</f>
        <v/>
      </c>
    </row>
    <row r="783" customFormat="false" ht="15" hidden="false" customHeight="true" outlineLevel="0" collapsed="false">
      <c r="A783" s="15"/>
      <c r="B783" s="10"/>
      <c r="C783" s="10"/>
      <c r="D783" s="10"/>
      <c r="E783" s="10"/>
      <c r="F783" s="11"/>
      <c r="G783" s="10"/>
      <c r="H783" s="10"/>
      <c r="I783" s="16" t="str">
        <f aca="false">IF(OR($A783="",$F783=""),"",IF($B783="입금",$F783,0))</f>
        <v/>
      </c>
      <c r="J783" s="16" t="str">
        <f aca="false">IF(OR($A783="",$F783=""),"",IF($B783="출금",$F783,0))</f>
        <v/>
      </c>
      <c r="K783" s="17" t="str">
        <f aca="false">IF($A783="","",COUNTIFS($A$3:$A783,$A783))</f>
        <v/>
      </c>
      <c r="L783" s="17" t="str">
        <f aca="false">IF($A783="","",TEXT($A783,"yyyymmdd")&amp;"|"&amp;$K783)</f>
        <v/>
      </c>
    </row>
    <row r="784" customFormat="false" ht="15" hidden="false" customHeight="true" outlineLevel="0" collapsed="false">
      <c r="A784" s="15"/>
      <c r="B784" s="10"/>
      <c r="C784" s="10"/>
      <c r="D784" s="10"/>
      <c r="E784" s="10"/>
      <c r="F784" s="11"/>
      <c r="G784" s="10"/>
      <c r="H784" s="10"/>
      <c r="I784" s="16" t="str">
        <f aca="false">IF(OR($A784="",$F784=""),"",IF($B784="입금",$F784,0))</f>
        <v/>
      </c>
      <c r="J784" s="16" t="str">
        <f aca="false">IF(OR($A784="",$F784=""),"",IF($B784="출금",$F784,0))</f>
        <v/>
      </c>
      <c r="K784" s="17" t="str">
        <f aca="false">IF($A784="","",COUNTIFS($A$3:$A784,$A784))</f>
        <v/>
      </c>
      <c r="L784" s="17" t="str">
        <f aca="false">IF($A784="","",TEXT($A784,"yyyymmdd")&amp;"|"&amp;$K784)</f>
        <v/>
      </c>
    </row>
    <row r="785" customFormat="false" ht="15" hidden="false" customHeight="true" outlineLevel="0" collapsed="false">
      <c r="A785" s="15"/>
      <c r="B785" s="10"/>
      <c r="C785" s="10"/>
      <c r="D785" s="10"/>
      <c r="E785" s="10"/>
      <c r="F785" s="11"/>
      <c r="G785" s="10"/>
      <c r="H785" s="10"/>
      <c r="I785" s="16" t="str">
        <f aca="false">IF(OR($A785="",$F785=""),"",IF($B785="입금",$F785,0))</f>
        <v/>
      </c>
      <c r="J785" s="16" t="str">
        <f aca="false">IF(OR($A785="",$F785=""),"",IF($B785="출금",$F785,0))</f>
        <v/>
      </c>
      <c r="K785" s="17" t="str">
        <f aca="false">IF($A785="","",COUNTIFS($A$3:$A785,$A785))</f>
        <v/>
      </c>
      <c r="L785" s="17" t="str">
        <f aca="false">IF($A785="","",TEXT($A785,"yyyymmdd")&amp;"|"&amp;$K785)</f>
        <v/>
      </c>
    </row>
    <row r="786" customFormat="false" ht="15" hidden="false" customHeight="true" outlineLevel="0" collapsed="false">
      <c r="A786" s="15"/>
      <c r="B786" s="10"/>
      <c r="C786" s="10"/>
      <c r="D786" s="10"/>
      <c r="E786" s="10"/>
      <c r="F786" s="11"/>
      <c r="G786" s="10"/>
      <c r="H786" s="10"/>
      <c r="I786" s="16" t="str">
        <f aca="false">IF(OR($A786="",$F786=""),"",IF($B786="입금",$F786,0))</f>
        <v/>
      </c>
      <c r="J786" s="16" t="str">
        <f aca="false">IF(OR($A786="",$F786=""),"",IF($B786="출금",$F786,0))</f>
        <v/>
      </c>
      <c r="K786" s="17" t="str">
        <f aca="false">IF($A786="","",COUNTIFS($A$3:$A786,$A786))</f>
        <v/>
      </c>
      <c r="L786" s="17" t="str">
        <f aca="false">IF($A786="","",TEXT($A786,"yyyymmdd")&amp;"|"&amp;$K786)</f>
        <v/>
      </c>
    </row>
    <row r="787" customFormat="false" ht="15" hidden="false" customHeight="true" outlineLevel="0" collapsed="false">
      <c r="A787" s="15"/>
      <c r="B787" s="10"/>
      <c r="C787" s="10"/>
      <c r="D787" s="10"/>
      <c r="E787" s="10"/>
      <c r="F787" s="11"/>
      <c r="G787" s="10"/>
      <c r="H787" s="10"/>
      <c r="I787" s="16" t="str">
        <f aca="false">IF(OR($A787="",$F787=""),"",IF($B787="입금",$F787,0))</f>
        <v/>
      </c>
      <c r="J787" s="16" t="str">
        <f aca="false">IF(OR($A787="",$F787=""),"",IF($B787="출금",$F787,0))</f>
        <v/>
      </c>
      <c r="K787" s="17" t="str">
        <f aca="false">IF($A787="","",COUNTIFS($A$3:$A787,$A787))</f>
        <v/>
      </c>
      <c r="L787" s="17" t="str">
        <f aca="false">IF($A787="","",TEXT($A787,"yyyymmdd")&amp;"|"&amp;$K787)</f>
        <v/>
      </c>
    </row>
    <row r="788" customFormat="false" ht="15" hidden="false" customHeight="true" outlineLevel="0" collapsed="false">
      <c r="A788" s="15"/>
      <c r="B788" s="10"/>
      <c r="C788" s="10"/>
      <c r="D788" s="10"/>
      <c r="E788" s="10"/>
      <c r="F788" s="11"/>
      <c r="G788" s="10"/>
      <c r="H788" s="10"/>
      <c r="I788" s="16" t="str">
        <f aca="false">IF(OR($A788="",$F788=""),"",IF($B788="입금",$F788,0))</f>
        <v/>
      </c>
      <c r="J788" s="16" t="str">
        <f aca="false">IF(OR($A788="",$F788=""),"",IF($B788="출금",$F788,0))</f>
        <v/>
      </c>
      <c r="K788" s="17" t="str">
        <f aca="false">IF($A788="","",COUNTIFS($A$3:$A788,$A788))</f>
        <v/>
      </c>
      <c r="L788" s="17" t="str">
        <f aca="false">IF($A788="","",TEXT($A788,"yyyymmdd")&amp;"|"&amp;$K788)</f>
        <v/>
      </c>
    </row>
    <row r="789" customFormat="false" ht="15" hidden="false" customHeight="true" outlineLevel="0" collapsed="false">
      <c r="A789" s="15"/>
      <c r="B789" s="10"/>
      <c r="C789" s="10"/>
      <c r="D789" s="10"/>
      <c r="E789" s="10"/>
      <c r="F789" s="11"/>
      <c r="G789" s="10"/>
      <c r="H789" s="10"/>
      <c r="I789" s="16" t="str">
        <f aca="false">IF(OR($A789="",$F789=""),"",IF($B789="입금",$F789,0))</f>
        <v/>
      </c>
      <c r="J789" s="16" t="str">
        <f aca="false">IF(OR($A789="",$F789=""),"",IF($B789="출금",$F789,0))</f>
        <v/>
      </c>
      <c r="K789" s="17" t="str">
        <f aca="false">IF($A789="","",COUNTIFS($A$3:$A789,$A789))</f>
        <v/>
      </c>
      <c r="L789" s="17" t="str">
        <f aca="false">IF($A789="","",TEXT($A789,"yyyymmdd")&amp;"|"&amp;$K789)</f>
        <v/>
      </c>
    </row>
    <row r="790" customFormat="false" ht="15" hidden="false" customHeight="true" outlineLevel="0" collapsed="false">
      <c r="A790" s="15"/>
      <c r="B790" s="10"/>
      <c r="C790" s="10"/>
      <c r="D790" s="10"/>
      <c r="E790" s="10"/>
      <c r="F790" s="11"/>
      <c r="G790" s="10"/>
      <c r="H790" s="10"/>
      <c r="I790" s="16" t="str">
        <f aca="false">IF(OR($A790="",$F790=""),"",IF($B790="입금",$F790,0))</f>
        <v/>
      </c>
      <c r="J790" s="16" t="str">
        <f aca="false">IF(OR($A790="",$F790=""),"",IF($B790="출금",$F790,0))</f>
        <v/>
      </c>
      <c r="K790" s="17" t="str">
        <f aca="false">IF($A790="","",COUNTIFS($A$3:$A790,$A790))</f>
        <v/>
      </c>
      <c r="L790" s="17" t="str">
        <f aca="false">IF($A790="","",TEXT($A790,"yyyymmdd")&amp;"|"&amp;$K790)</f>
        <v/>
      </c>
    </row>
    <row r="791" customFormat="false" ht="15" hidden="false" customHeight="true" outlineLevel="0" collapsed="false">
      <c r="A791" s="15"/>
      <c r="B791" s="10"/>
      <c r="C791" s="10"/>
      <c r="D791" s="10"/>
      <c r="E791" s="10"/>
      <c r="F791" s="11"/>
      <c r="G791" s="10"/>
      <c r="H791" s="10"/>
      <c r="I791" s="16" t="str">
        <f aca="false">IF(OR($A791="",$F791=""),"",IF($B791="입금",$F791,0))</f>
        <v/>
      </c>
      <c r="J791" s="16" t="str">
        <f aca="false">IF(OR($A791="",$F791=""),"",IF($B791="출금",$F791,0))</f>
        <v/>
      </c>
      <c r="K791" s="17" t="str">
        <f aca="false">IF($A791="","",COUNTIFS($A$3:$A791,$A791))</f>
        <v/>
      </c>
      <c r="L791" s="17" t="str">
        <f aca="false">IF($A791="","",TEXT($A791,"yyyymmdd")&amp;"|"&amp;$K791)</f>
        <v/>
      </c>
    </row>
    <row r="792" customFormat="false" ht="15" hidden="false" customHeight="true" outlineLevel="0" collapsed="false">
      <c r="A792" s="15"/>
      <c r="B792" s="10"/>
      <c r="C792" s="10"/>
      <c r="D792" s="10"/>
      <c r="E792" s="10"/>
      <c r="F792" s="11"/>
      <c r="G792" s="10"/>
      <c r="H792" s="10"/>
      <c r="I792" s="16" t="str">
        <f aca="false">IF(OR($A792="",$F792=""),"",IF($B792="입금",$F792,0))</f>
        <v/>
      </c>
      <c r="J792" s="16" t="str">
        <f aca="false">IF(OR($A792="",$F792=""),"",IF($B792="출금",$F792,0))</f>
        <v/>
      </c>
      <c r="K792" s="17" t="str">
        <f aca="false">IF($A792="","",COUNTIFS($A$3:$A792,$A792))</f>
        <v/>
      </c>
      <c r="L792" s="17" t="str">
        <f aca="false">IF($A792="","",TEXT($A792,"yyyymmdd")&amp;"|"&amp;$K792)</f>
        <v/>
      </c>
    </row>
    <row r="793" customFormat="false" ht="15" hidden="false" customHeight="true" outlineLevel="0" collapsed="false">
      <c r="A793" s="15"/>
      <c r="B793" s="10"/>
      <c r="C793" s="10"/>
      <c r="D793" s="10"/>
      <c r="E793" s="10"/>
      <c r="F793" s="11"/>
      <c r="G793" s="10"/>
      <c r="H793" s="10"/>
      <c r="I793" s="16" t="str">
        <f aca="false">IF(OR($A793="",$F793=""),"",IF($B793="입금",$F793,0))</f>
        <v/>
      </c>
      <c r="J793" s="16" t="str">
        <f aca="false">IF(OR($A793="",$F793=""),"",IF($B793="출금",$F793,0))</f>
        <v/>
      </c>
      <c r="K793" s="17" t="str">
        <f aca="false">IF($A793="","",COUNTIFS($A$3:$A793,$A793))</f>
        <v/>
      </c>
      <c r="L793" s="17" t="str">
        <f aca="false">IF($A793="","",TEXT($A793,"yyyymmdd")&amp;"|"&amp;$K793)</f>
        <v/>
      </c>
    </row>
    <row r="794" customFormat="false" ht="15" hidden="false" customHeight="true" outlineLevel="0" collapsed="false">
      <c r="A794" s="15"/>
      <c r="B794" s="10"/>
      <c r="C794" s="10"/>
      <c r="D794" s="10"/>
      <c r="E794" s="10"/>
      <c r="F794" s="11"/>
      <c r="G794" s="10"/>
      <c r="H794" s="10"/>
      <c r="I794" s="16" t="str">
        <f aca="false">IF(OR($A794="",$F794=""),"",IF($B794="입금",$F794,0))</f>
        <v/>
      </c>
      <c r="J794" s="16" t="str">
        <f aca="false">IF(OR($A794="",$F794=""),"",IF($B794="출금",$F794,0))</f>
        <v/>
      </c>
      <c r="K794" s="17" t="str">
        <f aca="false">IF($A794="","",COUNTIFS($A$3:$A794,$A794))</f>
        <v/>
      </c>
      <c r="L794" s="17" t="str">
        <f aca="false">IF($A794="","",TEXT($A794,"yyyymmdd")&amp;"|"&amp;$K794)</f>
        <v/>
      </c>
    </row>
    <row r="795" customFormat="false" ht="15" hidden="false" customHeight="true" outlineLevel="0" collapsed="false">
      <c r="A795" s="15"/>
      <c r="B795" s="10"/>
      <c r="C795" s="10"/>
      <c r="D795" s="10"/>
      <c r="E795" s="10"/>
      <c r="F795" s="11"/>
      <c r="G795" s="10"/>
      <c r="H795" s="10"/>
      <c r="I795" s="16" t="str">
        <f aca="false">IF(OR($A795="",$F795=""),"",IF($B795="입금",$F795,0))</f>
        <v/>
      </c>
      <c r="J795" s="16" t="str">
        <f aca="false">IF(OR($A795="",$F795=""),"",IF($B795="출금",$F795,0))</f>
        <v/>
      </c>
      <c r="K795" s="17" t="str">
        <f aca="false">IF($A795="","",COUNTIFS($A$3:$A795,$A795))</f>
        <v/>
      </c>
      <c r="L795" s="17" t="str">
        <f aca="false">IF($A795="","",TEXT($A795,"yyyymmdd")&amp;"|"&amp;$K795)</f>
        <v/>
      </c>
    </row>
    <row r="796" customFormat="false" ht="15" hidden="false" customHeight="true" outlineLevel="0" collapsed="false">
      <c r="A796" s="15"/>
      <c r="B796" s="10"/>
      <c r="C796" s="10"/>
      <c r="D796" s="10"/>
      <c r="E796" s="10"/>
      <c r="F796" s="11"/>
      <c r="G796" s="10"/>
      <c r="H796" s="10"/>
      <c r="I796" s="16" t="str">
        <f aca="false">IF(OR($A796="",$F796=""),"",IF($B796="입금",$F796,0))</f>
        <v/>
      </c>
      <c r="J796" s="16" t="str">
        <f aca="false">IF(OR($A796="",$F796=""),"",IF($B796="출금",$F796,0))</f>
        <v/>
      </c>
      <c r="K796" s="17" t="str">
        <f aca="false">IF($A796="","",COUNTIFS($A$3:$A796,$A796))</f>
        <v/>
      </c>
      <c r="L796" s="17" t="str">
        <f aca="false">IF($A796="","",TEXT($A796,"yyyymmdd")&amp;"|"&amp;$K796)</f>
        <v/>
      </c>
    </row>
    <row r="797" customFormat="false" ht="15" hidden="false" customHeight="true" outlineLevel="0" collapsed="false">
      <c r="A797" s="15"/>
      <c r="B797" s="10"/>
      <c r="C797" s="10"/>
      <c r="D797" s="10"/>
      <c r="E797" s="10"/>
      <c r="F797" s="11"/>
      <c r="G797" s="10"/>
      <c r="H797" s="10"/>
      <c r="I797" s="16" t="str">
        <f aca="false">IF(OR($A797="",$F797=""),"",IF($B797="입금",$F797,0))</f>
        <v/>
      </c>
      <c r="J797" s="16" t="str">
        <f aca="false">IF(OR($A797="",$F797=""),"",IF($B797="출금",$F797,0))</f>
        <v/>
      </c>
      <c r="K797" s="17" t="str">
        <f aca="false">IF($A797="","",COUNTIFS($A$3:$A797,$A797))</f>
        <v/>
      </c>
      <c r="L797" s="17" t="str">
        <f aca="false">IF($A797="","",TEXT($A797,"yyyymmdd")&amp;"|"&amp;$K797)</f>
        <v/>
      </c>
    </row>
    <row r="798" customFormat="false" ht="15" hidden="false" customHeight="true" outlineLevel="0" collapsed="false">
      <c r="A798" s="15"/>
      <c r="B798" s="10"/>
      <c r="C798" s="10"/>
      <c r="D798" s="10"/>
      <c r="E798" s="10"/>
      <c r="F798" s="11"/>
      <c r="G798" s="10"/>
      <c r="H798" s="10"/>
      <c r="I798" s="16" t="str">
        <f aca="false">IF(OR($A798="",$F798=""),"",IF($B798="입금",$F798,0))</f>
        <v/>
      </c>
      <c r="J798" s="16" t="str">
        <f aca="false">IF(OR($A798="",$F798=""),"",IF($B798="출금",$F798,0))</f>
        <v/>
      </c>
      <c r="K798" s="17" t="str">
        <f aca="false">IF($A798="","",COUNTIFS($A$3:$A798,$A798))</f>
        <v/>
      </c>
      <c r="L798" s="17" t="str">
        <f aca="false">IF($A798="","",TEXT($A798,"yyyymmdd")&amp;"|"&amp;$K798)</f>
        <v/>
      </c>
    </row>
    <row r="799" customFormat="false" ht="15" hidden="false" customHeight="true" outlineLevel="0" collapsed="false">
      <c r="A799" s="15"/>
      <c r="B799" s="10"/>
      <c r="C799" s="10"/>
      <c r="D799" s="10"/>
      <c r="E799" s="10"/>
      <c r="F799" s="11"/>
      <c r="G799" s="10"/>
      <c r="H799" s="10"/>
      <c r="I799" s="16" t="str">
        <f aca="false">IF(OR($A799="",$F799=""),"",IF($B799="입금",$F799,0))</f>
        <v/>
      </c>
      <c r="J799" s="16" t="str">
        <f aca="false">IF(OR($A799="",$F799=""),"",IF($B799="출금",$F799,0))</f>
        <v/>
      </c>
      <c r="K799" s="17" t="str">
        <f aca="false">IF($A799="","",COUNTIFS($A$3:$A799,$A799))</f>
        <v/>
      </c>
      <c r="L799" s="17" t="str">
        <f aca="false">IF($A799="","",TEXT($A799,"yyyymmdd")&amp;"|"&amp;$K799)</f>
        <v/>
      </c>
    </row>
    <row r="800" customFormat="false" ht="15" hidden="false" customHeight="true" outlineLevel="0" collapsed="false">
      <c r="A800" s="15"/>
      <c r="B800" s="10"/>
      <c r="C800" s="10"/>
      <c r="D800" s="10"/>
      <c r="E800" s="10"/>
      <c r="F800" s="11"/>
      <c r="G800" s="10"/>
      <c r="H800" s="10"/>
      <c r="I800" s="16" t="str">
        <f aca="false">IF(OR($A800="",$F800=""),"",IF($B800="입금",$F800,0))</f>
        <v/>
      </c>
      <c r="J800" s="16" t="str">
        <f aca="false">IF(OR($A800="",$F800=""),"",IF($B800="출금",$F800,0))</f>
        <v/>
      </c>
      <c r="K800" s="17" t="str">
        <f aca="false">IF($A800="","",COUNTIFS($A$3:$A800,$A800))</f>
        <v/>
      </c>
      <c r="L800" s="17" t="str">
        <f aca="false">IF($A800="","",TEXT($A800,"yyyymmdd")&amp;"|"&amp;$K800)</f>
        <v/>
      </c>
    </row>
    <row r="801" customFormat="false" ht="15" hidden="false" customHeight="true" outlineLevel="0" collapsed="false">
      <c r="A801" s="15"/>
      <c r="B801" s="10"/>
      <c r="C801" s="10"/>
      <c r="D801" s="10"/>
      <c r="E801" s="10"/>
      <c r="F801" s="11"/>
      <c r="G801" s="10"/>
      <c r="H801" s="10"/>
      <c r="I801" s="16" t="str">
        <f aca="false">IF(OR($A801="",$F801=""),"",IF($B801="입금",$F801,0))</f>
        <v/>
      </c>
      <c r="J801" s="16" t="str">
        <f aca="false">IF(OR($A801="",$F801=""),"",IF($B801="출금",$F801,0))</f>
        <v/>
      </c>
      <c r="K801" s="17" t="str">
        <f aca="false">IF($A801="","",COUNTIFS($A$3:$A801,$A801))</f>
        <v/>
      </c>
      <c r="L801" s="17" t="str">
        <f aca="false">IF($A801="","",TEXT($A801,"yyyymmdd")&amp;"|"&amp;$K801)</f>
        <v/>
      </c>
    </row>
    <row r="802" customFormat="false" ht="15" hidden="false" customHeight="true" outlineLevel="0" collapsed="false">
      <c r="A802" s="15"/>
      <c r="B802" s="10"/>
      <c r="C802" s="10"/>
      <c r="D802" s="10"/>
      <c r="E802" s="10"/>
      <c r="F802" s="11"/>
      <c r="G802" s="10"/>
      <c r="H802" s="10"/>
      <c r="I802" s="16" t="str">
        <f aca="false">IF(OR($A802="",$F802=""),"",IF($B802="입금",$F802,0))</f>
        <v/>
      </c>
      <c r="J802" s="16" t="str">
        <f aca="false">IF(OR($A802="",$F802=""),"",IF($B802="출금",$F802,0))</f>
        <v/>
      </c>
      <c r="K802" s="17" t="str">
        <f aca="false">IF($A802="","",COUNTIFS($A$3:$A802,$A802))</f>
        <v/>
      </c>
      <c r="L802" s="17" t="str">
        <f aca="false">IF($A802="","",TEXT($A802,"yyyymmdd")&amp;"|"&amp;$K802)</f>
        <v/>
      </c>
    </row>
  </sheetData>
  <mergeCells count="1">
    <mergeCell ref="A1:J1"/>
  </mergeCells>
  <dataValidations count="5">
    <dataValidation allowBlank="true" errorStyle="stop" operator="between" showDropDown="false" showErrorMessage="false" showInputMessage="false" sqref="B3:B802" type="list">
      <formula1>"입금,출금"</formula1>
      <formula2>0</formula2>
    </dataValidation>
    <dataValidation allowBlank="true" errorStyle="stop" operator="between" showDropDown="false" showErrorMessage="false" showInputMessage="false" sqref="C3:C802" type="list">
      <formula1>"매출대금,매입대금,급여,임차료,공과금,세금,이자,차입,상환,기타"</formula1>
      <formula2>0</formula2>
    </dataValidation>
    <dataValidation allowBlank="true" errorStyle="stop" operator="between" showDropDown="false" showErrorMessage="false" showInputMessage="false" sqref="D3:D802" type="list">
      <formula1>거래처목록!$A$3:$A$152</formula1>
      <formula2>0</formula2>
    </dataValidation>
    <dataValidation allowBlank="true" errorStyle="stop" operator="between" showDropDown="false" showErrorMessage="false" showInputMessage="false" sqref="G3:G802" type="list">
      <formula1>계좌목록!$A$3:$A$22</formula1>
      <formula2>0</formula2>
    </dataValidation>
    <dataValidation allowBlank="true" errorStyle="stop" operator="between" showDropDown="false" showErrorMessage="false" showInputMessage="false" sqref="H3:H802" type="list">
      <formula1>"계좌이체,현금,카드,어음"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" t="s">
        <v>58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59</v>
      </c>
      <c r="B3" s="18" t="n">
        <v>46267</v>
      </c>
      <c r="C3" s="6" t="s">
        <v>60</v>
      </c>
    </row>
    <row r="5" customFormat="false" ht="15" hidden="false" customHeight="true" outlineLevel="0" collapsed="false">
      <c r="A5" s="19" t="s">
        <v>61</v>
      </c>
      <c r="B5" s="19"/>
      <c r="C5" s="20" t="n">
        <f aca="false">계좌목록!$D$24+SUMIFS(입출금내역!$I$3:$I$802,입출금내역!$A$3:$A$802,"&lt;"&amp;$B$3)-SUMIFS(입출금내역!$J$3:$J$802,입출금내역!$A$3:$A$802,"&lt;"&amp;$B$3)</f>
        <v>67500000</v>
      </c>
    </row>
    <row r="6" customFormat="false" ht="15" hidden="false" customHeight="true" outlineLevel="0" collapsed="false">
      <c r="A6" s="19" t="s">
        <v>62</v>
      </c>
      <c r="B6" s="19"/>
      <c r="C6" s="20" t="n">
        <f aca="false">SUMIFS(입출금내역!$I$3:$I$802,입출금내역!$A$3:$A$802,$B$3)</f>
        <v>3200000</v>
      </c>
    </row>
    <row r="7" customFormat="false" ht="15" hidden="false" customHeight="true" outlineLevel="0" collapsed="false">
      <c r="A7" s="19" t="s">
        <v>63</v>
      </c>
      <c r="B7" s="19"/>
      <c r="C7" s="20" t="n">
        <f aca="false">SUMIFS(입출금내역!$J$3:$J$802,입출금내역!$A$3:$A$802,$B$3)</f>
        <v>5440000</v>
      </c>
    </row>
    <row r="8" customFormat="false" ht="15" hidden="false" customHeight="true" outlineLevel="0" collapsed="false">
      <c r="A8" s="21" t="s">
        <v>64</v>
      </c>
      <c r="B8" s="21"/>
      <c r="C8" s="22" t="n">
        <f aca="false">B5+B6-B7</f>
        <v>0</v>
      </c>
    </row>
    <row r="10" customFormat="false" ht="15" hidden="false" customHeight="true" outlineLevel="0" collapsed="false">
      <c r="A10" s="23" t="s">
        <v>65</v>
      </c>
      <c r="B10" s="8" t="s">
        <v>47</v>
      </c>
      <c r="C10" s="8" t="s">
        <v>48</v>
      </c>
      <c r="D10" s="8" t="s">
        <v>49</v>
      </c>
      <c r="E10" s="8" t="s">
        <v>50</v>
      </c>
      <c r="F10" s="8" t="s">
        <v>51</v>
      </c>
    </row>
    <row r="11" customFormat="false" ht="15" hidden="false" customHeight="true" outlineLevel="0" collapsed="false">
      <c r="A11" s="24" t="n">
        <v>1</v>
      </c>
      <c r="B11" s="17" t="str">
        <f aca="false">IFERROR(INDEX(입출금내역!$B$3:$B$802,MATCH(TEXT($B$3,"yyyymmdd")&amp;"|"&amp;1,입출금내역!$L$3:$L$802,0)),"")</f>
        <v>출금</v>
      </c>
      <c r="C11" s="17" t="str">
        <f aca="false">IF($B11="","",IFERROR(IF(INDEX(입출금내역!$C$3:$C$802,MATCH(TEXT($B$3,"yyyymmdd")&amp;"|"&amp;1,입출금내역!$L$3:$L$802,0))="","",INDEX(입출금내역!$C$3:$C$802,MATCH(TEXT($B$3,"yyyymmdd")&amp;"|"&amp;1,입출금내역!$L$3:$L$802,0))),""))</f>
        <v>매입대금</v>
      </c>
      <c r="D11" s="17" t="str">
        <f aca="false">IF($B11="","",IFERROR(IF(INDEX(입출금내역!$D$3:$D$802,MATCH(TEXT($B$3,"yyyymmdd")&amp;"|"&amp;1,입출금내역!$L$3:$L$802,0))="","",INDEX(입출금내역!$D$3:$D$802,MATCH(TEXT($B$3,"yyyymmdd")&amp;"|"&amp;1,입출금내역!$L$3:$L$802,0))),""))</f>
        <v>△△소재</v>
      </c>
      <c r="E11" s="17" t="str">
        <f aca="false">IF($B11="","",IFERROR(IF(INDEX(입출금내역!$E$3:$E$802,MATCH(TEXT($B$3,"yyyymmdd")&amp;"|"&amp;1,입출금내역!$L$3:$L$802,0))="","",INDEX(입출금내역!$E$3:$E$802,MATCH(TEXT($B$3,"yyyymmdd")&amp;"|"&amp;1,입출금내역!$L$3:$L$802,0))),""))</f>
        <v>원자재 대금</v>
      </c>
      <c r="F11" s="16" t="n">
        <f aca="false">IF($B11="","",IFERROR(INDEX(입출금내역!$F$3:$F$802,MATCH(TEXT($B$3,"yyyymmdd")&amp;"|"&amp;1,입출금내역!$L$3:$L$802,0)),""))</f>
        <v>4800000</v>
      </c>
    </row>
    <row r="12" customFormat="false" ht="15" hidden="false" customHeight="true" outlineLevel="0" collapsed="false">
      <c r="A12" s="24" t="n">
        <v>2</v>
      </c>
      <c r="B12" s="17" t="str">
        <f aca="false">IFERROR(INDEX(입출금내역!$B$3:$B$802,MATCH(TEXT($B$3,"yyyymmdd")&amp;"|"&amp;2,입출금내역!$L$3:$L$802,0)),"")</f>
        <v>출금</v>
      </c>
      <c r="C12" s="17" t="str">
        <f aca="false">IF($B12="","",IFERROR(IF(INDEX(입출금내역!$C$3:$C$802,MATCH(TEXT($B$3,"yyyymmdd")&amp;"|"&amp;2,입출금내역!$L$3:$L$802,0))="","",INDEX(입출금내역!$C$3:$C$802,MATCH(TEXT($B$3,"yyyymmdd")&amp;"|"&amp;2,입출금내역!$L$3:$L$802,0))),""))</f>
        <v>공과금</v>
      </c>
      <c r="D12" s="17" t="str">
        <f aca="false">IF($B12="","",IFERROR(IF(INDEX(입출금내역!$D$3:$D$802,MATCH(TEXT($B$3,"yyyymmdd")&amp;"|"&amp;2,입출금내역!$L$3:$L$802,0))="","",INDEX(입출금내역!$D$3:$D$802,MATCH(TEXT($B$3,"yyyymmdd")&amp;"|"&amp;2,입출금내역!$L$3:$L$802,0))),""))</f>
        <v/>
      </c>
      <c r="E12" s="17" t="str">
        <f aca="false">IF($B12="","",IFERROR(IF(INDEX(입출금내역!$E$3:$E$802,MATCH(TEXT($B$3,"yyyymmdd")&amp;"|"&amp;2,입출금내역!$L$3:$L$802,0))="","",INDEX(입출금내역!$E$3:$E$802,MATCH(TEXT($B$3,"yyyymmdd")&amp;"|"&amp;2,입출금내역!$L$3:$L$802,0))),""))</f>
        <v>8월 전기요금</v>
      </c>
      <c r="F12" s="16" t="n">
        <f aca="false">IF($B12="","",IFERROR(INDEX(입출금내역!$F$3:$F$802,MATCH(TEXT($B$3,"yyyymmdd")&amp;"|"&amp;2,입출금내역!$L$3:$L$802,0)),""))</f>
        <v>640000</v>
      </c>
    </row>
    <row r="13" customFormat="false" ht="15" hidden="false" customHeight="true" outlineLevel="0" collapsed="false">
      <c r="A13" s="24" t="n">
        <v>3</v>
      </c>
      <c r="B13" s="17" t="str">
        <f aca="false">IFERROR(INDEX(입출금내역!$B$3:$B$802,MATCH(TEXT($B$3,"yyyymmdd")&amp;"|"&amp;3,입출금내역!$L$3:$L$802,0)),"")</f>
        <v>입금</v>
      </c>
      <c r="C13" s="17" t="str">
        <f aca="false">IF($B13="","",IFERROR(IF(INDEX(입출금내역!$C$3:$C$802,MATCH(TEXT($B$3,"yyyymmdd")&amp;"|"&amp;3,입출금내역!$L$3:$L$802,0))="","",INDEX(입출금내역!$C$3:$C$802,MATCH(TEXT($B$3,"yyyymmdd")&amp;"|"&amp;3,입출금내역!$L$3:$L$802,0))),""))</f>
        <v>매출대금</v>
      </c>
      <c r="D13" s="17" t="str">
        <f aca="false">IF($B13="","",IFERROR(IF(INDEX(입출금내역!$D$3:$D$802,MATCH(TEXT($B$3,"yyyymmdd")&amp;"|"&amp;3,입출금내역!$L$3:$L$802,0))="","",INDEX(입출금내역!$D$3:$D$802,MATCH(TEXT($B$3,"yyyymmdd")&amp;"|"&amp;3,입출금내역!$L$3:$L$802,0))),""))</f>
        <v>○○전자</v>
      </c>
      <c r="E13" s="17" t="str">
        <f aca="false">IF($B13="","",IFERROR(IF(INDEX(입출금내역!$E$3:$E$802,MATCH(TEXT($B$3,"yyyymmdd")&amp;"|"&amp;3,입출금내역!$L$3:$L$802,0))="","",INDEX(입출금내역!$E$3:$E$802,MATCH(TEXT($B$3,"yyyymmdd")&amp;"|"&amp;3,입출금내역!$L$3:$L$802,0))),""))</f>
        <v>샘플 대금</v>
      </c>
      <c r="F13" s="16" t="n">
        <f aca="false">IF($B13="","",IFERROR(INDEX(입출금내역!$F$3:$F$802,MATCH(TEXT($B$3,"yyyymmdd")&amp;"|"&amp;3,입출금내역!$L$3:$L$802,0)),""))</f>
        <v>3200000</v>
      </c>
    </row>
    <row r="14" customFormat="false" ht="15" hidden="false" customHeight="true" outlineLevel="0" collapsed="false">
      <c r="A14" s="24" t="n">
        <v>4</v>
      </c>
      <c r="B14" s="17" t="str">
        <f aca="false">IFERROR(INDEX(입출금내역!$B$3:$B$802,MATCH(TEXT($B$3,"yyyymmdd")&amp;"|"&amp;4,입출금내역!$L$3:$L$802,0)),"")</f>
        <v/>
      </c>
      <c r="C14" s="17" t="str">
        <f aca="false">IF($B14="","",IFERROR(IF(INDEX(입출금내역!$C$3:$C$802,MATCH(TEXT($B$3,"yyyymmdd")&amp;"|"&amp;4,입출금내역!$L$3:$L$802,0))="","",INDEX(입출금내역!$C$3:$C$802,MATCH(TEXT($B$3,"yyyymmdd")&amp;"|"&amp;4,입출금내역!$L$3:$L$802,0))),""))</f>
        <v/>
      </c>
      <c r="D14" s="17" t="str">
        <f aca="false">IF($B14="","",IFERROR(IF(INDEX(입출금내역!$D$3:$D$802,MATCH(TEXT($B$3,"yyyymmdd")&amp;"|"&amp;4,입출금내역!$L$3:$L$802,0))="","",INDEX(입출금내역!$D$3:$D$802,MATCH(TEXT($B$3,"yyyymmdd")&amp;"|"&amp;4,입출금내역!$L$3:$L$802,0))),""))</f>
        <v/>
      </c>
      <c r="E14" s="17" t="str">
        <f aca="false">IF($B14="","",IFERROR(IF(INDEX(입출금내역!$E$3:$E$802,MATCH(TEXT($B$3,"yyyymmdd")&amp;"|"&amp;4,입출금내역!$L$3:$L$802,0))="","",INDEX(입출금내역!$E$3:$E$802,MATCH(TEXT($B$3,"yyyymmdd")&amp;"|"&amp;4,입출금내역!$L$3:$L$802,0))),""))</f>
        <v/>
      </c>
      <c r="F14" s="16" t="str">
        <f aca="false">IF($B14="","",IFERROR(INDEX(입출금내역!$F$3:$F$802,MATCH(TEXT($B$3,"yyyymmdd")&amp;"|"&amp;4,입출금내역!$L$3:$L$802,0)),""))</f>
        <v/>
      </c>
    </row>
    <row r="15" customFormat="false" ht="15" hidden="false" customHeight="true" outlineLevel="0" collapsed="false">
      <c r="A15" s="24" t="n">
        <v>5</v>
      </c>
      <c r="B15" s="17" t="str">
        <f aca="false">IFERROR(INDEX(입출금내역!$B$3:$B$802,MATCH(TEXT($B$3,"yyyymmdd")&amp;"|"&amp;5,입출금내역!$L$3:$L$802,0)),"")</f>
        <v/>
      </c>
      <c r="C15" s="17" t="str">
        <f aca="false">IF($B15="","",IFERROR(IF(INDEX(입출금내역!$C$3:$C$802,MATCH(TEXT($B$3,"yyyymmdd")&amp;"|"&amp;5,입출금내역!$L$3:$L$802,0))="","",INDEX(입출금내역!$C$3:$C$802,MATCH(TEXT($B$3,"yyyymmdd")&amp;"|"&amp;5,입출금내역!$L$3:$L$802,0))),""))</f>
        <v/>
      </c>
      <c r="D15" s="17" t="str">
        <f aca="false">IF($B15="","",IFERROR(IF(INDEX(입출금내역!$D$3:$D$802,MATCH(TEXT($B$3,"yyyymmdd")&amp;"|"&amp;5,입출금내역!$L$3:$L$802,0))="","",INDEX(입출금내역!$D$3:$D$802,MATCH(TEXT($B$3,"yyyymmdd")&amp;"|"&amp;5,입출금내역!$L$3:$L$802,0))),""))</f>
        <v/>
      </c>
      <c r="E15" s="17" t="str">
        <f aca="false">IF($B15="","",IFERROR(IF(INDEX(입출금내역!$E$3:$E$802,MATCH(TEXT($B$3,"yyyymmdd")&amp;"|"&amp;5,입출금내역!$L$3:$L$802,0))="","",INDEX(입출금내역!$E$3:$E$802,MATCH(TEXT($B$3,"yyyymmdd")&amp;"|"&amp;5,입출금내역!$L$3:$L$802,0))),""))</f>
        <v/>
      </c>
      <c r="F15" s="16" t="str">
        <f aca="false">IF($B15="","",IFERROR(INDEX(입출금내역!$F$3:$F$802,MATCH(TEXT($B$3,"yyyymmdd")&amp;"|"&amp;5,입출금내역!$L$3:$L$802,0)),""))</f>
        <v/>
      </c>
    </row>
    <row r="16" customFormat="false" ht="15" hidden="false" customHeight="true" outlineLevel="0" collapsed="false">
      <c r="A16" s="24" t="n">
        <v>6</v>
      </c>
      <c r="B16" s="17" t="str">
        <f aca="false">IFERROR(INDEX(입출금내역!$B$3:$B$802,MATCH(TEXT($B$3,"yyyymmdd")&amp;"|"&amp;6,입출금내역!$L$3:$L$802,0)),"")</f>
        <v/>
      </c>
      <c r="C16" s="17" t="str">
        <f aca="false">IF($B16="","",IFERROR(IF(INDEX(입출금내역!$C$3:$C$802,MATCH(TEXT($B$3,"yyyymmdd")&amp;"|"&amp;6,입출금내역!$L$3:$L$802,0))="","",INDEX(입출금내역!$C$3:$C$802,MATCH(TEXT($B$3,"yyyymmdd")&amp;"|"&amp;6,입출금내역!$L$3:$L$802,0))),""))</f>
        <v/>
      </c>
      <c r="D16" s="17" t="str">
        <f aca="false">IF($B16="","",IFERROR(IF(INDEX(입출금내역!$D$3:$D$802,MATCH(TEXT($B$3,"yyyymmdd")&amp;"|"&amp;6,입출금내역!$L$3:$L$802,0))="","",INDEX(입출금내역!$D$3:$D$802,MATCH(TEXT($B$3,"yyyymmdd")&amp;"|"&amp;6,입출금내역!$L$3:$L$802,0))),""))</f>
        <v/>
      </c>
      <c r="E16" s="17" t="str">
        <f aca="false">IF($B16="","",IFERROR(IF(INDEX(입출금내역!$E$3:$E$802,MATCH(TEXT($B$3,"yyyymmdd")&amp;"|"&amp;6,입출금내역!$L$3:$L$802,0))="","",INDEX(입출금내역!$E$3:$E$802,MATCH(TEXT($B$3,"yyyymmdd")&amp;"|"&amp;6,입출금내역!$L$3:$L$802,0))),""))</f>
        <v/>
      </c>
      <c r="F16" s="16" t="str">
        <f aca="false">IF($B16="","",IFERROR(INDEX(입출금내역!$F$3:$F$802,MATCH(TEXT($B$3,"yyyymmdd")&amp;"|"&amp;6,입출금내역!$L$3:$L$802,0)),""))</f>
        <v/>
      </c>
    </row>
    <row r="17" customFormat="false" ht="15" hidden="false" customHeight="true" outlineLevel="0" collapsed="false">
      <c r="A17" s="24" t="n">
        <v>7</v>
      </c>
      <c r="B17" s="17" t="str">
        <f aca="false">IFERROR(INDEX(입출금내역!$B$3:$B$802,MATCH(TEXT($B$3,"yyyymmdd")&amp;"|"&amp;7,입출금내역!$L$3:$L$802,0)),"")</f>
        <v/>
      </c>
      <c r="C17" s="17" t="str">
        <f aca="false">IF($B17="","",IFERROR(IF(INDEX(입출금내역!$C$3:$C$802,MATCH(TEXT($B$3,"yyyymmdd")&amp;"|"&amp;7,입출금내역!$L$3:$L$802,0))="","",INDEX(입출금내역!$C$3:$C$802,MATCH(TEXT($B$3,"yyyymmdd")&amp;"|"&amp;7,입출금내역!$L$3:$L$802,0))),""))</f>
        <v/>
      </c>
      <c r="D17" s="17" t="str">
        <f aca="false">IF($B17="","",IFERROR(IF(INDEX(입출금내역!$D$3:$D$802,MATCH(TEXT($B$3,"yyyymmdd")&amp;"|"&amp;7,입출금내역!$L$3:$L$802,0))="","",INDEX(입출금내역!$D$3:$D$802,MATCH(TEXT($B$3,"yyyymmdd")&amp;"|"&amp;7,입출금내역!$L$3:$L$802,0))),""))</f>
        <v/>
      </c>
      <c r="E17" s="17" t="str">
        <f aca="false">IF($B17="","",IFERROR(IF(INDEX(입출금내역!$E$3:$E$802,MATCH(TEXT($B$3,"yyyymmdd")&amp;"|"&amp;7,입출금내역!$L$3:$L$802,0))="","",INDEX(입출금내역!$E$3:$E$802,MATCH(TEXT($B$3,"yyyymmdd")&amp;"|"&amp;7,입출금내역!$L$3:$L$802,0))),""))</f>
        <v/>
      </c>
      <c r="F17" s="16" t="str">
        <f aca="false">IF($B17="","",IFERROR(INDEX(입출금내역!$F$3:$F$802,MATCH(TEXT($B$3,"yyyymmdd")&amp;"|"&amp;7,입출금내역!$L$3:$L$802,0)),""))</f>
        <v/>
      </c>
    </row>
    <row r="18" customFormat="false" ht="15" hidden="false" customHeight="true" outlineLevel="0" collapsed="false">
      <c r="A18" s="24" t="n">
        <v>8</v>
      </c>
      <c r="B18" s="17" t="str">
        <f aca="false">IFERROR(INDEX(입출금내역!$B$3:$B$802,MATCH(TEXT($B$3,"yyyymmdd")&amp;"|"&amp;8,입출금내역!$L$3:$L$802,0)),"")</f>
        <v/>
      </c>
      <c r="C18" s="17" t="str">
        <f aca="false">IF($B18="","",IFERROR(IF(INDEX(입출금내역!$C$3:$C$802,MATCH(TEXT($B$3,"yyyymmdd")&amp;"|"&amp;8,입출금내역!$L$3:$L$802,0))="","",INDEX(입출금내역!$C$3:$C$802,MATCH(TEXT($B$3,"yyyymmdd")&amp;"|"&amp;8,입출금내역!$L$3:$L$802,0))),""))</f>
        <v/>
      </c>
      <c r="D18" s="17" t="str">
        <f aca="false">IF($B18="","",IFERROR(IF(INDEX(입출금내역!$D$3:$D$802,MATCH(TEXT($B$3,"yyyymmdd")&amp;"|"&amp;8,입출금내역!$L$3:$L$802,0))="","",INDEX(입출금내역!$D$3:$D$802,MATCH(TEXT($B$3,"yyyymmdd")&amp;"|"&amp;8,입출금내역!$L$3:$L$802,0))),""))</f>
        <v/>
      </c>
      <c r="E18" s="17" t="str">
        <f aca="false">IF($B18="","",IFERROR(IF(INDEX(입출금내역!$E$3:$E$802,MATCH(TEXT($B$3,"yyyymmdd")&amp;"|"&amp;8,입출금내역!$L$3:$L$802,0))="","",INDEX(입출금내역!$E$3:$E$802,MATCH(TEXT($B$3,"yyyymmdd")&amp;"|"&amp;8,입출금내역!$L$3:$L$802,0))),""))</f>
        <v/>
      </c>
      <c r="F18" s="16" t="str">
        <f aca="false">IF($B18="","",IFERROR(INDEX(입출금내역!$F$3:$F$802,MATCH(TEXT($B$3,"yyyymmdd")&amp;"|"&amp;8,입출금내역!$L$3:$L$802,0)),""))</f>
        <v/>
      </c>
    </row>
    <row r="19" customFormat="false" ht="15" hidden="false" customHeight="true" outlineLevel="0" collapsed="false">
      <c r="A19" s="24" t="n">
        <v>9</v>
      </c>
      <c r="B19" s="17" t="str">
        <f aca="false">IFERROR(INDEX(입출금내역!$B$3:$B$802,MATCH(TEXT($B$3,"yyyymmdd")&amp;"|"&amp;9,입출금내역!$L$3:$L$802,0)),"")</f>
        <v/>
      </c>
      <c r="C19" s="17" t="str">
        <f aca="false">IF($B19="","",IFERROR(IF(INDEX(입출금내역!$C$3:$C$802,MATCH(TEXT($B$3,"yyyymmdd")&amp;"|"&amp;9,입출금내역!$L$3:$L$802,0))="","",INDEX(입출금내역!$C$3:$C$802,MATCH(TEXT($B$3,"yyyymmdd")&amp;"|"&amp;9,입출금내역!$L$3:$L$802,0))),""))</f>
        <v/>
      </c>
      <c r="D19" s="17" t="str">
        <f aca="false">IF($B19="","",IFERROR(IF(INDEX(입출금내역!$D$3:$D$802,MATCH(TEXT($B$3,"yyyymmdd")&amp;"|"&amp;9,입출금내역!$L$3:$L$802,0))="","",INDEX(입출금내역!$D$3:$D$802,MATCH(TEXT($B$3,"yyyymmdd")&amp;"|"&amp;9,입출금내역!$L$3:$L$802,0))),""))</f>
        <v/>
      </c>
      <c r="E19" s="17" t="str">
        <f aca="false">IF($B19="","",IFERROR(IF(INDEX(입출금내역!$E$3:$E$802,MATCH(TEXT($B$3,"yyyymmdd")&amp;"|"&amp;9,입출금내역!$L$3:$L$802,0))="","",INDEX(입출금내역!$E$3:$E$802,MATCH(TEXT($B$3,"yyyymmdd")&amp;"|"&amp;9,입출금내역!$L$3:$L$802,0))),""))</f>
        <v/>
      </c>
      <c r="F19" s="16" t="str">
        <f aca="false">IF($B19="","",IFERROR(INDEX(입출금내역!$F$3:$F$802,MATCH(TEXT($B$3,"yyyymmdd")&amp;"|"&amp;9,입출금내역!$L$3:$L$802,0)),""))</f>
        <v/>
      </c>
    </row>
    <row r="20" customFormat="false" ht="15" hidden="false" customHeight="true" outlineLevel="0" collapsed="false">
      <c r="A20" s="24" t="n">
        <v>10</v>
      </c>
      <c r="B20" s="17" t="str">
        <f aca="false">IFERROR(INDEX(입출금내역!$B$3:$B$802,MATCH(TEXT($B$3,"yyyymmdd")&amp;"|"&amp;10,입출금내역!$L$3:$L$802,0)),"")</f>
        <v/>
      </c>
      <c r="C20" s="17" t="str">
        <f aca="false">IF($B20="","",IFERROR(IF(INDEX(입출금내역!$C$3:$C$802,MATCH(TEXT($B$3,"yyyymmdd")&amp;"|"&amp;10,입출금내역!$L$3:$L$802,0))="","",INDEX(입출금내역!$C$3:$C$802,MATCH(TEXT($B$3,"yyyymmdd")&amp;"|"&amp;10,입출금내역!$L$3:$L$802,0))),""))</f>
        <v/>
      </c>
      <c r="D20" s="17" t="str">
        <f aca="false">IF($B20="","",IFERROR(IF(INDEX(입출금내역!$D$3:$D$802,MATCH(TEXT($B$3,"yyyymmdd")&amp;"|"&amp;10,입출금내역!$L$3:$L$802,0))="","",INDEX(입출금내역!$D$3:$D$802,MATCH(TEXT($B$3,"yyyymmdd")&amp;"|"&amp;10,입출금내역!$L$3:$L$802,0))),""))</f>
        <v/>
      </c>
      <c r="E20" s="17" t="str">
        <f aca="false">IF($B20="","",IFERROR(IF(INDEX(입출금내역!$E$3:$E$802,MATCH(TEXT($B$3,"yyyymmdd")&amp;"|"&amp;10,입출금내역!$L$3:$L$802,0))="","",INDEX(입출금내역!$E$3:$E$802,MATCH(TEXT($B$3,"yyyymmdd")&amp;"|"&amp;10,입출금내역!$L$3:$L$802,0))),""))</f>
        <v/>
      </c>
      <c r="F20" s="16" t="str">
        <f aca="false">IF($B20="","",IFERROR(INDEX(입출금내역!$F$3:$F$802,MATCH(TEXT($B$3,"yyyymmdd")&amp;"|"&amp;10,입출금내역!$L$3:$L$802,0)),""))</f>
        <v/>
      </c>
    </row>
    <row r="21" customFormat="false" ht="15" hidden="false" customHeight="true" outlineLevel="0" collapsed="false">
      <c r="A21" s="24" t="n">
        <v>11</v>
      </c>
      <c r="B21" s="17" t="str">
        <f aca="false">IFERROR(INDEX(입출금내역!$B$3:$B$802,MATCH(TEXT($B$3,"yyyymmdd")&amp;"|"&amp;11,입출금내역!$L$3:$L$802,0)),"")</f>
        <v/>
      </c>
      <c r="C21" s="17" t="str">
        <f aca="false">IF($B21="","",IFERROR(IF(INDEX(입출금내역!$C$3:$C$802,MATCH(TEXT($B$3,"yyyymmdd")&amp;"|"&amp;11,입출금내역!$L$3:$L$802,0))="","",INDEX(입출금내역!$C$3:$C$802,MATCH(TEXT($B$3,"yyyymmdd")&amp;"|"&amp;11,입출금내역!$L$3:$L$802,0))),""))</f>
        <v/>
      </c>
      <c r="D21" s="17" t="str">
        <f aca="false">IF($B21="","",IFERROR(IF(INDEX(입출금내역!$D$3:$D$802,MATCH(TEXT($B$3,"yyyymmdd")&amp;"|"&amp;11,입출금내역!$L$3:$L$802,0))="","",INDEX(입출금내역!$D$3:$D$802,MATCH(TEXT($B$3,"yyyymmdd")&amp;"|"&amp;11,입출금내역!$L$3:$L$802,0))),""))</f>
        <v/>
      </c>
      <c r="E21" s="17" t="str">
        <f aca="false">IF($B21="","",IFERROR(IF(INDEX(입출금내역!$E$3:$E$802,MATCH(TEXT($B$3,"yyyymmdd")&amp;"|"&amp;11,입출금내역!$L$3:$L$802,0))="","",INDEX(입출금내역!$E$3:$E$802,MATCH(TEXT($B$3,"yyyymmdd")&amp;"|"&amp;11,입출금내역!$L$3:$L$802,0))),""))</f>
        <v/>
      </c>
      <c r="F21" s="16" t="str">
        <f aca="false">IF($B21="","",IFERROR(INDEX(입출금내역!$F$3:$F$802,MATCH(TEXT($B$3,"yyyymmdd")&amp;"|"&amp;11,입출금내역!$L$3:$L$802,0)),""))</f>
        <v/>
      </c>
    </row>
    <row r="22" customFormat="false" ht="15" hidden="false" customHeight="true" outlineLevel="0" collapsed="false">
      <c r="A22" s="24" t="n">
        <v>12</v>
      </c>
      <c r="B22" s="17" t="str">
        <f aca="false">IFERROR(INDEX(입출금내역!$B$3:$B$802,MATCH(TEXT($B$3,"yyyymmdd")&amp;"|"&amp;12,입출금내역!$L$3:$L$802,0)),"")</f>
        <v/>
      </c>
      <c r="C22" s="17" t="str">
        <f aca="false">IF($B22="","",IFERROR(IF(INDEX(입출금내역!$C$3:$C$802,MATCH(TEXT($B$3,"yyyymmdd")&amp;"|"&amp;12,입출금내역!$L$3:$L$802,0))="","",INDEX(입출금내역!$C$3:$C$802,MATCH(TEXT($B$3,"yyyymmdd")&amp;"|"&amp;12,입출금내역!$L$3:$L$802,0))),""))</f>
        <v/>
      </c>
      <c r="D22" s="17" t="str">
        <f aca="false">IF($B22="","",IFERROR(IF(INDEX(입출금내역!$D$3:$D$802,MATCH(TEXT($B$3,"yyyymmdd")&amp;"|"&amp;12,입출금내역!$L$3:$L$802,0))="","",INDEX(입출금내역!$D$3:$D$802,MATCH(TEXT($B$3,"yyyymmdd")&amp;"|"&amp;12,입출금내역!$L$3:$L$802,0))),""))</f>
        <v/>
      </c>
      <c r="E22" s="17" t="str">
        <f aca="false">IF($B22="","",IFERROR(IF(INDEX(입출금내역!$E$3:$E$802,MATCH(TEXT($B$3,"yyyymmdd")&amp;"|"&amp;12,입출금내역!$L$3:$L$802,0))="","",INDEX(입출금내역!$E$3:$E$802,MATCH(TEXT($B$3,"yyyymmdd")&amp;"|"&amp;12,입출금내역!$L$3:$L$802,0))),""))</f>
        <v/>
      </c>
      <c r="F22" s="16" t="str">
        <f aca="false">IF($B22="","",IFERROR(INDEX(입출금내역!$F$3:$F$802,MATCH(TEXT($B$3,"yyyymmdd")&amp;"|"&amp;12,입출금내역!$L$3:$L$802,0)),""))</f>
        <v/>
      </c>
    </row>
    <row r="23" customFormat="false" ht="15" hidden="false" customHeight="true" outlineLevel="0" collapsed="false">
      <c r="A23" s="24" t="n">
        <v>13</v>
      </c>
      <c r="B23" s="17" t="str">
        <f aca="false">IFERROR(INDEX(입출금내역!$B$3:$B$802,MATCH(TEXT($B$3,"yyyymmdd")&amp;"|"&amp;13,입출금내역!$L$3:$L$802,0)),"")</f>
        <v/>
      </c>
      <c r="C23" s="17" t="str">
        <f aca="false">IF($B23="","",IFERROR(IF(INDEX(입출금내역!$C$3:$C$802,MATCH(TEXT($B$3,"yyyymmdd")&amp;"|"&amp;13,입출금내역!$L$3:$L$802,0))="","",INDEX(입출금내역!$C$3:$C$802,MATCH(TEXT($B$3,"yyyymmdd")&amp;"|"&amp;13,입출금내역!$L$3:$L$802,0))),""))</f>
        <v/>
      </c>
      <c r="D23" s="17" t="str">
        <f aca="false">IF($B23="","",IFERROR(IF(INDEX(입출금내역!$D$3:$D$802,MATCH(TEXT($B$3,"yyyymmdd")&amp;"|"&amp;13,입출금내역!$L$3:$L$802,0))="","",INDEX(입출금내역!$D$3:$D$802,MATCH(TEXT($B$3,"yyyymmdd")&amp;"|"&amp;13,입출금내역!$L$3:$L$802,0))),""))</f>
        <v/>
      </c>
      <c r="E23" s="17" t="str">
        <f aca="false">IF($B23="","",IFERROR(IF(INDEX(입출금내역!$E$3:$E$802,MATCH(TEXT($B$3,"yyyymmdd")&amp;"|"&amp;13,입출금내역!$L$3:$L$802,0))="","",INDEX(입출금내역!$E$3:$E$802,MATCH(TEXT($B$3,"yyyymmdd")&amp;"|"&amp;13,입출금내역!$L$3:$L$802,0))),""))</f>
        <v/>
      </c>
      <c r="F23" s="16" t="str">
        <f aca="false">IF($B23="","",IFERROR(INDEX(입출금내역!$F$3:$F$802,MATCH(TEXT($B$3,"yyyymmdd")&amp;"|"&amp;13,입출금내역!$L$3:$L$802,0)),""))</f>
        <v/>
      </c>
    </row>
    <row r="24" customFormat="false" ht="15" hidden="false" customHeight="true" outlineLevel="0" collapsed="false">
      <c r="A24" s="24" t="n">
        <v>14</v>
      </c>
      <c r="B24" s="17" t="str">
        <f aca="false">IFERROR(INDEX(입출금내역!$B$3:$B$802,MATCH(TEXT($B$3,"yyyymmdd")&amp;"|"&amp;14,입출금내역!$L$3:$L$802,0)),"")</f>
        <v/>
      </c>
      <c r="C24" s="17" t="str">
        <f aca="false">IF($B24="","",IFERROR(IF(INDEX(입출금내역!$C$3:$C$802,MATCH(TEXT($B$3,"yyyymmdd")&amp;"|"&amp;14,입출금내역!$L$3:$L$802,0))="","",INDEX(입출금내역!$C$3:$C$802,MATCH(TEXT($B$3,"yyyymmdd")&amp;"|"&amp;14,입출금내역!$L$3:$L$802,0))),""))</f>
        <v/>
      </c>
      <c r="D24" s="17" t="str">
        <f aca="false">IF($B24="","",IFERROR(IF(INDEX(입출금내역!$D$3:$D$802,MATCH(TEXT($B$3,"yyyymmdd")&amp;"|"&amp;14,입출금내역!$L$3:$L$802,0))="","",INDEX(입출금내역!$D$3:$D$802,MATCH(TEXT($B$3,"yyyymmdd")&amp;"|"&amp;14,입출금내역!$L$3:$L$802,0))),""))</f>
        <v/>
      </c>
      <c r="E24" s="17" t="str">
        <f aca="false">IF($B24="","",IFERROR(IF(INDEX(입출금내역!$E$3:$E$802,MATCH(TEXT($B$3,"yyyymmdd")&amp;"|"&amp;14,입출금내역!$L$3:$L$802,0))="","",INDEX(입출금내역!$E$3:$E$802,MATCH(TEXT($B$3,"yyyymmdd")&amp;"|"&amp;14,입출금내역!$L$3:$L$802,0))),""))</f>
        <v/>
      </c>
      <c r="F24" s="16" t="str">
        <f aca="false">IF($B24="","",IFERROR(INDEX(입출금내역!$F$3:$F$802,MATCH(TEXT($B$3,"yyyymmdd")&amp;"|"&amp;14,입출금내역!$L$3:$L$802,0)),""))</f>
        <v/>
      </c>
    </row>
    <row r="25" customFormat="false" ht="15" hidden="false" customHeight="true" outlineLevel="0" collapsed="false">
      <c r="A25" s="24" t="n">
        <v>15</v>
      </c>
      <c r="B25" s="17" t="str">
        <f aca="false">IFERROR(INDEX(입출금내역!$B$3:$B$802,MATCH(TEXT($B$3,"yyyymmdd")&amp;"|"&amp;15,입출금내역!$L$3:$L$802,0)),"")</f>
        <v/>
      </c>
      <c r="C25" s="17" t="str">
        <f aca="false">IF($B25="","",IFERROR(IF(INDEX(입출금내역!$C$3:$C$802,MATCH(TEXT($B$3,"yyyymmdd")&amp;"|"&amp;15,입출금내역!$L$3:$L$802,0))="","",INDEX(입출금내역!$C$3:$C$802,MATCH(TEXT($B$3,"yyyymmdd")&amp;"|"&amp;15,입출금내역!$L$3:$L$802,0))),""))</f>
        <v/>
      </c>
      <c r="D25" s="17" t="str">
        <f aca="false">IF($B25="","",IFERROR(IF(INDEX(입출금내역!$D$3:$D$802,MATCH(TEXT($B$3,"yyyymmdd")&amp;"|"&amp;15,입출금내역!$L$3:$L$802,0))="","",INDEX(입출금내역!$D$3:$D$802,MATCH(TEXT($B$3,"yyyymmdd")&amp;"|"&amp;15,입출금내역!$L$3:$L$802,0))),""))</f>
        <v/>
      </c>
      <c r="E25" s="17" t="str">
        <f aca="false">IF($B25="","",IFERROR(IF(INDEX(입출금내역!$E$3:$E$802,MATCH(TEXT($B$3,"yyyymmdd")&amp;"|"&amp;15,입출금내역!$L$3:$L$802,0))="","",INDEX(입출금내역!$E$3:$E$802,MATCH(TEXT($B$3,"yyyymmdd")&amp;"|"&amp;15,입출금내역!$L$3:$L$802,0))),""))</f>
        <v/>
      </c>
      <c r="F25" s="16" t="str">
        <f aca="false">IF($B25="","",IFERROR(INDEX(입출금내역!$F$3:$F$802,MATCH(TEXT($B$3,"yyyymmdd")&amp;"|"&amp;15,입출금내역!$L$3:$L$802,0)),""))</f>
        <v/>
      </c>
    </row>
    <row r="26" customFormat="false" ht="15" hidden="false" customHeight="true" outlineLevel="0" collapsed="false">
      <c r="A26" s="24" t="n">
        <v>16</v>
      </c>
      <c r="B26" s="17" t="str">
        <f aca="false">IFERROR(INDEX(입출금내역!$B$3:$B$802,MATCH(TEXT($B$3,"yyyymmdd")&amp;"|"&amp;16,입출금내역!$L$3:$L$802,0)),"")</f>
        <v/>
      </c>
      <c r="C26" s="17" t="str">
        <f aca="false">IF($B26="","",IFERROR(IF(INDEX(입출금내역!$C$3:$C$802,MATCH(TEXT($B$3,"yyyymmdd")&amp;"|"&amp;16,입출금내역!$L$3:$L$802,0))="","",INDEX(입출금내역!$C$3:$C$802,MATCH(TEXT($B$3,"yyyymmdd")&amp;"|"&amp;16,입출금내역!$L$3:$L$802,0))),""))</f>
        <v/>
      </c>
      <c r="D26" s="17" t="str">
        <f aca="false">IF($B26="","",IFERROR(IF(INDEX(입출금내역!$D$3:$D$802,MATCH(TEXT($B$3,"yyyymmdd")&amp;"|"&amp;16,입출금내역!$L$3:$L$802,0))="","",INDEX(입출금내역!$D$3:$D$802,MATCH(TEXT($B$3,"yyyymmdd")&amp;"|"&amp;16,입출금내역!$L$3:$L$802,0))),""))</f>
        <v/>
      </c>
      <c r="E26" s="17" t="str">
        <f aca="false">IF($B26="","",IFERROR(IF(INDEX(입출금내역!$E$3:$E$802,MATCH(TEXT($B$3,"yyyymmdd")&amp;"|"&amp;16,입출금내역!$L$3:$L$802,0))="","",INDEX(입출금내역!$E$3:$E$802,MATCH(TEXT($B$3,"yyyymmdd")&amp;"|"&amp;16,입출금내역!$L$3:$L$802,0))),""))</f>
        <v/>
      </c>
      <c r="F26" s="16" t="str">
        <f aca="false">IF($B26="","",IFERROR(INDEX(입출금내역!$F$3:$F$802,MATCH(TEXT($B$3,"yyyymmdd")&amp;"|"&amp;16,입출금내역!$L$3:$L$802,0)),""))</f>
        <v/>
      </c>
    </row>
    <row r="27" customFormat="false" ht="15" hidden="false" customHeight="true" outlineLevel="0" collapsed="false">
      <c r="A27" s="24" t="n">
        <v>17</v>
      </c>
      <c r="B27" s="17" t="str">
        <f aca="false">IFERROR(INDEX(입출금내역!$B$3:$B$802,MATCH(TEXT($B$3,"yyyymmdd")&amp;"|"&amp;17,입출금내역!$L$3:$L$802,0)),"")</f>
        <v/>
      </c>
      <c r="C27" s="17" t="str">
        <f aca="false">IF($B27="","",IFERROR(IF(INDEX(입출금내역!$C$3:$C$802,MATCH(TEXT($B$3,"yyyymmdd")&amp;"|"&amp;17,입출금내역!$L$3:$L$802,0))="","",INDEX(입출금내역!$C$3:$C$802,MATCH(TEXT($B$3,"yyyymmdd")&amp;"|"&amp;17,입출금내역!$L$3:$L$802,0))),""))</f>
        <v/>
      </c>
      <c r="D27" s="17" t="str">
        <f aca="false">IF($B27="","",IFERROR(IF(INDEX(입출금내역!$D$3:$D$802,MATCH(TEXT($B$3,"yyyymmdd")&amp;"|"&amp;17,입출금내역!$L$3:$L$802,0))="","",INDEX(입출금내역!$D$3:$D$802,MATCH(TEXT($B$3,"yyyymmdd")&amp;"|"&amp;17,입출금내역!$L$3:$L$802,0))),""))</f>
        <v/>
      </c>
      <c r="E27" s="17" t="str">
        <f aca="false">IF($B27="","",IFERROR(IF(INDEX(입출금내역!$E$3:$E$802,MATCH(TEXT($B$3,"yyyymmdd")&amp;"|"&amp;17,입출금내역!$L$3:$L$802,0))="","",INDEX(입출금내역!$E$3:$E$802,MATCH(TEXT($B$3,"yyyymmdd")&amp;"|"&amp;17,입출금내역!$L$3:$L$802,0))),""))</f>
        <v/>
      </c>
      <c r="F27" s="16" t="str">
        <f aca="false">IF($B27="","",IFERROR(INDEX(입출금내역!$F$3:$F$802,MATCH(TEXT($B$3,"yyyymmdd")&amp;"|"&amp;17,입출금내역!$L$3:$L$802,0)),""))</f>
        <v/>
      </c>
    </row>
    <row r="28" customFormat="false" ht="15" hidden="false" customHeight="true" outlineLevel="0" collapsed="false">
      <c r="A28" s="24" t="n">
        <v>18</v>
      </c>
      <c r="B28" s="17" t="str">
        <f aca="false">IFERROR(INDEX(입출금내역!$B$3:$B$802,MATCH(TEXT($B$3,"yyyymmdd")&amp;"|"&amp;18,입출금내역!$L$3:$L$802,0)),"")</f>
        <v/>
      </c>
      <c r="C28" s="17" t="str">
        <f aca="false">IF($B28="","",IFERROR(IF(INDEX(입출금내역!$C$3:$C$802,MATCH(TEXT($B$3,"yyyymmdd")&amp;"|"&amp;18,입출금내역!$L$3:$L$802,0))="","",INDEX(입출금내역!$C$3:$C$802,MATCH(TEXT($B$3,"yyyymmdd")&amp;"|"&amp;18,입출금내역!$L$3:$L$802,0))),""))</f>
        <v/>
      </c>
      <c r="D28" s="17" t="str">
        <f aca="false">IF($B28="","",IFERROR(IF(INDEX(입출금내역!$D$3:$D$802,MATCH(TEXT($B$3,"yyyymmdd")&amp;"|"&amp;18,입출금내역!$L$3:$L$802,0))="","",INDEX(입출금내역!$D$3:$D$802,MATCH(TEXT($B$3,"yyyymmdd")&amp;"|"&amp;18,입출금내역!$L$3:$L$802,0))),""))</f>
        <v/>
      </c>
      <c r="E28" s="17" t="str">
        <f aca="false">IF($B28="","",IFERROR(IF(INDEX(입출금내역!$E$3:$E$802,MATCH(TEXT($B$3,"yyyymmdd")&amp;"|"&amp;18,입출금내역!$L$3:$L$802,0))="","",INDEX(입출금내역!$E$3:$E$802,MATCH(TEXT($B$3,"yyyymmdd")&amp;"|"&amp;18,입출금내역!$L$3:$L$802,0))),""))</f>
        <v/>
      </c>
      <c r="F28" s="16" t="str">
        <f aca="false">IF($B28="","",IFERROR(INDEX(입출금내역!$F$3:$F$802,MATCH(TEXT($B$3,"yyyymmdd")&amp;"|"&amp;18,입출금내역!$L$3:$L$802,0)),""))</f>
        <v/>
      </c>
    </row>
    <row r="29" customFormat="false" ht="15" hidden="false" customHeight="true" outlineLevel="0" collapsed="false">
      <c r="A29" s="24" t="n">
        <v>19</v>
      </c>
      <c r="B29" s="17" t="str">
        <f aca="false">IFERROR(INDEX(입출금내역!$B$3:$B$802,MATCH(TEXT($B$3,"yyyymmdd")&amp;"|"&amp;19,입출금내역!$L$3:$L$802,0)),"")</f>
        <v/>
      </c>
      <c r="C29" s="17" t="str">
        <f aca="false">IF($B29="","",IFERROR(IF(INDEX(입출금내역!$C$3:$C$802,MATCH(TEXT($B$3,"yyyymmdd")&amp;"|"&amp;19,입출금내역!$L$3:$L$802,0))="","",INDEX(입출금내역!$C$3:$C$802,MATCH(TEXT($B$3,"yyyymmdd")&amp;"|"&amp;19,입출금내역!$L$3:$L$802,0))),""))</f>
        <v/>
      </c>
      <c r="D29" s="17" t="str">
        <f aca="false">IF($B29="","",IFERROR(IF(INDEX(입출금내역!$D$3:$D$802,MATCH(TEXT($B$3,"yyyymmdd")&amp;"|"&amp;19,입출금내역!$L$3:$L$802,0))="","",INDEX(입출금내역!$D$3:$D$802,MATCH(TEXT($B$3,"yyyymmdd")&amp;"|"&amp;19,입출금내역!$L$3:$L$802,0))),""))</f>
        <v/>
      </c>
      <c r="E29" s="17" t="str">
        <f aca="false">IF($B29="","",IFERROR(IF(INDEX(입출금내역!$E$3:$E$802,MATCH(TEXT($B$3,"yyyymmdd")&amp;"|"&amp;19,입출금내역!$L$3:$L$802,0))="","",INDEX(입출금내역!$E$3:$E$802,MATCH(TEXT($B$3,"yyyymmdd")&amp;"|"&amp;19,입출금내역!$L$3:$L$802,0))),""))</f>
        <v/>
      </c>
      <c r="F29" s="16" t="str">
        <f aca="false">IF($B29="","",IFERROR(INDEX(입출금내역!$F$3:$F$802,MATCH(TEXT($B$3,"yyyymmdd")&amp;"|"&amp;19,입출금내역!$L$3:$L$802,0)),""))</f>
        <v/>
      </c>
    </row>
    <row r="30" customFormat="false" ht="15" hidden="false" customHeight="true" outlineLevel="0" collapsed="false">
      <c r="A30" s="24" t="n">
        <v>20</v>
      </c>
      <c r="B30" s="17" t="str">
        <f aca="false">IFERROR(INDEX(입출금내역!$B$3:$B$802,MATCH(TEXT($B$3,"yyyymmdd")&amp;"|"&amp;20,입출금내역!$L$3:$L$802,0)),"")</f>
        <v/>
      </c>
      <c r="C30" s="17" t="str">
        <f aca="false">IF($B30="","",IFERROR(IF(INDEX(입출금내역!$C$3:$C$802,MATCH(TEXT($B$3,"yyyymmdd")&amp;"|"&amp;20,입출금내역!$L$3:$L$802,0))="","",INDEX(입출금내역!$C$3:$C$802,MATCH(TEXT($B$3,"yyyymmdd")&amp;"|"&amp;20,입출금내역!$L$3:$L$802,0))),""))</f>
        <v/>
      </c>
      <c r="D30" s="17" t="str">
        <f aca="false">IF($B30="","",IFERROR(IF(INDEX(입출금내역!$D$3:$D$802,MATCH(TEXT($B$3,"yyyymmdd")&amp;"|"&amp;20,입출금내역!$L$3:$L$802,0))="","",INDEX(입출금내역!$D$3:$D$802,MATCH(TEXT($B$3,"yyyymmdd")&amp;"|"&amp;20,입출금내역!$L$3:$L$802,0))),""))</f>
        <v/>
      </c>
      <c r="E30" s="17" t="str">
        <f aca="false">IF($B30="","",IFERROR(IF(INDEX(입출금내역!$E$3:$E$802,MATCH(TEXT($B$3,"yyyymmdd")&amp;"|"&amp;20,입출금내역!$L$3:$L$802,0))="","",INDEX(입출금내역!$E$3:$E$802,MATCH(TEXT($B$3,"yyyymmdd")&amp;"|"&amp;20,입출금내역!$L$3:$L$802,0))),""))</f>
        <v/>
      </c>
      <c r="F30" s="16" t="str">
        <f aca="false">IF($B30="","",IFERROR(INDEX(입출금내역!$F$3:$F$802,MATCH(TEXT($B$3,"yyyymmdd")&amp;"|"&amp;20,입출금내역!$L$3:$L$802,0)),""))</f>
        <v/>
      </c>
    </row>
    <row r="31" customFormat="false" ht="15" hidden="false" customHeight="true" outlineLevel="0" collapsed="false">
      <c r="A31" s="24" t="n">
        <v>21</v>
      </c>
      <c r="B31" s="17" t="str">
        <f aca="false">IFERROR(INDEX(입출금내역!$B$3:$B$802,MATCH(TEXT($B$3,"yyyymmdd")&amp;"|"&amp;21,입출금내역!$L$3:$L$802,0)),"")</f>
        <v/>
      </c>
      <c r="C31" s="17" t="str">
        <f aca="false">IF($B31="","",IFERROR(IF(INDEX(입출금내역!$C$3:$C$802,MATCH(TEXT($B$3,"yyyymmdd")&amp;"|"&amp;21,입출금내역!$L$3:$L$802,0))="","",INDEX(입출금내역!$C$3:$C$802,MATCH(TEXT($B$3,"yyyymmdd")&amp;"|"&amp;21,입출금내역!$L$3:$L$802,0))),""))</f>
        <v/>
      </c>
      <c r="D31" s="17" t="str">
        <f aca="false">IF($B31="","",IFERROR(IF(INDEX(입출금내역!$D$3:$D$802,MATCH(TEXT($B$3,"yyyymmdd")&amp;"|"&amp;21,입출금내역!$L$3:$L$802,0))="","",INDEX(입출금내역!$D$3:$D$802,MATCH(TEXT($B$3,"yyyymmdd")&amp;"|"&amp;21,입출금내역!$L$3:$L$802,0))),""))</f>
        <v/>
      </c>
      <c r="E31" s="17" t="str">
        <f aca="false">IF($B31="","",IFERROR(IF(INDEX(입출금내역!$E$3:$E$802,MATCH(TEXT($B$3,"yyyymmdd")&amp;"|"&amp;21,입출금내역!$L$3:$L$802,0))="","",INDEX(입출금내역!$E$3:$E$802,MATCH(TEXT($B$3,"yyyymmdd")&amp;"|"&amp;21,입출금내역!$L$3:$L$802,0))),""))</f>
        <v/>
      </c>
      <c r="F31" s="16" t="str">
        <f aca="false">IF($B31="","",IFERROR(INDEX(입출금내역!$F$3:$F$802,MATCH(TEXT($B$3,"yyyymmdd")&amp;"|"&amp;21,입출금내역!$L$3:$L$802,0)),""))</f>
        <v/>
      </c>
    </row>
    <row r="32" customFormat="false" ht="15" hidden="false" customHeight="true" outlineLevel="0" collapsed="false">
      <c r="A32" s="24" t="n">
        <v>22</v>
      </c>
      <c r="B32" s="17" t="str">
        <f aca="false">IFERROR(INDEX(입출금내역!$B$3:$B$802,MATCH(TEXT($B$3,"yyyymmdd")&amp;"|"&amp;22,입출금내역!$L$3:$L$802,0)),"")</f>
        <v/>
      </c>
      <c r="C32" s="17" t="str">
        <f aca="false">IF($B32="","",IFERROR(IF(INDEX(입출금내역!$C$3:$C$802,MATCH(TEXT($B$3,"yyyymmdd")&amp;"|"&amp;22,입출금내역!$L$3:$L$802,0))="","",INDEX(입출금내역!$C$3:$C$802,MATCH(TEXT($B$3,"yyyymmdd")&amp;"|"&amp;22,입출금내역!$L$3:$L$802,0))),""))</f>
        <v/>
      </c>
      <c r="D32" s="17" t="str">
        <f aca="false">IF($B32="","",IFERROR(IF(INDEX(입출금내역!$D$3:$D$802,MATCH(TEXT($B$3,"yyyymmdd")&amp;"|"&amp;22,입출금내역!$L$3:$L$802,0))="","",INDEX(입출금내역!$D$3:$D$802,MATCH(TEXT($B$3,"yyyymmdd")&amp;"|"&amp;22,입출금내역!$L$3:$L$802,0))),""))</f>
        <v/>
      </c>
      <c r="E32" s="17" t="str">
        <f aca="false">IF($B32="","",IFERROR(IF(INDEX(입출금내역!$E$3:$E$802,MATCH(TEXT($B$3,"yyyymmdd")&amp;"|"&amp;22,입출금내역!$L$3:$L$802,0))="","",INDEX(입출금내역!$E$3:$E$802,MATCH(TEXT($B$3,"yyyymmdd")&amp;"|"&amp;22,입출금내역!$L$3:$L$802,0))),""))</f>
        <v/>
      </c>
      <c r="F32" s="16" t="str">
        <f aca="false">IF($B32="","",IFERROR(INDEX(입출금내역!$F$3:$F$802,MATCH(TEXT($B$3,"yyyymmdd")&amp;"|"&amp;22,입출금내역!$L$3:$L$802,0)),""))</f>
        <v/>
      </c>
    </row>
    <row r="33" customFormat="false" ht="15" hidden="false" customHeight="true" outlineLevel="0" collapsed="false">
      <c r="A33" s="24" t="n">
        <v>23</v>
      </c>
      <c r="B33" s="17" t="str">
        <f aca="false">IFERROR(INDEX(입출금내역!$B$3:$B$802,MATCH(TEXT($B$3,"yyyymmdd")&amp;"|"&amp;23,입출금내역!$L$3:$L$802,0)),"")</f>
        <v/>
      </c>
      <c r="C33" s="17" t="str">
        <f aca="false">IF($B33="","",IFERROR(IF(INDEX(입출금내역!$C$3:$C$802,MATCH(TEXT($B$3,"yyyymmdd")&amp;"|"&amp;23,입출금내역!$L$3:$L$802,0))="","",INDEX(입출금내역!$C$3:$C$802,MATCH(TEXT($B$3,"yyyymmdd")&amp;"|"&amp;23,입출금내역!$L$3:$L$802,0))),""))</f>
        <v/>
      </c>
      <c r="D33" s="17" t="str">
        <f aca="false">IF($B33="","",IFERROR(IF(INDEX(입출금내역!$D$3:$D$802,MATCH(TEXT($B$3,"yyyymmdd")&amp;"|"&amp;23,입출금내역!$L$3:$L$802,0))="","",INDEX(입출금내역!$D$3:$D$802,MATCH(TEXT($B$3,"yyyymmdd")&amp;"|"&amp;23,입출금내역!$L$3:$L$802,0))),""))</f>
        <v/>
      </c>
      <c r="E33" s="17" t="str">
        <f aca="false">IF($B33="","",IFERROR(IF(INDEX(입출금내역!$E$3:$E$802,MATCH(TEXT($B$3,"yyyymmdd")&amp;"|"&amp;23,입출금내역!$L$3:$L$802,0))="","",INDEX(입출금내역!$E$3:$E$802,MATCH(TEXT($B$3,"yyyymmdd")&amp;"|"&amp;23,입출금내역!$L$3:$L$802,0))),""))</f>
        <v/>
      </c>
      <c r="F33" s="16" t="str">
        <f aca="false">IF($B33="","",IFERROR(INDEX(입출금내역!$F$3:$F$802,MATCH(TEXT($B$3,"yyyymmdd")&amp;"|"&amp;23,입출금내역!$L$3:$L$802,0)),""))</f>
        <v/>
      </c>
    </row>
    <row r="34" customFormat="false" ht="15" hidden="false" customHeight="true" outlineLevel="0" collapsed="false">
      <c r="A34" s="24" t="n">
        <v>24</v>
      </c>
      <c r="B34" s="17" t="str">
        <f aca="false">IFERROR(INDEX(입출금내역!$B$3:$B$802,MATCH(TEXT($B$3,"yyyymmdd")&amp;"|"&amp;24,입출금내역!$L$3:$L$802,0)),"")</f>
        <v/>
      </c>
      <c r="C34" s="17" t="str">
        <f aca="false">IF($B34="","",IFERROR(IF(INDEX(입출금내역!$C$3:$C$802,MATCH(TEXT($B$3,"yyyymmdd")&amp;"|"&amp;24,입출금내역!$L$3:$L$802,0))="","",INDEX(입출금내역!$C$3:$C$802,MATCH(TEXT($B$3,"yyyymmdd")&amp;"|"&amp;24,입출금내역!$L$3:$L$802,0))),""))</f>
        <v/>
      </c>
      <c r="D34" s="17" t="str">
        <f aca="false">IF($B34="","",IFERROR(IF(INDEX(입출금내역!$D$3:$D$802,MATCH(TEXT($B$3,"yyyymmdd")&amp;"|"&amp;24,입출금내역!$L$3:$L$802,0))="","",INDEX(입출금내역!$D$3:$D$802,MATCH(TEXT($B$3,"yyyymmdd")&amp;"|"&amp;24,입출금내역!$L$3:$L$802,0))),""))</f>
        <v/>
      </c>
      <c r="E34" s="17" t="str">
        <f aca="false">IF($B34="","",IFERROR(IF(INDEX(입출금내역!$E$3:$E$802,MATCH(TEXT($B$3,"yyyymmdd")&amp;"|"&amp;24,입출금내역!$L$3:$L$802,0))="","",INDEX(입출금내역!$E$3:$E$802,MATCH(TEXT($B$3,"yyyymmdd")&amp;"|"&amp;24,입출금내역!$L$3:$L$802,0))),""))</f>
        <v/>
      </c>
      <c r="F34" s="16" t="str">
        <f aca="false">IF($B34="","",IFERROR(INDEX(입출금내역!$F$3:$F$802,MATCH(TEXT($B$3,"yyyymmdd")&amp;"|"&amp;24,입출금내역!$L$3:$L$802,0)),""))</f>
        <v/>
      </c>
    </row>
    <row r="35" customFormat="false" ht="15" hidden="false" customHeight="true" outlineLevel="0" collapsed="false">
      <c r="A35" s="24" t="n">
        <v>25</v>
      </c>
      <c r="B35" s="17" t="str">
        <f aca="false">IFERROR(INDEX(입출금내역!$B$3:$B$802,MATCH(TEXT($B$3,"yyyymmdd")&amp;"|"&amp;25,입출금내역!$L$3:$L$802,0)),"")</f>
        <v/>
      </c>
      <c r="C35" s="17" t="str">
        <f aca="false">IF($B35="","",IFERROR(IF(INDEX(입출금내역!$C$3:$C$802,MATCH(TEXT($B$3,"yyyymmdd")&amp;"|"&amp;25,입출금내역!$L$3:$L$802,0))="","",INDEX(입출금내역!$C$3:$C$802,MATCH(TEXT($B$3,"yyyymmdd")&amp;"|"&amp;25,입출금내역!$L$3:$L$802,0))),""))</f>
        <v/>
      </c>
      <c r="D35" s="17" t="str">
        <f aca="false">IF($B35="","",IFERROR(IF(INDEX(입출금내역!$D$3:$D$802,MATCH(TEXT($B$3,"yyyymmdd")&amp;"|"&amp;25,입출금내역!$L$3:$L$802,0))="","",INDEX(입출금내역!$D$3:$D$802,MATCH(TEXT($B$3,"yyyymmdd")&amp;"|"&amp;25,입출금내역!$L$3:$L$802,0))),""))</f>
        <v/>
      </c>
      <c r="E35" s="17" t="str">
        <f aca="false">IF($B35="","",IFERROR(IF(INDEX(입출금내역!$E$3:$E$802,MATCH(TEXT($B$3,"yyyymmdd")&amp;"|"&amp;25,입출금내역!$L$3:$L$802,0))="","",INDEX(입출금내역!$E$3:$E$802,MATCH(TEXT($B$3,"yyyymmdd")&amp;"|"&amp;25,입출금내역!$L$3:$L$802,0))),""))</f>
        <v/>
      </c>
      <c r="F35" s="16" t="str">
        <f aca="false">IF($B35="","",IFERROR(INDEX(입출금내역!$F$3:$F$802,MATCH(TEXT($B$3,"yyyymmdd")&amp;"|"&amp;25,입출금내역!$L$3:$L$802,0)),""))</f>
        <v/>
      </c>
    </row>
    <row r="38" customFormat="false" ht="15" hidden="false" customHeight="true" outlineLevel="0" collapsed="false">
      <c r="A38" s="6" t="s">
        <v>66</v>
      </c>
    </row>
  </sheetData>
  <mergeCells count="5">
    <mergeCell ref="A1:F1"/>
    <mergeCell ref="A5:B5"/>
    <mergeCell ref="A6:B6"/>
    <mergeCell ref="A7:B7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67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68</v>
      </c>
      <c r="B3" s="25" t="n">
        <v>2026</v>
      </c>
      <c r="C3" s="6" t="s">
        <v>60</v>
      </c>
    </row>
    <row r="5" customFormat="false" ht="15" hidden="false" customHeight="true" outlineLevel="0" collapsed="false">
      <c r="A5" s="8" t="s">
        <v>69</v>
      </c>
      <c r="B5" s="8" t="s">
        <v>70</v>
      </c>
      <c r="C5" s="8" t="s">
        <v>71</v>
      </c>
      <c r="D5" s="8" t="s">
        <v>72</v>
      </c>
      <c r="E5" s="8" t="s">
        <v>73</v>
      </c>
      <c r="F5" s="8" t="s">
        <v>74</v>
      </c>
    </row>
    <row r="6" customFormat="false" ht="15" hidden="false" customHeight="true" outlineLevel="0" collapsed="false">
      <c r="A6" s="24" t="n">
        <v>1</v>
      </c>
      <c r="B6" s="26" t="n">
        <f aca="false">SUMIFS(입출금내역!$I$3:$I$802,입출금내역!$A$3:$A$802,"&gt;="&amp;DATE($B$3,1,1),입출금내역!$A$3:$A$802,"&lt;="&amp;EOMONTH(DATE($B$3,1,1),0))</f>
        <v>0</v>
      </c>
      <c r="C6" s="26" t="n">
        <f aca="false">SUMIFS(입출금내역!$J$3:$J$802,입출금내역!$A$3:$A$802,"&gt;="&amp;DATE($B$3,1,1),입출금내역!$A$3:$A$802,"&lt;="&amp;EOMONTH(DATE($B$3,1,1),0))</f>
        <v>0</v>
      </c>
      <c r="D6" s="26" t="n">
        <f aca="false">$B6-$C6</f>
        <v>0</v>
      </c>
      <c r="E6" s="26" t="n">
        <f aca="false">계좌목록!$D$24+SUMIFS(입출금내역!$I$3:$I$802,입출금내역!$A$3:$A$802,"&lt;="&amp;EOMONTH(DATE($B$3,1,1),0))-SUMIFS(입출금내역!$J$3:$J$802,입출금내역!$A$3:$A$802,"&lt;="&amp;EOMONTH(DATE($B$3,1,1),0))</f>
        <v>55000000</v>
      </c>
      <c r="F6" s="24" t="n">
        <f aca="false">COUNTIFS(입출금내역!$A$3:$A$802,"&gt;="&amp;DATE($B$3,1,1),입출금내역!$A$3:$A$802,"&lt;="&amp;EOMONTH(DATE($B$3,1,1),0))</f>
        <v>0</v>
      </c>
    </row>
    <row r="7" customFormat="false" ht="15" hidden="false" customHeight="true" outlineLevel="0" collapsed="false">
      <c r="A7" s="24" t="n">
        <v>2</v>
      </c>
      <c r="B7" s="26" t="n">
        <f aca="false">SUMIFS(입출금내역!$I$3:$I$802,입출금내역!$A$3:$A$802,"&gt;="&amp;DATE($B$3,2,1),입출금내역!$A$3:$A$802,"&lt;="&amp;EOMONTH(DATE($B$3,2,1),0))</f>
        <v>0</v>
      </c>
      <c r="C7" s="26" t="n">
        <f aca="false">SUMIFS(입출금내역!$J$3:$J$802,입출금내역!$A$3:$A$802,"&gt;="&amp;DATE($B$3,2,1),입출금내역!$A$3:$A$802,"&lt;="&amp;EOMONTH(DATE($B$3,2,1),0))</f>
        <v>0</v>
      </c>
      <c r="D7" s="26" t="n">
        <f aca="false">$B7-$C7</f>
        <v>0</v>
      </c>
      <c r="E7" s="26" t="n">
        <f aca="false">계좌목록!$D$24+SUMIFS(입출금내역!$I$3:$I$802,입출금내역!$A$3:$A$802,"&lt;="&amp;EOMONTH(DATE($B$3,2,1),0))-SUMIFS(입출금내역!$J$3:$J$802,입출금내역!$A$3:$A$802,"&lt;="&amp;EOMONTH(DATE($B$3,2,1),0))</f>
        <v>55000000</v>
      </c>
      <c r="F7" s="24" t="n">
        <f aca="false">COUNTIFS(입출금내역!$A$3:$A$802,"&gt;="&amp;DATE($B$3,2,1),입출금내역!$A$3:$A$802,"&lt;="&amp;EOMONTH(DATE($B$3,2,1),0))</f>
        <v>0</v>
      </c>
    </row>
    <row r="8" customFormat="false" ht="15" hidden="false" customHeight="true" outlineLevel="0" collapsed="false">
      <c r="A8" s="24" t="n">
        <v>3</v>
      </c>
      <c r="B8" s="26" t="n">
        <f aca="false">SUMIFS(입출금내역!$I$3:$I$802,입출금내역!$A$3:$A$802,"&gt;="&amp;DATE($B$3,3,1),입출금내역!$A$3:$A$802,"&lt;="&amp;EOMONTH(DATE($B$3,3,1),0))</f>
        <v>0</v>
      </c>
      <c r="C8" s="26" t="n">
        <f aca="false">SUMIFS(입출금내역!$J$3:$J$802,입출금내역!$A$3:$A$802,"&gt;="&amp;DATE($B$3,3,1),입출금내역!$A$3:$A$802,"&lt;="&amp;EOMONTH(DATE($B$3,3,1),0))</f>
        <v>0</v>
      </c>
      <c r="D8" s="26" t="n">
        <f aca="false">$B8-$C8</f>
        <v>0</v>
      </c>
      <c r="E8" s="26" t="n">
        <f aca="false">계좌목록!$D$24+SUMIFS(입출금내역!$I$3:$I$802,입출금내역!$A$3:$A$802,"&lt;="&amp;EOMONTH(DATE($B$3,3,1),0))-SUMIFS(입출금내역!$J$3:$J$802,입출금내역!$A$3:$A$802,"&lt;="&amp;EOMONTH(DATE($B$3,3,1),0))</f>
        <v>55000000</v>
      </c>
      <c r="F8" s="24" t="n">
        <f aca="false">COUNTIFS(입출금내역!$A$3:$A$802,"&gt;="&amp;DATE($B$3,3,1),입출금내역!$A$3:$A$802,"&lt;="&amp;EOMONTH(DATE($B$3,3,1),0))</f>
        <v>0</v>
      </c>
    </row>
    <row r="9" customFormat="false" ht="15" hidden="false" customHeight="true" outlineLevel="0" collapsed="false">
      <c r="A9" s="24" t="n">
        <v>4</v>
      </c>
      <c r="B9" s="26" t="n">
        <f aca="false">SUMIFS(입출금내역!$I$3:$I$802,입출금내역!$A$3:$A$802,"&gt;="&amp;DATE($B$3,4,1),입출금내역!$A$3:$A$802,"&lt;="&amp;EOMONTH(DATE($B$3,4,1),0))</f>
        <v>0</v>
      </c>
      <c r="C9" s="26" t="n">
        <f aca="false">SUMIFS(입출금내역!$J$3:$J$802,입출금내역!$A$3:$A$802,"&gt;="&amp;DATE($B$3,4,1),입출금내역!$A$3:$A$802,"&lt;="&amp;EOMONTH(DATE($B$3,4,1),0))</f>
        <v>0</v>
      </c>
      <c r="D9" s="26" t="n">
        <f aca="false">$B9-$C9</f>
        <v>0</v>
      </c>
      <c r="E9" s="26" t="n">
        <f aca="false">계좌목록!$D$24+SUMIFS(입출금내역!$I$3:$I$802,입출금내역!$A$3:$A$802,"&lt;="&amp;EOMONTH(DATE($B$3,4,1),0))-SUMIFS(입출금내역!$J$3:$J$802,입출금내역!$A$3:$A$802,"&lt;="&amp;EOMONTH(DATE($B$3,4,1),0))</f>
        <v>55000000</v>
      </c>
      <c r="F9" s="24" t="n">
        <f aca="false">COUNTIFS(입출금내역!$A$3:$A$802,"&gt;="&amp;DATE($B$3,4,1),입출금내역!$A$3:$A$802,"&lt;="&amp;EOMONTH(DATE($B$3,4,1),0))</f>
        <v>0</v>
      </c>
    </row>
    <row r="10" customFormat="false" ht="15" hidden="false" customHeight="true" outlineLevel="0" collapsed="false">
      <c r="A10" s="24" t="n">
        <v>5</v>
      </c>
      <c r="B10" s="26" t="n">
        <f aca="false">SUMIFS(입출금내역!$I$3:$I$802,입출금내역!$A$3:$A$802,"&gt;="&amp;DATE($B$3,5,1),입출금내역!$A$3:$A$802,"&lt;="&amp;EOMONTH(DATE($B$3,5,1),0))</f>
        <v>0</v>
      </c>
      <c r="C10" s="26" t="n">
        <f aca="false">SUMIFS(입출금내역!$J$3:$J$802,입출금내역!$A$3:$A$802,"&gt;="&amp;DATE($B$3,5,1),입출금내역!$A$3:$A$802,"&lt;="&amp;EOMONTH(DATE($B$3,5,1),0))</f>
        <v>0</v>
      </c>
      <c r="D10" s="26" t="n">
        <f aca="false">$B10-$C10</f>
        <v>0</v>
      </c>
      <c r="E10" s="26" t="n">
        <f aca="false">계좌목록!$D$24+SUMIFS(입출금내역!$I$3:$I$802,입출금내역!$A$3:$A$802,"&lt;="&amp;EOMONTH(DATE($B$3,5,1),0))-SUMIFS(입출금내역!$J$3:$J$802,입출금내역!$A$3:$A$802,"&lt;="&amp;EOMONTH(DATE($B$3,5,1),0))</f>
        <v>55000000</v>
      </c>
      <c r="F10" s="24" t="n">
        <f aca="false">COUNTIFS(입출금내역!$A$3:$A$802,"&gt;="&amp;DATE($B$3,5,1),입출금내역!$A$3:$A$802,"&lt;="&amp;EOMONTH(DATE($B$3,5,1),0))</f>
        <v>0</v>
      </c>
    </row>
    <row r="11" customFormat="false" ht="15" hidden="false" customHeight="true" outlineLevel="0" collapsed="false">
      <c r="A11" s="24" t="n">
        <v>6</v>
      </c>
      <c r="B11" s="26" t="n">
        <f aca="false">SUMIFS(입출금내역!$I$3:$I$802,입출금내역!$A$3:$A$802,"&gt;="&amp;DATE($B$3,6,1),입출금내역!$A$3:$A$802,"&lt;="&amp;EOMONTH(DATE($B$3,6,1),0))</f>
        <v>0</v>
      </c>
      <c r="C11" s="26" t="n">
        <f aca="false">SUMIFS(입출금내역!$J$3:$J$802,입출금내역!$A$3:$A$802,"&gt;="&amp;DATE($B$3,6,1),입출금내역!$A$3:$A$802,"&lt;="&amp;EOMONTH(DATE($B$3,6,1),0))</f>
        <v>0</v>
      </c>
      <c r="D11" s="26" t="n">
        <f aca="false">$B11-$C11</f>
        <v>0</v>
      </c>
      <c r="E11" s="26" t="n">
        <f aca="false">계좌목록!$D$24+SUMIFS(입출금내역!$I$3:$I$802,입출금내역!$A$3:$A$802,"&lt;="&amp;EOMONTH(DATE($B$3,6,1),0))-SUMIFS(입출금내역!$J$3:$J$802,입출금내역!$A$3:$A$802,"&lt;="&amp;EOMONTH(DATE($B$3,6,1),0))</f>
        <v>55000000</v>
      </c>
      <c r="F11" s="24" t="n">
        <f aca="false">COUNTIFS(입출금내역!$A$3:$A$802,"&gt;="&amp;DATE($B$3,6,1),입출금내역!$A$3:$A$802,"&lt;="&amp;EOMONTH(DATE($B$3,6,1),0))</f>
        <v>0</v>
      </c>
    </row>
    <row r="12" customFormat="false" ht="15" hidden="false" customHeight="true" outlineLevel="0" collapsed="false">
      <c r="A12" s="24" t="n">
        <v>7</v>
      </c>
      <c r="B12" s="26" t="n">
        <f aca="false">SUMIFS(입출금내역!$I$3:$I$802,입출금내역!$A$3:$A$802,"&gt;="&amp;DATE($B$3,7,1),입출금내역!$A$3:$A$802,"&lt;="&amp;EOMONTH(DATE($B$3,7,1),0))</f>
        <v>0</v>
      </c>
      <c r="C12" s="26" t="n">
        <f aca="false">SUMIFS(입출금내역!$J$3:$J$802,입출금내역!$A$3:$A$802,"&gt;="&amp;DATE($B$3,7,1),입출금내역!$A$3:$A$802,"&lt;="&amp;EOMONTH(DATE($B$3,7,1),0))</f>
        <v>0</v>
      </c>
      <c r="D12" s="26" t="n">
        <f aca="false">$B12-$C12</f>
        <v>0</v>
      </c>
      <c r="E12" s="26" t="n">
        <f aca="false">계좌목록!$D$24+SUMIFS(입출금내역!$I$3:$I$802,입출금내역!$A$3:$A$802,"&lt;="&amp;EOMONTH(DATE($B$3,7,1),0))-SUMIFS(입출금내역!$J$3:$J$802,입출금내역!$A$3:$A$802,"&lt;="&amp;EOMONTH(DATE($B$3,7,1),0))</f>
        <v>55000000</v>
      </c>
      <c r="F12" s="24" t="n">
        <f aca="false">COUNTIFS(입출금내역!$A$3:$A$802,"&gt;="&amp;DATE($B$3,7,1),입출금내역!$A$3:$A$802,"&lt;="&amp;EOMONTH(DATE($B$3,7,1),0))</f>
        <v>0</v>
      </c>
    </row>
    <row r="13" customFormat="false" ht="15" hidden="false" customHeight="true" outlineLevel="0" collapsed="false">
      <c r="A13" s="24" t="n">
        <v>8</v>
      </c>
      <c r="B13" s="26" t="n">
        <f aca="false">SUMIFS(입출금내역!$I$3:$I$802,입출금내역!$A$3:$A$802,"&gt;="&amp;DATE($B$3,8,1),입출금내역!$A$3:$A$802,"&lt;="&amp;EOMONTH(DATE($B$3,8,1),0))</f>
        <v>0</v>
      </c>
      <c r="C13" s="26" t="n">
        <f aca="false">SUMIFS(입출금내역!$J$3:$J$802,입출금내역!$A$3:$A$802,"&gt;="&amp;DATE($B$3,8,1),입출금내역!$A$3:$A$802,"&lt;="&amp;EOMONTH(DATE($B$3,8,1),0))</f>
        <v>0</v>
      </c>
      <c r="D13" s="26" t="n">
        <f aca="false">$B13-$C13</f>
        <v>0</v>
      </c>
      <c r="E13" s="26" t="n">
        <f aca="false">계좌목록!$D$24+SUMIFS(입출금내역!$I$3:$I$802,입출금내역!$A$3:$A$802,"&lt;="&amp;EOMONTH(DATE($B$3,8,1),0))-SUMIFS(입출금내역!$J$3:$J$802,입출금내역!$A$3:$A$802,"&lt;="&amp;EOMONTH(DATE($B$3,8,1),0))</f>
        <v>55000000</v>
      </c>
      <c r="F13" s="24" t="n">
        <f aca="false">COUNTIFS(입출금내역!$A$3:$A$802,"&gt;="&amp;DATE($B$3,8,1),입출금내역!$A$3:$A$802,"&lt;="&amp;EOMONTH(DATE($B$3,8,1),0))</f>
        <v>0</v>
      </c>
    </row>
    <row r="14" customFormat="false" ht="15" hidden="false" customHeight="true" outlineLevel="0" collapsed="false">
      <c r="A14" s="24" t="n">
        <v>9</v>
      </c>
      <c r="B14" s="26" t="n">
        <f aca="false">SUMIFS(입출금내역!$I$3:$I$802,입출금내역!$A$3:$A$802,"&gt;="&amp;DATE($B$3,9,1),입출금내역!$A$3:$A$802,"&lt;="&amp;EOMONTH(DATE($B$3,9,1),0))</f>
        <v>21100000</v>
      </c>
      <c r="C14" s="26" t="n">
        <f aca="false">SUMIFS(입출금내역!$J$3:$J$802,입출금내역!$A$3:$A$802,"&gt;="&amp;DATE($B$3,9,1),입출금내역!$A$3:$A$802,"&lt;="&amp;EOMONTH(DATE($B$3,9,1),0))</f>
        <v>16440000</v>
      </c>
      <c r="D14" s="26" t="n">
        <f aca="false">$B14-$C14</f>
        <v>4660000</v>
      </c>
      <c r="E14" s="26" t="n">
        <f aca="false">계좌목록!$D$24+SUMIFS(입출금내역!$I$3:$I$802,입출금내역!$A$3:$A$802,"&lt;="&amp;EOMONTH(DATE($B$3,9,1),0))-SUMIFS(입출금내역!$J$3:$J$802,입출금내역!$A$3:$A$802,"&lt;="&amp;EOMONTH(DATE($B$3,9,1),0))</f>
        <v>59660000</v>
      </c>
      <c r="F14" s="24" t="n">
        <f aca="false">COUNTIFS(입출금내역!$A$3:$A$802,"&gt;="&amp;DATE($B$3,9,1),입출금내역!$A$3:$A$802,"&lt;="&amp;EOMONTH(DATE($B$3,9,1),0))</f>
        <v>7</v>
      </c>
    </row>
    <row r="15" customFormat="false" ht="15" hidden="false" customHeight="true" outlineLevel="0" collapsed="false">
      <c r="A15" s="24" t="n">
        <v>10</v>
      </c>
      <c r="B15" s="26" t="n">
        <f aca="false">SUMIFS(입출금내역!$I$3:$I$802,입출금내역!$A$3:$A$802,"&gt;="&amp;DATE($B$3,10,1),입출금내역!$A$3:$A$802,"&lt;="&amp;EOMONTH(DATE($B$3,10,1),0))</f>
        <v>0</v>
      </c>
      <c r="C15" s="26" t="n">
        <f aca="false">SUMIFS(입출금내역!$J$3:$J$802,입출금내역!$A$3:$A$802,"&gt;="&amp;DATE($B$3,10,1),입출금내역!$A$3:$A$802,"&lt;="&amp;EOMONTH(DATE($B$3,10,1),0))</f>
        <v>0</v>
      </c>
      <c r="D15" s="26" t="n">
        <f aca="false">$B15-$C15</f>
        <v>0</v>
      </c>
      <c r="E15" s="26" t="n">
        <f aca="false">계좌목록!$D$24+SUMIFS(입출금내역!$I$3:$I$802,입출금내역!$A$3:$A$802,"&lt;="&amp;EOMONTH(DATE($B$3,10,1),0))-SUMIFS(입출금내역!$J$3:$J$802,입출금내역!$A$3:$A$802,"&lt;="&amp;EOMONTH(DATE($B$3,10,1),0))</f>
        <v>59660000</v>
      </c>
      <c r="F15" s="24" t="n">
        <f aca="false">COUNTIFS(입출금내역!$A$3:$A$802,"&gt;="&amp;DATE($B$3,10,1),입출금내역!$A$3:$A$802,"&lt;="&amp;EOMONTH(DATE($B$3,10,1),0))</f>
        <v>0</v>
      </c>
    </row>
    <row r="16" customFormat="false" ht="15" hidden="false" customHeight="true" outlineLevel="0" collapsed="false">
      <c r="A16" s="24" t="n">
        <v>11</v>
      </c>
      <c r="B16" s="26" t="n">
        <f aca="false">SUMIFS(입출금내역!$I$3:$I$802,입출금내역!$A$3:$A$802,"&gt;="&amp;DATE($B$3,11,1),입출금내역!$A$3:$A$802,"&lt;="&amp;EOMONTH(DATE($B$3,11,1),0))</f>
        <v>0</v>
      </c>
      <c r="C16" s="26" t="n">
        <f aca="false">SUMIFS(입출금내역!$J$3:$J$802,입출금내역!$A$3:$A$802,"&gt;="&amp;DATE($B$3,11,1),입출금내역!$A$3:$A$802,"&lt;="&amp;EOMONTH(DATE($B$3,11,1),0))</f>
        <v>0</v>
      </c>
      <c r="D16" s="26" t="n">
        <f aca="false">$B16-$C16</f>
        <v>0</v>
      </c>
      <c r="E16" s="26" t="n">
        <f aca="false">계좌목록!$D$24+SUMIFS(입출금내역!$I$3:$I$802,입출금내역!$A$3:$A$802,"&lt;="&amp;EOMONTH(DATE($B$3,11,1),0))-SUMIFS(입출금내역!$J$3:$J$802,입출금내역!$A$3:$A$802,"&lt;="&amp;EOMONTH(DATE($B$3,11,1),0))</f>
        <v>59660000</v>
      </c>
      <c r="F16" s="24" t="n">
        <f aca="false">COUNTIFS(입출금내역!$A$3:$A$802,"&gt;="&amp;DATE($B$3,11,1),입출금내역!$A$3:$A$802,"&lt;="&amp;EOMONTH(DATE($B$3,11,1),0))</f>
        <v>0</v>
      </c>
    </row>
    <row r="17" customFormat="false" ht="15" hidden="false" customHeight="true" outlineLevel="0" collapsed="false">
      <c r="A17" s="24" t="n">
        <v>12</v>
      </c>
      <c r="B17" s="26" t="n">
        <f aca="false">SUMIFS(입출금내역!$I$3:$I$802,입출금내역!$A$3:$A$802,"&gt;="&amp;DATE($B$3,12,1),입출금내역!$A$3:$A$802,"&lt;="&amp;EOMONTH(DATE($B$3,12,1),0))</f>
        <v>0</v>
      </c>
      <c r="C17" s="26" t="n">
        <f aca="false">SUMIFS(입출금내역!$J$3:$J$802,입출금내역!$A$3:$A$802,"&gt;="&amp;DATE($B$3,12,1),입출금내역!$A$3:$A$802,"&lt;="&amp;EOMONTH(DATE($B$3,12,1),0))</f>
        <v>0</v>
      </c>
      <c r="D17" s="26" t="n">
        <f aca="false">$B17-$C17</f>
        <v>0</v>
      </c>
      <c r="E17" s="26" t="n">
        <f aca="false">계좌목록!$D$24+SUMIFS(입출금내역!$I$3:$I$802,입출금내역!$A$3:$A$802,"&lt;="&amp;EOMONTH(DATE($B$3,12,1),0))-SUMIFS(입출금내역!$J$3:$J$802,입출금내역!$A$3:$A$802,"&lt;="&amp;EOMONTH(DATE($B$3,12,1),0))</f>
        <v>59660000</v>
      </c>
      <c r="F17" s="24" t="n">
        <f aca="false">COUNTIFS(입출금내역!$A$3:$A$802,"&gt;="&amp;DATE($B$3,12,1),입출금내역!$A$3:$A$802,"&lt;="&amp;EOMONTH(DATE($B$3,12,1),0))</f>
        <v>0</v>
      </c>
    </row>
    <row r="18" customFormat="false" ht="15" hidden="false" customHeight="true" outlineLevel="0" collapsed="false">
      <c r="A18" s="27" t="s">
        <v>75</v>
      </c>
      <c r="B18" s="28" t="n">
        <f aca="false">SUM(B6:B17)</f>
        <v>21100000</v>
      </c>
      <c r="C18" s="28" t="n">
        <f aca="false">SUM(C6:C17)</f>
        <v>16440000</v>
      </c>
      <c r="D18" s="28" t="n">
        <f aca="false">SUM(D6:D17)</f>
        <v>4660000</v>
      </c>
      <c r="E18" s="27"/>
      <c r="F18" s="27" t="n">
        <f aca="false">SUM(F6:F17)</f>
        <v>7</v>
      </c>
    </row>
    <row r="20" customFormat="false" ht="15" hidden="false" customHeight="true" outlineLevel="0" collapsed="false">
      <c r="A20" s="6" t="s">
        <v>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25.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78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79</v>
      </c>
      <c r="G2" s="8" t="s">
        <v>80</v>
      </c>
      <c r="H2" s="29" t="s">
        <v>81</v>
      </c>
    </row>
    <row r="3" customFormat="false" ht="15" hidden="false" customHeight="true" outlineLevel="0" collapsed="false">
      <c r="A3" s="15" t="n">
        <v>46270</v>
      </c>
      <c r="B3" s="10" t="inlineStr">
        <is>
          <t>출금</t>
        </is>
      </c>
      <c r="C3" s="10" t="inlineStr">
        <is>
          <t>급여</t>
        </is>
      </c>
      <c r="D3" s="10"/>
      <c r="E3" s="10" t="inlineStr">
        <is>
          <t>8월 급여</t>
        </is>
      </c>
      <c r="F3" s="11" t="n">
        <v>9200000</v>
      </c>
      <c r="G3" s="10" t="inlineStr">
        <is>
          <t>실행완료</t>
        </is>
      </c>
      <c r="H3" s="30" t="str">
        <f aca="true">IF(OR($A3="",$G3="실행완료"),"",$A3-TODAY())</f>
        <v/>
      </c>
    </row>
    <row r="4" customFormat="false" ht="15" hidden="false" customHeight="true" outlineLevel="0" collapsed="false">
      <c r="A4" s="15" t="n">
        <v>46285</v>
      </c>
      <c r="B4" s="10" t="inlineStr">
        <is>
          <t>입금</t>
        </is>
      </c>
      <c r="C4" s="10" t="inlineStr">
        <is>
          <t>매출대금</t>
        </is>
      </c>
      <c r="D4" s="10" t="inlineStr">
        <is>
          <t>○○전자</t>
        </is>
      </c>
      <c r="E4" s="10" t="inlineStr">
        <is>
          <t>9월 잔금 예정</t>
        </is>
      </c>
      <c r="F4" s="11" t="n">
        <v>8000000</v>
      </c>
      <c r="G4" s="10" t="inlineStr">
        <is>
          <t>예정</t>
        </is>
      </c>
      <c r="H4" s="30" t="n">
        <f aca="true">IF(OR($A4="",$G4="실행완료"),"",$A4-TODAY())</f>
        <v>6</v>
      </c>
    </row>
    <row r="5" customFormat="false" ht="15" hidden="false" customHeight="true" outlineLevel="0" collapsed="false">
      <c r="A5" s="15" t="n">
        <v>46290</v>
      </c>
      <c r="B5" s="10" t="inlineStr">
        <is>
          <t>출금</t>
        </is>
      </c>
      <c r="C5" s="10" t="inlineStr">
        <is>
          <t>매입대금</t>
        </is>
      </c>
      <c r="D5" s="10" t="inlineStr">
        <is>
          <t>△△소재</t>
        </is>
      </c>
      <c r="E5" s="10" t="inlineStr">
        <is>
          <t>9월 원자재 대금</t>
        </is>
      </c>
      <c r="F5" s="11" t="n">
        <v>5200000</v>
      </c>
      <c r="G5" s="10" t="inlineStr">
        <is>
          <t>예정</t>
        </is>
      </c>
      <c r="H5" s="30" t="n">
        <f aca="true">IF(OR($A5="",$G5="실행완료"),"",$A5-TODAY())</f>
        <v>11</v>
      </c>
    </row>
    <row r="6" customFormat="false" ht="15" hidden="false" customHeight="true" outlineLevel="0" collapsed="false">
      <c r="A6" s="15" t="n">
        <v>46290</v>
      </c>
      <c r="B6" s="10" t="inlineStr">
        <is>
          <t>출금</t>
        </is>
      </c>
      <c r="C6" s="10" t="inlineStr">
        <is>
          <t>세금</t>
        </is>
      </c>
      <c r="D6" s="10"/>
      <c r="E6" s="10" t="inlineStr">
        <is>
          <t>부가세 예정고지</t>
        </is>
      </c>
      <c r="F6" s="11" t="n">
        <v>2400000</v>
      </c>
      <c r="G6" s="10" t="inlineStr">
        <is>
          <t>예정</t>
        </is>
      </c>
      <c r="H6" s="30" t="n">
        <f aca="true">IF(OR($A6="",$G6="실행완료"),"",$A6-TODAY())</f>
        <v>11</v>
      </c>
    </row>
    <row r="7" customFormat="false" ht="15" hidden="false" customHeight="true" outlineLevel="0" collapsed="false">
      <c r="A7" s="15" t="n">
        <v>46300</v>
      </c>
      <c r="B7" s="10" t="inlineStr">
        <is>
          <t>출금</t>
        </is>
      </c>
      <c r="C7" s="10" t="inlineStr">
        <is>
          <t>급여</t>
        </is>
      </c>
      <c r="D7" s="10"/>
      <c r="E7" s="10" t="inlineStr">
        <is>
          <t>9월 급여</t>
        </is>
      </c>
      <c r="F7" s="11" t="n">
        <v>9300000</v>
      </c>
      <c r="G7" s="10" t="inlineStr">
        <is>
          <t>예정</t>
        </is>
      </c>
      <c r="H7" s="30" t="n">
        <f aca="true">IF(OR($A7="",$G7="실행완료"),"",$A7-TODAY())</f>
        <v>21</v>
      </c>
    </row>
    <row r="8" customFormat="false" ht="15" hidden="false" customHeight="true" outlineLevel="0" collapsed="false">
      <c r="A8" s="15"/>
      <c r="B8" s="10"/>
      <c r="C8" s="10"/>
      <c r="D8" s="10"/>
      <c r="E8" s="10"/>
      <c r="F8" s="11"/>
      <c r="G8" s="10"/>
      <c r="H8" s="30" t="str">
        <f aca="true">IF(OR($A8="",$G8="실행완료"),"",$A8-TODAY())</f>
        <v/>
      </c>
    </row>
    <row r="9" customFormat="false" ht="15" hidden="false" customHeight="true" outlineLevel="0" collapsed="false">
      <c r="A9" s="15"/>
      <c r="B9" s="10"/>
      <c r="C9" s="10"/>
      <c r="D9" s="10"/>
      <c r="E9" s="10"/>
      <c r="F9" s="11"/>
      <c r="G9" s="10"/>
      <c r="H9" s="30" t="str">
        <f aca="true">IF(OR($A9="",$G9="실행완료"),"",$A9-TODAY())</f>
        <v/>
      </c>
    </row>
    <row r="10" customFormat="false" ht="15" hidden="false" customHeight="true" outlineLevel="0" collapsed="false">
      <c r="A10" s="15"/>
      <c r="B10" s="10"/>
      <c r="C10" s="10"/>
      <c r="D10" s="10"/>
      <c r="E10" s="10"/>
      <c r="F10" s="11"/>
      <c r="G10" s="10"/>
      <c r="H10" s="30" t="str">
        <f aca="true">IF(OR($A10="",$G10="실행완료"),"",$A10-TODAY())</f>
        <v/>
      </c>
    </row>
    <row r="11" customFormat="false" ht="15" hidden="false" customHeight="true" outlineLevel="0" collapsed="false">
      <c r="A11" s="15"/>
      <c r="B11" s="10"/>
      <c r="C11" s="10"/>
      <c r="D11" s="10"/>
      <c r="E11" s="10"/>
      <c r="F11" s="11"/>
      <c r="G11" s="10"/>
      <c r="H11" s="30" t="str">
        <f aca="true">IF(OR($A11="",$G11="실행완료"),"",$A11-TODAY())</f>
        <v/>
      </c>
    </row>
    <row r="12" customFormat="false" ht="15" hidden="false" customHeight="true" outlineLevel="0" collapsed="false">
      <c r="A12" s="15"/>
      <c r="B12" s="10"/>
      <c r="C12" s="10"/>
      <c r="D12" s="10"/>
      <c r="E12" s="10"/>
      <c r="F12" s="11"/>
      <c r="G12" s="10"/>
      <c r="H12" s="30" t="str">
        <f aca="true">IF(OR($A12="",$G12="실행완료"),"",$A12-TODAY())</f>
        <v/>
      </c>
    </row>
    <row r="13" customFormat="false" ht="15" hidden="false" customHeight="true" outlineLevel="0" collapsed="false">
      <c r="A13" s="15"/>
      <c r="B13" s="10"/>
      <c r="C13" s="10"/>
      <c r="D13" s="10"/>
      <c r="E13" s="10"/>
      <c r="F13" s="11"/>
      <c r="G13" s="10"/>
      <c r="H13" s="30" t="str">
        <f aca="true">IF(OR($A13="",$G13="실행완료"),"",$A13-TODAY())</f>
        <v/>
      </c>
    </row>
    <row r="14" customFormat="false" ht="15" hidden="false" customHeight="true" outlineLevel="0" collapsed="false">
      <c r="A14" s="15"/>
      <c r="B14" s="10"/>
      <c r="C14" s="10"/>
      <c r="D14" s="10"/>
      <c r="E14" s="10"/>
      <c r="F14" s="11"/>
      <c r="G14" s="10"/>
      <c r="H14" s="30" t="str">
        <f aca="true">IF(OR($A14="",$G14="실행완료"),"",$A14-TODAY())</f>
        <v/>
      </c>
    </row>
    <row r="15" customFormat="false" ht="15" hidden="false" customHeight="true" outlineLevel="0" collapsed="false">
      <c r="A15" s="15"/>
      <c r="B15" s="10"/>
      <c r="C15" s="10"/>
      <c r="D15" s="10"/>
      <c r="E15" s="10"/>
      <c r="F15" s="11"/>
      <c r="G15" s="10"/>
      <c r="H15" s="30" t="str">
        <f aca="true">IF(OR($A15="",$G15="실행완료"),"",$A15-TODAY())</f>
        <v/>
      </c>
    </row>
    <row r="16" customFormat="false" ht="15" hidden="false" customHeight="true" outlineLevel="0" collapsed="false">
      <c r="A16" s="15"/>
      <c r="B16" s="10"/>
      <c r="C16" s="10"/>
      <c r="D16" s="10"/>
      <c r="E16" s="10"/>
      <c r="F16" s="11"/>
      <c r="G16" s="10"/>
      <c r="H16" s="30" t="str">
        <f aca="true">IF(OR($A16="",$G16="실행완료"),"",$A16-TODAY())</f>
        <v/>
      </c>
    </row>
    <row r="17" customFormat="false" ht="15" hidden="false" customHeight="true" outlineLevel="0" collapsed="false">
      <c r="A17" s="15"/>
      <c r="B17" s="10"/>
      <c r="C17" s="10"/>
      <c r="D17" s="10"/>
      <c r="E17" s="10"/>
      <c r="F17" s="11"/>
      <c r="G17" s="10"/>
      <c r="H17" s="30" t="str">
        <f aca="true">IF(OR($A17="",$G17="실행완료"),"",$A17-TODAY())</f>
        <v/>
      </c>
    </row>
    <row r="18" customFormat="false" ht="15" hidden="false" customHeight="true" outlineLevel="0" collapsed="false">
      <c r="A18" s="15"/>
      <c r="B18" s="10"/>
      <c r="C18" s="10"/>
      <c r="D18" s="10"/>
      <c r="E18" s="10"/>
      <c r="F18" s="11"/>
      <c r="G18" s="10"/>
      <c r="H18" s="30" t="str">
        <f aca="true">IF(OR($A18="",$G18="실행완료"),"",$A18-TODAY())</f>
        <v/>
      </c>
    </row>
    <row r="19" customFormat="false" ht="15" hidden="false" customHeight="true" outlineLevel="0" collapsed="false">
      <c r="A19" s="15"/>
      <c r="B19" s="10"/>
      <c r="C19" s="10"/>
      <c r="D19" s="10"/>
      <c r="E19" s="10"/>
      <c r="F19" s="11"/>
      <c r="G19" s="10"/>
      <c r="H19" s="30" t="str">
        <f aca="true">IF(OR($A19="",$G19="실행완료"),"",$A19-TODAY())</f>
        <v/>
      </c>
    </row>
    <row r="20" customFormat="false" ht="15" hidden="false" customHeight="true" outlineLevel="0" collapsed="false">
      <c r="A20" s="15"/>
      <c r="B20" s="10"/>
      <c r="C20" s="10"/>
      <c r="D20" s="10"/>
      <c r="E20" s="10"/>
      <c r="F20" s="11"/>
      <c r="G20" s="10"/>
      <c r="H20" s="30" t="str">
        <f aca="true">IF(OR($A20="",$G20="실행완료"),"",$A20-TODAY())</f>
        <v/>
      </c>
    </row>
    <row r="21" customFormat="false" ht="15" hidden="false" customHeight="true" outlineLevel="0" collapsed="false">
      <c r="A21" s="15"/>
      <c r="B21" s="10"/>
      <c r="C21" s="10"/>
      <c r="D21" s="10"/>
      <c r="E21" s="10"/>
      <c r="F21" s="11"/>
      <c r="G21" s="10"/>
      <c r="H21" s="30" t="str">
        <f aca="true">IF(OR($A21="",$G21="실행완료"),"",$A21-TODAY())</f>
        <v/>
      </c>
    </row>
    <row r="22" customFormat="false" ht="15" hidden="false" customHeight="true" outlineLevel="0" collapsed="false">
      <c r="A22" s="15"/>
      <c r="B22" s="10"/>
      <c r="C22" s="10"/>
      <c r="D22" s="10"/>
      <c r="E22" s="10"/>
      <c r="F22" s="11"/>
      <c r="G22" s="10"/>
      <c r="H22" s="30" t="str">
        <f aca="true">IF(OR($A22="",$G22="실행완료"),"",$A22-TODAY())</f>
        <v/>
      </c>
    </row>
    <row r="23" customFormat="false" ht="15" hidden="false" customHeight="true" outlineLevel="0" collapsed="false">
      <c r="A23" s="15"/>
      <c r="B23" s="10"/>
      <c r="C23" s="10"/>
      <c r="D23" s="10"/>
      <c r="E23" s="10"/>
      <c r="F23" s="11"/>
      <c r="G23" s="10"/>
      <c r="H23" s="30" t="str">
        <f aca="true">IF(OR($A23="",$G23="실행완료"),"",$A23-TODAY())</f>
        <v/>
      </c>
    </row>
    <row r="24" customFormat="false" ht="15" hidden="false" customHeight="true" outlineLevel="0" collapsed="false">
      <c r="A24" s="15"/>
      <c r="B24" s="10"/>
      <c r="C24" s="10"/>
      <c r="D24" s="10"/>
      <c r="E24" s="10"/>
      <c r="F24" s="11"/>
      <c r="G24" s="10"/>
      <c r="H24" s="30" t="str">
        <f aca="true">IF(OR($A24="",$G24="실행완료"),"",$A24-TODAY())</f>
        <v/>
      </c>
    </row>
    <row r="25" customFormat="false" ht="15" hidden="false" customHeight="true" outlineLevel="0" collapsed="false">
      <c r="A25" s="15"/>
      <c r="B25" s="10"/>
      <c r="C25" s="10"/>
      <c r="D25" s="10"/>
      <c r="E25" s="10"/>
      <c r="F25" s="11"/>
      <c r="G25" s="10"/>
      <c r="H25" s="30" t="str">
        <f aca="true">IF(OR($A25="",$G25="실행완료"),"",$A25-TODAY())</f>
        <v/>
      </c>
    </row>
    <row r="26" customFormat="false" ht="15" hidden="false" customHeight="true" outlineLevel="0" collapsed="false">
      <c r="A26" s="15"/>
      <c r="B26" s="10"/>
      <c r="C26" s="10"/>
      <c r="D26" s="10"/>
      <c r="E26" s="10"/>
      <c r="F26" s="11"/>
      <c r="G26" s="10"/>
      <c r="H26" s="30" t="str">
        <f aca="true">IF(OR($A26="",$G26="실행완료"),"",$A26-TODAY())</f>
        <v/>
      </c>
    </row>
    <row r="27" customFormat="false" ht="15" hidden="false" customHeight="true" outlineLevel="0" collapsed="false">
      <c r="A27" s="15"/>
      <c r="B27" s="10"/>
      <c r="C27" s="10"/>
      <c r="D27" s="10"/>
      <c r="E27" s="10"/>
      <c r="F27" s="11"/>
      <c r="G27" s="10"/>
      <c r="H27" s="30" t="str">
        <f aca="true">IF(OR($A27="",$G27="실행완료"),"",$A27-TODAY())</f>
        <v/>
      </c>
    </row>
    <row r="28" customFormat="false" ht="15" hidden="false" customHeight="true" outlineLevel="0" collapsed="false">
      <c r="A28" s="15"/>
      <c r="B28" s="10"/>
      <c r="C28" s="10"/>
      <c r="D28" s="10"/>
      <c r="E28" s="10"/>
      <c r="F28" s="11"/>
      <c r="G28" s="10"/>
      <c r="H28" s="30" t="str">
        <f aca="true">IF(OR($A28="",$G28="실행완료"),"",$A28-TODAY())</f>
        <v/>
      </c>
    </row>
    <row r="29" customFormat="false" ht="15" hidden="false" customHeight="true" outlineLevel="0" collapsed="false">
      <c r="A29" s="15"/>
      <c r="B29" s="10"/>
      <c r="C29" s="10"/>
      <c r="D29" s="10"/>
      <c r="E29" s="10"/>
      <c r="F29" s="11"/>
      <c r="G29" s="10"/>
      <c r="H29" s="30" t="str">
        <f aca="true">IF(OR($A29="",$G29="실행완료"),"",$A29-TODAY())</f>
        <v/>
      </c>
    </row>
    <row r="30" customFormat="false" ht="15" hidden="false" customHeight="true" outlineLevel="0" collapsed="false">
      <c r="A30" s="15"/>
      <c r="B30" s="10"/>
      <c r="C30" s="10"/>
      <c r="D30" s="10"/>
      <c r="E30" s="10"/>
      <c r="F30" s="11"/>
      <c r="G30" s="10"/>
      <c r="H30" s="30" t="str">
        <f aca="true">IF(OR($A30="",$G30="실행완료"),"",$A30-TODAY())</f>
        <v/>
      </c>
    </row>
    <row r="31" customFormat="false" ht="15" hidden="false" customHeight="true" outlineLevel="0" collapsed="false">
      <c r="A31" s="15"/>
      <c r="B31" s="10"/>
      <c r="C31" s="10"/>
      <c r="D31" s="10"/>
      <c r="E31" s="10"/>
      <c r="F31" s="11"/>
      <c r="G31" s="10"/>
      <c r="H31" s="30" t="str">
        <f aca="true">IF(OR($A31="",$G31="실행완료"),"",$A31-TODAY())</f>
        <v/>
      </c>
    </row>
    <row r="32" customFormat="false" ht="15" hidden="false" customHeight="true" outlineLevel="0" collapsed="false">
      <c r="A32" s="15"/>
      <c r="B32" s="10"/>
      <c r="C32" s="10"/>
      <c r="D32" s="10"/>
      <c r="E32" s="10"/>
      <c r="F32" s="11"/>
      <c r="G32" s="10"/>
      <c r="H32" s="30" t="str">
        <f aca="true">IF(OR($A32="",$G32="실행완료"),"",$A32-TODAY())</f>
        <v/>
      </c>
    </row>
    <row r="33" customFormat="false" ht="15" hidden="false" customHeight="true" outlineLevel="0" collapsed="false">
      <c r="A33" s="15"/>
      <c r="B33" s="10"/>
      <c r="C33" s="10"/>
      <c r="D33" s="10"/>
      <c r="E33" s="10"/>
      <c r="F33" s="11"/>
      <c r="G33" s="10"/>
      <c r="H33" s="30" t="str">
        <f aca="true">IF(OR($A33="",$G33="실행완료"),"",$A33-TODAY())</f>
        <v/>
      </c>
    </row>
    <row r="34" customFormat="false" ht="15" hidden="false" customHeight="true" outlineLevel="0" collapsed="false">
      <c r="A34" s="15"/>
      <c r="B34" s="10"/>
      <c r="C34" s="10"/>
      <c r="D34" s="10"/>
      <c r="E34" s="10"/>
      <c r="F34" s="11"/>
      <c r="G34" s="10"/>
      <c r="H34" s="30" t="str">
        <f aca="true">IF(OR($A34="",$G34="실행완료"),"",$A34-TODAY())</f>
        <v/>
      </c>
    </row>
    <row r="35" customFormat="false" ht="15" hidden="false" customHeight="true" outlineLevel="0" collapsed="false">
      <c r="A35" s="15"/>
      <c r="B35" s="10"/>
      <c r="C35" s="10"/>
      <c r="D35" s="10"/>
      <c r="E35" s="10"/>
      <c r="F35" s="11"/>
      <c r="G35" s="10"/>
      <c r="H35" s="30" t="str">
        <f aca="true">IF(OR($A35="",$G35="실행완료"),"",$A35-TODAY())</f>
        <v/>
      </c>
    </row>
    <row r="36" customFormat="false" ht="15" hidden="false" customHeight="true" outlineLevel="0" collapsed="false">
      <c r="A36" s="15"/>
      <c r="B36" s="10"/>
      <c r="C36" s="10"/>
      <c r="D36" s="10"/>
      <c r="E36" s="10"/>
      <c r="F36" s="11"/>
      <c r="G36" s="10"/>
      <c r="H36" s="30" t="str">
        <f aca="true">IF(OR($A36="",$G36="실행완료"),"",$A36-TODAY())</f>
        <v/>
      </c>
    </row>
    <row r="37" customFormat="false" ht="15" hidden="false" customHeight="true" outlineLevel="0" collapsed="false">
      <c r="A37" s="15"/>
      <c r="B37" s="10"/>
      <c r="C37" s="10"/>
      <c r="D37" s="10"/>
      <c r="E37" s="10"/>
      <c r="F37" s="11"/>
      <c r="G37" s="10"/>
      <c r="H37" s="30" t="str">
        <f aca="true">IF(OR($A37="",$G37="실행완료"),"",$A37-TODAY())</f>
        <v/>
      </c>
    </row>
    <row r="38" customFormat="false" ht="15" hidden="false" customHeight="true" outlineLevel="0" collapsed="false">
      <c r="A38" s="15"/>
      <c r="B38" s="10"/>
      <c r="C38" s="10"/>
      <c r="D38" s="10"/>
      <c r="E38" s="10"/>
      <c r="F38" s="11"/>
      <c r="G38" s="10"/>
      <c r="H38" s="30" t="str">
        <f aca="true">IF(OR($A38="",$G38="실행완료"),"",$A38-TODAY())</f>
        <v/>
      </c>
    </row>
    <row r="39" customFormat="false" ht="15" hidden="false" customHeight="true" outlineLevel="0" collapsed="false">
      <c r="A39" s="15"/>
      <c r="B39" s="10"/>
      <c r="C39" s="10"/>
      <c r="D39" s="10"/>
      <c r="E39" s="10"/>
      <c r="F39" s="11"/>
      <c r="G39" s="10"/>
      <c r="H39" s="30" t="str">
        <f aca="true">IF(OR($A39="",$G39="실행완료"),"",$A39-TODAY())</f>
        <v/>
      </c>
    </row>
    <row r="40" customFormat="false" ht="15" hidden="false" customHeight="true" outlineLevel="0" collapsed="false">
      <c r="A40" s="15"/>
      <c r="B40" s="10"/>
      <c r="C40" s="10"/>
      <c r="D40" s="10"/>
      <c r="E40" s="10"/>
      <c r="F40" s="11"/>
      <c r="G40" s="10"/>
      <c r="H40" s="30" t="str">
        <f aca="true">IF(OR($A40="",$G40="실행완료"),"",$A40-TODAY())</f>
        <v/>
      </c>
    </row>
    <row r="41" customFormat="false" ht="15" hidden="false" customHeight="true" outlineLevel="0" collapsed="false">
      <c r="A41" s="15"/>
      <c r="B41" s="10"/>
      <c r="C41" s="10"/>
      <c r="D41" s="10"/>
      <c r="E41" s="10"/>
      <c r="F41" s="11"/>
      <c r="G41" s="10"/>
      <c r="H41" s="30" t="str">
        <f aca="true">IF(OR($A41="",$G41="실행완료"),"",$A41-TODAY())</f>
        <v/>
      </c>
    </row>
    <row r="42" customFormat="false" ht="15" hidden="false" customHeight="true" outlineLevel="0" collapsed="false">
      <c r="A42" s="15"/>
      <c r="B42" s="10"/>
      <c r="C42" s="10"/>
      <c r="D42" s="10"/>
      <c r="E42" s="10"/>
      <c r="F42" s="11"/>
      <c r="G42" s="10"/>
      <c r="H42" s="30" t="str">
        <f aca="true">IF(OR($A42="",$G42="실행완료"),"",$A42-TODAY())</f>
        <v/>
      </c>
    </row>
    <row r="43" customFormat="false" ht="15" hidden="false" customHeight="true" outlineLevel="0" collapsed="false">
      <c r="A43" s="15"/>
      <c r="B43" s="10"/>
      <c r="C43" s="10"/>
      <c r="D43" s="10"/>
      <c r="E43" s="10"/>
      <c r="F43" s="11"/>
      <c r="G43" s="10"/>
      <c r="H43" s="30" t="str">
        <f aca="true">IF(OR($A43="",$G43="실행완료"),"",$A43-TODAY())</f>
        <v/>
      </c>
    </row>
    <row r="44" customFormat="false" ht="15" hidden="false" customHeight="true" outlineLevel="0" collapsed="false">
      <c r="A44" s="15"/>
      <c r="B44" s="10"/>
      <c r="C44" s="10"/>
      <c r="D44" s="10"/>
      <c r="E44" s="10"/>
      <c r="F44" s="11"/>
      <c r="G44" s="10"/>
      <c r="H44" s="30" t="str">
        <f aca="true">IF(OR($A44="",$G44="실행완료"),"",$A44-TODAY())</f>
        <v/>
      </c>
    </row>
    <row r="45" customFormat="false" ht="15" hidden="false" customHeight="true" outlineLevel="0" collapsed="false">
      <c r="A45" s="15"/>
      <c r="B45" s="10"/>
      <c r="C45" s="10"/>
      <c r="D45" s="10"/>
      <c r="E45" s="10"/>
      <c r="F45" s="11"/>
      <c r="G45" s="10"/>
      <c r="H45" s="30" t="str">
        <f aca="true">IF(OR($A45="",$G45="실행완료"),"",$A45-TODAY())</f>
        <v/>
      </c>
    </row>
    <row r="46" customFormat="false" ht="15" hidden="false" customHeight="true" outlineLevel="0" collapsed="false">
      <c r="A46" s="15"/>
      <c r="B46" s="10"/>
      <c r="C46" s="10"/>
      <c r="D46" s="10"/>
      <c r="E46" s="10"/>
      <c r="F46" s="11"/>
      <c r="G46" s="10"/>
      <c r="H46" s="30" t="str">
        <f aca="true">IF(OR($A46="",$G46="실행완료"),"",$A46-TODAY())</f>
        <v/>
      </c>
    </row>
    <row r="47" customFormat="false" ht="15" hidden="false" customHeight="true" outlineLevel="0" collapsed="false">
      <c r="A47" s="15"/>
      <c r="B47" s="10"/>
      <c r="C47" s="10"/>
      <c r="D47" s="10"/>
      <c r="E47" s="10"/>
      <c r="F47" s="11"/>
      <c r="G47" s="10"/>
      <c r="H47" s="30" t="str">
        <f aca="true">IF(OR($A47="",$G47="실행완료"),"",$A47-TODAY())</f>
        <v/>
      </c>
    </row>
    <row r="48" customFormat="false" ht="15" hidden="false" customHeight="true" outlineLevel="0" collapsed="false">
      <c r="A48" s="15"/>
      <c r="B48" s="10"/>
      <c r="C48" s="10"/>
      <c r="D48" s="10"/>
      <c r="E48" s="10"/>
      <c r="F48" s="11"/>
      <c r="G48" s="10"/>
      <c r="H48" s="30" t="str">
        <f aca="true">IF(OR($A48="",$G48="실행완료"),"",$A48-TODAY())</f>
        <v/>
      </c>
    </row>
    <row r="49" customFormat="false" ht="15" hidden="false" customHeight="true" outlineLevel="0" collapsed="false">
      <c r="A49" s="15"/>
      <c r="B49" s="10"/>
      <c r="C49" s="10"/>
      <c r="D49" s="10"/>
      <c r="E49" s="10"/>
      <c r="F49" s="11"/>
      <c r="G49" s="10"/>
      <c r="H49" s="30" t="str">
        <f aca="true">IF(OR($A49="",$G49="실행완료"),"",$A49-TODAY())</f>
        <v/>
      </c>
    </row>
    <row r="50" customFormat="false" ht="15" hidden="false" customHeight="true" outlineLevel="0" collapsed="false">
      <c r="A50" s="15"/>
      <c r="B50" s="10"/>
      <c r="C50" s="10"/>
      <c r="D50" s="10"/>
      <c r="E50" s="10"/>
      <c r="F50" s="11"/>
      <c r="G50" s="10"/>
      <c r="H50" s="30" t="str">
        <f aca="true">IF(OR($A50="",$G50="실행완료"),"",$A50-TODAY())</f>
        <v/>
      </c>
    </row>
    <row r="51" customFormat="false" ht="15" hidden="false" customHeight="true" outlineLevel="0" collapsed="false">
      <c r="A51" s="15"/>
      <c r="B51" s="10"/>
      <c r="C51" s="10"/>
      <c r="D51" s="10"/>
      <c r="E51" s="10"/>
      <c r="F51" s="11"/>
      <c r="G51" s="10"/>
      <c r="H51" s="30" t="str">
        <f aca="true">IF(OR($A51="",$G51="실행완료"),"",$A51-TODAY())</f>
        <v/>
      </c>
    </row>
    <row r="52" customFormat="false" ht="15" hidden="false" customHeight="true" outlineLevel="0" collapsed="false">
      <c r="A52" s="15"/>
      <c r="B52" s="10"/>
      <c r="C52" s="10"/>
      <c r="D52" s="10"/>
      <c r="E52" s="10"/>
      <c r="F52" s="11"/>
      <c r="G52" s="10"/>
      <c r="H52" s="30" t="str">
        <f aca="true">IF(OR($A52="",$G52="실행완료"),"",$A52-TODAY())</f>
        <v/>
      </c>
    </row>
    <row r="53" customFormat="false" ht="15" hidden="false" customHeight="true" outlineLevel="0" collapsed="false">
      <c r="A53" s="15"/>
      <c r="B53" s="10"/>
      <c r="C53" s="10"/>
      <c r="D53" s="10"/>
      <c r="E53" s="10"/>
      <c r="F53" s="11"/>
      <c r="G53" s="10"/>
      <c r="H53" s="30" t="str">
        <f aca="true">IF(OR($A53="",$G53="실행완료"),"",$A53-TODAY())</f>
        <v/>
      </c>
    </row>
    <row r="54" customFormat="false" ht="15" hidden="false" customHeight="true" outlineLevel="0" collapsed="false">
      <c r="A54" s="15"/>
      <c r="B54" s="10"/>
      <c r="C54" s="10"/>
      <c r="D54" s="10"/>
      <c r="E54" s="10"/>
      <c r="F54" s="11"/>
      <c r="G54" s="10"/>
      <c r="H54" s="30" t="str">
        <f aca="true">IF(OR($A54="",$G54="실행완료"),"",$A54-TODAY())</f>
        <v/>
      </c>
    </row>
    <row r="55" customFormat="false" ht="15" hidden="false" customHeight="true" outlineLevel="0" collapsed="false">
      <c r="A55" s="15"/>
      <c r="B55" s="10"/>
      <c r="C55" s="10"/>
      <c r="D55" s="10"/>
      <c r="E55" s="10"/>
      <c r="F55" s="11"/>
      <c r="G55" s="10"/>
      <c r="H55" s="30" t="str">
        <f aca="true">IF(OR($A55="",$G55="실행완료"),"",$A55-TODAY())</f>
        <v/>
      </c>
    </row>
    <row r="56" customFormat="false" ht="15" hidden="false" customHeight="true" outlineLevel="0" collapsed="false">
      <c r="A56" s="15"/>
      <c r="B56" s="10"/>
      <c r="C56" s="10"/>
      <c r="D56" s="10"/>
      <c r="E56" s="10"/>
      <c r="F56" s="11"/>
      <c r="G56" s="10"/>
      <c r="H56" s="30" t="str">
        <f aca="true">IF(OR($A56="",$G56="실행완료"),"",$A56-TODAY())</f>
        <v/>
      </c>
    </row>
    <row r="57" customFormat="false" ht="15" hidden="false" customHeight="true" outlineLevel="0" collapsed="false">
      <c r="A57" s="15"/>
      <c r="B57" s="10"/>
      <c r="C57" s="10"/>
      <c r="D57" s="10"/>
      <c r="E57" s="10"/>
      <c r="F57" s="11"/>
      <c r="G57" s="10"/>
      <c r="H57" s="30" t="str">
        <f aca="true">IF(OR($A57="",$G57="실행완료"),"",$A57-TODAY())</f>
        <v/>
      </c>
    </row>
    <row r="58" customFormat="false" ht="15" hidden="false" customHeight="true" outlineLevel="0" collapsed="false">
      <c r="A58" s="15"/>
      <c r="B58" s="10"/>
      <c r="C58" s="10"/>
      <c r="D58" s="10"/>
      <c r="E58" s="10"/>
      <c r="F58" s="11"/>
      <c r="G58" s="10"/>
      <c r="H58" s="30" t="str">
        <f aca="true">IF(OR($A58="",$G58="실행완료"),"",$A58-TODAY())</f>
        <v/>
      </c>
    </row>
    <row r="59" customFormat="false" ht="15" hidden="false" customHeight="true" outlineLevel="0" collapsed="false">
      <c r="A59" s="15"/>
      <c r="B59" s="10"/>
      <c r="C59" s="10"/>
      <c r="D59" s="10"/>
      <c r="E59" s="10"/>
      <c r="F59" s="11"/>
      <c r="G59" s="10"/>
      <c r="H59" s="30" t="str">
        <f aca="true">IF(OR($A59="",$G59="실행완료"),"",$A59-TODAY())</f>
        <v/>
      </c>
    </row>
    <row r="60" customFormat="false" ht="15" hidden="false" customHeight="true" outlineLevel="0" collapsed="false">
      <c r="A60" s="15"/>
      <c r="B60" s="10"/>
      <c r="C60" s="10"/>
      <c r="D60" s="10"/>
      <c r="E60" s="10"/>
      <c r="F60" s="11"/>
      <c r="G60" s="10"/>
      <c r="H60" s="30" t="str">
        <f aca="true">IF(OR($A60="",$G60="실행완료"),"",$A60-TODAY())</f>
        <v/>
      </c>
    </row>
    <row r="61" customFormat="false" ht="15" hidden="false" customHeight="true" outlineLevel="0" collapsed="false">
      <c r="A61" s="15"/>
      <c r="B61" s="10"/>
      <c r="C61" s="10"/>
      <c r="D61" s="10"/>
      <c r="E61" s="10"/>
      <c r="F61" s="11"/>
      <c r="G61" s="10"/>
      <c r="H61" s="30" t="str">
        <f aca="true">IF(OR($A61="",$G61="실행완료"),"",$A61-TODAY())</f>
        <v/>
      </c>
    </row>
    <row r="62" customFormat="false" ht="15" hidden="false" customHeight="true" outlineLevel="0" collapsed="false">
      <c r="A62" s="15"/>
      <c r="B62" s="10"/>
      <c r="C62" s="10"/>
      <c r="D62" s="10"/>
      <c r="E62" s="10"/>
      <c r="F62" s="11"/>
      <c r="G62" s="10"/>
      <c r="H62" s="30" t="str">
        <f aca="true">IF(OR($A62="",$G62="실행완료"),"",$A62-TODAY())</f>
        <v/>
      </c>
    </row>
    <row r="63" customFormat="false" ht="15" hidden="false" customHeight="true" outlineLevel="0" collapsed="false">
      <c r="A63" s="15"/>
      <c r="B63" s="10"/>
      <c r="C63" s="10"/>
      <c r="D63" s="10"/>
      <c r="E63" s="10"/>
      <c r="F63" s="11"/>
      <c r="G63" s="10"/>
      <c r="H63" s="30" t="str">
        <f aca="true">IF(OR($A63="",$G63="실행완료"),"",$A63-TODAY())</f>
        <v/>
      </c>
    </row>
    <row r="64" customFormat="false" ht="15" hidden="false" customHeight="true" outlineLevel="0" collapsed="false">
      <c r="A64" s="15"/>
      <c r="B64" s="10"/>
      <c r="C64" s="10"/>
      <c r="D64" s="10"/>
      <c r="E64" s="10"/>
      <c r="F64" s="11"/>
      <c r="G64" s="10"/>
      <c r="H64" s="30" t="str">
        <f aca="true">IF(OR($A64="",$G64="실행완료"),"",$A64-TODAY())</f>
        <v/>
      </c>
    </row>
    <row r="65" customFormat="false" ht="15" hidden="false" customHeight="true" outlineLevel="0" collapsed="false">
      <c r="A65" s="15"/>
      <c r="B65" s="10"/>
      <c r="C65" s="10"/>
      <c r="D65" s="10"/>
      <c r="E65" s="10"/>
      <c r="F65" s="11"/>
      <c r="G65" s="10"/>
      <c r="H65" s="30" t="str">
        <f aca="true">IF(OR($A65="",$G65="실행완료"),"",$A65-TODAY())</f>
        <v/>
      </c>
    </row>
    <row r="66" customFormat="false" ht="15" hidden="false" customHeight="true" outlineLevel="0" collapsed="false">
      <c r="A66" s="15"/>
      <c r="B66" s="10"/>
      <c r="C66" s="10"/>
      <c r="D66" s="10"/>
      <c r="E66" s="10"/>
      <c r="F66" s="11"/>
      <c r="G66" s="10"/>
      <c r="H66" s="30" t="str">
        <f aca="true">IF(OR($A66="",$G66="실행완료"),"",$A66-TODAY())</f>
        <v/>
      </c>
    </row>
    <row r="67" customFormat="false" ht="15" hidden="false" customHeight="true" outlineLevel="0" collapsed="false">
      <c r="A67" s="15"/>
      <c r="B67" s="10"/>
      <c r="C67" s="10"/>
      <c r="D67" s="10"/>
      <c r="E67" s="10"/>
      <c r="F67" s="11"/>
      <c r="G67" s="10"/>
      <c r="H67" s="30" t="str">
        <f aca="true">IF(OR($A67="",$G67="실행완료"),"",$A67-TODAY())</f>
        <v/>
      </c>
    </row>
    <row r="68" customFormat="false" ht="15" hidden="false" customHeight="true" outlineLevel="0" collapsed="false">
      <c r="A68" s="15"/>
      <c r="B68" s="10"/>
      <c r="C68" s="10"/>
      <c r="D68" s="10"/>
      <c r="E68" s="10"/>
      <c r="F68" s="11"/>
      <c r="G68" s="10"/>
      <c r="H68" s="30" t="str">
        <f aca="true">IF(OR($A68="",$G68="실행완료"),"",$A68-TODAY())</f>
        <v/>
      </c>
    </row>
    <row r="69" customFormat="false" ht="15" hidden="false" customHeight="true" outlineLevel="0" collapsed="false">
      <c r="A69" s="15"/>
      <c r="B69" s="10"/>
      <c r="C69" s="10"/>
      <c r="D69" s="10"/>
      <c r="E69" s="10"/>
      <c r="F69" s="11"/>
      <c r="G69" s="10"/>
      <c r="H69" s="30" t="str">
        <f aca="true">IF(OR($A69="",$G69="실행완료"),"",$A69-TODAY())</f>
        <v/>
      </c>
    </row>
    <row r="70" customFormat="false" ht="15" hidden="false" customHeight="true" outlineLevel="0" collapsed="false">
      <c r="A70" s="15"/>
      <c r="B70" s="10"/>
      <c r="C70" s="10"/>
      <c r="D70" s="10"/>
      <c r="E70" s="10"/>
      <c r="F70" s="11"/>
      <c r="G70" s="10"/>
      <c r="H70" s="30" t="str">
        <f aca="true">IF(OR($A70="",$G70="실행완료"),"",$A70-TODAY())</f>
        <v/>
      </c>
    </row>
    <row r="71" customFormat="false" ht="15" hidden="false" customHeight="true" outlineLevel="0" collapsed="false">
      <c r="A71" s="15"/>
      <c r="B71" s="10"/>
      <c r="C71" s="10"/>
      <c r="D71" s="10"/>
      <c r="E71" s="10"/>
      <c r="F71" s="11"/>
      <c r="G71" s="10"/>
      <c r="H71" s="30" t="str">
        <f aca="true">IF(OR($A71="",$G71="실행완료"),"",$A71-TODAY())</f>
        <v/>
      </c>
    </row>
    <row r="72" customFormat="false" ht="15" hidden="false" customHeight="true" outlineLevel="0" collapsed="false">
      <c r="A72" s="15"/>
      <c r="B72" s="10"/>
      <c r="C72" s="10"/>
      <c r="D72" s="10"/>
      <c r="E72" s="10"/>
      <c r="F72" s="11"/>
      <c r="G72" s="10"/>
      <c r="H72" s="30" t="str">
        <f aca="true">IF(OR($A72="",$G72="실행완료"),"",$A72-TODAY())</f>
        <v/>
      </c>
    </row>
    <row r="73" customFormat="false" ht="15" hidden="false" customHeight="true" outlineLevel="0" collapsed="false">
      <c r="A73" s="15"/>
      <c r="B73" s="10"/>
      <c r="C73" s="10"/>
      <c r="D73" s="10"/>
      <c r="E73" s="10"/>
      <c r="F73" s="11"/>
      <c r="G73" s="10"/>
      <c r="H73" s="30" t="str">
        <f aca="true">IF(OR($A73="",$G73="실행완료"),"",$A73-TODAY())</f>
        <v/>
      </c>
    </row>
    <row r="74" customFormat="false" ht="15" hidden="false" customHeight="true" outlineLevel="0" collapsed="false">
      <c r="A74" s="15"/>
      <c r="B74" s="10"/>
      <c r="C74" s="10"/>
      <c r="D74" s="10"/>
      <c r="E74" s="10"/>
      <c r="F74" s="11"/>
      <c r="G74" s="10"/>
      <c r="H74" s="30" t="str">
        <f aca="true">IF(OR($A74="",$G74="실행완료"),"",$A74-TODAY())</f>
        <v/>
      </c>
    </row>
    <row r="75" customFormat="false" ht="15" hidden="false" customHeight="true" outlineLevel="0" collapsed="false">
      <c r="A75" s="15"/>
      <c r="B75" s="10"/>
      <c r="C75" s="10"/>
      <c r="D75" s="10"/>
      <c r="E75" s="10"/>
      <c r="F75" s="11"/>
      <c r="G75" s="10"/>
      <c r="H75" s="30" t="str">
        <f aca="true">IF(OR($A75="",$G75="실행완료"),"",$A75-TODAY())</f>
        <v/>
      </c>
    </row>
    <row r="76" customFormat="false" ht="15" hidden="false" customHeight="true" outlineLevel="0" collapsed="false">
      <c r="A76" s="15"/>
      <c r="B76" s="10"/>
      <c r="C76" s="10"/>
      <c r="D76" s="10"/>
      <c r="E76" s="10"/>
      <c r="F76" s="11"/>
      <c r="G76" s="10"/>
      <c r="H76" s="30" t="str">
        <f aca="true">IF(OR($A76="",$G76="실행완료"),"",$A76-TODAY())</f>
        <v/>
      </c>
    </row>
    <row r="77" customFormat="false" ht="15" hidden="false" customHeight="true" outlineLevel="0" collapsed="false">
      <c r="A77" s="15"/>
      <c r="B77" s="10"/>
      <c r="C77" s="10"/>
      <c r="D77" s="10"/>
      <c r="E77" s="10"/>
      <c r="F77" s="11"/>
      <c r="G77" s="10"/>
      <c r="H77" s="30" t="str">
        <f aca="true">IF(OR($A77="",$G77="실행완료"),"",$A77-TODAY())</f>
        <v/>
      </c>
    </row>
    <row r="78" customFormat="false" ht="15" hidden="false" customHeight="true" outlineLevel="0" collapsed="false">
      <c r="A78" s="15"/>
      <c r="B78" s="10"/>
      <c r="C78" s="10"/>
      <c r="D78" s="10"/>
      <c r="E78" s="10"/>
      <c r="F78" s="11"/>
      <c r="G78" s="10"/>
      <c r="H78" s="30" t="str">
        <f aca="true">IF(OR($A78="",$G78="실행완료"),"",$A78-TODAY())</f>
        <v/>
      </c>
    </row>
    <row r="79" customFormat="false" ht="15" hidden="false" customHeight="true" outlineLevel="0" collapsed="false">
      <c r="A79" s="15"/>
      <c r="B79" s="10"/>
      <c r="C79" s="10"/>
      <c r="D79" s="10"/>
      <c r="E79" s="10"/>
      <c r="F79" s="11"/>
      <c r="G79" s="10"/>
      <c r="H79" s="30" t="str">
        <f aca="true">IF(OR($A79="",$G79="실행완료"),"",$A79-TODAY())</f>
        <v/>
      </c>
    </row>
    <row r="80" customFormat="false" ht="15" hidden="false" customHeight="true" outlineLevel="0" collapsed="false">
      <c r="A80" s="15"/>
      <c r="B80" s="10"/>
      <c r="C80" s="10"/>
      <c r="D80" s="10"/>
      <c r="E80" s="10"/>
      <c r="F80" s="11"/>
      <c r="G80" s="10"/>
      <c r="H80" s="30" t="str">
        <f aca="true">IF(OR($A80="",$G80="실행완료"),"",$A80-TODAY())</f>
        <v/>
      </c>
    </row>
    <row r="81" customFormat="false" ht="15" hidden="false" customHeight="true" outlineLevel="0" collapsed="false">
      <c r="A81" s="15"/>
      <c r="B81" s="10"/>
      <c r="C81" s="10"/>
      <c r="D81" s="10"/>
      <c r="E81" s="10"/>
      <c r="F81" s="11"/>
      <c r="G81" s="10"/>
      <c r="H81" s="30" t="str">
        <f aca="true">IF(OR($A81="",$G81="실행완료"),"",$A81-TODAY())</f>
        <v/>
      </c>
    </row>
    <row r="82" customFormat="false" ht="15" hidden="false" customHeight="true" outlineLevel="0" collapsed="false">
      <c r="A82" s="15"/>
      <c r="B82" s="10"/>
      <c r="C82" s="10"/>
      <c r="D82" s="10"/>
      <c r="E82" s="10"/>
      <c r="F82" s="11"/>
      <c r="G82" s="10"/>
      <c r="H82" s="30" t="str">
        <f aca="true">IF(OR($A82="",$G82="실행완료"),"",$A82-TODAY())</f>
        <v/>
      </c>
    </row>
    <row r="83" customFormat="false" ht="15" hidden="false" customHeight="true" outlineLevel="0" collapsed="false">
      <c r="A83" s="15"/>
      <c r="B83" s="10"/>
      <c r="C83" s="10"/>
      <c r="D83" s="10"/>
      <c r="E83" s="10"/>
      <c r="F83" s="11"/>
      <c r="G83" s="10"/>
      <c r="H83" s="30" t="str">
        <f aca="true">IF(OR($A83="",$G83="실행완료"),"",$A83-TODAY())</f>
        <v/>
      </c>
    </row>
    <row r="84" customFormat="false" ht="15" hidden="false" customHeight="true" outlineLevel="0" collapsed="false">
      <c r="A84" s="15"/>
      <c r="B84" s="10"/>
      <c r="C84" s="10"/>
      <c r="D84" s="10"/>
      <c r="E84" s="10"/>
      <c r="F84" s="11"/>
      <c r="G84" s="10"/>
      <c r="H84" s="30" t="str">
        <f aca="true">IF(OR($A84="",$G84="실행완료"),"",$A84-TODAY())</f>
        <v/>
      </c>
    </row>
    <row r="85" customFormat="false" ht="15" hidden="false" customHeight="true" outlineLevel="0" collapsed="false">
      <c r="A85" s="15"/>
      <c r="B85" s="10"/>
      <c r="C85" s="10"/>
      <c r="D85" s="10"/>
      <c r="E85" s="10"/>
      <c r="F85" s="11"/>
      <c r="G85" s="10"/>
      <c r="H85" s="30" t="str">
        <f aca="true">IF(OR($A85="",$G85="실행완료"),"",$A85-TODAY())</f>
        <v/>
      </c>
    </row>
    <row r="86" customFormat="false" ht="15" hidden="false" customHeight="true" outlineLevel="0" collapsed="false">
      <c r="A86" s="15"/>
      <c r="B86" s="10"/>
      <c r="C86" s="10"/>
      <c r="D86" s="10"/>
      <c r="E86" s="10"/>
      <c r="F86" s="11"/>
      <c r="G86" s="10"/>
      <c r="H86" s="30" t="str">
        <f aca="true">IF(OR($A86="",$G86="실행완료"),"",$A86-TODAY())</f>
        <v/>
      </c>
    </row>
    <row r="87" customFormat="false" ht="15" hidden="false" customHeight="true" outlineLevel="0" collapsed="false">
      <c r="A87" s="15"/>
      <c r="B87" s="10"/>
      <c r="C87" s="10"/>
      <c r="D87" s="10"/>
      <c r="E87" s="10"/>
      <c r="F87" s="11"/>
      <c r="G87" s="10"/>
      <c r="H87" s="30" t="str">
        <f aca="true">IF(OR($A87="",$G87="실행완료"),"",$A87-TODAY())</f>
        <v/>
      </c>
    </row>
    <row r="88" customFormat="false" ht="15" hidden="false" customHeight="true" outlineLevel="0" collapsed="false">
      <c r="A88" s="15"/>
      <c r="B88" s="10"/>
      <c r="C88" s="10"/>
      <c r="D88" s="10"/>
      <c r="E88" s="10"/>
      <c r="F88" s="11"/>
      <c r="G88" s="10"/>
      <c r="H88" s="30" t="str">
        <f aca="true">IF(OR($A88="",$G88="실행완료"),"",$A88-TODAY())</f>
        <v/>
      </c>
    </row>
    <row r="89" customFormat="false" ht="15" hidden="false" customHeight="true" outlineLevel="0" collapsed="false">
      <c r="A89" s="15"/>
      <c r="B89" s="10"/>
      <c r="C89" s="10"/>
      <c r="D89" s="10"/>
      <c r="E89" s="10"/>
      <c r="F89" s="11"/>
      <c r="G89" s="10"/>
      <c r="H89" s="30" t="str">
        <f aca="true">IF(OR($A89="",$G89="실행완료"),"",$A89-TODAY())</f>
        <v/>
      </c>
    </row>
    <row r="90" customFormat="false" ht="15" hidden="false" customHeight="true" outlineLevel="0" collapsed="false">
      <c r="A90" s="15"/>
      <c r="B90" s="10"/>
      <c r="C90" s="10"/>
      <c r="D90" s="10"/>
      <c r="E90" s="10"/>
      <c r="F90" s="11"/>
      <c r="G90" s="10"/>
      <c r="H90" s="30" t="str">
        <f aca="true">IF(OR($A90="",$G90="실행완료"),"",$A90-TODAY())</f>
        <v/>
      </c>
    </row>
    <row r="91" customFormat="false" ht="15" hidden="false" customHeight="true" outlineLevel="0" collapsed="false">
      <c r="A91" s="15"/>
      <c r="B91" s="10"/>
      <c r="C91" s="10"/>
      <c r="D91" s="10"/>
      <c r="E91" s="10"/>
      <c r="F91" s="11"/>
      <c r="G91" s="10"/>
      <c r="H91" s="30" t="str">
        <f aca="true">IF(OR($A91="",$G91="실행완료"),"",$A91-TODAY())</f>
        <v/>
      </c>
    </row>
    <row r="92" customFormat="false" ht="15" hidden="false" customHeight="true" outlineLevel="0" collapsed="false">
      <c r="A92" s="15"/>
      <c r="B92" s="10"/>
      <c r="C92" s="10"/>
      <c r="D92" s="10"/>
      <c r="E92" s="10"/>
      <c r="F92" s="11"/>
      <c r="G92" s="10"/>
      <c r="H92" s="30" t="str">
        <f aca="true">IF(OR($A92="",$G92="실행완료"),"",$A92-TODAY())</f>
        <v/>
      </c>
    </row>
    <row r="93" customFormat="false" ht="15" hidden="false" customHeight="true" outlineLevel="0" collapsed="false">
      <c r="A93" s="15"/>
      <c r="B93" s="10"/>
      <c r="C93" s="10"/>
      <c r="D93" s="10"/>
      <c r="E93" s="10"/>
      <c r="F93" s="11"/>
      <c r="G93" s="10"/>
      <c r="H93" s="30" t="str">
        <f aca="true">IF(OR($A93="",$G93="실행완료"),"",$A93-TODAY())</f>
        <v/>
      </c>
    </row>
    <row r="94" customFormat="false" ht="15" hidden="false" customHeight="true" outlineLevel="0" collapsed="false">
      <c r="A94" s="15"/>
      <c r="B94" s="10"/>
      <c r="C94" s="10"/>
      <c r="D94" s="10"/>
      <c r="E94" s="10"/>
      <c r="F94" s="11"/>
      <c r="G94" s="10"/>
      <c r="H94" s="30" t="str">
        <f aca="true">IF(OR($A94="",$G94="실행완료"),"",$A94-TODAY())</f>
        <v/>
      </c>
    </row>
    <row r="95" customFormat="false" ht="15" hidden="false" customHeight="true" outlineLevel="0" collapsed="false">
      <c r="A95" s="15"/>
      <c r="B95" s="10"/>
      <c r="C95" s="10"/>
      <c r="D95" s="10"/>
      <c r="E95" s="10"/>
      <c r="F95" s="11"/>
      <c r="G95" s="10"/>
      <c r="H95" s="30" t="str">
        <f aca="true">IF(OR($A95="",$G95="실행완료"),"",$A95-TODAY())</f>
        <v/>
      </c>
    </row>
    <row r="96" customFormat="false" ht="15" hidden="false" customHeight="true" outlineLevel="0" collapsed="false">
      <c r="A96" s="15"/>
      <c r="B96" s="10"/>
      <c r="C96" s="10"/>
      <c r="D96" s="10"/>
      <c r="E96" s="10"/>
      <c r="F96" s="11"/>
      <c r="G96" s="10"/>
      <c r="H96" s="30" t="str">
        <f aca="true">IF(OR($A96="",$G96="실행완료"),"",$A96-TODAY())</f>
        <v/>
      </c>
    </row>
    <row r="97" customFormat="false" ht="15" hidden="false" customHeight="true" outlineLevel="0" collapsed="false">
      <c r="A97" s="15"/>
      <c r="B97" s="10"/>
      <c r="C97" s="10"/>
      <c r="D97" s="10"/>
      <c r="E97" s="10"/>
      <c r="F97" s="11"/>
      <c r="G97" s="10"/>
      <c r="H97" s="30" t="str">
        <f aca="true">IF(OR($A97="",$G97="실행완료"),"",$A97-TODAY())</f>
        <v/>
      </c>
    </row>
    <row r="98" customFormat="false" ht="15" hidden="false" customHeight="true" outlineLevel="0" collapsed="false">
      <c r="A98" s="15"/>
      <c r="B98" s="10"/>
      <c r="C98" s="10"/>
      <c r="D98" s="10"/>
      <c r="E98" s="10"/>
      <c r="F98" s="11"/>
      <c r="G98" s="10"/>
      <c r="H98" s="30" t="str">
        <f aca="true">IF(OR($A98="",$G98="실행완료"),"",$A98-TODAY())</f>
        <v/>
      </c>
    </row>
    <row r="99" customFormat="false" ht="15" hidden="false" customHeight="true" outlineLevel="0" collapsed="false">
      <c r="A99" s="15"/>
      <c r="B99" s="10"/>
      <c r="C99" s="10"/>
      <c r="D99" s="10"/>
      <c r="E99" s="10"/>
      <c r="F99" s="11"/>
      <c r="G99" s="10"/>
      <c r="H99" s="30" t="str">
        <f aca="true">IF(OR($A99="",$G99="실행완료"),"",$A99-TODAY())</f>
        <v/>
      </c>
    </row>
    <row r="100" customFormat="false" ht="15" hidden="false" customHeight="true" outlineLevel="0" collapsed="false">
      <c r="A100" s="15"/>
      <c r="B100" s="10"/>
      <c r="C100" s="10"/>
      <c r="D100" s="10"/>
      <c r="E100" s="10"/>
      <c r="F100" s="11"/>
      <c r="G100" s="10"/>
      <c r="H100" s="30" t="str">
        <f aca="true">IF(OR($A100="",$G100="실행완료"),"",$A100-TODAY())</f>
        <v/>
      </c>
    </row>
    <row r="101" customFormat="false" ht="15" hidden="false" customHeight="true" outlineLevel="0" collapsed="false">
      <c r="A101" s="15"/>
      <c r="B101" s="10"/>
      <c r="C101" s="10"/>
      <c r="D101" s="10"/>
      <c r="E101" s="10"/>
      <c r="F101" s="11"/>
      <c r="G101" s="10"/>
      <c r="H101" s="30" t="str">
        <f aca="true">IF(OR($A101="",$G101="실행완료"),"",$A101-TODAY())</f>
        <v/>
      </c>
    </row>
    <row r="102" customFormat="false" ht="15" hidden="false" customHeight="true" outlineLevel="0" collapsed="false">
      <c r="A102" s="15"/>
      <c r="B102" s="10"/>
      <c r="C102" s="10"/>
      <c r="D102" s="10"/>
      <c r="E102" s="10"/>
      <c r="F102" s="11"/>
      <c r="G102" s="10"/>
      <c r="H102" s="30" t="str">
        <f aca="true">IF(OR($A102="",$G102="실행완료"),"",$A102-TODAY())</f>
        <v/>
      </c>
    </row>
    <row r="103" customFormat="false" ht="15" hidden="false" customHeight="true" outlineLevel="0" collapsed="false">
      <c r="A103" s="15"/>
      <c r="B103" s="10"/>
      <c r="C103" s="10"/>
      <c r="D103" s="10"/>
      <c r="E103" s="10"/>
      <c r="F103" s="11"/>
      <c r="G103" s="10"/>
      <c r="H103" s="30" t="str">
        <f aca="true">IF(OR($A103="",$G103="실행완료"),"",$A103-TODAY())</f>
        <v/>
      </c>
    </row>
    <row r="104" customFormat="false" ht="15" hidden="false" customHeight="true" outlineLevel="0" collapsed="false">
      <c r="A104" s="15"/>
      <c r="B104" s="10"/>
      <c r="C104" s="10"/>
      <c r="D104" s="10"/>
      <c r="E104" s="10"/>
      <c r="F104" s="11"/>
      <c r="G104" s="10"/>
      <c r="H104" s="30" t="str">
        <f aca="true">IF(OR($A104="",$G104="실행완료"),"",$A104-TODAY())</f>
        <v/>
      </c>
    </row>
    <row r="105" customFormat="false" ht="15" hidden="false" customHeight="true" outlineLevel="0" collapsed="false">
      <c r="A105" s="15"/>
      <c r="B105" s="10"/>
      <c r="C105" s="10"/>
      <c r="D105" s="10"/>
      <c r="E105" s="10"/>
      <c r="F105" s="11"/>
      <c r="G105" s="10"/>
      <c r="H105" s="30" t="str">
        <f aca="true">IF(OR($A105="",$G105="실행완료"),"",$A105-TODAY())</f>
        <v/>
      </c>
    </row>
    <row r="106" customFormat="false" ht="15" hidden="false" customHeight="true" outlineLevel="0" collapsed="false">
      <c r="A106" s="15"/>
      <c r="B106" s="10"/>
      <c r="C106" s="10"/>
      <c r="D106" s="10"/>
      <c r="E106" s="10"/>
      <c r="F106" s="11"/>
      <c r="G106" s="10"/>
      <c r="H106" s="30" t="str">
        <f aca="true">IF(OR($A106="",$G106="실행완료"),"",$A106-TODAY())</f>
        <v/>
      </c>
    </row>
    <row r="107" customFormat="false" ht="15" hidden="false" customHeight="true" outlineLevel="0" collapsed="false">
      <c r="A107" s="15"/>
      <c r="B107" s="10"/>
      <c r="C107" s="10"/>
      <c r="D107" s="10"/>
      <c r="E107" s="10"/>
      <c r="F107" s="11"/>
      <c r="G107" s="10"/>
      <c r="H107" s="30" t="str">
        <f aca="true">IF(OR($A107="",$G107="실행완료"),"",$A107-TODAY())</f>
        <v/>
      </c>
    </row>
    <row r="108" customFormat="false" ht="15" hidden="false" customHeight="true" outlineLevel="0" collapsed="false">
      <c r="A108" s="15"/>
      <c r="B108" s="10"/>
      <c r="C108" s="10"/>
      <c r="D108" s="10"/>
      <c r="E108" s="10"/>
      <c r="F108" s="11"/>
      <c r="G108" s="10"/>
      <c r="H108" s="30" t="str">
        <f aca="true">IF(OR($A108="",$G108="실행완료"),"",$A108-TODAY())</f>
        <v/>
      </c>
    </row>
    <row r="109" customFormat="false" ht="15" hidden="false" customHeight="true" outlineLevel="0" collapsed="false">
      <c r="A109" s="15"/>
      <c r="B109" s="10"/>
      <c r="C109" s="10"/>
      <c r="D109" s="10"/>
      <c r="E109" s="10"/>
      <c r="F109" s="11"/>
      <c r="G109" s="10"/>
      <c r="H109" s="30" t="str">
        <f aca="true">IF(OR($A109="",$G109="실행완료"),"",$A109-TODAY())</f>
        <v/>
      </c>
    </row>
    <row r="110" customFormat="false" ht="15" hidden="false" customHeight="true" outlineLevel="0" collapsed="false">
      <c r="A110" s="15"/>
      <c r="B110" s="10"/>
      <c r="C110" s="10"/>
      <c r="D110" s="10"/>
      <c r="E110" s="10"/>
      <c r="F110" s="11"/>
      <c r="G110" s="10"/>
      <c r="H110" s="30" t="str">
        <f aca="true">IF(OR($A110="",$G110="실행완료"),"",$A110-TODAY())</f>
        <v/>
      </c>
    </row>
    <row r="111" customFormat="false" ht="15" hidden="false" customHeight="true" outlineLevel="0" collapsed="false">
      <c r="A111" s="15"/>
      <c r="B111" s="10"/>
      <c r="C111" s="10"/>
      <c r="D111" s="10"/>
      <c r="E111" s="10"/>
      <c r="F111" s="11"/>
      <c r="G111" s="10"/>
      <c r="H111" s="30" t="str">
        <f aca="true">IF(OR($A111="",$G111="실행완료"),"",$A111-TODAY())</f>
        <v/>
      </c>
    </row>
    <row r="112" customFormat="false" ht="15" hidden="false" customHeight="true" outlineLevel="0" collapsed="false">
      <c r="A112" s="15"/>
      <c r="B112" s="10"/>
      <c r="C112" s="10"/>
      <c r="D112" s="10"/>
      <c r="E112" s="10"/>
      <c r="F112" s="11"/>
      <c r="G112" s="10"/>
      <c r="H112" s="30" t="str">
        <f aca="true">IF(OR($A112="",$G112="실행완료"),"",$A112-TODAY())</f>
        <v/>
      </c>
    </row>
    <row r="113" customFormat="false" ht="15" hidden="false" customHeight="true" outlineLevel="0" collapsed="false">
      <c r="A113" s="15"/>
      <c r="B113" s="10"/>
      <c r="C113" s="10"/>
      <c r="D113" s="10"/>
      <c r="E113" s="10"/>
      <c r="F113" s="11"/>
      <c r="G113" s="10"/>
      <c r="H113" s="30" t="str">
        <f aca="true">IF(OR($A113="",$G113="실행완료"),"",$A113-TODAY())</f>
        <v/>
      </c>
    </row>
    <row r="114" customFormat="false" ht="15" hidden="false" customHeight="true" outlineLevel="0" collapsed="false">
      <c r="A114" s="15"/>
      <c r="B114" s="10"/>
      <c r="C114" s="10"/>
      <c r="D114" s="10"/>
      <c r="E114" s="10"/>
      <c r="F114" s="11"/>
      <c r="G114" s="10"/>
      <c r="H114" s="30" t="str">
        <f aca="true">IF(OR($A114="",$G114="실행완료"),"",$A114-TODAY())</f>
        <v/>
      </c>
    </row>
    <row r="115" customFormat="false" ht="15" hidden="false" customHeight="true" outlineLevel="0" collapsed="false">
      <c r="A115" s="15"/>
      <c r="B115" s="10"/>
      <c r="C115" s="10"/>
      <c r="D115" s="10"/>
      <c r="E115" s="10"/>
      <c r="F115" s="11"/>
      <c r="G115" s="10"/>
      <c r="H115" s="30" t="str">
        <f aca="true">IF(OR($A115="",$G115="실행완료"),"",$A115-TODAY())</f>
        <v/>
      </c>
    </row>
    <row r="116" customFormat="false" ht="15" hidden="false" customHeight="true" outlineLevel="0" collapsed="false">
      <c r="A116" s="15"/>
      <c r="B116" s="10"/>
      <c r="C116" s="10"/>
      <c r="D116" s="10"/>
      <c r="E116" s="10"/>
      <c r="F116" s="11"/>
      <c r="G116" s="10"/>
      <c r="H116" s="30" t="str">
        <f aca="true">IF(OR($A116="",$G116="실행완료"),"",$A116-TODAY())</f>
        <v/>
      </c>
    </row>
    <row r="117" customFormat="false" ht="15" hidden="false" customHeight="true" outlineLevel="0" collapsed="false">
      <c r="A117" s="15"/>
      <c r="B117" s="10"/>
      <c r="C117" s="10"/>
      <c r="D117" s="10"/>
      <c r="E117" s="10"/>
      <c r="F117" s="11"/>
      <c r="G117" s="10"/>
      <c r="H117" s="30" t="str">
        <f aca="true">IF(OR($A117="",$G117="실행완료"),"",$A117-TODAY())</f>
        <v/>
      </c>
    </row>
    <row r="118" customFormat="false" ht="15" hidden="false" customHeight="true" outlineLevel="0" collapsed="false">
      <c r="A118" s="15"/>
      <c r="B118" s="10"/>
      <c r="C118" s="10"/>
      <c r="D118" s="10"/>
      <c r="E118" s="10"/>
      <c r="F118" s="11"/>
      <c r="G118" s="10"/>
      <c r="H118" s="30" t="str">
        <f aca="true">IF(OR($A118="",$G118="실행완료"),"",$A118-TODAY())</f>
        <v/>
      </c>
    </row>
    <row r="119" customFormat="false" ht="15" hidden="false" customHeight="true" outlineLevel="0" collapsed="false">
      <c r="A119" s="15"/>
      <c r="B119" s="10"/>
      <c r="C119" s="10"/>
      <c r="D119" s="10"/>
      <c r="E119" s="10"/>
      <c r="F119" s="11"/>
      <c r="G119" s="10"/>
      <c r="H119" s="30" t="str">
        <f aca="true">IF(OR($A119="",$G119="실행완료"),"",$A119-TODAY())</f>
        <v/>
      </c>
    </row>
    <row r="120" customFormat="false" ht="15" hidden="false" customHeight="true" outlineLevel="0" collapsed="false">
      <c r="A120" s="15"/>
      <c r="B120" s="10"/>
      <c r="C120" s="10"/>
      <c r="D120" s="10"/>
      <c r="E120" s="10"/>
      <c r="F120" s="11"/>
      <c r="G120" s="10"/>
      <c r="H120" s="30" t="str">
        <f aca="true">IF(OR($A120="",$G120="실행완료"),"",$A120-TODAY())</f>
        <v/>
      </c>
    </row>
    <row r="121" customFormat="false" ht="15" hidden="false" customHeight="true" outlineLevel="0" collapsed="false">
      <c r="A121" s="15"/>
      <c r="B121" s="10"/>
      <c r="C121" s="10"/>
      <c r="D121" s="10"/>
      <c r="E121" s="10"/>
      <c r="F121" s="11"/>
      <c r="G121" s="10"/>
      <c r="H121" s="30" t="str">
        <f aca="true">IF(OR($A121="",$G121="실행완료"),"",$A121-TODAY())</f>
        <v/>
      </c>
    </row>
    <row r="122" customFormat="false" ht="15" hidden="false" customHeight="true" outlineLevel="0" collapsed="false">
      <c r="A122" s="15"/>
      <c r="B122" s="10"/>
      <c r="C122" s="10"/>
      <c r="D122" s="10"/>
      <c r="E122" s="10"/>
      <c r="F122" s="11"/>
      <c r="G122" s="10"/>
      <c r="H122" s="30" t="str">
        <f aca="true">IF(OR($A122="",$G122="실행완료"),"",$A122-TODAY())</f>
        <v/>
      </c>
    </row>
    <row r="123" customFormat="false" ht="15" hidden="false" customHeight="true" outlineLevel="0" collapsed="false">
      <c r="A123" s="15"/>
      <c r="B123" s="10"/>
      <c r="C123" s="10"/>
      <c r="D123" s="10"/>
      <c r="E123" s="10"/>
      <c r="F123" s="11"/>
      <c r="G123" s="10"/>
      <c r="H123" s="30" t="str">
        <f aca="true">IF(OR($A123="",$G123="실행완료"),"",$A123-TODAY())</f>
        <v/>
      </c>
    </row>
    <row r="124" customFormat="false" ht="15" hidden="false" customHeight="true" outlineLevel="0" collapsed="false">
      <c r="A124" s="15"/>
      <c r="B124" s="10"/>
      <c r="C124" s="10"/>
      <c r="D124" s="10"/>
      <c r="E124" s="10"/>
      <c r="F124" s="11"/>
      <c r="G124" s="10"/>
      <c r="H124" s="30" t="str">
        <f aca="true">IF(OR($A124="",$G124="실행완료"),"",$A124-TODAY())</f>
        <v/>
      </c>
    </row>
    <row r="125" customFormat="false" ht="15" hidden="false" customHeight="true" outlineLevel="0" collapsed="false">
      <c r="A125" s="15"/>
      <c r="B125" s="10"/>
      <c r="C125" s="10"/>
      <c r="D125" s="10"/>
      <c r="E125" s="10"/>
      <c r="F125" s="11"/>
      <c r="G125" s="10"/>
      <c r="H125" s="30" t="str">
        <f aca="true">IF(OR($A125="",$G125="실행완료"),"",$A125-TODAY())</f>
        <v/>
      </c>
    </row>
    <row r="126" customFormat="false" ht="15" hidden="false" customHeight="true" outlineLevel="0" collapsed="false">
      <c r="A126" s="15"/>
      <c r="B126" s="10"/>
      <c r="C126" s="10"/>
      <c r="D126" s="10"/>
      <c r="E126" s="10"/>
      <c r="F126" s="11"/>
      <c r="G126" s="10"/>
      <c r="H126" s="30" t="str">
        <f aca="true">IF(OR($A126="",$G126="실행완료"),"",$A126-TODAY())</f>
        <v/>
      </c>
    </row>
    <row r="127" customFormat="false" ht="15" hidden="false" customHeight="true" outlineLevel="0" collapsed="false">
      <c r="A127" s="15"/>
      <c r="B127" s="10"/>
      <c r="C127" s="10"/>
      <c r="D127" s="10"/>
      <c r="E127" s="10"/>
      <c r="F127" s="11"/>
      <c r="G127" s="10"/>
      <c r="H127" s="30" t="str">
        <f aca="true">IF(OR($A127="",$G127="실행완료"),"",$A127-TODAY())</f>
        <v/>
      </c>
    </row>
    <row r="128" customFormat="false" ht="15" hidden="false" customHeight="true" outlineLevel="0" collapsed="false">
      <c r="A128" s="15"/>
      <c r="B128" s="10"/>
      <c r="C128" s="10"/>
      <c r="D128" s="10"/>
      <c r="E128" s="10"/>
      <c r="F128" s="11"/>
      <c r="G128" s="10"/>
      <c r="H128" s="30" t="str">
        <f aca="true">IF(OR($A128="",$G128="실행완료"),"",$A128-TODAY())</f>
        <v/>
      </c>
    </row>
    <row r="129" customFormat="false" ht="15" hidden="false" customHeight="true" outlineLevel="0" collapsed="false">
      <c r="A129" s="15"/>
      <c r="B129" s="10"/>
      <c r="C129" s="10"/>
      <c r="D129" s="10"/>
      <c r="E129" s="10"/>
      <c r="F129" s="11"/>
      <c r="G129" s="10"/>
      <c r="H129" s="30" t="str">
        <f aca="true">IF(OR($A129="",$G129="실행완료"),"",$A129-TODAY())</f>
        <v/>
      </c>
    </row>
    <row r="130" customFormat="false" ht="15" hidden="false" customHeight="true" outlineLevel="0" collapsed="false">
      <c r="A130" s="15"/>
      <c r="B130" s="10"/>
      <c r="C130" s="10"/>
      <c r="D130" s="10"/>
      <c r="E130" s="10"/>
      <c r="F130" s="11"/>
      <c r="G130" s="10"/>
      <c r="H130" s="30" t="str">
        <f aca="true">IF(OR($A130="",$G130="실행완료"),"",$A130-TODAY())</f>
        <v/>
      </c>
    </row>
    <row r="131" customFormat="false" ht="15" hidden="false" customHeight="true" outlineLevel="0" collapsed="false">
      <c r="A131" s="15"/>
      <c r="B131" s="10"/>
      <c r="C131" s="10"/>
      <c r="D131" s="10"/>
      <c r="E131" s="10"/>
      <c r="F131" s="11"/>
      <c r="G131" s="10"/>
      <c r="H131" s="30" t="str">
        <f aca="true">IF(OR($A131="",$G131="실행완료"),"",$A131-TODAY())</f>
        <v/>
      </c>
    </row>
    <row r="132" customFormat="false" ht="15" hidden="false" customHeight="true" outlineLevel="0" collapsed="false">
      <c r="A132" s="15"/>
      <c r="B132" s="10"/>
      <c r="C132" s="10"/>
      <c r="D132" s="10"/>
      <c r="E132" s="10"/>
      <c r="F132" s="11"/>
      <c r="G132" s="10"/>
      <c r="H132" s="30" t="str">
        <f aca="true">IF(OR($A132="",$G132="실행완료"),"",$A132-TODAY())</f>
        <v/>
      </c>
    </row>
    <row r="133" customFormat="false" ht="15" hidden="false" customHeight="true" outlineLevel="0" collapsed="false">
      <c r="A133" s="15"/>
      <c r="B133" s="10"/>
      <c r="C133" s="10"/>
      <c r="D133" s="10"/>
      <c r="E133" s="10"/>
      <c r="F133" s="11"/>
      <c r="G133" s="10"/>
      <c r="H133" s="30" t="str">
        <f aca="true">IF(OR($A133="",$G133="실행완료"),"",$A133-TODAY())</f>
        <v/>
      </c>
    </row>
    <row r="134" customFormat="false" ht="15" hidden="false" customHeight="true" outlineLevel="0" collapsed="false">
      <c r="A134" s="15"/>
      <c r="B134" s="10"/>
      <c r="C134" s="10"/>
      <c r="D134" s="10"/>
      <c r="E134" s="10"/>
      <c r="F134" s="11"/>
      <c r="G134" s="10"/>
      <c r="H134" s="30" t="str">
        <f aca="true">IF(OR($A134="",$G134="실행완료"),"",$A134-TODAY())</f>
        <v/>
      </c>
    </row>
    <row r="135" customFormat="false" ht="15" hidden="false" customHeight="true" outlineLevel="0" collapsed="false">
      <c r="A135" s="15"/>
      <c r="B135" s="10"/>
      <c r="C135" s="10"/>
      <c r="D135" s="10"/>
      <c r="E135" s="10"/>
      <c r="F135" s="11"/>
      <c r="G135" s="10"/>
      <c r="H135" s="30" t="str">
        <f aca="true">IF(OR($A135="",$G135="실행완료"),"",$A135-TODAY())</f>
        <v/>
      </c>
    </row>
    <row r="136" customFormat="false" ht="15" hidden="false" customHeight="true" outlineLevel="0" collapsed="false">
      <c r="A136" s="15"/>
      <c r="B136" s="10"/>
      <c r="C136" s="10"/>
      <c r="D136" s="10"/>
      <c r="E136" s="10"/>
      <c r="F136" s="11"/>
      <c r="G136" s="10"/>
      <c r="H136" s="30" t="str">
        <f aca="true">IF(OR($A136="",$G136="실행완료"),"",$A136-TODAY())</f>
        <v/>
      </c>
    </row>
    <row r="137" customFormat="false" ht="15" hidden="false" customHeight="true" outlineLevel="0" collapsed="false">
      <c r="A137" s="15"/>
      <c r="B137" s="10"/>
      <c r="C137" s="10"/>
      <c r="D137" s="10"/>
      <c r="E137" s="10"/>
      <c r="F137" s="11"/>
      <c r="G137" s="10"/>
      <c r="H137" s="30" t="str">
        <f aca="true">IF(OR($A137="",$G137="실행완료"),"",$A137-TODAY())</f>
        <v/>
      </c>
    </row>
    <row r="138" customFormat="false" ht="15" hidden="false" customHeight="true" outlineLevel="0" collapsed="false">
      <c r="A138" s="15"/>
      <c r="B138" s="10"/>
      <c r="C138" s="10"/>
      <c r="D138" s="10"/>
      <c r="E138" s="10"/>
      <c r="F138" s="11"/>
      <c r="G138" s="10"/>
      <c r="H138" s="30" t="str">
        <f aca="true">IF(OR($A138="",$G138="실행완료"),"",$A138-TODAY())</f>
        <v/>
      </c>
    </row>
    <row r="139" customFormat="false" ht="15" hidden="false" customHeight="true" outlineLevel="0" collapsed="false">
      <c r="A139" s="15"/>
      <c r="B139" s="10"/>
      <c r="C139" s="10"/>
      <c r="D139" s="10"/>
      <c r="E139" s="10"/>
      <c r="F139" s="11"/>
      <c r="G139" s="10"/>
      <c r="H139" s="30" t="str">
        <f aca="true">IF(OR($A139="",$G139="실행완료"),"",$A139-TODAY())</f>
        <v/>
      </c>
    </row>
    <row r="140" customFormat="false" ht="15" hidden="false" customHeight="true" outlineLevel="0" collapsed="false">
      <c r="A140" s="15"/>
      <c r="B140" s="10"/>
      <c r="C140" s="10"/>
      <c r="D140" s="10"/>
      <c r="E140" s="10"/>
      <c r="F140" s="11"/>
      <c r="G140" s="10"/>
      <c r="H140" s="30" t="str">
        <f aca="true">IF(OR($A140="",$G140="실행완료"),"",$A140-TODAY())</f>
        <v/>
      </c>
    </row>
    <row r="141" customFormat="false" ht="15" hidden="false" customHeight="true" outlineLevel="0" collapsed="false">
      <c r="A141" s="15"/>
      <c r="B141" s="10"/>
      <c r="C141" s="10"/>
      <c r="D141" s="10"/>
      <c r="E141" s="10"/>
      <c r="F141" s="11"/>
      <c r="G141" s="10"/>
      <c r="H141" s="30" t="str">
        <f aca="true">IF(OR($A141="",$G141="실행완료"),"",$A141-TODAY())</f>
        <v/>
      </c>
    </row>
    <row r="142" customFormat="false" ht="15" hidden="false" customHeight="true" outlineLevel="0" collapsed="false">
      <c r="A142" s="15"/>
      <c r="B142" s="10"/>
      <c r="C142" s="10"/>
      <c r="D142" s="10"/>
      <c r="E142" s="10"/>
      <c r="F142" s="11"/>
      <c r="G142" s="10"/>
      <c r="H142" s="30" t="str">
        <f aca="true">IF(OR($A142="",$G142="실행완료"),"",$A142-TODAY())</f>
        <v/>
      </c>
    </row>
    <row r="143" customFormat="false" ht="15" hidden="false" customHeight="true" outlineLevel="0" collapsed="false">
      <c r="A143" s="15"/>
      <c r="B143" s="10"/>
      <c r="C143" s="10"/>
      <c r="D143" s="10"/>
      <c r="E143" s="10"/>
      <c r="F143" s="11"/>
      <c r="G143" s="10"/>
      <c r="H143" s="30" t="str">
        <f aca="true">IF(OR($A143="",$G143="실행완료"),"",$A143-TODAY())</f>
        <v/>
      </c>
    </row>
    <row r="144" customFormat="false" ht="15" hidden="false" customHeight="true" outlineLevel="0" collapsed="false">
      <c r="A144" s="15"/>
      <c r="B144" s="10"/>
      <c r="C144" s="10"/>
      <c r="D144" s="10"/>
      <c r="E144" s="10"/>
      <c r="F144" s="11"/>
      <c r="G144" s="10"/>
      <c r="H144" s="30" t="str">
        <f aca="true">IF(OR($A144="",$G144="실행완료"),"",$A144-TODAY())</f>
        <v/>
      </c>
    </row>
    <row r="145" customFormat="false" ht="15" hidden="false" customHeight="true" outlineLevel="0" collapsed="false">
      <c r="A145" s="15"/>
      <c r="B145" s="10"/>
      <c r="C145" s="10"/>
      <c r="D145" s="10"/>
      <c r="E145" s="10"/>
      <c r="F145" s="11"/>
      <c r="G145" s="10"/>
      <c r="H145" s="30" t="str">
        <f aca="true">IF(OR($A145="",$G145="실행완료"),"",$A145-TODAY())</f>
        <v/>
      </c>
    </row>
    <row r="146" customFormat="false" ht="15" hidden="false" customHeight="true" outlineLevel="0" collapsed="false">
      <c r="A146" s="15"/>
      <c r="B146" s="10"/>
      <c r="C146" s="10"/>
      <c r="D146" s="10"/>
      <c r="E146" s="10"/>
      <c r="F146" s="11"/>
      <c r="G146" s="10"/>
      <c r="H146" s="30" t="str">
        <f aca="true">IF(OR($A146="",$G146="실행완료"),"",$A146-TODAY())</f>
        <v/>
      </c>
    </row>
    <row r="147" customFormat="false" ht="15" hidden="false" customHeight="true" outlineLevel="0" collapsed="false">
      <c r="A147" s="15"/>
      <c r="B147" s="10"/>
      <c r="C147" s="10"/>
      <c r="D147" s="10"/>
      <c r="E147" s="10"/>
      <c r="F147" s="11"/>
      <c r="G147" s="10"/>
      <c r="H147" s="30" t="str">
        <f aca="true">IF(OR($A147="",$G147="실행완료"),"",$A147-TODAY())</f>
        <v/>
      </c>
    </row>
    <row r="148" customFormat="false" ht="15" hidden="false" customHeight="true" outlineLevel="0" collapsed="false">
      <c r="A148" s="15"/>
      <c r="B148" s="10"/>
      <c r="C148" s="10"/>
      <c r="D148" s="10"/>
      <c r="E148" s="10"/>
      <c r="F148" s="11"/>
      <c r="G148" s="10"/>
      <c r="H148" s="30" t="str">
        <f aca="true">IF(OR($A148="",$G148="실행완료"),"",$A148-TODAY())</f>
        <v/>
      </c>
    </row>
    <row r="149" customFormat="false" ht="15" hidden="false" customHeight="true" outlineLevel="0" collapsed="false">
      <c r="A149" s="15"/>
      <c r="B149" s="10"/>
      <c r="C149" s="10"/>
      <c r="D149" s="10"/>
      <c r="E149" s="10"/>
      <c r="F149" s="11"/>
      <c r="G149" s="10"/>
      <c r="H149" s="30" t="str">
        <f aca="true">IF(OR($A149="",$G149="실행완료"),"",$A149-TODAY())</f>
        <v/>
      </c>
    </row>
    <row r="150" customFormat="false" ht="15" hidden="false" customHeight="true" outlineLevel="0" collapsed="false">
      <c r="A150" s="15"/>
      <c r="B150" s="10"/>
      <c r="C150" s="10"/>
      <c r="D150" s="10"/>
      <c r="E150" s="10"/>
      <c r="F150" s="11"/>
      <c r="G150" s="10"/>
      <c r="H150" s="30" t="str">
        <f aca="true">IF(OR($A150="",$G150="실행완료"),"",$A150-TODAY())</f>
        <v/>
      </c>
    </row>
    <row r="151" customFormat="false" ht="15" hidden="false" customHeight="true" outlineLevel="0" collapsed="false">
      <c r="A151" s="15"/>
      <c r="B151" s="10"/>
      <c r="C151" s="10"/>
      <c r="D151" s="10"/>
      <c r="E151" s="10"/>
      <c r="F151" s="11"/>
      <c r="G151" s="10"/>
      <c r="H151" s="30" t="str">
        <f aca="true">IF(OR($A151="",$G151="실행완료"),"",$A151-TODAY())</f>
        <v/>
      </c>
    </row>
    <row r="152" customFormat="false" ht="15" hidden="false" customHeight="true" outlineLevel="0" collapsed="false">
      <c r="A152" s="15"/>
      <c r="B152" s="10"/>
      <c r="C152" s="10"/>
      <c r="D152" s="10"/>
      <c r="E152" s="10"/>
      <c r="F152" s="11"/>
      <c r="G152" s="10"/>
      <c r="H152" s="30" t="str">
        <f aca="true">IF(OR($A152="",$G152="실행완료"),"",$A152-TODAY())</f>
        <v/>
      </c>
    </row>
    <row r="153" customFormat="false" ht="15" hidden="false" customHeight="true" outlineLevel="0" collapsed="false">
      <c r="A153" s="15"/>
      <c r="B153" s="10"/>
      <c r="C153" s="10"/>
      <c r="D153" s="10"/>
      <c r="E153" s="10"/>
      <c r="F153" s="11"/>
      <c r="G153" s="10"/>
      <c r="H153" s="30" t="str">
        <f aca="true">IF(OR($A153="",$G153="실행완료"),"",$A153-TODAY())</f>
        <v/>
      </c>
    </row>
    <row r="154" customFormat="false" ht="15" hidden="false" customHeight="true" outlineLevel="0" collapsed="false">
      <c r="A154" s="15"/>
      <c r="B154" s="10"/>
      <c r="C154" s="10"/>
      <c r="D154" s="10"/>
      <c r="E154" s="10"/>
      <c r="F154" s="11"/>
      <c r="G154" s="10"/>
      <c r="H154" s="30" t="str">
        <f aca="true">IF(OR($A154="",$G154="실행완료"),"",$A154-TODAY())</f>
        <v/>
      </c>
    </row>
    <row r="155" customFormat="false" ht="15" hidden="false" customHeight="true" outlineLevel="0" collapsed="false">
      <c r="A155" s="15"/>
      <c r="B155" s="10"/>
      <c r="C155" s="10"/>
      <c r="D155" s="10"/>
      <c r="E155" s="10"/>
      <c r="F155" s="11"/>
      <c r="G155" s="10"/>
      <c r="H155" s="30" t="str">
        <f aca="true">IF(OR($A155="",$G155="실행완료"),"",$A155-TODAY())</f>
        <v/>
      </c>
    </row>
    <row r="156" customFormat="false" ht="15" hidden="false" customHeight="true" outlineLevel="0" collapsed="false">
      <c r="A156" s="15"/>
      <c r="B156" s="10"/>
      <c r="C156" s="10"/>
      <c r="D156" s="10"/>
      <c r="E156" s="10"/>
      <c r="F156" s="11"/>
      <c r="G156" s="10"/>
      <c r="H156" s="30" t="str">
        <f aca="true">IF(OR($A156="",$G156="실행완료"),"",$A156-TODAY())</f>
        <v/>
      </c>
    </row>
    <row r="157" customFormat="false" ht="15" hidden="false" customHeight="true" outlineLevel="0" collapsed="false">
      <c r="A157" s="15"/>
      <c r="B157" s="10"/>
      <c r="C157" s="10"/>
      <c r="D157" s="10"/>
      <c r="E157" s="10"/>
      <c r="F157" s="11"/>
      <c r="G157" s="10"/>
      <c r="H157" s="30" t="str">
        <f aca="true">IF(OR($A157="",$G157="실행완료"),"",$A157-TODAY())</f>
        <v/>
      </c>
    </row>
    <row r="158" customFormat="false" ht="15" hidden="false" customHeight="true" outlineLevel="0" collapsed="false">
      <c r="A158" s="15"/>
      <c r="B158" s="10"/>
      <c r="C158" s="10"/>
      <c r="D158" s="10"/>
      <c r="E158" s="10"/>
      <c r="F158" s="11"/>
      <c r="G158" s="10"/>
      <c r="H158" s="30" t="str">
        <f aca="true">IF(OR($A158="",$G158="실행완료"),"",$A158-TODAY())</f>
        <v/>
      </c>
    </row>
    <row r="159" customFormat="false" ht="15" hidden="false" customHeight="true" outlineLevel="0" collapsed="false">
      <c r="A159" s="15"/>
      <c r="B159" s="10"/>
      <c r="C159" s="10"/>
      <c r="D159" s="10"/>
      <c r="E159" s="10"/>
      <c r="F159" s="11"/>
      <c r="G159" s="10"/>
      <c r="H159" s="30" t="str">
        <f aca="true">IF(OR($A159="",$G159="실행완료"),"",$A159-TODAY())</f>
        <v/>
      </c>
    </row>
    <row r="160" customFormat="false" ht="15" hidden="false" customHeight="true" outlineLevel="0" collapsed="false">
      <c r="A160" s="15"/>
      <c r="B160" s="10"/>
      <c r="C160" s="10"/>
      <c r="D160" s="10"/>
      <c r="E160" s="10"/>
      <c r="F160" s="11"/>
      <c r="G160" s="10"/>
      <c r="H160" s="30" t="str">
        <f aca="true">IF(OR($A160="",$G160="실행완료"),"",$A160-TODAY())</f>
        <v/>
      </c>
    </row>
    <row r="161" customFormat="false" ht="15" hidden="false" customHeight="true" outlineLevel="0" collapsed="false">
      <c r="A161" s="15"/>
      <c r="B161" s="10"/>
      <c r="C161" s="10"/>
      <c r="D161" s="10"/>
      <c r="E161" s="10"/>
      <c r="F161" s="11"/>
      <c r="G161" s="10"/>
      <c r="H161" s="30" t="str">
        <f aca="true">IF(OR($A161="",$G161="실행완료"),"",$A161-TODAY())</f>
        <v/>
      </c>
    </row>
    <row r="162" customFormat="false" ht="15" hidden="false" customHeight="true" outlineLevel="0" collapsed="false">
      <c r="A162" s="15"/>
      <c r="B162" s="10"/>
      <c r="C162" s="10"/>
      <c r="D162" s="10"/>
      <c r="E162" s="10"/>
      <c r="F162" s="11"/>
      <c r="G162" s="10"/>
      <c r="H162" s="30" t="str">
        <f aca="true">IF(OR($A162="",$G162="실행완료"),"",$A162-TODAY())</f>
        <v/>
      </c>
    </row>
    <row r="163" customFormat="false" ht="15" hidden="false" customHeight="true" outlineLevel="0" collapsed="false">
      <c r="A163" s="15"/>
      <c r="B163" s="10"/>
      <c r="C163" s="10"/>
      <c r="D163" s="10"/>
      <c r="E163" s="10"/>
      <c r="F163" s="11"/>
      <c r="G163" s="10"/>
      <c r="H163" s="30" t="str">
        <f aca="true">IF(OR($A163="",$G163="실행완료"),"",$A163-TODAY())</f>
        <v/>
      </c>
    </row>
    <row r="164" customFormat="false" ht="15" hidden="false" customHeight="true" outlineLevel="0" collapsed="false">
      <c r="A164" s="15"/>
      <c r="B164" s="10"/>
      <c r="C164" s="10"/>
      <c r="D164" s="10"/>
      <c r="E164" s="10"/>
      <c r="F164" s="11"/>
      <c r="G164" s="10"/>
      <c r="H164" s="30" t="str">
        <f aca="true">IF(OR($A164="",$G164="실행완료"),"",$A164-TODAY())</f>
        <v/>
      </c>
    </row>
    <row r="165" customFormat="false" ht="15" hidden="false" customHeight="true" outlineLevel="0" collapsed="false">
      <c r="A165" s="15"/>
      <c r="B165" s="10"/>
      <c r="C165" s="10"/>
      <c r="D165" s="10"/>
      <c r="E165" s="10"/>
      <c r="F165" s="11"/>
      <c r="G165" s="10"/>
      <c r="H165" s="30" t="str">
        <f aca="true">IF(OR($A165="",$G165="실행완료"),"",$A165-TODAY())</f>
        <v/>
      </c>
    </row>
    <row r="166" customFormat="false" ht="15" hidden="false" customHeight="true" outlineLevel="0" collapsed="false">
      <c r="A166" s="15"/>
      <c r="B166" s="10"/>
      <c r="C166" s="10"/>
      <c r="D166" s="10"/>
      <c r="E166" s="10"/>
      <c r="F166" s="11"/>
      <c r="G166" s="10"/>
      <c r="H166" s="30" t="str">
        <f aca="true">IF(OR($A166="",$G166="실행완료"),"",$A166-TODAY())</f>
        <v/>
      </c>
    </row>
    <row r="167" customFormat="false" ht="15" hidden="false" customHeight="true" outlineLevel="0" collapsed="false">
      <c r="A167" s="15"/>
      <c r="B167" s="10"/>
      <c r="C167" s="10"/>
      <c r="D167" s="10"/>
      <c r="E167" s="10"/>
      <c r="F167" s="11"/>
      <c r="G167" s="10"/>
      <c r="H167" s="30" t="str">
        <f aca="true">IF(OR($A167="",$G167="실행완료"),"",$A167-TODAY())</f>
        <v/>
      </c>
    </row>
    <row r="168" customFormat="false" ht="15" hidden="false" customHeight="true" outlineLevel="0" collapsed="false">
      <c r="A168" s="15"/>
      <c r="B168" s="10"/>
      <c r="C168" s="10"/>
      <c r="D168" s="10"/>
      <c r="E168" s="10"/>
      <c r="F168" s="11"/>
      <c r="G168" s="10"/>
      <c r="H168" s="30" t="str">
        <f aca="true">IF(OR($A168="",$G168="실행완료"),"",$A168-TODAY())</f>
        <v/>
      </c>
    </row>
    <row r="169" customFormat="false" ht="15" hidden="false" customHeight="true" outlineLevel="0" collapsed="false">
      <c r="A169" s="15"/>
      <c r="B169" s="10"/>
      <c r="C169" s="10"/>
      <c r="D169" s="10"/>
      <c r="E169" s="10"/>
      <c r="F169" s="11"/>
      <c r="G169" s="10"/>
      <c r="H169" s="30" t="str">
        <f aca="true">IF(OR($A169="",$G169="실행완료"),"",$A169-TODAY())</f>
        <v/>
      </c>
    </row>
    <row r="170" customFormat="false" ht="15" hidden="false" customHeight="true" outlineLevel="0" collapsed="false">
      <c r="A170" s="15"/>
      <c r="B170" s="10"/>
      <c r="C170" s="10"/>
      <c r="D170" s="10"/>
      <c r="E170" s="10"/>
      <c r="F170" s="11"/>
      <c r="G170" s="10"/>
      <c r="H170" s="30" t="str">
        <f aca="true">IF(OR($A170="",$G170="실행완료"),"",$A170-TODAY())</f>
        <v/>
      </c>
    </row>
    <row r="171" customFormat="false" ht="15" hidden="false" customHeight="true" outlineLevel="0" collapsed="false">
      <c r="A171" s="15"/>
      <c r="B171" s="10"/>
      <c r="C171" s="10"/>
      <c r="D171" s="10"/>
      <c r="E171" s="10"/>
      <c r="F171" s="11"/>
      <c r="G171" s="10"/>
      <c r="H171" s="30" t="str">
        <f aca="true">IF(OR($A171="",$G171="실행완료"),"",$A171-TODAY())</f>
        <v/>
      </c>
    </row>
    <row r="172" customFormat="false" ht="15" hidden="false" customHeight="true" outlineLevel="0" collapsed="false">
      <c r="A172" s="15"/>
      <c r="B172" s="10"/>
      <c r="C172" s="10"/>
      <c r="D172" s="10"/>
      <c r="E172" s="10"/>
      <c r="F172" s="11"/>
      <c r="G172" s="10"/>
      <c r="H172" s="30" t="str">
        <f aca="true">IF(OR($A172="",$G172="실행완료"),"",$A172-TODAY())</f>
        <v/>
      </c>
    </row>
    <row r="173" customFormat="false" ht="15" hidden="false" customHeight="true" outlineLevel="0" collapsed="false">
      <c r="A173" s="15"/>
      <c r="B173" s="10"/>
      <c r="C173" s="10"/>
      <c r="D173" s="10"/>
      <c r="E173" s="10"/>
      <c r="F173" s="11"/>
      <c r="G173" s="10"/>
      <c r="H173" s="30" t="str">
        <f aca="true">IF(OR($A173="",$G173="실행완료"),"",$A173-TODAY())</f>
        <v/>
      </c>
    </row>
    <row r="174" customFormat="false" ht="15" hidden="false" customHeight="true" outlineLevel="0" collapsed="false">
      <c r="A174" s="15"/>
      <c r="B174" s="10"/>
      <c r="C174" s="10"/>
      <c r="D174" s="10"/>
      <c r="E174" s="10"/>
      <c r="F174" s="11"/>
      <c r="G174" s="10"/>
      <c r="H174" s="30" t="str">
        <f aca="true">IF(OR($A174="",$G174="실행완료"),"",$A174-TODAY())</f>
        <v/>
      </c>
    </row>
    <row r="175" customFormat="false" ht="15" hidden="false" customHeight="true" outlineLevel="0" collapsed="false">
      <c r="A175" s="15"/>
      <c r="B175" s="10"/>
      <c r="C175" s="10"/>
      <c r="D175" s="10"/>
      <c r="E175" s="10"/>
      <c r="F175" s="11"/>
      <c r="G175" s="10"/>
      <c r="H175" s="30" t="str">
        <f aca="true">IF(OR($A175="",$G175="실행완료"),"",$A175-TODAY())</f>
        <v/>
      </c>
    </row>
    <row r="176" customFormat="false" ht="15" hidden="false" customHeight="true" outlineLevel="0" collapsed="false">
      <c r="A176" s="15"/>
      <c r="B176" s="10"/>
      <c r="C176" s="10"/>
      <c r="D176" s="10"/>
      <c r="E176" s="10"/>
      <c r="F176" s="11"/>
      <c r="G176" s="10"/>
      <c r="H176" s="30" t="str">
        <f aca="true">IF(OR($A176="",$G176="실행완료"),"",$A176-TODAY())</f>
        <v/>
      </c>
    </row>
    <row r="177" customFormat="false" ht="15" hidden="false" customHeight="true" outlineLevel="0" collapsed="false">
      <c r="A177" s="15"/>
      <c r="B177" s="10"/>
      <c r="C177" s="10"/>
      <c r="D177" s="10"/>
      <c r="E177" s="10"/>
      <c r="F177" s="11"/>
      <c r="G177" s="10"/>
      <c r="H177" s="30" t="str">
        <f aca="true">IF(OR($A177="",$G177="실행완료"),"",$A177-TODAY())</f>
        <v/>
      </c>
    </row>
    <row r="178" customFormat="false" ht="15" hidden="false" customHeight="true" outlineLevel="0" collapsed="false">
      <c r="A178" s="15"/>
      <c r="B178" s="10"/>
      <c r="C178" s="10"/>
      <c r="D178" s="10"/>
      <c r="E178" s="10"/>
      <c r="F178" s="11"/>
      <c r="G178" s="10"/>
      <c r="H178" s="30" t="str">
        <f aca="true">IF(OR($A178="",$G178="실행완료"),"",$A178-TODAY())</f>
        <v/>
      </c>
    </row>
    <row r="179" customFormat="false" ht="15" hidden="false" customHeight="true" outlineLevel="0" collapsed="false">
      <c r="A179" s="15"/>
      <c r="B179" s="10"/>
      <c r="C179" s="10"/>
      <c r="D179" s="10"/>
      <c r="E179" s="10"/>
      <c r="F179" s="11"/>
      <c r="G179" s="10"/>
      <c r="H179" s="30" t="str">
        <f aca="true">IF(OR($A179="",$G179="실행완료"),"",$A179-TODAY())</f>
        <v/>
      </c>
    </row>
    <row r="180" customFormat="false" ht="15" hidden="false" customHeight="true" outlineLevel="0" collapsed="false">
      <c r="A180" s="15"/>
      <c r="B180" s="10"/>
      <c r="C180" s="10"/>
      <c r="D180" s="10"/>
      <c r="E180" s="10"/>
      <c r="F180" s="11"/>
      <c r="G180" s="10"/>
      <c r="H180" s="30" t="str">
        <f aca="true">IF(OR($A180="",$G180="실행완료"),"",$A180-TODAY())</f>
        <v/>
      </c>
    </row>
    <row r="181" customFormat="false" ht="15" hidden="false" customHeight="true" outlineLevel="0" collapsed="false">
      <c r="A181" s="15"/>
      <c r="B181" s="10"/>
      <c r="C181" s="10"/>
      <c r="D181" s="10"/>
      <c r="E181" s="10"/>
      <c r="F181" s="11"/>
      <c r="G181" s="10"/>
      <c r="H181" s="30" t="str">
        <f aca="true">IF(OR($A181="",$G181="실행완료"),"",$A181-TODAY())</f>
        <v/>
      </c>
    </row>
    <row r="182" customFormat="false" ht="15" hidden="false" customHeight="true" outlineLevel="0" collapsed="false">
      <c r="A182" s="15"/>
      <c r="B182" s="10"/>
      <c r="C182" s="10"/>
      <c r="D182" s="10"/>
      <c r="E182" s="10"/>
      <c r="F182" s="11"/>
      <c r="G182" s="10"/>
      <c r="H182" s="30" t="str">
        <f aca="true">IF(OR($A182="",$G182="실행완료"),"",$A182-TODAY())</f>
        <v/>
      </c>
    </row>
    <row r="183" customFormat="false" ht="15" hidden="false" customHeight="true" outlineLevel="0" collapsed="false">
      <c r="A183" s="15"/>
      <c r="B183" s="10"/>
      <c r="C183" s="10"/>
      <c r="D183" s="10"/>
      <c r="E183" s="10"/>
      <c r="F183" s="11"/>
      <c r="G183" s="10"/>
      <c r="H183" s="30" t="str">
        <f aca="true">IF(OR($A183="",$G183="실행완료"),"",$A183-TODAY())</f>
        <v/>
      </c>
    </row>
    <row r="184" customFormat="false" ht="15" hidden="false" customHeight="true" outlineLevel="0" collapsed="false">
      <c r="A184" s="15"/>
      <c r="B184" s="10"/>
      <c r="C184" s="10"/>
      <c r="D184" s="10"/>
      <c r="E184" s="10"/>
      <c r="F184" s="11"/>
      <c r="G184" s="10"/>
      <c r="H184" s="30" t="str">
        <f aca="true">IF(OR($A184="",$G184="실행완료"),"",$A184-TODAY())</f>
        <v/>
      </c>
    </row>
    <row r="185" customFormat="false" ht="15" hidden="false" customHeight="true" outlineLevel="0" collapsed="false">
      <c r="A185" s="15"/>
      <c r="B185" s="10"/>
      <c r="C185" s="10"/>
      <c r="D185" s="10"/>
      <c r="E185" s="10"/>
      <c r="F185" s="11"/>
      <c r="G185" s="10"/>
      <c r="H185" s="30" t="str">
        <f aca="true">IF(OR($A185="",$G185="실행완료"),"",$A185-TODAY())</f>
        <v/>
      </c>
    </row>
    <row r="186" customFormat="false" ht="15" hidden="false" customHeight="true" outlineLevel="0" collapsed="false">
      <c r="A186" s="15"/>
      <c r="B186" s="10"/>
      <c r="C186" s="10"/>
      <c r="D186" s="10"/>
      <c r="E186" s="10"/>
      <c r="F186" s="11"/>
      <c r="G186" s="10"/>
      <c r="H186" s="30" t="str">
        <f aca="true">IF(OR($A186="",$G186="실행완료"),"",$A186-TODAY())</f>
        <v/>
      </c>
    </row>
    <row r="187" customFormat="false" ht="15" hidden="false" customHeight="true" outlineLevel="0" collapsed="false">
      <c r="A187" s="15"/>
      <c r="B187" s="10"/>
      <c r="C187" s="10"/>
      <c r="D187" s="10"/>
      <c r="E187" s="10"/>
      <c r="F187" s="11"/>
      <c r="G187" s="10"/>
      <c r="H187" s="30" t="str">
        <f aca="true">IF(OR($A187="",$G187="실행완료"),"",$A187-TODAY())</f>
        <v/>
      </c>
    </row>
    <row r="188" customFormat="false" ht="15" hidden="false" customHeight="true" outlineLevel="0" collapsed="false">
      <c r="A188" s="15"/>
      <c r="B188" s="10"/>
      <c r="C188" s="10"/>
      <c r="D188" s="10"/>
      <c r="E188" s="10"/>
      <c r="F188" s="11"/>
      <c r="G188" s="10"/>
      <c r="H188" s="30" t="str">
        <f aca="true">IF(OR($A188="",$G188="실행완료"),"",$A188-TODAY())</f>
        <v/>
      </c>
    </row>
    <row r="189" customFormat="false" ht="15" hidden="false" customHeight="true" outlineLevel="0" collapsed="false">
      <c r="A189" s="15"/>
      <c r="B189" s="10"/>
      <c r="C189" s="10"/>
      <c r="D189" s="10"/>
      <c r="E189" s="10"/>
      <c r="F189" s="11"/>
      <c r="G189" s="10"/>
      <c r="H189" s="30" t="str">
        <f aca="true">IF(OR($A189="",$G189="실행완료"),"",$A189-TODAY())</f>
        <v/>
      </c>
    </row>
    <row r="190" customFormat="false" ht="15" hidden="false" customHeight="true" outlineLevel="0" collapsed="false">
      <c r="A190" s="15"/>
      <c r="B190" s="10"/>
      <c r="C190" s="10"/>
      <c r="D190" s="10"/>
      <c r="E190" s="10"/>
      <c r="F190" s="11"/>
      <c r="G190" s="10"/>
      <c r="H190" s="30" t="str">
        <f aca="true">IF(OR($A190="",$G190="실행완료"),"",$A190-TODAY())</f>
        <v/>
      </c>
    </row>
    <row r="191" customFormat="false" ht="15" hidden="false" customHeight="true" outlineLevel="0" collapsed="false">
      <c r="A191" s="15"/>
      <c r="B191" s="10"/>
      <c r="C191" s="10"/>
      <c r="D191" s="10"/>
      <c r="E191" s="10"/>
      <c r="F191" s="11"/>
      <c r="G191" s="10"/>
      <c r="H191" s="30" t="str">
        <f aca="true">IF(OR($A191="",$G191="실행완료"),"",$A191-TODAY())</f>
        <v/>
      </c>
    </row>
    <row r="192" customFormat="false" ht="15" hidden="false" customHeight="true" outlineLevel="0" collapsed="false">
      <c r="A192" s="15"/>
      <c r="B192" s="10"/>
      <c r="C192" s="10"/>
      <c r="D192" s="10"/>
      <c r="E192" s="10"/>
      <c r="F192" s="11"/>
      <c r="G192" s="10"/>
      <c r="H192" s="30" t="str">
        <f aca="true">IF(OR($A192="",$G192="실행완료"),"",$A192-TODAY())</f>
        <v/>
      </c>
    </row>
    <row r="193" customFormat="false" ht="15" hidden="false" customHeight="true" outlineLevel="0" collapsed="false">
      <c r="A193" s="15"/>
      <c r="B193" s="10"/>
      <c r="C193" s="10"/>
      <c r="D193" s="10"/>
      <c r="E193" s="10"/>
      <c r="F193" s="11"/>
      <c r="G193" s="10"/>
      <c r="H193" s="30" t="str">
        <f aca="true">IF(OR($A193="",$G193="실행완료"),"",$A193-TODAY())</f>
        <v/>
      </c>
    </row>
    <row r="194" customFormat="false" ht="15" hidden="false" customHeight="true" outlineLevel="0" collapsed="false">
      <c r="A194" s="15"/>
      <c r="B194" s="10"/>
      <c r="C194" s="10"/>
      <c r="D194" s="10"/>
      <c r="E194" s="10"/>
      <c r="F194" s="11"/>
      <c r="G194" s="10"/>
      <c r="H194" s="30" t="str">
        <f aca="true">IF(OR($A194="",$G194="실행완료"),"",$A194-TODAY())</f>
        <v/>
      </c>
    </row>
    <row r="195" customFormat="false" ht="15" hidden="false" customHeight="true" outlineLevel="0" collapsed="false">
      <c r="A195" s="15"/>
      <c r="B195" s="10"/>
      <c r="C195" s="10"/>
      <c r="D195" s="10"/>
      <c r="E195" s="10"/>
      <c r="F195" s="11"/>
      <c r="G195" s="10"/>
      <c r="H195" s="30" t="str">
        <f aca="true">IF(OR($A195="",$G195="실행완료"),"",$A195-TODAY())</f>
        <v/>
      </c>
    </row>
    <row r="196" customFormat="false" ht="15" hidden="false" customHeight="true" outlineLevel="0" collapsed="false">
      <c r="A196" s="15"/>
      <c r="B196" s="10"/>
      <c r="C196" s="10"/>
      <c r="D196" s="10"/>
      <c r="E196" s="10"/>
      <c r="F196" s="11"/>
      <c r="G196" s="10"/>
      <c r="H196" s="30" t="str">
        <f aca="true">IF(OR($A196="",$G196="실행완료"),"",$A196-TODAY())</f>
        <v/>
      </c>
    </row>
    <row r="197" customFormat="false" ht="15" hidden="false" customHeight="true" outlineLevel="0" collapsed="false">
      <c r="A197" s="15"/>
      <c r="B197" s="10"/>
      <c r="C197" s="10"/>
      <c r="D197" s="10"/>
      <c r="E197" s="10"/>
      <c r="F197" s="11"/>
      <c r="G197" s="10"/>
      <c r="H197" s="30" t="str">
        <f aca="true">IF(OR($A197="",$G197="실행완료"),"",$A197-TODAY())</f>
        <v/>
      </c>
    </row>
    <row r="198" customFormat="false" ht="15" hidden="false" customHeight="true" outlineLevel="0" collapsed="false">
      <c r="A198" s="15"/>
      <c r="B198" s="10"/>
      <c r="C198" s="10"/>
      <c r="D198" s="10"/>
      <c r="E198" s="10"/>
      <c r="F198" s="11"/>
      <c r="G198" s="10"/>
      <c r="H198" s="30" t="str">
        <f aca="true">IF(OR($A198="",$G198="실행완료"),"",$A198-TODAY())</f>
        <v/>
      </c>
    </row>
    <row r="199" customFormat="false" ht="15" hidden="false" customHeight="true" outlineLevel="0" collapsed="false">
      <c r="A199" s="15"/>
      <c r="B199" s="10"/>
      <c r="C199" s="10"/>
      <c r="D199" s="10"/>
      <c r="E199" s="10"/>
      <c r="F199" s="11"/>
      <c r="G199" s="10"/>
      <c r="H199" s="30" t="str">
        <f aca="true">IF(OR($A199="",$G199="실행완료"),"",$A199-TODAY())</f>
        <v/>
      </c>
    </row>
    <row r="200" customFormat="false" ht="15" hidden="false" customHeight="true" outlineLevel="0" collapsed="false">
      <c r="A200" s="15"/>
      <c r="B200" s="10"/>
      <c r="C200" s="10"/>
      <c r="D200" s="10"/>
      <c r="E200" s="10"/>
      <c r="F200" s="11"/>
      <c r="G200" s="10"/>
      <c r="H200" s="30" t="str">
        <f aca="true">IF(OR($A200="",$G200="실행완료"),"",$A200-TODAY())</f>
        <v/>
      </c>
    </row>
    <row r="201" customFormat="false" ht="15" hidden="false" customHeight="true" outlineLevel="0" collapsed="false">
      <c r="A201" s="15"/>
      <c r="B201" s="10"/>
      <c r="C201" s="10"/>
      <c r="D201" s="10"/>
      <c r="E201" s="10"/>
      <c r="F201" s="11"/>
      <c r="G201" s="10"/>
      <c r="H201" s="30" t="str">
        <f aca="true">IF(OR($A201="",$G201="실행완료"),"",$A201-TODAY())</f>
        <v/>
      </c>
    </row>
    <row r="202" customFormat="false" ht="15" hidden="false" customHeight="true" outlineLevel="0" collapsed="false">
      <c r="A202" s="15"/>
      <c r="B202" s="10"/>
      <c r="C202" s="10"/>
      <c r="D202" s="10"/>
      <c r="E202" s="10"/>
      <c r="F202" s="11"/>
      <c r="G202" s="10"/>
      <c r="H202" s="30" t="str">
        <f aca="true">IF(OR($A202="",$G202="실행완료"),"",$A202-TODAY())</f>
        <v/>
      </c>
    </row>
    <row r="204" customFormat="false" ht="15" hidden="false" customHeight="true" outlineLevel="0" collapsed="false">
      <c r="A204" s="31" t="s">
        <v>82</v>
      </c>
    </row>
    <row r="205" customFormat="false" ht="15" hidden="false" customHeight="true" outlineLevel="0" collapsed="false">
      <c r="A205" s="19" t="s">
        <v>83</v>
      </c>
      <c r="B205" s="19"/>
      <c r="C205" s="19"/>
      <c r="D205" s="19"/>
      <c r="E205" s="20" t="n">
        <f aca="true">SUMIFS(자금계획!$F$3:$F$202,자금계획!$B$3:$B$202,"입금",자금계획!$G$3:$G$202,"예정",자금계획!$A$3:$A$202,"&gt;="&amp;DATE(YEAR(TODAY()),MONTH(TODAY())+0,1),자금계획!$A$3:$A$202,"&lt;="&amp;EOMONTH(DATE(YEAR(TODAY()),MONTH(TODAY())+0,1),0))</f>
        <v>8000000</v>
      </c>
    </row>
    <row r="206" customFormat="false" ht="15" hidden="false" customHeight="true" outlineLevel="0" collapsed="false">
      <c r="A206" s="19" t="s">
        <v>84</v>
      </c>
      <c r="B206" s="19"/>
      <c r="C206" s="19"/>
      <c r="D206" s="19"/>
      <c r="E206" s="20" t="n">
        <f aca="true">SUMIFS(자금계획!$F$3:$F$202,자금계획!$B$3:$B$202,"출금",자금계획!$G$3:$G$202,"예정",자금계획!$A$3:$A$202,"&gt;="&amp;DATE(YEAR(TODAY()),MONTH(TODAY())+0,1),자금계획!$A$3:$A$202,"&lt;="&amp;EOMONTH(DATE(YEAR(TODAY()),MONTH(TODAY())+0,1),0))</f>
        <v>7600000</v>
      </c>
    </row>
    <row r="207" customFormat="false" ht="15" hidden="false" customHeight="true" outlineLevel="0" collapsed="false">
      <c r="A207" s="19" t="s">
        <v>85</v>
      </c>
      <c r="B207" s="19"/>
      <c r="C207" s="19"/>
      <c r="D207" s="19"/>
      <c r="E207" s="20" t="n">
        <f aca="true">SUMIFS(자금계획!$F$3:$F$202,자금계획!$B$3:$B$202,"입금",자금계획!$G$3:$G$202,"예정",자금계획!$A$3:$A$202,"&gt;="&amp;DATE(YEAR(TODAY()),MONTH(TODAY())+1,1),자금계획!$A$3:$A$202,"&lt;="&amp;EOMONTH(DATE(YEAR(TODAY()),MONTH(TODAY())+1,1),0))</f>
        <v>0</v>
      </c>
    </row>
    <row r="208" customFormat="false" ht="15" hidden="false" customHeight="true" outlineLevel="0" collapsed="false">
      <c r="A208" s="19" t="s">
        <v>86</v>
      </c>
      <c r="B208" s="19"/>
      <c r="C208" s="19"/>
      <c r="D208" s="19"/>
      <c r="E208" s="20" t="n">
        <f aca="true">SUMIFS(자금계획!$F$3:$F$202,자금계획!$B$3:$B$202,"출금",자금계획!$G$3:$G$202,"예정",자금계획!$A$3:$A$202,"&gt;="&amp;DATE(YEAR(TODAY()),MONTH(TODAY())+1,1),자금계획!$A$3:$A$202,"&lt;="&amp;EOMONTH(DATE(YEAR(TODAY()),MONTH(TODAY())+1,1),0))</f>
        <v>9300000</v>
      </c>
    </row>
    <row r="209" customFormat="false" ht="16.5" hidden="false" customHeight="true" outlineLevel="0" collapsed="false">
      <c r="A209" s="21" t="s">
        <v>87</v>
      </c>
      <c r="B209" s="21"/>
      <c r="C209" s="21"/>
      <c r="D209" s="21"/>
      <c r="E209" s="22" t="n">
        <f aca="true">계좌목록!$D$24+SUMIFS(입출금내역!$I$3:$I$802,입출금내역!$A$3:$A$802,"&lt;="&amp;TODAY())-SUMIFS(입출금내역!$J$3:$J$802,입출금내역!$A$3:$A$802,"&lt;="&amp;TODAY())+B205-B206</f>
        <v>59660000</v>
      </c>
    </row>
  </sheetData>
  <mergeCells count="6">
    <mergeCell ref="A1:H1"/>
    <mergeCell ref="A205:D205"/>
    <mergeCell ref="A206:D206"/>
    <mergeCell ref="A207:D207"/>
    <mergeCell ref="A208:D208"/>
    <mergeCell ref="A209:D209"/>
  </mergeCells>
  <dataValidations count="4">
    <dataValidation allowBlank="true" errorStyle="stop" operator="between" showDropDown="false" showErrorMessage="false" showInputMessage="false" sqref="B3:B202" type="list">
      <formula1>"입금,출금"</formula1>
      <formula2>0</formula2>
    </dataValidation>
    <dataValidation allowBlank="true" errorStyle="stop" operator="between" showDropDown="false" showErrorMessage="false" showInputMessage="false" sqref="C3:C202" type="list">
      <formula1>"매출대금,매입대금,급여,임차료,공과금,세금,이자,차입,상환,기타"</formula1>
      <formula2>0</formula2>
    </dataValidation>
    <dataValidation allowBlank="true" errorStyle="stop" operator="between" showDropDown="false" showErrorMessage="false" showInputMessage="false" sqref="D3:D202" type="list">
      <formula1>거래처목록!$A$3:$A$152</formula1>
      <formula2>0</formula2>
    </dataValidation>
    <dataValidation allowBlank="true" errorStyle="stop" operator="between" showDropDown="false" showErrorMessage="false" showInputMessage="false" sqref="G3:G202" type="list">
      <formula1>"예정,실행완료"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25.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89</v>
      </c>
      <c r="B2" s="8" t="s">
        <v>90</v>
      </c>
      <c r="C2" s="8" t="s">
        <v>91</v>
      </c>
      <c r="D2" s="8" t="s">
        <v>49</v>
      </c>
      <c r="E2" s="8" t="s">
        <v>92</v>
      </c>
      <c r="F2" s="8" t="s">
        <v>51</v>
      </c>
      <c r="G2" s="8" t="s">
        <v>93</v>
      </c>
      <c r="H2" s="29" t="s">
        <v>81</v>
      </c>
    </row>
    <row r="3" customFormat="false" ht="15" hidden="false" customHeight="true" outlineLevel="0" collapsed="false">
      <c r="A3" s="10" t="inlineStr">
        <is>
          <t>받을어음</t>
        </is>
      </c>
      <c r="B3" s="15" t="n">
        <v>46244</v>
      </c>
      <c r="C3" s="15" t="n">
        <v>46336</v>
      </c>
      <c r="D3" s="10" t="inlineStr">
        <is>
          <t>○○전자</t>
        </is>
      </c>
      <c r="E3" s="10" t="inlineStr">
        <is>
          <t>가나12345678</t>
        </is>
      </c>
      <c r="F3" s="11" t="n">
        <v>6000000</v>
      </c>
      <c r="G3" s="10" t="inlineStr">
        <is>
          <t>미결제</t>
        </is>
      </c>
      <c r="H3" s="30" t="n">
        <f aca="true">IF(OR($C3="",$G3="결제완료"),"",$C3-TODAY())</f>
        <v>57</v>
      </c>
    </row>
    <row r="4" customFormat="false" ht="15" hidden="false" customHeight="true" outlineLevel="0" collapsed="false">
      <c r="A4" s="10" t="inlineStr">
        <is>
          <t>지급어음</t>
        </is>
      </c>
      <c r="B4" s="15" t="n">
        <v>46223</v>
      </c>
      <c r="C4" s="15" t="n">
        <v>46285</v>
      </c>
      <c r="D4" s="10" t="inlineStr">
        <is>
          <t>△△소재</t>
        </is>
      </c>
      <c r="E4" s="10" t="inlineStr">
        <is>
          <t>다라87654321</t>
        </is>
      </c>
      <c r="F4" s="11" t="n">
        <v>3500000</v>
      </c>
      <c r="G4" s="10" t="inlineStr">
        <is>
          <t>미결제</t>
        </is>
      </c>
      <c r="H4" s="30" t="n">
        <f aca="true">IF(OR($C4="",$G4="결제완료"),"",$C4-TODAY())</f>
        <v>6</v>
      </c>
    </row>
    <row r="5" customFormat="false" ht="15" hidden="false" customHeight="true" outlineLevel="0" collapsed="false">
      <c r="A5" s="10" t="inlineStr">
        <is>
          <t>받을어음</t>
        </is>
      </c>
      <c r="B5" s="15" t="n">
        <v>46157</v>
      </c>
      <c r="C5" s="15" t="n">
        <v>46249</v>
      </c>
      <c r="D5" s="10" t="inlineStr">
        <is>
          <t>○○전자</t>
        </is>
      </c>
      <c r="E5" s="10" t="inlineStr">
        <is>
          <t>가나12345677</t>
        </is>
      </c>
      <c r="F5" s="11" t="n">
        <v>4200000</v>
      </c>
      <c r="G5" s="10" t="inlineStr">
        <is>
          <t>결제완료</t>
        </is>
      </c>
      <c r="H5" s="30" t="str">
        <f aca="true">IF(OR($C5="",$G5="결제완료"),"",$C5-TODAY())</f>
        <v/>
      </c>
    </row>
    <row r="6" customFormat="false" ht="15" hidden="false" customHeight="true" outlineLevel="0" collapsed="false">
      <c r="A6" s="10"/>
      <c r="B6" s="15"/>
      <c r="C6" s="15"/>
      <c r="D6" s="10"/>
      <c r="E6" s="10"/>
      <c r="F6" s="11"/>
      <c r="G6" s="10"/>
      <c r="H6" s="30" t="str">
        <f aca="true">IF(OR($C6="",$G6="결제완료"),"",$C6-TODAY())</f>
        <v/>
      </c>
    </row>
    <row r="7" customFormat="false" ht="15" hidden="false" customHeight="true" outlineLevel="0" collapsed="false">
      <c r="A7" s="10"/>
      <c r="B7" s="15"/>
      <c r="C7" s="15"/>
      <c r="D7" s="10"/>
      <c r="E7" s="10"/>
      <c r="F7" s="11"/>
      <c r="G7" s="10"/>
      <c r="H7" s="30" t="str">
        <f aca="true">IF(OR($C7="",$G7="결제완료"),"",$C7-TODAY())</f>
        <v/>
      </c>
    </row>
    <row r="8" customFormat="false" ht="15" hidden="false" customHeight="true" outlineLevel="0" collapsed="false">
      <c r="A8" s="10"/>
      <c r="B8" s="15"/>
      <c r="C8" s="15"/>
      <c r="D8" s="10"/>
      <c r="E8" s="10"/>
      <c r="F8" s="11"/>
      <c r="G8" s="10"/>
      <c r="H8" s="30" t="str">
        <f aca="true">IF(OR($C8="",$G8="결제완료"),"",$C8-TODAY())</f>
        <v/>
      </c>
    </row>
    <row r="9" customFormat="false" ht="15" hidden="false" customHeight="true" outlineLevel="0" collapsed="false">
      <c r="A9" s="10"/>
      <c r="B9" s="15"/>
      <c r="C9" s="15"/>
      <c r="D9" s="10"/>
      <c r="E9" s="10"/>
      <c r="F9" s="11"/>
      <c r="G9" s="10"/>
      <c r="H9" s="30" t="str">
        <f aca="true">IF(OR($C9="",$G9="결제완료"),"",$C9-TODAY())</f>
        <v/>
      </c>
    </row>
    <row r="10" customFormat="false" ht="15" hidden="false" customHeight="true" outlineLevel="0" collapsed="false">
      <c r="A10" s="10"/>
      <c r="B10" s="15"/>
      <c r="C10" s="15"/>
      <c r="D10" s="10"/>
      <c r="E10" s="10"/>
      <c r="F10" s="11"/>
      <c r="G10" s="10"/>
      <c r="H10" s="30" t="str">
        <f aca="true">IF(OR($C10="",$G10="결제완료"),"",$C10-TODAY())</f>
        <v/>
      </c>
    </row>
    <row r="11" customFormat="false" ht="15" hidden="false" customHeight="true" outlineLevel="0" collapsed="false">
      <c r="A11" s="10"/>
      <c r="B11" s="15"/>
      <c r="C11" s="15"/>
      <c r="D11" s="10"/>
      <c r="E11" s="10"/>
      <c r="F11" s="11"/>
      <c r="G11" s="10"/>
      <c r="H11" s="30" t="str">
        <f aca="true">IF(OR($C11="",$G11="결제완료"),"",$C11-TODAY())</f>
        <v/>
      </c>
    </row>
    <row r="12" customFormat="false" ht="15" hidden="false" customHeight="true" outlineLevel="0" collapsed="false">
      <c r="A12" s="10"/>
      <c r="B12" s="15"/>
      <c r="C12" s="15"/>
      <c r="D12" s="10"/>
      <c r="E12" s="10"/>
      <c r="F12" s="11"/>
      <c r="G12" s="10"/>
      <c r="H12" s="30" t="str">
        <f aca="true">IF(OR($C12="",$G12="결제완료"),"",$C12-TODAY())</f>
        <v/>
      </c>
    </row>
    <row r="13" customFormat="false" ht="15" hidden="false" customHeight="true" outlineLevel="0" collapsed="false">
      <c r="A13" s="10"/>
      <c r="B13" s="15"/>
      <c r="C13" s="15"/>
      <c r="D13" s="10"/>
      <c r="E13" s="10"/>
      <c r="F13" s="11"/>
      <c r="G13" s="10"/>
      <c r="H13" s="30" t="str">
        <f aca="true">IF(OR($C13="",$G13="결제완료"),"",$C13-TODAY())</f>
        <v/>
      </c>
    </row>
    <row r="14" customFormat="false" ht="15" hidden="false" customHeight="true" outlineLevel="0" collapsed="false">
      <c r="A14" s="10"/>
      <c r="B14" s="15"/>
      <c r="C14" s="15"/>
      <c r="D14" s="10"/>
      <c r="E14" s="10"/>
      <c r="F14" s="11"/>
      <c r="G14" s="10"/>
      <c r="H14" s="30" t="str">
        <f aca="true">IF(OR($C14="",$G14="결제완료"),"",$C14-TODAY())</f>
        <v/>
      </c>
    </row>
    <row r="15" customFormat="false" ht="15" hidden="false" customHeight="true" outlineLevel="0" collapsed="false">
      <c r="A15" s="10"/>
      <c r="B15" s="15"/>
      <c r="C15" s="15"/>
      <c r="D15" s="10"/>
      <c r="E15" s="10"/>
      <c r="F15" s="11"/>
      <c r="G15" s="10"/>
      <c r="H15" s="30" t="str">
        <f aca="true">IF(OR($C15="",$G15="결제완료"),"",$C15-TODAY())</f>
        <v/>
      </c>
    </row>
    <row r="16" customFormat="false" ht="15" hidden="false" customHeight="true" outlineLevel="0" collapsed="false">
      <c r="A16" s="10"/>
      <c r="B16" s="15"/>
      <c r="C16" s="15"/>
      <c r="D16" s="10"/>
      <c r="E16" s="10"/>
      <c r="F16" s="11"/>
      <c r="G16" s="10"/>
      <c r="H16" s="30" t="str">
        <f aca="true">IF(OR($C16="",$G16="결제완료"),"",$C16-TODAY())</f>
        <v/>
      </c>
    </row>
    <row r="17" customFormat="false" ht="15" hidden="false" customHeight="true" outlineLevel="0" collapsed="false">
      <c r="A17" s="10"/>
      <c r="B17" s="15"/>
      <c r="C17" s="15"/>
      <c r="D17" s="10"/>
      <c r="E17" s="10"/>
      <c r="F17" s="11"/>
      <c r="G17" s="10"/>
      <c r="H17" s="30" t="str">
        <f aca="true">IF(OR($C17="",$G17="결제완료"),"",$C17-TODAY())</f>
        <v/>
      </c>
    </row>
    <row r="18" customFormat="false" ht="15" hidden="false" customHeight="true" outlineLevel="0" collapsed="false">
      <c r="A18" s="10"/>
      <c r="B18" s="15"/>
      <c r="C18" s="15"/>
      <c r="D18" s="10"/>
      <c r="E18" s="10"/>
      <c r="F18" s="11"/>
      <c r="G18" s="10"/>
      <c r="H18" s="30" t="str">
        <f aca="true">IF(OR($C18="",$G18="결제완료"),"",$C18-TODAY())</f>
        <v/>
      </c>
    </row>
    <row r="19" customFormat="false" ht="15" hidden="false" customHeight="true" outlineLevel="0" collapsed="false">
      <c r="A19" s="10"/>
      <c r="B19" s="15"/>
      <c r="C19" s="15"/>
      <c r="D19" s="10"/>
      <c r="E19" s="10"/>
      <c r="F19" s="11"/>
      <c r="G19" s="10"/>
      <c r="H19" s="30" t="str">
        <f aca="true">IF(OR($C19="",$G19="결제완료"),"",$C19-TODAY())</f>
        <v/>
      </c>
    </row>
    <row r="20" customFormat="false" ht="15" hidden="false" customHeight="true" outlineLevel="0" collapsed="false">
      <c r="A20" s="10"/>
      <c r="B20" s="15"/>
      <c r="C20" s="15"/>
      <c r="D20" s="10"/>
      <c r="E20" s="10"/>
      <c r="F20" s="11"/>
      <c r="G20" s="10"/>
      <c r="H20" s="30" t="str">
        <f aca="true">IF(OR($C20="",$G20="결제완료"),"",$C20-TODAY())</f>
        <v/>
      </c>
    </row>
    <row r="21" customFormat="false" ht="15" hidden="false" customHeight="true" outlineLevel="0" collapsed="false">
      <c r="A21" s="10"/>
      <c r="B21" s="15"/>
      <c r="C21" s="15"/>
      <c r="D21" s="10"/>
      <c r="E21" s="10"/>
      <c r="F21" s="11"/>
      <c r="G21" s="10"/>
      <c r="H21" s="30" t="str">
        <f aca="true">IF(OR($C21="",$G21="결제완료"),"",$C21-TODAY())</f>
        <v/>
      </c>
    </row>
    <row r="22" customFormat="false" ht="15" hidden="false" customHeight="true" outlineLevel="0" collapsed="false">
      <c r="A22" s="10"/>
      <c r="B22" s="15"/>
      <c r="C22" s="15"/>
      <c r="D22" s="10"/>
      <c r="E22" s="10"/>
      <c r="F22" s="11"/>
      <c r="G22" s="10"/>
      <c r="H22" s="30" t="str">
        <f aca="true">IF(OR($C22="",$G22="결제완료"),"",$C22-TODAY())</f>
        <v/>
      </c>
    </row>
    <row r="23" customFormat="false" ht="15" hidden="false" customHeight="true" outlineLevel="0" collapsed="false">
      <c r="A23" s="10"/>
      <c r="B23" s="15"/>
      <c r="C23" s="15"/>
      <c r="D23" s="10"/>
      <c r="E23" s="10"/>
      <c r="F23" s="11"/>
      <c r="G23" s="10"/>
      <c r="H23" s="30" t="str">
        <f aca="true">IF(OR($C23="",$G23="결제완료"),"",$C23-TODAY())</f>
        <v/>
      </c>
    </row>
    <row r="24" customFormat="false" ht="15" hidden="false" customHeight="true" outlineLevel="0" collapsed="false">
      <c r="A24" s="10"/>
      <c r="B24" s="15"/>
      <c r="C24" s="15"/>
      <c r="D24" s="10"/>
      <c r="E24" s="10"/>
      <c r="F24" s="11"/>
      <c r="G24" s="10"/>
      <c r="H24" s="30" t="str">
        <f aca="true">IF(OR($C24="",$G24="결제완료"),"",$C24-TODAY())</f>
        <v/>
      </c>
    </row>
    <row r="25" customFormat="false" ht="15" hidden="false" customHeight="true" outlineLevel="0" collapsed="false">
      <c r="A25" s="10"/>
      <c r="B25" s="15"/>
      <c r="C25" s="15"/>
      <c r="D25" s="10"/>
      <c r="E25" s="10"/>
      <c r="F25" s="11"/>
      <c r="G25" s="10"/>
      <c r="H25" s="30" t="str">
        <f aca="true">IF(OR($C25="",$G25="결제완료"),"",$C25-TODAY())</f>
        <v/>
      </c>
    </row>
    <row r="26" customFormat="false" ht="15" hidden="false" customHeight="true" outlineLevel="0" collapsed="false">
      <c r="A26" s="10"/>
      <c r="B26" s="15"/>
      <c r="C26" s="15"/>
      <c r="D26" s="10"/>
      <c r="E26" s="10"/>
      <c r="F26" s="11"/>
      <c r="G26" s="10"/>
      <c r="H26" s="30" t="str">
        <f aca="true">IF(OR($C26="",$G26="결제완료"),"",$C26-TODAY())</f>
        <v/>
      </c>
    </row>
    <row r="27" customFormat="false" ht="15" hidden="false" customHeight="true" outlineLevel="0" collapsed="false">
      <c r="A27" s="10"/>
      <c r="B27" s="15"/>
      <c r="C27" s="15"/>
      <c r="D27" s="10"/>
      <c r="E27" s="10"/>
      <c r="F27" s="11"/>
      <c r="G27" s="10"/>
      <c r="H27" s="30" t="str">
        <f aca="true">IF(OR($C27="",$G27="결제완료"),"",$C27-TODAY())</f>
        <v/>
      </c>
    </row>
    <row r="28" customFormat="false" ht="15" hidden="false" customHeight="true" outlineLevel="0" collapsed="false">
      <c r="A28" s="10"/>
      <c r="B28" s="15"/>
      <c r="C28" s="15"/>
      <c r="D28" s="10"/>
      <c r="E28" s="10"/>
      <c r="F28" s="11"/>
      <c r="G28" s="10"/>
      <c r="H28" s="30" t="str">
        <f aca="true">IF(OR($C28="",$G28="결제완료"),"",$C28-TODAY())</f>
        <v/>
      </c>
    </row>
    <row r="29" customFormat="false" ht="15" hidden="false" customHeight="true" outlineLevel="0" collapsed="false">
      <c r="A29" s="10"/>
      <c r="B29" s="15"/>
      <c r="C29" s="15"/>
      <c r="D29" s="10"/>
      <c r="E29" s="10"/>
      <c r="F29" s="11"/>
      <c r="G29" s="10"/>
      <c r="H29" s="30" t="str">
        <f aca="true">IF(OR($C29="",$G29="결제완료"),"",$C29-TODAY())</f>
        <v/>
      </c>
    </row>
    <row r="30" customFormat="false" ht="15" hidden="false" customHeight="true" outlineLevel="0" collapsed="false">
      <c r="A30" s="10"/>
      <c r="B30" s="15"/>
      <c r="C30" s="15"/>
      <c r="D30" s="10"/>
      <c r="E30" s="10"/>
      <c r="F30" s="11"/>
      <c r="G30" s="10"/>
      <c r="H30" s="30" t="str">
        <f aca="true">IF(OR($C30="",$G30="결제완료"),"",$C30-TODAY())</f>
        <v/>
      </c>
    </row>
    <row r="31" customFormat="false" ht="15" hidden="false" customHeight="true" outlineLevel="0" collapsed="false">
      <c r="A31" s="10"/>
      <c r="B31" s="15"/>
      <c r="C31" s="15"/>
      <c r="D31" s="10"/>
      <c r="E31" s="10"/>
      <c r="F31" s="11"/>
      <c r="G31" s="10"/>
      <c r="H31" s="30" t="str">
        <f aca="true">IF(OR($C31="",$G31="결제완료"),"",$C31-TODAY())</f>
        <v/>
      </c>
    </row>
    <row r="32" customFormat="false" ht="15" hidden="false" customHeight="true" outlineLevel="0" collapsed="false">
      <c r="A32" s="10"/>
      <c r="B32" s="15"/>
      <c r="C32" s="15"/>
      <c r="D32" s="10"/>
      <c r="E32" s="10"/>
      <c r="F32" s="11"/>
      <c r="G32" s="10"/>
      <c r="H32" s="30" t="str">
        <f aca="true">IF(OR($C32="",$G32="결제완료"),"",$C32-TODAY())</f>
        <v/>
      </c>
    </row>
    <row r="33" customFormat="false" ht="15" hidden="false" customHeight="true" outlineLevel="0" collapsed="false">
      <c r="A33" s="10"/>
      <c r="B33" s="15"/>
      <c r="C33" s="15"/>
      <c r="D33" s="10"/>
      <c r="E33" s="10"/>
      <c r="F33" s="11"/>
      <c r="G33" s="10"/>
      <c r="H33" s="30" t="str">
        <f aca="true">IF(OR($C33="",$G33="결제완료"),"",$C33-TODAY())</f>
        <v/>
      </c>
    </row>
    <row r="34" customFormat="false" ht="15" hidden="false" customHeight="true" outlineLevel="0" collapsed="false">
      <c r="A34" s="10"/>
      <c r="B34" s="15"/>
      <c r="C34" s="15"/>
      <c r="D34" s="10"/>
      <c r="E34" s="10"/>
      <c r="F34" s="11"/>
      <c r="G34" s="10"/>
      <c r="H34" s="30" t="str">
        <f aca="true">IF(OR($C34="",$G34="결제완료"),"",$C34-TODAY())</f>
        <v/>
      </c>
    </row>
    <row r="35" customFormat="false" ht="15" hidden="false" customHeight="true" outlineLevel="0" collapsed="false">
      <c r="A35" s="10"/>
      <c r="B35" s="15"/>
      <c r="C35" s="15"/>
      <c r="D35" s="10"/>
      <c r="E35" s="10"/>
      <c r="F35" s="11"/>
      <c r="G35" s="10"/>
      <c r="H35" s="30" t="str">
        <f aca="true">IF(OR($C35="",$G35="결제완료"),"",$C35-TODAY())</f>
        <v/>
      </c>
    </row>
    <row r="36" customFormat="false" ht="15" hidden="false" customHeight="true" outlineLevel="0" collapsed="false">
      <c r="A36" s="10"/>
      <c r="B36" s="15"/>
      <c r="C36" s="15"/>
      <c r="D36" s="10"/>
      <c r="E36" s="10"/>
      <c r="F36" s="11"/>
      <c r="G36" s="10"/>
      <c r="H36" s="30" t="str">
        <f aca="true">IF(OR($C36="",$G36="결제완료"),"",$C36-TODAY())</f>
        <v/>
      </c>
    </row>
    <row r="37" customFormat="false" ht="15" hidden="false" customHeight="true" outlineLevel="0" collapsed="false">
      <c r="A37" s="10"/>
      <c r="B37" s="15"/>
      <c r="C37" s="15"/>
      <c r="D37" s="10"/>
      <c r="E37" s="10"/>
      <c r="F37" s="11"/>
      <c r="G37" s="10"/>
      <c r="H37" s="30" t="str">
        <f aca="true">IF(OR($C37="",$G37="결제완료"),"",$C37-TODAY())</f>
        <v/>
      </c>
    </row>
    <row r="38" customFormat="false" ht="15" hidden="false" customHeight="true" outlineLevel="0" collapsed="false">
      <c r="A38" s="10"/>
      <c r="B38" s="15"/>
      <c r="C38" s="15"/>
      <c r="D38" s="10"/>
      <c r="E38" s="10"/>
      <c r="F38" s="11"/>
      <c r="G38" s="10"/>
      <c r="H38" s="30" t="str">
        <f aca="true">IF(OR($C38="",$G38="결제완료"),"",$C38-TODAY())</f>
        <v/>
      </c>
    </row>
    <row r="39" customFormat="false" ht="15" hidden="false" customHeight="true" outlineLevel="0" collapsed="false">
      <c r="A39" s="10"/>
      <c r="B39" s="15"/>
      <c r="C39" s="15"/>
      <c r="D39" s="10"/>
      <c r="E39" s="10"/>
      <c r="F39" s="11"/>
      <c r="G39" s="10"/>
      <c r="H39" s="30" t="str">
        <f aca="true">IF(OR($C39="",$G39="결제완료"),"",$C39-TODAY())</f>
        <v/>
      </c>
    </row>
    <row r="40" customFormat="false" ht="15" hidden="false" customHeight="true" outlineLevel="0" collapsed="false">
      <c r="A40" s="10"/>
      <c r="B40" s="15"/>
      <c r="C40" s="15"/>
      <c r="D40" s="10"/>
      <c r="E40" s="10"/>
      <c r="F40" s="11"/>
      <c r="G40" s="10"/>
      <c r="H40" s="30" t="str">
        <f aca="true">IF(OR($C40="",$G40="결제완료"),"",$C40-TODAY())</f>
        <v/>
      </c>
    </row>
    <row r="41" customFormat="false" ht="15" hidden="false" customHeight="true" outlineLevel="0" collapsed="false">
      <c r="A41" s="10"/>
      <c r="B41" s="15"/>
      <c r="C41" s="15"/>
      <c r="D41" s="10"/>
      <c r="E41" s="10"/>
      <c r="F41" s="11"/>
      <c r="G41" s="10"/>
      <c r="H41" s="30" t="str">
        <f aca="true">IF(OR($C41="",$G41="결제완료"),"",$C41-TODAY())</f>
        <v/>
      </c>
    </row>
    <row r="42" customFormat="false" ht="15" hidden="false" customHeight="true" outlineLevel="0" collapsed="false">
      <c r="A42" s="10"/>
      <c r="B42" s="15"/>
      <c r="C42" s="15"/>
      <c r="D42" s="10"/>
      <c r="E42" s="10"/>
      <c r="F42" s="11"/>
      <c r="G42" s="10"/>
      <c r="H42" s="30" t="str">
        <f aca="true">IF(OR($C42="",$G42="결제완료"),"",$C42-TODAY())</f>
        <v/>
      </c>
    </row>
    <row r="43" customFormat="false" ht="15" hidden="false" customHeight="true" outlineLevel="0" collapsed="false">
      <c r="A43" s="10"/>
      <c r="B43" s="15"/>
      <c r="C43" s="15"/>
      <c r="D43" s="10"/>
      <c r="E43" s="10"/>
      <c r="F43" s="11"/>
      <c r="G43" s="10"/>
      <c r="H43" s="30" t="str">
        <f aca="true">IF(OR($C43="",$G43="결제완료"),"",$C43-TODAY())</f>
        <v/>
      </c>
    </row>
    <row r="44" customFormat="false" ht="15" hidden="false" customHeight="true" outlineLevel="0" collapsed="false">
      <c r="A44" s="10"/>
      <c r="B44" s="15"/>
      <c r="C44" s="15"/>
      <c r="D44" s="10"/>
      <c r="E44" s="10"/>
      <c r="F44" s="11"/>
      <c r="G44" s="10"/>
      <c r="H44" s="30" t="str">
        <f aca="true">IF(OR($C44="",$G44="결제완료"),"",$C44-TODAY())</f>
        <v/>
      </c>
    </row>
    <row r="45" customFormat="false" ht="15" hidden="false" customHeight="true" outlineLevel="0" collapsed="false">
      <c r="A45" s="10"/>
      <c r="B45" s="15"/>
      <c r="C45" s="15"/>
      <c r="D45" s="10"/>
      <c r="E45" s="10"/>
      <c r="F45" s="11"/>
      <c r="G45" s="10"/>
      <c r="H45" s="30" t="str">
        <f aca="true">IF(OR($C45="",$G45="결제완료"),"",$C45-TODAY())</f>
        <v/>
      </c>
    </row>
    <row r="46" customFormat="false" ht="15" hidden="false" customHeight="true" outlineLevel="0" collapsed="false">
      <c r="A46" s="10"/>
      <c r="B46" s="15"/>
      <c r="C46" s="15"/>
      <c r="D46" s="10"/>
      <c r="E46" s="10"/>
      <c r="F46" s="11"/>
      <c r="G46" s="10"/>
      <c r="H46" s="30" t="str">
        <f aca="true">IF(OR($C46="",$G46="결제완료"),"",$C46-TODAY())</f>
        <v/>
      </c>
    </row>
    <row r="47" customFormat="false" ht="15" hidden="false" customHeight="true" outlineLevel="0" collapsed="false">
      <c r="A47" s="10"/>
      <c r="B47" s="15"/>
      <c r="C47" s="15"/>
      <c r="D47" s="10"/>
      <c r="E47" s="10"/>
      <c r="F47" s="11"/>
      <c r="G47" s="10"/>
      <c r="H47" s="30" t="str">
        <f aca="true">IF(OR($C47="",$G47="결제완료"),"",$C47-TODAY())</f>
        <v/>
      </c>
    </row>
    <row r="48" customFormat="false" ht="15" hidden="false" customHeight="true" outlineLevel="0" collapsed="false">
      <c r="A48" s="10"/>
      <c r="B48" s="15"/>
      <c r="C48" s="15"/>
      <c r="D48" s="10"/>
      <c r="E48" s="10"/>
      <c r="F48" s="11"/>
      <c r="G48" s="10"/>
      <c r="H48" s="30" t="str">
        <f aca="true">IF(OR($C48="",$G48="결제완료"),"",$C48-TODAY())</f>
        <v/>
      </c>
    </row>
    <row r="49" customFormat="false" ht="15" hidden="false" customHeight="true" outlineLevel="0" collapsed="false">
      <c r="A49" s="10"/>
      <c r="B49" s="15"/>
      <c r="C49" s="15"/>
      <c r="D49" s="10"/>
      <c r="E49" s="10"/>
      <c r="F49" s="11"/>
      <c r="G49" s="10"/>
      <c r="H49" s="30" t="str">
        <f aca="true">IF(OR($C49="",$G49="결제완료"),"",$C49-TODAY())</f>
        <v/>
      </c>
    </row>
    <row r="50" customFormat="false" ht="15" hidden="false" customHeight="true" outlineLevel="0" collapsed="false">
      <c r="A50" s="10"/>
      <c r="B50" s="15"/>
      <c r="C50" s="15"/>
      <c r="D50" s="10"/>
      <c r="E50" s="10"/>
      <c r="F50" s="11"/>
      <c r="G50" s="10"/>
      <c r="H50" s="30" t="str">
        <f aca="true">IF(OR($C50="",$G50="결제완료"),"",$C50-TODAY())</f>
        <v/>
      </c>
    </row>
    <row r="51" customFormat="false" ht="15" hidden="false" customHeight="true" outlineLevel="0" collapsed="false">
      <c r="A51" s="10"/>
      <c r="B51" s="15"/>
      <c r="C51" s="15"/>
      <c r="D51" s="10"/>
      <c r="E51" s="10"/>
      <c r="F51" s="11"/>
      <c r="G51" s="10"/>
      <c r="H51" s="30" t="str">
        <f aca="true">IF(OR($C51="",$G51="결제완료"),"",$C51-TODAY())</f>
        <v/>
      </c>
    </row>
    <row r="52" customFormat="false" ht="15" hidden="false" customHeight="true" outlineLevel="0" collapsed="false">
      <c r="A52" s="10"/>
      <c r="B52" s="15"/>
      <c r="C52" s="15"/>
      <c r="D52" s="10"/>
      <c r="E52" s="10"/>
      <c r="F52" s="11"/>
      <c r="G52" s="10"/>
      <c r="H52" s="30" t="str">
        <f aca="true">IF(OR($C52="",$G52="결제완료"),"",$C52-TODAY())</f>
        <v/>
      </c>
    </row>
    <row r="53" customFormat="false" ht="15" hidden="false" customHeight="true" outlineLevel="0" collapsed="false">
      <c r="A53" s="10"/>
      <c r="B53" s="15"/>
      <c r="C53" s="15"/>
      <c r="D53" s="10"/>
      <c r="E53" s="10"/>
      <c r="F53" s="11"/>
      <c r="G53" s="10"/>
      <c r="H53" s="30" t="str">
        <f aca="true">IF(OR($C53="",$G53="결제완료"),"",$C53-TODAY())</f>
        <v/>
      </c>
    </row>
    <row r="54" customFormat="false" ht="15" hidden="false" customHeight="true" outlineLevel="0" collapsed="false">
      <c r="A54" s="10"/>
      <c r="B54" s="15"/>
      <c r="C54" s="15"/>
      <c r="D54" s="10"/>
      <c r="E54" s="10"/>
      <c r="F54" s="11"/>
      <c r="G54" s="10"/>
      <c r="H54" s="30" t="str">
        <f aca="true">IF(OR($C54="",$G54="결제완료"),"",$C54-TODAY())</f>
        <v/>
      </c>
    </row>
    <row r="55" customFormat="false" ht="15" hidden="false" customHeight="true" outlineLevel="0" collapsed="false">
      <c r="A55" s="10"/>
      <c r="B55" s="15"/>
      <c r="C55" s="15"/>
      <c r="D55" s="10"/>
      <c r="E55" s="10"/>
      <c r="F55" s="11"/>
      <c r="G55" s="10"/>
      <c r="H55" s="30" t="str">
        <f aca="true">IF(OR($C55="",$G55="결제완료"),"",$C55-TODAY())</f>
        <v/>
      </c>
    </row>
    <row r="56" customFormat="false" ht="15" hidden="false" customHeight="true" outlineLevel="0" collapsed="false">
      <c r="A56" s="10"/>
      <c r="B56" s="15"/>
      <c r="C56" s="15"/>
      <c r="D56" s="10"/>
      <c r="E56" s="10"/>
      <c r="F56" s="11"/>
      <c r="G56" s="10"/>
      <c r="H56" s="30" t="str">
        <f aca="true">IF(OR($C56="",$G56="결제완료"),"",$C56-TODAY())</f>
        <v/>
      </c>
    </row>
    <row r="57" customFormat="false" ht="15" hidden="false" customHeight="true" outlineLevel="0" collapsed="false">
      <c r="A57" s="10"/>
      <c r="B57" s="15"/>
      <c r="C57" s="15"/>
      <c r="D57" s="10"/>
      <c r="E57" s="10"/>
      <c r="F57" s="11"/>
      <c r="G57" s="10"/>
      <c r="H57" s="30" t="str">
        <f aca="true">IF(OR($C57="",$G57="결제완료"),"",$C57-TODAY())</f>
        <v/>
      </c>
    </row>
    <row r="58" customFormat="false" ht="15" hidden="false" customHeight="true" outlineLevel="0" collapsed="false">
      <c r="A58" s="10"/>
      <c r="B58" s="15"/>
      <c r="C58" s="15"/>
      <c r="D58" s="10"/>
      <c r="E58" s="10"/>
      <c r="F58" s="11"/>
      <c r="G58" s="10"/>
      <c r="H58" s="30" t="str">
        <f aca="true">IF(OR($C58="",$G58="결제완료"),"",$C58-TODAY())</f>
        <v/>
      </c>
    </row>
    <row r="59" customFormat="false" ht="15" hidden="false" customHeight="true" outlineLevel="0" collapsed="false">
      <c r="A59" s="10"/>
      <c r="B59" s="15"/>
      <c r="C59" s="15"/>
      <c r="D59" s="10"/>
      <c r="E59" s="10"/>
      <c r="F59" s="11"/>
      <c r="G59" s="10"/>
      <c r="H59" s="30" t="str">
        <f aca="true">IF(OR($C59="",$G59="결제완료"),"",$C59-TODAY())</f>
        <v/>
      </c>
    </row>
    <row r="60" customFormat="false" ht="15" hidden="false" customHeight="true" outlineLevel="0" collapsed="false">
      <c r="A60" s="10"/>
      <c r="B60" s="15"/>
      <c r="C60" s="15"/>
      <c r="D60" s="10"/>
      <c r="E60" s="10"/>
      <c r="F60" s="11"/>
      <c r="G60" s="10"/>
      <c r="H60" s="30" t="str">
        <f aca="true">IF(OR($C60="",$G60="결제완료"),"",$C60-TODAY())</f>
        <v/>
      </c>
    </row>
    <row r="61" customFormat="false" ht="15" hidden="false" customHeight="true" outlineLevel="0" collapsed="false">
      <c r="A61" s="10"/>
      <c r="B61" s="15"/>
      <c r="C61" s="15"/>
      <c r="D61" s="10"/>
      <c r="E61" s="10"/>
      <c r="F61" s="11"/>
      <c r="G61" s="10"/>
      <c r="H61" s="30" t="str">
        <f aca="true">IF(OR($C61="",$G61="결제완료"),"",$C61-TODAY())</f>
        <v/>
      </c>
    </row>
    <row r="62" customFormat="false" ht="15" hidden="false" customHeight="true" outlineLevel="0" collapsed="false">
      <c r="A62" s="10"/>
      <c r="B62" s="15"/>
      <c r="C62" s="15"/>
      <c r="D62" s="10"/>
      <c r="E62" s="10"/>
      <c r="F62" s="11"/>
      <c r="G62" s="10"/>
      <c r="H62" s="30" t="str">
        <f aca="true">IF(OR($C62="",$G62="결제완료"),"",$C62-TODAY())</f>
        <v/>
      </c>
    </row>
    <row r="63" customFormat="false" ht="15" hidden="false" customHeight="true" outlineLevel="0" collapsed="false">
      <c r="A63" s="10"/>
      <c r="B63" s="15"/>
      <c r="C63" s="15"/>
      <c r="D63" s="10"/>
      <c r="E63" s="10"/>
      <c r="F63" s="11"/>
      <c r="G63" s="10"/>
      <c r="H63" s="30" t="str">
        <f aca="true">IF(OR($C63="",$G63="결제완료"),"",$C63-TODAY())</f>
        <v/>
      </c>
    </row>
    <row r="64" customFormat="false" ht="15" hidden="false" customHeight="true" outlineLevel="0" collapsed="false">
      <c r="A64" s="10"/>
      <c r="B64" s="15"/>
      <c r="C64" s="15"/>
      <c r="D64" s="10"/>
      <c r="E64" s="10"/>
      <c r="F64" s="11"/>
      <c r="G64" s="10"/>
      <c r="H64" s="30" t="str">
        <f aca="true">IF(OR($C64="",$G64="결제완료"),"",$C64-TODAY())</f>
        <v/>
      </c>
    </row>
    <row r="65" customFormat="false" ht="15" hidden="false" customHeight="true" outlineLevel="0" collapsed="false">
      <c r="A65" s="10"/>
      <c r="B65" s="15"/>
      <c r="C65" s="15"/>
      <c r="D65" s="10"/>
      <c r="E65" s="10"/>
      <c r="F65" s="11"/>
      <c r="G65" s="10"/>
      <c r="H65" s="30" t="str">
        <f aca="true">IF(OR($C65="",$G65="결제완료"),"",$C65-TODAY())</f>
        <v/>
      </c>
    </row>
    <row r="66" customFormat="false" ht="15" hidden="false" customHeight="true" outlineLevel="0" collapsed="false">
      <c r="A66" s="10"/>
      <c r="B66" s="15"/>
      <c r="C66" s="15"/>
      <c r="D66" s="10"/>
      <c r="E66" s="10"/>
      <c r="F66" s="11"/>
      <c r="G66" s="10"/>
      <c r="H66" s="30" t="str">
        <f aca="true">IF(OR($C66="",$G66="결제완료"),"",$C66-TODAY())</f>
        <v/>
      </c>
    </row>
    <row r="67" customFormat="false" ht="15" hidden="false" customHeight="true" outlineLevel="0" collapsed="false">
      <c r="A67" s="10"/>
      <c r="B67" s="15"/>
      <c r="C67" s="15"/>
      <c r="D67" s="10"/>
      <c r="E67" s="10"/>
      <c r="F67" s="11"/>
      <c r="G67" s="10"/>
      <c r="H67" s="30" t="str">
        <f aca="true">IF(OR($C67="",$G67="결제완료"),"",$C67-TODAY())</f>
        <v/>
      </c>
    </row>
    <row r="68" customFormat="false" ht="15" hidden="false" customHeight="true" outlineLevel="0" collapsed="false">
      <c r="A68" s="10"/>
      <c r="B68" s="15"/>
      <c r="C68" s="15"/>
      <c r="D68" s="10"/>
      <c r="E68" s="10"/>
      <c r="F68" s="11"/>
      <c r="G68" s="10"/>
      <c r="H68" s="30" t="str">
        <f aca="true">IF(OR($C68="",$G68="결제완료"),"",$C68-TODAY())</f>
        <v/>
      </c>
    </row>
    <row r="69" customFormat="false" ht="15" hidden="false" customHeight="true" outlineLevel="0" collapsed="false">
      <c r="A69" s="10"/>
      <c r="B69" s="15"/>
      <c r="C69" s="15"/>
      <c r="D69" s="10"/>
      <c r="E69" s="10"/>
      <c r="F69" s="11"/>
      <c r="G69" s="10"/>
      <c r="H69" s="30" t="str">
        <f aca="true">IF(OR($C69="",$G69="결제완료"),"",$C69-TODAY())</f>
        <v/>
      </c>
    </row>
    <row r="70" customFormat="false" ht="15" hidden="false" customHeight="true" outlineLevel="0" collapsed="false">
      <c r="A70" s="10"/>
      <c r="B70" s="15"/>
      <c r="C70" s="15"/>
      <c r="D70" s="10"/>
      <c r="E70" s="10"/>
      <c r="F70" s="11"/>
      <c r="G70" s="10"/>
      <c r="H70" s="30" t="str">
        <f aca="true">IF(OR($C70="",$G70="결제완료"),"",$C70-TODAY())</f>
        <v/>
      </c>
    </row>
    <row r="71" customFormat="false" ht="15" hidden="false" customHeight="true" outlineLevel="0" collapsed="false">
      <c r="A71" s="10"/>
      <c r="B71" s="15"/>
      <c r="C71" s="15"/>
      <c r="D71" s="10"/>
      <c r="E71" s="10"/>
      <c r="F71" s="11"/>
      <c r="G71" s="10"/>
      <c r="H71" s="30" t="str">
        <f aca="true">IF(OR($C71="",$G71="결제완료"),"",$C71-TODAY())</f>
        <v/>
      </c>
    </row>
    <row r="72" customFormat="false" ht="15" hidden="false" customHeight="true" outlineLevel="0" collapsed="false">
      <c r="A72" s="10"/>
      <c r="B72" s="15"/>
      <c r="C72" s="15"/>
      <c r="D72" s="10"/>
      <c r="E72" s="10"/>
      <c r="F72" s="11"/>
      <c r="G72" s="10"/>
      <c r="H72" s="30" t="str">
        <f aca="true">IF(OR($C72="",$G72="결제완료"),"",$C72-TODAY())</f>
        <v/>
      </c>
    </row>
    <row r="73" customFormat="false" ht="15" hidden="false" customHeight="true" outlineLevel="0" collapsed="false">
      <c r="A73" s="10"/>
      <c r="B73" s="15"/>
      <c r="C73" s="15"/>
      <c r="D73" s="10"/>
      <c r="E73" s="10"/>
      <c r="F73" s="11"/>
      <c r="G73" s="10"/>
      <c r="H73" s="30" t="str">
        <f aca="true">IF(OR($C73="",$G73="결제완료"),"",$C73-TODAY())</f>
        <v/>
      </c>
    </row>
    <row r="74" customFormat="false" ht="15" hidden="false" customHeight="true" outlineLevel="0" collapsed="false">
      <c r="A74" s="10"/>
      <c r="B74" s="15"/>
      <c r="C74" s="15"/>
      <c r="D74" s="10"/>
      <c r="E74" s="10"/>
      <c r="F74" s="11"/>
      <c r="G74" s="10"/>
      <c r="H74" s="30" t="str">
        <f aca="true">IF(OR($C74="",$G74="결제완료"),"",$C74-TODAY())</f>
        <v/>
      </c>
    </row>
    <row r="75" customFormat="false" ht="15" hidden="false" customHeight="true" outlineLevel="0" collapsed="false">
      <c r="A75" s="10"/>
      <c r="B75" s="15"/>
      <c r="C75" s="15"/>
      <c r="D75" s="10"/>
      <c r="E75" s="10"/>
      <c r="F75" s="11"/>
      <c r="G75" s="10"/>
      <c r="H75" s="30" t="str">
        <f aca="true">IF(OR($C75="",$G75="결제완료"),"",$C75-TODAY())</f>
        <v/>
      </c>
    </row>
    <row r="76" customFormat="false" ht="15" hidden="false" customHeight="true" outlineLevel="0" collapsed="false">
      <c r="A76" s="10"/>
      <c r="B76" s="15"/>
      <c r="C76" s="15"/>
      <c r="D76" s="10"/>
      <c r="E76" s="10"/>
      <c r="F76" s="11"/>
      <c r="G76" s="10"/>
      <c r="H76" s="30" t="str">
        <f aca="true">IF(OR($C76="",$G76="결제완료"),"",$C76-TODAY())</f>
        <v/>
      </c>
    </row>
    <row r="77" customFormat="false" ht="15" hidden="false" customHeight="true" outlineLevel="0" collapsed="false">
      <c r="A77" s="10"/>
      <c r="B77" s="15"/>
      <c r="C77" s="15"/>
      <c r="D77" s="10"/>
      <c r="E77" s="10"/>
      <c r="F77" s="11"/>
      <c r="G77" s="10"/>
      <c r="H77" s="30" t="str">
        <f aca="true">IF(OR($C77="",$G77="결제완료"),"",$C77-TODAY())</f>
        <v/>
      </c>
    </row>
    <row r="78" customFormat="false" ht="15" hidden="false" customHeight="true" outlineLevel="0" collapsed="false">
      <c r="A78" s="10"/>
      <c r="B78" s="15"/>
      <c r="C78" s="15"/>
      <c r="D78" s="10"/>
      <c r="E78" s="10"/>
      <c r="F78" s="11"/>
      <c r="G78" s="10"/>
      <c r="H78" s="30" t="str">
        <f aca="true">IF(OR($C78="",$G78="결제완료"),"",$C78-TODAY())</f>
        <v/>
      </c>
    </row>
    <row r="79" customFormat="false" ht="15" hidden="false" customHeight="true" outlineLevel="0" collapsed="false">
      <c r="A79" s="10"/>
      <c r="B79" s="15"/>
      <c r="C79" s="15"/>
      <c r="D79" s="10"/>
      <c r="E79" s="10"/>
      <c r="F79" s="11"/>
      <c r="G79" s="10"/>
      <c r="H79" s="30" t="str">
        <f aca="true">IF(OR($C79="",$G79="결제완료"),"",$C79-TODAY())</f>
        <v/>
      </c>
    </row>
    <row r="80" customFormat="false" ht="15" hidden="false" customHeight="true" outlineLevel="0" collapsed="false">
      <c r="A80" s="10"/>
      <c r="B80" s="15"/>
      <c r="C80" s="15"/>
      <c r="D80" s="10"/>
      <c r="E80" s="10"/>
      <c r="F80" s="11"/>
      <c r="G80" s="10"/>
      <c r="H80" s="30" t="str">
        <f aca="true">IF(OR($C80="",$G80="결제완료"),"",$C80-TODAY())</f>
        <v/>
      </c>
    </row>
    <row r="81" customFormat="false" ht="15" hidden="false" customHeight="true" outlineLevel="0" collapsed="false">
      <c r="A81" s="10"/>
      <c r="B81" s="15"/>
      <c r="C81" s="15"/>
      <c r="D81" s="10"/>
      <c r="E81" s="10"/>
      <c r="F81" s="11"/>
      <c r="G81" s="10"/>
      <c r="H81" s="30" t="str">
        <f aca="true">IF(OR($C81="",$G81="결제완료"),"",$C81-TODAY())</f>
        <v/>
      </c>
    </row>
    <row r="82" customFormat="false" ht="15" hidden="false" customHeight="true" outlineLevel="0" collapsed="false">
      <c r="A82" s="10"/>
      <c r="B82" s="15"/>
      <c r="C82" s="15"/>
      <c r="D82" s="10"/>
      <c r="E82" s="10"/>
      <c r="F82" s="11"/>
      <c r="G82" s="10"/>
      <c r="H82" s="30" t="str">
        <f aca="true">IF(OR($C82="",$G82="결제완료"),"",$C82-TODAY())</f>
        <v/>
      </c>
    </row>
    <row r="83" customFormat="false" ht="15" hidden="false" customHeight="true" outlineLevel="0" collapsed="false">
      <c r="A83" s="10"/>
      <c r="B83" s="15"/>
      <c r="C83" s="15"/>
      <c r="D83" s="10"/>
      <c r="E83" s="10"/>
      <c r="F83" s="11"/>
      <c r="G83" s="10"/>
      <c r="H83" s="30" t="str">
        <f aca="true">IF(OR($C83="",$G83="결제완료"),"",$C83-TODAY())</f>
        <v/>
      </c>
    </row>
    <row r="84" customFormat="false" ht="15" hidden="false" customHeight="true" outlineLevel="0" collapsed="false">
      <c r="A84" s="10"/>
      <c r="B84" s="15"/>
      <c r="C84" s="15"/>
      <c r="D84" s="10"/>
      <c r="E84" s="10"/>
      <c r="F84" s="11"/>
      <c r="G84" s="10"/>
      <c r="H84" s="30" t="str">
        <f aca="true">IF(OR($C84="",$G84="결제완료"),"",$C84-TODAY())</f>
        <v/>
      </c>
    </row>
    <row r="85" customFormat="false" ht="15" hidden="false" customHeight="true" outlineLevel="0" collapsed="false">
      <c r="A85" s="10"/>
      <c r="B85" s="15"/>
      <c r="C85" s="15"/>
      <c r="D85" s="10"/>
      <c r="E85" s="10"/>
      <c r="F85" s="11"/>
      <c r="G85" s="10"/>
      <c r="H85" s="30" t="str">
        <f aca="true">IF(OR($C85="",$G85="결제완료"),"",$C85-TODAY())</f>
        <v/>
      </c>
    </row>
    <row r="86" customFormat="false" ht="15" hidden="false" customHeight="true" outlineLevel="0" collapsed="false">
      <c r="A86" s="10"/>
      <c r="B86" s="15"/>
      <c r="C86" s="15"/>
      <c r="D86" s="10"/>
      <c r="E86" s="10"/>
      <c r="F86" s="11"/>
      <c r="G86" s="10"/>
      <c r="H86" s="30" t="str">
        <f aca="true">IF(OR($C86="",$G86="결제완료"),"",$C86-TODAY())</f>
        <v/>
      </c>
    </row>
    <row r="87" customFormat="false" ht="15" hidden="false" customHeight="true" outlineLevel="0" collapsed="false">
      <c r="A87" s="10"/>
      <c r="B87" s="15"/>
      <c r="C87" s="15"/>
      <c r="D87" s="10"/>
      <c r="E87" s="10"/>
      <c r="F87" s="11"/>
      <c r="G87" s="10"/>
      <c r="H87" s="30" t="str">
        <f aca="true">IF(OR($C87="",$G87="결제완료"),"",$C87-TODAY())</f>
        <v/>
      </c>
    </row>
    <row r="88" customFormat="false" ht="15" hidden="false" customHeight="true" outlineLevel="0" collapsed="false">
      <c r="A88" s="10"/>
      <c r="B88" s="15"/>
      <c r="C88" s="15"/>
      <c r="D88" s="10"/>
      <c r="E88" s="10"/>
      <c r="F88" s="11"/>
      <c r="G88" s="10"/>
      <c r="H88" s="30" t="str">
        <f aca="true">IF(OR($C88="",$G88="결제완료"),"",$C88-TODAY())</f>
        <v/>
      </c>
    </row>
    <row r="89" customFormat="false" ht="15" hidden="false" customHeight="true" outlineLevel="0" collapsed="false">
      <c r="A89" s="10"/>
      <c r="B89" s="15"/>
      <c r="C89" s="15"/>
      <c r="D89" s="10"/>
      <c r="E89" s="10"/>
      <c r="F89" s="11"/>
      <c r="G89" s="10"/>
      <c r="H89" s="30" t="str">
        <f aca="true">IF(OR($C89="",$G89="결제완료"),"",$C89-TODAY())</f>
        <v/>
      </c>
    </row>
    <row r="90" customFormat="false" ht="15" hidden="false" customHeight="true" outlineLevel="0" collapsed="false">
      <c r="A90" s="10"/>
      <c r="B90" s="15"/>
      <c r="C90" s="15"/>
      <c r="D90" s="10"/>
      <c r="E90" s="10"/>
      <c r="F90" s="11"/>
      <c r="G90" s="10"/>
      <c r="H90" s="30" t="str">
        <f aca="true">IF(OR($C90="",$G90="결제완료"),"",$C90-TODAY())</f>
        <v/>
      </c>
    </row>
    <row r="91" customFormat="false" ht="15" hidden="false" customHeight="true" outlineLevel="0" collapsed="false">
      <c r="A91" s="10"/>
      <c r="B91" s="15"/>
      <c r="C91" s="15"/>
      <c r="D91" s="10"/>
      <c r="E91" s="10"/>
      <c r="F91" s="11"/>
      <c r="G91" s="10"/>
      <c r="H91" s="30" t="str">
        <f aca="true">IF(OR($C91="",$G91="결제완료"),"",$C91-TODAY())</f>
        <v/>
      </c>
    </row>
    <row r="92" customFormat="false" ht="15" hidden="false" customHeight="true" outlineLevel="0" collapsed="false">
      <c r="A92" s="10"/>
      <c r="B92" s="15"/>
      <c r="C92" s="15"/>
      <c r="D92" s="10"/>
      <c r="E92" s="10"/>
      <c r="F92" s="11"/>
      <c r="G92" s="10"/>
      <c r="H92" s="30" t="str">
        <f aca="true">IF(OR($C92="",$G92="결제완료"),"",$C92-TODAY())</f>
        <v/>
      </c>
    </row>
    <row r="93" customFormat="false" ht="15" hidden="false" customHeight="true" outlineLevel="0" collapsed="false">
      <c r="A93" s="10"/>
      <c r="B93" s="15"/>
      <c r="C93" s="15"/>
      <c r="D93" s="10"/>
      <c r="E93" s="10"/>
      <c r="F93" s="11"/>
      <c r="G93" s="10"/>
      <c r="H93" s="30" t="str">
        <f aca="true">IF(OR($C93="",$G93="결제완료"),"",$C93-TODAY())</f>
        <v/>
      </c>
    </row>
    <row r="94" customFormat="false" ht="15" hidden="false" customHeight="true" outlineLevel="0" collapsed="false">
      <c r="A94" s="10"/>
      <c r="B94" s="15"/>
      <c r="C94" s="15"/>
      <c r="D94" s="10"/>
      <c r="E94" s="10"/>
      <c r="F94" s="11"/>
      <c r="G94" s="10"/>
      <c r="H94" s="30" t="str">
        <f aca="true">IF(OR($C94="",$G94="결제완료"),"",$C94-TODAY())</f>
        <v/>
      </c>
    </row>
    <row r="95" customFormat="false" ht="15" hidden="false" customHeight="true" outlineLevel="0" collapsed="false">
      <c r="A95" s="10"/>
      <c r="B95" s="15"/>
      <c r="C95" s="15"/>
      <c r="D95" s="10"/>
      <c r="E95" s="10"/>
      <c r="F95" s="11"/>
      <c r="G95" s="10"/>
      <c r="H95" s="30" t="str">
        <f aca="true">IF(OR($C95="",$G95="결제완료"),"",$C95-TODAY())</f>
        <v/>
      </c>
    </row>
    <row r="96" customFormat="false" ht="15" hidden="false" customHeight="true" outlineLevel="0" collapsed="false">
      <c r="A96" s="10"/>
      <c r="B96" s="15"/>
      <c r="C96" s="15"/>
      <c r="D96" s="10"/>
      <c r="E96" s="10"/>
      <c r="F96" s="11"/>
      <c r="G96" s="10"/>
      <c r="H96" s="30" t="str">
        <f aca="true">IF(OR($C96="",$G96="결제완료"),"",$C96-TODAY())</f>
        <v/>
      </c>
    </row>
    <row r="97" customFormat="false" ht="15" hidden="false" customHeight="true" outlineLevel="0" collapsed="false">
      <c r="A97" s="10"/>
      <c r="B97" s="15"/>
      <c r="C97" s="15"/>
      <c r="D97" s="10"/>
      <c r="E97" s="10"/>
      <c r="F97" s="11"/>
      <c r="G97" s="10"/>
      <c r="H97" s="30" t="str">
        <f aca="true">IF(OR($C97="",$G97="결제완료"),"",$C97-TODAY())</f>
        <v/>
      </c>
    </row>
    <row r="98" customFormat="false" ht="15" hidden="false" customHeight="true" outlineLevel="0" collapsed="false">
      <c r="A98" s="10"/>
      <c r="B98" s="15"/>
      <c r="C98" s="15"/>
      <c r="D98" s="10"/>
      <c r="E98" s="10"/>
      <c r="F98" s="11"/>
      <c r="G98" s="10"/>
      <c r="H98" s="30" t="str">
        <f aca="true">IF(OR($C98="",$G98="결제완료"),"",$C98-TODAY())</f>
        <v/>
      </c>
    </row>
    <row r="99" customFormat="false" ht="15" hidden="false" customHeight="true" outlineLevel="0" collapsed="false">
      <c r="A99" s="10"/>
      <c r="B99" s="15"/>
      <c r="C99" s="15"/>
      <c r="D99" s="10"/>
      <c r="E99" s="10"/>
      <c r="F99" s="11"/>
      <c r="G99" s="10"/>
      <c r="H99" s="30" t="str">
        <f aca="true">IF(OR($C99="",$G99="결제완료"),"",$C99-TODAY())</f>
        <v/>
      </c>
    </row>
    <row r="100" customFormat="false" ht="15" hidden="false" customHeight="true" outlineLevel="0" collapsed="false">
      <c r="A100" s="10"/>
      <c r="B100" s="15"/>
      <c r="C100" s="15"/>
      <c r="D100" s="10"/>
      <c r="E100" s="10"/>
      <c r="F100" s="11"/>
      <c r="G100" s="10"/>
      <c r="H100" s="30" t="str">
        <f aca="true">IF(OR($C100="",$G100="결제완료"),"",$C100-TODAY())</f>
        <v/>
      </c>
    </row>
    <row r="101" customFormat="false" ht="15" hidden="false" customHeight="true" outlineLevel="0" collapsed="false">
      <c r="A101" s="10"/>
      <c r="B101" s="15"/>
      <c r="C101" s="15"/>
      <c r="D101" s="10"/>
      <c r="E101" s="10"/>
      <c r="F101" s="11"/>
      <c r="G101" s="10"/>
      <c r="H101" s="30" t="str">
        <f aca="true">IF(OR($C101="",$G101="결제완료"),"",$C101-TODAY())</f>
        <v/>
      </c>
    </row>
    <row r="102" customFormat="false" ht="15" hidden="false" customHeight="true" outlineLevel="0" collapsed="false">
      <c r="A102" s="10"/>
      <c r="B102" s="15"/>
      <c r="C102" s="15"/>
      <c r="D102" s="10"/>
      <c r="E102" s="10"/>
      <c r="F102" s="11"/>
      <c r="G102" s="10"/>
      <c r="H102" s="30" t="str">
        <f aca="true">IF(OR($C102="",$G102="결제완료"),"",$C102-TODAY())</f>
        <v/>
      </c>
    </row>
    <row r="104" customFormat="false" ht="15" hidden="false" customHeight="true" outlineLevel="0" collapsed="false">
      <c r="D104" s="32" t="s">
        <v>94</v>
      </c>
      <c r="E104" s="32"/>
      <c r="F104" s="12" t="n">
        <f aca="false">SUMIFS($F$3:$F$102,$A$3:$A$102,"받을어음",$G$3:$G$102,"미결제")</f>
        <v>6000000</v>
      </c>
    </row>
    <row r="105" customFormat="false" ht="15" hidden="false" customHeight="true" outlineLevel="0" collapsed="false">
      <c r="D105" s="32" t="s">
        <v>95</v>
      </c>
      <c r="E105" s="32"/>
      <c r="F105" s="12" t="n">
        <f aca="false">SUMIFS($F$3:$F$102,$A$3:$A$102,"지급어음",$G$3:$G$102,"미결제")</f>
        <v>3500000</v>
      </c>
    </row>
  </sheetData>
  <mergeCells count="3">
    <mergeCell ref="A1:H1"/>
    <mergeCell ref="D104:E104"/>
    <mergeCell ref="D105:E105"/>
  </mergeCells>
  <conditionalFormatting sqref="A3:H102">
    <cfRule type="expression" priority="2" aboveAverage="0" equalAverage="0" bottom="0" percent="0" rank="0" text="" dxfId="0">
      <formula>AND($H3&lt;&gt;"",$H3&lt;=사용안내!$C$16)</formula>
    </cfRule>
  </conditionalFormatting>
  <dataValidations count="3">
    <dataValidation allowBlank="true" errorStyle="stop" operator="between" showDropDown="false" showErrorMessage="false" showInputMessage="false" sqref="A3:A102" type="list">
      <formula1>"받을어음,지급어음"</formula1>
      <formula2>0</formula2>
    </dataValidation>
    <dataValidation allowBlank="true" errorStyle="stop" operator="between" showDropDown="false" showErrorMessage="false" showInputMessage="false" sqref="G3:G102" type="list">
      <formula1>"미결제,결제완료"</formula1>
      <formula2>0</formula2>
    </dataValidation>
    <dataValidation allowBlank="true" errorStyle="stop" operator="between" showDropDown="false" showErrorMessage="false" showInputMessage="false" sqref="D3:D102" type="list">
      <formula1>거래처목록!$A$3:$A$152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12"/>
    <col collapsed="false" customWidth="true" hidden="false" outlineLevel="0" max="6" min="5" style="1" width="16"/>
    <col collapsed="false" customWidth="true" hidden="false" outlineLevel="0" max="7" min="7" style="1" width="11"/>
    <col collapsed="false" customWidth="true" hidden="false" outlineLevel="0" max="8" min="8" style="1" width="13"/>
  </cols>
  <sheetData>
    <row r="1" customFormat="false" ht="25.5" hidden="false" customHeight="true" outlineLevel="0" collapsed="false">
      <c r="A1" s="2" t="s">
        <v>96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97</v>
      </c>
      <c r="B2" s="8" t="s">
        <v>98</v>
      </c>
      <c r="C2" s="8" t="s">
        <v>99</v>
      </c>
      <c r="D2" s="8" t="s">
        <v>91</v>
      </c>
      <c r="E2" s="8" t="s">
        <v>100</v>
      </c>
      <c r="F2" s="8" t="s">
        <v>101</v>
      </c>
      <c r="G2" s="8" t="s">
        <v>102</v>
      </c>
      <c r="H2" s="29" t="s">
        <v>81</v>
      </c>
    </row>
    <row r="3" customFormat="false" ht="15" hidden="false" customHeight="true" outlineLevel="0" collapsed="false">
      <c r="A3" s="10" t="inlineStr">
        <is>
          <t>○○은행</t>
        </is>
      </c>
      <c r="B3" s="10" t="inlineStr">
        <is>
          <t>운전자금대출</t>
        </is>
      </c>
      <c r="C3" s="15" t="n">
        <v>45718</v>
      </c>
      <c r="D3" s="15" t="n">
        <v>46297</v>
      </c>
      <c r="E3" s="11" t="n">
        <v>100000000</v>
      </c>
      <c r="F3" s="11" t="n">
        <v>40000000</v>
      </c>
      <c r="G3" s="33" t="n">
        <v>0.049</v>
      </c>
      <c r="H3" s="30" t="n">
        <f aca="true">IF($D3="","",$D3-TODAY())</f>
        <v>18</v>
      </c>
    </row>
    <row r="4" customFormat="false" ht="15" hidden="false" customHeight="true" outlineLevel="0" collapsed="false">
      <c r="A4" s="10" t="inlineStr">
        <is>
          <t>△△은행</t>
        </is>
      </c>
      <c r="B4" s="10" t="inlineStr">
        <is>
          <t>시설자금대출</t>
        </is>
      </c>
      <c r="C4" s="15" t="n">
        <v>45458</v>
      </c>
      <c r="D4" s="15" t="n">
        <v>47284</v>
      </c>
      <c r="E4" s="11" t="n">
        <v>200000000</v>
      </c>
      <c r="F4" s="11" t="n">
        <v>145000000</v>
      </c>
      <c r="G4" s="33" t="n">
        <v>0.038</v>
      </c>
      <c r="H4" s="30" t="n">
        <f aca="true">IF($D4="","",$D4-TODAY())</f>
        <v>1005</v>
      </c>
    </row>
    <row r="5" customFormat="false" ht="15" hidden="false" customHeight="true" outlineLevel="0" collapsed="false">
      <c r="A5" s="10"/>
      <c r="B5" s="10"/>
      <c r="C5" s="15"/>
      <c r="D5" s="15"/>
      <c r="E5" s="11"/>
      <c r="F5" s="11"/>
      <c r="G5" s="33"/>
      <c r="H5" s="30" t="str">
        <f aca="true">IF($D5="","",$D5-TODAY())</f>
        <v/>
      </c>
    </row>
    <row r="6" customFormat="false" ht="15" hidden="false" customHeight="true" outlineLevel="0" collapsed="false">
      <c r="A6" s="10"/>
      <c r="B6" s="10"/>
      <c r="C6" s="15"/>
      <c r="D6" s="15"/>
      <c r="E6" s="11"/>
      <c r="F6" s="11"/>
      <c r="G6" s="33"/>
      <c r="H6" s="30" t="str">
        <f aca="true">IF($D6="","",$D6-TODAY())</f>
        <v/>
      </c>
    </row>
    <row r="7" customFormat="false" ht="15" hidden="false" customHeight="true" outlineLevel="0" collapsed="false">
      <c r="A7" s="10"/>
      <c r="B7" s="10"/>
      <c r="C7" s="15"/>
      <c r="D7" s="15"/>
      <c r="E7" s="11"/>
      <c r="F7" s="11"/>
      <c r="G7" s="33"/>
      <c r="H7" s="30" t="str">
        <f aca="true">IF($D7="","",$D7-TODAY())</f>
        <v/>
      </c>
    </row>
    <row r="8" customFormat="false" ht="15" hidden="false" customHeight="true" outlineLevel="0" collapsed="false">
      <c r="A8" s="10"/>
      <c r="B8" s="10"/>
      <c r="C8" s="15"/>
      <c r="D8" s="15"/>
      <c r="E8" s="11"/>
      <c r="F8" s="11"/>
      <c r="G8" s="33"/>
      <c r="H8" s="30" t="str">
        <f aca="true">IF($D8="","",$D8-TODAY())</f>
        <v/>
      </c>
    </row>
    <row r="9" customFormat="false" ht="15" hidden="false" customHeight="true" outlineLevel="0" collapsed="false">
      <c r="A9" s="10"/>
      <c r="B9" s="10"/>
      <c r="C9" s="15"/>
      <c r="D9" s="15"/>
      <c r="E9" s="11"/>
      <c r="F9" s="11"/>
      <c r="G9" s="33"/>
      <c r="H9" s="30" t="str">
        <f aca="true">IF($D9="","",$D9-TODAY())</f>
        <v/>
      </c>
    </row>
    <row r="10" customFormat="false" ht="15" hidden="false" customHeight="true" outlineLevel="0" collapsed="false">
      <c r="A10" s="10"/>
      <c r="B10" s="10"/>
      <c r="C10" s="15"/>
      <c r="D10" s="15"/>
      <c r="E10" s="11"/>
      <c r="F10" s="11"/>
      <c r="G10" s="33"/>
      <c r="H10" s="30" t="str">
        <f aca="true">IF($D10="","",$D10-TODAY())</f>
        <v/>
      </c>
    </row>
    <row r="11" customFormat="false" ht="15" hidden="false" customHeight="true" outlineLevel="0" collapsed="false">
      <c r="A11" s="10"/>
      <c r="B11" s="10"/>
      <c r="C11" s="15"/>
      <c r="D11" s="15"/>
      <c r="E11" s="11"/>
      <c r="F11" s="11"/>
      <c r="G11" s="33"/>
      <c r="H11" s="30" t="str">
        <f aca="true">IF($D11="","",$D11-TODAY())</f>
        <v/>
      </c>
    </row>
    <row r="12" customFormat="false" ht="15" hidden="false" customHeight="true" outlineLevel="0" collapsed="false">
      <c r="A12" s="10"/>
      <c r="B12" s="10"/>
      <c r="C12" s="15"/>
      <c r="D12" s="15"/>
      <c r="E12" s="11"/>
      <c r="F12" s="11"/>
      <c r="G12" s="33"/>
      <c r="H12" s="30" t="str">
        <f aca="true">IF($D12="","",$D12-TODAY())</f>
        <v/>
      </c>
    </row>
    <row r="13" customFormat="false" ht="15" hidden="false" customHeight="true" outlineLevel="0" collapsed="false">
      <c r="A13" s="10"/>
      <c r="B13" s="10"/>
      <c r="C13" s="15"/>
      <c r="D13" s="15"/>
      <c r="E13" s="11"/>
      <c r="F13" s="11"/>
      <c r="G13" s="33"/>
      <c r="H13" s="30" t="str">
        <f aca="true">IF($D13="","",$D13-TODAY())</f>
        <v/>
      </c>
    </row>
    <row r="14" customFormat="false" ht="15" hidden="false" customHeight="true" outlineLevel="0" collapsed="false">
      <c r="A14" s="10"/>
      <c r="B14" s="10"/>
      <c r="C14" s="15"/>
      <c r="D14" s="15"/>
      <c r="E14" s="11"/>
      <c r="F14" s="11"/>
      <c r="G14" s="33"/>
      <c r="H14" s="30" t="str">
        <f aca="true">IF($D14="","",$D14-TODAY())</f>
        <v/>
      </c>
    </row>
    <row r="15" customFormat="false" ht="15" hidden="false" customHeight="true" outlineLevel="0" collapsed="false">
      <c r="A15" s="10"/>
      <c r="B15" s="10"/>
      <c r="C15" s="15"/>
      <c r="D15" s="15"/>
      <c r="E15" s="11"/>
      <c r="F15" s="11"/>
      <c r="G15" s="33"/>
      <c r="H15" s="30" t="str">
        <f aca="true">IF($D15="","",$D15-TODAY())</f>
        <v/>
      </c>
    </row>
    <row r="16" customFormat="false" ht="15" hidden="false" customHeight="true" outlineLevel="0" collapsed="false">
      <c r="A16" s="10"/>
      <c r="B16" s="10"/>
      <c r="C16" s="15"/>
      <c r="D16" s="15"/>
      <c r="E16" s="11"/>
      <c r="F16" s="11"/>
      <c r="G16" s="33"/>
      <c r="H16" s="30" t="str">
        <f aca="true">IF($D16="","",$D16-TODAY())</f>
        <v/>
      </c>
    </row>
    <row r="17" customFormat="false" ht="15" hidden="false" customHeight="true" outlineLevel="0" collapsed="false">
      <c r="A17" s="10"/>
      <c r="B17" s="10"/>
      <c r="C17" s="15"/>
      <c r="D17" s="15"/>
      <c r="E17" s="11"/>
      <c r="F17" s="11"/>
      <c r="G17" s="33"/>
      <c r="H17" s="30" t="str">
        <f aca="true">IF($D17="","",$D17-TODAY())</f>
        <v/>
      </c>
    </row>
    <row r="18" customFormat="false" ht="15" hidden="false" customHeight="true" outlineLevel="0" collapsed="false">
      <c r="A18" s="10"/>
      <c r="B18" s="10"/>
      <c r="C18" s="15"/>
      <c r="D18" s="15"/>
      <c r="E18" s="11"/>
      <c r="F18" s="11"/>
      <c r="G18" s="33"/>
      <c r="H18" s="30" t="str">
        <f aca="true">IF($D18="","",$D18-TODAY())</f>
        <v/>
      </c>
    </row>
    <row r="19" customFormat="false" ht="15" hidden="false" customHeight="true" outlineLevel="0" collapsed="false">
      <c r="A19" s="10"/>
      <c r="B19" s="10"/>
      <c r="C19" s="15"/>
      <c r="D19" s="15"/>
      <c r="E19" s="11"/>
      <c r="F19" s="11"/>
      <c r="G19" s="33"/>
      <c r="H19" s="30" t="str">
        <f aca="true">IF($D19="","",$D19-TODAY())</f>
        <v/>
      </c>
    </row>
    <row r="20" customFormat="false" ht="15" hidden="false" customHeight="true" outlineLevel="0" collapsed="false">
      <c r="A20" s="10"/>
      <c r="B20" s="10"/>
      <c r="C20" s="15"/>
      <c r="D20" s="15"/>
      <c r="E20" s="11"/>
      <c r="F20" s="11"/>
      <c r="G20" s="33"/>
      <c r="H20" s="30" t="str">
        <f aca="true">IF($D20="","",$D20-TODAY())</f>
        <v/>
      </c>
    </row>
    <row r="21" customFormat="false" ht="15" hidden="false" customHeight="true" outlineLevel="0" collapsed="false">
      <c r="A21" s="10"/>
      <c r="B21" s="10"/>
      <c r="C21" s="15"/>
      <c r="D21" s="15"/>
      <c r="E21" s="11"/>
      <c r="F21" s="11"/>
      <c r="G21" s="33"/>
      <c r="H21" s="30" t="str">
        <f aca="true">IF($D21="","",$D21-TODAY())</f>
        <v/>
      </c>
    </row>
    <row r="22" customFormat="false" ht="15" hidden="false" customHeight="true" outlineLevel="0" collapsed="false">
      <c r="A22" s="10"/>
      <c r="B22" s="10"/>
      <c r="C22" s="15"/>
      <c r="D22" s="15"/>
      <c r="E22" s="11"/>
      <c r="F22" s="11"/>
      <c r="G22" s="33"/>
      <c r="H22" s="30" t="str">
        <f aca="true">IF($D22="","",$D22-TODAY())</f>
        <v/>
      </c>
    </row>
    <row r="23" customFormat="false" ht="15" hidden="false" customHeight="true" outlineLevel="0" collapsed="false">
      <c r="A23" s="10"/>
      <c r="B23" s="10"/>
      <c r="C23" s="15"/>
      <c r="D23" s="15"/>
      <c r="E23" s="11"/>
      <c r="F23" s="11"/>
      <c r="G23" s="33"/>
      <c r="H23" s="30" t="str">
        <f aca="true">IF($D23="","",$D23-TODAY())</f>
        <v/>
      </c>
    </row>
    <row r="24" customFormat="false" ht="15" hidden="false" customHeight="true" outlineLevel="0" collapsed="false">
      <c r="A24" s="10"/>
      <c r="B24" s="10"/>
      <c r="C24" s="15"/>
      <c r="D24" s="15"/>
      <c r="E24" s="11"/>
      <c r="F24" s="11"/>
      <c r="G24" s="33"/>
      <c r="H24" s="30" t="str">
        <f aca="true">IF($D24="","",$D24-TODAY())</f>
        <v/>
      </c>
    </row>
    <row r="25" customFormat="false" ht="15" hidden="false" customHeight="true" outlineLevel="0" collapsed="false">
      <c r="A25" s="10"/>
      <c r="B25" s="10"/>
      <c r="C25" s="15"/>
      <c r="D25" s="15"/>
      <c r="E25" s="11"/>
      <c r="F25" s="11"/>
      <c r="G25" s="33"/>
      <c r="H25" s="30" t="str">
        <f aca="true">IF($D25="","",$D25-TODAY())</f>
        <v/>
      </c>
    </row>
    <row r="26" customFormat="false" ht="15" hidden="false" customHeight="true" outlineLevel="0" collapsed="false">
      <c r="A26" s="10"/>
      <c r="B26" s="10"/>
      <c r="C26" s="15"/>
      <c r="D26" s="15"/>
      <c r="E26" s="11"/>
      <c r="F26" s="11"/>
      <c r="G26" s="33"/>
      <c r="H26" s="30" t="str">
        <f aca="true">IF($D26="","",$D26-TODAY())</f>
        <v/>
      </c>
    </row>
    <row r="27" customFormat="false" ht="15" hidden="false" customHeight="true" outlineLevel="0" collapsed="false">
      <c r="A27" s="10"/>
      <c r="B27" s="10"/>
      <c r="C27" s="15"/>
      <c r="D27" s="15"/>
      <c r="E27" s="11"/>
      <c r="F27" s="11"/>
      <c r="G27" s="33"/>
      <c r="H27" s="30" t="str">
        <f aca="true">IF($D27="","",$D27-TODAY())</f>
        <v/>
      </c>
    </row>
    <row r="28" customFormat="false" ht="15" hidden="false" customHeight="true" outlineLevel="0" collapsed="false">
      <c r="A28" s="10"/>
      <c r="B28" s="10"/>
      <c r="C28" s="15"/>
      <c r="D28" s="15"/>
      <c r="E28" s="11"/>
      <c r="F28" s="11"/>
      <c r="G28" s="33"/>
      <c r="H28" s="30" t="str">
        <f aca="true">IF($D28="","",$D28-TODAY())</f>
        <v/>
      </c>
    </row>
    <row r="29" customFormat="false" ht="15" hidden="false" customHeight="true" outlineLevel="0" collapsed="false">
      <c r="A29" s="10"/>
      <c r="B29" s="10"/>
      <c r="C29" s="15"/>
      <c r="D29" s="15"/>
      <c r="E29" s="11"/>
      <c r="F29" s="11"/>
      <c r="G29" s="33"/>
      <c r="H29" s="30" t="str">
        <f aca="true">IF($D29="","",$D29-TODAY())</f>
        <v/>
      </c>
    </row>
    <row r="30" customFormat="false" ht="15" hidden="false" customHeight="true" outlineLevel="0" collapsed="false">
      <c r="A30" s="10"/>
      <c r="B30" s="10"/>
      <c r="C30" s="15"/>
      <c r="D30" s="15"/>
      <c r="E30" s="11"/>
      <c r="F30" s="11"/>
      <c r="G30" s="33"/>
      <c r="H30" s="30" t="str">
        <f aca="true">IF($D30="","",$D30-TODAY())</f>
        <v/>
      </c>
    </row>
    <row r="31" customFormat="false" ht="15" hidden="false" customHeight="true" outlineLevel="0" collapsed="false">
      <c r="A31" s="10"/>
      <c r="B31" s="10"/>
      <c r="C31" s="15"/>
      <c r="D31" s="15"/>
      <c r="E31" s="11"/>
      <c r="F31" s="11"/>
      <c r="G31" s="33"/>
      <c r="H31" s="30" t="str">
        <f aca="true">IF($D31="","",$D31-TODAY())</f>
        <v/>
      </c>
    </row>
    <row r="32" customFormat="false" ht="15" hidden="false" customHeight="true" outlineLevel="0" collapsed="false">
      <c r="A32" s="10"/>
      <c r="B32" s="10"/>
      <c r="C32" s="15"/>
      <c r="D32" s="15"/>
      <c r="E32" s="11"/>
      <c r="F32" s="11"/>
      <c r="G32" s="33"/>
      <c r="H32" s="30" t="str">
        <f aca="true">IF($D32="","",$D32-TODAY())</f>
        <v/>
      </c>
    </row>
    <row r="33" customFormat="false" ht="15" hidden="false" customHeight="true" outlineLevel="0" collapsed="false">
      <c r="A33" s="10"/>
      <c r="B33" s="10"/>
      <c r="C33" s="15"/>
      <c r="D33" s="15"/>
      <c r="E33" s="11"/>
      <c r="F33" s="11"/>
      <c r="G33" s="33"/>
      <c r="H33" s="30" t="str">
        <f aca="true">IF($D33="","",$D33-TODAY())</f>
        <v/>
      </c>
    </row>
    <row r="34" customFormat="false" ht="15" hidden="false" customHeight="true" outlineLevel="0" collapsed="false">
      <c r="A34" s="10"/>
      <c r="B34" s="10"/>
      <c r="C34" s="15"/>
      <c r="D34" s="15"/>
      <c r="E34" s="11"/>
      <c r="F34" s="11"/>
      <c r="G34" s="33"/>
      <c r="H34" s="30" t="str">
        <f aca="true">IF($D34="","",$D34-TODAY())</f>
        <v/>
      </c>
    </row>
    <row r="35" customFormat="false" ht="15" hidden="false" customHeight="true" outlineLevel="0" collapsed="false">
      <c r="A35" s="10"/>
      <c r="B35" s="10"/>
      <c r="C35" s="15"/>
      <c r="D35" s="15"/>
      <c r="E35" s="11"/>
      <c r="F35" s="11"/>
      <c r="G35" s="33"/>
      <c r="H35" s="30" t="str">
        <f aca="true">IF($D35="","",$D35-TODAY())</f>
        <v/>
      </c>
    </row>
    <row r="36" customFormat="false" ht="15" hidden="false" customHeight="true" outlineLevel="0" collapsed="false">
      <c r="A36" s="10"/>
      <c r="B36" s="10"/>
      <c r="C36" s="15"/>
      <c r="D36" s="15"/>
      <c r="E36" s="11"/>
      <c r="F36" s="11"/>
      <c r="G36" s="33"/>
      <c r="H36" s="30" t="str">
        <f aca="true">IF($D36="","",$D36-TODAY())</f>
        <v/>
      </c>
    </row>
    <row r="37" customFormat="false" ht="15" hidden="false" customHeight="true" outlineLevel="0" collapsed="false">
      <c r="A37" s="10"/>
      <c r="B37" s="10"/>
      <c r="C37" s="15"/>
      <c r="D37" s="15"/>
      <c r="E37" s="11"/>
      <c r="F37" s="11"/>
      <c r="G37" s="33"/>
      <c r="H37" s="30" t="str">
        <f aca="true">IF($D37="","",$D37-TODAY())</f>
        <v/>
      </c>
    </row>
    <row r="38" customFormat="false" ht="15" hidden="false" customHeight="true" outlineLevel="0" collapsed="false">
      <c r="A38" s="10"/>
      <c r="B38" s="10"/>
      <c r="C38" s="15"/>
      <c r="D38" s="15"/>
      <c r="E38" s="11"/>
      <c r="F38" s="11"/>
      <c r="G38" s="33"/>
      <c r="H38" s="30" t="str">
        <f aca="true">IF($D38="","",$D38-TODAY())</f>
        <v/>
      </c>
    </row>
    <row r="39" customFormat="false" ht="15" hidden="false" customHeight="true" outlineLevel="0" collapsed="false">
      <c r="A39" s="10"/>
      <c r="B39" s="10"/>
      <c r="C39" s="15"/>
      <c r="D39" s="15"/>
      <c r="E39" s="11"/>
      <c r="F39" s="11"/>
      <c r="G39" s="33"/>
      <c r="H39" s="30" t="str">
        <f aca="true">IF($D39="","",$D39-TODAY())</f>
        <v/>
      </c>
    </row>
    <row r="40" customFormat="false" ht="15" hidden="false" customHeight="true" outlineLevel="0" collapsed="false">
      <c r="A40" s="10"/>
      <c r="B40" s="10"/>
      <c r="C40" s="15"/>
      <c r="D40" s="15"/>
      <c r="E40" s="11"/>
      <c r="F40" s="11"/>
      <c r="G40" s="33"/>
      <c r="H40" s="30" t="str">
        <f aca="true">IF($D40="","",$D40-TODAY())</f>
        <v/>
      </c>
    </row>
    <row r="41" customFormat="false" ht="15" hidden="false" customHeight="true" outlineLevel="0" collapsed="false">
      <c r="A41" s="10"/>
      <c r="B41" s="10"/>
      <c r="C41" s="15"/>
      <c r="D41" s="15"/>
      <c r="E41" s="11"/>
      <c r="F41" s="11"/>
      <c r="G41" s="33"/>
      <c r="H41" s="30" t="str">
        <f aca="true">IF($D41="","",$D41-TODAY())</f>
        <v/>
      </c>
    </row>
    <row r="42" customFormat="false" ht="15" hidden="false" customHeight="true" outlineLevel="0" collapsed="false">
      <c r="A42" s="10"/>
      <c r="B42" s="10"/>
      <c r="C42" s="15"/>
      <c r="D42" s="15"/>
      <c r="E42" s="11"/>
      <c r="F42" s="11"/>
      <c r="G42" s="33"/>
      <c r="H42" s="30" t="str">
        <f aca="true">IF($D42="","",$D42-TODAY())</f>
        <v/>
      </c>
    </row>
    <row r="44" customFormat="false" ht="15" hidden="false" customHeight="true" outlineLevel="0" collapsed="false">
      <c r="E44" s="19" t="s">
        <v>103</v>
      </c>
      <c r="F44" s="12" t="n">
        <f aca="false">SUM(F3:F42)</f>
        <v>185000000</v>
      </c>
    </row>
  </sheetData>
  <mergeCells count="1">
    <mergeCell ref="A1:H1"/>
  </mergeCells>
  <conditionalFormatting sqref="A3:H42">
    <cfRule type="expression" priority="2" aboveAverage="0" equalAverage="0" bottom="0" percent="0" rank="0" text="" dxfId="0">
      <formula>AND($H3&lt;&gt;"",$H3&lt;=사용안내!$C$16)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2026-09-13T10:40:52Z</dcterms:created>
  <dc:creator>openpyxl</dc:creator>
  <dc:description/>
  <dc:language>en-US</dc:language>
  <cp:lastModifiedBy/>
  <dcterms:modified xsi:type="dcterms:W3CDTF">2026-09-13T14:21:44Z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